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753A2751-A93E-46A4-B198-BF12A5F1DDC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10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2" i="1" l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D85" i="1"/>
  <c r="M86" i="1" s="1"/>
  <c r="E69" i="1"/>
  <c r="M108" i="1" l="1"/>
  <c r="M101" i="1"/>
  <c r="M109" i="1" s="1"/>
  <c r="M102" i="1"/>
  <c r="B85" i="1"/>
  <c r="M106" i="1" l="1"/>
  <c r="C85" i="1"/>
  <c r="M104" i="1" l="1"/>
  <c r="M90" i="1"/>
  <c r="M105" i="1"/>
  <c r="M97" i="1"/>
  <c r="M87" i="1"/>
  <c r="M84" i="1" l="1"/>
  <c r="E84" i="1"/>
  <c r="E83" i="1"/>
  <c r="E82" i="1"/>
  <c r="E81" i="1"/>
  <c r="E80" i="1"/>
  <c r="E79" i="1"/>
  <c r="E76" i="1"/>
  <c r="E77" i="1"/>
  <c r="E72" i="1"/>
  <c r="E75" i="1"/>
  <c r="E74" i="1"/>
  <c r="E73" i="1"/>
  <c r="E68" i="1"/>
  <c r="E67" i="1"/>
  <c r="E64" i="1"/>
  <c r="E44" i="1"/>
  <c r="E43" i="1"/>
  <c r="E42" i="1"/>
  <c r="E41" i="1"/>
  <c r="E40" i="1"/>
  <c r="E39" i="1"/>
  <c r="E38" i="1"/>
  <c r="E37" i="1"/>
  <c r="E36" i="1"/>
  <c r="E35" i="1"/>
  <c r="E71" i="1" l="1"/>
  <c r="E70" i="1"/>
  <c r="E66" i="1"/>
  <c r="E78" i="1"/>
  <c r="E65" i="1"/>
  <c r="E63" i="1"/>
  <c r="E62" i="1"/>
  <c r="E61" i="1"/>
  <c r="E60" i="1"/>
  <c r="E59" i="1"/>
  <c r="E58" i="1"/>
  <c r="D57" i="1"/>
  <c r="E29" i="1"/>
  <c r="E32" i="1"/>
  <c r="E31" i="1"/>
  <c r="E30" i="1"/>
  <c r="B57" i="1" l="1"/>
  <c r="C57" i="1" s="1"/>
  <c r="M58" i="1"/>
  <c r="M80" i="1" s="1"/>
  <c r="A56" i="1"/>
  <c r="M78" i="1" l="1"/>
  <c r="M77" i="1"/>
  <c r="M69" i="1"/>
  <c r="M73" i="1"/>
  <c r="M81" i="1" s="1"/>
  <c r="M74" i="1"/>
  <c r="M59" i="1"/>
  <c r="M76" i="1"/>
  <c r="M62" i="1"/>
  <c r="E33" i="1"/>
  <c r="E28" i="1" l="1"/>
  <c r="E27" i="1"/>
  <c r="E26" i="1"/>
  <c r="E25" i="1"/>
  <c r="E24" i="1"/>
  <c r="D23" i="1"/>
  <c r="D34" i="1" s="1"/>
  <c r="A22" i="1"/>
  <c r="M35" i="1" l="1"/>
  <c r="B34" i="1"/>
  <c r="C34" i="1" s="1"/>
  <c r="M44" i="1" s="1"/>
  <c r="M24" i="1"/>
  <c r="B23" i="1"/>
  <c r="M42" i="1" l="1"/>
  <c r="M41" i="1"/>
  <c r="M30" i="1"/>
  <c r="M31" i="1"/>
  <c r="C23" i="1"/>
  <c r="M33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<sst xmlns="http://schemas.openxmlformats.org/spreadsheetml/2006/main" count="548" uniqueCount="263">
  <si>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</si>
  <si>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</si>
  <si>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</si>
  <si>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</si>
  <si>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</si>
  <si>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</si>
  <si>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</si>
  <si>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</si>
  <si>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</si>
  <si>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</si>
  <si>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</si>
  <si>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</si>
  <si>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</si>
  <si>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</si>
  <si>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</si>
  <si>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</si>
  <si>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</si>
  <si>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</si>
  <si>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</si>
  <si>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</si>
  <si>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</si>
  <si>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</si>
  <si>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</si>
  <si>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</si>
  <si>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</si>
  <si>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</si>
  <si>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</si>
  <si>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</si>
  <si>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</si>
  <si>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</si>
  <si>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</si>
  <si>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</si>
  <si>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</si>
  <si>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</si>
  <si>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</si>
  <si>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</si>
  <si>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</si>
  <si>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</si>
  <si>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</si>
  <si>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</si>
  <si>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</si>
  <si>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</si>
  <si>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</si>
  <si>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</si>
  <si>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</si>
  <si>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</si>
  <si>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</si>
  <si>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</si>
  <si>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</si>
  <si>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</si>
  <si>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</si>
  <si>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</si>
  <si>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</si>
  <si>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</si>
  <si>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</si>
  <si>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</si>
  <si>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</si>
  <si>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</si>
  <si>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</si>
  <si>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</si>
  <si>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</si>
  <si>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</si>
  <si>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</si>
  <si>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</si>
  <si>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</si>
  <si>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</si>
  <si>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</si>
  <si>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</si>
  <si>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</si>
  <si>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</si>
  <si>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</si>
  <si>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</si>
  <si>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</si>
  <si>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</si>
  <si>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</si>
  <si>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</si>
  <si>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</si>
  <si>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</si>
  <si>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</si>
  <si>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</si>
  <si>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</si>
  <si>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</si>
  <si>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</si>
  <si>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</si>
  <si>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</si>
  <si>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</si>
  <si>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</si>
  <si>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</si>
  <si>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</si>
  <si>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</si>
  <si>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</si>
  <si>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</si>
  <si>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</si>
  <si>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</si>
  <si>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</si>
  <si>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</si>
  <si>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</si>
  <si>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</si>
  <si>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</si>
  <si>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</si>
  <si>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</si>
  <si>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</si>
  <si>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</si>
  <si>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</si>
  <si>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</si>
  <si>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</si>
  <si>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</si>
  <si>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</si>
  <si>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</si>
  <si>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</si>
  <si>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</si>
  <si>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</si>
  <si>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</si>
  <si>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</si>
  <si>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</si>
  <si>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</si>
  <si>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</si>
  <si>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</si>
  <si>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</si>
  <si>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</si>
  <si>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</si>
  <si>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</si>
  <si>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</si>
  <si>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</si>
  <si>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</si>
  <si>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</si>
  <si>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</si>
  <si>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</si>
  <si>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</si>
  <si>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</si>
  <si>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</si>
  <si>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</si>
  <si>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</si>
  <si>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</si>
  <si>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</si>
  <si>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</si>
  <si>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</si>
  <si>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</si>
  <si>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</si>
  <si>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</si>
  <si>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</si>
  <si>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</si>
  <si>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</si>
  <si>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</si>
  <si>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</si>
  <si>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</si>
  <si>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</si>
  <si>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</si>
  <si>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</si>
  <si>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</si>
  <si>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</si>
  <si>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</si>
  <si>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</si>
  <si>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</si>
  <si>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</si>
  <si>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</si>
  <si>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</si>
  <si>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</si>
  <si>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</si>
  <si>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</si>
  <si>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</si>
  <si>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</si>
  <si>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</si>
  <si>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</si>
  <si>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</si>
  <si>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</si>
  <si>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</si>
  <si>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</si>
  <si>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</si>
  <si>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</si>
  <si>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</si>
  <si>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</si>
  <si>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</si>
  <si>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</si>
  <si>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</si>
  <si>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</si>
  <si>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</si>
  <si>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</si>
  <si>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</si>
  <si>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</si>
  <si>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</si>
  <si>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</si>
  <si>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</si>
  <si>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</si>
  <si>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</si>
  <si>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</si>
  <si>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</si>
  <si>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</si>
  <si>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</si>
  <si>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</si>
  <si>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</si>
  <si>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</si>
  <si>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</si>
  <si>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</si>
  <si>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</si>
  <si>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</si>
  <si>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</si>
  <si>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</si>
  <si>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</si>
  <si>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</si>
  <si>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</si>
  <si>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</si>
  <si>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</si>
  <si>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</si>
  <si>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</si>
  <si>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</si>
  <si>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</si>
  <si>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</si>
  <si>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</si>
  <si>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</si>
  <si>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</si>
  <si>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</si>
  <si>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</si>
  <si>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</si>
  <si>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</si>
  <si>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</si>
  <si>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</si>
  <si>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</si>
  <si>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</si>
  <si>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</si>
  <si>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</si>
  <si>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</si>
  <si>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</si>
  <si>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</si>
  <si>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</si>
  <si>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</si>
  <si>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</si>
  <si>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</si>
  <si>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</si>
  <si>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</si>
  <si>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</si>
  <si>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</si>
  <si>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</si>
  <si>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</si>
  <si>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</si>
  <si>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</si>
  <si>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</si>
  <si>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</si>
  <si>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</si>
  <si>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</si>
  <si>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</si>
  <si>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</si>
  <si>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</si>
  <si>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</si>
  <si>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</si>
  <si>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</si>
  <si>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</si>
  <si>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</si>
  <si>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Empty</t>
    <phoneticPr fontId="2" type="noConversion"/>
  </si>
  <si>
    <t>子加旋轉角度</t>
  </si>
  <si>
    <t>Empty</t>
  </si>
  <si>
    <t>EnemyShot5</t>
  </si>
  <si>
    <t>Shot5_red</t>
  </si>
  <si>
    <t>18000</t>
  </si>
  <si>
    <t>18000</t>
    <phoneticPr fontId="2" type="noConversion"/>
  </si>
  <si>
    <t>Shot5_purple</t>
  </si>
  <si>
    <t>Shot5_purple</t>
    <phoneticPr fontId="2" type="noConversion"/>
  </si>
  <si>
    <t>速度</t>
    <phoneticPr fontId="2" type="noConversion"/>
  </si>
  <si>
    <t>-150</t>
    <phoneticPr fontId="2" type="noConversion"/>
  </si>
  <si>
    <t>0.5,0</t>
  </si>
  <si>
    <t>0.5,0</t>
    <phoneticPr fontId="2" type="noConversion"/>
  </si>
  <si>
    <t>-0.5,0</t>
  </si>
  <si>
    <t>-0.5,0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</si>
</sst>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12"/>
  <sheetViews>
    <sheetView tabSelected="1" zoomScale="115" zoomScaleNormal="115" workbookViewId="0">
      <pane ySplit="1" topLeftCell="A73" activePane="bottomLeft" state="frozen"/>
      <selection pane="bottomLeft" activeCell="H77" sqref="H77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22" spans="1:60">
      <c r="A22" s="21">
        <f>G24*H24</f>
        <v>2</v>
      </c>
      <c r="B22" s="9"/>
      <c r="C22" s="9"/>
      <c r="D22" s="9"/>
      <c r="R22" s="12"/>
      <c r="S22" s="9"/>
      <c r="U22" s="12"/>
      <c r="X22" s="15"/>
      <c r="AE22" s="16"/>
      <c r="BH22" s="9"/>
    </row>
    <row r="23" spans="1:60">
      <c r="A23" s="9" t="s">
        <v>228</v>
      </c>
      <c r="B23" s="21">
        <f>QUOTIENT( D23-1,G24)+1</f>
        <v>1</v>
      </c>
      <c r="C23" s="21">
        <f>D23-(B23-1)*G24</f>
        <v>1</v>
      </c>
      <c r="D23" s="21">
        <f>COUNT($D$14:$D22)+1</f>
        <v>1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>ROW(E24)</f>
        <v>24</v>
      </c>
      <c r="F24" s="9" t="s">
        <v>93</v>
      </c>
      <c r="G24" s="21">
        <v>2</v>
      </c>
      <c r="H24" s="21">
        <v>1</v>
      </c>
      <c r="J24" s="21">
        <v>17900</v>
      </c>
      <c r="M24" s="21">
        <f>J24+D23</f>
        <v>17901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ref="E25:E32" si="0">ROW(E25)</f>
        <v>25</v>
      </c>
      <c r="F25" s="9" t="s">
        <v>143</v>
      </c>
      <c r="M25" s="21">
        <v>17810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128</v>
      </c>
      <c r="M26" s="27">
        <v>0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96</v>
      </c>
      <c r="M27" s="21" t="s">
        <v>248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99</v>
      </c>
      <c r="G28" s="26"/>
      <c r="H28" s="28"/>
      <c r="I28" s="27"/>
      <c r="J28" s="27"/>
      <c r="K28" s="9" t="s">
        <v>138</v>
      </c>
      <c r="M28" s="27">
        <v>5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35</v>
      </c>
      <c r="G29" s="26"/>
      <c r="H29" s="28"/>
      <c r="I29" s="27"/>
      <c r="J29" s="27"/>
      <c r="M29" s="21">
        <v>120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>ROW(E30)</f>
        <v>30</v>
      </c>
      <c r="F30" s="9" t="s">
        <v>102</v>
      </c>
      <c r="J30" s="21"/>
      <c r="M30" s="21">
        <f>M24*10+1</f>
        <v>179011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0"/>
        <v>31</v>
      </c>
      <c r="F31" s="9" t="s">
        <v>143</v>
      </c>
      <c r="M31" s="21">
        <f>M24</f>
        <v>17901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si="0"/>
        <v>32</v>
      </c>
      <c r="F32" s="9" t="s">
        <v>128</v>
      </c>
      <c r="M32" s="27">
        <v>0</v>
      </c>
      <c r="R32" s="12"/>
      <c r="S32" s="9"/>
      <c r="U32" s="12"/>
      <c r="X32" s="15"/>
      <c r="AE32" s="16"/>
      <c r="BH32" s="9"/>
    </row>
    <row r="33" spans="1:60">
      <c r="A33" s="9"/>
      <c r="B33" s="9"/>
      <c r="E33" s="21">
        <f>ROW(E33)</f>
        <v>33</v>
      </c>
      <c r="F33" s="9" t="s">
        <v>249</v>
      </c>
      <c r="G33" s="9">
        <v>150</v>
      </c>
      <c r="H33" s="9" t="s">
        <v>258</v>
      </c>
      <c r="I33" s="9"/>
      <c r="L33" s="9" t="s">
        <v>135</v>
      </c>
      <c r="M33" s="27">
        <f>IF(C23=1,G33,H33)</f>
        <v>150</v>
      </c>
      <c r="R33" s="12"/>
      <c r="S33" s="9"/>
      <c r="U33" s="12"/>
      <c r="X33" s="15"/>
      <c r="AE33" s="16"/>
      <c r="BH33" s="9"/>
    </row>
    <row r="34" spans="1:60">
      <c r="A34" s="9" t="s">
        <v>228</v>
      </c>
      <c r="B34" s="9">
        <f t="shared" ref="B34" si="1">QUOTIENT( D34-1,G35)+1</f>
        <v>1</v>
      </c>
      <c r="C34" s="21">
        <f t="shared" ref="C34" si="2">D34-(B34-1)*G35</f>
        <v>2</v>
      </c>
      <c r="D34" s="21">
        <f>COUNT($D$14:$D33)+1</f>
        <v>2</v>
      </c>
      <c r="G34" s="9"/>
      <c r="H34" s="9"/>
      <c r="I34" s="9"/>
      <c r="M34" s="27"/>
      <c r="R34" s="12"/>
      <c r="S34" s="9"/>
      <c r="U34" s="12"/>
      <c r="X34" s="15"/>
      <c r="AE34" s="16"/>
      <c r="BH34" s="9"/>
    </row>
    <row r="35" spans="1:60">
      <c r="E35" s="21">
        <f t="shared" ref="E35:E44" si="3">ROW(E35)</f>
        <v>35</v>
      </c>
      <c r="F35" s="9" t="s">
        <v>93</v>
      </c>
      <c r="G35" s="21">
        <v>2</v>
      </c>
      <c r="H35" s="21">
        <v>1</v>
      </c>
      <c r="J35" s="9">
        <v>17900</v>
      </c>
      <c r="M35" s="21">
        <f t="shared" ref="M35" si="4">J35+D34</f>
        <v>17902</v>
      </c>
    </row>
    <row r="36" spans="1:60">
      <c r="E36" s="21">
        <f t="shared" si="3"/>
        <v>36</v>
      </c>
      <c r="F36" s="9" t="s">
        <v>143</v>
      </c>
      <c r="M36" s="21">
        <v>17810</v>
      </c>
    </row>
    <row r="37" spans="1:60">
      <c r="E37" s="21">
        <f t="shared" si="3"/>
        <v>37</v>
      </c>
      <c r="F37" s="9" t="s">
        <v>128</v>
      </c>
      <c r="M37" s="21">
        <v>0</v>
      </c>
    </row>
    <row r="38" spans="1:60">
      <c r="E38" s="21">
        <f t="shared" si="3"/>
        <v>38</v>
      </c>
      <c r="F38" s="9" t="s">
        <v>29</v>
      </c>
      <c r="M38" s="21" t="s">
        <v>250</v>
      </c>
    </row>
    <row r="39" spans="1:60">
      <c r="E39" s="21">
        <f t="shared" si="3"/>
        <v>39</v>
      </c>
      <c r="F39" s="9" t="s">
        <v>99</v>
      </c>
      <c r="K39" s="9" t="s">
        <v>138</v>
      </c>
      <c r="M39" s="21">
        <v>5</v>
      </c>
    </row>
    <row r="40" spans="1:60">
      <c r="E40" s="21">
        <f t="shared" si="3"/>
        <v>40</v>
      </c>
      <c r="F40" s="9" t="s">
        <v>35</v>
      </c>
      <c r="M40" s="21">
        <v>120</v>
      </c>
    </row>
    <row r="41" spans="1:60">
      <c r="E41" s="21">
        <f t="shared" si="3"/>
        <v>41</v>
      </c>
      <c r="F41" s="9" t="s">
        <v>102</v>
      </c>
      <c r="G41" s="9"/>
      <c r="H41" s="9"/>
      <c r="M41" s="21">
        <f t="shared" ref="M41" si="5">M35*10+1</f>
        <v>179021</v>
      </c>
    </row>
    <row r="42" spans="1:60">
      <c r="E42" s="21">
        <f t="shared" si="3"/>
        <v>42</v>
      </c>
      <c r="F42" s="9" t="s">
        <v>143</v>
      </c>
      <c r="M42" s="21">
        <f t="shared" ref="M42" si="6">M35</f>
        <v>17902</v>
      </c>
    </row>
    <row r="43" spans="1:60">
      <c r="E43" s="21">
        <f t="shared" si="3"/>
        <v>43</v>
      </c>
      <c r="F43" s="9" t="s">
        <v>128</v>
      </c>
      <c r="M43" s="21">
        <v>0</v>
      </c>
    </row>
    <row r="44" spans="1:60">
      <c r="E44" s="21">
        <f t="shared" si="3"/>
        <v>44</v>
      </c>
      <c r="F44" s="9" t="s">
        <v>249</v>
      </c>
      <c r="G44" s="9">
        <v>150</v>
      </c>
      <c r="H44" s="9" t="s">
        <v>258</v>
      </c>
      <c r="L44" s="9" t="s">
        <v>135</v>
      </c>
      <c r="M44" s="21" t="str">
        <f t="shared" ref="M44" si="7">IF(C34=1,G44,H44)</f>
        <v>-150</v>
      </c>
    </row>
    <row r="56" spans="1:60">
      <c r="A56" s="21">
        <f>G58*H58</f>
        <v>2</v>
      </c>
      <c r="B56" s="9"/>
      <c r="C56" s="9"/>
      <c r="D56" s="9"/>
      <c r="R56" s="12"/>
      <c r="S56" s="9"/>
      <c r="U56" s="12"/>
      <c r="X56" s="15"/>
      <c r="AE56" s="16"/>
      <c r="BH56" s="9"/>
    </row>
    <row r="57" spans="1:60">
      <c r="A57" s="21" t="s">
        <v>228</v>
      </c>
      <c r="B57" s="21">
        <f t="shared" ref="B57" si="8">QUOTIENT( D57-1,G58)+1</f>
        <v>1</v>
      </c>
      <c r="C57" s="21">
        <f t="shared" ref="C57" si="9">D57-(B57-1)*G58</f>
        <v>1</v>
      </c>
      <c r="D57" s="21">
        <f>COUNT($D$56:$D56)+1</f>
        <v>1</v>
      </c>
      <c r="R57" s="12"/>
      <c r="S57" s="9"/>
      <c r="U57" s="12"/>
      <c r="X57" s="15"/>
      <c r="AE57" s="16"/>
      <c r="BH57" s="9"/>
    </row>
    <row r="58" spans="1:60">
      <c r="E58" s="21">
        <f t="shared" ref="E58:E83" si="10">ROW(E58)</f>
        <v>58</v>
      </c>
      <c r="F58" s="9" t="s">
        <v>93</v>
      </c>
      <c r="G58" s="21">
        <v>2</v>
      </c>
      <c r="H58" s="21">
        <v>1</v>
      </c>
      <c r="J58" s="9" t="s">
        <v>254</v>
      </c>
      <c r="M58" s="21">
        <f t="shared" ref="M58" si="11">J58+D57</f>
        <v>18001</v>
      </c>
      <c r="R58" s="12"/>
      <c r="S58" s="9"/>
      <c r="U58" s="12"/>
      <c r="X58" s="15"/>
      <c r="AE58" s="16"/>
      <c r="BH58" s="9"/>
    </row>
    <row r="59" spans="1:60">
      <c r="E59" s="21">
        <f t="shared" si="10"/>
        <v>59</v>
      </c>
      <c r="F59" s="9" t="s">
        <v>143</v>
      </c>
      <c r="G59" s="21">
        <v>17901</v>
      </c>
      <c r="H59" s="21">
        <v>17902</v>
      </c>
      <c r="M59" s="21">
        <f>IF(C57=1,G59,H59)</f>
        <v>17901</v>
      </c>
      <c r="R59" s="12"/>
      <c r="S59" s="9"/>
      <c r="U59" s="12"/>
      <c r="X59" s="15"/>
      <c r="AE59" s="16"/>
      <c r="BH59" s="9"/>
    </row>
    <row r="60" spans="1:60">
      <c r="E60" s="21">
        <f t="shared" si="10"/>
        <v>60</v>
      </c>
      <c r="F60" s="9" t="s">
        <v>127</v>
      </c>
      <c r="M60" s="21">
        <v>0</v>
      </c>
      <c r="R60" s="12"/>
      <c r="S60" s="9"/>
      <c r="U60" s="12"/>
      <c r="X60" s="15"/>
      <c r="AE60" s="16"/>
      <c r="BH60" s="9"/>
    </row>
    <row r="61" spans="1:60">
      <c r="E61" s="21">
        <f t="shared" si="10"/>
        <v>61</v>
      </c>
      <c r="F61" s="9" t="s">
        <v>29</v>
      </c>
      <c r="M61" s="21" t="s">
        <v>251</v>
      </c>
      <c r="R61" s="12"/>
      <c r="S61" s="9"/>
      <c r="U61" s="12"/>
      <c r="X61" s="15"/>
      <c r="AE61" s="16"/>
      <c r="BH61" s="9"/>
    </row>
    <row r="62" spans="1:60">
      <c r="E62" s="21">
        <f t="shared" si="10"/>
        <v>62</v>
      </c>
      <c r="F62" s="9" t="s">
        <v>119</v>
      </c>
      <c r="G62" s="21" t="s">
        <v>256</v>
      </c>
      <c r="H62" s="21" t="s">
        <v>252</v>
      </c>
      <c r="M62" s="21" t="str">
        <f t="shared" ref="M62" si="12">IF(MOD(C57,2)=1,G62,H62)</f>
        <v>Shot5_purple</v>
      </c>
      <c r="R62" s="12"/>
      <c r="S62" s="9"/>
      <c r="U62" s="12"/>
      <c r="X62" s="15"/>
      <c r="AE62" s="16"/>
      <c r="BH62" s="9"/>
    </row>
    <row r="63" spans="1:60">
      <c r="E63" s="21">
        <f t="shared" si="10"/>
        <v>63</v>
      </c>
      <c r="F63" s="9" t="s">
        <v>99</v>
      </c>
      <c r="K63" s="9" t="s">
        <v>138</v>
      </c>
      <c r="M63" s="21">
        <v>6</v>
      </c>
      <c r="R63" s="12"/>
      <c r="S63" s="9"/>
      <c r="U63" s="12"/>
      <c r="X63" s="15"/>
      <c r="AE63" s="16"/>
      <c r="BH63" s="9"/>
    </row>
    <row r="64" spans="1:60">
      <c r="E64" s="21">
        <f t="shared" si="10"/>
        <v>64</v>
      </c>
      <c r="F64" s="9" t="s">
        <v>117</v>
      </c>
      <c r="K64" s="9" t="s">
        <v>138</v>
      </c>
      <c r="M64" s="21">
        <v>2</v>
      </c>
      <c r="R64" s="12"/>
      <c r="S64" s="9"/>
      <c r="U64" s="12"/>
      <c r="X64" s="15"/>
      <c r="AE64" s="16"/>
      <c r="BH64" s="9"/>
    </row>
    <row r="65" spans="5:60">
      <c r="E65" s="21">
        <f t="shared" si="10"/>
        <v>65</v>
      </c>
      <c r="F65" s="9" t="s">
        <v>118</v>
      </c>
      <c r="M65" s="21" t="b">
        <v>1</v>
      </c>
      <c r="R65" s="12"/>
      <c r="S65" s="9"/>
      <c r="U65" s="12"/>
      <c r="X65" s="15"/>
      <c r="AE65" s="16"/>
      <c r="BH65" s="9"/>
    </row>
    <row r="66" spans="5:60">
      <c r="E66" s="21">
        <f t="shared" si="10"/>
        <v>66</v>
      </c>
      <c r="F66" s="9" t="s">
        <v>126</v>
      </c>
      <c r="M66" s="21">
        <v>10000</v>
      </c>
      <c r="R66" s="12"/>
      <c r="S66" s="9"/>
      <c r="U66" s="12"/>
      <c r="X66" s="15"/>
      <c r="AE66" s="16"/>
      <c r="BH66" s="9"/>
    </row>
    <row r="67" spans="5:60">
      <c r="E67" s="21">
        <f t="shared" si="10"/>
        <v>67</v>
      </c>
      <c r="F67" s="9" t="s">
        <v>120</v>
      </c>
      <c r="M67" s="21">
        <v>60</v>
      </c>
      <c r="R67" s="12"/>
      <c r="S67" s="9"/>
      <c r="U67" s="12"/>
      <c r="X67" s="15"/>
      <c r="AE67" s="16"/>
      <c r="BH67" s="9"/>
    </row>
    <row r="68" spans="5:60">
      <c r="E68" s="21">
        <f t="shared" si="10"/>
        <v>68</v>
      </c>
      <c r="F68" s="9" t="s">
        <v>121</v>
      </c>
      <c r="K68" s="9" t="s">
        <v>138</v>
      </c>
      <c r="M68" s="21">
        <v>5</v>
      </c>
      <c r="R68" s="12"/>
      <c r="S68" s="9"/>
      <c r="U68" s="12"/>
      <c r="X68" s="15"/>
      <c r="AE68" s="16"/>
      <c r="BH68" s="9"/>
    </row>
    <row r="69" spans="5:60">
      <c r="E69" s="21">
        <f t="shared" si="10"/>
        <v>69</v>
      </c>
      <c r="F69" s="9" t="s">
        <v>176</v>
      </c>
      <c r="G69" s="9" t="s">
        <v>260</v>
      </c>
      <c r="H69" s="9" t="s">
        <v>262</v>
      </c>
      <c r="I69" s="9"/>
      <c r="K69" s="9" t="s">
        <v>137</v>
      </c>
      <c r="M69" s="21" t="str">
        <f>IF(MOD(C57,2)=1,G69,H69)</f>
        <v>0.5,0</v>
      </c>
      <c r="R69" s="12"/>
      <c r="S69" s="9"/>
      <c r="U69" s="12"/>
      <c r="X69" s="15"/>
      <c r="AE69" s="16"/>
      <c r="BH69" s="9"/>
    </row>
    <row r="70" spans="5:60">
      <c r="E70" s="21">
        <f t="shared" si="10"/>
        <v>70</v>
      </c>
      <c r="F70" s="9" t="s">
        <v>195</v>
      </c>
      <c r="M70" s="26">
        <v>0.5</v>
      </c>
      <c r="R70" s="12"/>
      <c r="S70" s="9"/>
      <c r="U70" s="12"/>
      <c r="X70" s="15"/>
      <c r="AE70" s="16"/>
      <c r="BH70" s="9"/>
    </row>
    <row r="71" spans="5:60">
      <c r="E71" s="21">
        <f t="shared" si="10"/>
        <v>71</v>
      </c>
      <c r="F71" s="9" t="s">
        <v>197</v>
      </c>
      <c r="M71" s="21">
        <v>40</v>
      </c>
      <c r="R71" s="12"/>
      <c r="S71" s="9"/>
      <c r="U71" s="12"/>
      <c r="X71" s="15"/>
      <c r="AE71" s="16"/>
      <c r="BH71" s="9"/>
    </row>
    <row r="72" spans="5:60">
      <c r="E72" s="21">
        <f t="shared" si="10"/>
        <v>72</v>
      </c>
      <c r="F72" s="9" t="s">
        <v>35</v>
      </c>
      <c r="M72" s="21">
        <v>60</v>
      </c>
      <c r="R72" s="12"/>
      <c r="S72" s="9"/>
      <c r="U72" s="12"/>
      <c r="X72" s="15"/>
      <c r="AE72" s="16"/>
      <c r="BH72" s="9"/>
    </row>
    <row r="73" spans="5:60">
      <c r="E73" s="21">
        <f t="shared" si="10"/>
        <v>73</v>
      </c>
      <c r="F73" s="9" t="s">
        <v>102</v>
      </c>
      <c r="M73" s="21">
        <f>M58*10+1</f>
        <v>180011</v>
      </c>
      <c r="R73" s="12"/>
      <c r="S73" s="9"/>
      <c r="U73" s="12"/>
      <c r="X73" s="15"/>
      <c r="AE73" s="16"/>
      <c r="BH73" s="9"/>
    </row>
    <row r="74" spans="5:60">
      <c r="E74" s="21">
        <f t="shared" si="10"/>
        <v>74</v>
      </c>
      <c r="F74" s="9" t="s">
        <v>143</v>
      </c>
      <c r="M74" s="21">
        <f>M58</f>
        <v>18001</v>
      </c>
      <c r="R74" s="12"/>
      <c r="S74" s="9"/>
      <c r="U74" s="12"/>
      <c r="X74" s="15"/>
      <c r="AE74" s="16"/>
      <c r="BH74" s="9"/>
    </row>
    <row r="75" spans="5:60">
      <c r="E75" s="21">
        <f t="shared" si="10"/>
        <v>75</v>
      </c>
      <c r="F75" s="9" t="s">
        <v>128</v>
      </c>
      <c r="M75" s="21">
        <v>0</v>
      </c>
      <c r="R75" s="12"/>
      <c r="S75" s="9"/>
      <c r="U75" s="12"/>
      <c r="X75" s="15"/>
      <c r="AE75" s="16"/>
      <c r="BH75" s="9"/>
    </row>
    <row r="76" spans="5:60">
      <c r="E76" s="21">
        <f t="shared" si="10"/>
        <v>76</v>
      </c>
      <c r="F76" s="9" t="s">
        <v>31</v>
      </c>
      <c r="G76" s="21">
        <v>0</v>
      </c>
      <c r="H76" s="21">
        <v>180</v>
      </c>
      <c r="L76" s="9" t="s">
        <v>135</v>
      </c>
      <c r="M76" s="21">
        <f>IF(MOD(C57,2)=1,G76,H76)</f>
        <v>0</v>
      </c>
    </row>
    <row r="77" spans="5:60">
      <c r="E77" s="21">
        <f t="shared" si="10"/>
        <v>77</v>
      </c>
      <c r="F77" s="9" t="s">
        <v>257</v>
      </c>
      <c r="G77" s="27">
        <v>0.19</v>
      </c>
      <c r="H77" s="28">
        <v>6.5000000000000002E-2</v>
      </c>
      <c r="M77" s="26">
        <f>IF(MOD(C57,2)=1,G77,H77)</f>
        <v>0.19</v>
      </c>
    </row>
    <row r="78" spans="5:60">
      <c r="E78" s="21">
        <f>ROW(E78)</f>
        <v>78</v>
      </c>
      <c r="F78" s="9" t="s">
        <v>114</v>
      </c>
      <c r="G78" s="21">
        <v>360</v>
      </c>
      <c r="H78" s="21">
        <v>-540</v>
      </c>
      <c r="L78" s="9" t="s">
        <v>135</v>
      </c>
      <c r="M78" s="21">
        <f>IF(B57=1,G78,H78)</f>
        <v>360</v>
      </c>
      <c r="R78" s="12"/>
      <c r="S78" s="9"/>
      <c r="U78" s="12"/>
      <c r="X78" s="15"/>
      <c r="AE78" s="16"/>
      <c r="BH78" s="9"/>
    </row>
    <row r="79" spans="5:60">
      <c r="E79" s="21">
        <f t="shared" si="10"/>
        <v>79</v>
      </c>
      <c r="F79" s="9" t="s">
        <v>35</v>
      </c>
      <c r="M79" s="21">
        <v>1200</v>
      </c>
      <c r="R79" s="12"/>
      <c r="S79" s="9"/>
      <c r="U79" s="12"/>
      <c r="X79" s="15"/>
      <c r="AE79" s="16"/>
      <c r="BH79" s="9"/>
    </row>
    <row r="80" spans="5:60">
      <c r="E80" s="21">
        <f t="shared" si="10"/>
        <v>80</v>
      </c>
      <c r="F80" s="9" t="s">
        <v>102</v>
      </c>
      <c r="M80" s="21">
        <f>M58*10+2</f>
        <v>180012</v>
      </c>
      <c r="R80" s="12"/>
      <c r="S80" s="9"/>
      <c r="U80" s="12"/>
      <c r="X80" s="15"/>
      <c r="AE80" s="16"/>
      <c r="BH80" s="9"/>
    </row>
    <row r="81" spans="1:60">
      <c r="E81" s="21">
        <f t="shared" si="10"/>
        <v>81</v>
      </c>
      <c r="F81" s="9" t="s">
        <v>143</v>
      </c>
      <c r="M81" s="21">
        <f>M73</f>
        <v>180011</v>
      </c>
      <c r="R81" s="12"/>
      <c r="S81" s="9"/>
      <c r="U81" s="12"/>
      <c r="X81" s="15"/>
      <c r="AE81" s="16"/>
      <c r="BH81" s="9"/>
    </row>
    <row r="82" spans="1:60">
      <c r="E82" s="21">
        <f t="shared" si="10"/>
        <v>82</v>
      </c>
      <c r="F82" s="9" t="s">
        <v>128</v>
      </c>
      <c r="M82" s="21">
        <v>0</v>
      </c>
      <c r="R82" s="12"/>
      <c r="S82" s="9"/>
      <c r="U82" s="12"/>
      <c r="X82" s="15"/>
      <c r="AE82" s="16"/>
      <c r="BH82" s="9"/>
    </row>
    <row r="83" spans="1:60">
      <c r="E83" s="21">
        <f t="shared" si="10"/>
        <v>83</v>
      </c>
      <c r="F83" s="9" t="s">
        <v>257</v>
      </c>
      <c r="M83" s="26">
        <v>0</v>
      </c>
    </row>
    <row r="84" spans="1:60">
      <c r="E84" s="21">
        <f>ROW(E84)</f>
        <v>84</v>
      </c>
      <c r="F84" s="9" t="s">
        <v>114</v>
      </c>
      <c r="G84" s="21">
        <v>360</v>
      </c>
      <c r="H84" s="21">
        <v>-360</v>
      </c>
      <c r="L84" s="9" t="s">
        <v>135</v>
      </c>
      <c r="M84" s="21">
        <f>IF(B63=1,G84,H84)</f>
        <v>-360</v>
      </c>
      <c r="R84" s="12"/>
      <c r="S84" s="9"/>
      <c r="U84" s="12"/>
      <c r="X84" s="15"/>
      <c r="AE84" s="16"/>
      <c r="BH84" s="9"/>
    </row>
    <row r="85" spans="1:60">
      <c r="A85" s="21" t="s">
        <v>228</v>
      </c>
      <c r="B85" s="21">
        <f t="shared" ref="B85" si="13">QUOTIENT( D85-1,G86)+1</f>
        <v>1</v>
      </c>
      <c r="C85" s="21">
        <f t="shared" ref="C85" si="14">D85-(B85-1)*G86</f>
        <v>2</v>
      </c>
      <c r="D85" s="21">
        <f>COUNT($D$56:$D84)+1</f>
        <v>2</v>
      </c>
    </row>
    <row r="86" spans="1:60">
      <c r="E86" s="21">
        <f t="shared" ref="E86:E112" si="15">ROW(E86)</f>
        <v>86</v>
      </c>
      <c r="F86" s="9" t="s">
        <v>93</v>
      </c>
      <c r="G86" s="21">
        <v>2</v>
      </c>
      <c r="H86" s="21">
        <v>1</v>
      </c>
      <c r="J86" s="9" t="s">
        <v>253</v>
      </c>
      <c r="M86" s="21">
        <f t="shared" ref="M86" si="16">J86+D85</f>
        <v>18002</v>
      </c>
    </row>
    <row r="87" spans="1:60">
      <c r="E87" s="21">
        <f t="shared" si="15"/>
        <v>87</v>
      </c>
      <c r="F87" s="9" t="s">
        <v>143</v>
      </c>
      <c r="G87" s="21">
        <v>17901</v>
      </c>
      <c r="H87" s="21">
        <v>17902</v>
      </c>
      <c r="M87" s="21">
        <f t="shared" ref="M87" si="17">IF(C85=1,G87,H87)</f>
        <v>17902</v>
      </c>
    </row>
    <row r="88" spans="1:60">
      <c r="E88" s="21">
        <f t="shared" si="15"/>
        <v>88</v>
      </c>
      <c r="F88" s="9" t="s">
        <v>127</v>
      </c>
      <c r="M88" s="21">
        <v>0</v>
      </c>
    </row>
    <row r="89" spans="1:60">
      <c r="E89" s="21">
        <f t="shared" si="15"/>
        <v>89</v>
      </c>
      <c r="F89" s="9" t="s">
        <v>29</v>
      </c>
      <c r="M89" s="21" t="s">
        <v>251</v>
      </c>
    </row>
    <row r="90" spans="1:60">
      <c r="E90" s="21">
        <f t="shared" si="15"/>
        <v>90</v>
      </c>
      <c r="F90" s="9" t="s">
        <v>119</v>
      </c>
      <c r="G90" s="21" t="s">
        <v>255</v>
      </c>
      <c r="H90" s="21" t="s">
        <v>252</v>
      </c>
      <c r="M90" s="21" t="str">
        <f t="shared" ref="M90" si="18">IF(MOD(C85,2)=1,G90,H90)</f>
        <v>Shot5_red</v>
      </c>
    </row>
    <row r="91" spans="1:60">
      <c r="E91" s="21">
        <f t="shared" si="15"/>
        <v>91</v>
      </c>
      <c r="F91" s="9" t="s">
        <v>99</v>
      </c>
      <c r="K91" s="9" t="s">
        <v>138</v>
      </c>
      <c r="M91" s="21">
        <v>6</v>
      </c>
    </row>
    <row r="92" spans="1:60">
      <c r="E92" s="21">
        <f t="shared" si="15"/>
        <v>92</v>
      </c>
      <c r="F92" s="9" t="s">
        <v>117</v>
      </c>
      <c r="K92" s="9" t="s">
        <v>138</v>
      </c>
      <c r="M92" s="21">
        <v>2</v>
      </c>
    </row>
    <row r="93" spans="1:60">
      <c r="E93" s="21">
        <f t="shared" si="15"/>
        <v>93</v>
      </c>
      <c r="F93" s="9" t="s">
        <v>118</v>
      </c>
      <c r="M93" s="21" t="b">
        <v>1</v>
      </c>
    </row>
    <row r="94" spans="1:60">
      <c r="E94" s="21">
        <f t="shared" si="15"/>
        <v>94</v>
      </c>
      <c r="F94" s="9" t="s">
        <v>126</v>
      </c>
      <c r="M94" s="21">
        <v>10000</v>
      </c>
    </row>
    <row r="95" spans="1:60">
      <c r="E95" s="21">
        <f t="shared" si="15"/>
        <v>95</v>
      </c>
      <c r="F95" s="9" t="s">
        <v>120</v>
      </c>
      <c r="M95" s="21">
        <v>60</v>
      </c>
    </row>
    <row r="96" spans="1:60">
      <c r="E96" s="21">
        <f t="shared" si="15"/>
        <v>96</v>
      </c>
      <c r="F96" s="9" t="s">
        <v>121</v>
      </c>
      <c r="K96" s="9" t="s">
        <v>138</v>
      </c>
      <c r="M96" s="21">
        <v>5</v>
      </c>
    </row>
    <row r="97" spans="5:13">
      <c r="E97" s="21">
        <f t="shared" si="15"/>
        <v>97</v>
      </c>
      <c r="F97" s="9" t="s">
        <v>176</v>
      </c>
      <c r="G97" s="21" t="s">
        <v>259</v>
      </c>
      <c r="H97" s="21" t="s">
        <v>261</v>
      </c>
      <c r="K97" s="9" t="s">
        <v>137</v>
      </c>
      <c r="M97" s="21" t="str">
        <f t="shared" ref="M97" si="19">IF(MOD(C85,2)=1,G97,H97)</f>
        <v>-0.5,0</v>
      </c>
    </row>
    <row r="98" spans="5:13">
      <c r="E98" s="21">
        <f t="shared" si="15"/>
        <v>98</v>
      </c>
      <c r="F98" s="9" t="s">
        <v>195</v>
      </c>
      <c r="M98" s="21">
        <v>0.5</v>
      </c>
    </row>
    <row r="99" spans="5:13">
      <c r="E99" s="21">
        <f t="shared" si="15"/>
        <v>99</v>
      </c>
      <c r="F99" s="9" t="s">
        <v>197</v>
      </c>
      <c r="M99" s="21">
        <v>40</v>
      </c>
    </row>
    <row r="100" spans="5:13">
      <c r="E100" s="21">
        <f t="shared" si="15"/>
        <v>100</v>
      </c>
      <c r="F100" s="9" t="s">
        <v>35</v>
      </c>
      <c r="M100" s="21">
        <v>60</v>
      </c>
    </row>
    <row r="101" spans="5:13">
      <c r="E101" s="21">
        <f t="shared" si="15"/>
        <v>101</v>
      </c>
      <c r="F101" s="9" t="s">
        <v>102</v>
      </c>
      <c r="M101" s="21">
        <f t="shared" ref="M101" si="20">M86*10+1</f>
        <v>180021</v>
      </c>
    </row>
    <row r="102" spans="5:13">
      <c r="E102" s="21">
        <f t="shared" si="15"/>
        <v>102</v>
      </c>
      <c r="F102" s="9" t="s">
        <v>143</v>
      </c>
      <c r="M102" s="21">
        <f t="shared" ref="M102" si="21">M86</f>
        <v>18002</v>
      </c>
    </row>
    <row r="103" spans="5:13">
      <c r="E103" s="21">
        <f t="shared" si="15"/>
        <v>103</v>
      </c>
      <c r="F103" s="9" t="s">
        <v>128</v>
      </c>
      <c r="M103" s="21">
        <v>0</v>
      </c>
    </row>
    <row r="104" spans="5:13">
      <c r="E104" s="21">
        <f t="shared" si="15"/>
        <v>104</v>
      </c>
      <c r="F104" s="9" t="s">
        <v>31</v>
      </c>
      <c r="G104" s="21">
        <v>0</v>
      </c>
      <c r="H104" s="21">
        <v>180</v>
      </c>
      <c r="L104" s="9" t="s">
        <v>135</v>
      </c>
      <c r="M104" s="21">
        <f t="shared" ref="M104" si="22">IF(MOD(C85,2)=1,G104,H104)</f>
        <v>180</v>
      </c>
    </row>
    <row r="105" spans="5:13">
      <c r="E105" s="21">
        <f t="shared" si="15"/>
        <v>105</v>
      </c>
      <c r="F105" s="9" t="s">
        <v>30</v>
      </c>
      <c r="G105" s="27">
        <v>0.19</v>
      </c>
      <c r="H105" s="28">
        <v>6.5000000000000002E-2</v>
      </c>
      <c r="M105" s="21">
        <f t="shared" ref="M105" si="23">IF(MOD(C85,2)=1,G105,H105)</f>
        <v>6.5000000000000002E-2</v>
      </c>
    </row>
    <row r="106" spans="5:13">
      <c r="E106" s="21">
        <f t="shared" si="15"/>
        <v>106</v>
      </c>
      <c r="F106" s="9" t="s">
        <v>114</v>
      </c>
      <c r="G106" s="21">
        <v>360</v>
      </c>
      <c r="H106" s="21">
        <v>-540</v>
      </c>
      <c r="L106" s="9" t="s">
        <v>135</v>
      </c>
      <c r="M106" s="21">
        <f t="shared" ref="M106" si="24">IF(B85=1,G106,H106)</f>
        <v>360</v>
      </c>
    </row>
    <row r="107" spans="5:13">
      <c r="E107" s="21">
        <f t="shared" si="15"/>
        <v>107</v>
      </c>
      <c r="F107" s="9" t="s">
        <v>35</v>
      </c>
      <c r="M107" s="21">
        <v>1200</v>
      </c>
    </row>
    <row r="108" spans="5:13">
      <c r="E108" s="21">
        <f t="shared" si="15"/>
        <v>108</v>
      </c>
      <c r="F108" s="9" t="s">
        <v>102</v>
      </c>
      <c r="M108" s="21">
        <f t="shared" ref="M108" si="25">M86*10+2</f>
        <v>180022</v>
      </c>
    </row>
    <row r="109" spans="5:13">
      <c r="E109" s="21">
        <f t="shared" si="15"/>
        <v>109</v>
      </c>
      <c r="F109" s="9" t="s">
        <v>143</v>
      </c>
      <c r="M109" s="21">
        <f t="shared" ref="M109" si="26">M101</f>
        <v>180021</v>
      </c>
    </row>
    <row r="110" spans="5:13">
      <c r="E110" s="21">
        <f t="shared" si="15"/>
        <v>110</v>
      </c>
      <c r="F110" s="9" t="s">
        <v>128</v>
      </c>
      <c r="M110" s="21">
        <v>0</v>
      </c>
    </row>
    <row r="111" spans="5:13">
      <c r="E111" s="21">
        <f t="shared" si="15"/>
        <v>111</v>
      </c>
      <c r="F111" s="9" t="s">
        <v>30</v>
      </c>
      <c r="M111" s="21">
        <v>0</v>
      </c>
    </row>
    <row r="112" spans="5:13">
      <c r="E112" s="21">
        <f t="shared" si="15"/>
        <v>112</v>
      </c>
      <c r="F112" s="9" t="s">
        <v>114</v>
      </c>
      <c r="G112" s="21">
        <v>360</v>
      </c>
      <c r="H112" s="21">
        <v>-360</v>
      </c>
      <c r="L112" s="9" t="s">
        <v>135</v>
      </c>
      <c r="M112" s="21">
        <f t="shared" ref="M112" si="27">IF(B91=1,G112,H112)</f>
        <v>-360</v>
      </c>
    </row>
  </sheetData>
  <phoneticPr fontId="2" type="noConversion"/>
  <conditionalFormatting sqref="BE1:XFD1 E1:I1">
    <cfRule type="duplicateValues" dxfId="57" priority="1879"/>
  </conditionalFormatting>
  <conditionalFormatting sqref="F1:F10 F13">
    <cfRule type="cellIs" dxfId="56" priority="1380" operator="equal">
      <formula>"ID"</formula>
    </cfRule>
    <cfRule type="cellIs" dxfId="55" priority="1795" operator="equal">
      <formula>"行動序號"</formula>
    </cfRule>
  </conditionalFormatting>
  <conditionalFormatting sqref="J1">
    <cfRule type="duplicateValues" dxfId="54" priority="1378"/>
  </conditionalFormatting>
  <conditionalFormatting sqref="K1:L1">
    <cfRule type="duplicateValues" dxfId="53" priority="1375"/>
  </conditionalFormatting>
  <conditionalFormatting sqref="M1:M18 M22:M1048576">
    <cfRule type="expression" dxfId="52" priority="990">
      <formula>_xlfn.ISFORMULA(M1)</formula>
    </cfRule>
  </conditionalFormatting>
  <conditionalFormatting sqref="N1:BD1">
    <cfRule type="duplicateValues" dxfId="51" priority="1895"/>
  </conditionalFormatting>
  <conditionalFormatting sqref="F14 F11:F12">
    <cfRule type="cellIs" dxfId="50" priority="100" operator="equal">
      <formula>"ID"</formula>
    </cfRule>
    <cfRule type="cellIs" dxfId="49" priority="101" operator="equal">
      <formula>"行動序號"</formula>
    </cfRule>
  </conditionalFormatting>
  <conditionalFormatting sqref="J24">
    <cfRule type="expression" dxfId="48" priority="98">
      <formula>_xlfn.ISFORMULA(J24)</formula>
    </cfRule>
  </conditionalFormatting>
  <conditionalFormatting sqref="F1:F18 F22:F1048576">
    <cfRule type="cellIs" dxfId="47" priority="93" operator="equal">
      <formula>"ID"</formula>
    </cfRule>
    <cfRule type="cellIs" dxfId="46" priority="94" operator="equal">
      <formula>"行動ID"</formula>
    </cfRule>
  </conditionalFormatting>
  <conditionalFormatting sqref="J24">
    <cfRule type="expression" dxfId="45" priority="103">
      <formula>OR($F22="行動序號",$F22="ID")</formula>
    </cfRule>
  </conditionalFormatting>
  <conditionalFormatting sqref="J24">
    <cfRule type="expression" dxfId="44" priority="104">
      <formula>$F22="行動ID"</formula>
    </cfRule>
  </conditionalFormatting>
  <conditionalFormatting sqref="M1:M18 M22:M1048576">
    <cfRule type="expression" dxfId="43" priority="54">
      <formula>AND(_xlfn.ISFORMULA(M1),OR($F1="行動ID", $F1="ID"))</formula>
    </cfRule>
    <cfRule type="expression" dxfId="42" priority="56">
      <formula>OR($F1="行動ID", $F1="ID")</formula>
    </cfRule>
  </conditionalFormatting>
  <conditionalFormatting sqref="J30">
    <cfRule type="expression" dxfId="41" priority="1">
      <formula>_xlfn.ISFORMULA(J30)</formula>
    </cfRule>
  </conditionalFormatting>
  <conditionalFormatting sqref="J30">
    <cfRule type="expression" dxfId="40" priority="2">
      <formula>OR($F28="行動序號",$F28="ID")</formula>
    </cfRule>
  </conditionalFormatting>
  <conditionalFormatting sqref="J30">
    <cfRule type="expression" dxfId="39" priority="3">
      <formula>$F28="行動ID"</formula>
    </cfRule>
  </conditionalFormatting>
  <dataValidations count="1">
    <dataValidation type="list" allowBlank="1" showInputMessage="1" showErrorMessage="1" sqref="K8 L5:L6 F10 K4 L14:L15 K15 L21 L56 L83 K10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stage7_notcard10shot1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2025-04-23T08:25:22Z</dcterms:modified>
</cp:coreProperties>
</file>