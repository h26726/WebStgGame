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D0480C94-B5F1-40B5-9FF8-30AFBC61EA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7shot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1" i="1" l="1"/>
  <c r="E40" i="1"/>
  <c r="E39" i="1"/>
  <c r="E38" i="1"/>
  <c r="E37" i="1"/>
  <c r="E36" i="1"/>
  <c r="E35" i="1"/>
  <c r="E34" i="1"/>
  <c r="E33" i="1"/>
  <c r="M32" i="1"/>
  <c r="E32" i="1"/>
  <c r="D31" i="1"/>
  <c r="E26" i="1"/>
  <c r="E29" i="1"/>
  <c r="B31" i="1" l="1"/>
  <c r="C31" i="1" s="1"/>
  <c r="M40" i="1" s="1"/>
  <c r="E28" i="1" l="1"/>
  <c r="E27" i="1"/>
  <c r="E30" i="1" l="1"/>
  <c r="E25" i="1" l="1"/>
  <c r="E24" i="1"/>
  <c r="E23" i="1"/>
  <c r="E22" i="1"/>
  <c r="E21" i="1"/>
  <c r="D20" i="1"/>
  <c r="M21" i="1" s="1"/>
  <c r="A19" i="1"/>
  <c r="B20" i="1" l="1"/>
  <c r="C20" i="1" l="1"/>
  <c r="M29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</calcChain>
</file>

<file path=xl/sharedStrings.xml><?xml version="1.0" encoding="utf-8"?>
<sst xmlns="http://schemas.openxmlformats.org/spreadsheetml/2006/main" count="468" uniqueCount="252">
  <si>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</si>
  <si>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</si>
  <si>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</si>
  <si>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</si>
  <si>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</si>
  <si>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</si>
  <si>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</si>
  <si>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</si>
  <si>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</si>
  <si>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</si>
  <si>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</si>
  <si>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</si>
  <si>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</si>
  <si>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</si>
  <si>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</si>
  <si>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</si>
  <si>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</si>
  <si>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</si>
  <si>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</si>
  <si>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</si>
  <si>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</si>
  <si>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</si>
  <si>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</si>
  <si>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</si>
  <si>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</si>
  <si>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</si>
  <si>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</si>
  <si>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</si>
  <si>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</si>
  <si>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</si>
  <si>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</si>
  <si>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</si>
  <si>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</si>
  <si>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</si>
  <si>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</si>
  <si>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</si>
  <si>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</si>
  <si>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</si>
  <si>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</si>
  <si>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</si>
  <si>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</si>
  <si>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</si>
  <si>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</si>
  <si>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</si>
  <si>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</si>
  <si>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</si>
  <si>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</si>
  <si>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</si>
  <si>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</si>
  <si>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</si>
  <si>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</si>
  <si>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</si>
  <si>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</si>
  <si>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</si>
  <si>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</si>
  <si>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</si>
  <si>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</si>
  <si>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</si>
  <si>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</si>
  <si>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</si>
  <si>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</si>
  <si>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</si>
  <si>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</si>
  <si>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</si>
  <si>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</si>
  <si>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</si>
  <si>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</si>
  <si>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</si>
  <si>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</si>
  <si>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</si>
  <si>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</si>
  <si>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</si>
  <si>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</si>
  <si>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</si>
  <si>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</si>
  <si>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</si>
  <si>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</si>
  <si>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</si>
  <si>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</si>
  <si>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</si>
  <si>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</si>
  <si>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</si>
  <si>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</si>
  <si>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</si>
  <si>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</si>
  <si>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</si>
  <si>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</si>
  <si>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</si>
  <si>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</si>
  <si>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</si>
  <si>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</si>
  <si>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</si>
  <si>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</si>
  <si>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</si>
  <si>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</si>
  <si>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</si>
  <si>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</si>
  <si>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</si>
  <si>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</si>
  <si>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</si>
  <si>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</si>
  <si>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</si>
  <si>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</si>
  <si>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</si>
  <si>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</si>
  <si>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</si>
  <si>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</si>
  <si>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</si>
  <si>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</si>
  <si>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</si>
  <si>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</si>
  <si>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</si>
  <si>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</si>
  <si>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</si>
  <si>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</si>
  <si>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</si>
  <si>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</si>
  <si>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</si>
  <si>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</si>
  <si>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</si>
  <si>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</si>
  <si>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</si>
  <si>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</si>
  <si>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</si>
  <si>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</si>
  <si>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</si>
  <si>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</si>
  <si>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</si>
  <si>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</si>
  <si>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</si>
  <si>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</si>
  <si>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</si>
  <si>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</si>
  <si>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</si>
  <si>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</si>
  <si>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</si>
  <si>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</si>
  <si>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</si>
  <si>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</si>
  <si>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</si>
  <si>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</si>
  <si>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</si>
  <si>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</si>
  <si>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</si>
  <si>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</si>
  <si>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</si>
  <si>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</si>
  <si>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</si>
  <si>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</si>
  <si>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</si>
  <si>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</si>
  <si>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</si>
  <si>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</si>
  <si>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</si>
  <si>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</si>
  <si>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</si>
  <si>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</si>
  <si>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</si>
  <si>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</si>
  <si>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</si>
  <si>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</si>
  <si>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</si>
  <si>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</si>
  <si>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</si>
  <si>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</si>
  <si>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</si>
  <si>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</si>
  <si>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</si>
  <si>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</si>
  <si>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</si>
  <si>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</si>
  <si>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</si>
  <si>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</si>
  <si>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</si>
  <si>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</si>
  <si>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</si>
  <si>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</si>
  <si>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</si>
  <si>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</si>
  <si>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</si>
  <si>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</si>
  <si>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</si>
  <si>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</si>
  <si>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</si>
  <si>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</si>
  <si>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</si>
  <si>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</si>
  <si>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</si>
  <si>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</si>
  <si>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</si>
  <si>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</si>
  <si>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</si>
  <si>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</si>
  <si>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</si>
  <si>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</si>
  <si>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</si>
  <si>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</si>
  <si>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</si>
  <si>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</si>
  <si>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</si>
  <si>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</si>
  <si>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</si>
  <si>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</si>
  <si>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</si>
  <si>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</si>
  <si>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</si>
  <si>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</si>
  <si>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</si>
  <si>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</si>
  <si>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</si>
  <si>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</si>
  <si>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</si>
  <si>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</si>
  <si>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</si>
  <si>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</si>
  <si>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</si>
  <si>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</si>
  <si>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</si>
  <si>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</si>
  <si>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</si>
  <si>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</si>
  <si>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</si>
  <si>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</si>
  <si>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</si>
  <si>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</si>
  <si>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</si>
  <si>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</si>
  <si>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</si>
  <si>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</si>
  <si>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</si>
  <si>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</si>
  <si>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</si>
  <si>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</si>
  <si>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</si>
  <si>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</si>
  <si>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</si>
  <si>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</si>
  <si>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</si>
  <si>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</si>
  <si>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</si>
  <si>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</si>
  <si>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</si>
  <si>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</si>
  <si>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</si>
  <si>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</si>
  <si>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</si>
  <si>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</si>
  <si>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</si>
  <si>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EnemyLight2</t>
  </si>
  <si>
    <t>EnemyLight2</t>
    <phoneticPr fontId="2" type="noConversion"/>
  </si>
  <si>
    <t>0,0.4</t>
  </si>
  <si>
    <t>0,0.4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</si>
</sst>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41"/>
  <sheetViews>
    <sheetView tabSelected="1" zoomScale="115" zoomScaleNormal="115" workbookViewId="0">
      <pane ySplit="1" topLeftCell="A30" activePane="bottomLeft" state="frozen"/>
      <selection pane="bottomLeft" activeCell="N38" sqref="N38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4" spans="1:60">
      <c r="A14" s="9"/>
    </row>
    <row r="15" spans="1:60">
      <c r="A15" s="9"/>
      <c r="B15" s="9"/>
    </row>
    <row r="16" spans="1:60">
      <c r="A16" s="9"/>
      <c r="B16" s="9"/>
    </row>
    <row r="17" spans="1:60">
      <c r="A17" s="9"/>
      <c r="B17" s="9"/>
    </row>
    <row r="18" spans="1:60">
      <c r="A18" s="9"/>
      <c r="B18" s="9"/>
      <c r="R18" s="12"/>
      <c r="S18" s="9"/>
      <c r="U18" s="12"/>
      <c r="X18" s="15"/>
      <c r="AE18" s="16"/>
      <c r="BH18" s="9"/>
    </row>
    <row r="19" spans="1:60">
      <c r="A19" s="21">
        <f>G21*H21</f>
        <v>2</v>
      </c>
      <c r="B19" s="9"/>
      <c r="C19" s="9"/>
      <c r="D19" s="9"/>
      <c r="R19" s="12"/>
      <c r="S19" s="9"/>
      <c r="U19" s="12"/>
      <c r="X19" s="15"/>
      <c r="AE19" s="16"/>
      <c r="BH19" s="9"/>
    </row>
    <row r="20" spans="1:60">
      <c r="A20" s="9" t="s">
        <v>228</v>
      </c>
      <c r="B20" s="21">
        <f>QUOTIENT( D20-1,G21)+1</f>
        <v>1</v>
      </c>
      <c r="C20" s="21">
        <f>D20-(B20-1)*G21</f>
        <v>1</v>
      </c>
      <c r="D20" s="21">
        <f>COUNT($D$14:$D19)+1</f>
        <v>1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93</v>
      </c>
      <c r="G21" s="21">
        <v>2</v>
      </c>
      <c r="H21" s="21">
        <v>1</v>
      </c>
      <c r="J21" s="21">
        <v>16700</v>
      </c>
      <c r="M21" s="21">
        <f>J21+D20</f>
        <v>16701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ref="E22:E30" si="0">ROW(E22)</f>
        <v>22</v>
      </c>
      <c r="F22" s="9" t="s">
        <v>143</v>
      </c>
      <c r="M22" s="21">
        <v>164109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128</v>
      </c>
      <c r="M23" s="27">
        <v>60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96</v>
      </c>
      <c r="M24" s="21" t="s">
        <v>249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99</v>
      </c>
      <c r="G25" s="26"/>
      <c r="H25" s="28"/>
      <c r="I25" s="27"/>
      <c r="J25" s="27"/>
      <c r="K25" s="9" t="s">
        <v>138</v>
      </c>
      <c r="M25" s="27">
        <v>2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176</v>
      </c>
      <c r="G26" s="26"/>
      <c r="H26" s="28"/>
      <c r="I26" s="27"/>
      <c r="J26" s="27"/>
      <c r="K26" s="9" t="s">
        <v>137</v>
      </c>
      <c r="M26" s="27" t="s">
        <v>251</v>
      </c>
      <c r="R26" s="12"/>
      <c r="S26" s="9"/>
      <c r="U26" s="12"/>
      <c r="X26" s="15"/>
      <c r="AE26" s="16"/>
      <c r="BH26" s="9"/>
    </row>
    <row r="27" spans="1:60" s="21" customFormat="1">
      <c r="A27" s="9"/>
      <c r="B27" s="9"/>
      <c r="E27" s="21">
        <f t="shared" si="0"/>
        <v>27</v>
      </c>
      <c r="F27" s="9" t="s">
        <v>118</v>
      </c>
      <c r="J27" s="9"/>
      <c r="K27" s="9"/>
      <c r="L27" s="9"/>
      <c r="M27" s="21" t="b">
        <v>1</v>
      </c>
      <c r="N27" s="9"/>
      <c r="O27" s="9"/>
      <c r="P27" s="9"/>
      <c r="Q27" s="9"/>
      <c r="R27" s="12"/>
      <c r="S27" s="9"/>
      <c r="T27" s="9"/>
      <c r="U27" s="12"/>
      <c r="V27" s="12"/>
      <c r="W27" s="12"/>
      <c r="X27" s="15"/>
      <c r="Y27" s="15"/>
      <c r="Z27" s="15"/>
      <c r="AA27" s="15"/>
      <c r="AB27" s="15"/>
      <c r="AC27" s="15"/>
      <c r="AD27" s="15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</row>
    <row r="28" spans="1:60" s="21" customFormat="1">
      <c r="A28" s="9"/>
      <c r="B28" s="9"/>
      <c r="E28" s="21">
        <f t="shared" si="0"/>
        <v>28</v>
      </c>
      <c r="F28" s="9" t="s">
        <v>197</v>
      </c>
      <c r="J28" s="9"/>
      <c r="K28" s="9"/>
      <c r="L28" s="9"/>
      <c r="M28" s="21">
        <v>0</v>
      </c>
      <c r="N28" s="9"/>
      <c r="O28" s="9"/>
      <c r="P28" s="9"/>
      <c r="Q28" s="9"/>
      <c r="R28" s="12"/>
      <c r="S28" s="9"/>
      <c r="T28" s="9"/>
      <c r="U28" s="12"/>
      <c r="V28" s="12"/>
      <c r="W28" s="12"/>
      <c r="X28" s="15"/>
      <c r="Y28" s="15"/>
      <c r="Z28" s="15"/>
      <c r="AA28" s="15"/>
      <c r="AB28" s="15"/>
      <c r="AC28" s="15"/>
      <c r="AD28" s="15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</row>
    <row r="29" spans="1:60" s="21" customFormat="1">
      <c r="A29" s="9"/>
      <c r="B29" s="9"/>
      <c r="E29" s="21">
        <f t="shared" si="0"/>
        <v>29</v>
      </c>
      <c r="F29" s="9" t="s">
        <v>114</v>
      </c>
      <c r="G29" s="21">
        <v>50</v>
      </c>
      <c r="H29" s="21">
        <v>-50</v>
      </c>
      <c r="J29" s="9"/>
      <c r="K29" s="9"/>
      <c r="L29" s="9" t="s">
        <v>135</v>
      </c>
      <c r="M29" s="21">
        <f>IF(MOD(C20,2)=0,G29,H29)</f>
        <v>-50</v>
      </c>
      <c r="N29" s="9"/>
      <c r="O29" s="9"/>
      <c r="P29" s="9"/>
      <c r="Q29" s="9"/>
      <c r="R29" s="12"/>
      <c r="S29" s="9"/>
      <c r="T29" s="9"/>
      <c r="U29" s="12"/>
      <c r="V29" s="12"/>
      <c r="W29" s="12"/>
      <c r="X29" s="15"/>
      <c r="Y29" s="15"/>
      <c r="Z29" s="15"/>
      <c r="AA29" s="15"/>
      <c r="AB29" s="15"/>
      <c r="AC29" s="15"/>
      <c r="AD29" s="15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</row>
    <row r="30" spans="1:60" s="21" customFormat="1">
      <c r="A30" s="9"/>
      <c r="B30" s="9"/>
      <c r="E30" s="21">
        <f t="shared" si="0"/>
        <v>30</v>
      </c>
      <c r="F30" s="9" t="s">
        <v>108</v>
      </c>
      <c r="J30" s="9"/>
      <c r="K30" s="9"/>
      <c r="L30" s="9"/>
      <c r="M30" s="21">
        <v>90</v>
      </c>
      <c r="N30" s="9"/>
      <c r="O30" s="9"/>
      <c r="P30" s="9"/>
      <c r="Q30" s="9"/>
      <c r="R30" s="12"/>
      <c r="S30" s="9"/>
      <c r="T30" s="9"/>
      <c r="U30" s="12"/>
      <c r="V30" s="12"/>
      <c r="W30" s="12"/>
      <c r="X30" s="15"/>
      <c r="Y30" s="15"/>
      <c r="Z30" s="15"/>
      <c r="AA30" s="15"/>
      <c r="AB30" s="15"/>
      <c r="AC30" s="15"/>
      <c r="AD30" s="15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</row>
    <row r="31" spans="1:60">
      <c r="A31" s="21" t="s">
        <v>228</v>
      </c>
      <c r="B31" s="21">
        <f t="shared" ref="B31" si="1">QUOTIENT( D31-1,G32)+1</f>
        <v>1</v>
      </c>
      <c r="C31" s="21">
        <f t="shared" ref="C31" si="2">D31-(B31-1)*G32</f>
        <v>2</v>
      </c>
      <c r="D31" s="21">
        <f>COUNT($D$14:$D30)+1</f>
        <v>2</v>
      </c>
    </row>
    <row r="32" spans="1:60">
      <c r="E32" s="21">
        <f t="shared" ref="E32:E41" si="3">ROW(E32)</f>
        <v>32</v>
      </c>
      <c r="F32" s="9" t="s">
        <v>93</v>
      </c>
      <c r="G32" s="21">
        <v>2</v>
      </c>
      <c r="H32" s="21">
        <v>1</v>
      </c>
      <c r="J32" s="9">
        <v>16700</v>
      </c>
      <c r="M32" s="21">
        <f t="shared" ref="M32" si="4">J32+D31</f>
        <v>16702</v>
      </c>
    </row>
    <row r="33" spans="5:13">
      <c r="E33" s="21">
        <f t="shared" si="3"/>
        <v>33</v>
      </c>
      <c r="F33" s="9" t="s">
        <v>143</v>
      </c>
      <c r="M33" s="21">
        <v>164109</v>
      </c>
    </row>
    <row r="34" spans="5:13">
      <c r="E34" s="21">
        <f t="shared" si="3"/>
        <v>34</v>
      </c>
      <c r="F34" s="9" t="s">
        <v>128</v>
      </c>
      <c r="M34" s="21">
        <v>60</v>
      </c>
    </row>
    <row r="35" spans="5:13">
      <c r="E35" s="21">
        <f t="shared" si="3"/>
        <v>35</v>
      </c>
      <c r="F35" s="9" t="s">
        <v>29</v>
      </c>
      <c r="M35" s="21" t="s">
        <v>248</v>
      </c>
    </row>
    <row r="36" spans="5:13">
      <c r="E36" s="21">
        <f t="shared" si="3"/>
        <v>36</v>
      </c>
      <c r="F36" s="9" t="s">
        <v>99</v>
      </c>
      <c r="K36" s="9" t="s">
        <v>138</v>
      </c>
      <c r="M36" s="21">
        <v>2</v>
      </c>
    </row>
    <row r="37" spans="5:13">
      <c r="E37" s="21">
        <f t="shared" si="3"/>
        <v>37</v>
      </c>
      <c r="F37" s="9" t="s">
        <v>176</v>
      </c>
      <c r="K37" s="9" t="s">
        <v>137</v>
      </c>
      <c r="M37" s="21" t="s">
        <v>250</v>
      </c>
    </row>
    <row r="38" spans="5:13">
      <c r="E38" s="21">
        <f t="shared" si="3"/>
        <v>38</v>
      </c>
      <c r="F38" s="9" t="s">
        <v>118</v>
      </c>
      <c r="M38" s="21" t="b">
        <v>1</v>
      </c>
    </row>
    <row r="39" spans="5:13">
      <c r="E39" s="21">
        <f t="shared" si="3"/>
        <v>39</v>
      </c>
      <c r="F39" s="9" t="s">
        <v>197</v>
      </c>
      <c r="M39" s="21">
        <v>0</v>
      </c>
    </row>
    <row r="40" spans="5:13">
      <c r="E40" s="21">
        <f t="shared" si="3"/>
        <v>40</v>
      </c>
      <c r="F40" s="9" t="s">
        <v>114</v>
      </c>
      <c r="G40" s="21">
        <v>50</v>
      </c>
      <c r="H40" s="21">
        <v>-50</v>
      </c>
      <c r="L40" s="9" t="s">
        <v>135</v>
      </c>
      <c r="M40" s="21">
        <f t="shared" ref="M40" si="5">IF(MOD(C31,2)=0,G40,H40)</f>
        <v>50</v>
      </c>
    </row>
    <row r="41" spans="5:13">
      <c r="E41" s="21">
        <f t="shared" si="3"/>
        <v>41</v>
      </c>
      <c r="F41" s="9" t="s">
        <v>108</v>
      </c>
      <c r="M41" s="21">
        <v>90</v>
      </c>
    </row>
  </sheetData>
  <phoneticPr fontId="2" type="noConversion"/>
  <conditionalFormatting sqref="BE1:XFD1 E1:I1">
    <cfRule type="duplicateValues" dxfId="54" priority="1859"/>
  </conditionalFormatting>
  <conditionalFormatting sqref="F1:F10 F13 F27:F30">
    <cfRule type="cellIs" dxfId="53" priority="1360" operator="equal">
      <formula>"ID"</formula>
    </cfRule>
    <cfRule type="cellIs" dxfId="52" priority="1775" operator="equal">
      <formula>"行動序號"</formula>
    </cfRule>
  </conditionalFormatting>
  <conditionalFormatting sqref="J1">
    <cfRule type="duplicateValues" dxfId="51" priority="1358"/>
  </conditionalFormatting>
  <conditionalFormatting sqref="K1:L1">
    <cfRule type="duplicateValues" dxfId="50" priority="1355"/>
  </conditionalFormatting>
  <conditionalFormatting sqref="M1:M1048576">
    <cfRule type="expression" dxfId="49" priority="970">
      <formula>_xlfn.ISFORMULA(M1)</formula>
    </cfRule>
  </conditionalFormatting>
  <conditionalFormatting sqref="N1:BD1">
    <cfRule type="duplicateValues" dxfId="48" priority="1875"/>
  </conditionalFormatting>
  <conditionalFormatting sqref="F14 F11:F12">
    <cfRule type="cellIs" dxfId="47" priority="80" operator="equal">
      <formula>"ID"</formula>
    </cfRule>
    <cfRule type="cellIs" dxfId="46" priority="81" operator="equal">
      <formula>"行動序號"</formula>
    </cfRule>
  </conditionalFormatting>
  <conditionalFormatting sqref="J21">
    <cfRule type="expression" dxfId="45" priority="78">
      <formula>_xlfn.ISFORMULA(J21)</formula>
    </cfRule>
  </conditionalFormatting>
  <conditionalFormatting sqref="F1:F1048576">
    <cfRule type="cellIs" dxfId="44" priority="73" operator="equal">
      <formula>"ID"</formula>
    </cfRule>
    <cfRule type="cellIs" dxfId="43" priority="74" operator="equal">
      <formula>"行動ID"</formula>
    </cfRule>
  </conditionalFormatting>
  <conditionalFormatting sqref="J21">
    <cfRule type="expression" dxfId="42" priority="83">
      <formula>OR($F19="行動序號",$F19="ID")</formula>
    </cfRule>
  </conditionalFormatting>
  <conditionalFormatting sqref="J21">
    <cfRule type="expression" dxfId="41" priority="84">
      <formula>$F19="行動ID"</formula>
    </cfRule>
  </conditionalFormatting>
  <conditionalFormatting sqref="M1:M1048576">
    <cfRule type="expression" dxfId="40" priority="34">
      <formula>AND(_xlfn.ISFORMULA(M1),OR($F1="行動ID", $F1="ID"))</formula>
    </cfRule>
    <cfRule type="expression" dxfId="39" priority="36">
      <formula>OR($F1="行動ID", $F1="ID")</formula>
    </cfRule>
  </conditionalFormatting>
  <dataValidations disablePrompts="1" count="1">
    <dataValidation type="list" allowBlank="1" showInputMessage="1" showErrorMessage="1" sqref="K8 L5:L6 F10 K4 L14:L17 K15:K16 L40 L30 L29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topLeftCell="A67"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stage7_card7shot3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2025-04-20T15:31:02Z</dcterms:modified>
</cp:coreProperties>
</file>