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19098DD3-067C-4A84-8D30-21C45CF9F10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6shot3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'#OPTION'!$C$2:$C$8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8" i="1" l="1"/>
  <c r="E27" i="1"/>
  <c r="E26" i="1"/>
  <c r="E25" i="1"/>
  <c r="E24" i="1"/>
  <c r="E23" i="1"/>
  <c r="E22" i="1"/>
  <c r="E21" i="1"/>
  <c r="E20" i="1"/>
  <c r="M19" i="1"/>
  <c r="E19" i="1"/>
  <c r="D18" i="1"/>
  <c r="B18" i="1"/>
  <c r="C18" i="1" s="1"/>
  <c r="M27" i="1" s="1"/>
  <c r="D7" i="1"/>
  <c r="M8" i="1" s="1"/>
  <c r="A6" i="1"/>
  <c r="E17" i="1"/>
  <c r="E16" i="1"/>
  <c r="E15" i="1" l="1"/>
  <c r="E14" i="1"/>
  <c r="E13" i="1"/>
  <c r="E12" i="1"/>
  <c r="E11" i="1"/>
  <c r="E10" i="1"/>
  <c r="E9" i="1"/>
  <c r="E8" i="1"/>
  <c r="E95" i="93" l="1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B7" i="1" l="1"/>
  <c r="C7" i="1" s="1"/>
  <c r="M16" i="1" s="1"/>
</calcChain>
</file>

<file path=xl/sharedStrings.xml><?xml version="1.0" encoding="utf-8"?>
<sst xmlns="http://schemas.openxmlformats.org/spreadsheetml/2006/main" count="468" uniqueCount="253">
  <si>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</si>
  <si>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</si>
  <si>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</si>
  <si>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</si>
  <si>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</si>
  <si>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</si>
  <si>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</si>
  <si>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</si>
  <si>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</si>
  <si>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</si>
  <si>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</si>
  <si>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</si>
  <si>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</si>
  <si>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</si>
  <si>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</si>
  <si>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</si>
  <si>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</si>
  <si>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</si>
  <si>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</si>
  <si>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</si>
  <si>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</si>
  <si>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</si>
  <si>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</si>
  <si>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</si>
  <si>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</si>
  <si>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</si>
  <si>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</si>
  <si>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</si>
  <si>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</si>
  <si>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</si>
  <si>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</si>
  <si>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</si>
  <si>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</si>
  <si>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</si>
  <si>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</si>
  <si>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</si>
  <si>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</si>
  <si>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</si>
  <si>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</si>
  <si>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</si>
  <si>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</si>
  <si>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</si>
  <si>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</si>
  <si>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</si>
  <si>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</si>
  <si>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</si>
  <si>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</si>
  <si>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</si>
  <si>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</si>
  <si>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</si>
  <si>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</si>
  <si>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</si>
  <si>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</si>
  <si>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</si>
  <si>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</si>
  <si>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</si>
  <si>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</si>
  <si>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</si>
  <si>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</si>
  <si>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</si>
  <si>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</si>
  <si>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</si>
  <si>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</si>
  <si>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</si>
  <si>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</si>
  <si>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</si>
  <si>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</si>
  <si>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</si>
  <si>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</si>
  <si>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</si>
  <si>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</si>
  <si>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</si>
  <si>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</si>
  <si>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</si>
  <si>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</si>
  <si>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</si>
  <si>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</si>
  <si>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</si>
  <si>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</si>
  <si>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</si>
  <si>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</si>
  <si>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</si>
  <si>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</si>
  <si>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</si>
  <si>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</si>
  <si>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</si>
  <si>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</si>
  <si>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</si>
  <si>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</si>
  <si>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</si>
  <si>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</si>
  <si>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</si>
  <si>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</si>
  <si>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</si>
  <si>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</si>
  <si>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</si>
  <si>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</si>
  <si>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</si>
  <si>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</si>
  <si>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</si>
  <si>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</si>
  <si>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</si>
  <si>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</si>
  <si>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</si>
  <si>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</si>
  <si>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</si>
  <si>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</si>
  <si>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</si>
  <si>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</si>
  <si>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</si>
  <si>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</si>
  <si>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</si>
  <si>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</si>
  <si>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</si>
  <si>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</si>
  <si>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</si>
  <si>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</si>
  <si>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</si>
  <si>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</si>
  <si>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</si>
  <si>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</si>
  <si>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</si>
  <si>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</si>
  <si>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</si>
  <si>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</si>
  <si>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</si>
  <si>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</si>
  <si>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</si>
  <si>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</si>
  <si>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</si>
  <si>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</si>
  <si>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</si>
  <si>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</si>
  <si>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</si>
  <si>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</si>
  <si>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</si>
  <si>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</si>
  <si>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</si>
  <si>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</si>
  <si>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</si>
  <si>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</si>
  <si>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</si>
  <si>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</si>
  <si>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</si>
  <si>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</si>
  <si>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</si>
  <si>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</si>
  <si>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</si>
  <si>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</si>
  <si>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</si>
  <si>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</si>
  <si>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</si>
  <si>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</si>
  <si>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</si>
  <si>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</si>
  <si>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</si>
  <si>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</si>
  <si>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</si>
  <si>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</si>
  <si>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</si>
  <si>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</si>
  <si>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</si>
  <si>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</si>
  <si>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</si>
  <si>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</si>
  <si>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</si>
  <si>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</si>
  <si>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</si>
  <si>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</si>
  <si>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</si>
  <si>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</si>
  <si>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</si>
  <si>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</si>
  <si>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</si>
  <si>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</si>
  <si>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</si>
  <si>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</si>
  <si>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</si>
  <si>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</si>
  <si>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</si>
  <si>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</si>
  <si>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</si>
  <si>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</si>
  <si>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</si>
  <si>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</si>
  <si>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</si>
  <si>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</si>
  <si>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</si>
  <si>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</si>
  <si>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</si>
  <si>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</si>
  <si>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</si>
  <si>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</si>
  <si>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</si>
  <si>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</si>
  <si>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</si>
  <si>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</si>
  <si>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</si>
  <si>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</si>
  <si>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</si>
  <si>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</si>
  <si>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</si>
  <si>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</si>
  <si>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</si>
  <si>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</si>
  <si>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</si>
  <si>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</si>
  <si>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</si>
  <si>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</si>
  <si>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</si>
  <si>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</si>
  <si>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</si>
  <si>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</si>
  <si>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</si>
  <si>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</si>
  <si>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</si>
  <si>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</si>
  <si>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</si>
  <si>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</si>
  <si>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</si>
  <si>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</si>
  <si>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</si>
  <si>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</si>
  <si>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</si>
  <si>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</si>
  <si>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</si>
  <si>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</si>
  <si>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</si>
  <si>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</si>
  <si>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</si>
  <si>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</si>
  <si>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</si>
  <si>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</si>
  <si>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</si>
  <si>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</si>
  <si>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</si>
  <si>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</si>
  <si>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</si>
  <si>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</si>
  <si>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</si>
  <si>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</si>
  <si>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</si>
  <si>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</si>
  <si>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</si>
  <si>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</si>
  <si>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</si>
  <si>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</si>
  <si>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16300</t>
  </si>
  <si>
    <t>16300</t>
    <phoneticPr fontId="2" type="noConversion"/>
  </si>
  <si>
    <t>EnemyShot1</t>
  </si>
  <si>
    <t>EnemyShot1</t>
    <phoneticPr fontId="2" type="noConversion"/>
  </si>
  <si>
    <t>Shot1_red</t>
  </si>
  <si>
    <t>Shot1_red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</si>
</sst>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2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28"/>
  <sheetViews>
    <sheetView tabSelected="1" zoomScale="115" zoomScaleNormal="115" workbookViewId="0">
      <pane ySplit="1" topLeftCell="A2" activePane="bottomLeft" state="frozen"/>
      <selection pane="bottomLeft" activeCell="L6" sqref="L6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6.12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139</v>
      </c>
      <c r="L1" s="17" t="s">
        <v>140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6" spans="1:60">
      <c r="A6" s="21">
        <f>G8*H8</f>
        <v>2</v>
      </c>
      <c r="B6" s="9"/>
      <c r="C6" s="9"/>
      <c r="D6" s="9"/>
      <c r="R6" s="12"/>
      <c r="S6" s="9"/>
      <c r="U6" s="12"/>
      <c r="X6" s="15"/>
      <c r="AE6" s="16"/>
      <c r="BH6" s="9"/>
    </row>
    <row r="7" spans="1:60">
      <c r="A7" s="9" t="s">
        <v>227</v>
      </c>
      <c r="B7" s="21">
        <f>QUOTIENT( D7-1,G8)+1</f>
        <v>1</v>
      </c>
      <c r="C7" s="21">
        <f>D7-(B7-1)*G8</f>
        <v>1</v>
      </c>
      <c r="D7" s="21">
        <f>COUNT($D6:$D$6)+1</f>
        <v>1</v>
      </c>
    </row>
    <row r="8" spans="1:60">
      <c r="E8" s="21">
        <f t="shared" ref="E8:E28" si="0">ROW(E8)</f>
        <v>8</v>
      </c>
      <c r="F8" s="9" t="s">
        <v>93</v>
      </c>
      <c r="G8" s="21">
        <v>2</v>
      </c>
      <c r="H8" s="21">
        <v>1</v>
      </c>
      <c r="J8" s="9" t="s">
        <v>248</v>
      </c>
      <c r="M8" s="21">
        <f>J8+D7</f>
        <v>16301</v>
      </c>
    </row>
    <row r="9" spans="1:60">
      <c r="E9" s="21">
        <f t="shared" si="0"/>
        <v>9</v>
      </c>
      <c r="F9" s="9" t="s">
        <v>142</v>
      </c>
      <c r="M9" s="21">
        <v>16200</v>
      </c>
    </row>
    <row r="10" spans="1:60">
      <c r="E10" s="21">
        <f t="shared" si="0"/>
        <v>10</v>
      </c>
      <c r="F10" s="9" t="s">
        <v>126</v>
      </c>
      <c r="M10" s="21">
        <v>0</v>
      </c>
    </row>
    <row r="11" spans="1:60">
      <c r="E11" s="21">
        <f t="shared" si="0"/>
        <v>11</v>
      </c>
      <c r="F11" s="9" t="s">
        <v>29</v>
      </c>
      <c r="M11" s="21" t="s">
        <v>250</v>
      </c>
    </row>
    <row r="12" spans="1:60">
      <c r="E12" s="21">
        <f t="shared" si="0"/>
        <v>12</v>
      </c>
      <c r="F12" s="9" t="s">
        <v>118</v>
      </c>
      <c r="M12" s="21" t="s">
        <v>252</v>
      </c>
    </row>
    <row r="13" spans="1:60">
      <c r="E13" s="21">
        <f t="shared" si="0"/>
        <v>13</v>
      </c>
      <c r="F13" s="9" t="s">
        <v>194</v>
      </c>
      <c r="M13" s="26">
        <v>0.5</v>
      </c>
    </row>
    <row r="14" spans="1:60">
      <c r="E14" s="21">
        <f t="shared" si="0"/>
        <v>14</v>
      </c>
      <c r="F14" s="9" t="s">
        <v>196</v>
      </c>
      <c r="M14" s="26">
        <v>20</v>
      </c>
    </row>
    <row r="15" spans="1:60">
      <c r="E15" s="21">
        <f t="shared" si="0"/>
        <v>15</v>
      </c>
      <c r="F15" s="9" t="s">
        <v>98</v>
      </c>
      <c r="K15" s="9" t="s">
        <v>137</v>
      </c>
      <c r="M15" s="21">
        <v>2</v>
      </c>
    </row>
    <row r="16" spans="1:60">
      <c r="E16" s="21">
        <f t="shared" si="0"/>
        <v>16</v>
      </c>
      <c r="F16" s="9" t="s">
        <v>112</v>
      </c>
      <c r="G16" s="21">
        <v>0</v>
      </c>
      <c r="H16" s="21">
        <v>90</v>
      </c>
      <c r="L16" s="9" t="s">
        <v>134</v>
      </c>
      <c r="M16" s="21">
        <f>IF(MOD(C7,2)=0,G16,H16)</f>
        <v>90</v>
      </c>
    </row>
    <row r="17" spans="1:13">
      <c r="E17" s="21">
        <f t="shared" si="0"/>
        <v>17</v>
      </c>
      <c r="F17" s="9" t="s">
        <v>107</v>
      </c>
      <c r="M17" s="21">
        <v>300</v>
      </c>
    </row>
    <row r="18" spans="1:13">
      <c r="A18" s="21" t="s">
        <v>227</v>
      </c>
      <c r="B18" s="21">
        <f t="shared" ref="B18:B28" si="1">QUOTIENT( D18-1,G19)+1</f>
        <v>1</v>
      </c>
      <c r="C18" s="21">
        <f t="shared" ref="C18" si="2">D18-(B18-1)*G19</f>
        <v>2</v>
      </c>
      <c r="D18" s="21">
        <f>COUNT($D$6:$D17)+1</f>
        <v>2</v>
      </c>
    </row>
    <row r="19" spans="1:13">
      <c r="E19" s="21">
        <f t="shared" si="0"/>
        <v>19</v>
      </c>
      <c r="F19" s="9" t="s">
        <v>93</v>
      </c>
      <c r="G19" s="21">
        <v>2</v>
      </c>
      <c r="H19" s="21">
        <v>1</v>
      </c>
      <c r="J19" s="9" t="s">
        <v>247</v>
      </c>
      <c r="M19" s="21">
        <f t="shared" ref="M19:M28" si="3">J19+D18</f>
        <v>16302</v>
      </c>
    </row>
    <row r="20" spans="1:13">
      <c r="E20" s="21">
        <f t="shared" si="0"/>
        <v>20</v>
      </c>
      <c r="F20" s="9" t="s">
        <v>142</v>
      </c>
      <c r="M20" s="21">
        <v>16200</v>
      </c>
    </row>
    <row r="21" spans="1:13">
      <c r="E21" s="21">
        <f t="shared" si="0"/>
        <v>21</v>
      </c>
      <c r="F21" s="9" t="s">
        <v>126</v>
      </c>
      <c r="M21" s="21">
        <v>0</v>
      </c>
    </row>
    <row r="22" spans="1:13">
      <c r="E22" s="21">
        <f t="shared" si="0"/>
        <v>22</v>
      </c>
      <c r="F22" s="9" t="s">
        <v>29</v>
      </c>
      <c r="M22" s="21" t="s">
        <v>249</v>
      </c>
    </row>
    <row r="23" spans="1:13">
      <c r="E23" s="21">
        <f t="shared" si="0"/>
        <v>23</v>
      </c>
      <c r="F23" s="9" t="s">
        <v>118</v>
      </c>
      <c r="M23" s="21" t="s">
        <v>251</v>
      </c>
    </row>
    <row r="24" spans="1:13">
      <c r="E24" s="21">
        <f t="shared" si="0"/>
        <v>24</v>
      </c>
      <c r="F24" s="9" t="s">
        <v>194</v>
      </c>
      <c r="M24" s="21">
        <v>0.5</v>
      </c>
    </row>
    <row r="25" spans="1:13">
      <c r="E25" s="21">
        <f t="shared" si="0"/>
        <v>25</v>
      </c>
      <c r="F25" s="9" t="s">
        <v>196</v>
      </c>
      <c r="M25" s="21">
        <v>20</v>
      </c>
    </row>
    <row r="26" spans="1:13">
      <c r="E26" s="21">
        <f t="shared" si="0"/>
        <v>26</v>
      </c>
      <c r="F26" s="9" t="s">
        <v>98</v>
      </c>
      <c r="K26" s="9" t="s">
        <v>137</v>
      </c>
      <c r="M26" s="21">
        <v>2</v>
      </c>
    </row>
    <row r="27" spans="1:13">
      <c r="E27" s="21">
        <f t="shared" si="0"/>
        <v>27</v>
      </c>
      <c r="F27" s="9" t="s">
        <v>112</v>
      </c>
      <c r="G27" s="21">
        <v>0</v>
      </c>
      <c r="H27" s="21">
        <v>90</v>
      </c>
      <c r="L27" s="9" t="s">
        <v>134</v>
      </c>
      <c r="M27" s="21">
        <f t="shared" ref="M27" si="4">IF(MOD(C18,2)=0,G27,H27)</f>
        <v>0</v>
      </c>
    </row>
    <row r="28" spans="1:13">
      <c r="E28" s="21">
        <f t="shared" si="0"/>
        <v>28</v>
      </c>
      <c r="F28" s="9" t="s">
        <v>107</v>
      </c>
      <c r="M28" s="21">
        <v>300</v>
      </c>
    </row>
  </sheetData>
  <phoneticPr fontId="2" type="noConversion"/>
  <conditionalFormatting sqref="BE1:XFD1 E1:I1">
    <cfRule type="duplicateValues" dxfId="49" priority="1859"/>
  </conditionalFormatting>
  <conditionalFormatting sqref="F1:F5 F18:F32">
    <cfRule type="cellIs" dxfId="48" priority="1360" operator="equal">
      <formula>"ID"</formula>
    </cfRule>
    <cfRule type="cellIs" dxfId="47" priority="1775" operator="equal">
      <formula>"行動序號"</formula>
    </cfRule>
  </conditionalFormatting>
  <conditionalFormatting sqref="J1">
    <cfRule type="duplicateValues" dxfId="46" priority="1358"/>
  </conditionalFormatting>
  <conditionalFormatting sqref="K1:L1">
    <cfRule type="duplicateValues" dxfId="45" priority="1355"/>
  </conditionalFormatting>
  <conditionalFormatting sqref="M1:M1048576">
    <cfRule type="expression" dxfId="44" priority="970">
      <formula>_xlfn.ISFORMULA(M1)</formula>
    </cfRule>
  </conditionalFormatting>
  <conditionalFormatting sqref="N1:BD1">
    <cfRule type="duplicateValues" dxfId="43" priority="1875"/>
  </conditionalFormatting>
  <conditionalFormatting sqref="F1:F1048576">
    <cfRule type="cellIs" dxfId="42" priority="73" operator="equal">
      <formula>"ID"</formula>
    </cfRule>
    <cfRule type="cellIs" dxfId="41" priority="74" operator="equal">
      <formula>"行動ID"</formula>
    </cfRule>
  </conditionalFormatting>
  <conditionalFormatting sqref="M1:M1048576">
    <cfRule type="expression" dxfId="40" priority="34">
      <formula>AND(_xlfn.ISFORMULA(M1),OR($F1="行動ID", $F1="ID"))</formula>
    </cfRule>
    <cfRule type="expression" dxfId="39" priority="36">
      <formula>OR($F1="行動ID", $F1="ID")</formula>
    </cfRule>
  </conditionalFormatting>
  <dataValidations count="1">
    <dataValidation type="list" allowBlank="1" showInputMessage="1" showErrorMessage="1" sqref="L31 F33 L6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140</v>
      </c>
      <c r="D1" s="17" t="s">
        <v>139</v>
      </c>
      <c r="E1" s="6" t="s">
        <v>36</v>
      </c>
    </row>
    <row r="2" spans="1:5">
      <c r="A2" s="9" t="s">
        <v>50</v>
      </c>
      <c r="B2" s="9" t="s">
        <v>28</v>
      </c>
      <c r="C2" s="9" t="s">
        <v>140</v>
      </c>
      <c r="D2" s="9" t="s">
        <v>141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144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101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99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102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145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110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228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146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103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104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130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131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147</v>
      </c>
      <c r="C17" s="7" t="s">
        <v>229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142</v>
      </c>
      <c r="C20" s="7" t="s">
        <v>148</v>
      </c>
      <c r="E20" t="str">
        <f t="shared" si="0"/>
        <v>啟動依ID,</v>
      </c>
      <c r="H20"/>
    </row>
    <row r="21" spans="1:8">
      <c r="A21" s="7" t="s">
        <v>27</v>
      </c>
      <c r="B21" s="7" t="s">
        <v>149</v>
      </c>
      <c r="C21" s="7" t="s">
        <v>150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126</v>
      </c>
      <c r="C22" s="7" t="s">
        <v>151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127</v>
      </c>
      <c r="C23" s="7" t="s">
        <v>152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128</v>
      </c>
      <c r="C24" s="7" t="s">
        <v>153</v>
      </c>
      <c r="E24" t="str">
        <f t="shared" si="0"/>
        <v>啟動依位置,</v>
      </c>
      <c r="H24"/>
    </row>
    <row r="25" spans="1:8">
      <c r="A25" s="7" t="s">
        <v>27</v>
      </c>
      <c r="B25" s="7" t="s">
        <v>129</v>
      </c>
      <c r="C25" s="7" t="s">
        <v>154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155</v>
      </c>
      <c r="C26" s="7" t="s">
        <v>156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157</v>
      </c>
      <c r="C27" s="7" t="s">
        <v>158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159</v>
      </c>
      <c r="E30" t="str">
        <f t="shared" si="0"/>
        <v>物件,</v>
      </c>
      <c r="H30"/>
    </row>
    <row r="31" spans="1:8">
      <c r="A31" s="7" t="s">
        <v>27</v>
      </c>
      <c r="B31" s="7" t="s">
        <v>118</v>
      </c>
      <c r="C31" s="7" t="s">
        <v>160</v>
      </c>
      <c r="E31" t="str">
        <f t="shared" si="0"/>
        <v>Sprite,</v>
      </c>
      <c r="H31"/>
    </row>
    <row r="32" spans="1:8">
      <c r="A32" s="7" t="s">
        <v>27</v>
      </c>
      <c r="B32" s="7" t="s">
        <v>100</v>
      </c>
      <c r="C32" s="7" t="s">
        <v>161</v>
      </c>
      <c r="E32" t="str">
        <f t="shared" si="0"/>
        <v>動畫,</v>
      </c>
      <c r="H32"/>
    </row>
    <row r="33" spans="1:8">
      <c r="A33" s="7" t="s">
        <v>27</v>
      </c>
      <c r="B33" s="7" t="s">
        <v>106</v>
      </c>
      <c r="C33" s="7" t="s">
        <v>162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105</v>
      </c>
      <c r="C34" s="7" t="s">
        <v>163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164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165</v>
      </c>
      <c r="C36" s="7" t="s">
        <v>166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167</v>
      </c>
      <c r="C37" s="7" t="s">
        <v>168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169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170</v>
      </c>
      <c r="E41" t="str">
        <f t="shared" si="0"/>
        <v>回收時間,</v>
      </c>
      <c r="H41"/>
    </row>
    <row r="42" spans="1:8">
      <c r="A42" s="7" t="s">
        <v>27</v>
      </c>
      <c r="B42" s="7" t="s">
        <v>107</v>
      </c>
      <c r="C42" s="7" t="s">
        <v>171</v>
      </c>
      <c r="E42" t="str">
        <f t="shared" si="0"/>
        <v>死亡時間,</v>
      </c>
      <c r="H42"/>
    </row>
    <row r="43" spans="1:8">
      <c r="A43" s="7" t="s">
        <v>27</v>
      </c>
      <c r="B43" s="7" t="s">
        <v>225</v>
      </c>
      <c r="C43" s="7" t="s">
        <v>226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172</v>
      </c>
      <c r="E46" t="str">
        <f t="shared" si="0"/>
        <v>移位置,</v>
      </c>
      <c r="H46"/>
    </row>
    <row r="47" spans="1:8">
      <c r="A47" s="7" t="s">
        <v>27</v>
      </c>
      <c r="B47" s="7" t="s">
        <v>116</v>
      </c>
      <c r="C47" s="7" t="s">
        <v>173</v>
      </c>
      <c r="E47" t="str">
        <f t="shared" si="0"/>
        <v>相對位置,</v>
      </c>
      <c r="H47"/>
    </row>
    <row r="48" spans="1:8">
      <c r="A48" s="7" t="s">
        <v>27</v>
      </c>
      <c r="B48" s="7" t="s">
        <v>133</v>
      </c>
      <c r="C48" s="7" t="s">
        <v>174</v>
      </c>
      <c r="E48" t="str">
        <f t="shared" si="0"/>
        <v>位置參數,</v>
      </c>
      <c r="H48"/>
    </row>
    <row r="49" spans="1:8">
      <c r="A49" s="7" t="s">
        <v>27</v>
      </c>
      <c r="B49" s="7" t="s">
        <v>175</v>
      </c>
      <c r="C49" s="7" t="s">
        <v>176</v>
      </c>
      <c r="E49" t="str">
        <f t="shared" si="0"/>
        <v>加位置,</v>
      </c>
      <c r="H49"/>
    </row>
    <row r="50" spans="1:8">
      <c r="A50" s="7" t="s">
        <v>27</v>
      </c>
      <c r="B50" s="7" t="s">
        <v>235</v>
      </c>
      <c r="C50" s="7" t="s">
        <v>236</v>
      </c>
      <c r="E50" t="str">
        <f t="shared" si="0"/>
        <v>記錄位置,</v>
      </c>
      <c r="H50"/>
    </row>
    <row r="51" spans="1:8">
      <c r="A51" s="7" t="s">
        <v>27</v>
      </c>
      <c r="B51" s="7" t="s">
        <v>237</v>
      </c>
      <c r="C51" s="7" t="s">
        <v>238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177</v>
      </c>
      <c r="E54" t="str">
        <f t="shared" si="0"/>
        <v>移動角度,</v>
      </c>
      <c r="H54"/>
    </row>
    <row r="55" spans="1:8">
      <c r="A55" s="7" t="s">
        <v>27</v>
      </c>
      <c r="B55" s="7" t="s">
        <v>111</v>
      </c>
      <c r="C55" s="7" t="s">
        <v>178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112</v>
      </c>
      <c r="C56" s="7" t="s">
        <v>179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113</v>
      </c>
      <c r="C57" s="7" t="s">
        <v>180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132</v>
      </c>
      <c r="C58" s="7" t="s">
        <v>181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182</v>
      </c>
      <c r="C59" s="7" t="s">
        <v>183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114</v>
      </c>
      <c r="C60" s="7" t="s">
        <v>184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230</v>
      </c>
      <c r="C61" s="7" t="s">
        <v>231</v>
      </c>
      <c r="E61" t="str">
        <f t="shared" si="0"/>
        <v>子旋轉角度,</v>
      </c>
      <c r="H61"/>
    </row>
    <row r="62" spans="1:8">
      <c r="A62" s="7" t="s">
        <v>27</v>
      </c>
      <c r="B62" s="24" t="s">
        <v>232</v>
      </c>
      <c r="C62" s="7" t="s">
        <v>233</v>
      </c>
      <c r="E62" t="str">
        <f t="shared" si="0"/>
        <v>子加旋轉角度,</v>
      </c>
      <c r="H62"/>
    </row>
    <row r="63" spans="1:8">
      <c r="A63" s="7" t="s">
        <v>27</v>
      </c>
      <c r="B63" s="7" t="s">
        <v>239</v>
      </c>
      <c r="C63" s="7" t="s">
        <v>240</v>
      </c>
      <c r="E63" t="str">
        <f t="shared" si="0"/>
        <v>記錄角度,</v>
      </c>
      <c r="H63"/>
    </row>
    <row r="64" spans="1:8">
      <c r="A64" s="7" t="s">
        <v>27</v>
      </c>
      <c r="B64" s="7" t="s">
        <v>242</v>
      </c>
      <c r="C64" s="7" t="s">
        <v>241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185</v>
      </c>
      <c r="E67" t="str">
        <f t="shared" si="0"/>
        <v>速度,</v>
      </c>
      <c r="H67"/>
    </row>
    <row r="68" spans="1:11">
      <c r="A68" s="7" t="s">
        <v>27</v>
      </c>
      <c r="B68" s="7" t="s">
        <v>115</v>
      </c>
      <c r="C68" s="7" t="s">
        <v>186</v>
      </c>
      <c r="E68" t="str">
        <f t="shared" si="0"/>
        <v>加速度,</v>
      </c>
      <c r="H68"/>
    </row>
    <row r="69" spans="1:11">
      <c r="A69" s="7" t="s">
        <v>27</v>
      </c>
      <c r="B69" s="7" t="s">
        <v>108</v>
      </c>
      <c r="C69" s="7" t="s">
        <v>187</v>
      </c>
      <c r="E69" t="str">
        <f t="shared" si="0"/>
        <v>最小速度,</v>
      </c>
      <c r="H69"/>
    </row>
    <row r="70" spans="1:11">
      <c r="A70" s="7" t="s">
        <v>27</v>
      </c>
      <c r="B70" s="7" t="s">
        <v>109</v>
      </c>
      <c r="C70" s="7" t="s">
        <v>188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189</v>
      </c>
      <c r="C73" s="7" t="s">
        <v>190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191</v>
      </c>
      <c r="E74" t="str">
        <f t="shared" si="0"/>
        <v>無敵,</v>
      </c>
      <c r="H74"/>
    </row>
    <row r="75" spans="1:11">
      <c r="A75" s="7" t="s">
        <v>27</v>
      </c>
      <c r="B75" s="7" t="s">
        <v>117</v>
      </c>
      <c r="C75" s="7" t="s">
        <v>192</v>
      </c>
      <c r="E75" t="str">
        <f t="shared" si="0"/>
        <v>貫穿,</v>
      </c>
      <c r="H75"/>
    </row>
    <row r="76" spans="1:11">
      <c r="A76" s="7" t="s">
        <v>27</v>
      </c>
      <c r="B76" s="7" t="s">
        <v>125</v>
      </c>
      <c r="C76" s="7" t="s">
        <v>193</v>
      </c>
      <c r="E76" t="str">
        <f t="shared" si="0"/>
        <v>回收距離,</v>
      </c>
      <c r="H76"/>
    </row>
    <row r="77" spans="1:11">
      <c r="A77" s="7" t="s">
        <v>27</v>
      </c>
      <c r="B77" s="7" t="s">
        <v>194</v>
      </c>
      <c r="C77" s="7" t="s">
        <v>195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196</v>
      </c>
      <c r="C78" s="7" t="s">
        <v>197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198</v>
      </c>
      <c r="C79" s="7" t="s">
        <v>199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200</v>
      </c>
      <c r="C80" s="7" t="s">
        <v>201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119</v>
      </c>
      <c r="C83" s="7" t="s">
        <v>202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120</v>
      </c>
      <c r="C84" s="7" t="s">
        <v>203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121</v>
      </c>
      <c r="C85" s="7" t="s">
        <v>204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122</v>
      </c>
      <c r="C86" s="7" t="s">
        <v>205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123</v>
      </c>
      <c r="C87" s="7" t="s">
        <v>206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124</v>
      </c>
      <c r="C88" s="7" t="s">
        <v>207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208</v>
      </c>
      <c r="C91" s="7" t="s">
        <v>209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210</v>
      </c>
      <c r="C92" s="7" t="s">
        <v>211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212</v>
      </c>
      <c r="C93" s="7" t="s">
        <v>213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214</v>
      </c>
      <c r="C94" s="7" t="s">
        <v>215</v>
      </c>
      <c r="E94" t="str">
        <f t="shared" si="1"/>
        <v>玩家Shift,</v>
      </c>
      <c r="H94"/>
    </row>
    <row r="95" spans="1:11">
      <c r="A95" s="7" t="s">
        <v>27</v>
      </c>
      <c r="B95" s="7" t="s">
        <v>216</v>
      </c>
      <c r="C95" s="7" t="s">
        <v>217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139</v>
      </c>
      <c r="B103" s="7" t="s">
        <v>136</v>
      </c>
      <c r="C103" s="7" t="s">
        <v>21</v>
      </c>
      <c r="H103"/>
    </row>
    <row r="104" spans="1:12" customFormat="1">
      <c r="A104" s="7" t="s">
        <v>139</v>
      </c>
      <c r="B104" t="s">
        <v>137</v>
      </c>
      <c r="C104" s="7" t="s">
        <v>25</v>
      </c>
      <c r="D104" s="7"/>
      <c r="L104" s="7"/>
    </row>
    <row r="105" spans="1:12" customFormat="1">
      <c r="A105" s="7" t="s">
        <v>139</v>
      </c>
      <c r="B105" t="s">
        <v>138</v>
      </c>
      <c r="C105" s="7" t="s">
        <v>26</v>
      </c>
      <c r="D105" s="7"/>
      <c r="L105" s="7"/>
    </row>
    <row r="106" spans="1:12" customFormat="1">
      <c r="A106" s="7" t="s">
        <v>139</v>
      </c>
      <c r="B106" t="s">
        <v>218</v>
      </c>
      <c r="C106" s="7" t="s">
        <v>96</v>
      </c>
      <c r="D106" s="7"/>
      <c r="L106" s="7"/>
    </row>
    <row r="107" spans="1:12" customFormat="1">
      <c r="A107" s="7" t="s">
        <v>139</v>
      </c>
      <c r="B107" t="s">
        <v>219</v>
      </c>
      <c r="C107" s="7" t="s">
        <v>23</v>
      </c>
      <c r="D107" s="7"/>
      <c r="L107" s="7"/>
    </row>
    <row r="108" spans="1:12" customFormat="1">
      <c r="A108" s="7" t="s">
        <v>139</v>
      </c>
      <c r="B108" t="s">
        <v>220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140</v>
      </c>
      <c r="B111" t="s">
        <v>134</v>
      </c>
      <c r="C111" s="7" t="s">
        <v>21</v>
      </c>
      <c r="D111" s="4"/>
      <c r="L111" s="7"/>
    </row>
    <row r="112" spans="1:12" customFormat="1">
      <c r="A112" s="7" t="s">
        <v>140</v>
      </c>
      <c r="B112" t="s">
        <v>135</v>
      </c>
      <c r="C112" s="7" t="s">
        <v>37</v>
      </c>
      <c r="D112" s="7"/>
      <c r="L112" s="7"/>
    </row>
    <row r="113" spans="1:12" customFormat="1">
      <c r="A113" s="7" t="s">
        <v>140</v>
      </c>
      <c r="B113" t="s">
        <v>143</v>
      </c>
      <c r="C113" s="7" t="s">
        <v>38</v>
      </c>
      <c r="D113" s="7"/>
      <c r="L113" s="7"/>
    </row>
    <row r="114" spans="1:12" customFormat="1">
      <c r="A114" s="7" t="s">
        <v>140</v>
      </c>
      <c r="B114" t="s">
        <v>221</v>
      </c>
      <c r="C114" s="7" t="s">
        <v>22</v>
      </c>
      <c r="D114" s="7"/>
      <c r="L114" s="7"/>
    </row>
    <row r="115" spans="1:12">
      <c r="A115" s="7" t="s">
        <v>140</v>
      </c>
      <c r="B115" s="7" t="s">
        <v>222</v>
      </c>
      <c r="C115" s="7" t="s">
        <v>23</v>
      </c>
      <c r="H115"/>
    </row>
    <row r="116" spans="1:12">
      <c r="A116" s="7" t="s">
        <v>140</v>
      </c>
      <c r="B116" s="7" t="s">
        <v>243</v>
      </c>
      <c r="C116" s="7" t="s">
        <v>24</v>
      </c>
      <c r="H116"/>
    </row>
    <row r="117" spans="1:12">
      <c r="A117" s="7" t="s">
        <v>140</v>
      </c>
      <c r="B117" s="7" t="s">
        <v>245</v>
      </c>
      <c r="C117" s="7" t="s">
        <v>246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topLeftCell="A67"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139</v>
      </c>
      <c r="C1" s="6" t="s">
        <v>140</v>
      </c>
      <c r="D1" s="8"/>
      <c r="E1" s="8"/>
      <c r="F1" s="8"/>
      <c r="G1" s="6"/>
      <c r="H1" s="8"/>
      <c r="I1" s="8"/>
      <c r="J1" s="8"/>
    </row>
    <row r="2" spans="1:10" ht="85.5">
      <c r="B2" s="19" t="s">
        <v>136</v>
      </c>
      <c r="C2" s="19" t="s">
        <v>134</v>
      </c>
      <c r="D2" s="19"/>
      <c r="G2" s="20" t="s">
        <v>223</v>
      </c>
    </row>
    <row r="3" spans="1:10">
      <c r="A3" s="19" t="s">
        <v>93</v>
      </c>
      <c r="B3" s="19" t="s">
        <v>137</v>
      </c>
      <c r="C3" s="19" t="s">
        <v>135</v>
      </c>
      <c r="D3" s="19"/>
      <c r="G3" s="9"/>
    </row>
    <row r="4" spans="1:10">
      <c r="A4" s="19" t="s">
        <v>101</v>
      </c>
      <c r="B4" s="19" t="s">
        <v>138</v>
      </c>
      <c r="C4" s="19" t="s">
        <v>224</v>
      </c>
      <c r="D4" s="19"/>
      <c r="G4" s="9"/>
      <c r="H4" s="18"/>
    </row>
    <row r="5" spans="1:10" ht="17.25" customHeight="1">
      <c r="A5" s="19" t="s">
        <v>99</v>
      </c>
      <c r="B5" s="19" t="s">
        <v>218</v>
      </c>
      <c r="C5" s="19" t="s">
        <v>221</v>
      </c>
      <c r="D5" s="19"/>
      <c r="G5" s="9"/>
    </row>
    <row r="6" spans="1:10">
      <c r="A6" s="19" t="s">
        <v>102</v>
      </c>
      <c r="B6" s="19" t="s">
        <v>219</v>
      </c>
      <c r="C6" s="19" t="s">
        <v>222</v>
      </c>
      <c r="D6" s="19"/>
      <c r="G6" s="9"/>
    </row>
    <row r="7" spans="1:10">
      <c r="A7" s="19" t="s">
        <v>48</v>
      </c>
      <c r="B7" s="19" t="s">
        <v>220</v>
      </c>
      <c r="C7" s="23" t="s">
        <v>243</v>
      </c>
      <c r="D7" s="19"/>
      <c r="G7" s="9"/>
    </row>
    <row r="8" spans="1:10">
      <c r="A8" s="19" t="s">
        <v>145</v>
      </c>
      <c r="B8" s="23"/>
      <c r="C8" s="7" t="s">
        <v>245</v>
      </c>
      <c r="D8" s="19"/>
      <c r="G8" s="9"/>
    </row>
    <row r="9" spans="1:10">
      <c r="A9" s="19" t="s">
        <v>110</v>
      </c>
      <c r="B9" s="19"/>
      <c r="C9" s="19"/>
      <c r="D9" s="19"/>
      <c r="G9" s="9"/>
    </row>
    <row r="10" spans="1:10">
      <c r="A10" s="19" t="s">
        <v>228</v>
      </c>
      <c r="B10" s="19"/>
      <c r="C10" s="19"/>
      <c r="D10" s="19"/>
      <c r="G10" s="9"/>
    </row>
    <row r="11" spans="1:10">
      <c r="A11" s="19" t="s">
        <v>146</v>
      </c>
      <c r="G11" s="9"/>
    </row>
    <row r="12" spans="1:10">
      <c r="A12" s="19" t="s">
        <v>45</v>
      </c>
      <c r="G12" s="9"/>
    </row>
    <row r="13" spans="1:10">
      <c r="A13" s="19" t="s">
        <v>103</v>
      </c>
      <c r="G13" s="9"/>
    </row>
    <row r="14" spans="1:10">
      <c r="A14" s="19" t="s">
        <v>104</v>
      </c>
      <c r="C14" s="9"/>
      <c r="G14" s="9"/>
    </row>
    <row r="15" spans="1:10">
      <c r="A15" s="19" t="s">
        <v>130</v>
      </c>
      <c r="G15" s="9"/>
    </row>
    <row r="16" spans="1:10">
      <c r="A16" s="19" t="s">
        <v>131</v>
      </c>
      <c r="C16"/>
      <c r="G16" s="9"/>
    </row>
    <row r="17" spans="1:7">
      <c r="A17" s="19" t="s">
        <v>147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142</v>
      </c>
      <c r="C20"/>
      <c r="G20" s="9"/>
    </row>
    <row r="21" spans="1:7">
      <c r="A21" s="19" t="s">
        <v>149</v>
      </c>
      <c r="C21"/>
      <c r="G21" s="9"/>
    </row>
    <row r="22" spans="1:7">
      <c r="A22" s="19" t="s">
        <v>126</v>
      </c>
      <c r="C22"/>
      <c r="G22" s="9"/>
    </row>
    <row r="23" spans="1:7">
      <c r="A23" s="19" t="s">
        <v>127</v>
      </c>
      <c r="C23"/>
      <c r="G23" s="9"/>
    </row>
    <row r="24" spans="1:7">
      <c r="A24" s="19" t="s">
        <v>128</v>
      </c>
      <c r="C24"/>
      <c r="G24" s="9"/>
    </row>
    <row r="25" spans="1:7" s="9" customFormat="1">
      <c r="A25" s="19" t="s">
        <v>129</v>
      </c>
      <c r="C25"/>
      <c r="F25" s="4"/>
    </row>
    <row r="26" spans="1:7">
      <c r="A26" s="19" t="s">
        <v>155</v>
      </c>
      <c r="C26"/>
      <c r="G26" s="9"/>
    </row>
    <row r="27" spans="1:7">
      <c r="A27" s="19" t="s">
        <v>157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118</v>
      </c>
      <c r="C31"/>
      <c r="G31" s="9"/>
    </row>
    <row r="32" spans="1:7">
      <c r="A32" s="19" t="s">
        <v>100</v>
      </c>
      <c r="C32"/>
      <c r="G32" s="9"/>
    </row>
    <row r="33" spans="1:7">
      <c r="A33" s="19" t="s">
        <v>106</v>
      </c>
      <c r="C33"/>
      <c r="G33" s="9"/>
    </row>
    <row r="34" spans="1:7">
      <c r="A34" s="19" t="s">
        <v>105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165</v>
      </c>
      <c r="C36"/>
    </row>
    <row r="37" spans="1:7">
      <c r="A37" s="19" t="s">
        <v>167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97</v>
      </c>
      <c r="C41"/>
      <c r="G41" s="9"/>
    </row>
    <row r="42" spans="1:7">
      <c r="A42" s="19" t="s">
        <v>107</v>
      </c>
      <c r="C42"/>
      <c r="G42" s="9"/>
    </row>
    <row r="43" spans="1:7">
      <c r="A43" s="23" t="s">
        <v>225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98</v>
      </c>
      <c r="C46"/>
      <c r="G46" s="9"/>
    </row>
    <row r="47" spans="1:7">
      <c r="A47" s="19" t="s">
        <v>116</v>
      </c>
      <c r="C47"/>
      <c r="G47" s="9"/>
    </row>
    <row r="48" spans="1:7">
      <c r="A48" s="19" t="s">
        <v>133</v>
      </c>
      <c r="C48"/>
      <c r="G48" s="9"/>
    </row>
    <row r="49" spans="1:8">
      <c r="A49" s="19" t="s">
        <v>175</v>
      </c>
      <c r="C49"/>
      <c r="G49" s="9"/>
    </row>
    <row r="50" spans="1:8">
      <c r="A50" s="24" t="s">
        <v>239</v>
      </c>
      <c r="C50"/>
      <c r="G50" s="9"/>
    </row>
    <row r="51" spans="1:8">
      <c r="A51" s="24" t="s">
        <v>244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111</v>
      </c>
      <c r="C55"/>
      <c r="G55" s="9"/>
      <c r="H55" s="11"/>
    </row>
    <row r="56" spans="1:8">
      <c r="A56" s="19" t="s">
        <v>112</v>
      </c>
      <c r="C56"/>
      <c r="G56" s="9"/>
      <c r="H56" s="11"/>
    </row>
    <row r="57" spans="1:8">
      <c r="A57" s="25" t="s">
        <v>234</v>
      </c>
      <c r="C57"/>
      <c r="G57" s="9"/>
    </row>
    <row r="58" spans="1:8">
      <c r="A58" s="19" t="s">
        <v>132</v>
      </c>
      <c r="G58" s="9"/>
    </row>
    <row r="59" spans="1:8">
      <c r="A59" s="19" t="s">
        <v>182</v>
      </c>
      <c r="G59" s="9"/>
    </row>
    <row r="60" spans="1:8">
      <c r="A60" s="19" t="s">
        <v>114</v>
      </c>
      <c r="G60" s="9"/>
    </row>
    <row r="61" spans="1:8">
      <c r="A61" s="24" t="s">
        <v>230</v>
      </c>
      <c r="G61" s="9"/>
    </row>
    <row r="62" spans="1:8">
      <c r="A62" s="24" t="s">
        <v>232</v>
      </c>
      <c r="G62" s="9"/>
    </row>
    <row r="63" spans="1:8">
      <c r="A63" s="24" t="s">
        <v>239</v>
      </c>
      <c r="G63" s="9"/>
    </row>
    <row r="64" spans="1:8">
      <c r="A64" s="24" t="s">
        <v>242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115</v>
      </c>
      <c r="C68"/>
      <c r="G68" s="9"/>
    </row>
    <row r="69" spans="1:7">
      <c r="A69" s="19" t="s">
        <v>108</v>
      </c>
      <c r="C69"/>
      <c r="G69" s="9"/>
    </row>
    <row r="70" spans="1:7">
      <c r="A70" s="19" t="s">
        <v>109</v>
      </c>
      <c r="G70" s="9"/>
    </row>
    <row r="71" spans="1:7">
      <c r="G71" s="9"/>
    </row>
    <row r="72" spans="1:7">
      <c r="G72" s="9"/>
    </row>
    <row r="73" spans="1:7">
      <c r="A73" s="19" t="s">
        <v>189</v>
      </c>
    </row>
    <row r="74" spans="1:7">
      <c r="A74" s="19" t="s">
        <v>47</v>
      </c>
    </row>
    <row r="75" spans="1:7">
      <c r="A75" s="19" t="s">
        <v>117</v>
      </c>
    </row>
    <row r="76" spans="1:7">
      <c r="A76" s="19" t="s">
        <v>125</v>
      </c>
      <c r="G76" s="9"/>
    </row>
    <row r="77" spans="1:7">
      <c r="A77" s="19" t="s">
        <v>194</v>
      </c>
      <c r="G77" s="9"/>
    </row>
    <row r="78" spans="1:7">
      <c r="A78" s="19" t="s">
        <v>196</v>
      </c>
      <c r="G78" s="9"/>
    </row>
    <row r="79" spans="1:7">
      <c r="A79" s="19" t="s">
        <v>198</v>
      </c>
    </row>
    <row r="80" spans="1:7">
      <c r="A80" s="19" t="s">
        <v>200</v>
      </c>
    </row>
    <row r="83" spans="1:1">
      <c r="A83" s="19" t="s">
        <v>119</v>
      </c>
    </row>
    <row r="84" spans="1:1">
      <c r="A84" s="19" t="s">
        <v>120</v>
      </c>
    </row>
    <row r="85" spans="1:1">
      <c r="A85" s="19" t="s">
        <v>121</v>
      </c>
    </row>
    <row r="86" spans="1:1">
      <c r="A86" s="19" t="s">
        <v>122</v>
      </c>
    </row>
    <row r="87" spans="1:1">
      <c r="A87" s="19" t="s">
        <v>123</v>
      </c>
    </row>
    <row r="88" spans="1:1">
      <c r="A88" s="19" t="s">
        <v>124</v>
      </c>
    </row>
    <row r="91" spans="1:1">
      <c r="A91" s="19" t="s">
        <v>208</v>
      </c>
    </row>
    <row r="92" spans="1:1">
      <c r="A92" s="19" t="s">
        <v>210</v>
      </c>
    </row>
    <row r="93" spans="1:1">
      <c r="A93" s="19" t="s">
        <v>212</v>
      </c>
    </row>
    <row r="94" spans="1:1">
      <c r="A94" s="19" t="s">
        <v>214</v>
      </c>
    </row>
    <row r="95" spans="1:1">
      <c r="A95" s="19" t="s">
        <v>216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2</vt:i4>
      </vt:variant>
    </vt:vector>
  </HeadingPairs>
  <TitlesOfParts>
    <vt:vector size="9" baseType="lpstr">
      <vt:lpstr>stage7_card6shot3</vt:lpstr>
      <vt:lpstr>#ALIAS</vt:lpstr>
      <vt:lpstr>#DEFINE</vt:lpstr>
      <vt:lpstr>#OPTION</vt:lpstr>
      <vt:lpstr>#PARAM</vt:lpstr>
      <vt:lpstr>#OUTPUT</vt:lpstr>
      <vt:lpstr>#使用說明</vt:lpstr>
      <vt:lpstr>'#OPTION'!_OPTION_</vt:lpstr>
      <vt:lpstr>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2025-04-18T10:03:12Z</dcterms:modified>
</cp:coreProperties>
</file>