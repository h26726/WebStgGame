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82F7FF5C-76E2-450D-8CE3-B082BCED6CE1}" xr6:coauthVersionLast="47" xr6:coauthVersionMax="47" xr10:uidLastSave="{00000000-0000-0000-0000-000000000000}"/>
  <bookViews>
    <workbookView minimized="1" xWindow="1860" yWindow="1860" windowWidth="7740" windowHeight="4740" xr2:uid="{00000000-000D-0000-FFFF-FFFF00000000}"/>
  </bookViews>
  <sheets>
    <sheet name="stage7_card6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7" i="1" l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8" i="1"/>
  <c r="E187" i="1"/>
  <c r="E186" i="1"/>
  <c r="E185" i="1"/>
  <c r="E184" i="1"/>
  <c r="E183" i="1"/>
  <c r="E182" i="1"/>
  <c r="E181" i="1"/>
  <c r="E180" i="1"/>
  <c r="E177" i="1"/>
  <c r="E176" i="1"/>
  <c r="E175" i="1"/>
  <c r="E174" i="1"/>
  <c r="E173" i="1"/>
  <c r="E172" i="1"/>
  <c r="M171" i="1"/>
  <c r="E171" i="1"/>
  <c r="E170" i="1"/>
  <c r="E169" i="1"/>
  <c r="E168" i="1"/>
  <c r="E167" i="1"/>
  <c r="E166" i="1"/>
  <c r="E165" i="1"/>
  <c r="E164" i="1"/>
  <c r="E163" i="1"/>
  <c r="E162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1" i="1"/>
  <c r="E140" i="1"/>
  <c r="E139" i="1"/>
  <c r="E138" i="1"/>
  <c r="E137" i="1"/>
  <c r="E136" i="1"/>
  <c r="E135" i="1"/>
  <c r="E134" i="1"/>
  <c r="E133" i="1"/>
  <c r="E130" i="1"/>
  <c r="E129" i="1"/>
  <c r="E128" i="1"/>
  <c r="E127" i="1"/>
  <c r="E126" i="1"/>
  <c r="E125" i="1"/>
  <c r="M124" i="1"/>
  <c r="E124" i="1"/>
  <c r="E123" i="1"/>
  <c r="E122" i="1"/>
  <c r="E121" i="1"/>
  <c r="E120" i="1"/>
  <c r="E119" i="1"/>
  <c r="E118" i="1"/>
  <c r="E117" i="1"/>
  <c r="E116" i="1"/>
  <c r="E115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4" i="1"/>
  <c r="E93" i="1"/>
  <c r="E92" i="1"/>
  <c r="E91" i="1"/>
  <c r="E90" i="1"/>
  <c r="E89" i="1"/>
  <c r="E88" i="1"/>
  <c r="E87" i="1"/>
  <c r="E86" i="1"/>
  <c r="E83" i="1"/>
  <c r="E82" i="1"/>
  <c r="E81" i="1"/>
  <c r="E80" i="1"/>
  <c r="E79" i="1"/>
  <c r="E78" i="1"/>
  <c r="M77" i="1"/>
  <c r="E77" i="1"/>
  <c r="E76" i="1"/>
  <c r="E75" i="1"/>
  <c r="E74" i="1"/>
  <c r="E73" i="1"/>
  <c r="E72" i="1"/>
  <c r="E71" i="1"/>
  <c r="E70" i="1"/>
  <c r="E69" i="1"/>
  <c r="M68" i="1"/>
  <c r="M91" i="1" s="1"/>
  <c r="M81" i="1" s="1"/>
  <c r="E68" i="1"/>
  <c r="D67" i="1"/>
  <c r="C67" i="1" s="1"/>
  <c r="B67" i="1"/>
  <c r="M101" i="1" l="1" a="1"/>
  <c r="M101" i="1" s="1"/>
  <c r="M74" i="1" a="1"/>
  <c r="M74" i="1" s="1"/>
  <c r="M111" i="1" a="1"/>
  <c r="M111" i="1" s="1"/>
  <c r="M72" i="1" a="1"/>
  <c r="M72" i="1" s="1"/>
  <c r="M80" i="1" a="1"/>
  <c r="M80" i="1" s="1"/>
  <c r="M90" i="1" a="1"/>
  <c r="M90" i="1" s="1"/>
  <c r="M102" i="1"/>
  <c r="M105" i="1" s="1"/>
  <c r="D114" i="1"/>
  <c r="M79" i="1"/>
  <c r="M103" i="1"/>
  <c r="M78" i="1"/>
  <c r="M92" i="1" s="1"/>
  <c r="B114" i="1" l="1"/>
  <c r="C114" i="1" s="1"/>
  <c r="M115" i="1"/>
  <c r="D161" i="1"/>
  <c r="M121" i="1" l="1" a="1"/>
  <c r="M121" i="1" s="1"/>
  <c r="M158" i="1" a="1"/>
  <c r="M158" i="1" s="1"/>
  <c r="M148" i="1" a="1"/>
  <c r="M148" i="1" s="1"/>
  <c r="M127" i="1" a="1"/>
  <c r="M127" i="1" s="1"/>
  <c r="M137" i="1" a="1"/>
  <c r="M137" i="1" s="1"/>
  <c r="M119" i="1" a="1"/>
  <c r="M119" i="1" s="1"/>
  <c r="B161" i="1"/>
  <c r="C161" i="1"/>
  <c r="M162" i="1"/>
  <c r="M150" i="1"/>
  <c r="M149" i="1"/>
  <c r="M152" i="1" s="1"/>
  <c r="M138" i="1"/>
  <c r="M128" i="1" s="1"/>
  <c r="M125" i="1"/>
  <c r="M139" i="1" s="1"/>
  <c r="M126" i="1"/>
  <c r="M196" i="1" l="1"/>
  <c r="M199" i="1" s="1"/>
  <c r="M197" i="1"/>
  <c r="M173" i="1"/>
  <c r="M185" i="1"/>
  <c r="M175" i="1" s="1"/>
  <c r="M172" i="1"/>
  <c r="M186" i="1" s="1"/>
  <c r="M195" i="1" a="1"/>
  <c r="M195" i="1" s="1"/>
  <c r="M174" i="1" a="1"/>
  <c r="M174" i="1" s="1"/>
  <c r="M205" i="1" a="1"/>
  <c r="M205" i="1" s="1"/>
  <c r="M166" i="1" a="1"/>
  <c r="M166" i="1" s="1"/>
  <c r="M184" i="1" a="1"/>
  <c r="M184" i="1" s="1"/>
  <c r="M168" i="1" a="1"/>
  <c r="M168" i="1" s="1"/>
  <c r="E35" i="1" l="1"/>
  <c r="E34" i="1"/>
  <c r="E54" i="1"/>
  <c r="E53" i="1"/>
  <c r="E52" i="1"/>
  <c r="E51" i="1"/>
  <c r="E50" i="1"/>
  <c r="E47" i="1"/>
  <c r="E46" i="1"/>
  <c r="E45" i="1"/>
  <c r="E44" i="1"/>
  <c r="E43" i="1"/>
  <c r="E42" i="1"/>
  <c r="E41" i="1"/>
  <c r="E40" i="1"/>
  <c r="E39" i="1"/>
  <c r="E55" i="1"/>
  <c r="E36" i="1"/>
  <c r="E33" i="1"/>
  <c r="E32" i="1"/>
  <c r="E31" i="1"/>
  <c r="E61" i="1"/>
  <c r="E64" i="1"/>
  <c r="E63" i="1"/>
  <c r="E62" i="1"/>
  <c r="E65" i="1"/>
  <c r="M30" i="1"/>
  <c r="E30" i="1"/>
  <c r="E29" i="1"/>
  <c r="E56" i="1"/>
  <c r="E57" i="1"/>
  <c r="E58" i="1"/>
  <c r="E59" i="1"/>
  <c r="E60" i="1"/>
  <c r="E66" i="1"/>
  <c r="E28" i="1" l="1"/>
  <c r="E27" i="1"/>
  <c r="E26" i="1"/>
  <c r="E25" i="1"/>
  <c r="E24" i="1"/>
  <c r="E23" i="1"/>
  <c r="E22" i="1"/>
  <c r="E21" i="1"/>
  <c r="D20" i="1"/>
  <c r="A19" i="1"/>
  <c r="M21" i="1" l="1"/>
  <c r="B20" i="1"/>
  <c r="C20" i="1" s="1"/>
  <c r="M33" i="1" s="1" a="1"/>
  <c r="M33" i="1" s="1"/>
  <c r="M54" i="1" l="1" a="1"/>
  <c r="M54" i="1" s="1"/>
  <c r="M44" i="1"/>
  <c r="M34" i="1" s="1"/>
  <c r="M32" i="1"/>
  <c r="M64" i="1" a="1"/>
  <c r="M64" i="1" s="1"/>
  <c r="M43" i="1" a="1"/>
  <c r="M43" i="1" s="1"/>
  <c r="M56" i="1"/>
  <c r="M31" i="1"/>
  <c r="M45" i="1" s="1"/>
  <c r="M27" i="1" a="1"/>
  <c r="M27" i="1" s="1"/>
  <c r="M25" i="1" a="1"/>
  <c r="M25" i="1" s="1"/>
  <c r="M55" i="1"/>
  <c r="M58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<sst xmlns="http://schemas.openxmlformats.org/spreadsheetml/2006/main" count="724" uniqueCount="271">
  <si>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</si>
  <si>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</si>
  <si>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</si>
  <si>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</si>
  <si>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</si>
  <si>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</si>
  <si>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</si>
  <si>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</si>
  <si>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</si>
  <si>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</si>
  <si>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</si>
  <si>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</si>
  <si>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</si>
  <si>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</si>
  <si>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</si>
  <si>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</si>
  <si>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</si>
  <si>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</si>
  <si>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</si>
  <si>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</si>
  <si>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</si>
  <si>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</si>
  <si>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</si>
  <si>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</si>
  <si>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</si>
  <si>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</si>
  <si>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</si>
  <si>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</si>
  <si>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</si>
  <si>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</si>
  <si>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</si>
  <si>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</si>
  <si>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</si>
  <si>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</si>
  <si>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</si>
  <si>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</si>
  <si>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</si>
  <si>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</si>
  <si>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</si>
  <si>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</si>
  <si>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</si>
  <si>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</si>
  <si>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</si>
  <si>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</si>
  <si>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</si>
  <si>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</si>
  <si>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</si>
  <si>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</si>
  <si>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</si>
  <si>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</si>
  <si>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</si>
  <si>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</si>
  <si>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</si>
  <si>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</si>
  <si>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</si>
  <si>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</si>
  <si>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</si>
  <si>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</si>
  <si>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</si>
  <si>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</si>
  <si>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</si>
  <si>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</si>
  <si>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</si>
  <si>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</si>
  <si>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</si>
  <si>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</si>
  <si>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</si>
  <si>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</si>
  <si>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</si>
  <si>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</si>
  <si>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</si>
  <si>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</si>
  <si>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</si>
  <si>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</si>
  <si>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</si>
  <si>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</si>
  <si>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</si>
  <si>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</si>
  <si>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</si>
  <si>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</si>
  <si>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</si>
  <si>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</si>
  <si>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</si>
  <si>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</si>
  <si>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</si>
  <si>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</si>
  <si>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</si>
  <si>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</si>
  <si>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</si>
  <si>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</si>
  <si>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</si>
  <si>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</si>
  <si>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</si>
  <si>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</si>
  <si>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</si>
  <si>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</si>
  <si>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</si>
  <si>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</si>
  <si>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</si>
  <si>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</si>
  <si>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</si>
  <si>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</si>
  <si>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</si>
  <si>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</si>
  <si>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</si>
  <si>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</si>
  <si>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</si>
  <si>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</si>
  <si>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</si>
  <si>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</si>
  <si>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</si>
  <si>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</si>
  <si>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</si>
  <si>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</si>
  <si>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</si>
  <si>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</si>
  <si>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</si>
  <si>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</si>
  <si>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</si>
  <si>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</si>
  <si>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</si>
  <si>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</si>
  <si>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</si>
  <si>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</si>
  <si>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</si>
  <si>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</si>
  <si>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</si>
  <si>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</si>
  <si>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</si>
  <si>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</si>
  <si>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</si>
  <si>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</si>
  <si>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</si>
  <si>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</si>
  <si>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</si>
  <si>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</si>
  <si>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</si>
  <si>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</si>
  <si>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</si>
  <si>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</si>
  <si>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</si>
  <si>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</si>
  <si>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</si>
  <si>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</si>
  <si>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</si>
  <si>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回收距離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</si>
  <si>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</si>
  <si>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</si>
  <si>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</si>
  <si>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</si>
  <si>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</si>
  <si>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</si>
  <si>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</si>
  <si>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</si>
  <si>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</si>
  <si>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</si>
  <si>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</si>
  <si>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</si>
  <si>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</si>
  <si>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</si>
  <si>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</si>
  <si>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</si>
  <si>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</si>
  <si>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</si>
  <si>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</si>
  <si>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</si>
  <si>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</si>
  <si>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</si>
  <si>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</si>
  <si>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</si>
  <si>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</si>
  <si>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</si>
  <si>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</si>
  <si>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</si>
  <si>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</si>
  <si>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</si>
  <si>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</si>
  <si>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</si>
  <si>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</si>
  <si>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</si>
  <si>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</si>
  <si>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</si>
  <si>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</si>
  <si>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</si>
  <si>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</si>
  <si>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</si>
  <si>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</si>
  <si>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</si>
  <si>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</si>
  <si>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</si>
  <si>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</si>
  <si>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</si>
  <si>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</si>
  <si>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</si>
  <si>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</si>
  <si>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</si>
  <si>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</si>
  <si>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</si>
  <si>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</si>
  <si>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</si>
  <si>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</si>
  <si>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</si>
  <si>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</si>
  <si>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</si>
  <si>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</si>
  <si>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</si>
  <si>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</si>
  <si>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</si>
  <si>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</si>
  <si>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</si>
  <si>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</si>
  <si>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</si>
  <si>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</si>
  <si>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</si>
  <si>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</si>
  <si>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</si>
  <si>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</si>
  <si>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</si>
  <si>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</si>
  <si>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</si>
  <si>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</si>
  <si>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</si>
  <si>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</si>
  <si>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</si>
  <si>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</si>
  <si>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</si>
  <si>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</si>
  <si>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</si>
  <si>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</si>
  <si>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</si>
  <si>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</si>
  <si>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</si>
  <si>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</si>
  <si>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</si>
  <si>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</si>
  <si>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</si>
  <si>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</si>
  <si>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</si>
  <si>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</si>
  <si>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</si>
  <si>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</si>
  <si>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</si>
  <si>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</si>
  <si>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</si>
  <si>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</si>
  <si>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</si>
  <si>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</si>
  <si>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</si>
  <si>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</si>
  <si>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位置xy</t>
    <phoneticPr fontId="2" type="noConversion"/>
  </si>
  <si>
    <t>90</t>
  </si>
  <si>
    <t>90</t>
    <phoneticPr fontId="2" type="noConversion"/>
  </si>
  <si>
    <t>180</t>
  </si>
  <si>
    <t>0</t>
  </si>
  <si>
    <t>Empty</t>
  </si>
  <si>
    <t>Empty</t>
    <phoneticPr fontId="2" type="noConversion"/>
  </si>
  <si>
    <t>270</t>
  </si>
  <si>
    <t>270</t>
    <phoneticPr fontId="2" type="noConversion"/>
  </si>
  <si>
    <t>加角度</t>
    <phoneticPr fontId="2" type="noConversion"/>
  </si>
  <si>
    <t>180</t>
    <phoneticPr fontId="2" type="noConversion"/>
  </si>
  <si>
    <t>0</t>
    <phoneticPr fontId="2" type="noConversion"/>
  </si>
  <si>
    <t>-5,4</t>
  </si>
  <si>
    <t>-5,4</t>
    <phoneticPr fontId="2" type="noConversion"/>
  </si>
  <si>
    <t>-4,-5</t>
  </si>
  <si>
    <t>-4,-5</t>
    <phoneticPr fontId="2" type="noConversion"/>
  </si>
  <si>
    <t>5,-4</t>
  </si>
  <si>
    <t>5,-4</t>
    <phoneticPr fontId="2" type="noConversion"/>
  </si>
  <si>
    <t>4,5</t>
  </si>
  <si>
    <t>4,5</t>
    <phoneticPr fontId="2" type="noConversion"/>
  </si>
  <si>
    <t>240</t>
  </si>
  <si>
    <t>240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</si>
</sst>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18"/>
  <sheetViews>
    <sheetView tabSelected="1" zoomScale="115" zoomScaleNormal="115" workbookViewId="0">
      <pane ySplit="1" topLeftCell="A72" activePane="bottomLeft" state="frozen"/>
      <selection pane="bottomLeft" activeCell="N88" sqref="N8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4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229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4</v>
      </c>
      <c r="H21" s="21">
        <v>1</v>
      </c>
      <c r="J21" s="21">
        <v>16100</v>
      </c>
      <c r="M21" s="21">
        <f>J21+D20</f>
        <v>16101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66" si="0">ROW(E22)</f>
        <v>22</v>
      </c>
      <c r="F22" s="9" t="s">
        <v>143</v>
      </c>
      <c r="M22" s="21">
        <v>16010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M23" s="21">
        <v>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255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99</v>
      </c>
      <c r="G25" s="9" t="s">
        <v>262</v>
      </c>
      <c r="H25" s="9" t="s">
        <v>264</v>
      </c>
      <c r="I25" s="9" t="s">
        <v>266</v>
      </c>
      <c r="J25" s="9" t="s">
        <v>268</v>
      </c>
      <c r="K25" s="9" t="s">
        <v>249</v>
      </c>
      <c r="M25" s="21" t="str" cm="1">
        <f t="array" ref="M25">_xlfn.SWITCH(C20,1,G25,2,H25,3,I25,4,J25)</f>
        <v>-5,4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30</v>
      </c>
      <c r="M26" s="26">
        <v>1.2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31</v>
      </c>
      <c r="G27" s="21">
        <v>180</v>
      </c>
      <c r="H27" s="21">
        <v>270</v>
      </c>
      <c r="I27" s="21">
        <v>0</v>
      </c>
      <c r="J27" s="9" t="s">
        <v>251</v>
      </c>
      <c r="L27" s="9" t="s">
        <v>135</v>
      </c>
      <c r="M27" s="21" cm="1">
        <f t="array" ref="M27">_xlfn.SWITCH(C20,1,G27,2,H27,3,I27,4,J27)</f>
        <v>180</v>
      </c>
      <c r="R27" s="12"/>
      <c r="S27" s="9"/>
      <c r="U27" s="12"/>
      <c r="X27" s="15"/>
      <c r="AE27" s="16"/>
      <c r="BH27" s="9"/>
    </row>
    <row r="28" spans="1:60" s="21" customFormat="1">
      <c r="A28" s="9"/>
      <c r="B28" s="9"/>
      <c r="E28" s="21">
        <f t="shared" si="0"/>
        <v>28</v>
      </c>
      <c r="F28" s="9" t="s">
        <v>145</v>
      </c>
      <c r="J28" s="9"/>
      <c r="K28" s="9"/>
      <c r="L28" s="9"/>
      <c r="M28" s="21">
        <v>10000</v>
      </c>
      <c r="N28" s="9"/>
      <c r="O28" s="9"/>
      <c r="P28" s="9"/>
      <c r="Q28" s="9"/>
      <c r="R28" s="12"/>
      <c r="S28" s="9"/>
      <c r="T28" s="9"/>
      <c r="U28" s="12"/>
      <c r="V28" s="12"/>
      <c r="W28" s="12"/>
      <c r="X28" s="15"/>
      <c r="Y28" s="15"/>
      <c r="Z28" s="15"/>
      <c r="AA28" s="15"/>
      <c r="AB28" s="15"/>
      <c r="AC28" s="15"/>
      <c r="AD28" s="15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</row>
    <row r="29" spans="1:60" s="21" customFormat="1">
      <c r="A29" s="9"/>
      <c r="B29" s="9"/>
      <c r="E29" s="21">
        <f t="shared" si="0"/>
        <v>29</v>
      </c>
      <c r="F29" s="9" t="s">
        <v>118</v>
      </c>
      <c r="J29" s="9"/>
      <c r="K29" s="9"/>
      <c r="L29" s="9"/>
      <c r="M29" s="21" t="b">
        <v>1</v>
      </c>
      <c r="N29" s="9"/>
      <c r="O29" s="9"/>
      <c r="P29" s="9"/>
      <c r="Q29" s="9"/>
      <c r="R29" s="12"/>
      <c r="S29" s="9"/>
      <c r="T29" s="9"/>
      <c r="U29" s="12"/>
      <c r="V29" s="12"/>
      <c r="W29" s="12"/>
      <c r="X29" s="15"/>
      <c r="Y29" s="15"/>
      <c r="Z29" s="15"/>
      <c r="AA29" s="15"/>
      <c r="AB29" s="15"/>
      <c r="AC29" s="15"/>
      <c r="AD29" s="15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</row>
    <row r="30" spans="1:60">
      <c r="A30" s="9"/>
      <c r="B30" s="9"/>
      <c r="E30" s="21">
        <f>ROW(E30)</f>
        <v>30</v>
      </c>
      <c r="F30" s="9" t="s">
        <v>169</v>
      </c>
      <c r="M30" s="21">
        <f>J21</f>
        <v>16100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102</v>
      </c>
      <c r="J31" s="21"/>
      <c r="M31" s="21">
        <f>M21*10+1</f>
        <v>161011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0"/>
        <v>32</v>
      </c>
      <c r="F32" s="9" t="s">
        <v>143</v>
      </c>
      <c r="M32" s="21">
        <f>M21</f>
        <v>16101</v>
      </c>
      <c r="R32" s="12"/>
      <c r="S32" s="9"/>
      <c r="U32" s="12"/>
      <c r="X32" s="15"/>
      <c r="AE32" s="16"/>
      <c r="BH32" s="9"/>
    </row>
    <row r="33" spans="3:59" s="9" customFormat="1">
      <c r="C33" s="21"/>
      <c r="D33" s="21"/>
      <c r="E33" s="21">
        <f t="shared" si="0"/>
        <v>33</v>
      </c>
      <c r="F33" s="9" t="s">
        <v>127</v>
      </c>
      <c r="G33" s="21">
        <v>300</v>
      </c>
      <c r="H33" s="21">
        <v>60</v>
      </c>
      <c r="I33" s="21">
        <v>120</v>
      </c>
      <c r="J33" s="9" t="s">
        <v>270</v>
      </c>
      <c r="M33" s="21" cm="1">
        <f t="array" ref="M33">_xlfn.SWITCH(C20,1,G33,2,H33,3,I33,4,J33)</f>
        <v>300</v>
      </c>
      <c r="R33" s="12"/>
      <c r="U33" s="12"/>
      <c r="V33" s="12"/>
      <c r="W33" s="12"/>
      <c r="X33" s="15"/>
      <c r="Y33" s="15"/>
      <c r="Z33" s="15"/>
      <c r="AA33" s="15"/>
      <c r="AB33" s="15"/>
      <c r="AC33" s="15"/>
      <c r="AD33" s="15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</row>
    <row r="34" spans="3:59" s="9" customFormat="1">
      <c r="C34" s="21"/>
      <c r="D34" s="21"/>
      <c r="E34" s="21">
        <f t="shared" si="0"/>
        <v>34</v>
      </c>
      <c r="F34" s="9" t="s">
        <v>143</v>
      </c>
      <c r="G34" s="21"/>
      <c r="H34" s="21"/>
      <c r="I34" s="21"/>
      <c r="M34" s="21">
        <f>M44</f>
        <v>161012</v>
      </c>
      <c r="R34" s="12"/>
      <c r="U34" s="12"/>
      <c r="V34" s="12"/>
      <c r="W34" s="12"/>
      <c r="X34" s="15"/>
      <c r="Y34" s="15"/>
      <c r="Z34" s="15"/>
      <c r="AA34" s="15"/>
      <c r="AB34" s="15"/>
      <c r="AC34" s="15"/>
      <c r="AD34" s="15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</row>
    <row r="35" spans="3:59" s="9" customFormat="1">
      <c r="C35" s="21"/>
      <c r="D35" s="21"/>
      <c r="E35" s="21">
        <f t="shared" si="0"/>
        <v>35</v>
      </c>
      <c r="F35" s="9" t="s">
        <v>128</v>
      </c>
      <c r="G35" s="21"/>
      <c r="H35" s="21"/>
      <c r="I35" s="21"/>
      <c r="M35" s="21">
        <v>0</v>
      </c>
      <c r="R35" s="12"/>
      <c r="U35" s="12"/>
      <c r="V35" s="12"/>
      <c r="W35" s="12"/>
      <c r="X35" s="15"/>
      <c r="Y35" s="15"/>
      <c r="Z35" s="15"/>
      <c r="AA35" s="15"/>
      <c r="AB35" s="15"/>
      <c r="AC35" s="15"/>
      <c r="AD35" s="15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</row>
    <row r="36" spans="3:59" s="9" customFormat="1">
      <c r="C36" s="21"/>
      <c r="D36" s="21"/>
      <c r="E36" s="21">
        <f t="shared" si="0"/>
        <v>36</v>
      </c>
      <c r="F36" s="9" t="s">
        <v>35</v>
      </c>
      <c r="G36" s="21"/>
      <c r="H36" s="21"/>
      <c r="I36" s="21"/>
      <c r="M36" s="21">
        <v>300</v>
      </c>
      <c r="R36" s="12"/>
      <c r="U36" s="12"/>
      <c r="V36" s="12"/>
      <c r="W36" s="12"/>
      <c r="X36" s="15"/>
      <c r="Y36" s="15"/>
      <c r="Z36" s="15"/>
      <c r="AA36" s="15"/>
      <c r="AB36" s="15"/>
      <c r="AC36" s="15"/>
      <c r="AD36" s="15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</row>
    <row r="37" spans="3:59" s="9" customFormat="1">
      <c r="C37" s="21"/>
      <c r="D37" s="21"/>
      <c r="E37" s="21"/>
      <c r="F37" s="9" t="s">
        <v>123</v>
      </c>
      <c r="G37" s="21"/>
      <c r="H37" s="21"/>
      <c r="I37" s="21"/>
      <c r="M37" s="21">
        <v>0</v>
      </c>
      <c r="R37" s="12"/>
      <c r="U37" s="12"/>
      <c r="V37" s="12"/>
      <c r="W37" s="12"/>
      <c r="X37" s="15"/>
      <c r="Y37" s="15"/>
      <c r="Z37" s="15"/>
      <c r="AA37" s="15"/>
      <c r="AB37" s="15"/>
      <c r="AC37" s="15"/>
      <c r="AD37" s="15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</row>
    <row r="38" spans="3:59" s="9" customFormat="1">
      <c r="C38" s="21"/>
      <c r="D38" s="21"/>
      <c r="E38" s="21"/>
      <c r="F38" s="9" t="s">
        <v>124</v>
      </c>
      <c r="G38" s="21"/>
      <c r="H38" s="21"/>
      <c r="I38" s="21"/>
      <c r="M38" s="21">
        <v>2</v>
      </c>
      <c r="R38" s="12"/>
      <c r="U38" s="12"/>
      <c r="V38" s="12"/>
      <c r="W38" s="12"/>
      <c r="X38" s="15"/>
      <c r="Y38" s="15"/>
      <c r="Z38" s="15"/>
      <c r="AA38" s="15"/>
      <c r="AB38" s="15"/>
      <c r="AC38" s="15"/>
      <c r="AD38" s="15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</row>
    <row r="39" spans="3:59" s="9" customFormat="1">
      <c r="C39" s="21"/>
      <c r="D39" s="21"/>
      <c r="E39" s="21">
        <f t="shared" si="0"/>
        <v>39</v>
      </c>
      <c r="F39" s="9" t="s">
        <v>120</v>
      </c>
      <c r="G39" s="21"/>
      <c r="H39" s="21"/>
      <c r="I39" s="21"/>
      <c r="M39" s="21">
        <v>240</v>
      </c>
      <c r="R39" s="12"/>
      <c r="U39" s="12"/>
      <c r="V39" s="12"/>
      <c r="W39" s="12"/>
      <c r="X39" s="15"/>
      <c r="Y39" s="15"/>
      <c r="Z39" s="15"/>
      <c r="AA39" s="15"/>
      <c r="AB39" s="15"/>
      <c r="AC39" s="15"/>
      <c r="AD39" s="15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</row>
    <row r="40" spans="3:59" s="9" customFormat="1">
      <c r="C40" s="21"/>
      <c r="D40" s="21"/>
      <c r="E40" s="21">
        <f t="shared" si="0"/>
        <v>40</v>
      </c>
      <c r="F40" s="9" t="s">
        <v>121</v>
      </c>
      <c r="G40" s="21"/>
      <c r="H40" s="21"/>
      <c r="I40" s="21"/>
      <c r="K40" s="9" t="s">
        <v>138</v>
      </c>
      <c r="M40" s="21">
        <v>1</v>
      </c>
      <c r="R40" s="12"/>
      <c r="U40" s="12"/>
      <c r="V40" s="12"/>
      <c r="W40" s="12"/>
      <c r="X40" s="15"/>
      <c r="Y40" s="15"/>
      <c r="Z40" s="15"/>
      <c r="AA40" s="15"/>
      <c r="AB40" s="15"/>
      <c r="AC40" s="15"/>
      <c r="AD40" s="15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</row>
    <row r="41" spans="3:59" s="9" customFormat="1">
      <c r="C41" s="21"/>
      <c r="D41" s="21"/>
      <c r="E41" s="21">
        <f t="shared" si="0"/>
        <v>41</v>
      </c>
      <c r="F41" s="9" t="s">
        <v>177</v>
      </c>
      <c r="G41" s="21"/>
      <c r="H41" s="21"/>
      <c r="I41" s="21"/>
      <c r="K41" s="9" t="s">
        <v>220</v>
      </c>
      <c r="M41" s="27">
        <v>6.3</v>
      </c>
      <c r="R41" s="12"/>
      <c r="U41" s="12"/>
      <c r="V41" s="12"/>
      <c r="W41" s="12"/>
      <c r="X41" s="15"/>
      <c r="Y41" s="15"/>
      <c r="Z41" s="15"/>
      <c r="AA41" s="15"/>
      <c r="AB41" s="15"/>
      <c r="AC41" s="15"/>
      <c r="AD41" s="15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</row>
    <row r="42" spans="3:59" s="9" customFormat="1">
      <c r="C42" s="21"/>
      <c r="D42" s="21"/>
      <c r="E42" s="21">
        <f t="shared" si="0"/>
        <v>42</v>
      </c>
      <c r="F42" s="9" t="s">
        <v>134</v>
      </c>
      <c r="G42" s="21"/>
      <c r="H42" s="21"/>
      <c r="I42" s="21"/>
      <c r="K42" s="9" t="s">
        <v>221</v>
      </c>
      <c r="M42" s="21"/>
      <c r="R42" s="12"/>
      <c r="U42" s="12"/>
      <c r="V42" s="12"/>
      <c r="W42" s="12"/>
      <c r="X42" s="15"/>
      <c r="Y42" s="15"/>
      <c r="Z42" s="15"/>
      <c r="AA42" s="15"/>
      <c r="AB42" s="15"/>
      <c r="AC42" s="15"/>
      <c r="AD42" s="15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</row>
    <row r="43" spans="3:59" s="9" customFormat="1">
      <c r="C43" s="21"/>
      <c r="D43" s="21"/>
      <c r="E43" s="21">
        <f t="shared" si="0"/>
        <v>43</v>
      </c>
      <c r="F43" s="9" t="s">
        <v>184</v>
      </c>
      <c r="G43" s="21">
        <v>270</v>
      </c>
      <c r="H43" s="21">
        <v>0</v>
      </c>
      <c r="I43" s="21">
        <v>90</v>
      </c>
      <c r="J43" s="9" t="s">
        <v>259</v>
      </c>
      <c r="L43" s="9" t="s">
        <v>135</v>
      </c>
      <c r="M43" s="21" cm="1">
        <f t="array" ref="M43">_xlfn.SWITCH(C20,1,G43,2,H43,3,I43,4,J43)</f>
        <v>270</v>
      </c>
      <c r="R43" s="12"/>
      <c r="U43" s="12"/>
      <c r="V43" s="12"/>
      <c r="W43" s="12"/>
      <c r="X43" s="15"/>
      <c r="Y43" s="15"/>
      <c r="Z43" s="15"/>
      <c r="AA43" s="15"/>
      <c r="AB43" s="15"/>
      <c r="AC43" s="15"/>
      <c r="AD43" s="15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</row>
    <row r="44" spans="3:59" s="9" customFormat="1">
      <c r="C44" s="21"/>
      <c r="D44" s="21"/>
      <c r="E44" s="21">
        <f t="shared" si="0"/>
        <v>44</v>
      </c>
      <c r="F44" s="9" t="s">
        <v>102</v>
      </c>
      <c r="G44" s="21"/>
      <c r="H44" s="21"/>
      <c r="I44" s="21"/>
      <c r="J44" s="21"/>
      <c r="M44" s="21">
        <f>M21*10+2</f>
        <v>161012</v>
      </c>
      <c r="R44" s="12"/>
      <c r="U44" s="12"/>
      <c r="V44" s="12"/>
      <c r="W44" s="12"/>
      <c r="X44" s="15"/>
      <c r="Y44" s="15"/>
      <c r="Z44" s="15"/>
      <c r="AA44" s="15"/>
      <c r="AB44" s="15"/>
      <c r="AC44" s="15"/>
      <c r="AD44" s="15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</row>
    <row r="45" spans="3:59" s="9" customFormat="1">
      <c r="C45" s="21"/>
      <c r="D45" s="21"/>
      <c r="E45" s="21">
        <f t="shared" si="0"/>
        <v>45</v>
      </c>
      <c r="F45" s="9" t="s">
        <v>143</v>
      </c>
      <c r="G45" s="21"/>
      <c r="H45" s="21"/>
      <c r="I45" s="21"/>
      <c r="M45" s="21">
        <f>M31</f>
        <v>161011</v>
      </c>
      <c r="R45" s="12"/>
      <c r="U45" s="12"/>
      <c r="V45" s="12"/>
      <c r="W45" s="12"/>
      <c r="X45" s="15"/>
      <c r="Y45" s="15"/>
      <c r="Z45" s="15"/>
      <c r="AA45" s="15"/>
      <c r="AB45" s="15"/>
      <c r="AC45" s="15"/>
      <c r="AD45" s="15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</row>
    <row r="46" spans="3:59" s="9" customFormat="1">
      <c r="C46" s="21"/>
      <c r="D46" s="21"/>
      <c r="E46" s="21">
        <f t="shared" si="0"/>
        <v>46</v>
      </c>
      <c r="F46" s="9" t="s">
        <v>128</v>
      </c>
      <c r="G46" s="21"/>
      <c r="H46" s="21"/>
      <c r="I46" s="21"/>
      <c r="M46" s="21">
        <v>0</v>
      </c>
      <c r="R46" s="12"/>
      <c r="U46" s="12"/>
      <c r="V46" s="12"/>
      <c r="W46" s="12"/>
      <c r="X46" s="15"/>
      <c r="Y46" s="15"/>
      <c r="Z46" s="15"/>
      <c r="AA46" s="15"/>
      <c r="AB46" s="15"/>
      <c r="AC46" s="15"/>
      <c r="AD46" s="15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</row>
    <row r="47" spans="3:59" s="9" customFormat="1">
      <c r="C47" s="21"/>
      <c r="D47" s="21"/>
      <c r="E47" s="21">
        <f t="shared" si="0"/>
        <v>47</v>
      </c>
      <c r="F47" s="9" t="s">
        <v>35</v>
      </c>
      <c r="G47" s="21"/>
      <c r="H47" s="21"/>
      <c r="I47" s="21"/>
      <c r="M47" s="21">
        <v>300</v>
      </c>
      <c r="R47" s="12"/>
      <c r="U47" s="12"/>
      <c r="V47" s="12"/>
      <c r="W47" s="12"/>
      <c r="X47" s="15"/>
      <c r="Y47" s="15"/>
      <c r="Z47" s="15"/>
      <c r="AA47" s="15"/>
      <c r="AB47" s="15"/>
      <c r="AC47" s="15"/>
      <c r="AD47" s="15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</row>
    <row r="48" spans="3:59" s="9" customFormat="1">
      <c r="C48" s="21"/>
      <c r="D48" s="21"/>
      <c r="E48" s="21"/>
      <c r="F48" s="9" t="s">
        <v>123</v>
      </c>
      <c r="G48" s="21"/>
      <c r="H48" s="21"/>
      <c r="I48" s="21"/>
      <c r="M48" s="21">
        <v>0</v>
      </c>
      <c r="R48" s="12"/>
      <c r="U48" s="12"/>
      <c r="V48" s="12"/>
      <c r="W48" s="12"/>
      <c r="X48" s="15"/>
      <c r="Y48" s="15"/>
      <c r="Z48" s="15"/>
      <c r="AA48" s="15"/>
      <c r="AB48" s="15"/>
      <c r="AC48" s="15"/>
      <c r="AD48" s="15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</row>
    <row r="49" spans="3:59" s="9" customFormat="1">
      <c r="C49" s="21"/>
      <c r="D49" s="21"/>
      <c r="E49" s="21"/>
      <c r="F49" s="9" t="s">
        <v>124</v>
      </c>
      <c r="G49" s="21"/>
      <c r="H49" s="21"/>
      <c r="I49" s="21"/>
      <c r="M49" s="21">
        <v>2</v>
      </c>
      <c r="R49" s="12"/>
      <c r="U49" s="12"/>
      <c r="V49" s="12"/>
      <c r="W49" s="12"/>
      <c r="X49" s="15"/>
      <c r="Y49" s="15"/>
      <c r="Z49" s="15"/>
      <c r="AA49" s="15"/>
      <c r="AB49" s="15"/>
      <c r="AC49" s="15"/>
      <c r="AD49" s="15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</row>
    <row r="50" spans="3:59" s="9" customFormat="1">
      <c r="C50" s="21"/>
      <c r="D50" s="21"/>
      <c r="E50" s="21">
        <f t="shared" si="0"/>
        <v>50</v>
      </c>
      <c r="F50" s="9" t="s">
        <v>120</v>
      </c>
      <c r="G50" s="21"/>
      <c r="H50" s="21"/>
      <c r="I50" s="21"/>
      <c r="M50" s="21">
        <v>240</v>
      </c>
      <c r="R50" s="12"/>
      <c r="U50" s="12"/>
      <c r="V50" s="12"/>
      <c r="W50" s="12"/>
      <c r="X50" s="15"/>
      <c r="Y50" s="15"/>
      <c r="Z50" s="15"/>
      <c r="AA50" s="15"/>
      <c r="AB50" s="15"/>
      <c r="AC50" s="15"/>
      <c r="AD50" s="15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</row>
    <row r="51" spans="3:59" s="9" customFormat="1">
      <c r="C51" s="21"/>
      <c r="D51" s="21"/>
      <c r="E51" s="21">
        <f t="shared" si="0"/>
        <v>51</v>
      </c>
      <c r="F51" s="9" t="s">
        <v>121</v>
      </c>
      <c r="G51" s="21"/>
      <c r="H51" s="21"/>
      <c r="I51" s="21"/>
      <c r="K51" s="9" t="s">
        <v>138</v>
      </c>
      <c r="M51" s="21">
        <v>1</v>
      </c>
      <c r="R51" s="12"/>
      <c r="U51" s="12"/>
      <c r="V51" s="12"/>
      <c r="W51" s="12"/>
      <c r="X51" s="15"/>
      <c r="Y51" s="15"/>
      <c r="Z51" s="15"/>
      <c r="AA51" s="15"/>
      <c r="AB51" s="15"/>
      <c r="AC51" s="15"/>
      <c r="AD51" s="15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</row>
    <row r="52" spans="3:59" s="9" customFormat="1">
      <c r="C52" s="21"/>
      <c r="D52" s="21"/>
      <c r="E52" s="21">
        <f t="shared" si="0"/>
        <v>52</v>
      </c>
      <c r="F52" s="9" t="s">
        <v>177</v>
      </c>
      <c r="G52" s="21"/>
      <c r="H52" s="21"/>
      <c r="I52" s="21"/>
      <c r="K52" s="9" t="s">
        <v>220</v>
      </c>
      <c r="M52" s="27">
        <v>6.3</v>
      </c>
      <c r="R52" s="12"/>
      <c r="U52" s="12"/>
      <c r="V52" s="12"/>
      <c r="W52" s="12"/>
      <c r="X52" s="15"/>
      <c r="Y52" s="15"/>
      <c r="Z52" s="15"/>
      <c r="AA52" s="15"/>
      <c r="AB52" s="15"/>
      <c r="AC52" s="15"/>
      <c r="AD52" s="15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</row>
    <row r="53" spans="3:59" s="9" customFormat="1">
      <c r="C53" s="21"/>
      <c r="D53" s="21"/>
      <c r="E53" s="21">
        <f t="shared" si="0"/>
        <v>53</v>
      </c>
      <c r="F53" s="9" t="s">
        <v>134</v>
      </c>
      <c r="G53" s="21"/>
      <c r="H53" s="21"/>
      <c r="I53" s="21"/>
      <c r="K53" s="9" t="s">
        <v>221</v>
      </c>
      <c r="M53" s="21"/>
      <c r="R53" s="12"/>
      <c r="U53" s="12"/>
      <c r="V53" s="12"/>
      <c r="W53" s="12"/>
      <c r="X53" s="15"/>
      <c r="Y53" s="15"/>
      <c r="Z53" s="15"/>
      <c r="AA53" s="15"/>
      <c r="AB53" s="15"/>
      <c r="AC53" s="15"/>
      <c r="AD53" s="15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</row>
    <row r="54" spans="3:59" s="9" customFormat="1">
      <c r="C54" s="21"/>
      <c r="D54" s="21"/>
      <c r="E54" s="21">
        <f t="shared" si="0"/>
        <v>54</v>
      </c>
      <c r="F54" s="9" t="s">
        <v>184</v>
      </c>
      <c r="G54" s="21">
        <v>90</v>
      </c>
      <c r="H54" s="21">
        <v>180</v>
      </c>
      <c r="I54" s="21">
        <v>270</v>
      </c>
      <c r="J54" s="9" t="s">
        <v>260</v>
      </c>
      <c r="L54" s="9" t="s">
        <v>135</v>
      </c>
      <c r="M54" s="21" cm="1">
        <f t="array" ref="M54">_xlfn.SWITCH(C20,1,G54,2,H54,3,I54,4,J54)</f>
        <v>90</v>
      </c>
      <c r="R54" s="12"/>
      <c r="U54" s="12"/>
      <c r="V54" s="12"/>
      <c r="W54" s="12"/>
      <c r="X54" s="15"/>
      <c r="Y54" s="15"/>
      <c r="Z54" s="15"/>
      <c r="AA54" s="15"/>
      <c r="AB54" s="15"/>
      <c r="AC54" s="15"/>
      <c r="AD54" s="15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</row>
    <row r="55" spans="3:59" s="9" customFormat="1">
      <c r="C55" s="21"/>
      <c r="D55" s="21"/>
      <c r="E55" s="21">
        <f t="shared" si="0"/>
        <v>55</v>
      </c>
      <c r="F55" s="9" t="s">
        <v>102</v>
      </c>
      <c r="G55" s="21"/>
      <c r="H55" s="21"/>
      <c r="I55" s="21"/>
      <c r="J55" s="21"/>
      <c r="M55" s="21">
        <f>M21*10+9</f>
        <v>161019</v>
      </c>
      <c r="R55" s="12"/>
      <c r="U55" s="12"/>
      <c r="V55" s="12"/>
      <c r="W55" s="12"/>
      <c r="X55" s="15"/>
      <c r="Y55" s="15"/>
      <c r="Z55" s="15"/>
      <c r="AA55" s="15"/>
      <c r="AB55" s="15"/>
      <c r="AC55" s="15"/>
      <c r="AD55" s="15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</row>
    <row r="56" spans="3:59" s="9" customFormat="1">
      <c r="C56" s="21"/>
      <c r="D56" s="21"/>
      <c r="E56" s="21">
        <f t="shared" si="0"/>
        <v>56</v>
      </c>
      <c r="F56" s="9" t="s">
        <v>143</v>
      </c>
      <c r="G56" s="21"/>
      <c r="H56" s="21"/>
      <c r="I56" s="21"/>
      <c r="M56" s="21">
        <f>M21</f>
        <v>16101</v>
      </c>
      <c r="R56" s="12"/>
      <c r="U56" s="12"/>
      <c r="V56" s="12"/>
      <c r="W56" s="12"/>
      <c r="X56" s="15"/>
      <c r="Y56" s="15"/>
      <c r="Z56" s="15"/>
      <c r="AA56" s="15"/>
      <c r="AB56" s="15"/>
      <c r="AC56" s="15"/>
      <c r="AD56" s="15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</row>
    <row r="57" spans="3:59" s="9" customFormat="1">
      <c r="C57" s="21"/>
      <c r="D57" s="21"/>
      <c r="E57" s="21">
        <f t="shared" si="0"/>
        <v>57</v>
      </c>
      <c r="F57" s="9" t="s">
        <v>127</v>
      </c>
      <c r="G57" s="21"/>
      <c r="H57" s="21"/>
      <c r="I57" s="21"/>
      <c r="M57" s="21">
        <v>120</v>
      </c>
      <c r="R57" s="12"/>
      <c r="U57" s="12"/>
      <c r="V57" s="12"/>
      <c r="W57" s="12"/>
      <c r="X57" s="15"/>
      <c r="Y57" s="15"/>
      <c r="Z57" s="15"/>
      <c r="AA57" s="15"/>
      <c r="AB57" s="15"/>
      <c r="AC57" s="15"/>
      <c r="AD57" s="15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</row>
    <row r="58" spans="3:59" s="9" customFormat="1">
      <c r="C58" s="21"/>
      <c r="D58" s="21"/>
      <c r="E58" s="21">
        <f t="shared" si="0"/>
        <v>58</v>
      </c>
      <c r="F58" s="9" t="s">
        <v>143</v>
      </c>
      <c r="G58" s="21"/>
      <c r="H58" s="21"/>
      <c r="I58" s="21"/>
      <c r="M58" s="21">
        <f>M55</f>
        <v>161019</v>
      </c>
      <c r="R58" s="12"/>
      <c r="U58" s="12"/>
      <c r="V58" s="12"/>
      <c r="W58" s="12"/>
      <c r="X58" s="15"/>
      <c r="Y58" s="15"/>
      <c r="Z58" s="15"/>
      <c r="AA58" s="15"/>
      <c r="AB58" s="15"/>
      <c r="AC58" s="15"/>
      <c r="AD58" s="15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</row>
    <row r="59" spans="3:59" s="9" customFormat="1">
      <c r="C59" s="21"/>
      <c r="D59" s="21"/>
      <c r="E59" s="21">
        <f t="shared" si="0"/>
        <v>59</v>
      </c>
      <c r="F59" s="9" t="s">
        <v>128</v>
      </c>
      <c r="G59" s="21"/>
      <c r="H59" s="21"/>
      <c r="I59" s="21"/>
      <c r="M59" s="21">
        <v>0</v>
      </c>
      <c r="R59" s="12"/>
      <c r="U59" s="12"/>
      <c r="V59" s="12"/>
      <c r="W59" s="12"/>
      <c r="X59" s="15"/>
      <c r="Y59" s="15"/>
      <c r="Z59" s="15"/>
      <c r="AA59" s="15"/>
      <c r="AB59" s="15"/>
      <c r="AC59" s="15"/>
      <c r="AD59" s="15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</row>
    <row r="60" spans="3:59" s="9" customFormat="1">
      <c r="C60" s="21"/>
      <c r="D60" s="21"/>
      <c r="E60" s="21">
        <f t="shared" si="0"/>
        <v>60</v>
      </c>
      <c r="F60" s="9" t="s">
        <v>35</v>
      </c>
      <c r="G60" s="21"/>
      <c r="H60" s="21"/>
      <c r="I60" s="21"/>
      <c r="M60" s="21">
        <v>120</v>
      </c>
      <c r="R60" s="12"/>
      <c r="U60" s="12"/>
      <c r="V60" s="12"/>
      <c r="W60" s="12"/>
      <c r="X60" s="15"/>
      <c r="Y60" s="15"/>
      <c r="Z60" s="15"/>
      <c r="AA60" s="15"/>
      <c r="AB60" s="15"/>
      <c r="AC60" s="15"/>
      <c r="AD60" s="15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1" spans="3:59" s="9" customFormat="1">
      <c r="C61" s="21"/>
      <c r="D61" s="21"/>
      <c r="E61" s="21">
        <f t="shared" si="0"/>
        <v>61</v>
      </c>
      <c r="F61" s="9" t="s">
        <v>99</v>
      </c>
      <c r="G61" s="21"/>
      <c r="H61" s="21"/>
      <c r="I61" s="21"/>
      <c r="K61" s="9" t="s">
        <v>138</v>
      </c>
      <c r="M61" s="21">
        <v>1</v>
      </c>
      <c r="R61" s="12"/>
      <c r="U61" s="12"/>
      <c r="V61" s="12"/>
      <c r="W61" s="12"/>
      <c r="X61" s="15"/>
      <c r="Y61" s="15"/>
      <c r="Z61" s="15"/>
      <c r="AA61" s="15"/>
      <c r="AB61" s="15"/>
      <c r="AC61" s="15"/>
      <c r="AD61" s="15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</row>
    <row r="62" spans="3:59" s="9" customFormat="1">
      <c r="C62" s="21"/>
      <c r="D62" s="21"/>
      <c r="E62" s="21">
        <f t="shared" si="0"/>
        <v>62</v>
      </c>
      <c r="F62" s="9" t="s">
        <v>177</v>
      </c>
      <c r="G62" s="21"/>
      <c r="H62" s="21"/>
      <c r="I62" s="21"/>
      <c r="K62" s="9" t="s">
        <v>220</v>
      </c>
      <c r="M62" s="26">
        <v>2.4</v>
      </c>
      <c r="R62" s="12"/>
      <c r="U62" s="12"/>
      <c r="V62" s="12"/>
      <c r="W62" s="12"/>
      <c r="X62" s="15"/>
      <c r="Y62" s="15"/>
      <c r="Z62" s="15"/>
      <c r="AA62" s="15"/>
      <c r="AB62" s="15"/>
      <c r="AC62" s="15"/>
      <c r="AD62" s="15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</row>
    <row r="63" spans="3:59" s="9" customFormat="1">
      <c r="C63" s="21"/>
      <c r="D63" s="21"/>
      <c r="E63" s="21">
        <f t="shared" si="0"/>
        <v>63</v>
      </c>
      <c r="F63" s="9" t="s">
        <v>134</v>
      </c>
      <c r="G63" s="21"/>
      <c r="H63" s="21"/>
      <c r="I63" s="21"/>
      <c r="K63" s="9" t="s">
        <v>221</v>
      </c>
      <c r="M63" s="21"/>
      <c r="R63" s="12"/>
      <c r="U63" s="12"/>
      <c r="V63" s="12"/>
      <c r="W63" s="12"/>
      <c r="X63" s="15"/>
      <c r="Y63" s="15"/>
      <c r="Z63" s="15"/>
      <c r="AA63" s="15"/>
      <c r="AB63" s="15"/>
      <c r="AC63" s="15"/>
      <c r="AD63" s="15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3:59" s="9" customFormat="1">
      <c r="C64" s="21"/>
      <c r="D64" s="21"/>
      <c r="E64" s="21">
        <f t="shared" si="0"/>
        <v>64</v>
      </c>
      <c r="F64" s="9" t="s">
        <v>258</v>
      </c>
      <c r="G64" s="21">
        <v>0</v>
      </c>
      <c r="H64" s="21">
        <v>90</v>
      </c>
      <c r="I64" s="21">
        <v>180</v>
      </c>
      <c r="J64" s="9" t="s">
        <v>257</v>
      </c>
      <c r="L64" s="9" t="s">
        <v>135</v>
      </c>
      <c r="M64" s="21" cm="1">
        <f t="array" ref="M64">_xlfn.SWITCH(C20,1,G64,2,H64,3,I64,4,J64)</f>
        <v>0</v>
      </c>
      <c r="R64" s="12"/>
      <c r="U64" s="12"/>
      <c r="V64" s="12"/>
      <c r="W64" s="12"/>
      <c r="X64" s="15"/>
      <c r="Y64" s="15"/>
      <c r="Z64" s="15"/>
      <c r="AA64" s="15"/>
      <c r="AB64" s="15"/>
      <c r="AC64" s="15"/>
      <c r="AD64" s="15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</row>
    <row r="65" spans="1:60">
      <c r="A65" s="9"/>
      <c r="B65" s="9"/>
      <c r="E65" s="21">
        <f t="shared" si="0"/>
        <v>65</v>
      </c>
      <c r="F65" s="9" t="s">
        <v>30</v>
      </c>
      <c r="M65" s="21">
        <v>0</v>
      </c>
      <c r="R65" s="12"/>
      <c r="S65" s="9"/>
      <c r="U65" s="12"/>
      <c r="X65" s="15"/>
      <c r="AE65" s="16"/>
      <c r="BH65" s="9"/>
    </row>
    <row r="66" spans="1:60">
      <c r="A66" s="9"/>
      <c r="B66" s="9"/>
      <c r="E66" s="21">
        <f t="shared" si="0"/>
        <v>66</v>
      </c>
      <c r="F66" s="9" t="s">
        <v>31</v>
      </c>
      <c r="L66" s="9" t="s">
        <v>135</v>
      </c>
      <c r="M66" s="21">
        <v>0</v>
      </c>
      <c r="R66" s="12"/>
      <c r="S66" s="9"/>
      <c r="U66" s="12"/>
      <c r="X66" s="15"/>
      <c r="AE66" s="16"/>
      <c r="BH66" s="9"/>
    </row>
    <row r="67" spans="1:60">
      <c r="A67" s="9" t="s">
        <v>229</v>
      </c>
      <c r="B67" s="9">
        <f t="shared" ref="B67:B98" si="1">QUOTIENT( D67-1,G68)+1</f>
        <v>1</v>
      </c>
      <c r="C67" s="21">
        <f t="shared" ref="C67" si="2">D67-(B67-1)*G68</f>
        <v>2</v>
      </c>
      <c r="D67" s="21">
        <f>COUNT($D$14:$D66)+1</f>
        <v>2</v>
      </c>
      <c r="R67" s="12"/>
      <c r="S67" s="9"/>
      <c r="U67" s="12"/>
      <c r="X67" s="15"/>
      <c r="AE67" s="16"/>
      <c r="BH67" s="9"/>
    </row>
    <row r="68" spans="1:60">
      <c r="A68" s="9"/>
      <c r="B68" s="9"/>
      <c r="E68" s="21">
        <f t="shared" ref="E68:E130" si="3">ROW(E68)</f>
        <v>68</v>
      </c>
      <c r="F68" s="9" t="s">
        <v>93</v>
      </c>
      <c r="G68" s="21">
        <v>4</v>
      </c>
      <c r="H68" s="21">
        <v>1</v>
      </c>
      <c r="J68" s="9">
        <v>16100</v>
      </c>
      <c r="M68" s="21">
        <f t="shared" ref="M68:M99" si="4">J68+D67</f>
        <v>16102</v>
      </c>
      <c r="R68" s="12"/>
      <c r="S68" s="9"/>
      <c r="U68" s="12"/>
      <c r="X68" s="15"/>
      <c r="AE68" s="16"/>
      <c r="BH68" s="9"/>
    </row>
    <row r="69" spans="1:60">
      <c r="A69" s="9"/>
      <c r="B69" s="9"/>
      <c r="E69" s="21">
        <f t="shared" si="3"/>
        <v>69</v>
      </c>
      <c r="F69" s="9" t="s">
        <v>143</v>
      </c>
      <c r="M69" s="21">
        <v>16010</v>
      </c>
      <c r="R69" s="12"/>
      <c r="S69" s="9"/>
      <c r="U69" s="12"/>
      <c r="X69" s="15"/>
      <c r="AE69" s="16"/>
      <c r="BH69" s="9"/>
    </row>
    <row r="70" spans="1:60">
      <c r="A70" s="9"/>
      <c r="B70" s="9"/>
      <c r="E70" s="21">
        <f t="shared" si="3"/>
        <v>70</v>
      </c>
      <c r="F70" s="9" t="s">
        <v>128</v>
      </c>
      <c r="M70" s="21">
        <v>0</v>
      </c>
      <c r="R70" s="12"/>
      <c r="S70" s="9"/>
      <c r="U70" s="12"/>
      <c r="X70" s="15"/>
      <c r="AE70" s="16"/>
      <c r="BH70" s="9"/>
    </row>
    <row r="71" spans="1:60">
      <c r="A71" s="9"/>
      <c r="B71" s="9"/>
      <c r="E71" s="21">
        <f t="shared" si="3"/>
        <v>71</v>
      </c>
      <c r="F71" s="9" t="s">
        <v>29</v>
      </c>
      <c r="M71" s="21" t="s">
        <v>254</v>
      </c>
      <c r="R71" s="12"/>
      <c r="S71" s="9"/>
      <c r="U71" s="12"/>
      <c r="X71" s="15"/>
      <c r="AE71" s="16"/>
      <c r="BH71" s="9"/>
    </row>
    <row r="72" spans="1:60">
      <c r="A72" s="9"/>
      <c r="B72" s="9"/>
      <c r="E72" s="21">
        <f t="shared" si="3"/>
        <v>72</v>
      </c>
      <c r="F72" s="9" t="s">
        <v>99</v>
      </c>
      <c r="G72" s="21" t="s">
        <v>261</v>
      </c>
      <c r="H72" s="21" t="s">
        <v>263</v>
      </c>
      <c r="I72" s="21" t="s">
        <v>265</v>
      </c>
      <c r="J72" s="9" t="s">
        <v>267</v>
      </c>
      <c r="K72" s="9" t="s">
        <v>137</v>
      </c>
      <c r="M72" s="21" t="str" cm="1">
        <f t="array" ref="M72">_xlfn.SWITCH(C67,1,G72,2,H72,3,I72,4,J72)</f>
        <v>-4,-5</v>
      </c>
      <c r="R72" s="12"/>
      <c r="S72" s="9"/>
      <c r="U72" s="12"/>
      <c r="X72" s="15"/>
      <c r="AE72" s="16"/>
      <c r="BH72" s="9"/>
    </row>
    <row r="73" spans="1:60">
      <c r="A73" s="9"/>
      <c r="B73" s="9"/>
      <c r="E73" s="21">
        <f t="shared" si="3"/>
        <v>73</v>
      </c>
      <c r="F73" s="9" t="s">
        <v>30</v>
      </c>
      <c r="M73" s="21">
        <v>1.2</v>
      </c>
      <c r="R73" s="12"/>
      <c r="S73" s="9"/>
      <c r="U73" s="12"/>
      <c r="X73" s="15"/>
      <c r="AE73" s="16"/>
      <c r="BH73" s="9"/>
    </row>
    <row r="74" spans="1:60">
      <c r="A74" s="9"/>
      <c r="B74" s="9"/>
      <c r="E74" s="21">
        <f t="shared" si="3"/>
        <v>74</v>
      </c>
      <c r="F74" s="9" t="s">
        <v>31</v>
      </c>
      <c r="G74" s="21">
        <v>180</v>
      </c>
      <c r="H74" s="21">
        <v>270</v>
      </c>
      <c r="I74" s="21">
        <v>0</v>
      </c>
      <c r="J74" s="9" t="s">
        <v>250</v>
      </c>
      <c r="L74" s="9" t="s">
        <v>135</v>
      </c>
      <c r="M74" s="21" cm="1">
        <f t="array" ref="M74">_xlfn.SWITCH(C67,1,G74,2,H74,3,I74,4,J74)</f>
        <v>270</v>
      </c>
      <c r="R74" s="12"/>
      <c r="S74" s="9"/>
      <c r="U74" s="12"/>
      <c r="X74" s="15"/>
      <c r="AE74" s="16"/>
      <c r="BH74" s="9"/>
    </row>
    <row r="75" spans="1:60">
      <c r="A75" s="9"/>
      <c r="B75" s="9"/>
      <c r="E75" s="21">
        <f t="shared" si="3"/>
        <v>75</v>
      </c>
      <c r="F75" s="9" t="s">
        <v>126</v>
      </c>
      <c r="M75" s="21">
        <v>10000</v>
      </c>
      <c r="R75" s="12"/>
      <c r="S75" s="9"/>
      <c r="U75" s="12"/>
      <c r="X75" s="15"/>
      <c r="AE75" s="16"/>
      <c r="BH75" s="9"/>
    </row>
    <row r="76" spans="1:60">
      <c r="A76" s="9"/>
      <c r="B76" s="9"/>
      <c r="E76" s="21">
        <f t="shared" si="3"/>
        <v>76</v>
      </c>
      <c r="F76" s="9" t="s">
        <v>118</v>
      </c>
      <c r="M76" s="21" t="b">
        <v>1</v>
      </c>
      <c r="R76" s="12"/>
      <c r="S76" s="9"/>
      <c r="U76" s="12"/>
      <c r="X76" s="15"/>
      <c r="AE76" s="16"/>
      <c r="BH76" s="9"/>
    </row>
    <row r="77" spans="1:60">
      <c r="A77" s="9"/>
      <c r="B77" s="9"/>
      <c r="E77" s="21">
        <f t="shared" si="3"/>
        <v>77</v>
      </c>
      <c r="F77" s="9" t="s">
        <v>169</v>
      </c>
      <c r="M77" s="21">
        <f t="shared" ref="M77" si="5">J68</f>
        <v>16100</v>
      </c>
      <c r="R77" s="12"/>
      <c r="S77" s="9"/>
      <c r="U77" s="12"/>
      <c r="X77" s="15"/>
      <c r="AE77" s="16"/>
      <c r="BH77" s="9"/>
    </row>
    <row r="78" spans="1:60">
      <c r="A78" s="9"/>
      <c r="B78" s="9"/>
      <c r="E78" s="21">
        <f t="shared" si="3"/>
        <v>78</v>
      </c>
      <c r="F78" s="9" t="s">
        <v>102</v>
      </c>
      <c r="M78" s="21">
        <f t="shared" ref="M78" si="6">M68*10+1</f>
        <v>161021</v>
      </c>
      <c r="R78" s="12"/>
      <c r="S78" s="9"/>
      <c r="U78" s="12"/>
      <c r="X78" s="15"/>
      <c r="AE78" s="16"/>
      <c r="BH78" s="9"/>
    </row>
    <row r="79" spans="1:60">
      <c r="A79" s="9"/>
      <c r="B79" s="9"/>
      <c r="E79" s="21">
        <f t="shared" si="3"/>
        <v>79</v>
      </c>
      <c r="F79" s="9" t="s">
        <v>143</v>
      </c>
      <c r="M79" s="21">
        <f t="shared" ref="M79" si="7">M68</f>
        <v>16102</v>
      </c>
      <c r="R79" s="12"/>
      <c r="S79" s="9"/>
      <c r="U79" s="12"/>
      <c r="X79" s="15"/>
      <c r="AE79" s="16"/>
      <c r="BH79" s="9"/>
    </row>
    <row r="80" spans="1:60">
      <c r="A80" s="9"/>
      <c r="B80" s="9"/>
      <c r="E80" s="21">
        <f t="shared" si="3"/>
        <v>80</v>
      </c>
      <c r="F80" s="9" t="s">
        <v>127</v>
      </c>
      <c r="G80" s="21">
        <v>300</v>
      </c>
      <c r="H80" s="21">
        <v>60</v>
      </c>
      <c r="I80" s="21">
        <v>120</v>
      </c>
      <c r="J80" s="9" t="s">
        <v>269</v>
      </c>
      <c r="M80" s="21" cm="1">
        <f t="array" ref="M80">_xlfn.SWITCH(C67,1,G80,2,H80,3,I80,4,J80)</f>
        <v>60</v>
      </c>
      <c r="R80" s="12"/>
      <c r="S80" s="9"/>
      <c r="U80" s="12"/>
      <c r="X80" s="15"/>
      <c r="AE80" s="16"/>
      <c r="BH80" s="9"/>
    </row>
    <row r="81" spans="3:59" s="9" customFormat="1">
      <c r="C81" s="21"/>
      <c r="D81" s="21"/>
      <c r="E81" s="21">
        <f t="shared" si="3"/>
        <v>81</v>
      </c>
      <c r="F81" s="9" t="s">
        <v>143</v>
      </c>
      <c r="G81" s="21"/>
      <c r="H81" s="21"/>
      <c r="I81" s="21"/>
      <c r="M81" s="21">
        <f t="shared" ref="M81" si="8">M91</f>
        <v>161022</v>
      </c>
      <c r="R81" s="12"/>
      <c r="U81" s="12"/>
      <c r="V81" s="12"/>
      <c r="W81" s="12"/>
      <c r="X81" s="15"/>
      <c r="Y81" s="15"/>
      <c r="Z81" s="15"/>
      <c r="AA81" s="15"/>
      <c r="AB81" s="15"/>
      <c r="AC81" s="15"/>
      <c r="AD81" s="15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3:59" s="9" customFormat="1">
      <c r="C82" s="21"/>
      <c r="D82" s="21"/>
      <c r="E82" s="21">
        <f t="shared" si="3"/>
        <v>82</v>
      </c>
      <c r="F82" s="9" t="s">
        <v>128</v>
      </c>
      <c r="G82" s="21"/>
      <c r="H82" s="21"/>
      <c r="I82" s="21"/>
      <c r="M82" s="21">
        <v>0</v>
      </c>
      <c r="R82" s="12"/>
      <c r="U82" s="12"/>
      <c r="V82" s="12"/>
      <c r="W82" s="12"/>
      <c r="X82" s="15"/>
      <c r="Y82" s="15"/>
      <c r="Z82" s="15"/>
      <c r="AA82" s="15"/>
      <c r="AB82" s="15"/>
      <c r="AC82" s="15"/>
      <c r="AD82" s="15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</row>
    <row r="83" spans="3:59" s="9" customFormat="1">
      <c r="C83" s="21"/>
      <c r="D83" s="21"/>
      <c r="E83" s="21">
        <f t="shared" si="3"/>
        <v>83</v>
      </c>
      <c r="F83" s="9" t="s">
        <v>35</v>
      </c>
      <c r="G83" s="21"/>
      <c r="H83" s="21"/>
      <c r="I83" s="21"/>
      <c r="M83" s="21">
        <v>300</v>
      </c>
      <c r="R83" s="12"/>
      <c r="U83" s="12"/>
      <c r="V83" s="12"/>
      <c r="W83" s="12"/>
      <c r="X83" s="15"/>
      <c r="Y83" s="15"/>
      <c r="Z83" s="15"/>
      <c r="AA83" s="15"/>
      <c r="AB83" s="15"/>
      <c r="AC83" s="15"/>
      <c r="AD83" s="15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4" spans="3:59" s="9" customFormat="1">
      <c r="C84" s="21"/>
      <c r="D84" s="21"/>
      <c r="E84" s="21"/>
      <c r="F84" s="9" t="s">
        <v>123</v>
      </c>
      <c r="G84" s="21"/>
      <c r="H84" s="21"/>
      <c r="I84" s="21"/>
      <c r="M84" s="21">
        <v>0</v>
      </c>
      <c r="R84" s="12"/>
      <c r="U84" s="12"/>
      <c r="V84" s="12"/>
      <c r="W84" s="12"/>
      <c r="X84" s="15"/>
      <c r="Y84" s="15"/>
      <c r="Z84" s="15"/>
      <c r="AA84" s="15"/>
      <c r="AB84" s="15"/>
      <c r="AC84" s="15"/>
      <c r="AD84" s="15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</row>
    <row r="85" spans="3:59" s="9" customFormat="1">
      <c r="C85" s="21"/>
      <c r="D85" s="21"/>
      <c r="E85" s="21"/>
      <c r="F85" s="9" t="s">
        <v>124</v>
      </c>
      <c r="G85" s="21"/>
      <c r="H85" s="21"/>
      <c r="I85" s="21"/>
      <c r="M85" s="21">
        <v>2</v>
      </c>
      <c r="R85" s="12"/>
      <c r="U85" s="12"/>
      <c r="V85" s="12"/>
      <c r="W85" s="12"/>
      <c r="X85" s="15"/>
      <c r="Y85" s="15"/>
      <c r="Z85" s="15"/>
      <c r="AA85" s="15"/>
      <c r="AB85" s="15"/>
      <c r="AC85" s="15"/>
      <c r="AD85" s="15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</row>
    <row r="86" spans="3:59" s="9" customFormat="1">
      <c r="C86" s="21"/>
      <c r="D86" s="21"/>
      <c r="E86" s="21">
        <f t="shared" si="3"/>
        <v>86</v>
      </c>
      <c r="F86" s="9" t="s">
        <v>120</v>
      </c>
      <c r="G86" s="21"/>
      <c r="H86" s="21"/>
      <c r="I86" s="21"/>
      <c r="M86" s="21">
        <v>240</v>
      </c>
      <c r="R86" s="12"/>
      <c r="U86" s="12"/>
      <c r="V86" s="12"/>
      <c r="W86" s="12"/>
      <c r="X86" s="15"/>
      <c r="Y86" s="15"/>
      <c r="Z86" s="15"/>
      <c r="AA86" s="15"/>
      <c r="AB86" s="15"/>
      <c r="AC86" s="15"/>
      <c r="AD86" s="15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</row>
    <row r="87" spans="3:59" s="9" customFormat="1">
      <c r="C87" s="21"/>
      <c r="D87" s="21"/>
      <c r="E87" s="21">
        <f t="shared" si="3"/>
        <v>87</v>
      </c>
      <c r="F87" s="9" t="s">
        <v>121</v>
      </c>
      <c r="G87" s="21"/>
      <c r="H87" s="21"/>
      <c r="I87" s="21"/>
      <c r="K87" s="9" t="s">
        <v>138</v>
      </c>
      <c r="M87" s="21">
        <v>1</v>
      </c>
      <c r="R87" s="12"/>
      <c r="U87" s="12"/>
      <c r="V87" s="12"/>
      <c r="W87" s="12"/>
      <c r="X87" s="15"/>
      <c r="Y87" s="15"/>
      <c r="Z87" s="15"/>
      <c r="AA87" s="15"/>
      <c r="AB87" s="15"/>
      <c r="AC87" s="15"/>
      <c r="AD87" s="15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</row>
    <row r="88" spans="3:59" s="9" customFormat="1">
      <c r="C88" s="21"/>
      <c r="D88" s="21"/>
      <c r="E88" s="21">
        <f t="shared" si="3"/>
        <v>88</v>
      </c>
      <c r="F88" s="9" t="s">
        <v>177</v>
      </c>
      <c r="G88" s="21"/>
      <c r="H88" s="21"/>
      <c r="I88" s="21"/>
      <c r="K88" s="9" t="s">
        <v>220</v>
      </c>
      <c r="M88" s="21">
        <v>6.3</v>
      </c>
      <c r="R88" s="12"/>
      <c r="U88" s="12"/>
      <c r="V88" s="12"/>
      <c r="W88" s="12"/>
      <c r="X88" s="15"/>
      <c r="Y88" s="15"/>
      <c r="Z88" s="15"/>
      <c r="AA88" s="15"/>
      <c r="AB88" s="15"/>
      <c r="AC88" s="15"/>
      <c r="AD88" s="15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</row>
    <row r="89" spans="3:59" s="9" customFormat="1">
      <c r="C89" s="21"/>
      <c r="D89" s="21"/>
      <c r="E89" s="21">
        <f t="shared" si="3"/>
        <v>89</v>
      </c>
      <c r="F89" s="9" t="s">
        <v>134</v>
      </c>
      <c r="G89" s="21"/>
      <c r="H89" s="21"/>
      <c r="I89" s="21"/>
      <c r="K89" s="9" t="s">
        <v>221</v>
      </c>
      <c r="M89" s="21"/>
      <c r="R89" s="12"/>
      <c r="U89" s="12"/>
      <c r="V89" s="12"/>
      <c r="W89" s="12"/>
      <c r="X89" s="15"/>
      <c r="Y89" s="15"/>
      <c r="Z89" s="15"/>
      <c r="AA89" s="15"/>
      <c r="AB89" s="15"/>
      <c r="AC89" s="15"/>
      <c r="AD89" s="15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</row>
    <row r="90" spans="3:59" s="9" customFormat="1">
      <c r="C90" s="21"/>
      <c r="D90" s="21"/>
      <c r="E90" s="21">
        <f t="shared" si="3"/>
        <v>90</v>
      </c>
      <c r="F90" s="9" t="s">
        <v>184</v>
      </c>
      <c r="G90" s="21">
        <v>270</v>
      </c>
      <c r="H90" s="21">
        <v>0</v>
      </c>
      <c r="I90" s="21">
        <v>90</v>
      </c>
      <c r="J90" s="9" t="s">
        <v>252</v>
      </c>
      <c r="L90" s="9" t="s">
        <v>135</v>
      </c>
      <c r="M90" s="21" cm="1">
        <f t="array" ref="M90">_xlfn.SWITCH(C67,1,G90,2,H90,3,I90,4,J90)</f>
        <v>0</v>
      </c>
      <c r="R90" s="12"/>
      <c r="U90" s="12"/>
      <c r="V90" s="12"/>
      <c r="W90" s="12"/>
      <c r="X90" s="15"/>
      <c r="Y90" s="15"/>
      <c r="Z90" s="15"/>
      <c r="AA90" s="15"/>
      <c r="AB90" s="15"/>
      <c r="AC90" s="15"/>
      <c r="AD90" s="15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</row>
    <row r="91" spans="3:59" s="9" customFormat="1">
      <c r="C91" s="21"/>
      <c r="D91" s="21"/>
      <c r="E91" s="21">
        <f t="shared" si="3"/>
        <v>91</v>
      </c>
      <c r="F91" s="9" t="s">
        <v>102</v>
      </c>
      <c r="G91" s="21"/>
      <c r="H91" s="21"/>
      <c r="I91" s="21"/>
      <c r="M91" s="21">
        <f t="shared" ref="M91" si="9">M68*10+2</f>
        <v>161022</v>
      </c>
      <c r="R91" s="12"/>
      <c r="U91" s="12"/>
      <c r="V91" s="12"/>
      <c r="W91" s="12"/>
      <c r="X91" s="15"/>
      <c r="Y91" s="15"/>
      <c r="Z91" s="15"/>
      <c r="AA91" s="15"/>
      <c r="AB91" s="15"/>
      <c r="AC91" s="15"/>
      <c r="AD91" s="15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</row>
    <row r="92" spans="3:59" s="9" customFormat="1">
      <c r="C92" s="21"/>
      <c r="D92" s="21"/>
      <c r="E92" s="21">
        <f t="shared" si="3"/>
        <v>92</v>
      </c>
      <c r="F92" s="9" t="s">
        <v>143</v>
      </c>
      <c r="G92" s="21"/>
      <c r="H92" s="21"/>
      <c r="I92" s="21"/>
      <c r="M92" s="21">
        <f t="shared" ref="M92" si="10">M78</f>
        <v>161021</v>
      </c>
      <c r="R92" s="12"/>
      <c r="U92" s="12"/>
      <c r="V92" s="12"/>
      <c r="W92" s="12"/>
      <c r="X92" s="15"/>
      <c r="Y92" s="15"/>
      <c r="Z92" s="15"/>
      <c r="AA92" s="15"/>
      <c r="AB92" s="15"/>
      <c r="AC92" s="15"/>
      <c r="AD92" s="15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</row>
    <row r="93" spans="3:59" s="9" customFormat="1">
      <c r="C93" s="21"/>
      <c r="D93" s="21"/>
      <c r="E93" s="21">
        <f t="shared" si="3"/>
        <v>93</v>
      </c>
      <c r="F93" s="9" t="s">
        <v>128</v>
      </c>
      <c r="G93" s="21"/>
      <c r="H93" s="21"/>
      <c r="I93" s="21"/>
      <c r="M93" s="21">
        <v>0</v>
      </c>
      <c r="R93" s="12"/>
      <c r="U93" s="12"/>
      <c r="V93" s="12"/>
      <c r="W93" s="12"/>
      <c r="X93" s="15"/>
      <c r="Y93" s="15"/>
      <c r="Z93" s="15"/>
      <c r="AA93" s="15"/>
      <c r="AB93" s="15"/>
      <c r="AC93" s="15"/>
      <c r="AD93" s="15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</row>
    <row r="94" spans="3:59" s="9" customFormat="1">
      <c r="C94" s="21"/>
      <c r="D94" s="21"/>
      <c r="E94" s="21">
        <f t="shared" si="3"/>
        <v>94</v>
      </c>
      <c r="F94" s="9" t="s">
        <v>35</v>
      </c>
      <c r="G94" s="21"/>
      <c r="H94" s="21"/>
      <c r="I94" s="21"/>
      <c r="M94" s="21">
        <v>300</v>
      </c>
      <c r="R94" s="12"/>
      <c r="U94" s="12"/>
      <c r="V94" s="12"/>
      <c r="W94" s="12"/>
      <c r="X94" s="15"/>
      <c r="Y94" s="15"/>
      <c r="Z94" s="15"/>
      <c r="AA94" s="15"/>
      <c r="AB94" s="15"/>
      <c r="AC94" s="15"/>
      <c r="AD94" s="15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</row>
    <row r="95" spans="3:59" s="9" customFormat="1">
      <c r="C95" s="21"/>
      <c r="D95" s="21"/>
      <c r="E95" s="21"/>
      <c r="F95" s="9" t="s">
        <v>123</v>
      </c>
      <c r="G95" s="21"/>
      <c r="H95" s="21"/>
      <c r="I95" s="21"/>
      <c r="M95" s="21">
        <v>0</v>
      </c>
      <c r="R95" s="12"/>
      <c r="U95" s="12"/>
      <c r="V95" s="12"/>
      <c r="W95" s="12"/>
      <c r="X95" s="15"/>
      <c r="Y95" s="15"/>
      <c r="Z95" s="15"/>
      <c r="AA95" s="15"/>
      <c r="AB95" s="15"/>
      <c r="AC95" s="15"/>
      <c r="AD95" s="15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</row>
    <row r="96" spans="3:59" s="9" customFormat="1">
      <c r="C96" s="21"/>
      <c r="D96" s="21"/>
      <c r="E96" s="21"/>
      <c r="F96" s="9" t="s">
        <v>124</v>
      </c>
      <c r="G96" s="21"/>
      <c r="H96" s="21"/>
      <c r="I96" s="21"/>
      <c r="M96" s="21">
        <v>2</v>
      </c>
      <c r="R96" s="12"/>
      <c r="U96" s="12"/>
      <c r="V96" s="12"/>
      <c r="W96" s="12"/>
      <c r="X96" s="15"/>
      <c r="Y96" s="15"/>
      <c r="Z96" s="15"/>
      <c r="AA96" s="15"/>
      <c r="AB96" s="15"/>
      <c r="AC96" s="15"/>
      <c r="AD96" s="15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</row>
    <row r="97" spans="3:59" s="9" customFormat="1">
      <c r="C97" s="21"/>
      <c r="D97" s="21"/>
      <c r="E97" s="21">
        <f t="shared" si="3"/>
        <v>97</v>
      </c>
      <c r="F97" s="9" t="s">
        <v>120</v>
      </c>
      <c r="G97" s="21"/>
      <c r="H97" s="21"/>
      <c r="I97" s="21"/>
      <c r="M97" s="21">
        <v>240</v>
      </c>
      <c r="R97" s="12"/>
      <c r="U97" s="12"/>
      <c r="V97" s="12"/>
      <c r="W97" s="12"/>
      <c r="X97" s="15"/>
      <c r="Y97" s="15"/>
      <c r="Z97" s="15"/>
      <c r="AA97" s="15"/>
      <c r="AB97" s="15"/>
      <c r="AC97" s="15"/>
      <c r="AD97" s="15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</row>
    <row r="98" spans="3:59" s="9" customFormat="1">
      <c r="C98" s="21"/>
      <c r="D98" s="21"/>
      <c r="E98" s="21">
        <f t="shared" si="3"/>
        <v>98</v>
      </c>
      <c r="F98" s="9" t="s">
        <v>121</v>
      </c>
      <c r="G98" s="21"/>
      <c r="H98" s="21"/>
      <c r="I98" s="21"/>
      <c r="K98" s="9" t="s">
        <v>138</v>
      </c>
      <c r="M98" s="21">
        <v>1</v>
      </c>
      <c r="R98" s="12"/>
      <c r="U98" s="12"/>
      <c r="V98" s="12"/>
      <c r="W98" s="12"/>
      <c r="X98" s="15"/>
      <c r="Y98" s="15"/>
      <c r="Z98" s="15"/>
      <c r="AA98" s="15"/>
      <c r="AB98" s="15"/>
      <c r="AC98" s="15"/>
      <c r="AD98" s="15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</row>
    <row r="99" spans="3:59" s="9" customFormat="1">
      <c r="C99" s="21"/>
      <c r="D99" s="21"/>
      <c r="E99" s="21">
        <f t="shared" si="3"/>
        <v>99</v>
      </c>
      <c r="F99" s="9" t="s">
        <v>177</v>
      </c>
      <c r="G99" s="21"/>
      <c r="H99" s="21"/>
      <c r="I99" s="21"/>
      <c r="K99" s="9" t="s">
        <v>220</v>
      </c>
      <c r="M99" s="21">
        <v>6.3</v>
      </c>
      <c r="R99" s="12"/>
      <c r="U99" s="12"/>
      <c r="V99" s="12"/>
      <c r="W99" s="12"/>
      <c r="X99" s="15"/>
      <c r="Y99" s="15"/>
      <c r="Z99" s="15"/>
      <c r="AA99" s="15"/>
      <c r="AB99" s="15"/>
      <c r="AC99" s="15"/>
      <c r="AD99" s="15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</row>
    <row r="100" spans="3:59" s="9" customFormat="1">
      <c r="C100" s="21"/>
      <c r="D100" s="21"/>
      <c r="E100" s="21">
        <f t="shared" si="3"/>
        <v>100</v>
      </c>
      <c r="F100" s="9" t="s">
        <v>134</v>
      </c>
      <c r="G100" s="21"/>
      <c r="H100" s="21"/>
      <c r="I100" s="21"/>
      <c r="K100" s="9" t="s">
        <v>221</v>
      </c>
      <c r="M100" s="21"/>
      <c r="R100" s="12"/>
      <c r="U100" s="12"/>
      <c r="V100" s="12"/>
      <c r="W100" s="12"/>
      <c r="X100" s="15"/>
      <c r="Y100" s="15"/>
      <c r="Z100" s="15"/>
      <c r="AA100" s="15"/>
      <c r="AB100" s="15"/>
      <c r="AC100" s="15"/>
      <c r="AD100" s="15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</row>
    <row r="101" spans="3:59" s="9" customFormat="1">
      <c r="C101" s="21"/>
      <c r="D101" s="21"/>
      <c r="E101" s="21">
        <f t="shared" si="3"/>
        <v>101</v>
      </c>
      <c r="F101" s="9" t="s">
        <v>184</v>
      </c>
      <c r="G101" s="21">
        <v>90</v>
      </c>
      <c r="H101" s="21">
        <v>180</v>
      </c>
      <c r="I101" s="21">
        <v>270</v>
      </c>
      <c r="J101" s="9" t="s">
        <v>253</v>
      </c>
      <c r="L101" s="9" t="s">
        <v>135</v>
      </c>
      <c r="M101" s="21" cm="1">
        <f t="array" ref="M101">_xlfn.SWITCH(C67,1,G101,2,H101,3,I101,4,J101)</f>
        <v>180</v>
      </c>
      <c r="R101" s="12"/>
      <c r="U101" s="12"/>
      <c r="V101" s="12"/>
      <c r="W101" s="12"/>
      <c r="X101" s="15"/>
      <c r="Y101" s="15"/>
      <c r="Z101" s="15"/>
      <c r="AA101" s="15"/>
      <c r="AB101" s="15"/>
      <c r="AC101" s="15"/>
      <c r="AD101" s="15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</row>
    <row r="102" spans="3:59" s="9" customFormat="1">
      <c r="C102" s="21"/>
      <c r="D102" s="21"/>
      <c r="E102" s="21">
        <f t="shared" si="3"/>
        <v>102</v>
      </c>
      <c r="F102" s="9" t="s">
        <v>102</v>
      </c>
      <c r="G102" s="21"/>
      <c r="H102" s="21"/>
      <c r="I102" s="21"/>
      <c r="M102" s="21">
        <f t="shared" ref="M102" si="11">M68*10+9</f>
        <v>161029</v>
      </c>
      <c r="R102" s="12"/>
      <c r="U102" s="12"/>
      <c r="V102" s="12"/>
      <c r="W102" s="12"/>
      <c r="X102" s="15"/>
      <c r="Y102" s="15"/>
      <c r="Z102" s="15"/>
      <c r="AA102" s="15"/>
      <c r="AB102" s="15"/>
      <c r="AC102" s="15"/>
      <c r="AD102" s="15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</row>
    <row r="103" spans="3:59" s="9" customFormat="1">
      <c r="C103" s="21"/>
      <c r="D103" s="21"/>
      <c r="E103" s="21">
        <f t="shared" si="3"/>
        <v>103</v>
      </c>
      <c r="F103" s="9" t="s">
        <v>143</v>
      </c>
      <c r="G103" s="21"/>
      <c r="H103" s="21"/>
      <c r="I103" s="21"/>
      <c r="M103" s="21">
        <f t="shared" ref="M103" si="12">M68</f>
        <v>16102</v>
      </c>
      <c r="R103" s="12"/>
      <c r="U103" s="12"/>
      <c r="V103" s="12"/>
      <c r="W103" s="12"/>
      <c r="X103" s="15"/>
      <c r="Y103" s="15"/>
      <c r="Z103" s="15"/>
      <c r="AA103" s="15"/>
      <c r="AB103" s="15"/>
      <c r="AC103" s="15"/>
      <c r="AD103" s="15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</row>
    <row r="104" spans="3:59" s="9" customFormat="1">
      <c r="C104" s="21"/>
      <c r="D104" s="21"/>
      <c r="E104" s="21">
        <f t="shared" si="3"/>
        <v>104</v>
      </c>
      <c r="F104" s="9" t="s">
        <v>127</v>
      </c>
      <c r="G104" s="21"/>
      <c r="H104" s="21"/>
      <c r="I104" s="21"/>
      <c r="M104" s="21">
        <v>120</v>
      </c>
      <c r="R104" s="12"/>
      <c r="U104" s="12"/>
      <c r="V104" s="12"/>
      <c r="W104" s="12"/>
      <c r="X104" s="15"/>
      <c r="Y104" s="15"/>
      <c r="Z104" s="15"/>
      <c r="AA104" s="15"/>
      <c r="AB104" s="15"/>
      <c r="AC104" s="15"/>
      <c r="AD104" s="15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</row>
    <row r="105" spans="3:59" s="9" customFormat="1">
      <c r="C105" s="21"/>
      <c r="D105" s="21"/>
      <c r="E105" s="21">
        <f t="shared" si="3"/>
        <v>105</v>
      </c>
      <c r="F105" s="9" t="s">
        <v>143</v>
      </c>
      <c r="G105" s="21"/>
      <c r="H105" s="21"/>
      <c r="I105" s="21"/>
      <c r="M105" s="21">
        <f t="shared" ref="M105" si="13">M102</f>
        <v>161029</v>
      </c>
      <c r="R105" s="12"/>
      <c r="U105" s="12"/>
      <c r="V105" s="12"/>
      <c r="W105" s="12"/>
      <c r="X105" s="15"/>
      <c r="Y105" s="15"/>
      <c r="Z105" s="15"/>
      <c r="AA105" s="15"/>
      <c r="AB105" s="15"/>
      <c r="AC105" s="15"/>
      <c r="AD105" s="15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</row>
    <row r="106" spans="3:59" s="9" customFormat="1">
      <c r="C106" s="21"/>
      <c r="D106" s="21"/>
      <c r="E106" s="21">
        <f t="shared" si="3"/>
        <v>106</v>
      </c>
      <c r="F106" s="9" t="s">
        <v>128</v>
      </c>
      <c r="G106" s="21"/>
      <c r="H106" s="21"/>
      <c r="I106" s="21"/>
      <c r="M106" s="21">
        <v>0</v>
      </c>
      <c r="R106" s="12"/>
      <c r="U106" s="12"/>
      <c r="V106" s="12"/>
      <c r="W106" s="12"/>
      <c r="X106" s="15"/>
      <c r="Y106" s="15"/>
      <c r="Z106" s="15"/>
      <c r="AA106" s="15"/>
      <c r="AB106" s="15"/>
      <c r="AC106" s="15"/>
      <c r="AD106" s="15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</row>
    <row r="107" spans="3:59" s="9" customFormat="1">
      <c r="C107" s="21"/>
      <c r="D107" s="21"/>
      <c r="E107" s="21">
        <f t="shared" si="3"/>
        <v>107</v>
      </c>
      <c r="F107" s="9" t="s">
        <v>35</v>
      </c>
      <c r="G107" s="21"/>
      <c r="H107" s="21"/>
      <c r="I107" s="21"/>
      <c r="M107" s="21">
        <v>120</v>
      </c>
      <c r="R107" s="12"/>
      <c r="U107" s="12"/>
      <c r="V107" s="12"/>
      <c r="W107" s="12"/>
      <c r="X107" s="15"/>
      <c r="Y107" s="15"/>
      <c r="Z107" s="15"/>
      <c r="AA107" s="15"/>
      <c r="AB107" s="15"/>
      <c r="AC107" s="15"/>
      <c r="AD107" s="15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</row>
    <row r="108" spans="3:59" s="9" customFormat="1">
      <c r="C108" s="21"/>
      <c r="D108" s="21"/>
      <c r="E108" s="21">
        <f t="shared" si="3"/>
        <v>108</v>
      </c>
      <c r="F108" s="9" t="s">
        <v>99</v>
      </c>
      <c r="G108" s="21"/>
      <c r="H108" s="21"/>
      <c r="I108" s="21"/>
      <c r="K108" s="9" t="s">
        <v>138</v>
      </c>
      <c r="M108" s="21">
        <v>1</v>
      </c>
      <c r="R108" s="12"/>
      <c r="U108" s="12"/>
      <c r="V108" s="12"/>
      <c r="W108" s="12"/>
      <c r="X108" s="15"/>
      <c r="Y108" s="15"/>
      <c r="Z108" s="15"/>
      <c r="AA108" s="15"/>
      <c r="AB108" s="15"/>
      <c r="AC108" s="15"/>
      <c r="AD108" s="15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</row>
    <row r="109" spans="3:59" s="9" customFormat="1">
      <c r="C109" s="21"/>
      <c r="D109" s="21"/>
      <c r="E109" s="21">
        <f t="shared" si="3"/>
        <v>109</v>
      </c>
      <c r="F109" s="9" t="s">
        <v>177</v>
      </c>
      <c r="G109" s="21"/>
      <c r="H109" s="21"/>
      <c r="I109" s="21"/>
      <c r="K109" s="9" t="s">
        <v>220</v>
      </c>
      <c r="M109" s="21">
        <v>2.4</v>
      </c>
      <c r="R109" s="12"/>
      <c r="U109" s="12"/>
      <c r="V109" s="12"/>
      <c r="W109" s="12"/>
      <c r="X109" s="15"/>
      <c r="Y109" s="15"/>
      <c r="Z109" s="15"/>
      <c r="AA109" s="15"/>
      <c r="AB109" s="15"/>
      <c r="AC109" s="15"/>
      <c r="AD109" s="15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</row>
    <row r="110" spans="3:59" s="9" customFormat="1">
      <c r="C110" s="21"/>
      <c r="D110" s="21"/>
      <c r="E110" s="21">
        <f t="shared" si="3"/>
        <v>110</v>
      </c>
      <c r="F110" s="9" t="s">
        <v>134</v>
      </c>
      <c r="G110" s="21"/>
      <c r="H110" s="21"/>
      <c r="I110" s="21"/>
      <c r="K110" s="9" t="s">
        <v>221</v>
      </c>
      <c r="M110" s="21"/>
      <c r="R110" s="12"/>
      <c r="U110" s="12"/>
      <c r="V110" s="12"/>
      <c r="W110" s="12"/>
      <c r="X110" s="15"/>
      <c r="Y110" s="15"/>
      <c r="Z110" s="15"/>
      <c r="AA110" s="15"/>
      <c r="AB110" s="15"/>
      <c r="AC110" s="15"/>
      <c r="AD110" s="15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</row>
    <row r="111" spans="3:59" s="9" customFormat="1">
      <c r="C111" s="21"/>
      <c r="D111" s="21"/>
      <c r="E111" s="21">
        <f t="shared" si="3"/>
        <v>111</v>
      </c>
      <c r="F111" s="9" t="s">
        <v>184</v>
      </c>
      <c r="G111" s="21">
        <v>0</v>
      </c>
      <c r="H111" s="21">
        <v>90</v>
      </c>
      <c r="I111" s="21">
        <v>180</v>
      </c>
      <c r="J111" s="9" t="s">
        <v>256</v>
      </c>
      <c r="L111" s="9" t="s">
        <v>135</v>
      </c>
      <c r="M111" s="21" cm="1">
        <f t="array" ref="M111">_xlfn.SWITCH(C67,1,G111,2,H111,3,I111,4,J111)</f>
        <v>90</v>
      </c>
      <c r="R111" s="12"/>
      <c r="U111" s="12"/>
      <c r="V111" s="12"/>
      <c r="W111" s="12"/>
      <c r="X111" s="15"/>
      <c r="Y111" s="15"/>
      <c r="Z111" s="15"/>
      <c r="AA111" s="15"/>
      <c r="AB111" s="15"/>
      <c r="AC111" s="15"/>
      <c r="AD111" s="15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</row>
    <row r="112" spans="3:59" s="9" customFormat="1">
      <c r="C112" s="21"/>
      <c r="D112" s="21"/>
      <c r="E112" s="21">
        <f t="shared" si="3"/>
        <v>112</v>
      </c>
      <c r="F112" s="9" t="s">
        <v>30</v>
      </c>
      <c r="G112" s="21"/>
      <c r="H112" s="21"/>
      <c r="I112" s="21"/>
      <c r="M112" s="21">
        <v>0</v>
      </c>
      <c r="R112" s="12"/>
      <c r="U112" s="12"/>
      <c r="V112" s="12"/>
      <c r="W112" s="12"/>
      <c r="X112" s="15"/>
      <c r="Y112" s="15"/>
      <c r="Z112" s="15"/>
      <c r="AA112" s="15"/>
      <c r="AB112" s="15"/>
      <c r="AC112" s="15"/>
      <c r="AD112" s="15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</row>
    <row r="113" spans="1:59" s="9" customFormat="1">
      <c r="C113" s="21"/>
      <c r="D113" s="21"/>
      <c r="E113" s="21">
        <f t="shared" si="3"/>
        <v>113</v>
      </c>
      <c r="F113" s="9" t="s">
        <v>31</v>
      </c>
      <c r="G113" s="21"/>
      <c r="H113" s="21"/>
      <c r="I113" s="21"/>
      <c r="L113" s="9" t="s">
        <v>135</v>
      </c>
      <c r="M113" s="21">
        <v>0</v>
      </c>
      <c r="R113" s="12"/>
      <c r="U113" s="12"/>
      <c r="V113" s="12"/>
      <c r="W113" s="12"/>
      <c r="X113" s="15"/>
      <c r="Y113" s="15"/>
      <c r="Z113" s="15"/>
      <c r="AA113" s="15"/>
      <c r="AB113" s="15"/>
      <c r="AC113" s="15"/>
      <c r="AD113" s="15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</row>
    <row r="114" spans="1:59" s="9" customFormat="1">
      <c r="A114" s="9" t="s">
        <v>229</v>
      </c>
      <c r="B114" s="9">
        <f t="shared" ref="B114:B145" si="14">QUOTIENT( D114-1,G115)+1</f>
        <v>1</v>
      </c>
      <c r="C114" s="21">
        <f t="shared" ref="C114" si="15">D114-(B114-1)*G115</f>
        <v>3</v>
      </c>
      <c r="D114" s="21">
        <f>COUNT($D$14:$D113)+1</f>
        <v>3</v>
      </c>
      <c r="E114" s="21"/>
      <c r="G114" s="21"/>
      <c r="H114" s="21"/>
      <c r="I114" s="21"/>
      <c r="M114" s="21"/>
      <c r="R114" s="12"/>
      <c r="U114" s="12"/>
      <c r="V114" s="12"/>
      <c r="W114" s="12"/>
      <c r="X114" s="15"/>
      <c r="Y114" s="15"/>
      <c r="Z114" s="15"/>
      <c r="AA114" s="15"/>
      <c r="AB114" s="15"/>
      <c r="AC114" s="15"/>
      <c r="AD114" s="15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</row>
    <row r="115" spans="1:59" s="9" customFormat="1">
      <c r="C115" s="21"/>
      <c r="D115" s="21"/>
      <c r="E115" s="21">
        <f t="shared" ref="E115:E146" si="16">ROW(E115)</f>
        <v>115</v>
      </c>
      <c r="F115" s="9" t="s">
        <v>93</v>
      </c>
      <c r="G115" s="21">
        <v>4</v>
      </c>
      <c r="H115" s="21">
        <v>1</v>
      </c>
      <c r="I115" s="21"/>
      <c r="J115" s="9">
        <v>16100</v>
      </c>
      <c r="M115" s="21">
        <f t="shared" ref="M115:M146" si="17">J115+D114</f>
        <v>16103</v>
      </c>
      <c r="R115" s="12"/>
      <c r="U115" s="12"/>
      <c r="V115" s="12"/>
      <c r="W115" s="12"/>
      <c r="X115" s="15"/>
      <c r="Y115" s="15"/>
      <c r="Z115" s="15"/>
      <c r="AA115" s="15"/>
      <c r="AB115" s="15"/>
      <c r="AC115" s="15"/>
      <c r="AD115" s="15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</row>
    <row r="116" spans="1:59" s="9" customFormat="1">
      <c r="C116" s="21"/>
      <c r="D116" s="21"/>
      <c r="E116" s="21">
        <f t="shared" si="3"/>
        <v>116</v>
      </c>
      <c r="F116" s="9" t="s">
        <v>143</v>
      </c>
      <c r="G116" s="21"/>
      <c r="H116" s="21"/>
      <c r="I116" s="21"/>
      <c r="M116" s="21">
        <v>16010</v>
      </c>
      <c r="R116" s="12"/>
      <c r="U116" s="12"/>
      <c r="V116" s="12"/>
      <c r="W116" s="12"/>
      <c r="X116" s="15"/>
      <c r="Y116" s="15"/>
      <c r="Z116" s="15"/>
      <c r="AA116" s="15"/>
      <c r="AB116" s="15"/>
      <c r="AC116" s="15"/>
      <c r="AD116" s="15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</row>
    <row r="117" spans="1:59" s="9" customFormat="1">
      <c r="C117" s="21"/>
      <c r="D117" s="21"/>
      <c r="E117" s="21">
        <f t="shared" si="3"/>
        <v>117</v>
      </c>
      <c r="F117" s="9" t="s">
        <v>128</v>
      </c>
      <c r="G117" s="21"/>
      <c r="H117" s="21"/>
      <c r="I117" s="21"/>
      <c r="M117" s="21">
        <v>0</v>
      </c>
      <c r="R117" s="12"/>
      <c r="U117" s="12"/>
      <c r="V117" s="12"/>
      <c r="W117" s="12"/>
      <c r="X117" s="15"/>
      <c r="Y117" s="15"/>
      <c r="Z117" s="15"/>
      <c r="AA117" s="15"/>
      <c r="AB117" s="15"/>
      <c r="AC117" s="15"/>
      <c r="AD117" s="15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</row>
    <row r="118" spans="1:59" s="9" customFormat="1">
      <c r="C118" s="21"/>
      <c r="D118" s="21"/>
      <c r="E118" s="21">
        <f t="shared" si="3"/>
        <v>118</v>
      </c>
      <c r="F118" s="9" t="s">
        <v>29</v>
      </c>
      <c r="G118" s="21"/>
      <c r="H118" s="21"/>
      <c r="I118" s="21"/>
      <c r="M118" s="21" t="s">
        <v>254</v>
      </c>
      <c r="R118" s="12"/>
      <c r="U118" s="12"/>
      <c r="V118" s="12"/>
      <c r="W118" s="12"/>
      <c r="X118" s="15"/>
      <c r="Y118" s="15"/>
      <c r="Z118" s="15"/>
      <c r="AA118" s="15"/>
      <c r="AB118" s="15"/>
      <c r="AC118" s="15"/>
      <c r="AD118" s="15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</row>
    <row r="119" spans="1:59" s="9" customFormat="1">
      <c r="C119" s="21"/>
      <c r="D119" s="21"/>
      <c r="E119" s="21">
        <f t="shared" si="3"/>
        <v>119</v>
      </c>
      <c r="F119" s="9" t="s">
        <v>99</v>
      </c>
      <c r="G119" s="21" t="s">
        <v>261</v>
      </c>
      <c r="H119" s="21" t="s">
        <v>263</v>
      </c>
      <c r="I119" s="21" t="s">
        <v>265</v>
      </c>
      <c r="J119" s="9" t="s">
        <v>267</v>
      </c>
      <c r="K119" s="9" t="s">
        <v>137</v>
      </c>
      <c r="M119" s="21" t="str" cm="1">
        <f t="array" ref="M119">_xlfn.SWITCH(C114,1,G119,2,H119,3,I119,4,J119)</f>
        <v>5,-4</v>
      </c>
      <c r="R119" s="12"/>
      <c r="U119" s="12"/>
      <c r="V119" s="12"/>
      <c r="W119" s="12"/>
      <c r="X119" s="15"/>
      <c r="Y119" s="15"/>
      <c r="Z119" s="15"/>
      <c r="AA119" s="15"/>
      <c r="AB119" s="15"/>
      <c r="AC119" s="15"/>
      <c r="AD119" s="15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</row>
    <row r="120" spans="1:59" s="9" customFormat="1">
      <c r="C120" s="21"/>
      <c r="D120" s="21"/>
      <c r="E120" s="21">
        <f t="shared" si="3"/>
        <v>120</v>
      </c>
      <c r="F120" s="9" t="s">
        <v>30</v>
      </c>
      <c r="G120" s="21"/>
      <c r="H120" s="21"/>
      <c r="I120" s="21"/>
      <c r="M120" s="21">
        <v>1.2</v>
      </c>
      <c r="R120" s="12"/>
      <c r="U120" s="12"/>
      <c r="V120" s="12"/>
      <c r="W120" s="12"/>
      <c r="X120" s="15"/>
      <c r="Y120" s="15"/>
      <c r="Z120" s="15"/>
      <c r="AA120" s="15"/>
      <c r="AB120" s="15"/>
      <c r="AC120" s="15"/>
      <c r="AD120" s="15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</row>
    <row r="121" spans="1:59" s="9" customFormat="1">
      <c r="C121" s="21"/>
      <c r="D121" s="21"/>
      <c r="E121" s="21">
        <f t="shared" si="3"/>
        <v>121</v>
      </c>
      <c r="F121" s="9" t="s">
        <v>31</v>
      </c>
      <c r="G121" s="21">
        <v>180</v>
      </c>
      <c r="H121" s="21">
        <v>270</v>
      </c>
      <c r="I121" s="21">
        <v>0</v>
      </c>
      <c r="J121" s="9" t="s">
        <v>250</v>
      </c>
      <c r="L121" s="9" t="s">
        <v>135</v>
      </c>
      <c r="M121" s="21" cm="1">
        <f t="array" ref="M121">_xlfn.SWITCH(C114,1,G121,2,H121,3,I121,4,J121)</f>
        <v>0</v>
      </c>
      <c r="R121" s="12"/>
      <c r="U121" s="12"/>
      <c r="V121" s="12"/>
      <c r="W121" s="12"/>
      <c r="X121" s="15"/>
      <c r="Y121" s="15"/>
      <c r="Z121" s="15"/>
      <c r="AA121" s="15"/>
      <c r="AB121" s="15"/>
      <c r="AC121" s="15"/>
      <c r="AD121" s="15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</row>
    <row r="122" spans="1:59" s="9" customFormat="1">
      <c r="C122" s="21"/>
      <c r="D122" s="21"/>
      <c r="E122" s="21">
        <f t="shared" si="3"/>
        <v>122</v>
      </c>
      <c r="F122" s="9" t="s">
        <v>126</v>
      </c>
      <c r="G122" s="21"/>
      <c r="H122" s="21"/>
      <c r="I122" s="21"/>
      <c r="M122" s="21">
        <v>10000</v>
      </c>
      <c r="R122" s="12"/>
      <c r="U122" s="12"/>
      <c r="V122" s="12"/>
      <c r="W122" s="12"/>
      <c r="X122" s="15"/>
      <c r="Y122" s="15"/>
      <c r="Z122" s="15"/>
      <c r="AA122" s="15"/>
      <c r="AB122" s="15"/>
      <c r="AC122" s="15"/>
      <c r="AD122" s="15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</row>
    <row r="123" spans="1:59" s="9" customFormat="1">
      <c r="C123" s="21"/>
      <c r="D123" s="21"/>
      <c r="E123" s="21">
        <f t="shared" si="3"/>
        <v>123</v>
      </c>
      <c r="F123" s="9" t="s">
        <v>118</v>
      </c>
      <c r="G123" s="21"/>
      <c r="H123" s="21"/>
      <c r="I123" s="21"/>
      <c r="M123" s="21" t="b">
        <v>1</v>
      </c>
      <c r="R123" s="12"/>
      <c r="U123" s="12"/>
      <c r="V123" s="12"/>
      <c r="W123" s="12"/>
      <c r="X123" s="15"/>
      <c r="Y123" s="15"/>
      <c r="Z123" s="15"/>
      <c r="AA123" s="15"/>
      <c r="AB123" s="15"/>
      <c r="AC123" s="15"/>
      <c r="AD123" s="15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</row>
    <row r="124" spans="1:59" s="9" customFormat="1">
      <c r="C124" s="21"/>
      <c r="D124" s="21"/>
      <c r="E124" s="21">
        <f t="shared" si="3"/>
        <v>124</v>
      </c>
      <c r="F124" s="9" t="s">
        <v>169</v>
      </c>
      <c r="G124" s="21"/>
      <c r="H124" s="21"/>
      <c r="I124" s="21"/>
      <c r="M124" s="21">
        <f t="shared" ref="M124" si="18">J115</f>
        <v>16100</v>
      </c>
      <c r="R124" s="12"/>
      <c r="U124" s="12"/>
      <c r="V124" s="12"/>
      <c r="W124" s="12"/>
      <c r="X124" s="15"/>
      <c r="Y124" s="15"/>
      <c r="Z124" s="15"/>
      <c r="AA124" s="15"/>
      <c r="AB124" s="15"/>
      <c r="AC124" s="15"/>
      <c r="AD124" s="15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</row>
    <row r="125" spans="1:59" s="9" customFormat="1">
      <c r="C125" s="21"/>
      <c r="D125" s="21"/>
      <c r="E125" s="21">
        <f t="shared" si="3"/>
        <v>125</v>
      </c>
      <c r="F125" s="9" t="s">
        <v>102</v>
      </c>
      <c r="G125" s="21"/>
      <c r="H125" s="21"/>
      <c r="I125" s="21"/>
      <c r="M125" s="21">
        <f t="shared" ref="M125" si="19">M115*10+1</f>
        <v>161031</v>
      </c>
      <c r="R125" s="12"/>
      <c r="U125" s="12"/>
      <c r="V125" s="12"/>
      <c r="W125" s="12"/>
      <c r="X125" s="15"/>
      <c r="Y125" s="15"/>
      <c r="Z125" s="15"/>
      <c r="AA125" s="15"/>
      <c r="AB125" s="15"/>
      <c r="AC125" s="15"/>
      <c r="AD125" s="15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</row>
    <row r="126" spans="1:59" s="9" customFormat="1">
      <c r="C126" s="21"/>
      <c r="D126" s="21"/>
      <c r="E126" s="21">
        <f t="shared" si="3"/>
        <v>126</v>
      </c>
      <c r="F126" s="9" t="s">
        <v>143</v>
      </c>
      <c r="G126" s="21"/>
      <c r="H126" s="21"/>
      <c r="I126" s="21"/>
      <c r="M126" s="21">
        <f t="shared" ref="M126" si="20">M115</f>
        <v>16103</v>
      </c>
      <c r="R126" s="12"/>
      <c r="U126" s="12"/>
      <c r="V126" s="12"/>
      <c r="W126" s="12"/>
      <c r="X126" s="15"/>
      <c r="Y126" s="15"/>
      <c r="Z126" s="15"/>
      <c r="AA126" s="15"/>
      <c r="AB126" s="15"/>
      <c r="AC126" s="15"/>
      <c r="AD126" s="15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</row>
    <row r="127" spans="1:59" s="9" customFormat="1">
      <c r="C127" s="21"/>
      <c r="D127" s="21"/>
      <c r="E127" s="21">
        <f t="shared" si="3"/>
        <v>127</v>
      </c>
      <c r="F127" s="9" t="s">
        <v>127</v>
      </c>
      <c r="G127" s="21">
        <v>300</v>
      </c>
      <c r="H127" s="21">
        <v>60</v>
      </c>
      <c r="I127" s="21">
        <v>120</v>
      </c>
      <c r="J127" s="9" t="s">
        <v>269</v>
      </c>
      <c r="M127" s="21" cm="1">
        <f t="array" ref="M127">_xlfn.SWITCH(C114,1,G127,2,H127,3,I127,4,J127)</f>
        <v>120</v>
      </c>
      <c r="R127" s="12"/>
      <c r="U127" s="12"/>
      <c r="V127" s="12"/>
      <c r="W127" s="12"/>
      <c r="X127" s="15"/>
      <c r="Y127" s="15"/>
      <c r="Z127" s="15"/>
      <c r="AA127" s="15"/>
      <c r="AB127" s="15"/>
      <c r="AC127" s="15"/>
      <c r="AD127" s="15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</row>
    <row r="128" spans="1:59" s="9" customFormat="1">
      <c r="C128" s="21"/>
      <c r="D128" s="21"/>
      <c r="E128" s="21">
        <f t="shared" si="3"/>
        <v>128</v>
      </c>
      <c r="F128" s="9" t="s">
        <v>143</v>
      </c>
      <c r="G128" s="21"/>
      <c r="H128" s="21"/>
      <c r="I128" s="21"/>
      <c r="M128" s="21">
        <f t="shared" ref="M128" si="21">M138</f>
        <v>161032</v>
      </c>
      <c r="R128" s="12"/>
      <c r="U128" s="12"/>
      <c r="V128" s="12"/>
      <c r="W128" s="12"/>
      <c r="X128" s="15"/>
      <c r="Y128" s="15"/>
      <c r="Z128" s="15"/>
      <c r="AA128" s="15"/>
      <c r="AB128" s="15"/>
      <c r="AC128" s="15"/>
      <c r="AD128" s="15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</row>
    <row r="129" spans="3:59" s="9" customFormat="1">
      <c r="C129" s="21"/>
      <c r="D129" s="21"/>
      <c r="E129" s="21">
        <f t="shared" si="3"/>
        <v>129</v>
      </c>
      <c r="F129" s="9" t="s">
        <v>128</v>
      </c>
      <c r="G129" s="21"/>
      <c r="H129" s="21"/>
      <c r="I129" s="21"/>
      <c r="M129" s="21">
        <v>0</v>
      </c>
      <c r="R129" s="12"/>
      <c r="U129" s="12"/>
      <c r="V129" s="12"/>
      <c r="W129" s="12"/>
      <c r="X129" s="15"/>
      <c r="Y129" s="15"/>
      <c r="Z129" s="15"/>
      <c r="AA129" s="15"/>
      <c r="AB129" s="15"/>
      <c r="AC129" s="15"/>
      <c r="AD129" s="15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</row>
    <row r="130" spans="3:59" s="9" customFormat="1">
      <c r="C130" s="21"/>
      <c r="D130" s="21"/>
      <c r="E130" s="21">
        <f t="shared" si="3"/>
        <v>130</v>
      </c>
      <c r="F130" s="9" t="s">
        <v>35</v>
      </c>
      <c r="G130" s="21"/>
      <c r="H130" s="21"/>
      <c r="I130" s="21"/>
      <c r="M130" s="21">
        <v>300</v>
      </c>
      <c r="R130" s="12"/>
      <c r="U130" s="12"/>
      <c r="V130" s="12"/>
      <c r="W130" s="12"/>
      <c r="X130" s="15"/>
      <c r="Y130" s="15"/>
      <c r="Z130" s="15"/>
      <c r="AA130" s="15"/>
      <c r="AB130" s="15"/>
      <c r="AC130" s="15"/>
      <c r="AD130" s="15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</row>
    <row r="131" spans="3:59" s="9" customFormat="1">
      <c r="C131" s="21"/>
      <c r="D131" s="21"/>
      <c r="E131" s="21"/>
      <c r="F131" s="9" t="s">
        <v>123</v>
      </c>
      <c r="G131" s="21"/>
      <c r="H131" s="21"/>
      <c r="I131" s="21"/>
      <c r="M131" s="21">
        <v>0</v>
      </c>
      <c r="R131" s="12"/>
      <c r="U131" s="12"/>
      <c r="V131" s="12"/>
      <c r="W131" s="12"/>
      <c r="X131" s="15"/>
      <c r="Y131" s="15"/>
      <c r="Z131" s="15"/>
      <c r="AA131" s="15"/>
      <c r="AB131" s="15"/>
      <c r="AC131" s="15"/>
      <c r="AD131" s="15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</row>
    <row r="132" spans="3:59" s="9" customFormat="1">
      <c r="C132" s="21"/>
      <c r="D132" s="21"/>
      <c r="E132" s="21"/>
      <c r="F132" s="9" t="s">
        <v>124</v>
      </c>
      <c r="G132" s="21"/>
      <c r="H132" s="21"/>
      <c r="I132" s="21"/>
      <c r="M132" s="21">
        <v>2</v>
      </c>
      <c r="R132" s="12"/>
      <c r="U132" s="12"/>
      <c r="V132" s="12"/>
      <c r="W132" s="12"/>
      <c r="X132" s="15"/>
      <c r="Y132" s="15"/>
      <c r="Z132" s="15"/>
      <c r="AA132" s="15"/>
      <c r="AB132" s="15"/>
      <c r="AC132" s="15"/>
      <c r="AD132" s="15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</row>
    <row r="133" spans="3:59" s="9" customFormat="1">
      <c r="C133" s="21"/>
      <c r="D133" s="21"/>
      <c r="E133" s="21">
        <f t="shared" ref="E133:E196" si="22">ROW(E133)</f>
        <v>133</v>
      </c>
      <c r="F133" s="9" t="s">
        <v>120</v>
      </c>
      <c r="G133" s="21"/>
      <c r="H133" s="21"/>
      <c r="I133" s="21"/>
      <c r="M133" s="21">
        <v>240</v>
      </c>
      <c r="R133" s="12"/>
      <c r="U133" s="12"/>
      <c r="V133" s="12"/>
      <c r="W133" s="12"/>
      <c r="X133" s="15"/>
      <c r="Y133" s="15"/>
      <c r="Z133" s="15"/>
      <c r="AA133" s="15"/>
      <c r="AB133" s="15"/>
      <c r="AC133" s="15"/>
      <c r="AD133" s="15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</row>
    <row r="134" spans="3:59" s="9" customFormat="1">
      <c r="C134" s="21"/>
      <c r="D134" s="21"/>
      <c r="E134" s="21">
        <f t="shared" si="22"/>
        <v>134</v>
      </c>
      <c r="F134" s="9" t="s">
        <v>121</v>
      </c>
      <c r="G134" s="21"/>
      <c r="H134" s="21"/>
      <c r="I134" s="21"/>
      <c r="K134" s="9" t="s">
        <v>138</v>
      </c>
      <c r="M134" s="21">
        <v>1</v>
      </c>
      <c r="R134" s="12"/>
      <c r="U134" s="12"/>
      <c r="V134" s="12"/>
      <c r="W134" s="12"/>
      <c r="X134" s="15"/>
      <c r="Y134" s="15"/>
      <c r="Z134" s="15"/>
      <c r="AA134" s="15"/>
      <c r="AB134" s="15"/>
      <c r="AC134" s="15"/>
      <c r="AD134" s="15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</row>
    <row r="135" spans="3:59" s="9" customFormat="1">
      <c r="C135" s="21"/>
      <c r="D135" s="21"/>
      <c r="E135" s="21">
        <f t="shared" si="22"/>
        <v>135</v>
      </c>
      <c r="F135" s="9" t="s">
        <v>177</v>
      </c>
      <c r="G135" s="21"/>
      <c r="H135" s="21"/>
      <c r="I135" s="21"/>
      <c r="K135" s="9" t="s">
        <v>220</v>
      </c>
      <c r="M135" s="21">
        <v>6.3</v>
      </c>
      <c r="R135" s="12"/>
      <c r="U135" s="12"/>
      <c r="V135" s="12"/>
      <c r="W135" s="12"/>
      <c r="X135" s="15"/>
      <c r="Y135" s="15"/>
      <c r="Z135" s="15"/>
      <c r="AA135" s="15"/>
      <c r="AB135" s="15"/>
      <c r="AC135" s="15"/>
      <c r="AD135" s="15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</row>
    <row r="136" spans="3:59" s="9" customFormat="1">
      <c r="C136" s="21"/>
      <c r="D136" s="21"/>
      <c r="E136" s="21">
        <f t="shared" si="22"/>
        <v>136</v>
      </c>
      <c r="F136" s="9" t="s">
        <v>134</v>
      </c>
      <c r="G136" s="21"/>
      <c r="H136" s="21"/>
      <c r="I136" s="21"/>
      <c r="K136" s="9" t="s">
        <v>221</v>
      </c>
      <c r="M136" s="21"/>
      <c r="R136" s="12"/>
      <c r="U136" s="12"/>
      <c r="V136" s="12"/>
      <c r="W136" s="12"/>
      <c r="X136" s="15"/>
      <c r="Y136" s="15"/>
      <c r="Z136" s="15"/>
      <c r="AA136" s="15"/>
      <c r="AB136" s="15"/>
      <c r="AC136" s="15"/>
      <c r="AD136" s="15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</row>
    <row r="137" spans="3:59" s="9" customFormat="1">
      <c r="C137" s="21"/>
      <c r="D137" s="21"/>
      <c r="E137" s="21">
        <f t="shared" si="22"/>
        <v>137</v>
      </c>
      <c r="F137" s="9" t="s">
        <v>184</v>
      </c>
      <c r="G137" s="21">
        <v>270</v>
      </c>
      <c r="H137" s="21">
        <v>0</v>
      </c>
      <c r="I137" s="21">
        <v>90</v>
      </c>
      <c r="J137" s="9" t="s">
        <v>252</v>
      </c>
      <c r="L137" s="9" t="s">
        <v>135</v>
      </c>
      <c r="M137" s="21" cm="1">
        <f t="array" ref="M137">_xlfn.SWITCH(C114,1,G137,2,H137,3,I137,4,J137)</f>
        <v>90</v>
      </c>
      <c r="R137" s="12"/>
      <c r="U137" s="12"/>
      <c r="V137" s="12"/>
      <c r="W137" s="12"/>
      <c r="X137" s="15"/>
      <c r="Y137" s="15"/>
      <c r="Z137" s="15"/>
      <c r="AA137" s="15"/>
      <c r="AB137" s="15"/>
      <c r="AC137" s="15"/>
      <c r="AD137" s="15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</row>
    <row r="138" spans="3:59" s="9" customFormat="1">
      <c r="C138" s="21"/>
      <c r="D138" s="21"/>
      <c r="E138" s="21">
        <f t="shared" si="22"/>
        <v>138</v>
      </c>
      <c r="F138" s="9" t="s">
        <v>102</v>
      </c>
      <c r="G138" s="21"/>
      <c r="H138" s="21"/>
      <c r="I138" s="21"/>
      <c r="M138" s="21">
        <f t="shared" ref="M138" si="23">M115*10+2</f>
        <v>161032</v>
      </c>
      <c r="R138" s="12"/>
      <c r="U138" s="12"/>
      <c r="V138" s="12"/>
      <c r="W138" s="12"/>
      <c r="X138" s="15"/>
      <c r="Y138" s="15"/>
      <c r="Z138" s="15"/>
      <c r="AA138" s="15"/>
      <c r="AB138" s="15"/>
      <c r="AC138" s="15"/>
      <c r="AD138" s="15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</row>
    <row r="139" spans="3:59" s="9" customFormat="1">
      <c r="C139" s="21"/>
      <c r="D139" s="21"/>
      <c r="E139" s="21">
        <f t="shared" si="22"/>
        <v>139</v>
      </c>
      <c r="F139" s="9" t="s">
        <v>143</v>
      </c>
      <c r="G139" s="21"/>
      <c r="H139" s="21"/>
      <c r="I139" s="21"/>
      <c r="M139" s="21">
        <f t="shared" ref="M139" si="24">M125</f>
        <v>161031</v>
      </c>
      <c r="R139" s="12"/>
      <c r="U139" s="12"/>
      <c r="V139" s="12"/>
      <c r="W139" s="12"/>
      <c r="X139" s="15"/>
      <c r="Y139" s="15"/>
      <c r="Z139" s="15"/>
      <c r="AA139" s="15"/>
      <c r="AB139" s="15"/>
      <c r="AC139" s="15"/>
      <c r="AD139" s="15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</row>
    <row r="140" spans="3:59" s="9" customFormat="1">
      <c r="C140" s="21"/>
      <c r="D140" s="21"/>
      <c r="E140" s="21">
        <f t="shared" si="22"/>
        <v>140</v>
      </c>
      <c r="F140" s="9" t="s">
        <v>128</v>
      </c>
      <c r="G140" s="21"/>
      <c r="H140" s="21"/>
      <c r="I140" s="21"/>
      <c r="M140" s="21">
        <v>0</v>
      </c>
      <c r="R140" s="12"/>
      <c r="U140" s="12"/>
      <c r="V140" s="12"/>
      <c r="W140" s="12"/>
      <c r="X140" s="15"/>
      <c r="Y140" s="15"/>
      <c r="Z140" s="15"/>
      <c r="AA140" s="15"/>
      <c r="AB140" s="15"/>
      <c r="AC140" s="15"/>
      <c r="AD140" s="15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</row>
    <row r="141" spans="3:59" s="9" customFormat="1">
      <c r="C141" s="21"/>
      <c r="D141" s="21"/>
      <c r="E141" s="21">
        <f t="shared" si="22"/>
        <v>141</v>
      </c>
      <c r="F141" s="9" t="s">
        <v>35</v>
      </c>
      <c r="G141" s="21"/>
      <c r="H141" s="21"/>
      <c r="I141" s="21"/>
      <c r="M141" s="21">
        <v>300</v>
      </c>
      <c r="R141" s="12"/>
      <c r="U141" s="12"/>
      <c r="V141" s="12"/>
      <c r="W141" s="12"/>
      <c r="X141" s="15"/>
      <c r="Y141" s="15"/>
      <c r="Z141" s="15"/>
      <c r="AA141" s="15"/>
      <c r="AB141" s="15"/>
      <c r="AC141" s="15"/>
      <c r="AD141" s="15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</row>
    <row r="142" spans="3:59" s="9" customFormat="1">
      <c r="C142" s="21"/>
      <c r="D142" s="21"/>
      <c r="E142" s="21"/>
      <c r="F142" s="9" t="s">
        <v>123</v>
      </c>
      <c r="G142" s="21"/>
      <c r="H142" s="21"/>
      <c r="I142" s="21"/>
      <c r="M142" s="21">
        <v>0</v>
      </c>
      <c r="R142" s="12"/>
      <c r="U142" s="12"/>
      <c r="V142" s="12"/>
      <c r="W142" s="12"/>
      <c r="X142" s="15"/>
      <c r="Y142" s="15"/>
      <c r="Z142" s="15"/>
      <c r="AA142" s="15"/>
      <c r="AB142" s="15"/>
      <c r="AC142" s="15"/>
      <c r="AD142" s="15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</row>
    <row r="143" spans="3:59" s="9" customFormat="1">
      <c r="C143" s="21"/>
      <c r="D143" s="21"/>
      <c r="E143" s="21"/>
      <c r="F143" s="9" t="s">
        <v>124</v>
      </c>
      <c r="G143" s="21"/>
      <c r="H143" s="21"/>
      <c r="I143" s="21"/>
      <c r="M143" s="21">
        <v>2</v>
      </c>
      <c r="R143" s="12"/>
      <c r="U143" s="12"/>
      <c r="V143" s="12"/>
      <c r="W143" s="12"/>
      <c r="X143" s="15"/>
      <c r="Y143" s="15"/>
      <c r="Z143" s="15"/>
      <c r="AA143" s="15"/>
      <c r="AB143" s="15"/>
      <c r="AC143" s="15"/>
      <c r="AD143" s="15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</row>
    <row r="144" spans="3:59" s="9" customFormat="1">
      <c r="C144" s="21"/>
      <c r="D144" s="21"/>
      <c r="E144" s="21">
        <f t="shared" si="22"/>
        <v>144</v>
      </c>
      <c r="F144" s="9" t="s">
        <v>120</v>
      </c>
      <c r="G144" s="21"/>
      <c r="H144" s="21"/>
      <c r="I144" s="21"/>
      <c r="M144" s="21">
        <v>240</v>
      </c>
      <c r="R144" s="12"/>
      <c r="U144" s="12"/>
      <c r="V144" s="12"/>
      <c r="W144" s="12"/>
      <c r="X144" s="15"/>
      <c r="Y144" s="15"/>
      <c r="Z144" s="15"/>
      <c r="AA144" s="15"/>
      <c r="AB144" s="15"/>
      <c r="AC144" s="15"/>
      <c r="AD144" s="15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</row>
    <row r="145" spans="3:59" s="9" customFormat="1">
      <c r="C145" s="21"/>
      <c r="D145" s="21"/>
      <c r="E145" s="21">
        <f t="shared" si="22"/>
        <v>145</v>
      </c>
      <c r="F145" s="9" t="s">
        <v>121</v>
      </c>
      <c r="G145" s="21"/>
      <c r="H145" s="21"/>
      <c r="I145" s="21"/>
      <c r="K145" s="9" t="s">
        <v>138</v>
      </c>
      <c r="M145" s="21">
        <v>1</v>
      </c>
      <c r="R145" s="12"/>
      <c r="U145" s="12"/>
      <c r="V145" s="12"/>
      <c r="W145" s="12"/>
      <c r="X145" s="15"/>
      <c r="Y145" s="15"/>
      <c r="Z145" s="15"/>
      <c r="AA145" s="15"/>
      <c r="AB145" s="15"/>
      <c r="AC145" s="15"/>
      <c r="AD145" s="15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</row>
    <row r="146" spans="3:59" s="9" customFormat="1">
      <c r="C146" s="21"/>
      <c r="D146" s="21"/>
      <c r="E146" s="21">
        <f t="shared" si="22"/>
        <v>146</v>
      </c>
      <c r="F146" s="9" t="s">
        <v>177</v>
      </c>
      <c r="G146" s="21"/>
      <c r="H146" s="21"/>
      <c r="I146" s="21"/>
      <c r="K146" s="9" t="s">
        <v>220</v>
      </c>
      <c r="M146" s="21">
        <v>6.3</v>
      </c>
      <c r="R146" s="12"/>
      <c r="U146" s="12"/>
      <c r="V146" s="12"/>
      <c r="W146" s="12"/>
      <c r="X146" s="15"/>
      <c r="Y146" s="15"/>
      <c r="Z146" s="15"/>
      <c r="AA146" s="15"/>
      <c r="AB146" s="15"/>
      <c r="AC146" s="15"/>
      <c r="AD146" s="15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</row>
    <row r="147" spans="3:59" s="9" customFormat="1">
      <c r="C147" s="21"/>
      <c r="D147" s="21"/>
      <c r="E147" s="21">
        <f t="shared" si="22"/>
        <v>147</v>
      </c>
      <c r="F147" s="9" t="s">
        <v>134</v>
      </c>
      <c r="G147" s="21"/>
      <c r="H147" s="21"/>
      <c r="I147" s="21"/>
      <c r="K147" s="9" t="s">
        <v>221</v>
      </c>
      <c r="M147" s="21"/>
      <c r="R147" s="12"/>
      <c r="U147" s="12"/>
      <c r="V147" s="12"/>
      <c r="W147" s="12"/>
      <c r="X147" s="15"/>
      <c r="Y147" s="15"/>
      <c r="Z147" s="15"/>
      <c r="AA147" s="15"/>
      <c r="AB147" s="15"/>
      <c r="AC147" s="15"/>
      <c r="AD147" s="15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</row>
    <row r="148" spans="3:59" s="9" customFormat="1">
      <c r="C148" s="21"/>
      <c r="D148" s="21"/>
      <c r="E148" s="21">
        <f t="shared" si="22"/>
        <v>148</v>
      </c>
      <c r="F148" s="9" t="s">
        <v>184</v>
      </c>
      <c r="G148" s="21">
        <v>90</v>
      </c>
      <c r="H148" s="21">
        <v>180</v>
      </c>
      <c r="I148" s="21">
        <v>270</v>
      </c>
      <c r="J148" s="9" t="s">
        <v>253</v>
      </c>
      <c r="L148" s="9" t="s">
        <v>135</v>
      </c>
      <c r="M148" s="21" cm="1">
        <f t="array" ref="M148">_xlfn.SWITCH(C114,1,G148,2,H148,3,I148,4,J148)</f>
        <v>270</v>
      </c>
      <c r="R148" s="12"/>
      <c r="U148" s="12"/>
      <c r="V148" s="12"/>
      <c r="W148" s="12"/>
      <c r="X148" s="15"/>
      <c r="Y148" s="15"/>
      <c r="Z148" s="15"/>
      <c r="AA148" s="15"/>
      <c r="AB148" s="15"/>
      <c r="AC148" s="15"/>
      <c r="AD148" s="15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</row>
    <row r="149" spans="3:59" s="9" customFormat="1">
      <c r="C149" s="21"/>
      <c r="D149" s="21"/>
      <c r="E149" s="21">
        <f t="shared" si="22"/>
        <v>149</v>
      </c>
      <c r="F149" s="9" t="s">
        <v>102</v>
      </c>
      <c r="G149" s="21"/>
      <c r="H149" s="21"/>
      <c r="I149" s="21"/>
      <c r="M149" s="21">
        <f t="shared" ref="M149" si="25">M115*10+9</f>
        <v>161039</v>
      </c>
      <c r="R149" s="12"/>
      <c r="U149" s="12"/>
      <c r="V149" s="12"/>
      <c r="W149" s="12"/>
      <c r="X149" s="15"/>
      <c r="Y149" s="15"/>
      <c r="Z149" s="15"/>
      <c r="AA149" s="15"/>
      <c r="AB149" s="15"/>
      <c r="AC149" s="15"/>
      <c r="AD149" s="15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</row>
    <row r="150" spans="3:59" s="9" customFormat="1">
      <c r="C150" s="21"/>
      <c r="D150" s="21"/>
      <c r="E150" s="21">
        <f t="shared" si="22"/>
        <v>150</v>
      </c>
      <c r="F150" s="9" t="s">
        <v>143</v>
      </c>
      <c r="G150" s="21"/>
      <c r="H150" s="21"/>
      <c r="I150" s="21"/>
      <c r="M150" s="21">
        <f t="shared" ref="M150" si="26">M115</f>
        <v>16103</v>
      </c>
      <c r="R150" s="12"/>
      <c r="U150" s="12"/>
      <c r="V150" s="12"/>
      <c r="W150" s="12"/>
      <c r="X150" s="15"/>
      <c r="Y150" s="15"/>
      <c r="Z150" s="15"/>
      <c r="AA150" s="15"/>
      <c r="AB150" s="15"/>
      <c r="AC150" s="15"/>
      <c r="AD150" s="15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</row>
    <row r="151" spans="3:59" s="9" customFormat="1">
      <c r="C151" s="21"/>
      <c r="D151" s="21"/>
      <c r="E151" s="21">
        <f t="shared" si="22"/>
        <v>151</v>
      </c>
      <c r="F151" s="9" t="s">
        <v>127</v>
      </c>
      <c r="G151" s="21"/>
      <c r="H151" s="21"/>
      <c r="I151" s="21"/>
      <c r="M151" s="21">
        <v>120</v>
      </c>
      <c r="R151" s="12"/>
      <c r="U151" s="12"/>
      <c r="V151" s="12"/>
      <c r="W151" s="12"/>
      <c r="X151" s="15"/>
      <c r="Y151" s="15"/>
      <c r="Z151" s="15"/>
      <c r="AA151" s="15"/>
      <c r="AB151" s="15"/>
      <c r="AC151" s="15"/>
      <c r="AD151" s="15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</row>
    <row r="152" spans="3:59" s="9" customFormat="1">
      <c r="C152" s="21"/>
      <c r="D152" s="21"/>
      <c r="E152" s="21">
        <f t="shared" si="22"/>
        <v>152</v>
      </c>
      <c r="F152" s="9" t="s">
        <v>143</v>
      </c>
      <c r="G152" s="21"/>
      <c r="H152" s="21"/>
      <c r="I152" s="21"/>
      <c r="M152" s="21">
        <f t="shared" ref="M152" si="27">M149</f>
        <v>161039</v>
      </c>
      <c r="R152" s="12"/>
      <c r="U152" s="12"/>
      <c r="V152" s="12"/>
      <c r="W152" s="12"/>
      <c r="X152" s="15"/>
      <c r="Y152" s="15"/>
      <c r="Z152" s="15"/>
      <c r="AA152" s="15"/>
      <c r="AB152" s="15"/>
      <c r="AC152" s="15"/>
      <c r="AD152" s="15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</row>
    <row r="153" spans="3:59" s="9" customFormat="1">
      <c r="C153" s="21"/>
      <c r="D153" s="21"/>
      <c r="E153" s="21">
        <f t="shared" si="22"/>
        <v>153</v>
      </c>
      <c r="F153" s="9" t="s">
        <v>128</v>
      </c>
      <c r="G153" s="21"/>
      <c r="H153" s="21"/>
      <c r="I153" s="21"/>
      <c r="M153" s="21">
        <v>0</v>
      </c>
      <c r="R153" s="12"/>
      <c r="U153" s="12"/>
      <c r="V153" s="12"/>
      <c r="W153" s="12"/>
      <c r="X153" s="15"/>
      <c r="Y153" s="15"/>
      <c r="Z153" s="15"/>
      <c r="AA153" s="15"/>
      <c r="AB153" s="15"/>
      <c r="AC153" s="15"/>
      <c r="AD153" s="15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</row>
    <row r="154" spans="3:59" s="9" customFormat="1">
      <c r="C154" s="21"/>
      <c r="D154" s="21"/>
      <c r="E154" s="21">
        <f t="shared" si="22"/>
        <v>154</v>
      </c>
      <c r="F154" s="9" t="s">
        <v>35</v>
      </c>
      <c r="G154" s="21"/>
      <c r="H154" s="21"/>
      <c r="I154" s="21"/>
      <c r="M154" s="21">
        <v>120</v>
      </c>
      <c r="R154" s="12"/>
      <c r="U154" s="12"/>
      <c r="V154" s="12"/>
      <c r="W154" s="12"/>
      <c r="X154" s="15"/>
      <c r="Y154" s="15"/>
      <c r="Z154" s="15"/>
      <c r="AA154" s="15"/>
      <c r="AB154" s="15"/>
      <c r="AC154" s="15"/>
      <c r="AD154" s="15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</row>
    <row r="155" spans="3:59" s="9" customFormat="1">
      <c r="C155" s="21"/>
      <c r="D155" s="21"/>
      <c r="E155" s="21">
        <f t="shared" si="22"/>
        <v>155</v>
      </c>
      <c r="F155" s="9" t="s">
        <v>99</v>
      </c>
      <c r="G155" s="21"/>
      <c r="H155" s="21"/>
      <c r="I155" s="21"/>
      <c r="K155" s="9" t="s">
        <v>138</v>
      </c>
      <c r="M155" s="21">
        <v>1</v>
      </c>
      <c r="R155" s="12"/>
      <c r="U155" s="12"/>
      <c r="V155" s="12"/>
      <c r="W155" s="12"/>
      <c r="X155" s="15"/>
      <c r="Y155" s="15"/>
      <c r="Z155" s="15"/>
      <c r="AA155" s="15"/>
      <c r="AB155" s="15"/>
      <c r="AC155" s="15"/>
      <c r="AD155" s="15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</row>
    <row r="156" spans="3:59" s="9" customFormat="1">
      <c r="C156" s="21"/>
      <c r="D156" s="21"/>
      <c r="E156" s="21">
        <f t="shared" si="22"/>
        <v>156</v>
      </c>
      <c r="F156" s="9" t="s">
        <v>177</v>
      </c>
      <c r="G156" s="21"/>
      <c r="H156" s="21"/>
      <c r="I156" s="21"/>
      <c r="K156" s="9" t="s">
        <v>220</v>
      </c>
      <c r="M156" s="21">
        <v>2.4</v>
      </c>
      <c r="R156" s="12"/>
      <c r="U156" s="12"/>
      <c r="V156" s="12"/>
      <c r="W156" s="12"/>
      <c r="X156" s="15"/>
      <c r="Y156" s="15"/>
      <c r="Z156" s="15"/>
      <c r="AA156" s="15"/>
      <c r="AB156" s="15"/>
      <c r="AC156" s="15"/>
      <c r="AD156" s="15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</row>
    <row r="157" spans="3:59" s="9" customFormat="1">
      <c r="C157" s="21"/>
      <c r="D157" s="21"/>
      <c r="E157" s="21">
        <f t="shared" si="22"/>
        <v>157</v>
      </c>
      <c r="F157" s="9" t="s">
        <v>134</v>
      </c>
      <c r="G157" s="21"/>
      <c r="H157" s="21"/>
      <c r="I157" s="21"/>
      <c r="K157" s="9" t="s">
        <v>221</v>
      </c>
      <c r="M157" s="21"/>
      <c r="R157" s="12"/>
      <c r="U157" s="12"/>
      <c r="V157" s="12"/>
      <c r="W157" s="12"/>
      <c r="X157" s="15"/>
      <c r="Y157" s="15"/>
      <c r="Z157" s="15"/>
      <c r="AA157" s="15"/>
      <c r="AB157" s="15"/>
      <c r="AC157" s="15"/>
      <c r="AD157" s="15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</row>
    <row r="158" spans="3:59" s="9" customFormat="1">
      <c r="C158" s="21"/>
      <c r="D158" s="21"/>
      <c r="E158" s="21">
        <f t="shared" si="22"/>
        <v>158</v>
      </c>
      <c r="F158" s="9" t="s">
        <v>184</v>
      </c>
      <c r="G158" s="21">
        <v>0</v>
      </c>
      <c r="H158" s="21">
        <v>90</v>
      </c>
      <c r="I158" s="21">
        <v>180</v>
      </c>
      <c r="J158" s="9" t="s">
        <v>256</v>
      </c>
      <c r="L158" s="9" t="s">
        <v>135</v>
      </c>
      <c r="M158" s="21" cm="1">
        <f t="array" ref="M158">_xlfn.SWITCH(C114,1,G158,2,H158,3,I158,4,J158)</f>
        <v>180</v>
      </c>
      <c r="R158" s="12"/>
      <c r="U158" s="12"/>
      <c r="V158" s="12"/>
      <c r="W158" s="12"/>
      <c r="X158" s="15"/>
      <c r="Y158" s="15"/>
      <c r="Z158" s="15"/>
      <c r="AA158" s="15"/>
      <c r="AB158" s="15"/>
      <c r="AC158" s="15"/>
      <c r="AD158" s="15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</row>
    <row r="159" spans="3:59" s="9" customFormat="1">
      <c r="C159" s="21"/>
      <c r="D159" s="21"/>
      <c r="E159" s="21">
        <f t="shared" si="22"/>
        <v>159</v>
      </c>
      <c r="F159" s="9" t="s">
        <v>30</v>
      </c>
      <c r="G159" s="21"/>
      <c r="H159" s="21"/>
      <c r="I159" s="21"/>
      <c r="M159" s="21">
        <v>0</v>
      </c>
      <c r="R159" s="12"/>
      <c r="U159" s="12"/>
      <c r="V159" s="12"/>
      <c r="W159" s="12"/>
      <c r="X159" s="15"/>
      <c r="Y159" s="15"/>
      <c r="Z159" s="15"/>
      <c r="AA159" s="15"/>
      <c r="AB159" s="15"/>
      <c r="AC159" s="15"/>
      <c r="AD159" s="15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</row>
    <row r="160" spans="3:59" s="9" customFormat="1">
      <c r="C160" s="21"/>
      <c r="D160" s="21"/>
      <c r="E160" s="21">
        <f t="shared" si="22"/>
        <v>160</v>
      </c>
      <c r="F160" s="9" t="s">
        <v>31</v>
      </c>
      <c r="G160" s="21"/>
      <c r="H160" s="21"/>
      <c r="I160" s="21"/>
      <c r="L160" s="9" t="s">
        <v>135</v>
      </c>
      <c r="M160" s="21">
        <v>0</v>
      </c>
      <c r="R160" s="12"/>
      <c r="U160" s="12"/>
      <c r="V160" s="12"/>
      <c r="W160" s="12"/>
      <c r="X160" s="15"/>
      <c r="Y160" s="15"/>
      <c r="Z160" s="15"/>
      <c r="AA160" s="15"/>
      <c r="AB160" s="15"/>
      <c r="AC160" s="15"/>
      <c r="AD160" s="15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</row>
    <row r="161" spans="1:59" s="9" customFormat="1">
      <c r="A161" s="9" t="s">
        <v>229</v>
      </c>
      <c r="B161" s="9">
        <f t="shared" ref="B161:B207" si="28">QUOTIENT( D161-1,G162)+1</f>
        <v>1</v>
      </c>
      <c r="C161" s="21">
        <f t="shared" ref="C161" si="29">D161-(B161-1)*G162</f>
        <v>4</v>
      </c>
      <c r="D161" s="21">
        <f>COUNT($D$14:$D160)+1</f>
        <v>4</v>
      </c>
      <c r="E161" s="21"/>
      <c r="G161" s="21"/>
      <c r="H161" s="21"/>
      <c r="I161" s="21"/>
      <c r="M161" s="21"/>
      <c r="R161" s="12"/>
      <c r="U161" s="12"/>
      <c r="V161" s="12"/>
      <c r="W161" s="12"/>
      <c r="X161" s="15"/>
      <c r="Y161" s="15"/>
      <c r="Z161" s="15"/>
      <c r="AA161" s="15"/>
      <c r="AB161" s="15"/>
      <c r="AC161" s="15"/>
      <c r="AD161" s="15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</row>
    <row r="162" spans="1:59" s="9" customFormat="1">
      <c r="C162" s="21"/>
      <c r="D162" s="21"/>
      <c r="E162" s="21">
        <f t="shared" ref="E162:E207" si="30">ROW(E162)</f>
        <v>162</v>
      </c>
      <c r="F162" s="9" t="s">
        <v>93</v>
      </c>
      <c r="G162" s="21">
        <v>4</v>
      </c>
      <c r="H162" s="21">
        <v>1</v>
      </c>
      <c r="I162" s="21"/>
      <c r="J162" s="9">
        <v>16100</v>
      </c>
      <c r="M162" s="21">
        <f t="shared" ref="M162:M207" si="31">J162+D161</f>
        <v>16104</v>
      </c>
      <c r="R162" s="12"/>
      <c r="U162" s="12"/>
      <c r="V162" s="12"/>
      <c r="W162" s="12"/>
      <c r="X162" s="15"/>
      <c r="Y162" s="15"/>
      <c r="Z162" s="15"/>
      <c r="AA162" s="15"/>
      <c r="AB162" s="15"/>
      <c r="AC162" s="15"/>
      <c r="AD162" s="15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</row>
    <row r="163" spans="1:59" s="9" customFormat="1">
      <c r="C163" s="21"/>
      <c r="D163" s="21"/>
      <c r="E163" s="21">
        <f t="shared" si="22"/>
        <v>163</v>
      </c>
      <c r="F163" s="9" t="s">
        <v>143</v>
      </c>
      <c r="G163" s="21"/>
      <c r="H163" s="21"/>
      <c r="I163" s="21"/>
      <c r="M163" s="21">
        <v>16010</v>
      </c>
      <c r="R163" s="12"/>
      <c r="U163" s="12"/>
      <c r="V163" s="12"/>
      <c r="W163" s="12"/>
      <c r="X163" s="15"/>
      <c r="Y163" s="15"/>
      <c r="Z163" s="15"/>
      <c r="AA163" s="15"/>
      <c r="AB163" s="15"/>
      <c r="AC163" s="15"/>
      <c r="AD163" s="15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</row>
    <row r="164" spans="1:59" s="9" customFormat="1">
      <c r="C164" s="21"/>
      <c r="D164" s="21"/>
      <c r="E164" s="21">
        <f t="shared" si="22"/>
        <v>164</v>
      </c>
      <c r="F164" s="9" t="s">
        <v>128</v>
      </c>
      <c r="G164" s="21"/>
      <c r="H164" s="21"/>
      <c r="I164" s="21"/>
      <c r="M164" s="21">
        <v>0</v>
      </c>
      <c r="R164" s="12"/>
      <c r="U164" s="12"/>
      <c r="V164" s="12"/>
      <c r="W164" s="12"/>
      <c r="X164" s="15"/>
      <c r="Y164" s="15"/>
      <c r="Z164" s="15"/>
      <c r="AA164" s="15"/>
      <c r="AB164" s="15"/>
      <c r="AC164" s="15"/>
      <c r="AD164" s="15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</row>
    <row r="165" spans="1:59" s="9" customFormat="1">
      <c r="C165" s="21"/>
      <c r="D165" s="21"/>
      <c r="E165" s="21">
        <f t="shared" si="22"/>
        <v>165</v>
      </c>
      <c r="F165" s="9" t="s">
        <v>29</v>
      </c>
      <c r="G165" s="21"/>
      <c r="H165" s="21"/>
      <c r="I165" s="21"/>
      <c r="M165" s="21" t="s">
        <v>254</v>
      </c>
      <c r="R165" s="12"/>
      <c r="U165" s="12"/>
      <c r="V165" s="12"/>
      <c r="W165" s="12"/>
      <c r="X165" s="15"/>
      <c r="Y165" s="15"/>
      <c r="Z165" s="15"/>
      <c r="AA165" s="15"/>
      <c r="AB165" s="15"/>
      <c r="AC165" s="15"/>
      <c r="AD165" s="15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</row>
    <row r="166" spans="1:59" s="9" customFormat="1">
      <c r="C166" s="21"/>
      <c r="D166" s="21"/>
      <c r="E166" s="21">
        <f t="shared" si="22"/>
        <v>166</v>
      </c>
      <c r="F166" s="9" t="s">
        <v>99</v>
      </c>
      <c r="G166" s="21" t="s">
        <v>261</v>
      </c>
      <c r="H166" s="21" t="s">
        <v>263</v>
      </c>
      <c r="I166" s="21" t="s">
        <v>265</v>
      </c>
      <c r="J166" s="9" t="s">
        <v>267</v>
      </c>
      <c r="K166" s="9" t="s">
        <v>137</v>
      </c>
      <c r="M166" s="21" t="str" cm="1">
        <f t="array" ref="M166">_xlfn.SWITCH(C161,1,G166,2,H166,3,I166,4,J166)</f>
        <v>4,5</v>
      </c>
      <c r="R166" s="12"/>
      <c r="U166" s="12"/>
      <c r="V166" s="12"/>
      <c r="W166" s="12"/>
      <c r="X166" s="15"/>
      <c r="Y166" s="15"/>
      <c r="Z166" s="15"/>
      <c r="AA166" s="15"/>
      <c r="AB166" s="15"/>
      <c r="AC166" s="15"/>
      <c r="AD166" s="15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</row>
    <row r="167" spans="1:59" s="9" customFormat="1">
      <c r="C167" s="21"/>
      <c r="D167" s="21"/>
      <c r="E167" s="21">
        <f t="shared" si="22"/>
        <v>167</v>
      </c>
      <c r="F167" s="9" t="s">
        <v>30</v>
      </c>
      <c r="G167" s="21"/>
      <c r="H167" s="21"/>
      <c r="I167" s="21"/>
      <c r="M167" s="21">
        <v>1.2</v>
      </c>
      <c r="R167" s="12"/>
      <c r="U167" s="12"/>
      <c r="V167" s="12"/>
      <c r="W167" s="12"/>
      <c r="X167" s="15"/>
      <c r="Y167" s="15"/>
      <c r="Z167" s="15"/>
      <c r="AA167" s="15"/>
      <c r="AB167" s="15"/>
      <c r="AC167" s="15"/>
      <c r="AD167" s="15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</row>
    <row r="168" spans="1:59" s="9" customFormat="1">
      <c r="C168" s="21"/>
      <c r="D168" s="21"/>
      <c r="E168" s="21">
        <f t="shared" si="22"/>
        <v>168</v>
      </c>
      <c r="F168" s="9" t="s">
        <v>31</v>
      </c>
      <c r="G168" s="21">
        <v>180</v>
      </c>
      <c r="H168" s="21">
        <v>270</v>
      </c>
      <c r="I168" s="21">
        <v>0</v>
      </c>
      <c r="J168" s="9" t="s">
        <v>250</v>
      </c>
      <c r="L168" s="9" t="s">
        <v>135</v>
      </c>
      <c r="M168" s="21" t="str" cm="1">
        <f t="array" ref="M168">_xlfn.SWITCH(C161,1,G168,2,H168,3,I168,4,J168)</f>
        <v>90</v>
      </c>
      <c r="R168" s="12"/>
      <c r="U168" s="12"/>
      <c r="V168" s="12"/>
      <c r="W168" s="12"/>
      <c r="X168" s="15"/>
      <c r="Y168" s="15"/>
      <c r="Z168" s="15"/>
      <c r="AA168" s="15"/>
      <c r="AB168" s="15"/>
      <c r="AC168" s="15"/>
      <c r="AD168" s="15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</row>
    <row r="169" spans="1:59" s="9" customFormat="1">
      <c r="C169" s="21"/>
      <c r="D169" s="21"/>
      <c r="E169" s="21">
        <f t="shared" si="22"/>
        <v>169</v>
      </c>
      <c r="F169" s="9" t="s">
        <v>126</v>
      </c>
      <c r="G169" s="21"/>
      <c r="H169" s="21"/>
      <c r="I169" s="21"/>
      <c r="M169" s="21">
        <v>10000</v>
      </c>
      <c r="R169" s="12"/>
      <c r="U169" s="12"/>
      <c r="V169" s="12"/>
      <c r="W169" s="12"/>
      <c r="X169" s="15"/>
      <c r="Y169" s="15"/>
      <c r="Z169" s="15"/>
      <c r="AA169" s="15"/>
      <c r="AB169" s="15"/>
      <c r="AC169" s="15"/>
      <c r="AD169" s="15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</row>
    <row r="170" spans="1:59" s="9" customFormat="1">
      <c r="C170" s="21"/>
      <c r="D170" s="21"/>
      <c r="E170" s="21">
        <f t="shared" si="22"/>
        <v>170</v>
      </c>
      <c r="F170" s="9" t="s">
        <v>118</v>
      </c>
      <c r="G170" s="21"/>
      <c r="H170" s="21"/>
      <c r="I170" s="21"/>
      <c r="M170" s="21" t="b">
        <v>1</v>
      </c>
      <c r="R170" s="12"/>
      <c r="U170" s="12"/>
      <c r="V170" s="12"/>
      <c r="W170" s="12"/>
      <c r="X170" s="15"/>
      <c r="Y170" s="15"/>
      <c r="Z170" s="15"/>
      <c r="AA170" s="15"/>
      <c r="AB170" s="15"/>
      <c r="AC170" s="15"/>
      <c r="AD170" s="15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</row>
    <row r="171" spans="1:59" s="9" customFormat="1">
      <c r="C171" s="21"/>
      <c r="D171" s="21"/>
      <c r="E171" s="21">
        <f t="shared" si="22"/>
        <v>171</v>
      </c>
      <c r="F171" s="9" t="s">
        <v>169</v>
      </c>
      <c r="G171" s="21"/>
      <c r="H171" s="21"/>
      <c r="I171" s="21"/>
      <c r="M171" s="21">
        <f t="shared" ref="M171" si="32">J162</f>
        <v>16100</v>
      </c>
      <c r="R171" s="12"/>
      <c r="U171" s="12"/>
      <c r="V171" s="12"/>
      <c r="W171" s="12"/>
      <c r="X171" s="15"/>
      <c r="Y171" s="15"/>
      <c r="Z171" s="15"/>
      <c r="AA171" s="15"/>
      <c r="AB171" s="15"/>
      <c r="AC171" s="15"/>
      <c r="AD171" s="15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</row>
    <row r="172" spans="1:59" s="9" customFormat="1">
      <c r="C172" s="21"/>
      <c r="D172" s="21"/>
      <c r="E172" s="21">
        <f t="shared" si="22"/>
        <v>172</v>
      </c>
      <c r="F172" s="9" t="s">
        <v>102</v>
      </c>
      <c r="G172" s="21"/>
      <c r="H172" s="21"/>
      <c r="I172" s="21"/>
      <c r="M172" s="21">
        <f t="shared" ref="M172" si="33">M162*10+1</f>
        <v>161041</v>
      </c>
      <c r="R172" s="12"/>
      <c r="U172" s="12"/>
      <c r="V172" s="12"/>
      <c r="W172" s="12"/>
      <c r="X172" s="15"/>
      <c r="Y172" s="15"/>
      <c r="Z172" s="15"/>
      <c r="AA172" s="15"/>
      <c r="AB172" s="15"/>
      <c r="AC172" s="15"/>
      <c r="AD172" s="15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</row>
    <row r="173" spans="1:59" s="9" customFormat="1">
      <c r="C173" s="21"/>
      <c r="D173" s="21"/>
      <c r="E173" s="21">
        <f t="shared" si="22"/>
        <v>173</v>
      </c>
      <c r="F173" s="9" t="s">
        <v>143</v>
      </c>
      <c r="G173" s="21"/>
      <c r="H173" s="21"/>
      <c r="I173" s="21"/>
      <c r="M173" s="21">
        <f t="shared" ref="M173" si="34">M162</f>
        <v>16104</v>
      </c>
      <c r="R173" s="12"/>
      <c r="U173" s="12"/>
      <c r="V173" s="12"/>
      <c r="W173" s="12"/>
      <c r="X173" s="15"/>
      <c r="Y173" s="15"/>
      <c r="Z173" s="15"/>
      <c r="AA173" s="15"/>
      <c r="AB173" s="15"/>
      <c r="AC173" s="15"/>
      <c r="AD173" s="15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</row>
    <row r="174" spans="1:59" s="9" customFormat="1">
      <c r="C174" s="21"/>
      <c r="D174" s="21"/>
      <c r="E174" s="21">
        <f t="shared" si="22"/>
        <v>174</v>
      </c>
      <c r="F174" s="9" t="s">
        <v>127</v>
      </c>
      <c r="G174" s="21">
        <v>300</v>
      </c>
      <c r="H174" s="21">
        <v>60</v>
      </c>
      <c r="I174" s="21">
        <v>120</v>
      </c>
      <c r="J174" s="9" t="s">
        <v>269</v>
      </c>
      <c r="M174" s="21" t="str" cm="1">
        <f t="array" ref="M174">_xlfn.SWITCH(C161,1,G174,2,H174,3,I174,4,J174)</f>
        <v>240</v>
      </c>
      <c r="R174" s="12"/>
      <c r="U174" s="12"/>
      <c r="V174" s="12"/>
      <c r="W174" s="12"/>
      <c r="X174" s="15"/>
      <c r="Y174" s="15"/>
      <c r="Z174" s="15"/>
      <c r="AA174" s="15"/>
      <c r="AB174" s="15"/>
      <c r="AC174" s="15"/>
      <c r="AD174" s="15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</row>
    <row r="175" spans="1:59" s="9" customFormat="1">
      <c r="C175" s="21"/>
      <c r="D175" s="21"/>
      <c r="E175" s="21">
        <f t="shared" si="22"/>
        <v>175</v>
      </c>
      <c r="F175" s="9" t="s">
        <v>143</v>
      </c>
      <c r="G175" s="21"/>
      <c r="H175" s="21"/>
      <c r="I175" s="21"/>
      <c r="M175" s="21">
        <f t="shared" ref="M175" si="35">M185</f>
        <v>161042</v>
      </c>
      <c r="R175" s="12"/>
      <c r="U175" s="12"/>
      <c r="V175" s="12"/>
      <c r="W175" s="12"/>
      <c r="X175" s="15"/>
      <c r="Y175" s="15"/>
      <c r="Z175" s="15"/>
      <c r="AA175" s="15"/>
      <c r="AB175" s="15"/>
      <c r="AC175" s="15"/>
      <c r="AD175" s="15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</row>
    <row r="176" spans="1:59" s="9" customFormat="1">
      <c r="C176" s="21"/>
      <c r="D176" s="21"/>
      <c r="E176" s="21">
        <f t="shared" si="22"/>
        <v>176</v>
      </c>
      <c r="F176" s="9" t="s">
        <v>128</v>
      </c>
      <c r="G176" s="21"/>
      <c r="H176" s="21"/>
      <c r="I176" s="21"/>
      <c r="M176" s="21">
        <v>0</v>
      </c>
      <c r="R176" s="12"/>
      <c r="U176" s="12"/>
      <c r="V176" s="12"/>
      <c r="W176" s="12"/>
      <c r="X176" s="15"/>
      <c r="Y176" s="15"/>
      <c r="Z176" s="15"/>
      <c r="AA176" s="15"/>
      <c r="AB176" s="15"/>
      <c r="AC176" s="15"/>
      <c r="AD176" s="15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</row>
    <row r="177" spans="3:59" s="9" customFormat="1">
      <c r="C177" s="21"/>
      <c r="D177" s="21"/>
      <c r="E177" s="21">
        <f t="shared" si="22"/>
        <v>177</v>
      </c>
      <c r="F177" s="9" t="s">
        <v>35</v>
      </c>
      <c r="G177" s="21"/>
      <c r="H177" s="21"/>
      <c r="I177" s="21"/>
      <c r="M177" s="21">
        <v>300</v>
      </c>
      <c r="R177" s="12"/>
      <c r="U177" s="12"/>
      <c r="V177" s="12"/>
      <c r="W177" s="12"/>
      <c r="X177" s="15"/>
      <c r="Y177" s="15"/>
      <c r="Z177" s="15"/>
      <c r="AA177" s="15"/>
      <c r="AB177" s="15"/>
      <c r="AC177" s="15"/>
      <c r="AD177" s="15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</row>
    <row r="178" spans="3:59" s="9" customFormat="1">
      <c r="C178" s="21"/>
      <c r="D178" s="21"/>
      <c r="E178" s="21"/>
      <c r="F178" s="9" t="s">
        <v>123</v>
      </c>
      <c r="G178" s="21"/>
      <c r="H178" s="21"/>
      <c r="I178" s="21"/>
      <c r="M178" s="21">
        <v>0</v>
      </c>
      <c r="R178" s="12"/>
      <c r="U178" s="12"/>
      <c r="V178" s="12"/>
      <c r="W178" s="12"/>
      <c r="X178" s="15"/>
      <c r="Y178" s="15"/>
      <c r="Z178" s="15"/>
      <c r="AA178" s="15"/>
      <c r="AB178" s="15"/>
      <c r="AC178" s="15"/>
      <c r="AD178" s="15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</row>
    <row r="179" spans="3:59" s="9" customFormat="1">
      <c r="C179" s="21"/>
      <c r="D179" s="21"/>
      <c r="E179" s="21"/>
      <c r="F179" s="9" t="s">
        <v>124</v>
      </c>
      <c r="G179" s="21"/>
      <c r="H179" s="21"/>
      <c r="I179" s="21"/>
      <c r="M179" s="21">
        <v>2</v>
      </c>
      <c r="R179" s="12"/>
      <c r="U179" s="12"/>
      <c r="V179" s="12"/>
      <c r="W179" s="12"/>
      <c r="X179" s="15"/>
      <c r="Y179" s="15"/>
      <c r="Z179" s="15"/>
      <c r="AA179" s="15"/>
      <c r="AB179" s="15"/>
      <c r="AC179" s="15"/>
      <c r="AD179" s="15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</row>
    <row r="180" spans="3:59" s="9" customFormat="1">
      <c r="C180" s="21"/>
      <c r="D180" s="21"/>
      <c r="E180" s="21">
        <f t="shared" si="22"/>
        <v>180</v>
      </c>
      <c r="F180" s="9" t="s">
        <v>120</v>
      </c>
      <c r="G180" s="21"/>
      <c r="H180" s="21"/>
      <c r="I180" s="21"/>
      <c r="M180" s="21">
        <v>240</v>
      </c>
      <c r="R180" s="12"/>
      <c r="U180" s="12"/>
      <c r="V180" s="12"/>
      <c r="W180" s="12"/>
      <c r="X180" s="15"/>
      <c r="Y180" s="15"/>
      <c r="Z180" s="15"/>
      <c r="AA180" s="15"/>
      <c r="AB180" s="15"/>
      <c r="AC180" s="15"/>
      <c r="AD180" s="15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</row>
    <row r="181" spans="3:59" s="9" customFormat="1">
      <c r="C181" s="21"/>
      <c r="D181" s="21"/>
      <c r="E181" s="21">
        <f t="shared" si="22"/>
        <v>181</v>
      </c>
      <c r="F181" s="9" t="s">
        <v>121</v>
      </c>
      <c r="G181" s="21"/>
      <c r="H181" s="21"/>
      <c r="I181" s="21"/>
      <c r="K181" s="9" t="s">
        <v>138</v>
      </c>
      <c r="M181" s="21">
        <v>1</v>
      </c>
      <c r="R181" s="12"/>
      <c r="U181" s="12"/>
      <c r="V181" s="12"/>
      <c r="W181" s="12"/>
      <c r="X181" s="15"/>
      <c r="Y181" s="15"/>
      <c r="Z181" s="15"/>
      <c r="AA181" s="15"/>
      <c r="AB181" s="15"/>
      <c r="AC181" s="15"/>
      <c r="AD181" s="15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</row>
    <row r="182" spans="3:59" s="9" customFormat="1">
      <c r="C182" s="21"/>
      <c r="D182" s="21"/>
      <c r="E182" s="21">
        <f t="shared" si="22"/>
        <v>182</v>
      </c>
      <c r="F182" s="9" t="s">
        <v>177</v>
      </c>
      <c r="G182" s="21"/>
      <c r="H182" s="21"/>
      <c r="I182" s="21"/>
      <c r="K182" s="9" t="s">
        <v>220</v>
      </c>
      <c r="M182" s="21">
        <v>6.3</v>
      </c>
      <c r="R182" s="12"/>
      <c r="U182" s="12"/>
      <c r="V182" s="12"/>
      <c r="W182" s="12"/>
      <c r="X182" s="15"/>
      <c r="Y182" s="15"/>
      <c r="Z182" s="15"/>
      <c r="AA182" s="15"/>
      <c r="AB182" s="15"/>
      <c r="AC182" s="15"/>
      <c r="AD182" s="15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</row>
    <row r="183" spans="3:59" s="9" customFormat="1">
      <c r="C183" s="21"/>
      <c r="D183" s="21"/>
      <c r="E183" s="21">
        <f t="shared" si="22"/>
        <v>183</v>
      </c>
      <c r="F183" s="9" t="s">
        <v>134</v>
      </c>
      <c r="G183" s="21"/>
      <c r="H183" s="21"/>
      <c r="I183" s="21"/>
      <c r="K183" s="9" t="s">
        <v>221</v>
      </c>
      <c r="M183" s="21"/>
      <c r="R183" s="12"/>
      <c r="U183" s="12"/>
      <c r="V183" s="12"/>
      <c r="W183" s="12"/>
      <c r="X183" s="15"/>
      <c r="Y183" s="15"/>
      <c r="Z183" s="15"/>
      <c r="AA183" s="15"/>
      <c r="AB183" s="15"/>
      <c r="AC183" s="15"/>
      <c r="AD183" s="15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</row>
    <row r="184" spans="3:59" s="9" customFormat="1">
      <c r="C184" s="21"/>
      <c r="D184" s="21"/>
      <c r="E184" s="21">
        <f t="shared" si="22"/>
        <v>184</v>
      </c>
      <c r="F184" s="9" t="s">
        <v>184</v>
      </c>
      <c r="G184" s="21">
        <v>270</v>
      </c>
      <c r="H184" s="21">
        <v>0</v>
      </c>
      <c r="I184" s="21">
        <v>90</v>
      </c>
      <c r="J184" s="9" t="s">
        <v>252</v>
      </c>
      <c r="L184" s="9" t="s">
        <v>135</v>
      </c>
      <c r="M184" s="21" t="str" cm="1">
        <f t="array" ref="M184">_xlfn.SWITCH(C161,1,G184,2,H184,3,I184,4,J184)</f>
        <v>180</v>
      </c>
      <c r="R184" s="12"/>
      <c r="U184" s="12"/>
      <c r="V184" s="12"/>
      <c r="W184" s="12"/>
      <c r="X184" s="15"/>
      <c r="Y184" s="15"/>
      <c r="Z184" s="15"/>
      <c r="AA184" s="15"/>
      <c r="AB184" s="15"/>
      <c r="AC184" s="15"/>
      <c r="AD184" s="15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</row>
    <row r="185" spans="3:59" s="9" customFormat="1">
      <c r="C185" s="21"/>
      <c r="D185" s="21"/>
      <c r="E185" s="21">
        <f t="shared" si="22"/>
        <v>185</v>
      </c>
      <c r="F185" s="9" t="s">
        <v>102</v>
      </c>
      <c r="G185" s="21"/>
      <c r="H185" s="21"/>
      <c r="I185" s="21"/>
      <c r="M185" s="21">
        <f t="shared" ref="M185" si="36">M162*10+2</f>
        <v>161042</v>
      </c>
      <c r="R185" s="12"/>
      <c r="U185" s="12"/>
      <c r="V185" s="12"/>
      <c r="W185" s="12"/>
      <c r="X185" s="15"/>
      <c r="Y185" s="15"/>
      <c r="Z185" s="15"/>
      <c r="AA185" s="15"/>
      <c r="AB185" s="15"/>
      <c r="AC185" s="15"/>
      <c r="AD185" s="15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</row>
    <row r="186" spans="3:59" s="9" customFormat="1">
      <c r="C186" s="21"/>
      <c r="D186" s="21"/>
      <c r="E186" s="21">
        <f t="shared" si="22"/>
        <v>186</v>
      </c>
      <c r="F186" s="9" t="s">
        <v>143</v>
      </c>
      <c r="G186" s="21"/>
      <c r="H186" s="21"/>
      <c r="I186" s="21"/>
      <c r="M186" s="21">
        <f t="shared" ref="M186" si="37">M172</f>
        <v>161041</v>
      </c>
      <c r="R186" s="12"/>
      <c r="U186" s="12"/>
      <c r="V186" s="12"/>
      <c r="W186" s="12"/>
      <c r="X186" s="15"/>
      <c r="Y186" s="15"/>
      <c r="Z186" s="15"/>
      <c r="AA186" s="15"/>
      <c r="AB186" s="15"/>
      <c r="AC186" s="15"/>
      <c r="AD186" s="15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</row>
    <row r="187" spans="3:59" s="9" customFormat="1">
      <c r="C187" s="21"/>
      <c r="D187" s="21"/>
      <c r="E187" s="21">
        <f t="shared" si="22"/>
        <v>187</v>
      </c>
      <c r="F187" s="9" t="s">
        <v>128</v>
      </c>
      <c r="G187" s="21"/>
      <c r="H187" s="21"/>
      <c r="I187" s="21"/>
      <c r="M187" s="21">
        <v>0</v>
      </c>
      <c r="R187" s="12"/>
      <c r="U187" s="12"/>
      <c r="V187" s="12"/>
      <c r="W187" s="12"/>
      <c r="X187" s="15"/>
      <c r="Y187" s="15"/>
      <c r="Z187" s="15"/>
      <c r="AA187" s="15"/>
      <c r="AB187" s="15"/>
      <c r="AC187" s="15"/>
      <c r="AD187" s="15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</row>
    <row r="188" spans="3:59" s="9" customFormat="1">
      <c r="C188" s="21"/>
      <c r="D188" s="21"/>
      <c r="E188" s="21">
        <f t="shared" si="22"/>
        <v>188</v>
      </c>
      <c r="F188" s="9" t="s">
        <v>35</v>
      </c>
      <c r="G188" s="21"/>
      <c r="H188" s="21"/>
      <c r="I188" s="21"/>
      <c r="M188" s="21">
        <v>300</v>
      </c>
      <c r="R188" s="12"/>
      <c r="U188" s="12"/>
      <c r="V188" s="12"/>
      <c r="W188" s="12"/>
      <c r="X188" s="15"/>
      <c r="Y188" s="15"/>
      <c r="Z188" s="15"/>
      <c r="AA188" s="15"/>
      <c r="AB188" s="15"/>
      <c r="AC188" s="15"/>
      <c r="AD188" s="15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</row>
    <row r="189" spans="3:59" s="9" customFormat="1">
      <c r="C189" s="21"/>
      <c r="D189" s="21"/>
      <c r="E189" s="21"/>
      <c r="F189" s="9" t="s">
        <v>123</v>
      </c>
      <c r="G189" s="21"/>
      <c r="H189" s="21"/>
      <c r="I189" s="21"/>
      <c r="M189" s="21">
        <v>0</v>
      </c>
      <c r="R189" s="12"/>
      <c r="U189" s="12"/>
      <c r="V189" s="12"/>
      <c r="W189" s="12"/>
      <c r="X189" s="15"/>
      <c r="Y189" s="15"/>
      <c r="Z189" s="15"/>
      <c r="AA189" s="15"/>
      <c r="AB189" s="15"/>
      <c r="AC189" s="15"/>
      <c r="AD189" s="15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</row>
    <row r="190" spans="3:59" s="9" customFormat="1">
      <c r="C190" s="21"/>
      <c r="D190" s="21"/>
      <c r="E190" s="21"/>
      <c r="F190" s="9" t="s">
        <v>124</v>
      </c>
      <c r="G190" s="21"/>
      <c r="H190" s="21"/>
      <c r="I190" s="21"/>
      <c r="M190" s="21">
        <v>2</v>
      </c>
      <c r="R190" s="12"/>
      <c r="U190" s="12"/>
      <c r="V190" s="12"/>
      <c r="W190" s="12"/>
      <c r="X190" s="15"/>
      <c r="Y190" s="15"/>
      <c r="Z190" s="15"/>
      <c r="AA190" s="15"/>
      <c r="AB190" s="15"/>
      <c r="AC190" s="15"/>
      <c r="AD190" s="15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</row>
    <row r="191" spans="3:59" s="9" customFormat="1">
      <c r="C191" s="21"/>
      <c r="D191" s="21"/>
      <c r="E191" s="21">
        <f t="shared" si="22"/>
        <v>191</v>
      </c>
      <c r="F191" s="9" t="s">
        <v>120</v>
      </c>
      <c r="G191" s="21"/>
      <c r="H191" s="21"/>
      <c r="I191" s="21"/>
      <c r="M191" s="21">
        <v>240</v>
      </c>
      <c r="R191" s="12"/>
      <c r="U191" s="12"/>
      <c r="V191" s="12"/>
      <c r="W191" s="12"/>
      <c r="X191" s="15"/>
      <c r="Y191" s="15"/>
      <c r="Z191" s="15"/>
      <c r="AA191" s="15"/>
      <c r="AB191" s="15"/>
      <c r="AC191" s="15"/>
      <c r="AD191" s="15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</row>
    <row r="192" spans="3:59" s="9" customFormat="1">
      <c r="C192" s="21"/>
      <c r="D192" s="21"/>
      <c r="E192" s="21">
        <f t="shared" si="22"/>
        <v>192</v>
      </c>
      <c r="F192" s="9" t="s">
        <v>121</v>
      </c>
      <c r="G192" s="21"/>
      <c r="H192" s="21"/>
      <c r="I192" s="21"/>
      <c r="K192" s="9" t="s">
        <v>138</v>
      </c>
      <c r="M192" s="21">
        <v>1</v>
      </c>
      <c r="R192" s="12"/>
      <c r="U192" s="12"/>
      <c r="V192" s="12"/>
      <c r="W192" s="12"/>
      <c r="X192" s="15"/>
      <c r="Y192" s="15"/>
      <c r="Z192" s="15"/>
      <c r="AA192" s="15"/>
      <c r="AB192" s="15"/>
      <c r="AC192" s="15"/>
      <c r="AD192" s="15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</row>
    <row r="193" spans="3:59" s="9" customFormat="1">
      <c r="C193" s="21"/>
      <c r="D193" s="21"/>
      <c r="E193" s="21">
        <f t="shared" si="22"/>
        <v>193</v>
      </c>
      <c r="F193" s="9" t="s">
        <v>177</v>
      </c>
      <c r="G193" s="21"/>
      <c r="H193" s="21"/>
      <c r="I193" s="21"/>
      <c r="K193" s="9" t="s">
        <v>220</v>
      </c>
      <c r="M193" s="21">
        <v>6.3</v>
      </c>
      <c r="R193" s="12"/>
      <c r="U193" s="12"/>
      <c r="V193" s="12"/>
      <c r="W193" s="12"/>
      <c r="X193" s="15"/>
      <c r="Y193" s="15"/>
      <c r="Z193" s="15"/>
      <c r="AA193" s="15"/>
      <c r="AB193" s="15"/>
      <c r="AC193" s="15"/>
      <c r="AD193" s="15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</row>
    <row r="194" spans="3:59" s="9" customFormat="1">
      <c r="C194" s="21"/>
      <c r="D194" s="21"/>
      <c r="E194" s="21">
        <f t="shared" si="22"/>
        <v>194</v>
      </c>
      <c r="F194" s="9" t="s">
        <v>134</v>
      </c>
      <c r="G194" s="21"/>
      <c r="H194" s="21"/>
      <c r="I194" s="21"/>
      <c r="K194" s="9" t="s">
        <v>221</v>
      </c>
      <c r="M194" s="21"/>
      <c r="R194" s="12"/>
      <c r="U194" s="12"/>
      <c r="V194" s="12"/>
      <c r="W194" s="12"/>
      <c r="X194" s="15"/>
      <c r="Y194" s="15"/>
      <c r="Z194" s="15"/>
      <c r="AA194" s="15"/>
      <c r="AB194" s="15"/>
      <c r="AC194" s="15"/>
      <c r="AD194" s="15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</row>
    <row r="195" spans="3:59" s="9" customFormat="1">
      <c r="C195" s="21"/>
      <c r="D195" s="21"/>
      <c r="E195" s="21">
        <f t="shared" si="22"/>
        <v>195</v>
      </c>
      <c r="F195" s="9" t="s">
        <v>184</v>
      </c>
      <c r="G195" s="21">
        <v>90</v>
      </c>
      <c r="H195" s="21">
        <v>180</v>
      </c>
      <c r="I195" s="21">
        <v>270</v>
      </c>
      <c r="J195" s="9" t="s">
        <v>253</v>
      </c>
      <c r="L195" s="9" t="s">
        <v>135</v>
      </c>
      <c r="M195" s="21" t="str" cm="1">
        <f t="array" ref="M195">_xlfn.SWITCH(C161,1,G195,2,H195,3,I195,4,J195)</f>
        <v>0</v>
      </c>
      <c r="R195" s="12"/>
      <c r="U195" s="12"/>
      <c r="V195" s="12"/>
      <c r="W195" s="12"/>
      <c r="X195" s="15"/>
      <c r="Y195" s="15"/>
      <c r="Z195" s="15"/>
      <c r="AA195" s="15"/>
      <c r="AB195" s="15"/>
      <c r="AC195" s="15"/>
      <c r="AD195" s="15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</row>
    <row r="196" spans="3:59" s="9" customFormat="1">
      <c r="C196" s="21"/>
      <c r="D196" s="21"/>
      <c r="E196" s="21">
        <f t="shared" si="22"/>
        <v>196</v>
      </c>
      <c r="F196" s="9" t="s">
        <v>102</v>
      </c>
      <c r="G196" s="21"/>
      <c r="H196" s="21"/>
      <c r="I196" s="21"/>
      <c r="M196" s="21">
        <f t="shared" ref="M196" si="38">M162*10+9</f>
        <v>161049</v>
      </c>
      <c r="R196" s="12"/>
      <c r="U196" s="12"/>
      <c r="V196" s="12"/>
      <c r="W196" s="12"/>
      <c r="X196" s="15"/>
      <c r="Y196" s="15"/>
      <c r="Z196" s="15"/>
      <c r="AA196" s="15"/>
      <c r="AB196" s="15"/>
      <c r="AC196" s="15"/>
      <c r="AD196" s="15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</row>
    <row r="197" spans="3:59" s="9" customFormat="1">
      <c r="C197" s="21"/>
      <c r="D197" s="21"/>
      <c r="E197" s="21">
        <f t="shared" ref="E197:E207" si="39">ROW(E197)</f>
        <v>197</v>
      </c>
      <c r="F197" s="9" t="s">
        <v>143</v>
      </c>
      <c r="G197" s="21"/>
      <c r="H197" s="21"/>
      <c r="I197" s="21"/>
      <c r="M197" s="21">
        <f t="shared" ref="M197" si="40">M162</f>
        <v>16104</v>
      </c>
      <c r="R197" s="12"/>
      <c r="U197" s="12"/>
      <c r="V197" s="12"/>
      <c r="W197" s="12"/>
      <c r="X197" s="15"/>
      <c r="Y197" s="15"/>
      <c r="Z197" s="15"/>
      <c r="AA197" s="15"/>
      <c r="AB197" s="15"/>
      <c r="AC197" s="15"/>
      <c r="AD197" s="15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</row>
    <row r="198" spans="3:59" s="9" customFormat="1">
      <c r="C198" s="21"/>
      <c r="D198" s="21"/>
      <c r="E198" s="21">
        <f t="shared" si="39"/>
        <v>198</v>
      </c>
      <c r="F198" s="9" t="s">
        <v>127</v>
      </c>
      <c r="G198" s="21"/>
      <c r="H198" s="21"/>
      <c r="I198" s="21"/>
      <c r="M198" s="21">
        <v>120</v>
      </c>
      <c r="R198" s="12"/>
      <c r="U198" s="12"/>
      <c r="V198" s="12"/>
      <c r="W198" s="12"/>
      <c r="X198" s="15"/>
      <c r="Y198" s="15"/>
      <c r="Z198" s="15"/>
      <c r="AA198" s="15"/>
      <c r="AB198" s="15"/>
      <c r="AC198" s="15"/>
      <c r="AD198" s="15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</row>
    <row r="199" spans="3:59" s="9" customFormat="1">
      <c r="C199" s="21"/>
      <c r="D199" s="21"/>
      <c r="E199" s="21">
        <f t="shared" si="39"/>
        <v>199</v>
      </c>
      <c r="F199" s="9" t="s">
        <v>143</v>
      </c>
      <c r="G199" s="21"/>
      <c r="H199" s="21"/>
      <c r="I199" s="21"/>
      <c r="M199" s="21">
        <f t="shared" ref="M199" si="41">M196</f>
        <v>161049</v>
      </c>
      <c r="R199" s="12"/>
      <c r="U199" s="12"/>
      <c r="V199" s="12"/>
      <c r="W199" s="12"/>
      <c r="X199" s="15"/>
      <c r="Y199" s="15"/>
      <c r="Z199" s="15"/>
      <c r="AA199" s="15"/>
      <c r="AB199" s="15"/>
      <c r="AC199" s="15"/>
      <c r="AD199" s="15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</row>
    <row r="200" spans="3:59" s="9" customFormat="1">
      <c r="C200" s="21"/>
      <c r="D200" s="21"/>
      <c r="E200" s="21">
        <f t="shared" si="39"/>
        <v>200</v>
      </c>
      <c r="F200" s="9" t="s">
        <v>128</v>
      </c>
      <c r="G200" s="21"/>
      <c r="H200" s="21"/>
      <c r="I200" s="21"/>
      <c r="M200" s="21">
        <v>0</v>
      </c>
      <c r="R200" s="12"/>
      <c r="U200" s="12"/>
      <c r="V200" s="12"/>
      <c r="W200" s="12"/>
      <c r="X200" s="15"/>
      <c r="Y200" s="15"/>
      <c r="Z200" s="15"/>
      <c r="AA200" s="15"/>
      <c r="AB200" s="15"/>
      <c r="AC200" s="15"/>
      <c r="AD200" s="15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</row>
    <row r="201" spans="3:59" s="9" customFormat="1">
      <c r="C201" s="21"/>
      <c r="D201" s="21"/>
      <c r="E201" s="21">
        <f t="shared" si="39"/>
        <v>201</v>
      </c>
      <c r="F201" s="9" t="s">
        <v>35</v>
      </c>
      <c r="G201" s="21"/>
      <c r="H201" s="21"/>
      <c r="I201" s="21"/>
      <c r="M201" s="21">
        <v>120</v>
      </c>
      <c r="R201" s="12"/>
      <c r="U201" s="12"/>
      <c r="V201" s="12"/>
      <c r="W201" s="12"/>
      <c r="X201" s="15"/>
      <c r="Y201" s="15"/>
      <c r="Z201" s="15"/>
      <c r="AA201" s="15"/>
      <c r="AB201" s="15"/>
      <c r="AC201" s="15"/>
      <c r="AD201" s="15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</row>
    <row r="202" spans="3:59" s="9" customFormat="1">
      <c r="C202" s="21"/>
      <c r="D202" s="21"/>
      <c r="E202" s="21">
        <f t="shared" si="39"/>
        <v>202</v>
      </c>
      <c r="F202" s="9" t="s">
        <v>99</v>
      </c>
      <c r="G202" s="21"/>
      <c r="H202" s="21"/>
      <c r="I202" s="21"/>
      <c r="K202" s="9" t="s">
        <v>138</v>
      </c>
      <c r="M202" s="21">
        <v>1</v>
      </c>
      <c r="R202" s="12"/>
      <c r="U202" s="12"/>
      <c r="V202" s="12"/>
      <c r="W202" s="12"/>
      <c r="X202" s="15"/>
      <c r="Y202" s="15"/>
      <c r="Z202" s="15"/>
      <c r="AA202" s="15"/>
      <c r="AB202" s="15"/>
      <c r="AC202" s="15"/>
      <c r="AD202" s="15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</row>
    <row r="203" spans="3:59" s="9" customFormat="1">
      <c r="C203" s="21"/>
      <c r="D203" s="21"/>
      <c r="E203" s="21">
        <f t="shared" si="39"/>
        <v>203</v>
      </c>
      <c r="F203" s="9" t="s">
        <v>177</v>
      </c>
      <c r="G203" s="21"/>
      <c r="H203" s="21"/>
      <c r="I203" s="21"/>
      <c r="K203" s="9" t="s">
        <v>220</v>
      </c>
      <c r="M203" s="21">
        <v>2.4</v>
      </c>
      <c r="R203" s="12"/>
      <c r="U203" s="12"/>
      <c r="V203" s="12"/>
      <c r="W203" s="12"/>
      <c r="X203" s="15"/>
      <c r="Y203" s="15"/>
      <c r="Z203" s="15"/>
      <c r="AA203" s="15"/>
      <c r="AB203" s="15"/>
      <c r="AC203" s="15"/>
      <c r="AD203" s="15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</row>
    <row r="204" spans="3:59" s="9" customFormat="1">
      <c r="C204" s="21"/>
      <c r="D204" s="21"/>
      <c r="E204" s="21">
        <f t="shared" si="39"/>
        <v>204</v>
      </c>
      <c r="F204" s="9" t="s">
        <v>134</v>
      </c>
      <c r="G204" s="21"/>
      <c r="H204" s="21"/>
      <c r="I204" s="21"/>
      <c r="K204" s="9" t="s">
        <v>221</v>
      </c>
      <c r="M204" s="21"/>
      <c r="R204" s="12"/>
      <c r="U204" s="12"/>
      <c r="V204" s="12"/>
      <c r="W204" s="12"/>
      <c r="X204" s="15"/>
      <c r="Y204" s="15"/>
      <c r="Z204" s="15"/>
      <c r="AA204" s="15"/>
      <c r="AB204" s="15"/>
      <c r="AC204" s="15"/>
      <c r="AD204" s="15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</row>
    <row r="205" spans="3:59" s="9" customFormat="1">
      <c r="C205" s="21"/>
      <c r="D205" s="21"/>
      <c r="E205" s="21">
        <f t="shared" si="39"/>
        <v>205</v>
      </c>
      <c r="F205" s="9" t="s">
        <v>184</v>
      </c>
      <c r="G205" s="21">
        <v>0</v>
      </c>
      <c r="H205" s="21">
        <v>90</v>
      </c>
      <c r="I205" s="21">
        <v>180</v>
      </c>
      <c r="J205" s="9" t="s">
        <v>256</v>
      </c>
      <c r="L205" s="9" t="s">
        <v>135</v>
      </c>
      <c r="M205" s="21" t="str" cm="1">
        <f t="array" ref="M205">_xlfn.SWITCH(C161,1,G205,2,H205,3,I205,4,J205)</f>
        <v>270</v>
      </c>
      <c r="R205" s="12"/>
      <c r="U205" s="12"/>
      <c r="V205" s="12"/>
      <c r="W205" s="12"/>
      <c r="X205" s="15"/>
      <c r="Y205" s="15"/>
      <c r="Z205" s="15"/>
      <c r="AA205" s="15"/>
      <c r="AB205" s="15"/>
      <c r="AC205" s="15"/>
      <c r="AD205" s="15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</row>
    <row r="206" spans="3:59" s="9" customFormat="1">
      <c r="C206" s="21"/>
      <c r="D206" s="21"/>
      <c r="E206" s="21">
        <f t="shared" si="39"/>
        <v>206</v>
      </c>
      <c r="F206" s="9" t="s">
        <v>30</v>
      </c>
      <c r="G206" s="21"/>
      <c r="H206" s="21"/>
      <c r="I206" s="21"/>
      <c r="M206" s="21">
        <v>0</v>
      </c>
      <c r="R206" s="12"/>
      <c r="U206" s="12"/>
      <c r="V206" s="12"/>
      <c r="W206" s="12"/>
      <c r="X206" s="15"/>
      <c r="Y206" s="15"/>
      <c r="Z206" s="15"/>
      <c r="AA206" s="15"/>
      <c r="AB206" s="15"/>
      <c r="AC206" s="15"/>
      <c r="AD206" s="15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</row>
    <row r="207" spans="3:59" s="9" customFormat="1">
      <c r="C207" s="21"/>
      <c r="D207" s="21"/>
      <c r="E207" s="21">
        <f t="shared" si="39"/>
        <v>207</v>
      </c>
      <c r="F207" s="9" t="s">
        <v>31</v>
      </c>
      <c r="G207" s="21"/>
      <c r="H207" s="21"/>
      <c r="I207" s="21"/>
      <c r="L207" s="9" t="s">
        <v>135</v>
      </c>
      <c r="M207" s="21">
        <v>0</v>
      </c>
      <c r="R207" s="12"/>
      <c r="U207" s="12"/>
      <c r="V207" s="12"/>
      <c r="W207" s="12"/>
      <c r="X207" s="15"/>
      <c r="Y207" s="15"/>
      <c r="Z207" s="15"/>
      <c r="AA207" s="15"/>
      <c r="AB207" s="15"/>
      <c r="AC207" s="15"/>
      <c r="AD207" s="15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</row>
    <row r="208" spans="3:59" s="9" customFormat="1">
      <c r="C208" s="21"/>
      <c r="D208" s="21"/>
      <c r="E208" s="21"/>
      <c r="G208" s="21"/>
      <c r="H208" s="21"/>
      <c r="I208" s="21"/>
      <c r="M208" s="21"/>
      <c r="R208" s="12"/>
      <c r="U208" s="12"/>
      <c r="V208" s="12"/>
      <c r="W208" s="12"/>
      <c r="X208" s="15"/>
      <c r="Y208" s="15"/>
      <c r="Z208" s="15"/>
      <c r="AA208" s="15"/>
      <c r="AB208" s="15"/>
      <c r="AC208" s="15"/>
      <c r="AD208" s="15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</row>
    <row r="209" spans="1:60">
      <c r="A209" s="9"/>
      <c r="B209" s="9"/>
      <c r="R209" s="12"/>
      <c r="S209" s="9"/>
      <c r="U209" s="12"/>
      <c r="X209" s="15"/>
      <c r="AE209" s="16"/>
      <c r="BH209" s="9"/>
    </row>
    <row r="210" spans="1:60">
      <c r="A210" s="9"/>
      <c r="B210" s="9"/>
      <c r="R210" s="12"/>
      <c r="S210" s="9"/>
      <c r="U210" s="12"/>
      <c r="X210" s="15"/>
      <c r="AE210" s="16"/>
      <c r="BH210" s="9"/>
    </row>
    <row r="211" spans="1:60">
      <c r="A211" s="9"/>
      <c r="B211" s="9"/>
      <c r="R211" s="12"/>
      <c r="S211" s="9"/>
      <c r="U211" s="12"/>
      <c r="X211" s="15"/>
      <c r="AE211" s="16"/>
      <c r="BH211" s="9"/>
    </row>
    <row r="212" spans="1:60">
      <c r="A212" s="9"/>
      <c r="B212" s="9"/>
      <c r="R212" s="12"/>
      <c r="S212" s="9"/>
      <c r="U212" s="12"/>
      <c r="X212" s="15"/>
      <c r="AE212" s="16"/>
      <c r="BH212" s="9"/>
    </row>
    <row r="213" spans="1:60">
      <c r="A213" s="9"/>
      <c r="B213" s="9"/>
      <c r="R213" s="12"/>
      <c r="S213" s="9"/>
      <c r="U213" s="12"/>
      <c r="X213" s="15"/>
      <c r="AE213" s="16"/>
      <c r="BH213" s="9"/>
    </row>
    <row r="214" spans="1:60">
      <c r="A214" s="9"/>
      <c r="B214" s="9"/>
      <c r="R214" s="12"/>
      <c r="S214" s="9"/>
      <c r="U214" s="12"/>
      <c r="X214" s="15"/>
      <c r="AE214" s="16"/>
      <c r="BH214" s="9"/>
    </row>
    <row r="215" spans="1:60">
      <c r="A215" s="9"/>
      <c r="B215" s="9"/>
      <c r="R215" s="12"/>
      <c r="S215" s="9"/>
      <c r="U215" s="12"/>
      <c r="X215" s="15"/>
      <c r="AE215" s="16"/>
      <c r="BH215" s="9"/>
    </row>
    <row r="216" spans="1:60">
      <c r="A216" s="9"/>
      <c r="B216" s="9"/>
      <c r="R216" s="12"/>
      <c r="S216" s="9"/>
      <c r="U216" s="12"/>
      <c r="X216" s="15"/>
      <c r="AE216" s="16"/>
      <c r="BH216" s="9"/>
    </row>
    <row r="217" spans="1:60">
      <c r="A217" s="9"/>
      <c r="B217" s="9"/>
      <c r="R217" s="12"/>
      <c r="S217" s="9"/>
      <c r="U217" s="12"/>
      <c r="X217" s="15"/>
      <c r="AE217" s="16"/>
      <c r="BH217" s="9"/>
    </row>
    <row r="218" spans="1:60">
      <c r="A218" s="9"/>
      <c r="B218" s="9"/>
      <c r="R218" s="12"/>
      <c r="S218" s="9"/>
      <c r="U218" s="12"/>
      <c r="X218" s="15"/>
      <c r="AE218" s="16"/>
      <c r="BH218" s="9"/>
    </row>
  </sheetData>
  <phoneticPr fontId="2" type="noConversion"/>
  <conditionalFormatting sqref="BE1:XFD1 E1:I1">
    <cfRule type="duplicateValues" dxfId="69" priority="1859"/>
  </conditionalFormatting>
  <conditionalFormatting sqref="F1:F10 F13 F29:F30">
    <cfRule type="cellIs" dxfId="68" priority="1360" operator="equal">
      <formula>"ID"</formula>
    </cfRule>
    <cfRule type="cellIs" dxfId="67" priority="1775" operator="equal">
      <formula>"行動序號"</formula>
    </cfRule>
  </conditionalFormatting>
  <conditionalFormatting sqref="J1">
    <cfRule type="duplicateValues" dxfId="66" priority="1358"/>
  </conditionalFormatting>
  <conditionalFormatting sqref="K1:L1">
    <cfRule type="duplicateValues" dxfId="65" priority="1355"/>
  </conditionalFormatting>
  <conditionalFormatting sqref="M1:M1048576">
    <cfRule type="expression" dxfId="64" priority="970">
      <formula>_xlfn.ISFORMULA(M1)</formula>
    </cfRule>
  </conditionalFormatting>
  <conditionalFormatting sqref="N1:BD1">
    <cfRule type="duplicateValues" dxfId="63" priority="1875"/>
  </conditionalFormatting>
  <conditionalFormatting sqref="F14 F11:F12">
    <cfRule type="cellIs" dxfId="62" priority="80" operator="equal">
      <formula>"ID"</formula>
    </cfRule>
    <cfRule type="cellIs" dxfId="61" priority="81" operator="equal">
      <formula>"行動序號"</formula>
    </cfRule>
  </conditionalFormatting>
  <conditionalFormatting sqref="J21 J31 J55">
    <cfRule type="expression" dxfId="60" priority="78">
      <formula>_xlfn.ISFORMULA(J21)</formula>
    </cfRule>
  </conditionalFormatting>
  <conditionalFormatting sqref="F1:F1048576">
    <cfRule type="cellIs" dxfId="59" priority="73" operator="equal">
      <formula>"ID"</formula>
    </cfRule>
    <cfRule type="cellIs" dxfId="58" priority="74" operator="equal">
      <formula>"行動ID"</formula>
    </cfRule>
  </conditionalFormatting>
  <conditionalFormatting sqref="F28">
    <cfRule type="cellIs" dxfId="57" priority="62" operator="equal">
      <formula>"ID"</formula>
    </cfRule>
    <cfRule type="cellIs" dxfId="56" priority="63" operator="equal">
      <formula>"行動序號"</formula>
    </cfRule>
  </conditionalFormatting>
  <conditionalFormatting sqref="J21">
    <cfRule type="expression" dxfId="55" priority="83">
      <formula>OR($F19="行動序號",$F19="ID")</formula>
    </cfRule>
  </conditionalFormatting>
  <conditionalFormatting sqref="J21">
    <cfRule type="expression" dxfId="54" priority="84">
      <formula>$F19="行動ID"</formula>
    </cfRule>
  </conditionalFormatting>
  <conditionalFormatting sqref="F31:F33 F55:F59">
    <cfRule type="cellIs" dxfId="53" priority="52" operator="equal">
      <formula>"ID"</formula>
    </cfRule>
    <cfRule type="cellIs" dxfId="52" priority="53" operator="equal">
      <formula>"行動序號"</formula>
    </cfRule>
  </conditionalFormatting>
  <conditionalFormatting sqref="J31">
    <cfRule type="expression" dxfId="51" priority="54">
      <formula>OR($F27="行動序號",$F27="ID")</formula>
    </cfRule>
  </conditionalFormatting>
  <conditionalFormatting sqref="J31">
    <cfRule type="expression" dxfId="50" priority="55">
      <formula>$F27="行動ID"</formula>
    </cfRule>
  </conditionalFormatting>
  <conditionalFormatting sqref="M1:M1048576">
    <cfRule type="expression" dxfId="49" priority="34">
      <formula>AND(_xlfn.ISFORMULA(M1),OR($F1="行動ID", $F1="ID"))</formula>
    </cfRule>
    <cfRule type="expression" dxfId="48" priority="36">
      <formula>OR($F1="行動ID", $F1="ID")</formula>
    </cfRule>
  </conditionalFormatting>
  <conditionalFormatting sqref="J55">
    <cfRule type="expression" dxfId="47" priority="1877">
      <formula>OR($F28="行動序號",$F28="ID")</formula>
    </cfRule>
  </conditionalFormatting>
  <conditionalFormatting sqref="J55">
    <cfRule type="expression" dxfId="46" priority="1879">
      <formula>$F28="行動ID"</formula>
    </cfRule>
  </conditionalFormatting>
  <conditionalFormatting sqref="J44">
    <cfRule type="expression" dxfId="45" priority="7">
      <formula>_xlfn.ISFORMULA(J44)</formula>
    </cfRule>
  </conditionalFormatting>
  <conditionalFormatting sqref="F44:F46">
    <cfRule type="cellIs" dxfId="44" priority="3" operator="equal">
      <formula>"ID"</formula>
    </cfRule>
    <cfRule type="cellIs" dxfId="43" priority="4" operator="equal">
      <formula>"行動序號"</formula>
    </cfRule>
  </conditionalFormatting>
  <conditionalFormatting sqref="J44">
    <cfRule type="expression" dxfId="42" priority="5">
      <formula>OR($F40="行動序號",$F40="ID")</formula>
    </cfRule>
  </conditionalFormatting>
  <conditionalFormatting sqref="J44">
    <cfRule type="expression" dxfId="41" priority="6">
      <formula>$F40="行動ID"</formula>
    </cfRule>
  </conditionalFormatting>
  <conditionalFormatting sqref="F34:F35">
    <cfRule type="cellIs" dxfId="40" priority="1" operator="equal">
      <formula>"ID"</formula>
    </cfRule>
    <cfRule type="cellIs" dxfId="39" priority="2" operator="equal">
      <formula>"行動序號"</formula>
    </cfRule>
  </conditionalFormatting>
  <dataValidations count="1">
    <dataValidation type="list" allowBlank="1" showInputMessage="1" showErrorMessage="1" sqref="L14:L15 K8 L5:L6 F10 K16 K4 L426 L16:L17 K1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149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150</v>
      </c>
      <c r="E20" t="str">
        <f t="shared" si="0"/>
        <v>啟動依ID,</v>
      </c>
      <c r="H20"/>
    </row>
    <row r="21" spans="1:8">
      <c r="A21" s="7" t="s">
        <v>27</v>
      </c>
      <c r="B21" s="7" t="s">
        <v>151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237</v>
      </c>
      <c r="C50" s="7" t="s">
        <v>238</v>
      </c>
      <c r="E50" t="str">
        <f t="shared" si="0"/>
        <v>記錄位置,</v>
      </c>
      <c r="H50"/>
    </row>
    <row r="51" spans="1:8">
      <c r="A51" s="7" t="s">
        <v>27</v>
      </c>
      <c r="B51" s="7" t="s">
        <v>239</v>
      </c>
      <c r="C51" s="7" t="s">
        <v>240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4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241</v>
      </c>
      <c r="C63" s="7" t="s">
        <v>242</v>
      </c>
      <c r="E63" t="str">
        <f t="shared" si="0"/>
        <v>記錄角度,</v>
      </c>
      <c r="H63"/>
    </row>
    <row r="64" spans="1:8">
      <c r="A64" s="7" t="s">
        <v>27</v>
      </c>
      <c r="B64" s="7" t="s">
        <v>244</v>
      </c>
      <c r="C64" s="7" t="s">
        <v>243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220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223</v>
      </c>
      <c r="C114" s="7" t="s">
        <v>22</v>
      </c>
      <c r="D114" s="7"/>
      <c r="L114" s="7"/>
    </row>
    <row r="115" spans="1:12">
      <c r="A115" s="7" t="s">
        <v>141</v>
      </c>
      <c r="B115" s="7" t="s">
        <v>224</v>
      </c>
      <c r="C115" s="7" t="s">
        <v>23</v>
      </c>
      <c r="H115"/>
    </row>
    <row r="116" spans="1:12">
      <c r="A116" s="7" t="s">
        <v>141</v>
      </c>
      <c r="B116" s="7" t="s">
        <v>245</v>
      </c>
      <c r="C116" s="7" t="s">
        <v>24</v>
      </c>
      <c r="H116"/>
    </row>
    <row r="117" spans="1:12">
      <c r="A117" s="7" t="s">
        <v>141</v>
      </c>
      <c r="B117" s="7" t="s">
        <v>247</v>
      </c>
      <c r="C117" s="7" t="s">
        <v>248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225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226</v>
      </c>
      <c r="D4" s="19"/>
      <c r="G4" s="9"/>
      <c r="H4" s="18"/>
    </row>
    <row r="5" spans="1:10" ht="17.25" customHeight="1">
      <c r="A5" s="19" t="s">
        <v>100</v>
      </c>
      <c r="B5" s="19" t="s">
        <v>220</v>
      </c>
      <c r="C5" s="19" t="s">
        <v>223</v>
      </c>
      <c r="D5" s="19"/>
      <c r="G5" s="9"/>
    </row>
    <row r="6" spans="1:10">
      <c r="A6" s="19" t="s">
        <v>103</v>
      </c>
      <c r="B6" s="19" t="s">
        <v>221</v>
      </c>
      <c r="C6" s="19" t="s">
        <v>224</v>
      </c>
      <c r="D6" s="19"/>
      <c r="G6" s="9"/>
    </row>
    <row r="7" spans="1:10">
      <c r="A7" s="19" t="s">
        <v>48</v>
      </c>
      <c r="B7" s="19" t="s">
        <v>222</v>
      </c>
      <c r="C7" s="23" t="s">
        <v>245</v>
      </c>
      <c r="D7" s="19"/>
      <c r="G7" s="9"/>
    </row>
    <row r="8" spans="1:10">
      <c r="A8" s="19" t="s">
        <v>147</v>
      </c>
      <c r="B8" s="23"/>
      <c r="C8" s="7" t="s">
        <v>247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230</v>
      </c>
      <c r="B10" s="19"/>
      <c r="C10" s="19"/>
      <c r="D10" s="19"/>
      <c r="G10" s="9"/>
    </row>
    <row r="11" spans="1:10">
      <c r="A11" s="19" t="s">
        <v>148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151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157</v>
      </c>
      <c r="C26"/>
      <c r="G26" s="9"/>
    </row>
    <row r="27" spans="1:7">
      <c r="A27" s="19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167</v>
      </c>
      <c r="C36"/>
    </row>
    <row r="37" spans="1:7">
      <c r="A37" s="19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177</v>
      </c>
      <c r="C49"/>
      <c r="G49" s="9"/>
    </row>
    <row r="50" spans="1:8">
      <c r="A50" s="24" t="s">
        <v>241</v>
      </c>
      <c r="C50"/>
      <c r="G50" s="9"/>
    </row>
    <row r="51" spans="1:8">
      <c r="A51" s="24" t="s">
        <v>246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236</v>
      </c>
      <c r="C57"/>
      <c r="G57" s="9"/>
    </row>
    <row r="58" spans="1:8">
      <c r="A58" s="19" t="s">
        <v>133</v>
      </c>
      <c r="G58" s="9"/>
    </row>
    <row r="59" spans="1:8">
      <c r="A59" s="19" t="s">
        <v>184</v>
      </c>
      <c r="G59" s="9"/>
    </row>
    <row r="60" spans="1:8">
      <c r="A60" s="19" t="s">
        <v>115</v>
      </c>
      <c r="G60" s="9"/>
    </row>
    <row r="61" spans="1:8">
      <c r="A61" s="24" t="s">
        <v>232</v>
      </c>
      <c r="G61" s="9"/>
    </row>
    <row r="62" spans="1:8">
      <c r="A62" s="24" t="s">
        <v>234</v>
      </c>
      <c r="G62" s="9"/>
    </row>
    <row r="63" spans="1:8">
      <c r="A63" s="24" t="s">
        <v>241</v>
      </c>
      <c r="G63" s="9"/>
    </row>
    <row r="64" spans="1:8">
      <c r="A64" s="24" t="s">
        <v>244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191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196</v>
      </c>
      <c r="G77" s="9"/>
    </row>
    <row r="78" spans="1:7">
      <c r="A78" s="19" t="s">
        <v>198</v>
      </c>
      <c r="G78" s="9"/>
    </row>
    <row r="79" spans="1:7">
      <c r="A79" s="19" t="s">
        <v>200</v>
      </c>
    </row>
    <row r="80" spans="1:7">
      <c r="A80" s="19" t="s">
        <v>202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210</v>
      </c>
    </row>
    <row r="92" spans="1:1">
      <c r="A92" s="19" t="s">
        <v>212</v>
      </c>
    </row>
    <row r="93" spans="1:1">
      <c r="A93" s="19" t="s">
        <v>214</v>
      </c>
    </row>
    <row r="94" spans="1:1">
      <c r="A94" s="19" t="s">
        <v>216</v>
      </c>
    </row>
    <row r="95" spans="1:1">
      <c r="A95" s="19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stage7_card6shot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2025-04-18T15:28:34Z</dcterms:modified>
</cp:coreProperties>
</file>