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81ACEC82-B8FB-4451-A794-EC7AAF870F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6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96" i="1" l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M272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M248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M224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M200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M176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M152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M128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M104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M80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M56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D33" i="1"/>
  <c r="B33" i="1"/>
  <c r="E31" i="1"/>
  <c r="E30" i="1"/>
  <c r="E29" i="1"/>
  <c r="E28" i="1"/>
  <c r="E27" i="1"/>
  <c r="E26" i="1"/>
  <c r="M32" i="1"/>
  <c r="E32" i="1"/>
  <c r="E16" i="1"/>
  <c r="E14" i="1"/>
  <c r="D9" i="1"/>
  <c r="A8" i="1"/>
  <c r="E25" i="1"/>
  <c r="E24" i="1"/>
  <c r="E23" i="1"/>
  <c r="E22" i="1"/>
  <c r="E21" i="1"/>
  <c r="E20" i="1"/>
  <c r="E19" i="1"/>
  <c r="E18" i="1"/>
  <c r="E17" i="1"/>
  <c r="E15" i="1"/>
  <c r="E13" i="1"/>
  <c r="E12" i="1"/>
  <c r="E11" i="1"/>
  <c r="E10" i="1"/>
  <c r="M34" i="1" l="1"/>
  <c r="D57" i="1"/>
  <c r="C33" i="1"/>
  <c r="M42" i="1" s="1"/>
  <c r="B9" i="1"/>
  <c r="C9" i="1" s="1"/>
  <c r="M18" i="1" s="1"/>
  <c r="M51" i="1" l="1"/>
  <c r="M50" i="1"/>
  <c r="M53" i="1" s="1"/>
  <c r="B57" i="1"/>
  <c r="C57" i="1" s="1"/>
  <c r="M66" i="1" s="1"/>
  <c r="D81" i="1"/>
  <c r="M58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75" i="1" l="1"/>
  <c r="M74" i="1"/>
  <c r="M77" i="1" s="1"/>
  <c r="M82" i="1"/>
  <c r="B81" i="1"/>
  <c r="C81" i="1" s="1"/>
  <c r="M90" i="1" s="1"/>
  <c r="D129" i="1"/>
  <c r="D105" i="1"/>
  <c r="D153" i="1"/>
  <c r="M10" i="1"/>
  <c r="M154" i="1" l="1"/>
  <c r="B153" i="1"/>
  <c r="C153" i="1" s="1"/>
  <c r="M162" i="1" s="1"/>
  <c r="C105" i="1"/>
  <c r="M114" i="1" s="1"/>
  <c r="B105" i="1"/>
  <c r="M106" i="1"/>
  <c r="B129" i="1"/>
  <c r="C129" i="1" s="1"/>
  <c r="M138" i="1" s="1"/>
  <c r="M130" i="1"/>
  <c r="M98" i="1"/>
  <c r="M101" i="1" s="1"/>
  <c r="M99" i="1"/>
  <c r="D177" i="1"/>
  <c r="D201" i="1"/>
  <c r="D225" i="1" s="1"/>
  <c r="M26" i="1"/>
  <c r="M29" i="1" s="1"/>
  <c r="M27" i="1"/>
  <c r="M226" i="1" l="1"/>
  <c r="B225" i="1"/>
  <c r="C225" i="1" s="1"/>
  <c r="M234" i="1" s="1"/>
  <c r="D249" i="1"/>
  <c r="M147" i="1"/>
  <c r="M146" i="1"/>
  <c r="M149" i="1" s="1"/>
  <c r="B177" i="1"/>
  <c r="C177" i="1" s="1"/>
  <c r="M186" i="1" s="1"/>
  <c r="M178" i="1"/>
  <c r="M123" i="1"/>
  <c r="M122" i="1"/>
  <c r="M125" i="1" s="1"/>
  <c r="M170" i="1"/>
  <c r="M173" i="1" s="1"/>
  <c r="M171" i="1"/>
  <c r="B201" i="1"/>
  <c r="C201" i="1" s="1"/>
  <c r="M210" i="1" s="1"/>
  <c r="M202" i="1"/>
  <c r="D273" i="1"/>
  <c r="B249" i="1" l="1"/>
  <c r="C249" i="1" s="1"/>
  <c r="M258" i="1" s="1"/>
  <c r="M250" i="1"/>
  <c r="B273" i="1"/>
  <c r="C273" i="1" s="1"/>
  <c r="M282" i="1" s="1"/>
  <c r="M274" i="1"/>
  <c r="M219" i="1"/>
  <c r="M218" i="1"/>
  <c r="M221" i="1" s="1"/>
  <c r="M195" i="1"/>
  <c r="M194" i="1"/>
  <c r="M197" i="1" s="1"/>
  <c r="M242" i="1"/>
  <c r="M245" i="1" s="1"/>
  <c r="M243" i="1"/>
  <c r="M267" i="1" l="1"/>
  <c r="M266" i="1"/>
  <c r="M269" i="1" s="1"/>
  <c r="M291" i="1"/>
  <c r="M290" i="1"/>
  <c r="M293" i="1" s="1"/>
</calcChain>
</file>

<file path=xl/sharedStrings.xml><?xml version="1.0" encoding="utf-8"?>
<sst xmlns="http://schemas.openxmlformats.org/spreadsheetml/2006/main" count="856" uniqueCount="253">
  <si>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</si>
  <si>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</si>
  <si>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</si>
  <si>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</si>
  <si>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</si>
  <si>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</si>
  <si>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</si>
  <si>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</si>
  <si>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</si>
  <si>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</si>
  <si>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</si>
  <si>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</si>
  <si>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</si>
  <si>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</si>
  <si>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</si>
  <si>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</si>
  <si>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</si>
  <si>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</si>
  <si>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</si>
  <si>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</si>
  <si>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</si>
  <si>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</si>
  <si>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</si>
  <si>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</si>
  <si>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</si>
  <si>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</si>
  <si>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</si>
  <si>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</si>
  <si>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</si>
  <si>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</si>
  <si>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</si>
  <si>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</si>
  <si>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</si>
  <si>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</si>
  <si>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</si>
  <si>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</si>
  <si>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</si>
  <si>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</si>
  <si>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</si>
  <si>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</si>
  <si>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</si>
  <si>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</si>
  <si>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</si>
  <si>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</si>
  <si>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</si>
  <si>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</si>
  <si>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</si>
  <si>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</si>
  <si>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</si>
  <si>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</si>
  <si>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</si>
  <si>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</si>
  <si>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</si>
  <si>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</si>
  <si>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</si>
  <si>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</si>
  <si>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</si>
  <si>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</si>
  <si>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</si>
  <si>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</si>
  <si>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</si>
  <si>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</si>
  <si>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</si>
  <si>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</si>
  <si>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</si>
  <si>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</si>
  <si>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</si>
  <si>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</si>
  <si>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</si>
  <si>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</si>
  <si>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</si>
  <si>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</si>
  <si>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</si>
  <si>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</si>
  <si>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</si>
  <si>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</si>
  <si>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</si>
  <si>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</si>
  <si>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</si>
  <si>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</si>
  <si>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</si>
  <si>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</si>
  <si>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</si>
  <si>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</si>
  <si>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</si>
  <si>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</si>
  <si>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</si>
  <si>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</si>
  <si>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</si>
  <si>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</si>
  <si>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</si>
  <si>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</si>
  <si>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</si>
  <si>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</si>
  <si>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</si>
  <si>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</si>
  <si>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</si>
  <si>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</si>
  <si>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</si>
  <si>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</si>
  <si>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</si>
  <si>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</si>
  <si>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</si>
  <si>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</si>
  <si>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</si>
  <si>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</si>
  <si>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</si>
  <si>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</si>
  <si>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</si>
  <si>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</si>
  <si>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</si>
  <si>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</si>
  <si>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</si>
  <si>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</si>
  <si>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</si>
  <si>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</si>
  <si>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</si>
  <si>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</si>
  <si>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</si>
  <si>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</si>
  <si>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</si>
  <si>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</si>
  <si>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</si>
  <si>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</si>
  <si>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</si>
  <si>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</si>
  <si>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</si>
  <si>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</si>
  <si>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</si>
  <si>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</si>
  <si>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</si>
  <si>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</si>
  <si>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</si>
  <si>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</si>
  <si>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</si>
  <si>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</si>
  <si>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</si>
  <si>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</si>
  <si>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</si>
  <si>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</si>
  <si>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</si>
  <si>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</si>
  <si>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</si>
  <si>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</si>
  <si>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</si>
  <si>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</si>
  <si>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</si>
  <si>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</si>
  <si>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</si>
  <si>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</si>
  <si>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</si>
  <si>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</si>
  <si>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</si>
  <si>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</si>
  <si>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</si>
  <si>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</si>
  <si>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</si>
  <si>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</si>
  <si>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</si>
  <si>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</si>
  <si>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</si>
  <si>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</si>
  <si>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</si>
  <si>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</si>
  <si>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</si>
  <si>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</si>
  <si>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</si>
  <si>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</si>
  <si>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</si>
  <si>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</si>
  <si>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</si>
  <si>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</si>
  <si>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</si>
  <si>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</si>
  <si>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</si>
  <si>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</si>
  <si>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</si>
  <si>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</si>
  <si>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</si>
  <si>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</si>
  <si>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</si>
  <si>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</si>
  <si>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</si>
  <si>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</si>
  <si>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</si>
  <si>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</si>
  <si>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</si>
  <si>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</si>
  <si>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</si>
  <si>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</si>
  <si>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</si>
  <si>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</si>
  <si>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</si>
  <si>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</si>
  <si>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</si>
  <si>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</si>
  <si>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</si>
  <si>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</si>
  <si>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</si>
  <si>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</si>
  <si>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</si>
  <si>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</si>
  <si>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</si>
  <si>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</si>
  <si>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</si>
  <si>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</si>
  <si>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</si>
  <si>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</si>
  <si>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</si>
  <si>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</si>
  <si>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</si>
  <si>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</si>
  <si>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</si>
  <si>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</si>
  <si>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</si>
  <si>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</si>
  <si>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</si>
  <si>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</si>
  <si>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</si>
  <si>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</si>
  <si>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</si>
  <si>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</si>
  <si>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</si>
  <si>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</si>
  <si>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</si>
  <si>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</si>
  <si>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</si>
  <si>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</si>
  <si>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</si>
  <si>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</si>
  <si>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</si>
  <si>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</si>
  <si>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</si>
  <si>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</si>
  <si>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</si>
  <si>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</si>
  <si>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</si>
  <si>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</si>
  <si>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</si>
  <si>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</si>
  <si>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</si>
  <si>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</si>
  <si>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</si>
  <si>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</si>
  <si>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</si>
  <si>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</si>
  <si>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</si>
  <si>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角度ID移動角度</t>
  </si>
  <si>
    <t>EnemyShot5</t>
  </si>
  <si>
    <t>Shot5_purple</t>
  </si>
  <si>
    <t>2,0</t>
  </si>
  <si>
    <t>16200</t>
  </si>
  <si>
    <t>16200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</si>
</sst>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0.0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96"/>
  <sheetViews>
    <sheetView tabSelected="1" zoomScale="115" zoomScaleNormal="115" workbookViewId="0">
      <pane ySplit="1" topLeftCell="A5" activePane="bottomLeft" state="frozen"/>
      <selection pane="bottomLeft" activeCell="M18" sqref="M18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12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9" t="s">
        <v>227</v>
      </c>
      <c r="B9" s="21">
        <f>QUOTIENT( D9-1,G10)+1</f>
        <v>1</v>
      </c>
      <c r="C9" s="21">
        <f>D9-(B9-1)*G10</f>
        <v>1</v>
      </c>
      <c r="D9" s="21">
        <f>COUNT($D$8:$D8)+1</f>
        <v>1</v>
      </c>
    </row>
    <row r="10" spans="1:60">
      <c r="E10" s="21">
        <f t="shared" ref="E10" si="0">ROW(E10)</f>
        <v>10</v>
      </c>
      <c r="F10" s="9" t="s">
        <v>93</v>
      </c>
      <c r="G10" s="21">
        <v>12</v>
      </c>
      <c r="H10" s="21">
        <v>1</v>
      </c>
      <c r="J10" s="9" t="s">
        <v>252</v>
      </c>
      <c r="M10" s="21">
        <f t="shared" ref="M10" si="1">J10+D9</f>
        <v>16201</v>
      </c>
    </row>
    <row r="11" spans="1:60">
      <c r="E11" s="21">
        <f t="shared" ref="E11:E83" si="2">ROW(E11)</f>
        <v>11</v>
      </c>
      <c r="F11" s="9" t="s">
        <v>142</v>
      </c>
      <c r="M11" s="21">
        <v>16100</v>
      </c>
    </row>
    <row r="12" spans="1:60">
      <c r="E12" s="21">
        <f t="shared" si="2"/>
        <v>12</v>
      </c>
      <c r="F12" s="9" t="s">
        <v>126</v>
      </c>
      <c r="M12" s="21">
        <v>0</v>
      </c>
    </row>
    <row r="13" spans="1:60">
      <c r="E13" s="21">
        <f t="shared" si="2"/>
        <v>13</v>
      </c>
      <c r="F13" s="9" t="s">
        <v>29</v>
      </c>
      <c r="M13" s="21" t="s">
        <v>248</v>
      </c>
    </row>
    <row r="14" spans="1:60">
      <c r="E14" s="21">
        <f t="shared" si="2"/>
        <v>14</v>
      </c>
      <c r="F14" s="9" t="s">
        <v>118</v>
      </c>
      <c r="M14" s="21" t="s">
        <v>249</v>
      </c>
    </row>
    <row r="15" spans="1:60">
      <c r="E15" s="21">
        <f t="shared" si="2"/>
        <v>15</v>
      </c>
      <c r="F15" s="9" t="s">
        <v>194</v>
      </c>
      <c r="M15" s="26">
        <v>0.25</v>
      </c>
    </row>
    <row r="16" spans="1:60">
      <c r="E16" s="21">
        <f t="shared" si="2"/>
        <v>16</v>
      </c>
      <c r="F16" s="9" t="s">
        <v>196</v>
      </c>
      <c r="M16" s="26">
        <v>40</v>
      </c>
    </row>
    <row r="17" spans="1:60">
      <c r="E17" s="21">
        <f t="shared" si="2"/>
        <v>17</v>
      </c>
      <c r="F17" s="9" t="s">
        <v>98</v>
      </c>
      <c r="K17" s="9" t="s">
        <v>137</v>
      </c>
      <c r="M17" s="21">
        <v>2</v>
      </c>
    </row>
    <row r="18" spans="1:60">
      <c r="E18" s="21">
        <f t="shared" si="2"/>
        <v>18</v>
      </c>
      <c r="F18" s="9" t="s">
        <v>175</v>
      </c>
      <c r="G18" s="26">
        <v>1.2</v>
      </c>
      <c r="K18" s="9" t="s">
        <v>218</v>
      </c>
      <c r="M18" s="21">
        <f>G18*(C9-1)</f>
        <v>0</v>
      </c>
    </row>
    <row r="19" spans="1:60">
      <c r="E19" s="21">
        <f t="shared" si="2"/>
        <v>19</v>
      </c>
      <c r="F19" s="9" t="s">
        <v>133</v>
      </c>
      <c r="K19" s="9" t="s">
        <v>219</v>
      </c>
    </row>
    <row r="20" spans="1:60">
      <c r="E20" s="21">
        <f t="shared" si="2"/>
        <v>20</v>
      </c>
      <c r="F20" s="9" t="s">
        <v>182</v>
      </c>
      <c r="L20" s="9" t="s">
        <v>247</v>
      </c>
      <c r="M20" s="21" t="s">
        <v>250</v>
      </c>
    </row>
    <row r="21" spans="1:60">
      <c r="E21" s="21">
        <f t="shared" si="2"/>
        <v>21</v>
      </c>
      <c r="F21" s="9" t="s">
        <v>182</v>
      </c>
      <c r="L21" s="9" t="s">
        <v>134</v>
      </c>
      <c r="M21" s="21">
        <v>180</v>
      </c>
    </row>
    <row r="22" spans="1:60">
      <c r="E22" s="21">
        <f t="shared" si="2"/>
        <v>22</v>
      </c>
      <c r="F22" s="9" t="s">
        <v>113</v>
      </c>
      <c r="L22" s="9" t="s">
        <v>134</v>
      </c>
      <c r="M22" s="21">
        <v>90</v>
      </c>
    </row>
    <row r="23" spans="1:60">
      <c r="E23" s="21">
        <f t="shared" si="2"/>
        <v>23</v>
      </c>
      <c r="F23" s="9" t="s">
        <v>116</v>
      </c>
      <c r="K23" s="9" t="s">
        <v>137</v>
      </c>
      <c r="M23" s="21">
        <v>2</v>
      </c>
    </row>
    <row r="24" spans="1:60">
      <c r="E24" s="21">
        <f t="shared" si="2"/>
        <v>24</v>
      </c>
      <c r="F24" s="9" t="s">
        <v>125</v>
      </c>
      <c r="M24" s="21">
        <v>10000</v>
      </c>
    </row>
    <row r="25" spans="1:60">
      <c r="E25" s="21">
        <f t="shared" si="2"/>
        <v>25</v>
      </c>
      <c r="F25" s="9" t="s">
        <v>117</v>
      </c>
      <c r="M25" s="21" t="b">
        <v>1</v>
      </c>
    </row>
    <row r="26" spans="1:60">
      <c r="A26" s="9"/>
      <c r="B26" s="9"/>
      <c r="E26" s="21">
        <f t="shared" si="2"/>
        <v>26</v>
      </c>
      <c r="F26" s="9" t="s">
        <v>101</v>
      </c>
      <c r="M26" s="21">
        <f>M10*10+9</f>
        <v>162019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2"/>
        <v>27</v>
      </c>
      <c r="F27" s="9" t="s">
        <v>142</v>
      </c>
      <c r="M27" s="21">
        <f>M10</f>
        <v>16201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2"/>
        <v>28</v>
      </c>
      <c r="F28" s="9" t="s">
        <v>126</v>
      </c>
      <c r="M28" s="21">
        <v>120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2"/>
        <v>29</v>
      </c>
      <c r="F29" s="9" t="s">
        <v>142</v>
      </c>
      <c r="M29" s="21">
        <f t="shared" ref="M29" si="3">M26</f>
        <v>162019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 t="shared" si="2"/>
        <v>30</v>
      </c>
      <c r="F30" s="9" t="s">
        <v>127</v>
      </c>
      <c r="M30" s="21">
        <v>0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2"/>
        <v>31</v>
      </c>
      <c r="F31" s="9" t="s">
        <v>35</v>
      </c>
      <c r="M31" s="21">
        <v>180</v>
      </c>
      <c r="R31" s="12"/>
      <c r="S31" s="9"/>
      <c r="U31" s="12"/>
      <c r="X31" s="15"/>
      <c r="AE31" s="16"/>
      <c r="BH31" s="9"/>
    </row>
    <row r="32" spans="1:60">
      <c r="E32" s="21">
        <f>ROW(E32)</f>
        <v>32</v>
      </c>
      <c r="F32" s="9" t="s">
        <v>167</v>
      </c>
      <c r="M32" s="21" t="str">
        <f>J10</f>
        <v>16200</v>
      </c>
    </row>
    <row r="33" spans="1:13">
      <c r="A33" s="21" t="s">
        <v>227</v>
      </c>
      <c r="B33" s="21">
        <f t="shared" ref="B33:B96" si="4">QUOTIENT( D33-1,G34)+1</f>
        <v>1</v>
      </c>
      <c r="C33" s="21">
        <f t="shared" ref="C33" si="5">D33-(B33-1)*G34</f>
        <v>2</v>
      </c>
      <c r="D33" s="21">
        <f>COUNT($D$8:$D32)+1</f>
        <v>2</v>
      </c>
    </row>
    <row r="34" spans="1:13">
      <c r="E34" s="21">
        <f t="shared" ref="E34:E97" si="6">ROW(E34)</f>
        <v>34</v>
      </c>
      <c r="F34" s="9" t="s">
        <v>93</v>
      </c>
      <c r="G34" s="21">
        <v>12</v>
      </c>
      <c r="H34" s="21">
        <v>1</v>
      </c>
      <c r="J34" s="9" t="s">
        <v>251</v>
      </c>
      <c r="M34" s="21">
        <f t="shared" ref="M34:M97" si="7">J34+D33</f>
        <v>16202</v>
      </c>
    </row>
    <row r="35" spans="1:13">
      <c r="E35" s="21">
        <f t="shared" si="2"/>
        <v>35</v>
      </c>
      <c r="F35" s="9" t="s">
        <v>142</v>
      </c>
      <c r="M35" s="21">
        <v>16100</v>
      </c>
    </row>
    <row r="36" spans="1:13">
      <c r="E36" s="21">
        <f t="shared" si="2"/>
        <v>36</v>
      </c>
      <c r="F36" s="9" t="s">
        <v>126</v>
      </c>
      <c r="M36" s="21">
        <v>0</v>
      </c>
    </row>
    <row r="37" spans="1:13">
      <c r="E37" s="21">
        <f t="shared" si="2"/>
        <v>37</v>
      </c>
      <c r="F37" s="9" t="s">
        <v>29</v>
      </c>
      <c r="M37" s="21" t="s">
        <v>248</v>
      </c>
    </row>
    <row r="38" spans="1:13">
      <c r="E38" s="21">
        <f t="shared" si="2"/>
        <v>38</v>
      </c>
      <c r="F38" s="9" t="s">
        <v>118</v>
      </c>
      <c r="M38" s="21" t="s">
        <v>249</v>
      </c>
    </row>
    <row r="39" spans="1:13">
      <c r="E39" s="21">
        <f t="shared" si="2"/>
        <v>39</v>
      </c>
      <c r="F39" s="9" t="s">
        <v>194</v>
      </c>
      <c r="M39" s="21">
        <v>0.25</v>
      </c>
    </row>
    <row r="40" spans="1:13">
      <c r="E40" s="21">
        <f t="shared" si="2"/>
        <v>40</v>
      </c>
      <c r="F40" s="9" t="s">
        <v>196</v>
      </c>
      <c r="M40" s="21">
        <v>40</v>
      </c>
    </row>
    <row r="41" spans="1:13">
      <c r="E41" s="21">
        <f t="shared" si="2"/>
        <v>41</v>
      </c>
      <c r="F41" s="9" t="s">
        <v>98</v>
      </c>
      <c r="K41" s="9" t="s">
        <v>137</v>
      </c>
      <c r="M41" s="21">
        <v>2</v>
      </c>
    </row>
    <row r="42" spans="1:13">
      <c r="E42" s="21">
        <f t="shared" si="2"/>
        <v>42</v>
      </c>
      <c r="F42" s="9" t="s">
        <v>175</v>
      </c>
      <c r="G42" s="21">
        <v>1.2</v>
      </c>
      <c r="K42" s="9" t="s">
        <v>218</v>
      </c>
      <c r="M42" s="27">
        <f t="shared" ref="M42" si="8">G42*(C33-1)</f>
        <v>1.2</v>
      </c>
    </row>
    <row r="43" spans="1:13">
      <c r="E43" s="21">
        <f t="shared" si="2"/>
        <v>43</v>
      </c>
      <c r="F43" s="9" t="s">
        <v>133</v>
      </c>
      <c r="K43" s="9" t="s">
        <v>219</v>
      </c>
    </row>
    <row r="44" spans="1:13">
      <c r="E44" s="21">
        <f t="shared" si="2"/>
        <v>44</v>
      </c>
      <c r="F44" s="9" t="s">
        <v>182</v>
      </c>
      <c r="L44" s="9" t="s">
        <v>247</v>
      </c>
      <c r="M44" s="21" t="s">
        <v>250</v>
      </c>
    </row>
    <row r="45" spans="1:13">
      <c r="E45" s="21">
        <f t="shared" si="2"/>
        <v>45</v>
      </c>
      <c r="F45" s="9" t="s">
        <v>182</v>
      </c>
      <c r="L45" s="9" t="s">
        <v>134</v>
      </c>
      <c r="M45" s="21">
        <v>180</v>
      </c>
    </row>
    <row r="46" spans="1:13">
      <c r="E46" s="21">
        <f t="shared" si="2"/>
        <v>46</v>
      </c>
      <c r="F46" s="9" t="s">
        <v>113</v>
      </c>
      <c r="L46" s="9" t="s">
        <v>134</v>
      </c>
      <c r="M46" s="21">
        <v>90</v>
      </c>
    </row>
    <row r="47" spans="1:13">
      <c r="E47" s="21">
        <f t="shared" si="2"/>
        <v>47</v>
      </c>
      <c r="F47" s="9" t="s">
        <v>116</v>
      </c>
      <c r="K47" s="9" t="s">
        <v>137</v>
      </c>
      <c r="M47" s="21">
        <v>2</v>
      </c>
    </row>
    <row r="48" spans="1:13">
      <c r="E48" s="21">
        <f t="shared" si="2"/>
        <v>48</v>
      </c>
      <c r="F48" s="9" t="s">
        <v>125</v>
      </c>
      <c r="M48" s="21">
        <v>10000</v>
      </c>
    </row>
    <row r="49" spans="1:13">
      <c r="E49" s="21">
        <f t="shared" si="2"/>
        <v>49</v>
      </c>
      <c r="F49" s="9" t="s">
        <v>117</v>
      </c>
      <c r="M49" s="21" t="b">
        <v>1</v>
      </c>
    </row>
    <row r="50" spans="1:13">
      <c r="E50" s="21">
        <f t="shared" si="2"/>
        <v>50</v>
      </c>
      <c r="F50" s="9" t="s">
        <v>101</v>
      </c>
      <c r="M50" s="21">
        <f t="shared" ref="M50" si="9">M34*10+9</f>
        <v>162029</v>
      </c>
    </row>
    <row r="51" spans="1:13">
      <c r="E51" s="21">
        <f t="shared" si="2"/>
        <v>51</v>
      </c>
      <c r="F51" s="9" t="s">
        <v>142</v>
      </c>
      <c r="M51" s="21">
        <f t="shared" ref="M51" si="10">M34</f>
        <v>16202</v>
      </c>
    </row>
    <row r="52" spans="1:13">
      <c r="E52" s="21">
        <f t="shared" si="2"/>
        <v>52</v>
      </c>
      <c r="F52" s="9" t="s">
        <v>126</v>
      </c>
      <c r="M52" s="21">
        <v>120</v>
      </c>
    </row>
    <row r="53" spans="1:13">
      <c r="E53" s="21">
        <f t="shared" si="2"/>
        <v>53</v>
      </c>
      <c r="F53" s="9" t="s">
        <v>142</v>
      </c>
      <c r="M53" s="21">
        <f t="shared" ref="M53:M101" si="11">M50</f>
        <v>162029</v>
      </c>
    </row>
    <row r="54" spans="1:13">
      <c r="E54" s="21">
        <f t="shared" si="2"/>
        <v>54</v>
      </c>
      <c r="F54" s="9" t="s">
        <v>127</v>
      </c>
      <c r="M54" s="21">
        <v>0</v>
      </c>
    </row>
    <row r="55" spans="1:13">
      <c r="E55" s="21">
        <f t="shared" si="2"/>
        <v>55</v>
      </c>
      <c r="F55" s="9" t="s">
        <v>35</v>
      </c>
      <c r="M55" s="21">
        <v>180</v>
      </c>
    </row>
    <row r="56" spans="1:13">
      <c r="E56" s="21">
        <f t="shared" si="2"/>
        <v>56</v>
      </c>
      <c r="F56" s="9" t="s">
        <v>167</v>
      </c>
      <c r="M56" s="21" t="str">
        <f t="shared" ref="M56" si="12">J34</f>
        <v>16200</v>
      </c>
    </row>
    <row r="57" spans="1:13">
      <c r="A57" s="21" t="s">
        <v>227</v>
      </c>
      <c r="B57" s="21">
        <f t="shared" ref="B57:B120" si="13">QUOTIENT( D57-1,G58)+1</f>
        <v>1</v>
      </c>
      <c r="C57" s="21">
        <f t="shared" ref="C57" si="14">D57-(B57-1)*G58</f>
        <v>3</v>
      </c>
      <c r="D57" s="21">
        <f>COUNT($D$8:$D56)+1</f>
        <v>3</v>
      </c>
    </row>
    <row r="58" spans="1:13">
      <c r="E58" s="21">
        <f t="shared" si="6"/>
        <v>58</v>
      </c>
      <c r="F58" s="9" t="s">
        <v>93</v>
      </c>
      <c r="G58" s="21">
        <v>12</v>
      </c>
      <c r="H58" s="21">
        <v>1</v>
      </c>
      <c r="J58" s="9" t="s">
        <v>251</v>
      </c>
      <c r="M58" s="21">
        <f t="shared" ref="M58:M121" si="15">J58+D57</f>
        <v>16203</v>
      </c>
    </row>
    <row r="59" spans="1:13">
      <c r="E59" s="21">
        <f t="shared" si="2"/>
        <v>59</v>
      </c>
      <c r="F59" s="9" t="s">
        <v>142</v>
      </c>
      <c r="M59" s="21">
        <v>16100</v>
      </c>
    </row>
    <row r="60" spans="1:13">
      <c r="E60" s="21">
        <f t="shared" si="2"/>
        <v>60</v>
      </c>
      <c r="F60" s="9" t="s">
        <v>126</v>
      </c>
      <c r="M60" s="21">
        <v>0</v>
      </c>
    </row>
    <row r="61" spans="1:13">
      <c r="E61" s="21">
        <f t="shared" si="2"/>
        <v>61</v>
      </c>
      <c r="F61" s="9" t="s">
        <v>29</v>
      </c>
      <c r="M61" s="21" t="s">
        <v>248</v>
      </c>
    </row>
    <row r="62" spans="1:13">
      <c r="E62" s="21">
        <f t="shared" si="2"/>
        <v>62</v>
      </c>
      <c r="F62" s="9" t="s">
        <v>118</v>
      </c>
      <c r="M62" s="21" t="s">
        <v>249</v>
      </c>
    </row>
    <row r="63" spans="1:13">
      <c r="E63" s="21">
        <f t="shared" si="2"/>
        <v>63</v>
      </c>
      <c r="F63" s="9" t="s">
        <v>194</v>
      </c>
      <c r="M63" s="21">
        <v>0.25</v>
      </c>
    </row>
    <row r="64" spans="1:13">
      <c r="E64" s="21">
        <f t="shared" si="2"/>
        <v>64</v>
      </c>
      <c r="F64" s="9" t="s">
        <v>196</v>
      </c>
      <c r="M64" s="21">
        <v>40</v>
      </c>
    </row>
    <row r="65" spans="5:13">
      <c r="E65" s="21">
        <f t="shared" si="2"/>
        <v>65</v>
      </c>
      <c r="F65" s="9" t="s">
        <v>98</v>
      </c>
      <c r="K65" s="9" t="s">
        <v>137</v>
      </c>
      <c r="M65" s="21">
        <v>2</v>
      </c>
    </row>
    <row r="66" spans="5:13">
      <c r="E66" s="21">
        <f t="shared" si="2"/>
        <v>66</v>
      </c>
      <c r="F66" s="9" t="s">
        <v>175</v>
      </c>
      <c r="G66" s="21">
        <v>1.2</v>
      </c>
      <c r="K66" s="9" t="s">
        <v>218</v>
      </c>
      <c r="M66" s="21">
        <f t="shared" ref="M66" si="16">G66*(C57-1)</f>
        <v>2.4</v>
      </c>
    </row>
    <row r="67" spans="5:13">
      <c r="E67" s="21">
        <f t="shared" si="2"/>
        <v>67</v>
      </c>
      <c r="F67" s="9" t="s">
        <v>133</v>
      </c>
      <c r="K67" s="9" t="s">
        <v>219</v>
      </c>
    </row>
    <row r="68" spans="5:13">
      <c r="E68" s="21">
        <f t="shared" si="2"/>
        <v>68</v>
      </c>
      <c r="F68" s="9" t="s">
        <v>182</v>
      </c>
      <c r="L68" s="9" t="s">
        <v>247</v>
      </c>
      <c r="M68" s="21" t="s">
        <v>250</v>
      </c>
    </row>
    <row r="69" spans="5:13">
      <c r="E69" s="21">
        <f t="shared" si="2"/>
        <v>69</v>
      </c>
      <c r="F69" s="9" t="s">
        <v>182</v>
      </c>
      <c r="L69" s="9" t="s">
        <v>134</v>
      </c>
      <c r="M69" s="21">
        <v>180</v>
      </c>
    </row>
    <row r="70" spans="5:13">
      <c r="E70" s="21">
        <f t="shared" si="2"/>
        <v>70</v>
      </c>
      <c r="F70" s="9" t="s">
        <v>113</v>
      </c>
      <c r="L70" s="9" t="s">
        <v>134</v>
      </c>
      <c r="M70" s="21">
        <v>90</v>
      </c>
    </row>
    <row r="71" spans="5:13">
      <c r="E71" s="21">
        <f t="shared" si="2"/>
        <v>71</v>
      </c>
      <c r="F71" s="9" t="s">
        <v>116</v>
      </c>
      <c r="K71" s="9" t="s">
        <v>137</v>
      </c>
      <c r="M71" s="21">
        <v>2</v>
      </c>
    </row>
    <row r="72" spans="5:13">
      <c r="E72" s="21">
        <f t="shared" si="2"/>
        <v>72</v>
      </c>
      <c r="F72" s="9" t="s">
        <v>125</v>
      </c>
      <c r="M72" s="21">
        <v>10000</v>
      </c>
    </row>
    <row r="73" spans="5:13">
      <c r="E73" s="21">
        <f t="shared" si="2"/>
        <v>73</v>
      </c>
      <c r="F73" s="9" t="s">
        <v>117</v>
      </c>
      <c r="M73" s="21" t="b">
        <v>1</v>
      </c>
    </row>
    <row r="74" spans="5:13">
      <c r="E74" s="21">
        <f t="shared" si="2"/>
        <v>74</v>
      </c>
      <c r="F74" s="9" t="s">
        <v>101</v>
      </c>
      <c r="M74" s="21">
        <f t="shared" ref="M74" si="17">M58*10+9</f>
        <v>162039</v>
      </c>
    </row>
    <row r="75" spans="5:13">
      <c r="E75" s="21">
        <f t="shared" si="2"/>
        <v>75</v>
      </c>
      <c r="F75" s="9" t="s">
        <v>142</v>
      </c>
      <c r="M75" s="21">
        <f t="shared" ref="M75" si="18">M58</f>
        <v>16203</v>
      </c>
    </row>
    <row r="76" spans="5:13">
      <c r="E76" s="21">
        <f t="shared" si="2"/>
        <v>76</v>
      </c>
      <c r="F76" s="9" t="s">
        <v>126</v>
      </c>
      <c r="M76" s="21">
        <v>120</v>
      </c>
    </row>
    <row r="77" spans="5:13">
      <c r="E77" s="21">
        <f t="shared" si="2"/>
        <v>77</v>
      </c>
      <c r="F77" s="9" t="s">
        <v>142</v>
      </c>
      <c r="M77" s="21">
        <f t="shared" si="11"/>
        <v>162039</v>
      </c>
    </row>
    <row r="78" spans="5:13">
      <c r="E78" s="21">
        <f t="shared" si="2"/>
        <v>78</v>
      </c>
      <c r="F78" s="9" t="s">
        <v>127</v>
      </c>
      <c r="M78" s="21">
        <v>0</v>
      </c>
    </row>
    <row r="79" spans="5:13">
      <c r="E79" s="21">
        <f t="shared" si="2"/>
        <v>79</v>
      </c>
      <c r="F79" s="9" t="s">
        <v>35</v>
      </c>
      <c r="M79" s="21">
        <v>180</v>
      </c>
    </row>
    <row r="80" spans="5:13">
      <c r="E80" s="21">
        <f t="shared" si="2"/>
        <v>80</v>
      </c>
      <c r="F80" s="9" t="s">
        <v>167</v>
      </c>
      <c r="M80" s="21" t="str">
        <f t="shared" ref="M80" si="19">J58</f>
        <v>16200</v>
      </c>
    </row>
    <row r="81" spans="1:13">
      <c r="A81" s="21" t="s">
        <v>227</v>
      </c>
      <c r="B81" s="21">
        <f t="shared" ref="B81:B144" si="20">QUOTIENT( D81-1,G82)+1</f>
        <v>1</v>
      </c>
      <c r="C81" s="21">
        <f t="shared" ref="C81" si="21">D81-(B81-1)*G82</f>
        <v>4</v>
      </c>
      <c r="D81" s="21">
        <f>COUNT($D$8:$D80)+1</f>
        <v>4</v>
      </c>
    </row>
    <row r="82" spans="1:13">
      <c r="E82" s="21">
        <f t="shared" si="6"/>
        <v>82</v>
      </c>
      <c r="F82" s="9" t="s">
        <v>93</v>
      </c>
      <c r="G82" s="21">
        <v>12</v>
      </c>
      <c r="H82" s="21">
        <v>1</v>
      </c>
      <c r="J82" s="9" t="s">
        <v>251</v>
      </c>
      <c r="M82" s="21">
        <f t="shared" ref="M82:M145" si="22">J82+D81</f>
        <v>16204</v>
      </c>
    </row>
    <row r="83" spans="1:13">
      <c r="E83" s="21">
        <f t="shared" si="2"/>
        <v>83</v>
      </c>
      <c r="F83" s="9" t="s">
        <v>142</v>
      </c>
      <c r="M83" s="21">
        <v>16100</v>
      </c>
    </row>
    <row r="84" spans="1:13">
      <c r="E84" s="21">
        <f t="shared" ref="E84:E147" si="23">ROW(E84)</f>
        <v>84</v>
      </c>
      <c r="F84" s="9" t="s">
        <v>126</v>
      </c>
      <c r="M84" s="21">
        <v>0</v>
      </c>
    </row>
    <row r="85" spans="1:13">
      <c r="E85" s="21">
        <f t="shared" si="23"/>
        <v>85</v>
      </c>
      <c r="F85" s="9" t="s">
        <v>29</v>
      </c>
      <c r="M85" s="21" t="s">
        <v>248</v>
      </c>
    </row>
    <row r="86" spans="1:13">
      <c r="E86" s="21">
        <f t="shared" si="23"/>
        <v>86</v>
      </c>
      <c r="F86" s="9" t="s">
        <v>118</v>
      </c>
      <c r="M86" s="21" t="s">
        <v>249</v>
      </c>
    </row>
    <row r="87" spans="1:13">
      <c r="E87" s="21">
        <f t="shared" si="23"/>
        <v>87</v>
      </c>
      <c r="F87" s="9" t="s">
        <v>194</v>
      </c>
      <c r="M87" s="21">
        <v>0.25</v>
      </c>
    </row>
    <row r="88" spans="1:13">
      <c r="E88" s="21">
        <f t="shared" si="23"/>
        <v>88</v>
      </c>
      <c r="F88" s="9" t="s">
        <v>196</v>
      </c>
      <c r="M88" s="21">
        <v>40</v>
      </c>
    </row>
    <row r="89" spans="1:13">
      <c r="E89" s="21">
        <f t="shared" si="23"/>
        <v>89</v>
      </c>
      <c r="F89" s="9" t="s">
        <v>98</v>
      </c>
      <c r="K89" s="9" t="s">
        <v>137</v>
      </c>
      <c r="M89" s="21">
        <v>2</v>
      </c>
    </row>
    <row r="90" spans="1:13">
      <c r="E90" s="21">
        <f t="shared" si="23"/>
        <v>90</v>
      </c>
      <c r="F90" s="9" t="s">
        <v>175</v>
      </c>
      <c r="G90" s="21">
        <v>1.2</v>
      </c>
      <c r="K90" s="9" t="s">
        <v>218</v>
      </c>
      <c r="M90" s="21">
        <f t="shared" ref="M90" si="24">G90*(C81-1)</f>
        <v>3.5999999999999996</v>
      </c>
    </row>
    <row r="91" spans="1:13">
      <c r="E91" s="21">
        <f t="shared" si="23"/>
        <v>91</v>
      </c>
      <c r="F91" s="9" t="s">
        <v>133</v>
      </c>
      <c r="K91" s="9" t="s">
        <v>219</v>
      </c>
    </row>
    <row r="92" spans="1:13">
      <c r="E92" s="21">
        <f t="shared" si="23"/>
        <v>92</v>
      </c>
      <c r="F92" s="9" t="s">
        <v>182</v>
      </c>
      <c r="L92" s="9" t="s">
        <v>247</v>
      </c>
      <c r="M92" s="21" t="s">
        <v>250</v>
      </c>
    </row>
    <row r="93" spans="1:13">
      <c r="E93" s="21">
        <f t="shared" si="23"/>
        <v>93</v>
      </c>
      <c r="F93" s="9" t="s">
        <v>182</v>
      </c>
      <c r="L93" s="9" t="s">
        <v>134</v>
      </c>
      <c r="M93" s="21">
        <v>180</v>
      </c>
    </row>
    <row r="94" spans="1:13">
      <c r="E94" s="21">
        <f t="shared" si="23"/>
        <v>94</v>
      </c>
      <c r="F94" s="9" t="s">
        <v>113</v>
      </c>
      <c r="L94" s="9" t="s">
        <v>134</v>
      </c>
      <c r="M94" s="21">
        <v>90</v>
      </c>
    </row>
    <row r="95" spans="1:13">
      <c r="E95" s="21">
        <f t="shared" si="23"/>
        <v>95</v>
      </c>
      <c r="F95" s="9" t="s">
        <v>116</v>
      </c>
      <c r="K95" s="9" t="s">
        <v>137</v>
      </c>
      <c r="M95" s="21">
        <v>2</v>
      </c>
    </row>
    <row r="96" spans="1:13">
      <c r="E96" s="21">
        <f t="shared" si="23"/>
        <v>96</v>
      </c>
      <c r="F96" s="9" t="s">
        <v>125</v>
      </c>
      <c r="M96" s="21">
        <v>10000</v>
      </c>
    </row>
    <row r="97" spans="1:13">
      <c r="E97" s="21">
        <f t="shared" si="23"/>
        <v>97</v>
      </c>
      <c r="F97" s="9" t="s">
        <v>117</v>
      </c>
      <c r="M97" s="21" t="b">
        <v>1</v>
      </c>
    </row>
    <row r="98" spans="1:13">
      <c r="E98" s="21">
        <f t="shared" si="23"/>
        <v>98</v>
      </c>
      <c r="F98" s="9" t="s">
        <v>101</v>
      </c>
      <c r="M98" s="21">
        <f t="shared" ref="M98" si="25">M82*10+9</f>
        <v>162049</v>
      </c>
    </row>
    <row r="99" spans="1:13">
      <c r="E99" s="21">
        <f t="shared" si="23"/>
        <v>99</v>
      </c>
      <c r="F99" s="9" t="s">
        <v>142</v>
      </c>
      <c r="M99" s="21">
        <f t="shared" ref="M99" si="26">M82</f>
        <v>16204</v>
      </c>
    </row>
    <row r="100" spans="1:13">
      <c r="E100" s="21">
        <f t="shared" si="23"/>
        <v>100</v>
      </c>
      <c r="F100" s="9" t="s">
        <v>126</v>
      </c>
      <c r="M100" s="21">
        <v>120</v>
      </c>
    </row>
    <row r="101" spans="1:13">
      <c r="E101" s="21">
        <f t="shared" si="23"/>
        <v>101</v>
      </c>
      <c r="F101" s="9" t="s">
        <v>142</v>
      </c>
      <c r="M101" s="21">
        <f t="shared" si="11"/>
        <v>162049</v>
      </c>
    </row>
    <row r="102" spans="1:13">
      <c r="E102" s="21">
        <f t="shared" si="23"/>
        <v>102</v>
      </c>
      <c r="F102" s="9" t="s">
        <v>127</v>
      </c>
      <c r="M102" s="21">
        <v>0</v>
      </c>
    </row>
    <row r="103" spans="1:13">
      <c r="E103" s="21">
        <f t="shared" si="23"/>
        <v>103</v>
      </c>
      <c r="F103" s="9" t="s">
        <v>35</v>
      </c>
      <c r="M103" s="21">
        <v>180</v>
      </c>
    </row>
    <row r="104" spans="1:13">
      <c r="E104" s="21">
        <f t="shared" si="23"/>
        <v>104</v>
      </c>
      <c r="F104" s="9" t="s">
        <v>167</v>
      </c>
      <c r="M104" s="21" t="str">
        <f t="shared" ref="M104" si="27">J82</f>
        <v>16200</v>
      </c>
    </row>
    <row r="105" spans="1:13">
      <c r="A105" s="21" t="s">
        <v>227</v>
      </c>
      <c r="B105" s="21">
        <f t="shared" ref="B105:B136" si="28">QUOTIENT( D105-1,G106)+1</f>
        <v>1</v>
      </c>
      <c r="C105" s="21">
        <f t="shared" ref="C105" si="29">D105-(B105-1)*G106</f>
        <v>5</v>
      </c>
      <c r="D105" s="21">
        <f>COUNT($D$8:$D104)+1</f>
        <v>5</v>
      </c>
    </row>
    <row r="106" spans="1:13">
      <c r="E106" s="21">
        <f t="shared" ref="E106:E169" si="30">ROW(E106)</f>
        <v>106</v>
      </c>
      <c r="F106" s="9" t="s">
        <v>93</v>
      </c>
      <c r="G106" s="21">
        <v>12</v>
      </c>
      <c r="H106" s="21">
        <v>1</v>
      </c>
      <c r="J106" s="9" t="s">
        <v>251</v>
      </c>
      <c r="M106" s="21">
        <f t="shared" ref="M106:M169" si="31">J106+D105</f>
        <v>16205</v>
      </c>
    </row>
    <row r="107" spans="1:13">
      <c r="E107" s="21">
        <f t="shared" si="23"/>
        <v>107</v>
      </c>
      <c r="F107" s="9" t="s">
        <v>142</v>
      </c>
      <c r="M107" s="21">
        <v>16100</v>
      </c>
    </row>
    <row r="108" spans="1:13">
      <c r="E108" s="21">
        <f t="shared" si="23"/>
        <v>108</v>
      </c>
      <c r="F108" s="9" t="s">
        <v>126</v>
      </c>
      <c r="M108" s="21">
        <v>0</v>
      </c>
    </row>
    <row r="109" spans="1:13">
      <c r="E109" s="21">
        <f t="shared" si="23"/>
        <v>109</v>
      </c>
      <c r="F109" s="9" t="s">
        <v>29</v>
      </c>
      <c r="M109" s="21" t="s">
        <v>248</v>
      </c>
    </row>
    <row r="110" spans="1:13">
      <c r="E110" s="21">
        <f t="shared" si="23"/>
        <v>110</v>
      </c>
      <c r="F110" s="9" t="s">
        <v>118</v>
      </c>
      <c r="M110" s="21" t="s">
        <v>249</v>
      </c>
    </row>
    <row r="111" spans="1:13">
      <c r="E111" s="21">
        <f t="shared" si="23"/>
        <v>111</v>
      </c>
      <c r="F111" s="9" t="s">
        <v>194</v>
      </c>
      <c r="M111" s="21">
        <v>0.25</v>
      </c>
    </row>
    <row r="112" spans="1:13">
      <c r="E112" s="21">
        <f t="shared" si="23"/>
        <v>112</v>
      </c>
      <c r="F112" s="9" t="s">
        <v>196</v>
      </c>
      <c r="M112" s="21">
        <v>40</v>
      </c>
    </row>
    <row r="113" spans="5:13">
      <c r="E113" s="21">
        <f t="shared" si="23"/>
        <v>113</v>
      </c>
      <c r="F113" s="9" t="s">
        <v>98</v>
      </c>
      <c r="K113" s="9" t="s">
        <v>137</v>
      </c>
      <c r="M113" s="21">
        <v>2</v>
      </c>
    </row>
    <row r="114" spans="5:13">
      <c r="E114" s="21">
        <f t="shared" si="23"/>
        <v>114</v>
      </c>
      <c r="F114" s="9" t="s">
        <v>175</v>
      </c>
      <c r="G114" s="21">
        <v>1.2</v>
      </c>
      <c r="K114" s="9" t="s">
        <v>218</v>
      </c>
      <c r="M114" s="21">
        <f t="shared" ref="M114" si="32">G114*(C105-1)</f>
        <v>4.8</v>
      </c>
    </row>
    <row r="115" spans="5:13">
      <c r="E115" s="21">
        <f t="shared" si="23"/>
        <v>115</v>
      </c>
      <c r="F115" s="9" t="s">
        <v>133</v>
      </c>
      <c r="K115" s="9" t="s">
        <v>219</v>
      </c>
    </row>
    <row r="116" spans="5:13">
      <c r="E116" s="21">
        <f t="shared" si="23"/>
        <v>116</v>
      </c>
      <c r="F116" s="9" t="s">
        <v>182</v>
      </c>
      <c r="L116" s="9" t="s">
        <v>247</v>
      </c>
      <c r="M116" s="21" t="s">
        <v>250</v>
      </c>
    </row>
    <row r="117" spans="5:13">
      <c r="E117" s="21">
        <f t="shared" si="23"/>
        <v>117</v>
      </c>
      <c r="F117" s="9" t="s">
        <v>182</v>
      </c>
      <c r="L117" s="9" t="s">
        <v>134</v>
      </c>
      <c r="M117" s="21">
        <v>180</v>
      </c>
    </row>
    <row r="118" spans="5:13">
      <c r="E118" s="21">
        <f t="shared" si="23"/>
        <v>118</v>
      </c>
      <c r="F118" s="9" t="s">
        <v>113</v>
      </c>
      <c r="L118" s="9" t="s">
        <v>134</v>
      </c>
      <c r="M118" s="21">
        <v>90</v>
      </c>
    </row>
    <row r="119" spans="5:13">
      <c r="E119" s="21">
        <f t="shared" si="23"/>
        <v>119</v>
      </c>
      <c r="F119" s="9" t="s">
        <v>116</v>
      </c>
      <c r="K119" s="9" t="s">
        <v>137</v>
      </c>
      <c r="M119" s="21">
        <v>2</v>
      </c>
    </row>
    <row r="120" spans="5:13">
      <c r="E120" s="21">
        <f t="shared" si="23"/>
        <v>120</v>
      </c>
      <c r="F120" s="9" t="s">
        <v>125</v>
      </c>
      <c r="M120" s="21">
        <v>10000</v>
      </c>
    </row>
    <row r="121" spans="5:13">
      <c r="E121" s="21">
        <f t="shared" si="23"/>
        <v>121</v>
      </c>
      <c r="F121" s="9" t="s">
        <v>117</v>
      </c>
      <c r="M121" s="21" t="b">
        <v>1</v>
      </c>
    </row>
    <row r="122" spans="5:13">
      <c r="E122" s="21">
        <f t="shared" si="23"/>
        <v>122</v>
      </c>
      <c r="F122" s="9" t="s">
        <v>101</v>
      </c>
      <c r="M122" s="21">
        <f t="shared" ref="M122" si="33">M106*10+9</f>
        <v>162059</v>
      </c>
    </row>
    <row r="123" spans="5:13">
      <c r="E123" s="21">
        <f t="shared" si="23"/>
        <v>123</v>
      </c>
      <c r="F123" s="9" t="s">
        <v>142</v>
      </c>
      <c r="M123" s="21">
        <f t="shared" ref="M123" si="34">M106</f>
        <v>16205</v>
      </c>
    </row>
    <row r="124" spans="5:13">
      <c r="E124" s="21">
        <f t="shared" si="23"/>
        <v>124</v>
      </c>
      <c r="F124" s="9" t="s">
        <v>126</v>
      </c>
      <c r="M124" s="21">
        <v>120</v>
      </c>
    </row>
    <row r="125" spans="5:13">
      <c r="E125" s="21">
        <f t="shared" si="23"/>
        <v>125</v>
      </c>
      <c r="F125" s="9" t="s">
        <v>142</v>
      </c>
      <c r="M125" s="21">
        <f t="shared" ref="M125:M173" si="35">M122</f>
        <v>162059</v>
      </c>
    </row>
    <row r="126" spans="5:13">
      <c r="E126" s="21">
        <f t="shared" si="23"/>
        <v>126</v>
      </c>
      <c r="F126" s="9" t="s">
        <v>127</v>
      </c>
      <c r="M126" s="21">
        <v>0</v>
      </c>
    </row>
    <row r="127" spans="5:13">
      <c r="E127" s="21">
        <f t="shared" si="23"/>
        <v>127</v>
      </c>
      <c r="F127" s="9" t="s">
        <v>35</v>
      </c>
      <c r="M127" s="21">
        <v>180</v>
      </c>
    </row>
    <row r="128" spans="5:13">
      <c r="E128" s="21">
        <f t="shared" si="23"/>
        <v>128</v>
      </c>
      <c r="F128" s="9" t="s">
        <v>167</v>
      </c>
      <c r="M128" s="21" t="str">
        <f t="shared" ref="M128" si="36">J106</f>
        <v>16200</v>
      </c>
    </row>
    <row r="129" spans="1:13">
      <c r="A129" s="21" t="s">
        <v>227</v>
      </c>
      <c r="B129" s="21">
        <f t="shared" ref="B129:B160" si="37">QUOTIENT( D129-1,G130)+1</f>
        <v>1</v>
      </c>
      <c r="C129" s="21">
        <f t="shared" ref="C129" si="38">D129-(B129-1)*G130</f>
        <v>6</v>
      </c>
      <c r="D129" s="21">
        <f>COUNT($D$8:$D128)+1</f>
        <v>6</v>
      </c>
    </row>
    <row r="130" spans="1:13">
      <c r="E130" s="21">
        <f t="shared" si="30"/>
        <v>130</v>
      </c>
      <c r="F130" s="9" t="s">
        <v>93</v>
      </c>
      <c r="G130" s="21">
        <v>12</v>
      </c>
      <c r="H130" s="21">
        <v>1</v>
      </c>
      <c r="J130" s="9" t="s">
        <v>251</v>
      </c>
      <c r="M130" s="21">
        <f t="shared" ref="M130:M193" si="39">J130+D129</f>
        <v>16206</v>
      </c>
    </row>
    <row r="131" spans="1:13">
      <c r="E131" s="21">
        <f t="shared" si="23"/>
        <v>131</v>
      </c>
      <c r="F131" s="9" t="s">
        <v>142</v>
      </c>
      <c r="M131" s="21">
        <v>16100</v>
      </c>
    </row>
    <row r="132" spans="1:13">
      <c r="E132" s="21">
        <f t="shared" si="23"/>
        <v>132</v>
      </c>
      <c r="F132" s="9" t="s">
        <v>126</v>
      </c>
      <c r="M132" s="21">
        <v>0</v>
      </c>
    </row>
    <row r="133" spans="1:13">
      <c r="E133" s="21">
        <f t="shared" si="23"/>
        <v>133</v>
      </c>
      <c r="F133" s="9" t="s">
        <v>29</v>
      </c>
      <c r="M133" s="21" t="s">
        <v>248</v>
      </c>
    </row>
    <row r="134" spans="1:13">
      <c r="E134" s="21">
        <f t="shared" si="23"/>
        <v>134</v>
      </c>
      <c r="F134" s="9" t="s">
        <v>118</v>
      </c>
      <c r="M134" s="21" t="s">
        <v>249</v>
      </c>
    </row>
    <row r="135" spans="1:13">
      <c r="E135" s="21">
        <f t="shared" si="23"/>
        <v>135</v>
      </c>
      <c r="F135" s="9" t="s">
        <v>194</v>
      </c>
      <c r="M135" s="21">
        <v>0.25</v>
      </c>
    </row>
    <row r="136" spans="1:13">
      <c r="E136" s="21">
        <f t="shared" si="23"/>
        <v>136</v>
      </c>
      <c r="F136" s="9" t="s">
        <v>196</v>
      </c>
      <c r="M136" s="21">
        <v>40</v>
      </c>
    </row>
    <row r="137" spans="1:13">
      <c r="E137" s="21">
        <f t="shared" si="23"/>
        <v>137</v>
      </c>
      <c r="F137" s="9" t="s">
        <v>98</v>
      </c>
      <c r="K137" s="9" t="s">
        <v>137</v>
      </c>
      <c r="M137" s="21">
        <v>2</v>
      </c>
    </row>
    <row r="138" spans="1:13">
      <c r="E138" s="21">
        <f t="shared" si="23"/>
        <v>138</v>
      </c>
      <c r="F138" s="9" t="s">
        <v>175</v>
      </c>
      <c r="G138" s="21">
        <v>1.2</v>
      </c>
      <c r="K138" s="9" t="s">
        <v>218</v>
      </c>
      <c r="M138" s="21">
        <f t="shared" ref="M138" si="40">G138*(C129-1)</f>
        <v>6</v>
      </c>
    </row>
    <row r="139" spans="1:13">
      <c r="E139" s="21">
        <f t="shared" si="23"/>
        <v>139</v>
      </c>
      <c r="F139" s="9" t="s">
        <v>133</v>
      </c>
      <c r="K139" s="9" t="s">
        <v>219</v>
      </c>
    </row>
    <row r="140" spans="1:13">
      <c r="E140" s="21">
        <f t="shared" si="23"/>
        <v>140</v>
      </c>
      <c r="F140" s="9" t="s">
        <v>182</v>
      </c>
      <c r="L140" s="9" t="s">
        <v>247</v>
      </c>
      <c r="M140" s="21" t="s">
        <v>250</v>
      </c>
    </row>
    <row r="141" spans="1:13">
      <c r="E141" s="21">
        <f t="shared" si="23"/>
        <v>141</v>
      </c>
      <c r="F141" s="9" t="s">
        <v>182</v>
      </c>
      <c r="L141" s="9" t="s">
        <v>134</v>
      </c>
      <c r="M141" s="21">
        <v>180</v>
      </c>
    </row>
    <row r="142" spans="1:13">
      <c r="E142" s="21">
        <f t="shared" si="23"/>
        <v>142</v>
      </c>
      <c r="F142" s="9" t="s">
        <v>113</v>
      </c>
      <c r="L142" s="9" t="s">
        <v>134</v>
      </c>
      <c r="M142" s="21">
        <v>90</v>
      </c>
    </row>
    <row r="143" spans="1:13">
      <c r="E143" s="21">
        <f t="shared" si="23"/>
        <v>143</v>
      </c>
      <c r="F143" s="9" t="s">
        <v>116</v>
      </c>
      <c r="K143" s="9" t="s">
        <v>137</v>
      </c>
      <c r="M143" s="21">
        <v>2</v>
      </c>
    </row>
    <row r="144" spans="1:13">
      <c r="E144" s="21">
        <f t="shared" si="23"/>
        <v>144</v>
      </c>
      <c r="F144" s="9" t="s">
        <v>125</v>
      </c>
      <c r="M144" s="21">
        <v>10000</v>
      </c>
    </row>
    <row r="145" spans="1:13">
      <c r="E145" s="21">
        <f t="shared" si="23"/>
        <v>145</v>
      </c>
      <c r="F145" s="9" t="s">
        <v>117</v>
      </c>
      <c r="M145" s="21" t="b">
        <v>1</v>
      </c>
    </row>
    <row r="146" spans="1:13">
      <c r="E146" s="21">
        <f t="shared" si="23"/>
        <v>146</v>
      </c>
      <c r="F146" s="9" t="s">
        <v>101</v>
      </c>
      <c r="M146" s="21">
        <f t="shared" ref="M146" si="41">M130*10+9</f>
        <v>162069</v>
      </c>
    </row>
    <row r="147" spans="1:13">
      <c r="E147" s="21">
        <f t="shared" si="23"/>
        <v>147</v>
      </c>
      <c r="F147" s="9" t="s">
        <v>142</v>
      </c>
      <c r="M147" s="21">
        <f t="shared" ref="M147" si="42">M130</f>
        <v>16206</v>
      </c>
    </row>
    <row r="148" spans="1:13">
      <c r="E148" s="21">
        <f t="shared" ref="E148:E211" si="43">ROW(E148)</f>
        <v>148</v>
      </c>
      <c r="F148" s="9" t="s">
        <v>126</v>
      </c>
      <c r="M148" s="21">
        <v>120</v>
      </c>
    </row>
    <row r="149" spans="1:13">
      <c r="E149" s="21">
        <f t="shared" si="43"/>
        <v>149</v>
      </c>
      <c r="F149" s="9" t="s">
        <v>142</v>
      </c>
      <c r="M149" s="21">
        <f t="shared" si="35"/>
        <v>162069</v>
      </c>
    </row>
    <row r="150" spans="1:13">
      <c r="E150" s="21">
        <f t="shared" si="43"/>
        <v>150</v>
      </c>
      <c r="F150" s="9" t="s">
        <v>127</v>
      </c>
      <c r="M150" s="21">
        <v>0</v>
      </c>
    </row>
    <row r="151" spans="1:13">
      <c r="E151" s="21">
        <f t="shared" si="43"/>
        <v>151</v>
      </c>
      <c r="F151" s="9" t="s">
        <v>35</v>
      </c>
      <c r="M151" s="21">
        <v>180</v>
      </c>
    </row>
    <row r="152" spans="1:13">
      <c r="E152" s="21">
        <f t="shared" si="43"/>
        <v>152</v>
      </c>
      <c r="F152" s="9" t="s">
        <v>167</v>
      </c>
      <c r="M152" s="21" t="str">
        <f t="shared" ref="M152" si="44">J130</f>
        <v>16200</v>
      </c>
    </row>
    <row r="153" spans="1:13">
      <c r="A153" s="21" t="s">
        <v>227</v>
      </c>
      <c r="B153" s="21">
        <f t="shared" ref="B153:B184" si="45">QUOTIENT( D153-1,G154)+1</f>
        <v>1</v>
      </c>
      <c r="C153" s="21">
        <f t="shared" ref="C153" si="46">D153-(B153-1)*G154</f>
        <v>7</v>
      </c>
      <c r="D153" s="21">
        <f>COUNT($D$8:$D152)+1</f>
        <v>7</v>
      </c>
    </row>
    <row r="154" spans="1:13">
      <c r="E154" s="21">
        <f t="shared" si="30"/>
        <v>154</v>
      </c>
      <c r="F154" s="9" t="s">
        <v>93</v>
      </c>
      <c r="G154" s="21">
        <v>12</v>
      </c>
      <c r="H154" s="21">
        <v>1</v>
      </c>
      <c r="J154" s="9" t="s">
        <v>251</v>
      </c>
      <c r="M154" s="21">
        <f t="shared" ref="M154:M217" si="47">J154+D153</f>
        <v>16207</v>
      </c>
    </row>
    <row r="155" spans="1:13">
      <c r="E155" s="21">
        <f t="shared" si="43"/>
        <v>155</v>
      </c>
      <c r="F155" s="9" t="s">
        <v>142</v>
      </c>
      <c r="M155" s="21">
        <v>16100</v>
      </c>
    </row>
    <row r="156" spans="1:13">
      <c r="E156" s="21">
        <f t="shared" si="43"/>
        <v>156</v>
      </c>
      <c r="F156" s="9" t="s">
        <v>126</v>
      </c>
      <c r="M156" s="21">
        <v>0</v>
      </c>
    </row>
    <row r="157" spans="1:13">
      <c r="E157" s="21">
        <f t="shared" si="43"/>
        <v>157</v>
      </c>
      <c r="F157" s="9" t="s">
        <v>29</v>
      </c>
      <c r="M157" s="21" t="s">
        <v>248</v>
      </c>
    </row>
    <row r="158" spans="1:13">
      <c r="E158" s="21">
        <f t="shared" si="43"/>
        <v>158</v>
      </c>
      <c r="F158" s="9" t="s">
        <v>118</v>
      </c>
      <c r="M158" s="21" t="s">
        <v>249</v>
      </c>
    </row>
    <row r="159" spans="1:13">
      <c r="E159" s="21">
        <f t="shared" si="43"/>
        <v>159</v>
      </c>
      <c r="F159" s="9" t="s">
        <v>194</v>
      </c>
      <c r="M159" s="21">
        <v>0.25</v>
      </c>
    </row>
    <row r="160" spans="1:13">
      <c r="E160" s="21">
        <f t="shared" si="43"/>
        <v>160</v>
      </c>
      <c r="F160" s="9" t="s">
        <v>196</v>
      </c>
      <c r="M160" s="21">
        <v>40</v>
      </c>
    </row>
    <row r="161" spans="5:13">
      <c r="E161" s="21">
        <f t="shared" si="43"/>
        <v>161</v>
      </c>
      <c r="F161" s="9" t="s">
        <v>98</v>
      </c>
      <c r="K161" s="9" t="s">
        <v>137</v>
      </c>
      <c r="M161" s="21">
        <v>2</v>
      </c>
    </row>
    <row r="162" spans="5:13">
      <c r="E162" s="21">
        <f t="shared" si="43"/>
        <v>162</v>
      </c>
      <c r="F162" s="9" t="s">
        <v>175</v>
      </c>
      <c r="G162" s="21">
        <v>1.2</v>
      </c>
      <c r="K162" s="9" t="s">
        <v>218</v>
      </c>
      <c r="M162" s="21">
        <f t="shared" ref="M162" si="48">G162*(C153-1)</f>
        <v>7.1999999999999993</v>
      </c>
    </row>
    <row r="163" spans="5:13">
      <c r="E163" s="21">
        <f t="shared" si="43"/>
        <v>163</v>
      </c>
      <c r="F163" s="9" t="s">
        <v>133</v>
      </c>
      <c r="K163" s="9" t="s">
        <v>219</v>
      </c>
    </row>
    <row r="164" spans="5:13">
      <c r="E164" s="21">
        <f t="shared" si="43"/>
        <v>164</v>
      </c>
      <c r="F164" s="9" t="s">
        <v>182</v>
      </c>
      <c r="L164" s="9" t="s">
        <v>247</v>
      </c>
      <c r="M164" s="21" t="s">
        <v>250</v>
      </c>
    </row>
    <row r="165" spans="5:13">
      <c r="E165" s="21">
        <f t="shared" si="43"/>
        <v>165</v>
      </c>
      <c r="F165" s="9" t="s">
        <v>182</v>
      </c>
      <c r="L165" s="9" t="s">
        <v>134</v>
      </c>
      <c r="M165" s="21">
        <v>180</v>
      </c>
    </row>
    <row r="166" spans="5:13">
      <c r="E166" s="21">
        <f t="shared" si="43"/>
        <v>166</v>
      </c>
      <c r="F166" s="9" t="s">
        <v>113</v>
      </c>
      <c r="L166" s="9" t="s">
        <v>134</v>
      </c>
      <c r="M166" s="21">
        <v>90</v>
      </c>
    </row>
    <row r="167" spans="5:13">
      <c r="E167" s="21">
        <f t="shared" si="43"/>
        <v>167</v>
      </c>
      <c r="F167" s="9" t="s">
        <v>116</v>
      </c>
      <c r="K167" s="9" t="s">
        <v>137</v>
      </c>
      <c r="M167" s="21">
        <v>2</v>
      </c>
    </row>
    <row r="168" spans="5:13">
      <c r="E168" s="21">
        <f t="shared" si="43"/>
        <v>168</v>
      </c>
      <c r="F168" s="9" t="s">
        <v>125</v>
      </c>
      <c r="M168" s="21">
        <v>10000</v>
      </c>
    </row>
    <row r="169" spans="5:13">
      <c r="E169" s="21">
        <f t="shared" si="43"/>
        <v>169</v>
      </c>
      <c r="F169" s="9" t="s">
        <v>117</v>
      </c>
      <c r="M169" s="21" t="b">
        <v>1</v>
      </c>
    </row>
    <row r="170" spans="5:13">
      <c r="E170" s="21">
        <f t="shared" si="43"/>
        <v>170</v>
      </c>
      <c r="F170" s="9" t="s">
        <v>101</v>
      </c>
      <c r="M170" s="21">
        <f t="shared" ref="M170" si="49">M154*10+9</f>
        <v>162079</v>
      </c>
    </row>
    <row r="171" spans="5:13">
      <c r="E171" s="21">
        <f t="shared" si="43"/>
        <v>171</v>
      </c>
      <c r="F171" s="9" t="s">
        <v>142</v>
      </c>
      <c r="M171" s="21">
        <f t="shared" ref="M171" si="50">M154</f>
        <v>16207</v>
      </c>
    </row>
    <row r="172" spans="5:13">
      <c r="E172" s="21">
        <f t="shared" si="43"/>
        <v>172</v>
      </c>
      <c r="F172" s="9" t="s">
        <v>126</v>
      </c>
      <c r="M172" s="21">
        <v>120</v>
      </c>
    </row>
    <row r="173" spans="5:13">
      <c r="E173" s="21">
        <f t="shared" si="43"/>
        <v>173</v>
      </c>
      <c r="F173" s="9" t="s">
        <v>142</v>
      </c>
      <c r="M173" s="21">
        <f t="shared" si="35"/>
        <v>162079</v>
      </c>
    </row>
    <row r="174" spans="5:13">
      <c r="E174" s="21">
        <f t="shared" si="43"/>
        <v>174</v>
      </c>
      <c r="F174" s="9" t="s">
        <v>127</v>
      </c>
      <c r="M174" s="21">
        <v>0</v>
      </c>
    </row>
    <row r="175" spans="5:13">
      <c r="E175" s="21">
        <f t="shared" si="43"/>
        <v>175</v>
      </c>
      <c r="F175" s="9" t="s">
        <v>35</v>
      </c>
      <c r="M175" s="21">
        <v>180</v>
      </c>
    </row>
    <row r="176" spans="5:13">
      <c r="E176" s="21">
        <f t="shared" si="43"/>
        <v>176</v>
      </c>
      <c r="F176" s="9" t="s">
        <v>167</v>
      </c>
      <c r="M176" s="21" t="str">
        <f t="shared" ref="M176" si="51">J154</f>
        <v>16200</v>
      </c>
    </row>
    <row r="177" spans="1:13">
      <c r="A177" s="21" t="s">
        <v>227</v>
      </c>
      <c r="B177" s="21">
        <f t="shared" ref="B177:B208" si="52">QUOTIENT( D177-1,G178)+1</f>
        <v>1</v>
      </c>
      <c r="C177" s="21">
        <f t="shared" ref="C177" si="53">D177-(B177-1)*G178</f>
        <v>8</v>
      </c>
      <c r="D177" s="21">
        <f>COUNT($D$8:$D176)+1</f>
        <v>8</v>
      </c>
    </row>
    <row r="178" spans="1:13">
      <c r="E178" s="21">
        <f t="shared" ref="E178:E241" si="54">ROW(E178)</f>
        <v>178</v>
      </c>
      <c r="F178" s="9" t="s">
        <v>93</v>
      </c>
      <c r="G178" s="21">
        <v>12</v>
      </c>
      <c r="H178" s="21">
        <v>1</v>
      </c>
      <c r="J178" s="9" t="s">
        <v>251</v>
      </c>
      <c r="M178" s="21">
        <f t="shared" ref="M178:M241" si="55">J178+D177</f>
        <v>16208</v>
      </c>
    </row>
    <row r="179" spans="1:13">
      <c r="E179" s="21">
        <f t="shared" si="43"/>
        <v>179</v>
      </c>
      <c r="F179" s="9" t="s">
        <v>142</v>
      </c>
      <c r="M179" s="21">
        <v>16100</v>
      </c>
    </row>
    <row r="180" spans="1:13">
      <c r="E180" s="21">
        <f t="shared" si="43"/>
        <v>180</v>
      </c>
      <c r="F180" s="9" t="s">
        <v>126</v>
      </c>
      <c r="M180" s="21">
        <v>0</v>
      </c>
    </row>
    <row r="181" spans="1:13">
      <c r="E181" s="21">
        <f t="shared" si="43"/>
        <v>181</v>
      </c>
      <c r="F181" s="9" t="s">
        <v>29</v>
      </c>
      <c r="M181" s="21" t="s">
        <v>248</v>
      </c>
    </row>
    <row r="182" spans="1:13">
      <c r="E182" s="21">
        <f t="shared" si="43"/>
        <v>182</v>
      </c>
      <c r="F182" s="9" t="s">
        <v>118</v>
      </c>
      <c r="M182" s="21" t="s">
        <v>249</v>
      </c>
    </row>
    <row r="183" spans="1:13">
      <c r="E183" s="21">
        <f t="shared" si="43"/>
        <v>183</v>
      </c>
      <c r="F183" s="9" t="s">
        <v>194</v>
      </c>
      <c r="M183" s="21">
        <v>0.25</v>
      </c>
    </row>
    <row r="184" spans="1:13">
      <c r="E184" s="21">
        <f t="shared" si="43"/>
        <v>184</v>
      </c>
      <c r="F184" s="9" t="s">
        <v>196</v>
      </c>
      <c r="M184" s="21">
        <v>40</v>
      </c>
    </row>
    <row r="185" spans="1:13">
      <c r="E185" s="21">
        <f t="shared" si="43"/>
        <v>185</v>
      </c>
      <c r="F185" s="9" t="s">
        <v>98</v>
      </c>
      <c r="K185" s="9" t="s">
        <v>137</v>
      </c>
      <c r="M185" s="21">
        <v>2</v>
      </c>
    </row>
    <row r="186" spans="1:13">
      <c r="E186" s="21">
        <f t="shared" si="43"/>
        <v>186</v>
      </c>
      <c r="F186" s="9" t="s">
        <v>175</v>
      </c>
      <c r="G186" s="21">
        <v>1.2</v>
      </c>
      <c r="K186" s="9" t="s">
        <v>218</v>
      </c>
      <c r="M186" s="21">
        <f t="shared" ref="M186" si="56">G186*(C177-1)</f>
        <v>8.4</v>
      </c>
    </row>
    <row r="187" spans="1:13">
      <c r="E187" s="21">
        <f t="shared" si="43"/>
        <v>187</v>
      </c>
      <c r="F187" s="9" t="s">
        <v>133</v>
      </c>
      <c r="K187" s="9" t="s">
        <v>219</v>
      </c>
    </row>
    <row r="188" spans="1:13">
      <c r="E188" s="21">
        <f t="shared" si="43"/>
        <v>188</v>
      </c>
      <c r="F188" s="9" t="s">
        <v>182</v>
      </c>
      <c r="L188" s="9" t="s">
        <v>247</v>
      </c>
      <c r="M188" s="21" t="s">
        <v>250</v>
      </c>
    </row>
    <row r="189" spans="1:13">
      <c r="E189" s="21">
        <f t="shared" si="43"/>
        <v>189</v>
      </c>
      <c r="F189" s="9" t="s">
        <v>182</v>
      </c>
      <c r="L189" s="9" t="s">
        <v>134</v>
      </c>
      <c r="M189" s="21">
        <v>180</v>
      </c>
    </row>
    <row r="190" spans="1:13">
      <c r="E190" s="21">
        <f t="shared" si="43"/>
        <v>190</v>
      </c>
      <c r="F190" s="9" t="s">
        <v>113</v>
      </c>
      <c r="L190" s="9" t="s">
        <v>134</v>
      </c>
      <c r="M190" s="21">
        <v>90</v>
      </c>
    </row>
    <row r="191" spans="1:13">
      <c r="E191" s="21">
        <f t="shared" si="43"/>
        <v>191</v>
      </c>
      <c r="F191" s="9" t="s">
        <v>116</v>
      </c>
      <c r="K191" s="9" t="s">
        <v>137</v>
      </c>
      <c r="M191" s="21">
        <v>2</v>
      </c>
    </row>
    <row r="192" spans="1:13">
      <c r="E192" s="21">
        <f t="shared" si="43"/>
        <v>192</v>
      </c>
      <c r="F192" s="9" t="s">
        <v>125</v>
      </c>
      <c r="M192" s="21">
        <v>10000</v>
      </c>
    </row>
    <row r="193" spans="1:13">
      <c r="E193" s="21">
        <f t="shared" si="43"/>
        <v>193</v>
      </c>
      <c r="F193" s="9" t="s">
        <v>117</v>
      </c>
      <c r="M193" s="21" t="b">
        <v>1</v>
      </c>
    </row>
    <row r="194" spans="1:13">
      <c r="E194" s="21">
        <f t="shared" si="43"/>
        <v>194</v>
      </c>
      <c r="F194" s="9" t="s">
        <v>101</v>
      </c>
      <c r="M194" s="21">
        <f t="shared" ref="M194" si="57">M178*10+9</f>
        <v>162089</v>
      </c>
    </row>
    <row r="195" spans="1:13">
      <c r="E195" s="21">
        <f t="shared" si="43"/>
        <v>195</v>
      </c>
      <c r="F195" s="9" t="s">
        <v>142</v>
      </c>
      <c r="M195" s="21">
        <f t="shared" ref="M195" si="58">M178</f>
        <v>16208</v>
      </c>
    </row>
    <row r="196" spans="1:13">
      <c r="E196" s="21">
        <f t="shared" si="43"/>
        <v>196</v>
      </c>
      <c r="F196" s="9" t="s">
        <v>126</v>
      </c>
      <c r="M196" s="21">
        <v>120</v>
      </c>
    </row>
    <row r="197" spans="1:13">
      <c r="E197" s="21">
        <f t="shared" si="43"/>
        <v>197</v>
      </c>
      <c r="F197" s="9" t="s">
        <v>142</v>
      </c>
      <c r="M197" s="21">
        <f t="shared" ref="M197:M245" si="59">M194</f>
        <v>162089</v>
      </c>
    </row>
    <row r="198" spans="1:13">
      <c r="E198" s="21">
        <f t="shared" si="43"/>
        <v>198</v>
      </c>
      <c r="F198" s="9" t="s">
        <v>127</v>
      </c>
      <c r="M198" s="21">
        <v>0</v>
      </c>
    </row>
    <row r="199" spans="1:13">
      <c r="E199" s="21">
        <f t="shared" si="43"/>
        <v>199</v>
      </c>
      <c r="F199" s="9" t="s">
        <v>35</v>
      </c>
      <c r="M199" s="21">
        <v>180</v>
      </c>
    </row>
    <row r="200" spans="1:13">
      <c r="E200" s="21">
        <f t="shared" si="43"/>
        <v>200</v>
      </c>
      <c r="F200" s="9" t="s">
        <v>167</v>
      </c>
      <c r="M200" s="21" t="str">
        <f t="shared" ref="M200" si="60">J178</f>
        <v>16200</v>
      </c>
    </row>
    <row r="201" spans="1:13">
      <c r="A201" s="21" t="s">
        <v>227</v>
      </c>
      <c r="B201" s="21">
        <f t="shared" ref="B201:B232" si="61">QUOTIENT( D201-1,G202)+1</f>
        <v>1</v>
      </c>
      <c r="C201" s="21">
        <f t="shared" ref="C201" si="62">D201-(B201-1)*G202</f>
        <v>9</v>
      </c>
      <c r="D201" s="21">
        <f>COUNT($D$8:$D200)+1</f>
        <v>9</v>
      </c>
    </row>
    <row r="202" spans="1:13">
      <c r="E202" s="21">
        <f t="shared" si="54"/>
        <v>202</v>
      </c>
      <c r="F202" s="9" t="s">
        <v>93</v>
      </c>
      <c r="G202" s="21">
        <v>12</v>
      </c>
      <c r="H202" s="21">
        <v>1</v>
      </c>
      <c r="J202" s="9" t="s">
        <v>251</v>
      </c>
      <c r="M202" s="21">
        <f t="shared" ref="M202:M265" si="63">J202+D201</f>
        <v>16209</v>
      </c>
    </row>
    <row r="203" spans="1:13">
      <c r="E203" s="21">
        <f t="shared" si="43"/>
        <v>203</v>
      </c>
      <c r="F203" s="9" t="s">
        <v>142</v>
      </c>
      <c r="M203" s="21">
        <v>16100</v>
      </c>
    </row>
    <row r="204" spans="1:13">
      <c r="E204" s="21">
        <f t="shared" si="43"/>
        <v>204</v>
      </c>
      <c r="F204" s="9" t="s">
        <v>126</v>
      </c>
      <c r="M204" s="21">
        <v>0</v>
      </c>
    </row>
    <row r="205" spans="1:13">
      <c r="E205" s="21">
        <f t="shared" si="43"/>
        <v>205</v>
      </c>
      <c r="F205" s="9" t="s">
        <v>29</v>
      </c>
      <c r="M205" s="21" t="s">
        <v>248</v>
      </c>
    </row>
    <row r="206" spans="1:13">
      <c r="E206" s="21">
        <f t="shared" si="43"/>
        <v>206</v>
      </c>
      <c r="F206" s="9" t="s">
        <v>118</v>
      </c>
      <c r="M206" s="21" t="s">
        <v>249</v>
      </c>
    </row>
    <row r="207" spans="1:13">
      <c r="E207" s="21">
        <f t="shared" si="43"/>
        <v>207</v>
      </c>
      <c r="F207" s="9" t="s">
        <v>194</v>
      </c>
      <c r="M207" s="21">
        <v>0.25</v>
      </c>
    </row>
    <row r="208" spans="1:13">
      <c r="E208" s="21">
        <f t="shared" si="43"/>
        <v>208</v>
      </c>
      <c r="F208" s="9" t="s">
        <v>196</v>
      </c>
      <c r="M208" s="21">
        <v>40</v>
      </c>
    </row>
    <row r="209" spans="5:13">
      <c r="E209" s="21">
        <f t="shared" si="43"/>
        <v>209</v>
      </c>
      <c r="F209" s="9" t="s">
        <v>98</v>
      </c>
      <c r="K209" s="9" t="s">
        <v>137</v>
      </c>
      <c r="M209" s="21">
        <v>2</v>
      </c>
    </row>
    <row r="210" spans="5:13">
      <c r="E210" s="21">
        <f t="shared" si="43"/>
        <v>210</v>
      </c>
      <c r="F210" s="9" t="s">
        <v>175</v>
      </c>
      <c r="G210" s="21">
        <v>1.2</v>
      </c>
      <c r="K210" s="9" t="s">
        <v>218</v>
      </c>
      <c r="M210" s="21">
        <f t="shared" ref="M210" si="64">G210*(C201-1)</f>
        <v>9.6</v>
      </c>
    </row>
    <row r="211" spans="5:13">
      <c r="E211" s="21">
        <f t="shared" si="43"/>
        <v>211</v>
      </c>
      <c r="F211" s="9" t="s">
        <v>133</v>
      </c>
      <c r="K211" s="9" t="s">
        <v>219</v>
      </c>
    </row>
    <row r="212" spans="5:13">
      <c r="E212" s="21">
        <f t="shared" ref="E212:E275" si="65">ROW(E212)</f>
        <v>212</v>
      </c>
      <c r="F212" s="9" t="s">
        <v>182</v>
      </c>
      <c r="L212" s="9" t="s">
        <v>247</v>
      </c>
      <c r="M212" s="21" t="s">
        <v>250</v>
      </c>
    </row>
    <row r="213" spans="5:13">
      <c r="E213" s="21">
        <f t="shared" si="65"/>
        <v>213</v>
      </c>
      <c r="F213" s="9" t="s">
        <v>182</v>
      </c>
      <c r="L213" s="9" t="s">
        <v>134</v>
      </c>
      <c r="M213" s="21">
        <v>180</v>
      </c>
    </row>
    <row r="214" spans="5:13">
      <c r="E214" s="21">
        <f t="shared" si="65"/>
        <v>214</v>
      </c>
      <c r="F214" s="9" t="s">
        <v>113</v>
      </c>
      <c r="L214" s="9" t="s">
        <v>134</v>
      </c>
      <c r="M214" s="21">
        <v>90</v>
      </c>
    </row>
    <row r="215" spans="5:13">
      <c r="E215" s="21">
        <f t="shared" si="65"/>
        <v>215</v>
      </c>
      <c r="F215" s="9" t="s">
        <v>116</v>
      </c>
      <c r="K215" s="9" t="s">
        <v>137</v>
      </c>
      <c r="M215" s="21">
        <v>2</v>
      </c>
    </row>
    <row r="216" spans="5:13">
      <c r="E216" s="21">
        <f t="shared" si="65"/>
        <v>216</v>
      </c>
      <c r="F216" s="9" t="s">
        <v>125</v>
      </c>
      <c r="M216" s="21">
        <v>10000</v>
      </c>
    </row>
    <row r="217" spans="5:13">
      <c r="E217" s="21">
        <f t="shared" si="65"/>
        <v>217</v>
      </c>
      <c r="F217" s="9" t="s">
        <v>117</v>
      </c>
      <c r="M217" s="21" t="b">
        <v>1</v>
      </c>
    </row>
    <row r="218" spans="5:13">
      <c r="E218" s="21">
        <f t="shared" si="65"/>
        <v>218</v>
      </c>
      <c r="F218" s="9" t="s">
        <v>101</v>
      </c>
      <c r="M218" s="21">
        <f t="shared" ref="M218" si="66">M202*10+9</f>
        <v>162099</v>
      </c>
    </row>
    <row r="219" spans="5:13">
      <c r="E219" s="21">
        <f t="shared" si="65"/>
        <v>219</v>
      </c>
      <c r="F219" s="9" t="s">
        <v>142</v>
      </c>
      <c r="M219" s="21">
        <f t="shared" ref="M219" si="67">M202</f>
        <v>16209</v>
      </c>
    </row>
    <row r="220" spans="5:13">
      <c r="E220" s="21">
        <f t="shared" si="65"/>
        <v>220</v>
      </c>
      <c r="F220" s="9" t="s">
        <v>126</v>
      </c>
      <c r="M220" s="21">
        <v>120</v>
      </c>
    </row>
    <row r="221" spans="5:13">
      <c r="E221" s="21">
        <f t="shared" si="65"/>
        <v>221</v>
      </c>
      <c r="F221" s="9" t="s">
        <v>142</v>
      </c>
      <c r="M221" s="21">
        <f t="shared" si="59"/>
        <v>162099</v>
      </c>
    </row>
    <row r="222" spans="5:13">
      <c r="E222" s="21">
        <f t="shared" si="65"/>
        <v>222</v>
      </c>
      <c r="F222" s="9" t="s">
        <v>127</v>
      </c>
      <c r="M222" s="21">
        <v>0</v>
      </c>
    </row>
    <row r="223" spans="5:13">
      <c r="E223" s="21">
        <f t="shared" si="65"/>
        <v>223</v>
      </c>
      <c r="F223" s="9" t="s">
        <v>35</v>
      </c>
      <c r="M223" s="21">
        <v>180</v>
      </c>
    </row>
    <row r="224" spans="5:13">
      <c r="E224" s="21">
        <f t="shared" si="65"/>
        <v>224</v>
      </c>
      <c r="F224" s="9" t="s">
        <v>167</v>
      </c>
      <c r="M224" s="21" t="str">
        <f t="shared" ref="M224" si="68">J202</f>
        <v>16200</v>
      </c>
    </row>
    <row r="225" spans="1:13">
      <c r="A225" s="21" t="s">
        <v>227</v>
      </c>
      <c r="B225" s="21">
        <f t="shared" ref="B225:B256" si="69">QUOTIENT( D225-1,G226)+1</f>
        <v>1</v>
      </c>
      <c r="C225" s="21">
        <f t="shared" ref="C225" si="70">D225-(B225-1)*G226</f>
        <v>10</v>
      </c>
      <c r="D225" s="21">
        <f>COUNT($D$8:$D224)+1</f>
        <v>10</v>
      </c>
    </row>
    <row r="226" spans="1:13">
      <c r="E226" s="21">
        <f t="shared" si="54"/>
        <v>226</v>
      </c>
      <c r="F226" s="9" t="s">
        <v>93</v>
      </c>
      <c r="G226" s="21">
        <v>12</v>
      </c>
      <c r="H226" s="21">
        <v>1</v>
      </c>
      <c r="J226" s="9" t="s">
        <v>251</v>
      </c>
      <c r="M226" s="21">
        <f t="shared" ref="M226:M289" si="71">J226+D225</f>
        <v>16210</v>
      </c>
    </row>
    <row r="227" spans="1:13">
      <c r="E227" s="21">
        <f t="shared" si="65"/>
        <v>227</v>
      </c>
      <c r="F227" s="9" t="s">
        <v>142</v>
      </c>
      <c r="M227" s="21">
        <v>16100</v>
      </c>
    </row>
    <row r="228" spans="1:13">
      <c r="E228" s="21">
        <f t="shared" si="65"/>
        <v>228</v>
      </c>
      <c r="F228" s="9" t="s">
        <v>126</v>
      </c>
      <c r="M228" s="21">
        <v>0</v>
      </c>
    </row>
    <row r="229" spans="1:13">
      <c r="E229" s="21">
        <f t="shared" si="65"/>
        <v>229</v>
      </c>
      <c r="F229" s="9" t="s">
        <v>29</v>
      </c>
      <c r="M229" s="21" t="s">
        <v>248</v>
      </c>
    </row>
    <row r="230" spans="1:13">
      <c r="E230" s="21">
        <f t="shared" si="65"/>
        <v>230</v>
      </c>
      <c r="F230" s="9" t="s">
        <v>118</v>
      </c>
      <c r="M230" s="21" t="s">
        <v>249</v>
      </c>
    </row>
    <row r="231" spans="1:13">
      <c r="E231" s="21">
        <f t="shared" si="65"/>
        <v>231</v>
      </c>
      <c r="F231" s="9" t="s">
        <v>194</v>
      </c>
      <c r="M231" s="21">
        <v>0.25</v>
      </c>
    </row>
    <row r="232" spans="1:13">
      <c r="E232" s="21">
        <f t="shared" si="65"/>
        <v>232</v>
      </c>
      <c r="F232" s="9" t="s">
        <v>196</v>
      </c>
      <c r="M232" s="21">
        <v>40</v>
      </c>
    </row>
    <row r="233" spans="1:13">
      <c r="E233" s="21">
        <f t="shared" si="65"/>
        <v>233</v>
      </c>
      <c r="F233" s="9" t="s">
        <v>98</v>
      </c>
      <c r="K233" s="9" t="s">
        <v>137</v>
      </c>
      <c r="M233" s="21">
        <v>2</v>
      </c>
    </row>
    <row r="234" spans="1:13">
      <c r="E234" s="21">
        <f t="shared" si="65"/>
        <v>234</v>
      </c>
      <c r="F234" s="9" t="s">
        <v>175</v>
      </c>
      <c r="G234" s="21">
        <v>1.2</v>
      </c>
      <c r="K234" s="9" t="s">
        <v>218</v>
      </c>
      <c r="M234" s="21">
        <f t="shared" ref="M234" si="72">G234*(C225-1)</f>
        <v>10.799999999999999</v>
      </c>
    </row>
    <row r="235" spans="1:13">
      <c r="E235" s="21">
        <f t="shared" si="65"/>
        <v>235</v>
      </c>
      <c r="F235" s="9" t="s">
        <v>133</v>
      </c>
      <c r="K235" s="9" t="s">
        <v>219</v>
      </c>
    </row>
    <row r="236" spans="1:13">
      <c r="E236" s="21">
        <f t="shared" si="65"/>
        <v>236</v>
      </c>
      <c r="F236" s="9" t="s">
        <v>182</v>
      </c>
      <c r="L236" s="9" t="s">
        <v>247</v>
      </c>
      <c r="M236" s="21" t="s">
        <v>250</v>
      </c>
    </row>
    <row r="237" spans="1:13">
      <c r="E237" s="21">
        <f t="shared" si="65"/>
        <v>237</v>
      </c>
      <c r="F237" s="9" t="s">
        <v>182</v>
      </c>
      <c r="L237" s="9" t="s">
        <v>134</v>
      </c>
      <c r="M237" s="21">
        <v>180</v>
      </c>
    </row>
    <row r="238" spans="1:13">
      <c r="E238" s="21">
        <f t="shared" si="65"/>
        <v>238</v>
      </c>
      <c r="F238" s="9" t="s">
        <v>113</v>
      </c>
      <c r="L238" s="9" t="s">
        <v>134</v>
      </c>
      <c r="M238" s="21">
        <v>90</v>
      </c>
    </row>
    <row r="239" spans="1:13">
      <c r="E239" s="21">
        <f t="shared" si="65"/>
        <v>239</v>
      </c>
      <c r="F239" s="9" t="s">
        <v>116</v>
      </c>
      <c r="K239" s="9" t="s">
        <v>137</v>
      </c>
      <c r="M239" s="21">
        <v>2</v>
      </c>
    </row>
    <row r="240" spans="1:13">
      <c r="E240" s="21">
        <f t="shared" si="65"/>
        <v>240</v>
      </c>
      <c r="F240" s="9" t="s">
        <v>125</v>
      </c>
      <c r="M240" s="21">
        <v>10000</v>
      </c>
    </row>
    <row r="241" spans="1:13">
      <c r="E241" s="21">
        <f t="shared" si="65"/>
        <v>241</v>
      </c>
      <c r="F241" s="9" t="s">
        <v>117</v>
      </c>
      <c r="M241" s="21" t="b">
        <v>1</v>
      </c>
    </row>
    <row r="242" spans="1:13">
      <c r="E242" s="21">
        <f t="shared" si="65"/>
        <v>242</v>
      </c>
      <c r="F242" s="9" t="s">
        <v>101</v>
      </c>
      <c r="M242" s="21">
        <f t="shared" ref="M242" si="73">M226*10+9</f>
        <v>162109</v>
      </c>
    </row>
    <row r="243" spans="1:13">
      <c r="E243" s="21">
        <f t="shared" si="65"/>
        <v>243</v>
      </c>
      <c r="F243" s="9" t="s">
        <v>142</v>
      </c>
      <c r="M243" s="21">
        <f t="shared" ref="M243" si="74">M226</f>
        <v>16210</v>
      </c>
    </row>
    <row r="244" spans="1:13">
      <c r="E244" s="21">
        <f t="shared" si="65"/>
        <v>244</v>
      </c>
      <c r="F244" s="9" t="s">
        <v>126</v>
      </c>
      <c r="M244" s="21">
        <v>120</v>
      </c>
    </row>
    <row r="245" spans="1:13">
      <c r="E245" s="21">
        <f t="shared" si="65"/>
        <v>245</v>
      </c>
      <c r="F245" s="9" t="s">
        <v>142</v>
      </c>
      <c r="M245" s="21">
        <f t="shared" si="59"/>
        <v>162109</v>
      </c>
    </row>
    <row r="246" spans="1:13">
      <c r="E246" s="21">
        <f t="shared" si="65"/>
        <v>246</v>
      </c>
      <c r="F246" s="9" t="s">
        <v>127</v>
      </c>
      <c r="M246" s="21">
        <v>0</v>
      </c>
    </row>
    <row r="247" spans="1:13">
      <c r="E247" s="21">
        <f t="shared" si="65"/>
        <v>247</v>
      </c>
      <c r="F247" s="9" t="s">
        <v>35</v>
      </c>
      <c r="M247" s="21">
        <v>180</v>
      </c>
    </row>
    <row r="248" spans="1:13">
      <c r="E248" s="21">
        <f t="shared" si="65"/>
        <v>248</v>
      </c>
      <c r="F248" s="9" t="s">
        <v>167</v>
      </c>
      <c r="M248" s="21" t="str">
        <f t="shared" ref="M248" si="75">J226</f>
        <v>16200</v>
      </c>
    </row>
    <row r="249" spans="1:13">
      <c r="A249" s="21" t="s">
        <v>227</v>
      </c>
      <c r="B249" s="21">
        <f t="shared" ref="B249:B296" si="76">QUOTIENT( D249-1,G250)+1</f>
        <v>1</v>
      </c>
      <c r="C249" s="21">
        <f t="shared" ref="C249" si="77">D249-(B249-1)*G250</f>
        <v>11</v>
      </c>
      <c r="D249" s="21">
        <f>COUNT($D$8:$D248)+1</f>
        <v>11</v>
      </c>
    </row>
    <row r="250" spans="1:13">
      <c r="E250" s="21">
        <f t="shared" ref="E250:E296" si="78">ROW(E250)</f>
        <v>250</v>
      </c>
      <c r="F250" s="9" t="s">
        <v>93</v>
      </c>
      <c r="G250" s="21">
        <v>12</v>
      </c>
      <c r="H250" s="21">
        <v>1</v>
      </c>
      <c r="J250" s="9" t="s">
        <v>251</v>
      </c>
      <c r="M250" s="21">
        <f t="shared" ref="M250:M296" si="79">J250+D249</f>
        <v>16211</v>
      </c>
    </row>
    <row r="251" spans="1:13">
      <c r="E251" s="21">
        <f t="shared" si="65"/>
        <v>251</v>
      </c>
      <c r="F251" s="9" t="s">
        <v>142</v>
      </c>
      <c r="M251" s="21">
        <v>16100</v>
      </c>
    </row>
    <row r="252" spans="1:13">
      <c r="E252" s="21">
        <f t="shared" si="65"/>
        <v>252</v>
      </c>
      <c r="F252" s="9" t="s">
        <v>126</v>
      </c>
      <c r="M252" s="21">
        <v>0</v>
      </c>
    </row>
    <row r="253" spans="1:13">
      <c r="E253" s="21">
        <f t="shared" si="65"/>
        <v>253</v>
      </c>
      <c r="F253" s="9" t="s">
        <v>29</v>
      </c>
      <c r="M253" s="21" t="s">
        <v>248</v>
      </c>
    </row>
    <row r="254" spans="1:13">
      <c r="E254" s="21">
        <f t="shared" si="65"/>
        <v>254</v>
      </c>
      <c r="F254" s="9" t="s">
        <v>118</v>
      </c>
      <c r="M254" s="21" t="s">
        <v>249</v>
      </c>
    </row>
    <row r="255" spans="1:13">
      <c r="E255" s="21">
        <f t="shared" si="65"/>
        <v>255</v>
      </c>
      <c r="F255" s="9" t="s">
        <v>194</v>
      </c>
      <c r="M255" s="21">
        <v>0.25</v>
      </c>
    </row>
    <row r="256" spans="1:13">
      <c r="E256" s="21">
        <f t="shared" si="65"/>
        <v>256</v>
      </c>
      <c r="F256" s="9" t="s">
        <v>196</v>
      </c>
      <c r="M256" s="21">
        <v>40</v>
      </c>
    </row>
    <row r="257" spans="5:13">
      <c r="E257" s="21">
        <f t="shared" si="65"/>
        <v>257</v>
      </c>
      <c r="F257" s="9" t="s">
        <v>98</v>
      </c>
      <c r="K257" s="9" t="s">
        <v>137</v>
      </c>
      <c r="M257" s="21">
        <v>2</v>
      </c>
    </row>
    <row r="258" spans="5:13">
      <c r="E258" s="21">
        <f t="shared" si="65"/>
        <v>258</v>
      </c>
      <c r="F258" s="9" t="s">
        <v>175</v>
      </c>
      <c r="G258" s="21">
        <v>1.2</v>
      </c>
      <c r="K258" s="9" t="s">
        <v>218</v>
      </c>
      <c r="M258" s="21">
        <f t="shared" ref="M258" si="80">G258*(C249-1)</f>
        <v>12</v>
      </c>
    </row>
    <row r="259" spans="5:13">
      <c r="E259" s="21">
        <f t="shared" si="65"/>
        <v>259</v>
      </c>
      <c r="F259" s="9" t="s">
        <v>133</v>
      </c>
      <c r="K259" s="9" t="s">
        <v>219</v>
      </c>
    </row>
    <row r="260" spans="5:13">
      <c r="E260" s="21">
        <f t="shared" si="65"/>
        <v>260</v>
      </c>
      <c r="F260" s="9" t="s">
        <v>182</v>
      </c>
      <c r="L260" s="9" t="s">
        <v>247</v>
      </c>
      <c r="M260" s="21" t="s">
        <v>250</v>
      </c>
    </row>
    <row r="261" spans="5:13">
      <c r="E261" s="21">
        <f t="shared" si="65"/>
        <v>261</v>
      </c>
      <c r="F261" s="9" t="s">
        <v>182</v>
      </c>
      <c r="L261" s="9" t="s">
        <v>134</v>
      </c>
      <c r="M261" s="21">
        <v>180</v>
      </c>
    </row>
    <row r="262" spans="5:13">
      <c r="E262" s="21">
        <f t="shared" si="65"/>
        <v>262</v>
      </c>
      <c r="F262" s="9" t="s">
        <v>113</v>
      </c>
      <c r="L262" s="9" t="s">
        <v>134</v>
      </c>
      <c r="M262" s="21">
        <v>90</v>
      </c>
    </row>
    <row r="263" spans="5:13">
      <c r="E263" s="21">
        <f t="shared" si="65"/>
        <v>263</v>
      </c>
      <c r="F263" s="9" t="s">
        <v>116</v>
      </c>
      <c r="K263" s="9" t="s">
        <v>137</v>
      </c>
      <c r="M263" s="21">
        <v>2</v>
      </c>
    </row>
    <row r="264" spans="5:13">
      <c r="E264" s="21">
        <f t="shared" si="65"/>
        <v>264</v>
      </c>
      <c r="F264" s="9" t="s">
        <v>125</v>
      </c>
      <c r="M264" s="21">
        <v>10000</v>
      </c>
    </row>
    <row r="265" spans="5:13">
      <c r="E265" s="21">
        <f t="shared" si="65"/>
        <v>265</v>
      </c>
      <c r="F265" s="9" t="s">
        <v>117</v>
      </c>
      <c r="M265" s="21" t="b">
        <v>1</v>
      </c>
    </row>
    <row r="266" spans="5:13">
      <c r="E266" s="21">
        <f t="shared" si="65"/>
        <v>266</v>
      </c>
      <c r="F266" s="9" t="s">
        <v>101</v>
      </c>
      <c r="M266" s="21">
        <f t="shared" ref="M266" si="81">M250*10+9</f>
        <v>162119</v>
      </c>
    </row>
    <row r="267" spans="5:13">
      <c r="E267" s="21">
        <f t="shared" si="65"/>
        <v>267</v>
      </c>
      <c r="F267" s="9" t="s">
        <v>142</v>
      </c>
      <c r="M267" s="21">
        <f t="shared" ref="M267" si="82">M250</f>
        <v>16211</v>
      </c>
    </row>
    <row r="268" spans="5:13">
      <c r="E268" s="21">
        <f t="shared" si="65"/>
        <v>268</v>
      </c>
      <c r="F268" s="9" t="s">
        <v>126</v>
      </c>
      <c r="M268" s="21">
        <v>120</v>
      </c>
    </row>
    <row r="269" spans="5:13">
      <c r="E269" s="21">
        <f t="shared" si="65"/>
        <v>269</v>
      </c>
      <c r="F269" s="9" t="s">
        <v>142</v>
      </c>
      <c r="M269" s="21">
        <f t="shared" ref="M269:M293" si="83">M266</f>
        <v>162119</v>
      </c>
    </row>
    <row r="270" spans="5:13">
      <c r="E270" s="21">
        <f t="shared" si="65"/>
        <v>270</v>
      </c>
      <c r="F270" s="9" t="s">
        <v>127</v>
      </c>
      <c r="M270" s="21">
        <v>0</v>
      </c>
    </row>
    <row r="271" spans="5:13">
      <c r="E271" s="21">
        <f t="shared" si="65"/>
        <v>271</v>
      </c>
      <c r="F271" s="9" t="s">
        <v>35</v>
      </c>
      <c r="M271" s="21">
        <v>180</v>
      </c>
    </row>
    <row r="272" spans="5:13">
      <c r="E272" s="21">
        <f t="shared" si="65"/>
        <v>272</v>
      </c>
      <c r="F272" s="9" t="s">
        <v>167</v>
      </c>
      <c r="M272" s="21" t="str">
        <f t="shared" ref="M272" si="84">J250</f>
        <v>16200</v>
      </c>
    </row>
    <row r="273" spans="1:13">
      <c r="A273" s="21" t="s">
        <v>227</v>
      </c>
      <c r="B273" s="21">
        <f t="shared" ref="B273:B296" si="85">QUOTIENT( D273-1,G274)+1</f>
        <v>1</v>
      </c>
      <c r="C273" s="21">
        <f t="shared" ref="C273" si="86">D273-(B273-1)*G274</f>
        <v>12</v>
      </c>
      <c r="D273" s="21">
        <f>COUNT($D$8:$D272)+1</f>
        <v>12</v>
      </c>
    </row>
    <row r="274" spans="1:13">
      <c r="E274" s="21">
        <f t="shared" si="78"/>
        <v>274</v>
      </c>
      <c r="F274" s="9" t="s">
        <v>93</v>
      </c>
      <c r="G274" s="21">
        <v>12</v>
      </c>
      <c r="H274" s="21">
        <v>1</v>
      </c>
      <c r="J274" s="9" t="s">
        <v>251</v>
      </c>
      <c r="M274" s="21">
        <f t="shared" ref="M274:M296" si="87">J274+D273</f>
        <v>16212</v>
      </c>
    </row>
    <row r="275" spans="1:13">
      <c r="E275" s="21">
        <f t="shared" si="65"/>
        <v>275</v>
      </c>
      <c r="F275" s="9" t="s">
        <v>142</v>
      </c>
      <c r="M275" s="21">
        <v>16100</v>
      </c>
    </row>
    <row r="276" spans="1:13">
      <c r="E276" s="21">
        <f t="shared" ref="E276:E296" si="88">ROW(E276)</f>
        <v>276</v>
      </c>
      <c r="F276" s="9" t="s">
        <v>126</v>
      </c>
      <c r="M276" s="21">
        <v>0</v>
      </c>
    </row>
    <row r="277" spans="1:13">
      <c r="E277" s="21">
        <f t="shared" si="88"/>
        <v>277</v>
      </c>
      <c r="F277" s="9" t="s">
        <v>29</v>
      </c>
      <c r="M277" s="21" t="s">
        <v>248</v>
      </c>
    </row>
    <row r="278" spans="1:13">
      <c r="E278" s="21">
        <f t="shared" si="88"/>
        <v>278</v>
      </c>
      <c r="F278" s="9" t="s">
        <v>118</v>
      </c>
      <c r="M278" s="21" t="s">
        <v>249</v>
      </c>
    </row>
    <row r="279" spans="1:13">
      <c r="E279" s="21">
        <f t="shared" si="88"/>
        <v>279</v>
      </c>
      <c r="F279" s="9" t="s">
        <v>194</v>
      </c>
      <c r="M279" s="21">
        <v>0.25</v>
      </c>
    </row>
    <row r="280" spans="1:13">
      <c r="E280" s="21">
        <f t="shared" si="88"/>
        <v>280</v>
      </c>
      <c r="F280" s="9" t="s">
        <v>196</v>
      </c>
      <c r="M280" s="21">
        <v>40</v>
      </c>
    </row>
    <row r="281" spans="1:13">
      <c r="E281" s="21">
        <f t="shared" si="88"/>
        <v>281</v>
      </c>
      <c r="F281" s="9" t="s">
        <v>98</v>
      </c>
      <c r="K281" s="9" t="s">
        <v>137</v>
      </c>
      <c r="M281" s="21">
        <v>2</v>
      </c>
    </row>
    <row r="282" spans="1:13">
      <c r="E282" s="21">
        <f t="shared" si="88"/>
        <v>282</v>
      </c>
      <c r="F282" s="9" t="s">
        <v>175</v>
      </c>
      <c r="G282" s="21">
        <v>1.2</v>
      </c>
      <c r="K282" s="9" t="s">
        <v>218</v>
      </c>
      <c r="M282" s="21">
        <f t="shared" ref="M282" si="89">G282*(C273-1)</f>
        <v>13.2</v>
      </c>
    </row>
    <row r="283" spans="1:13">
      <c r="E283" s="21">
        <f t="shared" si="88"/>
        <v>283</v>
      </c>
      <c r="F283" s="9" t="s">
        <v>133</v>
      </c>
      <c r="K283" s="9" t="s">
        <v>219</v>
      </c>
    </row>
    <row r="284" spans="1:13">
      <c r="E284" s="21">
        <f t="shared" si="88"/>
        <v>284</v>
      </c>
      <c r="F284" s="9" t="s">
        <v>182</v>
      </c>
      <c r="L284" s="9" t="s">
        <v>247</v>
      </c>
      <c r="M284" s="21" t="s">
        <v>250</v>
      </c>
    </row>
    <row r="285" spans="1:13">
      <c r="E285" s="21">
        <f t="shared" si="88"/>
        <v>285</v>
      </c>
      <c r="F285" s="9" t="s">
        <v>182</v>
      </c>
      <c r="L285" s="9" t="s">
        <v>134</v>
      </c>
      <c r="M285" s="21">
        <v>180</v>
      </c>
    </row>
    <row r="286" spans="1:13">
      <c r="E286" s="21">
        <f t="shared" si="88"/>
        <v>286</v>
      </c>
      <c r="F286" s="9" t="s">
        <v>113</v>
      </c>
      <c r="L286" s="9" t="s">
        <v>134</v>
      </c>
      <c r="M286" s="21">
        <v>90</v>
      </c>
    </row>
    <row r="287" spans="1:13">
      <c r="E287" s="21">
        <f t="shared" si="88"/>
        <v>287</v>
      </c>
      <c r="F287" s="9" t="s">
        <v>116</v>
      </c>
      <c r="K287" s="9" t="s">
        <v>137</v>
      </c>
      <c r="M287" s="21">
        <v>2</v>
      </c>
    </row>
    <row r="288" spans="1:13">
      <c r="E288" s="21">
        <f t="shared" si="88"/>
        <v>288</v>
      </c>
      <c r="F288" s="9" t="s">
        <v>125</v>
      </c>
      <c r="M288" s="21">
        <v>10000</v>
      </c>
    </row>
    <row r="289" spans="5:13">
      <c r="E289" s="21">
        <f t="shared" si="88"/>
        <v>289</v>
      </c>
      <c r="F289" s="9" t="s">
        <v>117</v>
      </c>
      <c r="M289" s="21" t="b">
        <v>1</v>
      </c>
    </row>
    <row r="290" spans="5:13">
      <c r="E290" s="21">
        <f t="shared" si="88"/>
        <v>290</v>
      </c>
      <c r="F290" s="9" t="s">
        <v>101</v>
      </c>
      <c r="M290" s="21">
        <f t="shared" ref="M290" si="90">M274*10+9</f>
        <v>162129</v>
      </c>
    </row>
    <row r="291" spans="5:13">
      <c r="E291" s="21">
        <f t="shared" si="88"/>
        <v>291</v>
      </c>
      <c r="F291" s="9" t="s">
        <v>142</v>
      </c>
      <c r="M291" s="21">
        <f t="shared" ref="M291" si="91">M274</f>
        <v>16212</v>
      </c>
    </row>
    <row r="292" spans="5:13">
      <c r="E292" s="21">
        <f t="shared" si="88"/>
        <v>292</v>
      </c>
      <c r="F292" s="9" t="s">
        <v>126</v>
      </c>
      <c r="M292" s="21">
        <v>120</v>
      </c>
    </row>
    <row r="293" spans="5:13">
      <c r="E293" s="21">
        <f t="shared" si="88"/>
        <v>293</v>
      </c>
      <c r="F293" s="9" t="s">
        <v>142</v>
      </c>
      <c r="M293" s="21">
        <f t="shared" si="83"/>
        <v>162129</v>
      </c>
    </row>
    <row r="294" spans="5:13">
      <c r="E294" s="21">
        <f t="shared" si="88"/>
        <v>294</v>
      </c>
      <c r="F294" s="9" t="s">
        <v>127</v>
      </c>
      <c r="M294" s="21">
        <v>0</v>
      </c>
    </row>
    <row r="295" spans="5:13">
      <c r="E295" s="21">
        <f t="shared" si="88"/>
        <v>295</v>
      </c>
      <c r="F295" s="9" t="s">
        <v>35</v>
      </c>
      <c r="M295" s="21">
        <v>180</v>
      </c>
    </row>
    <row r="296" spans="5:13">
      <c r="E296" s="21">
        <f t="shared" si="88"/>
        <v>296</v>
      </c>
      <c r="F296" s="9" t="s">
        <v>167</v>
      </c>
      <c r="M296" s="21" t="str">
        <f t="shared" ref="M296" si="92">J274</f>
        <v>16200</v>
      </c>
    </row>
  </sheetData>
  <phoneticPr fontId="2" type="noConversion"/>
  <conditionalFormatting sqref="BE1:XFD1 E1:I1">
    <cfRule type="duplicateValues" dxfId="49" priority="1859"/>
  </conditionalFormatting>
  <conditionalFormatting sqref="F1:F7">
    <cfRule type="cellIs" dxfId="48" priority="1360" operator="equal">
      <formula>"ID"</formula>
    </cfRule>
    <cfRule type="cellIs" dxfId="47" priority="1775" operator="equal">
      <formula>"行動序號"</formula>
    </cfRule>
  </conditionalFormatting>
  <conditionalFormatting sqref="J1">
    <cfRule type="duplicateValues" dxfId="46" priority="1358"/>
  </conditionalFormatting>
  <conditionalFormatting sqref="K1:L1">
    <cfRule type="duplicateValues" dxfId="45" priority="1355"/>
  </conditionalFormatting>
  <conditionalFormatting sqref="M1:M1048576">
    <cfRule type="expression" dxfId="44" priority="970">
      <formula>_xlfn.ISFORMULA(M1)</formula>
    </cfRule>
  </conditionalFormatting>
  <conditionalFormatting sqref="N1:BD1">
    <cfRule type="duplicateValues" dxfId="43" priority="1875"/>
  </conditionalFormatting>
  <conditionalFormatting sqref="F1:F1048576">
    <cfRule type="cellIs" dxfId="42" priority="73" operator="equal">
      <formula>"ID"</formula>
    </cfRule>
    <cfRule type="cellIs" dxfId="41" priority="74" operator="equal">
      <formula>"行動ID"</formula>
    </cfRule>
  </conditionalFormatting>
  <conditionalFormatting sqref="M1:M1048576">
    <cfRule type="expression" dxfId="40" priority="34">
      <formula>AND(_xlfn.ISFORMULA(M1),OR($F1="行動ID", $F1="ID"))</formula>
    </cfRule>
    <cfRule type="expression" dxfId="39" priority="36">
      <formula>OR($F1="行動ID", $F1="ID")</formula>
    </cfRule>
  </conditionalFormatting>
  <dataValidations count="1">
    <dataValidation type="list" allowBlank="1" showInputMessage="1" showErrorMessage="1" sqref="L5:L6 K4 K8 L1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stage7_card6shot2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2025-04-18T15:28:32Z</dcterms:modified>
</cp:coreProperties>
</file>