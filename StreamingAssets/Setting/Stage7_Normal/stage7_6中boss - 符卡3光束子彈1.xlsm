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7FCD7D28-7E4A-43E1-BFDB-BFF7D8C53445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tage7_card3light_shot1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externalReferences>
    <externalReference r:id="rId8"/>
  </externalReferences>
  <definedNames>
    <definedName name="_xlnm._FilterDatabase" localSheetId="0" hidden="1">stage7_card3light_shot1!$D$1:$D$25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93" l="1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E707" i="1" l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D45" i="1"/>
  <c r="M46" i="1" l="1"/>
  <c r="B45" i="1"/>
  <c r="M58" i="1" s="1"/>
  <c r="D62" i="1"/>
  <c r="M63" i="1" l="1"/>
  <c r="C62" i="1"/>
  <c r="B62" i="1"/>
  <c r="M75" i="1" s="1"/>
  <c r="C45" i="1"/>
  <c r="D79" i="1"/>
  <c r="D96" i="1"/>
  <c r="M70" i="1" l="1"/>
  <c r="M65" i="1"/>
  <c r="M80" i="1"/>
  <c r="C79" i="1"/>
  <c r="B79" i="1"/>
  <c r="M92" i="1" s="1"/>
  <c r="D113" i="1"/>
  <c r="M53" i="1"/>
  <c r="M48" i="1"/>
  <c r="M97" i="1"/>
  <c r="B96" i="1"/>
  <c r="M109" i="1" s="1"/>
  <c r="C96" i="1"/>
  <c r="D130" i="1" l="1"/>
  <c r="M104" i="1"/>
  <c r="M99" i="1"/>
  <c r="B113" i="1"/>
  <c r="M126" i="1" s="1"/>
  <c r="M114" i="1"/>
  <c r="C113" i="1"/>
  <c r="M87" i="1"/>
  <c r="M82" i="1"/>
  <c r="M121" i="1" l="1"/>
  <c r="M116" i="1"/>
  <c r="B130" i="1"/>
  <c r="M143" i="1" s="1"/>
  <c r="M131" i="1"/>
  <c r="D147" i="1"/>
  <c r="B147" i="1" l="1"/>
  <c r="M160" i="1" s="1"/>
  <c r="M148" i="1"/>
  <c r="C130" i="1"/>
  <c r="D164" i="1"/>
  <c r="D181" i="1" l="1"/>
  <c r="D198" i="1"/>
  <c r="C164" i="1"/>
  <c r="B164" i="1"/>
  <c r="M177" i="1" s="1"/>
  <c r="M165" i="1"/>
  <c r="M138" i="1"/>
  <c r="M133" i="1"/>
  <c r="C147" i="1"/>
  <c r="M172" i="1" l="1"/>
  <c r="M167" i="1"/>
  <c r="M182" i="1"/>
  <c r="B181" i="1"/>
  <c r="M194" i="1" s="1"/>
  <c r="M199" i="1"/>
  <c r="B198" i="1"/>
  <c r="M211" i="1" s="1"/>
  <c r="M155" i="1"/>
  <c r="M150" i="1"/>
  <c r="D215" i="1"/>
  <c r="B215" i="1" l="1"/>
  <c r="M228" i="1" s="1"/>
  <c r="M216" i="1"/>
  <c r="D232" i="1"/>
  <c r="C181" i="1"/>
  <c r="C198" i="1"/>
  <c r="M189" i="1" l="1"/>
  <c r="M184" i="1"/>
  <c r="B232" i="1"/>
  <c r="M245" i="1" s="1"/>
  <c r="M233" i="1"/>
  <c r="D249" i="1"/>
  <c r="C215" i="1"/>
  <c r="M206" i="1"/>
  <c r="M201" i="1"/>
  <c r="B249" i="1" l="1"/>
  <c r="M262" i="1" s="1"/>
  <c r="M250" i="1"/>
  <c r="D266" i="1"/>
  <c r="C232" i="1"/>
  <c r="M218" i="1"/>
  <c r="M223" i="1"/>
  <c r="M240" i="1" l="1"/>
  <c r="M235" i="1"/>
  <c r="M267" i="1"/>
  <c r="B266" i="1"/>
  <c r="M279" i="1" s="1"/>
  <c r="D283" i="1"/>
  <c r="C249" i="1"/>
  <c r="M284" i="1" l="1"/>
  <c r="B283" i="1"/>
  <c r="M296" i="1" s="1"/>
  <c r="D300" i="1"/>
  <c r="C266" i="1"/>
  <c r="M257" i="1"/>
  <c r="M252" i="1"/>
  <c r="E43" i="1"/>
  <c r="E44" i="1"/>
  <c r="E39" i="1"/>
  <c r="E42" i="1"/>
  <c r="E38" i="1"/>
  <c r="E36" i="1"/>
  <c r="E37" i="1"/>
  <c r="D28" i="1"/>
  <c r="B28" i="1" s="1"/>
  <c r="M41" i="1" s="1"/>
  <c r="E41" i="1"/>
  <c r="E40" i="1"/>
  <c r="E35" i="1"/>
  <c r="E33" i="1"/>
  <c r="E34" i="1"/>
  <c r="E32" i="1"/>
  <c r="E31" i="1"/>
  <c r="E30" i="1"/>
  <c r="E29" i="1"/>
  <c r="M274" i="1" l="1"/>
  <c r="M269" i="1"/>
  <c r="M301" i="1"/>
  <c r="B300" i="1"/>
  <c r="M313" i="1" s="1"/>
  <c r="D317" i="1"/>
  <c r="C283" i="1"/>
  <c r="M29" i="1"/>
  <c r="B317" i="1" l="1"/>
  <c r="M330" i="1" s="1"/>
  <c r="M318" i="1"/>
  <c r="C317" i="1"/>
  <c r="D334" i="1"/>
  <c r="C300" i="1"/>
  <c r="M291" i="1"/>
  <c r="M286" i="1"/>
  <c r="C28" i="1"/>
  <c r="M320" i="1" l="1"/>
  <c r="M325" i="1"/>
  <c r="M308" i="1"/>
  <c r="M303" i="1"/>
  <c r="B334" i="1"/>
  <c r="M347" i="1" s="1"/>
  <c r="M335" i="1"/>
  <c r="D351" i="1"/>
  <c r="M31" i="1"/>
  <c r="M36" i="1"/>
  <c r="C334" i="1" l="1"/>
  <c r="B351" i="1"/>
  <c r="M364" i="1" s="1"/>
  <c r="M352" i="1"/>
  <c r="D368" i="1"/>
  <c r="M369" i="1" l="1"/>
  <c r="B368" i="1"/>
  <c r="M381" i="1" s="1"/>
  <c r="D385" i="1"/>
  <c r="C351" i="1"/>
  <c r="M342" i="1"/>
  <c r="M337" i="1"/>
  <c r="M359" i="1" l="1"/>
  <c r="M354" i="1"/>
  <c r="M386" i="1"/>
  <c r="B385" i="1"/>
  <c r="M398" i="1" s="1"/>
  <c r="D402" i="1"/>
  <c r="C368" i="1"/>
  <c r="M403" i="1" l="1"/>
  <c r="B402" i="1"/>
  <c r="M415" i="1" s="1"/>
  <c r="D419" i="1"/>
  <c r="C385" i="1"/>
  <c r="M376" i="1"/>
  <c r="M371" i="1"/>
  <c r="M393" i="1" l="1"/>
  <c r="M388" i="1"/>
  <c r="B419" i="1"/>
  <c r="M432" i="1" s="1"/>
  <c r="M420" i="1"/>
  <c r="D436" i="1"/>
  <c r="C402" i="1"/>
  <c r="C419" i="1" l="1"/>
  <c r="B436" i="1"/>
  <c r="M449" i="1" s="1"/>
  <c r="M437" i="1"/>
  <c r="D453" i="1"/>
  <c r="M410" i="1"/>
  <c r="M405" i="1"/>
  <c r="B453" i="1" l="1"/>
  <c r="M466" i="1" s="1"/>
  <c r="M454" i="1"/>
  <c r="D470" i="1"/>
  <c r="C436" i="1"/>
  <c r="M427" i="1"/>
  <c r="M422" i="1"/>
  <c r="M444" i="1" l="1"/>
  <c r="M439" i="1"/>
  <c r="B470" i="1"/>
  <c r="M483" i="1" s="1"/>
  <c r="M471" i="1"/>
  <c r="D487" i="1"/>
  <c r="C453" i="1"/>
  <c r="M488" i="1" l="1"/>
  <c r="B487" i="1"/>
  <c r="M500" i="1" s="1"/>
  <c r="D504" i="1"/>
  <c r="C470" i="1"/>
  <c r="M461" i="1"/>
  <c r="M456" i="1"/>
  <c r="M478" i="1" l="1"/>
  <c r="M473" i="1"/>
  <c r="B504" i="1"/>
  <c r="M517" i="1" s="1"/>
  <c r="M505" i="1"/>
  <c r="C504" i="1"/>
  <c r="D521" i="1"/>
  <c r="C487" i="1"/>
  <c r="M512" i="1" l="1"/>
  <c r="M507" i="1"/>
  <c r="B521" i="1"/>
  <c r="M534" i="1" s="1"/>
  <c r="M522" i="1"/>
  <c r="D538" i="1"/>
  <c r="M495" i="1"/>
  <c r="M490" i="1"/>
  <c r="B538" i="1" l="1"/>
  <c r="M551" i="1" s="1"/>
  <c r="M539" i="1"/>
  <c r="D555" i="1"/>
  <c r="C521" i="1"/>
  <c r="M524" i="1" l="1"/>
  <c r="M529" i="1"/>
  <c r="B555" i="1"/>
  <c r="M568" i="1" s="1"/>
  <c r="M556" i="1"/>
  <c r="D572" i="1"/>
  <c r="C538" i="1"/>
  <c r="B572" i="1" l="1"/>
  <c r="M585" i="1" s="1"/>
  <c r="M573" i="1"/>
  <c r="D589" i="1"/>
  <c r="C555" i="1"/>
  <c r="M546" i="1"/>
  <c r="M541" i="1"/>
  <c r="M563" i="1" l="1"/>
  <c r="M558" i="1"/>
  <c r="M590" i="1"/>
  <c r="B589" i="1"/>
  <c r="M602" i="1" s="1"/>
  <c r="D606" i="1"/>
  <c r="C572" i="1"/>
  <c r="M607" i="1" l="1"/>
  <c r="B606" i="1"/>
  <c r="M619" i="1" s="1"/>
  <c r="D623" i="1"/>
  <c r="C589" i="1"/>
  <c r="M580" i="1"/>
  <c r="M575" i="1"/>
  <c r="M597" i="1" l="1"/>
  <c r="M592" i="1"/>
  <c r="B623" i="1"/>
  <c r="M636" i="1" s="1"/>
  <c r="M624" i="1"/>
  <c r="C623" i="1"/>
  <c r="D640" i="1"/>
  <c r="C606" i="1"/>
  <c r="M631" i="1" l="1"/>
  <c r="M626" i="1"/>
  <c r="B640" i="1"/>
  <c r="M653" i="1" s="1"/>
  <c r="M641" i="1"/>
  <c r="D657" i="1"/>
  <c r="M614" i="1"/>
  <c r="M609" i="1"/>
  <c r="B657" i="1" l="1"/>
  <c r="M670" i="1" s="1"/>
  <c r="M658" i="1"/>
  <c r="D674" i="1"/>
  <c r="C640" i="1"/>
  <c r="M675" i="1" l="1"/>
  <c r="B674" i="1"/>
  <c r="M687" i="1" s="1"/>
  <c r="D691" i="1"/>
  <c r="M648" i="1"/>
  <c r="M643" i="1"/>
  <c r="C657" i="1"/>
  <c r="M692" i="1" l="1"/>
  <c r="B691" i="1"/>
  <c r="M704" i="1" s="1"/>
  <c r="C674" i="1"/>
  <c r="M665" i="1"/>
  <c r="M660" i="1"/>
  <c r="M682" i="1" l="1"/>
  <c r="M677" i="1"/>
  <c r="C691" i="1"/>
  <c r="M699" i="1" l="1"/>
  <c r="M694" i="1"/>
</calcChain>
</file>

<file path=xl/sharedStrings.xml><?xml version="1.0" encoding="utf-8"?>
<sst xmlns="http://schemas.openxmlformats.org/spreadsheetml/2006/main" count="1437" uniqueCount="261">
  <si>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</si>
  <si>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</si>
  <si>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</si>
  <si>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</si>
  <si>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</si>
  <si>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</si>
  <si>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</si>
  <si>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</si>
  <si>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</si>
  <si>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</si>
  <si>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</si>
  <si>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</si>
  <si>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</si>
  <si>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</si>
  <si>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</si>
  <si>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</si>
  <si>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</si>
  <si>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</si>
  <si>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</si>
  <si>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</si>
  <si>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</si>
  <si>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</si>
  <si>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</si>
  <si>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</si>
  <si>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</si>
  <si>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</si>
  <si>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</si>
  <si>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</si>
  <si>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</si>
  <si>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</si>
  <si>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</si>
  <si>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</si>
  <si>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</si>
  <si>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</si>
  <si>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</si>
  <si>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</si>
  <si>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</si>
  <si>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</si>
  <si>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</si>
  <si>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</si>
  <si>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</si>
  <si>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</si>
  <si>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</si>
  <si>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</si>
  <si>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</si>
  <si>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</si>
  <si>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</si>
  <si>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</si>
  <si>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</si>
  <si>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</si>
  <si>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</si>
  <si>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</si>
  <si>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</si>
  <si>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</si>
  <si>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</si>
  <si>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</si>
  <si>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</si>
  <si>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</si>
  <si>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</si>
  <si>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</si>
  <si>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</si>
  <si>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</si>
  <si>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</si>
  <si>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</si>
  <si>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</si>
  <si>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</si>
  <si>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</si>
  <si>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</si>
  <si>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</si>
  <si>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</si>
  <si>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</si>
  <si>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</si>
  <si>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</si>
  <si>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</si>
  <si>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</si>
  <si>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</si>
  <si>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</si>
  <si>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</si>
  <si>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</si>
  <si>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</si>
  <si>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</si>
  <si>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</si>
  <si>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</si>
  <si>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</si>
  <si>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</si>
  <si>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</si>
  <si>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</si>
  <si>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</si>
  <si>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</si>
  <si>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</si>
  <si>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</si>
  <si>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</si>
  <si>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</si>
  <si>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</si>
  <si>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</si>
  <si>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</si>
  <si>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</si>
  <si>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</si>
  <si>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</si>
  <si>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</si>
  <si>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</si>
  <si>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</si>
  <si>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</si>
  <si>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</si>
  <si>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</si>
  <si>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</si>
  <si>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</si>
  <si>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</si>
  <si>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</si>
  <si>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</si>
  <si>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</si>
  <si>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</si>
  <si>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</si>
  <si>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</si>
  <si>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</si>
  <si>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</si>
  <si>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</si>
  <si>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</si>
  <si>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</si>
  <si>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</si>
  <si>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</si>
  <si>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</si>
  <si>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</si>
  <si>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</si>
  <si>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</si>
  <si>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</si>
  <si>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</si>
  <si>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</si>
  <si>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</si>
  <si>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</si>
  <si>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</si>
  <si>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</si>
  <si>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</si>
  <si>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</si>
  <si>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</si>
  <si>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</si>
  <si>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</si>
  <si>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</si>
  <si>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</si>
  <si>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</si>
  <si>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</si>
  <si>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</si>
  <si>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</si>
  <si>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</si>
  <si>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</si>
  <si>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</si>
  <si>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</si>
  <si>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加位置</t>
    <phoneticPr fontId="2" type="noConversion"/>
  </si>
  <si>
    <t>新參照位置12</t>
    <phoneticPr fontId="2" type="noConversion"/>
  </si>
  <si>
    <t>移位置</t>
    <phoneticPr fontId="2" type="noConversion"/>
  </si>
  <si>
    <t>EnemyShot3</t>
    <phoneticPr fontId="2" type="noConversion"/>
  </si>
  <si>
    <t>Sprite</t>
    <phoneticPr fontId="2" type="noConversion"/>
  </si>
  <si>
    <t>Self = 1,
Parent = 2,
Player = 3,
Boss = 4,
Center=5,
BossHome=6,</t>
    <phoneticPr fontId="2" type="noConversion"/>
  </si>
  <si>
    <t>新參照位置</t>
  </si>
  <si>
    <t>位置參數角距距離</t>
  </si>
  <si>
    <t>位置參數角距角度</t>
  </si>
  <si>
    <t>角度參數</t>
    <phoneticPr fontId="2" type="noConversion"/>
  </si>
  <si>
    <t>角度ID旋轉</t>
  </si>
  <si>
    <t>加角度</t>
    <phoneticPr fontId="2" type="noConversion"/>
  </si>
  <si>
    <t>Shot3_blue</t>
    <phoneticPr fontId="2" type="noConversion"/>
  </si>
  <si>
    <t>2</t>
    <phoneticPr fontId="2" type="noConversion"/>
  </si>
  <si>
    <t>EnemyShot3</t>
  </si>
  <si>
    <t>Shot3_blue</t>
  </si>
  <si>
    <t>加位置</t>
  </si>
  <si>
    <t>加角度</t>
  </si>
  <si>
    <t>20</t>
    <phoneticPr fontId="2" type="noConversion"/>
  </si>
  <si>
    <t>死亡時間</t>
    <phoneticPr fontId="2" type="noConversion"/>
  </si>
  <si>
    <t>是界內</t>
  </si>
  <si>
    <t>速度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</si>
  <si>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</si>
  <si>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</si>
  <si>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</si>
  <si>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</si>
  <si>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</si>
  <si>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</si>
  <si>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</si>
  <si>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</si>
  <si>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</si>
  <si>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</si>
  <si>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</si>
  <si>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</si>
  <si>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</si>
  <si>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</si>
  <si>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</si>
  <si>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</si>
  <si>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</si>
  <si>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</si>
  <si>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</si>
  <si>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</si>
  <si>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</si>
  <si>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</si>
  <si>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</si>
  <si>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</si>
  <si>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</si>
  <si>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</si>
  <si>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</si>
  <si>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</si>
  <si>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</si>
  <si>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</si>
  <si>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</si>
  <si>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404</t>
  </si>
  <si>
    <t>501</t>
    <phoneticPr fontId="2" type="noConversion"/>
  </si>
  <si>
    <t>502</t>
  </si>
  <si>
    <t>503</t>
  </si>
  <si>
    <t>504</t>
  </si>
  <si>
    <t>505</t>
  </si>
  <si>
    <t>506</t>
  </si>
  <si>
    <t>507</t>
  </si>
  <si>
    <t>601</t>
    <phoneticPr fontId="2" type="noConversion"/>
  </si>
  <si>
    <t>602</t>
  </si>
  <si>
    <t>603</t>
  </si>
  <si>
    <t>604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</si>
  <si>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</si>
  <si>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</si>
  <si>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</si>
  <si>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</si>
  <si>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</si>
  <si>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</si>
  <si>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</si>
  <si>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</si>
  <si>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</si>
  <si>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</si>
  <si>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</si>
  <si>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</si>
  <si>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</si>
  <si>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</si>
  <si>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</si>
  <si>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</si>
  <si>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</si>
  <si>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</si>
  <si>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</si>
  <si>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</si>
  <si>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</si>
  <si>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</si>
  <si>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</si>
  <si>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</si>
  <si>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</si>
  <si>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</si>
  <si>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</si>
  <si>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</si>
  <si>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新參照角度</t>
  </si>
  <si>
    <t>新參照位置12</t>
  </si>
  <si>
    <t>符卡時間</t>
    <phoneticPr fontId="2" type="noConversion"/>
  </si>
  <si>
    <t>304</t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</si>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</sst>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707"/>
  <sheetViews>
    <sheetView zoomScale="115" zoomScaleNormal="115" workbookViewId="0">
      <pane ySplit="1" topLeftCell="A694" activePane="bottomLeft" state="frozen"/>
      <selection pane="bottomLeft" activeCell="M707" sqref="M707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20.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56" s="17" customFormat="1">
      <c r="A1" s="17" t="s">
        <v>165</v>
      </c>
      <c r="B1" s="17" t="s">
        <v>160</v>
      </c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1:56">
      <c r="C2" s="22" t="s">
        <v>140</v>
      </c>
    </row>
    <row r="3" spans="1:56">
      <c r="C3" s="22" t="s">
        <v>141</v>
      </c>
    </row>
    <row r="4" spans="1:56">
      <c r="C4" s="22" t="s">
        <v>142</v>
      </c>
    </row>
    <row r="8" spans="1:56">
      <c r="N8" s="22"/>
    </row>
    <row r="9" spans="1:56">
      <c r="N9" s="22"/>
    </row>
    <row r="10" spans="1:56">
      <c r="N10" s="22"/>
    </row>
    <row r="11" spans="1:56">
      <c r="N11" s="22"/>
    </row>
    <row r="12" spans="1:56">
      <c r="N12" s="22"/>
    </row>
    <row r="13" spans="1:56">
      <c r="N13" s="22"/>
    </row>
    <row r="14" spans="1:56">
      <c r="N14" s="22"/>
    </row>
    <row r="15" spans="1:56">
      <c r="N15" s="22"/>
    </row>
    <row r="16" spans="1:56">
      <c r="N16" s="22"/>
    </row>
    <row r="17" spans="1:14">
      <c r="N17" s="22"/>
    </row>
    <row r="18" spans="1:14">
      <c r="N18" s="22"/>
    </row>
    <row r="19" spans="1:14">
      <c r="N19" s="22"/>
    </row>
    <row r="20" spans="1:14">
      <c r="N20" s="22"/>
    </row>
    <row r="21" spans="1:14">
      <c r="N21" s="22"/>
    </row>
    <row r="22" spans="1:14">
      <c r="N22" s="22"/>
    </row>
    <row r="24" spans="1:14">
      <c r="A24" s="22"/>
      <c r="C24" s="9"/>
      <c r="D24" s="9"/>
    </row>
    <row r="25" spans="1:14">
      <c r="B25" s="22"/>
    </row>
    <row r="26" spans="1:14">
      <c r="I26" s="25"/>
      <c r="J26" s="22"/>
    </row>
    <row r="27" spans="1:14">
      <c r="A27" s="22"/>
      <c r="C27" s="9"/>
      <c r="D27" s="9"/>
    </row>
    <row r="28" spans="1:14">
      <c r="B28" s="22">
        <f>QUOTIENT( D28-1,G29)+1</f>
        <v>1</v>
      </c>
      <c r="C28" s="22">
        <f>D28-(B28-1)*G29</f>
        <v>1</v>
      </c>
      <c r="D28" s="22">
        <f>COUNT($D$27:$D27)+1</f>
        <v>1</v>
      </c>
    </row>
    <row r="29" spans="1:14">
      <c r="E29" s="22">
        <f>ROW(E29)</f>
        <v>29</v>
      </c>
      <c r="F29" s="9" t="s">
        <v>93</v>
      </c>
      <c r="G29" s="22">
        <v>20</v>
      </c>
      <c r="H29" s="22">
        <v>2</v>
      </c>
      <c r="J29" s="22">
        <v>13000</v>
      </c>
      <c r="M29" s="22">
        <f>$J$29+D28</f>
        <v>13001</v>
      </c>
      <c r="N29" s="22"/>
    </row>
    <row r="30" spans="1:14">
      <c r="E30" s="22">
        <f>ROW(E30)</f>
        <v>30</v>
      </c>
      <c r="F30" s="9" t="s">
        <v>146</v>
      </c>
      <c r="M30" s="22">
        <v>12900</v>
      </c>
      <c r="N30" s="22"/>
    </row>
    <row r="31" spans="1:14">
      <c r="E31" s="22">
        <f t="shared" ref="E31:E44" si="0">ROW(E31)</f>
        <v>31</v>
      </c>
      <c r="F31" s="9" t="s">
        <v>127</v>
      </c>
      <c r="G31" s="22">
        <v>5</v>
      </c>
      <c r="M31" s="22">
        <f>C28*G31</f>
        <v>5</v>
      </c>
      <c r="N31" s="22"/>
    </row>
    <row r="32" spans="1:14">
      <c r="E32" s="22">
        <f t="shared" si="0"/>
        <v>32</v>
      </c>
      <c r="F32" s="9" t="s">
        <v>96</v>
      </c>
      <c r="M32" s="22" t="s">
        <v>150</v>
      </c>
      <c r="N32" s="22"/>
    </row>
    <row r="33" spans="2:14">
      <c r="E33" s="22">
        <f t="shared" si="0"/>
        <v>33</v>
      </c>
      <c r="F33" s="9" t="s">
        <v>151</v>
      </c>
      <c r="M33" s="22" t="s">
        <v>159</v>
      </c>
      <c r="N33" s="22"/>
    </row>
    <row r="34" spans="2:14">
      <c r="E34" s="22">
        <f t="shared" si="0"/>
        <v>34</v>
      </c>
      <c r="F34" s="9" t="s">
        <v>149</v>
      </c>
      <c r="K34" s="9" t="s">
        <v>138</v>
      </c>
      <c r="M34" s="22">
        <v>2</v>
      </c>
      <c r="N34" s="22"/>
    </row>
    <row r="35" spans="2:14">
      <c r="E35" s="22">
        <f t="shared" si="0"/>
        <v>35</v>
      </c>
      <c r="F35" s="9" t="s">
        <v>147</v>
      </c>
      <c r="K35" s="9" t="s">
        <v>153</v>
      </c>
      <c r="N35" s="22"/>
    </row>
    <row r="36" spans="2:14">
      <c r="E36" s="22">
        <f t="shared" si="0"/>
        <v>36</v>
      </c>
      <c r="F36" s="9" t="s">
        <v>134</v>
      </c>
      <c r="G36" s="24">
        <v>-7</v>
      </c>
      <c r="H36" s="24">
        <v>1</v>
      </c>
      <c r="K36" s="9" t="s">
        <v>154</v>
      </c>
      <c r="M36" s="22">
        <f>G36+H36*C28</f>
        <v>-6</v>
      </c>
      <c r="N36" s="22"/>
    </row>
    <row r="37" spans="2:14">
      <c r="E37" s="22">
        <f t="shared" si="0"/>
        <v>37</v>
      </c>
      <c r="F37" s="9" t="s">
        <v>134</v>
      </c>
      <c r="K37" s="9" t="s">
        <v>155</v>
      </c>
      <c r="N37" s="22"/>
    </row>
    <row r="38" spans="2:14">
      <c r="E38" s="22">
        <f t="shared" si="0"/>
        <v>38</v>
      </c>
      <c r="F38" s="9" t="s">
        <v>156</v>
      </c>
      <c r="L38" s="9" t="s">
        <v>157</v>
      </c>
      <c r="M38" s="22">
        <v>2</v>
      </c>
      <c r="N38" s="22"/>
    </row>
    <row r="39" spans="2:14">
      <c r="E39" s="22">
        <f t="shared" si="0"/>
        <v>39</v>
      </c>
      <c r="F39" s="9" t="s">
        <v>168</v>
      </c>
      <c r="M39" s="22">
        <v>4.2</v>
      </c>
      <c r="N39" s="22"/>
    </row>
    <row r="40" spans="2:14">
      <c r="E40" s="22">
        <f t="shared" si="0"/>
        <v>40</v>
      </c>
      <c r="F40" s="9" t="s">
        <v>116</v>
      </c>
      <c r="M40" s="22">
        <v>-2.1</v>
      </c>
      <c r="N40" s="22"/>
    </row>
    <row r="41" spans="2:14">
      <c r="E41" s="22">
        <f t="shared" si="0"/>
        <v>41</v>
      </c>
      <c r="F41" s="9" t="s">
        <v>31</v>
      </c>
      <c r="G41" s="22">
        <v>90</v>
      </c>
      <c r="H41" s="22">
        <v>-90</v>
      </c>
      <c r="L41" s="9" t="s">
        <v>135</v>
      </c>
      <c r="M41" s="22">
        <f>IF(MOD(B28,2)=0,90,-90)</f>
        <v>-90</v>
      </c>
      <c r="N41" s="22"/>
    </row>
    <row r="42" spans="2:14">
      <c r="E42" s="22">
        <f t="shared" si="0"/>
        <v>42</v>
      </c>
      <c r="F42" s="9" t="s">
        <v>158</v>
      </c>
      <c r="L42" s="9" t="s">
        <v>157</v>
      </c>
      <c r="M42" s="22">
        <v>2</v>
      </c>
      <c r="N42" s="22"/>
    </row>
    <row r="43" spans="2:14">
      <c r="E43" s="22">
        <f t="shared" si="0"/>
        <v>43</v>
      </c>
      <c r="F43" s="9" t="s">
        <v>167</v>
      </c>
      <c r="M43" s="22" t="b">
        <v>1</v>
      </c>
      <c r="N43" s="22"/>
    </row>
    <row r="44" spans="2:14">
      <c r="E44" s="22">
        <f t="shared" si="0"/>
        <v>44</v>
      </c>
      <c r="F44" s="9" t="s">
        <v>166</v>
      </c>
      <c r="M44" s="22">
        <v>150</v>
      </c>
      <c r="N44" s="22"/>
    </row>
    <row r="45" spans="2:14">
      <c r="B45" s="22">
        <f t="shared" ref="B45" si="1">QUOTIENT( D45-1,G46)+1</f>
        <v>1</v>
      </c>
      <c r="C45" s="22">
        <f t="shared" ref="C45" si="2">D45-(B45-1)*G46</f>
        <v>2</v>
      </c>
      <c r="D45" s="22">
        <f>COUNT($D$27:$D44)+1</f>
        <v>2</v>
      </c>
    </row>
    <row r="46" spans="2:14">
      <c r="E46" s="22">
        <f t="shared" ref="E46:E109" si="3">ROW(E46)</f>
        <v>46</v>
      </c>
      <c r="F46" s="9" t="s">
        <v>93</v>
      </c>
      <c r="G46" s="22">
        <v>20</v>
      </c>
      <c r="H46" s="22">
        <v>2</v>
      </c>
      <c r="J46" s="9">
        <v>13000</v>
      </c>
      <c r="M46" s="22">
        <f t="shared" ref="M46" si="4">$J$29+D45</f>
        <v>13002</v>
      </c>
    </row>
    <row r="47" spans="2:14">
      <c r="E47" s="22">
        <f t="shared" si="3"/>
        <v>47</v>
      </c>
      <c r="F47" s="9" t="s">
        <v>146</v>
      </c>
      <c r="M47" s="22">
        <v>12900</v>
      </c>
    </row>
    <row r="48" spans="2:14">
      <c r="E48" s="22">
        <f t="shared" si="3"/>
        <v>48</v>
      </c>
      <c r="F48" s="9" t="s">
        <v>127</v>
      </c>
      <c r="G48" s="22">
        <v>5</v>
      </c>
      <c r="M48" s="22">
        <f t="shared" ref="M48" si="5">C45*G48</f>
        <v>10</v>
      </c>
    </row>
    <row r="49" spans="2:13">
      <c r="E49" s="22">
        <f t="shared" si="3"/>
        <v>49</v>
      </c>
      <c r="F49" s="9" t="s">
        <v>29</v>
      </c>
      <c r="M49" s="22" t="s">
        <v>161</v>
      </c>
    </row>
    <row r="50" spans="2:13">
      <c r="E50" s="22">
        <f t="shared" si="3"/>
        <v>50</v>
      </c>
      <c r="F50" s="9" t="s">
        <v>119</v>
      </c>
      <c r="M50" s="22" t="s">
        <v>162</v>
      </c>
    </row>
    <row r="51" spans="2:13">
      <c r="E51" s="22">
        <f t="shared" si="3"/>
        <v>51</v>
      </c>
      <c r="F51" s="9" t="s">
        <v>99</v>
      </c>
      <c r="K51" s="9" t="s">
        <v>138</v>
      </c>
      <c r="M51" s="22">
        <v>2</v>
      </c>
    </row>
    <row r="52" spans="2:13">
      <c r="E52" s="22">
        <f t="shared" si="3"/>
        <v>52</v>
      </c>
      <c r="F52" s="9" t="s">
        <v>163</v>
      </c>
      <c r="K52" s="9" t="s">
        <v>153</v>
      </c>
    </row>
    <row r="53" spans="2:13">
      <c r="E53" s="22">
        <f t="shared" si="3"/>
        <v>53</v>
      </c>
      <c r="F53" s="9" t="s">
        <v>134</v>
      </c>
      <c r="G53" s="22">
        <v>-7</v>
      </c>
      <c r="H53" s="22">
        <v>1</v>
      </c>
      <c r="K53" s="9" t="s">
        <v>154</v>
      </c>
      <c r="M53" s="22">
        <f t="shared" ref="M53" si="6">G53+H53*C45</f>
        <v>-5</v>
      </c>
    </row>
    <row r="54" spans="2:13">
      <c r="E54" s="22">
        <f t="shared" si="3"/>
        <v>54</v>
      </c>
      <c r="F54" s="9" t="s">
        <v>134</v>
      </c>
      <c r="K54" s="9" t="s">
        <v>155</v>
      </c>
    </row>
    <row r="55" spans="2:13">
      <c r="E55" s="22">
        <f t="shared" si="3"/>
        <v>55</v>
      </c>
      <c r="F55" s="9" t="s">
        <v>133</v>
      </c>
      <c r="L55" s="9" t="s">
        <v>157</v>
      </c>
      <c r="M55" s="22">
        <v>2</v>
      </c>
    </row>
    <row r="56" spans="2:13">
      <c r="E56" s="22">
        <f t="shared" si="3"/>
        <v>56</v>
      </c>
      <c r="F56" s="9" t="s">
        <v>30</v>
      </c>
      <c r="M56" s="22">
        <v>4.2</v>
      </c>
    </row>
    <row r="57" spans="2:13">
      <c r="E57" s="22">
        <f t="shared" si="3"/>
        <v>57</v>
      </c>
      <c r="F57" s="9" t="s">
        <v>116</v>
      </c>
      <c r="M57" s="22">
        <v>-2.1</v>
      </c>
    </row>
    <row r="58" spans="2:13">
      <c r="E58" s="22">
        <f t="shared" si="3"/>
        <v>58</v>
      </c>
      <c r="F58" s="9" t="s">
        <v>31</v>
      </c>
      <c r="G58" s="22">
        <v>90</v>
      </c>
      <c r="H58" s="22">
        <v>-90</v>
      </c>
      <c r="L58" s="9" t="s">
        <v>135</v>
      </c>
      <c r="M58" s="22">
        <f t="shared" ref="M58" si="7">IF(MOD(B45,2)=0,90,-90)</f>
        <v>-90</v>
      </c>
    </row>
    <row r="59" spans="2:13">
      <c r="E59" s="22">
        <f t="shared" si="3"/>
        <v>59</v>
      </c>
      <c r="F59" s="9" t="s">
        <v>164</v>
      </c>
      <c r="L59" s="9" t="s">
        <v>157</v>
      </c>
      <c r="M59" s="22">
        <v>2</v>
      </c>
    </row>
    <row r="60" spans="2:13">
      <c r="E60" s="22">
        <f t="shared" si="3"/>
        <v>60</v>
      </c>
      <c r="F60" s="9" t="s">
        <v>167</v>
      </c>
      <c r="M60" s="22" t="b">
        <v>1</v>
      </c>
    </row>
    <row r="61" spans="2:13">
      <c r="B61" s="22"/>
      <c r="E61" s="22">
        <f t="shared" si="3"/>
        <v>61</v>
      </c>
      <c r="F61" s="9" t="s">
        <v>108</v>
      </c>
      <c r="M61" s="22">
        <v>150</v>
      </c>
    </row>
    <row r="62" spans="2:13">
      <c r="B62" s="9">
        <f t="shared" ref="B62" si="8">QUOTIENT( D62-1,G63)+1</f>
        <v>1</v>
      </c>
      <c r="C62" s="22">
        <f t="shared" ref="C62" si="9">D62-(B62-1)*G63</f>
        <v>3</v>
      </c>
      <c r="D62" s="22">
        <f>COUNT($D$27:$D61)+1</f>
        <v>3</v>
      </c>
    </row>
    <row r="63" spans="2:13">
      <c r="E63" s="22">
        <f t="shared" ref="E63:E64" si="10">ROW(E63)</f>
        <v>63</v>
      </c>
      <c r="F63" s="9" t="s">
        <v>93</v>
      </c>
      <c r="G63" s="22">
        <v>20</v>
      </c>
      <c r="H63" s="22">
        <v>2</v>
      </c>
      <c r="J63" s="9">
        <v>13000</v>
      </c>
      <c r="M63" s="22">
        <f t="shared" ref="M63" si="11">$J$29+D62</f>
        <v>13003</v>
      </c>
    </row>
    <row r="64" spans="2:13">
      <c r="E64" s="22">
        <f t="shared" si="10"/>
        <v>64</v>
      </c>
      <c r="F64" s="9" t="s">
        <v>146</v>
      </c>
      <c r="M64" s="22">
        <v>12900</v>
      </c>
    </row>
    <row r="65" spans="2:13">
      <c r="E65" s="22">
        <f t="shared" si="3"/>
        <v>65</v>
      </c>
      <c r="F65" s="9" t="s">
        <v>127</v>
      </c>
      <c r="G65" s="22">
        <v>5</v>
      </c>
      <c r="M65" s="22">
        <f t="shared" ref="M65" si="12">C62*G65</f>
        <v>15</v>
      </c>
    </row>
    <row r="66" spans="2:13">
      <c r="E66" s="22">
        <f t="shared" si="3"/>
        <v>66</v>
      </c>
      <c r="F66" s="9" t="s">
        <v>29</v>
      </c>
      <c r="M66" s="22" t="s">
        <v>161</v>
      </c>
    </row>
    <row r="67" spans="2:13">
      <c r="E67" s="22">
        <f t="shared" si="3"/>
        <v>67</v>
      </c>
      <c r="F67" s="9" t="s">
        <v>119</v>
      </c>
      <c r="M67" s="22" t="s">
        <v>162</v>
      </c>
    </row>
    <row r="68" spans="2:13">
      <c r="E68" s="22">
        <f t="shared" si="3"/>
        <v>68</v>
      </c>
      <c r="F68" s="9" t="s">
        <v>99</v>
      </c>
      <c r="K68" s="9" t="s">
        <v>138</v>
      </c>
      <c r="M68" s="22">
        <v>2</v>
      </c>
    </row>
    <row r="69" spans="2:13">
      <c r="E69" s="22">
        <f t="shared" si="3"/>
        <v>69</v>
      </c>
      <c r="F69" s="9" t="s">
        <v>163</v>
      </c>
      <c r="K69" s="9" t="s">
        <v>153</v>
      </c>
    </row>
    <row r="70" spans="2:13">
      <c r="E70" s="22">
        <f t="shared" si="3"/>
        <v>70</v>
      </c>
      <c r="F70" s="9" t="s">
        <v>134</v>
      </c>
      <c r="G70" s="22">
        <v>-7</v>
      </c>
      <c r="H70" s="22">
        <v>1</v>
      </c>
      <c r="K70" s="9" t="s">
        <v>154</v>
      </c>
      <c r="M70" s="22">
        <f t="shared" ref="M70" si="13">G70+H70*C62</f>
        <v>-4</v>
      </c>
    </row>
    <row r="71" spans="2:13">
      <c r="E71" s="22">
        <f t="shared" si="3"/>
        <v>71</v>
      </c>
      <c r="F71" s="9" t="s">
        <v>134</v>
      </c>
      <c r="K71" s="9" t="s">
        <v>155</v>
      </c>
    </row>
    <row r="72" spans="2:13">
      <c r="E72" s="22">
        <f t="shared" si="3"/>
        <v>72</v>
      </c>
      <c r="F72" s="9" t="s">
        <v>133</v>
      </c>
      <c r="L72" s="9" t="s">
        <v>157</v>
      </c>
      <c r="M72" s="22">
        <v>2</v>
      </c>
    </row>
    <row r="73" spans="2:13">
      <c r="E73" s="22">
        <f t="shared" si="3"/>
        <v>73</v>
      </c>
      <c r="F73" s="9" t="s">
        <v>30</v>
      </c>
      <c r="M73" s="22">
        <v>4.2</v>
      </c>
    </row>
    <row r="74" spans="2:13">
      <c r="E74" s="22">
        <f t="shared" si="3"/>
        <v>74</v>
      </c>
      <c r="F74" s="9" t="s">
        <v>116</v>
      </c>
      <c r="M74" s="22">
        <v>-2.1</v>
      </c>
    </row>
    <row r="75" spans="2:13">
      <c r="E75" s="22">
        <f t="shared" si="3"/>
        <v>75</v>
      </c>
      <c r="F75" s="9" t="s">
        <v>31</v>
      </c>
      <c r="G75" s="22">
        <v>90</v>
      </c>
      <c r="H75" s="22">
        <v>-90</v>
      </c>
      <c r="L75" s="9" t="s">
        <v>135</v>
      </c>
      <c r="M75" s="22">
        <f t="shared" ref="M75" si="14">IF(MOD(B62,2)=0,90,-90)</f>
        <v>-90</v>
      </c>
    </row>
    <row r="76" spans="2:13">
      <c r="E76" s="22">
        <f t="shared" si="3"/>
        <v>76</v>
      </c>
      <c r="F76" s="9" t="s">
        <v>164</v>
      </c>
      <c r="L76" s="9" t="s">
        <v>157</v>
      </c>
      <c r="M76" s="22">
        <v>2</v>
      </c>
    </row>
    <row r="77" spans="2:13">
      <c r="B77" s="22"/>
      <c r="E77" s="22">
        <f t="shared" si="3"/>
        <v>77</v>
      </c>
      <c r="F77" s="9" t="s">
        <v>167</v>
      </c>
      <c r="M77" s="22" t="b">
        <v>1</v>
      </c>
    </row>
    <row r="78" spans="2:13">
      <c r="E78" s="22">
        <f t="shared" si="3"/>
        <v>78</v>
      </c>
      <c r="F78" s="9" t="s">
        <v>108</v>
      </c>
      <c r="M78" s="22">
        <v>150</v>
      </c>
    </row>
    <row r="79" spans="2:13">
      <c r="B79" s="9">
        <f t="shared" ref="B79" si="15">QUOTIENT( D79-1,G80)+1</f>
        <v>1</v>
      </c>
      <c r="C79" s="22">
        <f t="shared" ref="C79" si="16">D79-(B79-1)*G80</f>
        <v>4</v>
      </c>
      <c r="D79" s="22">
        <f>COUNT($D$27:$D78)+1</f>
        <v>4</v>
      </c>
    </row>
    <row r="80" spans="2:13">
      <c r="E80" s="22">
        <f t="shared" ref="E80:E81" si="17">ROW(E80)</f>
        <v>80</v>
      </c>
      <c r="F80" s="9" t="s">
        <v>93</v>
      </c>
      <c r="G80" s="22">
        <v>20</v>
      </c>
      <c r="H80" s="22">
        <v>2</v>
      </c>
      <c r="J80" s="9">
        <v>13000</v>
      </c>
      <c r="M80" s="22">
        <f t="shared" ref="M80" si="18">$J$29+D79</f>
        <v>13004</v>
      </c>
    </row>
    <row r="81" spans="2:13">
      <c r="E81" s="22">
        <f t="shared" si="17"/>
        <v>81</v>
      </c>
      <c r="F81" s="9" t="s">
        <v>146</v>
      </c>
      <c r="M81" s="22">
        <v>12900</v>
      </c>
    </row>
    <row r="82" spans="2:13">
      <c r="E82" s="22">
        <f t="shared" si="3"/>
        <v>82</v>
      </c>
      <c r="F82" s="9" t="s">
        <v>127</v>
      </c>
      <c r="G82" s="22">
        <v>5</v>
      </c>
      <c r="M82" s="22">
        <f t="shared" ref="M82" si="19">C79*G82</f>
        <v>20</v>
      </c>
    </row>
    <row r="83" spans="2:13">
      <c r="E83" s="22">
        <f t="shared" si="3"/>
        <v>83</v>
      </c>
      <c r="F83" s="9" t="s">
        <v>29</v>
      </c>
      <c r="M83" s="22" t="s">
        <v>161</v>
      </c>
    </row>
    <row r="84" spans="2:13">
      <c r="E84" s="22">
        <f t="shared" si="3"/>
        <v>84</v>
      </c>
      <c r="F84" s="9" t="s">
        <v>119</v>
      </c>
      <c r="M84" s="22" t="s">
        <v>162</v>
      </c>
    </row>
    <row r="85" spans="2:13">
      <c r="E85" s="22">
        <f t="shared" si="3"/>
        <v>85</v>
      </c>
      <c r="F85" s="9" t="s">
        <v>99</v>
      </c>
      <c r="K85" s="9" t="s">
        <v>138</v>
      </c>
      <c r="M85" s="22">
        <v>2</v>
      </c>
    </row>
    <row r="86" spans="2:13">
      <c r="E86" s="22">
        <f t="shared" si="3"/>
        <v>86</v>
      </c>
      <c r="F86" s="9" t="s">
        <v>163</v>
      </c>
      <c r="K86" s="9" t="s">
        <v>153</v>
      </c>
    </row>
    <row r="87" spans="2:13">
      <c r="E87" s="22">
        <f t="shared" si="3"/>
        <v>87</v>
      </c>
      <c r="F87" s="9" t="s">
        <v>134</v>
      </c>
      <c r="G87" s="22">
        <v>-7</v>
      </c>
      <c r="H87" s="22">
        <v>1</v>
      </c>
      <c r="K87" s="9" t="s">
        <v>154</v>
      </c>
      <c r="M87" s="22">
        <f t="shared" ref="M87" si="20">G87+H87*C79</f>
        <v>-3</v>
      </c>
    </row>
    <row r="88" spans="2:13">
      <c r="E88" s="22">
        <f t="shared" si="3"/>
        <v>88</v>
      </c>
      <c r="F88" s="9" t="s">
        <v>134</v>
      </c>
      <c r="K88" s="9" t="s">
        <v>155</v>
      </c>
    </row>
    <row r="89" spans="2:13">
      <c r="E89" s="22">
        <f t="shared" si="3"/>
        <v>89</v>
      </c>
      <c r="F89" s="9" t="s">
        <v>133</v>
      </c>
      <c r="L89" s="9" t="s">
        <v>157</v>
      </c>
      <c r="M89" s="22">
        <v>2</v>
      </c>
    </row>
    <row r="90" spans="2:13">
      <c r="E90" s="22">
        <f t="shared" si="3"/>
        <v>90</v>
      </c>
      <c r="F90" s="9" t="s">
        <v>30</v>
      </c>
      <c r="M90" s="22">
        <v>4.2</v>
      </c>
    </row>
    <row r="91" spans="2:13">
      <c r="E91" s="22">
        <f t="shared" si="3"/>
        <v>91</v>
      </c>
      <c r="F91" s="9" t="s">
        <v>116</v>
      </c>
      <c r="M91" s="22">
        <v>-2.1</v>
      </c>
    </row>
    <row r="92" spans="2:13">
      <c r="E92" s="22">
        <f t="shared" si="3"/>
        <v>92</v>
      </c>
      <c r="F92" s="9" t="s">
        <v>31</v>
      </c>
      <c r="G92" s="22">
        <v>90</v>
      </c>
      <c r="H92" s="22">
        <v>-90</v>
      </c>
      <c r="L92" s="9" t="s">
        <v>135</v>
      </c>
      <c r="M92" s="22">
        <f t="shared" ref="M92" si="21">IF(MOD(B79,2)=0,90,-90)</f>
        <v>-90</v>
      </c>
    </row>
    <row r="93" spans="2:13">
      <c r="B93" s="22"/>
      <c r="E93" s="22">
        <f t="shared" si="3"/>
        <v>93</v>
      </c>
      <c r="F93" s="9" t="s">
        <v>164</v>
      </c>
      <c r="L93" s="9" t="s">
        <v>157</v>
      </c>
      <c r="M93" s="22">
        <v>2</v>
      </c>
    </row>
    <row r="94" spans="2:13">
      <c r="E94" s="22">
        <f t="shared" si="3"/>
        <v>94</v>
      </c>
      <c r="F94" s="9" t="s">
        <v>167</v>
      </c>
      <c r="M94" s="22" t="b">
        <v>1</v>
      </c>
    </row>
    <row r="95" spans="2:13">
      <c r="E95" s="22">
        <f t="shared" si="3"/>
        <v>95</v>
      </c>
      <c r="F95" s="9" t="s">
        <v>108</v>
      </c>
      <c r="M95" s="22">
        <v>150</v>
      </c>
    </row>
    <row r="96" spans="2:13">
      <c r="B96" s="9">
        <f t="shared" ref="B96" si="22">QUOTIENT( D96-1,G97)+1</f>
        <v>1</v>
      </c>
      <c r="C96" s="22">
        <f t="shared" ref="C96" si="23">D96-(B96-1)*G97</f>
        <v>5</v>
      </c>
      <c r="D96" s="22">
        <f>COUNT($D$27:$D95)+1</f>
        <v>5</v>
      </c>
    </row>
    <row r="97" spans="2:13">
      <c r="E97" s="22">
        <f t="shared" ref="E97:E98" si="24">ROW(E97)</f>
        <v>97</v>
      </c>
      <c r="F97" s="9" t="s">
        <v>93</v>
      </c>
      <c r="G97" s="22">
        <v>20</v>
      </c>
      <c r="H97" s="22">
        <v>2</v>
      </c>
      <c r="J97" s="9">
        <v>13000</v>
      </c>
      <c r="M97" s="22">
        <f t="shared" ref="M97" si="25">$J$29+D96</f>
        <v>13005</v>
      </c>
    </row>
    <row r="98" spans="2:13">
      <c r="E98" s="22">
        <f t="shared" si="24"/>
        <v>98</v>
      </c>
      <c r="F98" s="9" t="s">
        <v>146</v>
      </c>
      <c r="M98" s="22">
        <v>12900</v>
      </c>
    </row>
    <row r="99" spans="2:13">
      <c r="E99" s="22">
        <f t="shared" si="3"/>
        <v>99</v>
      </c>
      <c r="F99" s="9" t="s">
        <v>127</v>
      </c>
      <c r="G99" s="22">
        <v>5</v>
      </c>
      <c r="M99" s="22">
        <f t="shared" ref="M99" si="26">C96*G99</f>
        <v>25</v>
      </c>
    </row>
    <row r="100" spans="2:13">
      <c r="E100" s="22">
        <f t="shared" si="3"/>
        <v>100</v>
      </c>
      <c r="F100" s="9" t="s">
        <v>29</v>
      </c>
      <c r="M100" s="22" t="s">
        <v>161</v>
      </c>
    </row>
    <row r="101" spans="2:13">
      <c r="E101" s="22">
        <f t="shared" si="3"/>
        <v>101</v>
      </c>
      <c r="F101" s="9" t="s">
        <v>119</v>
      </c>
      <c r="M101" s="22" t="s">
        <v>162</v>
      </c>
    </row>
    <row r="102" spans="2:13">
      <c r="E102" s="22">
        <f t="shared" si="3"/>
        <v>102</v>
      </c>
      <c r="F102" s="9" t="s">
        <v>99</v>
      </c>
      <c r="K102" s="9" t="s">
        <v>138</v>
      </c>
      <c r="M102" s="22">
        <v>2</v>
      </c>
    </row>
    <row r="103" spans="2:13">
      <c r="E103" s="22">
        <f t="shared" si="3"/>
        <v>103</v>
      </c>
      <c r="F103" s="9" t="s">
        <v>163</v>
      </c>
      <c r="K103" s="9" t="s">
        <v>153</v>
      </c>
    </row>
    <row r="104" spans="2:13">
      <c r="E104" s="22">
        <f t="shared" si="3"/>
        <v>104</v>
      </c>
      <c r="F104" s="9" t="s">
        <v>134</v>
      </c>
      <c r="G104" s="22">
        <v>-7</v>
      </c>
      <c r="H104" s="22">
        <v>1</v>
      </c>
      <c r="K104" s="9" t="s">
        <v>154</v>
      </c>
      <c r="M104" s="22">
        <f t="shared" ref="M104" si="27">G104+H104*C96</f>
        <v>-2</v>
      </c>
    </row>
    <row r="105" spans="2:13">
      <c r="E105" s="22">
        <f t="shared" si="3"/>
        <v>105</v>
      </c>
      <c r="F105" s="9" t="s">
        <v>134</v>
      </c>
      <c r="K105" s="9" t="s">
        <v>155</v>
      </c>
    </row>
    <row r="106" spans="2:13">
      <c r="E106" s="22">
        <f t="shared" si="3"/>
        <v>106</v>
      </c>
      <c r="F106" s="9" t="s">
        <v>133</v>
      </c>
      <c r="L106" s="9" t="s">
        <v>157</v>
      </c>
      <c r="M106" s="22">
        <v>2</v>
      </c>
    </row>
    <row r="107" spans="2:13">
      <c r="E107" s="22">
        <f t="shared" si="3"/>
        <v>107</v>
      </c>
      <c r="F107" s="9" t="s">
        <v>30</v>
      </c>
      <c r="M107" s="22">
        <v>4.2</v>
      </c>
    </row>
    <row r="108" spans="2:13">
      <c r="E108" s="22">
        <f t="shared" si="3"/>
        <v>108</v>
      </c>
      <c r="F108" s="9" t="s">
        <v>116</v>
      </c>
      <c r="M108" s="22">
        <v>-2.1</v>
      </c>
    </row>
    <row r="109" spans="2:13">
      <c r="B109" s="22"/>
      <c r="E109" s="22">
        <f t="shared" si="3"/>
        <v>109</v>
      </c>
      <c r="F109" s="9" t="s">
        <v>31</v>
      </c>
      <c r="G109" s="22">
        <v>90</v>
      </c>
      <c r="H109" s="22">
        <v>-90</v>
      </c>
      <c r="L109" s="9" t="s">
        <v>135</v>
      </c>
      <c r="M109" s="22">
        <f t="shared" ref="M109" si="28">IF(MOD(B96,2)=0,90,-90)</f>
        <v>-90</v>
      </c>
    </row>
    <row r="110" spans="2:13">
      <c r="E110" s="22">
        <f t="shared" ref="E110:E173" si="29">ROW(E110)</f>
        <v>110</v>
      </c>
      <c r="F110" s="9" t="s">
        <v>164</v>
      </c>
      <c r="L110" s="9" t="s">
        <v>157</v>
      </c>
      <c r="M110" s="22">
        <v>2</v>
      </c>
    </row>
    <row r="111" spans="2:13">
      <c r="E111" s="22">
        <f t="shared" si="29"/>
        <v>111</v>
      </c>
      <c r="F111" s="9" t="s">
        <v>167</v>
      </c>
      <c r="M111" s="22" t="b">
        <v>1</v>
      </c>
    </row>
    <row r="112" spans="2:13">
      <c r="E112" s="22">
        <f t="shared" si="29"/>
        <v>112</v>
      </c>
      <c r="F112" s="9" t="s">
        <v>108</v>
      </c>
      <c r="M112" s="22">
        <v>150</v>
      </c>
    </row>
    <row r="113" spans="2:13">
      <c r="B113" s="9">
        <f t="shared" ref="B113" si="30">QUOTIENT( D113-1,G114)+1</f>
        <v>1</v>
      </c>
      <c r="C113" s="22">
        <f t="shared" ref="C113" si="31">D113-(B113-1)*G114</f>
        <v>6</v>
      </c>
      <c r="D113" s="22">
        <f>COUNT($D$27:$D112)+1</f>
        <v>6</v>
      </c>
    </row>
    <row r="114" spans="2:13">
      <c r="E114" s="22">
        <f t="shared" ref="E114:E115" si="32">ROW(E114)</f>
        <v>114</v>
      </c>
      <c r="F114" s="9" t="s">
        <v>93</v>
      </c>
      <c r="G114" s="22">
        <v>20</v>
      </c>
      <c r="H114" s="22">
        <v>2</v>
      </c>
      <c r="J114" s="9">
        <v>13000</v>
      </c>
      <c r="M114" s="22">
        <f t="shared" ref="M114" si="33">$J$29+D113</f>
        <v>13006</v>
      </c>
    </row>
    <row r="115" spans="2:13">
      <c r="E115" s="22">
        <f t="shared" si="32"/>
        <v>115</v>
      </c>
      <c r="F115" s="9" t="s">
        <v>146</v>
      </c>
      <c r="M115" s="22">
        <v>12900</v>
      </c>
    </row>
    <row r="116" spans="2:13">
      <c r="E116" s="22">
        <f t="shared" si="29"/>
        <v>116</v>
      </c>
      <c r="F116" s="9" t="s">
        <v>127</v>
      </c>
      <c r="G116" s="22">
        <v>5</v>
      </c>
      <c r="M116" s="22">
        <f t="shared" ref="M116" si="34">C113*G116</f>
        <v>30</v>
      </c>
    </row>
    <row r="117" spans="2:13">
      <c r="E117" s="22">
        <f t="shared" si="29"/>
        <v>117</v>
      </c>
      <c r="F117" s="9" t="s">
        <v>29</v>
      </c>
      <c r="M117" s="22" t="s">
        <v>161</v>
      </c>
    </row>
    <row r="118" spans="2:13">
      <c r="E118" s="22">
        <f t="shared" si="29"/>
        <v>118</v>
      </c>
      <c r="F118" s="9" t="s">
        <v>119</v>
      </c>
      <c r="M118" s="22" t="s">
        <v>162</v>
      </c>
    </row>
    <row r="119" spans="2:13">
      <c r="E119" s="22">
        <f t="shared" si="29"/>
        <v>119</v>
      </c>
      <c r="F119" s="9" t="s">
        <v>99</v>
      </c>
      <c r="K119" s="9" t="s">
        <v>138</v>
      </c>
      <c r="M119" s="22">
        <v>2</v>
      </c>
    </row>
    <row r="120" spans="2:13">
      <c r="E120" s="22">
        <f t="shared" si="29"/>
        <v>120</v>
      </c>
      <c r="F120" s="9" t="s">
        <v>163</v>
      </c>
      <c r="K120" s="9" t="s">
        <v>153</v>
      </c>
    </row>
    <row r="121" spans="2:13">
      <c r="E121" s="22">
        <f t="shared" si="29"/>
        <v>121</v>
      </c>
      <c r="F121" s="9" t="s">
        <v>134</v>
      </c>
      <c r="G121" s="22">
        <v>-7</v>
      </c>
      <c r="H121" s="22">
        <v>1</v>
      </c>
      <c r="K121" s="9" t="s">
        <v>154</v>
      </c>
      <c r="M121" s="22">
        <f t="shared" ref="M121" si="35">G121+H121*C113</f>
        <v>-1</v>
      </c>
    </row>
    <row r="122" spans="2:13">
      <c r="E122" s="22">
        <f t="shared" si="29"/>
        <v>122</v>
      </c>
      <c r="F122" s="9" t="s">
        <v>134</v>
      </c>
      <c r="K122" s="9" t="s">
        <v>155</v>
      </c>
    </row>
    <row r="123" spans="2:13">
      <c r="E123" s="22">
        <f t="shared" si="29"/>
        <v>123</v>
      </c>
      <c r="F123" s="9" t="s">
        <v>133</v>
      </c>
      <c r="L123" s="9" t="s">
        <v>157</v>
      </c>
      <c r="M123" s="22">
        <v>2</v>
      </c>
    </row>
    <row r="124" spans="2:13">
      <c r="E124" s="22">
        <f t="shared" si="29"/>
        <v>124</v>
      </c>
      <c r="F124" s="9" t="s">
        <v>30</v>
      </c>
      <c r="M124" s="22">
        <v>4.2</v>
      </c>
    </row>
    <row r="125" spans="2:13">
      <c r="B125" s="22"/>
      <c r="E125" s="22">
        <f t="shared" si="29"/>
        <v>125</v>
      </c>
      <c r="F125" s="9" t="s">
        <v>116</v>
      </c>
      <c r="M125" s="22">
        <v>-2.1</v>
      </c>
    </row>
    <row r="126" spans="2:13">
      <c r="E126" s="22">
        <f t="shared" si="29"/>
        <v>126</v>
      </c>
      <c r="F126" s="9" t="s">
        <v>31</v>
      </c>
      <c r="G126" s="22">
        <v>90</v>
      </c>
      <c r="H126" s="22">
        <v>-90</v>
      </c>
      <c r="L126" s="9" t="s">
        <v>135</v>
      </c>
      <c r="M126" s="22">
        <f t="shared" ref="M126" si="36">IF(MOD(B113,2)=0,90,-90)</f>
        <v>-90</v>
      </c>
    </row>
    <row r="127" spans="2:13">
      <c r="E127" s="22">
        <f t="shared" si="29"/>
        <v>127</v>
      </c>
      <c r="F127" s="9" t="s">
        <v>164</v>
      </c>
      <c r="L127" s="9" t="s">
        <v>157</v>
      </c>
      <c r="M127" s="22">
        <v>2</v>
      </c>
    </row>
    <row r="128" spans="2:13">
      <c r="E128" s="22">
        <f t="shared" si="29"/>
        <v>128</v>
      </c>
      <c r="F128" s="9" t="s">
        <v>167</v>
      </c>
      <c r="M128" s="22" t="b">
        <v>1</v>
      </c>
    </row>
    <row r="129" spans="2:13">
      <c r="E129" s="22">
        <f t="shared" si="29"/>
        <v>129</v>
      </c>
      <c r="F129" s="9" t="s">
        <v>108</v>
      </c>
      <c r="M129" s="22">
        <v>150</v>
      </c>
    </row>
    <row r="130" spans="2:13">
      <c r="B130" s="9">
        <f t="shared" ref="B130" si="37">QUOTIENT( D130-1,G131)+1</f>
        <v>1</v>
      </c>
      <c r="C130" s="22">
        <f t="shared" ref="C130" si="38">D130-(B130-1)*G131</f>
        <v>7</v>
      </c>
      <c r="D130" s="22">
        <f>COUNT($D$27:$D129)+1</f>
        <v>7</v>
      </c>
    </row>
    <row r="131" spans="2:13">
      <c r="E131" s="22">
        <f t="shared" ref="E131:E132" si="39">ROW(E131)</f>
        <v>131</v>
      </c>
      <c r="F131" s="9" t="s">
        <v>93</v>
      </c>
      <c r="G131" s="22">
        <v>20</v>
      </c>
      <c r="H131" s="22">
        <v>2</v>
      </c>
      <c r="J131" s="9">
        <v>13000</v>
      </c>
      <c r="M131" s="22">
        <f t="shared" ref="M131" si="40">$J$29+D130</f>
        <v>13007</v>
      </c>
    </row>
    <row r="132" spans="2:13">
      <c r="E132" s="22">
        <f t="shared" si="39"/>
        <v>132</v>
      </c>
      <c r="F132" s="9" t="s">
        <v>146</v>
      </c>
      <c r="M132" s="22">
        <v>12900</v>
      </c>
    </row>
    <row r="133" spans="2:13">
      <c r="E133" s="22">
        <f t="shared" si="29"/>
        <v>133</v>
      </c>
      <c r="F133" s="9" t="s">
        <v>127</v>
      </c>
      <c r="G133" s="22">
        <v>5</v>
      </c>
      <c r="M133" s="22">
        <f t="shared" ref="M133" si="41">C130*G133</f>
        <v>35</v>
      </c>
    </row>
    <row r="134" spans="2:13">
      <c r="E134" s="22">
        <f t="shared" si="29"/>
        <v>134</v>
      </c>
      <c r="F134" s="9" t="s">
        <v>29</v>
      </c>
      <c r="M134" s="22" t="s">
        <v>161</v>
      </c>
    </row>
    <row r="135" spans="2:13">
      <c r="E135" s="22">
        <f t="shared" si="29"/>
        <v>135</v>
      </c>
      <c r="F135" s="9" t="s">
        <v>119</v>
      </c>
      <c r="M135" s="22" t="s">
        <v>162</v>
      </c>
    </row>
    <row r="136" spans="2:13">
      <c r="E136" s="22">
        <f t="shared" si="29"/>
        <v>136</v>
      </c>
      <c r="F136" s="9" t="s">
        <v>99</v>
      </c>
      <c r="K136" s="9" t="s">
        <v>138</v>
      </c>
      <c r="M136" s="22">
        <v>2</v>
      </c>
    </row>
    <row r="137" spans="2:13">
      <c r="E137" s="22">
        <f t="shared" si="29"/>
        <v>137</v>
      </c>
      <c r="F137" s="9" t="s">
        <v>163</v>
      </c>
      <c r="K137" s="9" t="s">
        <v>153</v>
      </c>
    </row>
    <row r="138" spans="2:13">
      <c r="E138" s="22">
        <f t="shared" si="29"/>
        <v>138</v>
      </c>
      <c r="F138" s="9" t="s">
        <v>134</v>
      </c>
      <c r="G138" s="22">
        <v>-7</v>
      </c>
      <c r="H138" s="22">
        <v>1</v>
      </c>
      <c r="K138" s="9" t="s">
        <v>154</v>
      </c>
      <c r="M138" s="22">
        <f t="shared" ref="M138" si="42">G138+H138*C130</f>
        <v>0</v>
      </c>
    </row>
    <row r="139" spans="2:13">
      <c r="E139" s="22">
        <f t="shared" si="29"/>
        <v>139</v>
      </c>
      <c r="F139" s="9" t="s">
        <v>134</v>
      </c>
      <c r="K139" s="9" t="s">
        <v>155</v>
      </c>
    </row>
    <row r="140" spans="2:13">
      <c r="E140" s="22">
        <f t="shared" si="29"/>
        <v>140</v>
      </c>
      <c r="F140" s="9" t="s">
        <v>133</v>
      </c>
      <c r="L140" s="9" t="s">
        <v>157</v>
      </c>
      <c r="M140" s="22">
        <v>2</v>
      </c>
    </row>
    <row r="141" spans="2:13">
      <c r="B141" s="22"/>
      <c r="E141" s="22">
        <f t="shared" si="29"/>
        <v>141</v>
      </c>
      <c r="F141" s="9" t="s">
        <v>30</v>
      </c>
      <c r="M141" s="22">
        <v>4.2</v>
      </c>
    </row>
    <row r="142" spans="2:13">
      <c r="E142" s="22">
        <f t="shared" si="29"/>
        <v>142</v>
      </c>
      <c r="F142" s="9" t="s">
        <v>116</v>
      </c>
      <c r="M142" s="22">
        <v>-2.1</v>
      </c>
    </row>
    <row r="143" spans="2:13">
      <c r="E143" s="22">
        <f t="shared" si="29"/>
        <v>143</v>
      </c>
      <c r="F143" s="9" t="s">
        <v>31</v>
      </c>
      <c r="G143" s="22">
        <v>90</v>
      </c>
      <c r="H143" s="22">
        <v>-90</v>
      </c>
      <c r="L143" s="9" t="s">
        <v>135</v>
      </c>
      <c r="M143" s="22">
        <f t="shared" ref="M143" si="43">IF(MOD(B130,2)=0,90,-90)</f>
        <v>-90</v>
      </c>
    </row>
    <row r="144" spans="2:13">
      <c r="E144" s="22">
        <f t="shared" si="29"/>
        <v>144</v>
      </c>
      <c r="F144" s="9" t="s">
        <v>164</v>
      </c>
      <c r="L144" s="9" t="s">
        <v>157</v>
      </c>
      <c r="M144" s="22">
        <v>2</v>
      </c>
    </row>
    <row r="145" spans="2:13">
      <c r="E145" s="22">
        <f t="shared" si="29"/>
        <v>145</v>
      </c>
      <c r="F145" s="9" t="s">
        <v>167</v>
      </c>
      <c r="M145" s="22" t="b">
        <v>1</v>
      </c>
    </row>
    <row r="146" spans="2:13">
      <c r="E146" s="22">
        <f t="shared" si="29"/>
        <v>146</v>
      </c>
      <c r="F146" s="9" t="s">
        <v>108</v>
      </c>
      <c r="M146" s="22">
        <v>150</v>
      </c>
    </row>
    <row r="147" spans="2:13">
      <c r="B147" s="9">
        <f t="shared" ref="B147" si="44">QUOTIENT( D147-1,G148)+1</f>
        <v>1</v>
      </c>
      <c r="C147" s="22">
        <f t="shared" ref="C147" si="45">D147-(B147-1)*G148</f>
        <v>8</v>
      </c>
      <c r="D147" s="22">
        <f>COUNT($D$27:$D146)+1</f>
        <v>8</v>
      </c>
    </row>
    <row r="148" spans="2:13">
      <c r="E148" s="22">
        <f t="shared" ref="E148:E149" si="46">ROW(E148)</f>
        <v>148</v>
      </c>
      <c r="F148" s="9" t="s">
        <v>93</v>
      </c>
      <c r="G148" s="22">
        <v>20</v>
      </c>
      <c r="H148" s="22">
        <v>2</v>
      </c>
      <c r="J148" s="9">
        <v>13000</v>
      </c>
      <c r="M148" s="22">
        <f t="shared" ref="M148" si="47">$J$29+D147</f>
        <v>13008</v>
      </c>
    </row>
    <row r="149" spans="2:13">
      <c r="E149" s="22">
        <f t="shared" si="46"/>
        <v>149</v>
      </c>
      <c r="F149" s="9" t="s">
        <v>146</v>
      </c>
      <c r="M149" s="22">
        <v>12900</v>
      </c>
    </row>
    <row r="150" spans="2:13">
      <c r="E150" s="22">
        <f t="shared" si="29"/>
        <v>150</v>
      </c>
      <c r="F150" s="9" t="s">
        <v>127</v>
      </c>
      <c r="G150" s="22">
        <v>5</v>
      </c>
      <c r="M150" s="22">
        <f t="shared" ref="M150" si="48">C147*G150</f>
        <v>40</v>
      </c>
    </row>
    <row r="151" spans="2:13">
      <c r="E151" s="22">
        <f t="shared" si="29"/>
        <v>151</v>
      </c>
      <c r="F151" s="9" t="s">
        <v>29</v>
      </c>
      <c r="M151" s="22" t="s">
        <v>161</v>
      </c>
    </row>
    <row r="152" spans="2:13">
      <c r="E152" s="22">
        <f t="shared" si="29"/>
        <v>152</v>
      </c>
      <c r="F152" s="9" t="s">
        <v>119</v>
      </c>
      <c r="M152" s="22" t="s">
        <v>162</v>
      </c>
    </row>
    <row r="153" spans="2:13">
      <c r="E153" s="22">
        <f t="shared" si="29"/>
        <v>153</v>
      </c>
      <c r="F153" s="9" t="s">
        <v>99</v>
      </c>
      <c r="K153" s="9" t="s">
        <v>138</v>
      </c>
      <c r="M153" s="22">
        <v>2</v>
      </c>
    </row>
    <row r="154" spans="2:13">
      <c r="E154" s="22">
        <f t="shared" si="29"/>
        <v>154</v>
      </c>
      <c r="F154" s="9" t="s">
        <v>163</v>
      </c>
      <c r="K154" s="9" t="s">
        <v>153</v>
      </c>
    </row>
    <row r="155" spans="2:13">
      <c r="E155" s="22">
        <f t="shared" si="29"/>
        <v>155</v>
      </c>
      <c r="F155" s="9" t="s">
        <v>134</v>
      </c>
      <c r="G155" s="22">
        <v>-7</v>
      </c>
      <c r="H155" s="22">
        <v>1</v>
      </c>
      <c r="K155" s="9" t="s">
        <v>154</v>
      </c>
      <c r="M155" s="22">
        <f t="shared" ref="M155" si="49">G155+H155*C147</f>
        <v>1</v>
      </c>
    </row>
    <row r="156" spans="2:13">
      <c r="E156" s="22">
        <f t="shared" si="29"/>
        <v>156</v>
      </c>
      <c r="F156" s="9" t="s">
        <v>134</v>
      </c>
      <c r="K156" s="9" t="s">
        <v>155</v>
      </c>
    </row>
    <row r="157" spans="2:13">
      <c r="B157" s="22"/>
      <c r="E157" s="22">
        <f t="shared" si="29"/>
        <v>157</v>
      </c>
      <c r="F157" s="9" t="s">
        <v>133</v>
      </c>
      <c r="L157" s="9" t="s">
        <v>157</v>
      </c>
      <c r="M157" s="22">
        <v>2</v>
      </c>
    </row>
    <row r="158" spans="2:13">
      <c r="E158" s="22">
        <f t="shared" si="29"/>
        <v>158</v>
      </c>
      <c r="F158" s="9" t="s">
        <v>30</v>
      </c>
      <c r="M158" s="22">
        <v>4.2</v>
      </c>
    </row>
    <row r="159" spans="2:13">
      <c r="E159" s="22">
        <f t="shared" si="29"/>
        <v>159</v>
      </c>
      <c r="F159" s="9" t="s">
        <v>116</v>
      </c>
      <c r="M159" s="22">
        <v>-2.1</v>
      </c>
    </row>
    <row r="160" spans="2:13">
      <c r="E160" s="22">
        <f t="shared" si="29"/>
        <v>160</v>
      </c>
      <c r="F160" s="9" t="s">
        <v>31</v>
      </c>
      <c r="G160" s="22">
        <v>90</v>
      </c>
      <c r="H160" s="22">
        <v>-90</v>
      </c>
      <c r="L160" s="9" t="s">
        <v>135</v>
      </c>
      <c r="M160" s="22">
        <f t="shared" ref="M160" si="50">IF(MOD(B147,2)=0,90,-90)</f>
        <v>-90</v>
      </c>
    </row>
    <row r="161" spans="2:13">
      <c r="E161" s="22">
        <f t="shared" si="29"/>
        <v>161</v>
      </c>
      <c r="F161" s="9" t="s">
        <v>164</v>
      </c>
      <c r="L161" s="9" t="s">
        <v>157</v>
      </c>
      <c r="M161" s="22">
        <v>2</v>
      </c>
    </row>
    <row r="162" spans="2:13">
      <c r="E162" s="22">
        <f t="shared" si="29"/>
        <v>162</v>
      </c>
      <c r="F162" s="9" t="s">
        <v>167</v>
      </c>
      <c r="M162" s="22" t="b">
        <v>1</v>
      </c>
    </row>
    <row r="163" spans="2:13">
      <c r="E163" s="22">
        <f t="shared" si="29"/>
        <v>163</v>
      </c>
      <c r="F163" s="9" t="s">
        <v>108</v>
      </c>
      <c r="M163" s="22">
        <v>150</v>
      </c>
    </row>
    <row r="164" spans="2:13">
      <c r="B164" s="9">
        <f t="shared" ref="B164" si="51">QUOTIENT( D164-1,G165)+1</f>
        <v>1</v>
      </c>
      <c r="C164" s="22">
        <f t="shared" ref="C164" si="52">D164-(B164-1)*G165</f>
        <v>9</v>
      </c>
      <c r="D164" s="22">
        <f>COUNT($D$27:$D163)+1</f>
        <v>9</v>
      </c>
    </row>
    <row r="165" spans="2:13">
      <c r="E165" s="22">
        <f t="shared" ref="E165:E166" si="53">ROW(E165)</f>
        <v>165</v>
      </c>
      <c r="F165" s="9" t="s">
        <v>93</v>
      </c>
      <c r="G165" s="22">
        <v>20</v>
      </c>
      <c r="H165" s="22">
        <v>2</v>
      </c>
      <c r="J165" s="9">
        <v>13000</v>
      </c>
      <c r="M165" s="22">
        <f t="shared" ref="M165" si="54">$J$29+D164</f>
        <v>13009</v>
      </c>
    </row>
    <row r="166" spans="2:13">
      <c r="E166" s="22">
        <f t="shared" si="53"/>
        <v>166</v>
      </c>
      <c r="F166" s="9" t="s">
        <v>146</v>
      </c>
      <c r="M166" s="22">
        <v>12900</v>
      </c>
    </row>
    <row r="167" spans="2:13">
      <c r="E167" s="22">
        <f t="shared" si="29"/>
        <v>167</v>
      </c>
      <c r="F167" s="9" t="s">
        <v>127</v>
      </c>
      <c r="G167" s="22">
        <v>5</v>
      </c>
      <c r="M167" s="22">
        <f t="shared" ref="M167" si="55">C164*G167</f>
        <v>45</v>
      </c>
    </row>
    <row r="168" spans="2:13">
      <c r="E168" s="22">
        <f t="shared" si="29"/>
        <v>168</v>
      </c>
      <c r="F168" s="9" t="s">
        <v>29</v>
      </c>
      <c r="M168" s="22" t="s">
        <v>161</v>
      </c>
    </row>
    <row r="169" spans="2:13">
      <c r="E169" s="22">
        <f t="shared" si="29"/>
        <v>169</v>
      </c>
      <c r="F169" s="9" t="s">
        <v>119</v>
      </c>
      <c r="M169" s="22" t="s">
        <v>162</v>
      </c>
    </row>
    <row r="170" spans="2:13">
      <c r="E170" s="22">
        <f t="shared" si="29"/>
        <v>170</v>
      </c>
      <c r="F170" s="9" t="s">
        <v>99</v>
      </c>
      <c r="K170" s="9" t="s">
        <v>138</v>
      </c>
      <c r="M170" s="22">
        <v>2</v>
      </c>
    </row>
    <row r="171" spans="2:13">
      <c r="E171" s="22">
        <f t="shared" si="29"/>
        <v>171</v>
      </c>
      <c r="F171" s="9" t="s">
        <v>163</v>
      </c>
      <c r="K171" s="9" t="s">
        <v>153</v>
      </c>
    </row>
    <row r="172" spans="2:13">
      <c r="E172" s="22">
        <f t="shared" si="29"/>
        <v>172</v>
      </c>
      <c r="F172" s="9" t="s">
        <v>134</v>
      </c>
      <c r="G172" s="22">
        <v>-7</v>
      </c>
      <c r="H172" s="22">
        <v>1</v>
      </c>
      <c r="K172" s="9" t="s">
        <v>154</v>
      </c>
      <c r="M172" s="22">
        <f t="shared" ref="M172" si="56">G172+H172*C164</f>
        <v>2</v>
      </c>
    </row>
    <row r="173" spans="2:13">
      <c r="B173" s="22"/>
      <c r="E173" s="22">
        <f t="shared" si="29"/>
        <v>173</v>
      </c>
      <c r="F173" s="9" t="s">
        <v>134</v>
      </c>
      <c r="K173" s="9" t="s">
        <v>155</v>
      </c>
    </row>
    <row r="174" spans="2:13">
      <c r="E174" s="22">
        <f t="shared" ref="E174:E237" si="57">ROW(E174)</f>
        <v>174</v>
      </c>
      <c r="F174" s="9" t="s">
        <v>133</v>
      </c>
      <c r="L174" s="9" t="s">
        <v>157</v>
      </c>
      <c r="M174" s="22">
        <v>2</v>
      </c>
    </row>
    <row r="175" spans="2:13">
      <c r="E175" s="22">
        <f t="shared" si="57"/>
        <v>175</v>
      </c>
      <c r="F175" s="9" t="s">
        <v>30</v>
      </c>
      <c r="M175" s="22">
        <v>4.2</v>
      </c>
    </row>
    <row r="176" spans="2:13">
      <c r="E176" s="22">
        <f t="shared" si="57"/>
        <v>176</v>
      </c>
      <c r="F176" s="9" t="s">
        <v>116</v>
      </c>
      <c r="M176" s="22">
        <v>-2.1</v>
      </c>
    </row>
    <row r="177" spans="2:13">
      <c r="E177" s="22">
        <f t="shared" si="57"/>
        <v>177</v>
      </c>
      <c r="F177" s="9" t="s">
        <v>31</v>
      </c>
      <c r="G177" s="22">
        <v>90</v>
      </c>
      <c r="H177" s="22">
        <v>-90</v>
      </c>
      <c r="L177" s="9" t="s">
        <v>135</v>
      </c>
      <c r="M177" s="22">
        <f t="shared" ref="M177" si="58">IF(MOD(B164,2)=0,90,-90)</f>
        <v>-90</v>
      </c>
    </row>
    <row r="178" spans="2:13">
      <c r="E178" s="22">
        <f t="shared" si="57"/>
        <v>178</v>
      </c>
      <c r="F178" s="9" t="s">
        <v>164</v>
      </c>
      <c r="L178" s="9" t="s">
        <v>157</v>
      </c>
      <c r="M178" s="22">
        <v>2</v>
      </c>
    </row>
    <row r="179" spans="2:13">
      <c r="E179" s="22">
        <f t="shared" si="57"/>
        <v>179</v>
      </c>
      <c r="F179" s="9" t="s">
        <v>167</v>
      </c>
      <c r="M179" s="22" t="b">
        <v>1</v>
      </c>
    </row>
    <row r="180" spans="2:13">
      <c r="E180" s="22">
        <f t="shared" si="57"/>
        <v>180</v>
      </c>
      <c r="F180" s="9" t="s">
        <v>108</v>
      </c>
      <c r="M180" s="22">
        <v>150</v>
      </c>
    </row>
    <row r="181" spans="2:13">
      <c r="B181" s="9">
        <f t="shared" ref="B181" si="59">QUOTIENT( D181-1,G182)+1</f>
        <v>1</v>
      </c>
      <c r="C181" s="22">
        <f t="shared" ref="C181" si="60">D181-(B181-1)*G182</f>
        <v>10</v>
      </c>
      <c r="D181" s="22">
        <f>COUNT($D$27:$D180)+1</f>
        <v>10</v>
      </c>
    </row>
    <row r="182" spans="2:13">
      <c r="E182" s="22">
        <f t="shared" ref="E182:E183" si="61">ROW(E182)</f>
        <v>182</v>
      </c>
      <c r="F182" s="9" t="s">
        <v>93</v>
      </c>
      <c r="G182" s="22">
        <v>20</v>
      </c>
      <c r="H182" s="22">
        <v>2</v>
      </c>
      <c r="J182" s="9">
        <v>13000</v>
      </c>
      <c r="M182" s="22">
        <f t="shared" ref="M182" si="62">$J$29+D181</f>
        <v>13010</v>
      </c>
    </row>
    <row r="183" spans="2:13">
      <c r="E183" s="22">
        <f t="shared" si="61"/>
        <v>183</v>
      </c>
      <c r="F183" s="9" t="s">
        <v>146</v>
      </c>
      <c r="M183" s="22">
        <v>12900</v>
      </c>
    </row>
    <row r="184" spans="2:13">
      <c r="E184" s="22">
        <f t="shared" si="57"/>
        <v>184</v>
      </c>
      <c r="F184" s="9" t="s">
        <v>127</v>
      </c>
      <c r="G184" s="22">
        <v>5</v>
      </c>
      <c r="M184" s="22">
        <f t="shared" ref="M184" si="63">C181*G184</f>
        <v>50</v>
      </c>
    </row>
    <row r="185" spans="2:13">
      <c r="E185" s="22">
        <f t="shared" si="57"/>
        <v>185</v>
      </c>
      <c r="F185" s="9" t="s">
        <v>29</v>
      </c>
      <c r="M185" s="22" t="s">
        <v>161</v>
      </c>
    </row>
    <row r="186" spans="2:13">
      <c r="E186" s="22">
        <f t="shared" si="57"/>
        <v>186</v>
      </c>
      <c r="F186" s="9" t="s">
        <v>119</v>
      </c>
      <c r="M186" s="22" t="s">
        <v>162</v>
      </c>
    </row>
    <row r="187" spans="2:13">
      <c r="E187" s="22">
        <f t="shared" si="57"/>
        <v>187</v>
      </c>
      <c r="F187" s="9" t="s">
        <v>99</v>
      </c>
      <c r="K187" s="9" t="s">
        <v>138</v>
      </c>
      <c r="M187" s="22">
        <v>2</v>
      </c>
    </row>
    <row r="188" spans="2:13">
      <c r="E188" s="22">
        <f t="shared" si="57"/>
        <v>188</v>
      </c>
      <c r="F188" s="9" t="s">
        <v>163</v>
      </c>
      <c r="K188" s="9" t="s">
        <v>153</v>
      </c>
    </row>
    <row r="189" spans="2:13">
      <c r="B189" s="22"/>
      <c r="E189" s="22">
        <f t="shared" si="57"/>
        <v>189</v>
      </c>
      <c r="F189" s="9" t="s">
        <v>134</v>
      </c>
      <c r="G189" s="22">
        <v>-7</v>
      </c>
      <c r="H189" s="22">
        <v>1</v>
      </c>
      <c r="K189" s="9" t="s">
        <v>154</v>
      </c>
      <c r="M189" s="22">
        <f t="shared" ref="M189" si="64">G189+H189*C181</f>
        <v>3</v>
      </c>
    </row>
    <row r="190" spans="2:13">
      <c r="E190" s="22">
        <f t="shared" si="57"/>
        <v>190</v>
      </c>
      <c r="F190" s="9" t="s">
        <v>134</v>
      </c>
      <c r="K190" s="9" t="s">
        <v>155</v>
      </c>
    </row>
    <row r="191" spans="2:13">
      <c r="E191" s="22">
        <f t="shared" si="57"/>
        <v>191</v>
      </c>
      <c r="F191" s="9" t="s">
        <v>133</v>
      </c>
      <c r="L191" s="9" t="s">
        <v>157</v>
      </c>
      <c r="M191" s="22">
        <v>2</v>
      </c>
    </row>
    <row r="192" spans="2:13">
      <c r="E192" s="22">
        <f t="shared" si="57"/>
        <v>192</v>
      </c>
      <c r="F192" s="9" t="s">
        <v>30</v>
      </c>
      <c r="M192" s="22">
        <v>4.2</v>
      </c>
    </row>
    <row r="193" spans="2:13">
      <c r="E193" s="22">
        <f t="shared" si="57"/>
        <v>193</v>
      </c>
      <c r="F193" s="9" t="s">
        <v>116</v>
      </c>
      <c r="M193" s="22">
        <v>-2.1</v>
      </c>
    </row>
    <row r="194" spans="2:13">
      <c r="E194" s="22">
        <f t="shared" si="57"/>
        <v>194</v>
      </c>
      <c r="F194" s="9" t="s">
        <v>31</v>
      </c>
      <c r="G194" s="22">
        <v>90</v>
      </c>
      <c r="H194" s="22">
        <v>-90</v>
      </c>
      <c r="L194" s="9" t="s">
        <v>135</v>
      </c>
      <c r="M194" s="22">
        <f t="shared" ref="M194" si="65">IF(MOD(B181,2)=0,90,-90)</f>
        <v>-90</v>
      </c>
    </row>
    <row r="195" spans="2:13">
      <c r="E195" s="22">
        <f t="shared" si="57"/>
        <v>195</v>
      </c>
      <c r="F195" s="9" t="s">
        <v>164</v>
      </c>
      <c r="L195" s="9" t="s">
        <v>157</v>
      </c>
      <c r="M195" s="22">
        <v>2</v>
      </c>
    </row>
    <row r="196" spans="2:13">
      <c r="E196" s="22">
        <f t="shared" si="57"/>
        <v>196</v>
      </c>
      <c r="F196" s="9" t="s">
        <v>167</v>
      </c>
      <c r="M196" s="22" t="b">
        <v>1</v>
      </c>
    </row>
    <row r="197" spans="2:13">
      <c r="E197" s="22">
        <f t="shared" si="57"/>
        <v>197</v>
      </c>
      <c r="F197" s="9" t="s">
        <v>108</v>
      </c>
      <c r="M197" s="22">
        <v>150</v>
      </c>
    </row>
    <row r="198" spans="2:13">
      <c r="B198" s="9">
        <f t="shared" ref="B198" si="66">QUOTIENT( D198-1,G199)+1</f>
        <v>1</v>
      </c>
      <c r="C198" s="22">
        <f t="shared" ref="C198" si="67">D198-(B198-1)*G199</f>
        <v>11</v>
      </c>
      <c r="D198" s="22">
        <f>COUNT($D$27:$D197)+1</f>
        <v>11</v>
      </c>
    </row>
    <row r="199" spans="2:13">
      <c r="E199" s="22">
        <f t="shared" ref="E199:E200" si="68">ROW(E199)</f>
        <v>199</v>
      </c>
      <c r="F199" s="9" t="s">
        <v>93</v>
      </c>
      <c r="G199" s="22">
        <v>20</v>
      </c>
      <c r="H199" s="22">
        <v>2</v>
      </c>
      <c r="J199" s="9">
        <v>13000</v>
      </c>
      <c r="M199" s="22">
        <f t="shared" ref="M199" si="69">$J$29+D198</f>
        <v>13011</v>
      </c>
    </row>
    <row r="200" spans="2:13">
      <c r="E200" s="22">
        <f t="shared" si="68"/>
        <v>200</v>
      </c>
      <c r="F200" s="9" t="s">
        <v>146</v>
      </c>
      <c r="M200" s="22">
        <v>12900</v>
      </c>
    </row>
    <row r="201" spans="2:13">
      <c r="E201" s="22">
        <f t="shared" si="57"/>
        <v>201</v>
      </c>
      <c r="F201" s="9" t="s">
        <v>127</v>
      </c>
      <c r="G201" s="22">
        <v>5</v>
      </c>
      <c r="M201" s="22">
        <f t="shared" ref="M201" si="70">C198*G201</f>
        <v>55</v>
      </c>
    </row>
    <row r="202" spans="2:13">
      <c r="E202" s="22">
        <f t="shared" si="57"/>
        <v>202</v>
      </c>
      <c r="F202" s="9" t="s">
        <v>29</v>
      </c>
      <c r="M202" s="22" t="s">
        <v>161</v>
      </c>
    </row>
    <row r="203" spans="2:13">
      <c r="E203" s="22">
        <f t="shared" si="57"/>
        <v>203</v>
      </c>
      <c r="F203" s="9" t="s">
        <v>119</v>
      </c>
      <c r="M203" s="22" t="s">
        <v>162</v>
      </c>
    </row>
    <row r="204" spans="2:13">
      <c r="E204" s="22">
        <f t="shared" si="57"/>
        <v>204</v>
      </c>
      <c r="F204" s="9" t="s">
        <v>99</v>
      </c>
      <c r="K204" s="9" t="s">
        <v>138</v>
      </c>
      <c r="M204" s="22">
        <v>2</v>
      </c>
    </row>
    <row r="205" spans="2:13">
      <c r="B205" s="22"/>
      <c r="E205" s="22">
        <f t="shared" si="57"/>
        <v>205</v>
      </c>
      <c r="F205" s="9" t="s">
        <v>163</v>
      </c>
      <c r="K205" s="9" t="s">
        <v>153</v>
      </c>
    </row>
    <row r="206" spans="2:13">
      <c r="E206" s="22">
        <f t="shared" si="57"/>
        <v>206</v>
      </c>
      <c r="F206" s="9" t="s">
        <v>134</v>
      </c>
      <c r="G206" s="22">
        <v>-7</v>
      </c>
      <c r="H206" s="22">
        <v>1</v>
      </c>
      <c r="K206" s="9" t="s">
        <v>154</v>
      </c>
      <c r="M206" s="22">
        <f t="shared" ref="M206" si="71">G206+H206*C198</f>
        <v>4</v>
      </c>
    </row>
    <row r="207" spans="2:13">
      <c r="E207" s="22">
        <f t="shared" si="57"/>
        <v>207</v>
      </c>
      <c r="F207" s="9" t="s">
        <v>134</v>
      </c>
      <c r="K207" s="9" t="s">
        <v>155</v>
      </c>
    </row>
    <row r="208" spans="2:13">
      <c r="E208" s="22">
        <f t="shared" si="57"/>
        <v>208</v>
      </c>
      <c r="F208" s="9" t="s">
        <v>133</v>
      </c>
      <c r="L208" s="9" t="s">
        <v>157</v>
      </c>
      <c r="M208" s="22">
        <v>2</v>
      </c>
    </row>
    <row r="209" spans="2:13">
      <c r="E209" s="22">
        <f t="shared" si="57"/>
        <v>209</v>
      </c>
      <c r="F209" s="9" t="s">
        <v>30</v>
      </c>
      <c r="M209" s="22">
        <v>4.2</v>
      </c>
    </row>
    <row r="210" spans="2:13">
      <c r="E210" s="22">
        <f t="shared" si="57"/>
        <v>210</v>
      </c>
      <c r="F210" s="9" t="s">
        <v>116</v>
      </c>
      <c r="M210" s="22">
        <v>-2.1</v>
      </c>
    </row>
    <row r="211" spans="2:13">
      <c r="E211" s="22">
        <f t="shared" si="57"/>
        <v>211</v>
      </c>
      <c r="F211" s="9" t="s">
        <v>31</v>
      </c>
      <c r="G211" s="22">
        <v>90</v>
      </c>
      <c r="H211" s="22">
        <v>-90</v>
      </c>
      <c r="L211" s="9" t="s">
        <v>135</v>
      </c>
      <c r="M211" s="22">
        <f t="shared" ref="M211" si="72">IF(MOD(B198,2)=0,90,-90)</f>
        <v>-90</v>
      </c>
    </row>
    <row r="212" spans="2:13">
      <c r="E212" s="22">
        <f t="shared" si="57"/>
        <v>212</v>
      </c>
      <c r="F212" s="9" t="s">
        <v>164</v>
      </c>
      <c r="L212" s="9" t="s">
        <v>157</v>
      </c>
      <c r="M212" s="22">
        <v>2</v>
      </c>
    </row>
    <row r="213" spans="2:13">
      <c r="E213" s="22">
        <f t="shared" si="57"/>
        <v>213</v>
      </c>
      <c r="F213" s="9" t="s">
        <v>167</v>
      </c>
      <c r="M213" s="22" t="b">
        <v>1</v>
      </c>
    </row>
    <row r="214" spans="2:13">
      <c r="E214" s="22">
        <f t="shared" si="57"/>
        <v>214</v>
      </c>
      <c r="F214" s="9" t="s">
        <v>108</v>
      </c>
      <c r="M214" s="22">
        <v>150</v>
      </c>
    </row>
    <row r="215" spans="2:13">
      <c r="B215" s="9">
        <f t="shared" ref="B215" si="73">QUOTIENT( D215-1,G216)+1</f>
        <v>1</v>
      </c>
      <c r="C215" s="22">
        <f t="shared" ref="C215" si="74">D215-(B215-1)*G216</f>
        <v>12</v>
      </c>
      <c r="D215" s="22">
        <f>COUNT($D$27:$D214)+1</f>
        <v>12</v>
      </c>
    </row>
    <row r="216" spans="2:13">
      <c r="E216" s="22">
        <f t="shared" ref="E216:E217" si="75">ROW(E216)</f>
        <v>216</v>
      </c>
      <c r="F216" s="9" t="s">
        <v>93</v>
      </c>
      <c r="G216" s="22">
        <v>20</v>
      </c>
      <c r="H216" s="22">
        <v>2</v>
      </c>
      <c r="J216" s="9">
        <v>13000</v>
      </c>
      <c r="M216" s="22">
        <f t="shared" ref="M216" si="76">$J$29+D215</f>
        <v>13012</v>
      </c>
    </row>
    <row r="217" spans="2:13">
      <c r="E217" s="22">
        <f t="shared" si="75"/>
        <v>217</v>
      </c>
      <c r="F217" s="9" t="s">
        <v>146</v>
      </c>
      <c r="M217" s="22">
        <v>12900</v>
      </c>
    </row>
    <row r="218" spans="2:13">
      <c r="E218" s="22">
        <f t="shared" si="57"/>
        <v>218</v>
      </c>
      <c r="F218" s="9" t="s">
        <v>127</v>
      </c>
      <c r="G218" s="22">
        <v>5</v>
      </c>
      <c r="M218" s="22">
        <f t="shared" ref="M218" si="77">C215*G218</f>
        <v>60</v>
      </c>
    </row>
    <row r="219" spans="2:13">
      <c r="E219" s="22">
        <f t="shared" si="57"/>
        <v>219</v>
      </c>
      <c r="F219" s="9" t="s">
        <v>29</v>
      </c>
      <c r="M219" s="22" t="s">
        <v>161</v>
      </c>
    </row>
    <row r="220" spans="2:13">
      <c r="E220" s="22">
        <f t="shared" si="57"/>
        <v>220</v>
      </c>
      <c r="F220" s="9" t="s">
        <v>119</v>
      </c>
      <c r="M220" s="22" t="s">
        <v>162</v>
      </c>
    </row>
    <row r="221" spans="2:13">
      <c r="B221" s="22"/>
      <c r="E221" s="22">
        <f t="shared" si="57"/>
        <v>221</v>
      </c>
      <c r="F221" s="9" t="s">
        <v>99</v>
      </c>
      <c r="K221" s="9" t="s">
        <v>138</v>
      </c>
      <c r="M221" s="22">
        <v>2</v>
      </c>
    </row>
    <row r="222" spans="2:13">
      <c r="E222" s="22">
        <f t="shared" si="57"/>
        <v>222</v>
      </c>
      <c r="F222" s="9" t="s">
        <v>163</v>
      </c>
      <c r="K222" s="9" t="s">
        <v>153</v>
      </c>
    </row>
    <row r="223" spans="2:13">
      <c r="E223" s="22">
        <f t="shared" si="57"/>
        <v>223</v>
      </c>
      <c r="F223" s="9" t="s">
        <v>134</v>
      </c>
      <c r="G223" s="22">
        <v>-7</v>
      </c>
      <c r="H223" s="22">
        <v>1</v>
      </c>
      <c r="K223" s="9" t="s">
        <v>154</v>
      </c>
      <c r="M223" s="22">
        <f t="shared" ref="M223" si="78">G223+H223*C215</f>
        <v>5</v>
      </c>
    </row>
    <row r="224" spans="2:13">
      <c r="E224" s="22">
        <f t="shared" si="57"/>
        <v>224</v>
      </c>
      <c r="F224" s="9" t="s">
        <v>134</v>
      </c>
      <c r="K224" s="9" t="s">
        <v>155</v>
      </c>
    </row>
    <row r="225" spans="2:13">
      <c r="E225" s="22">
        <f t="shared" si="57"/>
        <v>225</v>
      </c>
      <c r="F225" s="9" t="s">
        <v>133</v>
      </c>
      <c r="L225" s="9" t="s">
        <v>157</v>
      </c>
      <c r="M225" s="22">
        <v>2</v>
      </c>
    </row>
    <row r="226" spans="2:13">
      <c r="E226" s="22">
        <f t="shared" si="57"/>
        <v>226</v>
      </c>
      <c r="F226" s="9" t="s">
        <v>30</v>
      </c>
      <c r="M226" s="22">
        <v>4.2</v>
      </c>
    </row>
    <row r="227" spans="2:13">
      <c r="E227" s="22">
        <f t="shared" si="57"/>
        <v>227</v>
      </c>
      <c r="F227" s="9" t="s">
        <v>116</v>
      </c>
      <c r="M227" s="22">
        <v>-2.1</v>
      </c>
    </row>
    <row r="228" spans="2:13">
      <c r="E228" s="22">
        <f t="shared" si="57"/>
        <v>228</v>
      </c>
      <c r="F228" s="9" t="s">
        <v>31</v>
      </c>
      <c r="G228" s="22">
        <v>90</v>
      </c>
      <c r="H228" s="22">
        <v>-90</v>
      </c>
      <c r="L228" s="9" t="s">
        <v>135</v>
      </c>
      <c r="M228" s="22">
        <f t="shared" ref="M228" si="79">IF(MOD(B215,2)=0,90,-90)</f>
        <v>-90</v>
      </c>
    </row>
    <row r="229" spans="2:13">
      <c r="E229" s="22">
        <f t="shared" si="57"/>
        <v>229</v>
      </c>
      <c r="F229" s="9" t="s">
        <v>164</v>
      </c>
      <c r="L229" s="9" t="s">
        <v>157</v>
      </c>
      <c r="M229" s="22">
        <v>2</v>
      </c>
    </row>
    <row r="230" spans="2:13">
      <c r="E230" s="22">
        <f t="shared" si="57"/>
        <v>230</v>
      </c>
      <c r="F230" s="9" t="s">
        <v>167</v>
      </c>
      <c r="M230" s="22" t="b">
        <v>1</v>
      </c>
    </row>
    <row r="231" spans="2:13">
      <c r="E231" s="22">
        <f t="shared" si="57"/>
        <v>231</v>
      </c>
      <c r="F231" s="9" t="s">
        <v>108</v>
      </c>
      <c r="M231" s="22">
        <v>150</v>
      </c>
    </row>
    <row r="232" spans="2:13">
      <c r="B232" s="9">
        <f t="shared" ref="B232" si="80">QUOTIENT( D232-1,G233)+1</f>
        <v>1</v>
      </c>
      <c r="C232" s="22">
        <f t="shared" ref="C232" si="81">D232-(B232-1)*G233</f>
        <v>13</v>
      </c>
      <c r="D232" s="22">
        <f>COUNT($D$27:$D231)+1</f>
        <v>13</v>
      </c>
    </row>
    <row r="233" spans="2:13">
      <c r="E233" s="22">
        <f t="shared" ref="E233:E234" si="82">ROW(E233)</f>
        <v>233</v>
      </c>
      <c r="F233" s="9" t="s">
        <v>93</v>
      </c>
      <c r="G233" s="22">
        <v>20</v>
      </c>
      <c r="H233" s="22">
        <v>2</v>
      </c>
      <c r="J233" s="9">
        <v>13000</v>
      </c>
      <c r="M233" s="22">
        <f t="shared" ref="M233" si="83">$J$29+D232</f>
        <v>13013</v>
      </c>
    </row>
    <row r="234" spans="2:13">
      <c r="E234" s="22">
        <f t="shared" si="82"/>
        <v>234</v>
      </c>
      <c r="F234" s="9" t="s">
        <v>146</v>
      </c>
      <c r="M234" s="22">
        <v>12900</v>
      </c>
    </row>
    <row r="235" spans="2:13">
      <c r="E235" s="22">
        <f t="shared" si="57"/>
        <v>235</v>
      </c>
      <c r="F235" s="9" t="s">
        <v>127</v>
      </c>
      <c r="G235" s="22">
        <v>5</v>
      </c>
      <c r="M235" s="22">
        <f t="shared" ref="M235" si="84">C232*G235</f>
        <v>65</v>
      </c>
    </row>
    <row r="236" spans="2:13">
      <c r="E236" s="22">
        <f t="shared" si="57"/>
        <v>236</v>
      </c>
      <c r="F236" s="9" t="s">
        <v>29</v>
      </c>
      <c r="M236" s="22" t="s">
        <v>161</v>
      </c>
    </row>
    <row r="237" spans="2:13">
      <c r="B237" s="22"/>
      <c r="E237" s="22">
        <f t="shared" si="57"/>
        <v>237</v>
      </c>
      <c r="F237" s="9" t="s">
        <v>119</v>
      </c>
      <c r="M237" s="22" t="s">
        <v>162</v>
      </c>
    </row>
    <row r="238" spans="2:13">
      <c r="E238" s="22">
        <f t="shared" ref="E238:E299" si="85">ROW(E238)</f>
        <v>238</v>
      </c>
      <c r="F238" s="9" t="s">
        <v>99</v>
      </c>
      <c r="K238" s="9" t="s">
        <v>138</v>
      </c>
      <c r="M238" s="22">
        <v>2</v>
      </c>
    </row>
    <row r="239" spans="2:13">
      <c r="E239" s="22">
        <f t="shared" si="85"/>
        <v>239</v>
      </c>
      <c r="F239" s="9" t="s">
        <v>163</v>
      </c>
      <c r="K239" s="9" t="s">
        <v>153</v>
      </c>
    </row>
    <row r="240" spans="2:13">
      <c r="E240" s="22">
        <f t="shared" si="85"/>
        <v>240</v>
      </c>
      <c r="F240" s="9" t="s">
        <v>134</v>
      </c>
      <c r="G240" s="22">
        <v>-7</v>
      </c>
      <c r="H240" s="22">
        <v>1</v>
      </c>
      <c r="K240" s="9" t="s">
        <v>154</v>
      </c>
      <c r="M240" s="22">
        <f t="shared" ref="M240" si="86">G240+H240*C232</f>
        <v>6</v>
      </c>
    </row>
    <row r="241" spans="2:13">
      <c r="E241" s="22">
        <f t="shared" si="85"/>
        <v>241</v>
      </c>
      <c r="F241" s="9" t="s">
        <v>134</v>
      </c>
      <c r="K241" s="9" t="s">
        <v>155</v>
      </c>
    </row>
    <row r="242" spans="2:13">
      <c r="E242" s="22">
        <f t="shared" si="85"/>
        <v>242</v>
      </c>
      <c r="F242" s="9" t="s">
        <v>133</v>
      </c>
      <c r="L242" s="9" t="s">
        <v>157</v>
      </c>
      <c r="M242" s="22">
        <v>2</v>
      </c>
    </row>
    <row r="243" spans="2:13">
      <c r="E243" s="22">
        <f t="shared" si="85"/>
        <v>243</v>
      </c>
      <c r="F243" s="9" t="s">
        <v>30</v>
      </c>
      <c r="M243" s="22">
        <v>4.2</v>
      </c>
    </row>
    <row r="244" spans="2:13">
      <c r="E244" s="22">
        <f t="shared" si="85"/>
        <v>244</v>
      </c>
      <c r="F244" s="9" t="s">
        <v>116</v>
      </c>
      <c r="M244" s="22">
        <v>-2.1</v>
      </c>
    </row>
    <row r="245" spans="2:13">
      <c r="E245" s="22">
        <f t="shared" si="85"/>
        <v>245</v>
      </c>
      <c r="F245" s="9" t="s">
        <v>31</v>
      </c>
      <c r="G245" s="22">
        <v>90</v>
      </c>
      <c r="H245" s="22">
        <v>-90</v>
      </c>
      <c r="L245" s="9" t="s">
        <v>135</v>
      </c>
      <c r="M245" s="22">
        <f t="shared" ref="M245" si="87">IF(MOD(B232,2)=0,90,-90)</f>
        <v>-90</v>
      </c>
    </row>
    <row r="246" spans="2:13">
      <c r="E246" s="22">
        <f t="shared" si="85"/>
        <v>246</v>
      </c>
      <c r="F246" s="9" t="s">
        <v>164</v>
      </c>
      <c r="L246" s="9" t="s">
        <v>157</v>
      </c>
      <c r="M246" s="22">
        <v>2</v>
      </c>
    </row>
    <row r="247" spans="2:13">
      <c r="E247" s="22">
        <f t="shared" si="85"/>
        <v>247</v>
      </c>
      <c r="F247" s="9" t="s">
        <v>167</v>
      </c>
      <c r="M247" s="22" t="b">
        <v>1</v>
      </c>
    </row>
    <row r="248" spans="2:13">
      <c r="E248" s="22">
        <f t="shared" si="85"/>
        <v>248</v>
      </c>
      <c r="F248" s="9" t="s">
        <v>108</v>
      </c>
      <c r="M248" s="22">
        <v>150</v>
      </c>
    </row>
    <row r="249" spans="2:13">
      <c r="B249" s="9">
        <f t="shared" ref="B249" si="88">QUOTIENT( D249-1,G250)+1</f>
        <v>1</v>
      </c>
      <c r="C249" s="22">
        <f t="shared" ref="C249" si="89">D249-(B249-1)*G250</f>
        <v>14</v>
      </c>
      <c r="D249" s="22">
        <f>COUNT($D$27:$D248)+1</f>
        <v>14</v>
      </c>
    </row>
    <row r="250" spans="2:13">
      <c r="E250" s="22">
        <f t="shared" ref="E250:E251" si="90">ROW(E250)</f>
        <v>250</v>
      </c>
      <c r="F250" s="9" t="s">
        <v>93</v>
      </c>
      <c r="G250" s="22">
        <v>20</v>
      </c>
      <c r="H250" s="22">
        <v>2</v>
      </c>
      <c r="J250" s="9">
        <v>13000</v>
      </c>
      <c r="M250" s="22">
        <f t="shared" ref="M250" si="91">$J$29+D249</f>
        <v>13014</v>
      </c>
    </row>
    <row r="251" spans="2:13">
      <c r="E251" s="22">
        <f t="shared" si="90"/>
        <v>251</v>
      </c>
      <c r="F251" s="9" t="s">
        <v>146</v>
      </c>
      <c r="M251" s="22">
        <v>12900</v>
      </c>
    </row>
    <row r="252" spans="2:13">
      <c r="E252" s="22">
        <f t="shared" si="85"/>
        <v>252</v>
      </c>
      <c r="F252" s="9" t="s">
        <v>127</v>
      </c>
      <c r="G252" s="22">
        <v>5</v>
      </c>
      <c r="M252" s="22">
        <f t="shared" ref="M252" si="92">C249*G252</f>
        <v>70</v>
      </c>
    </row>
    <row r="253" spans="2:13">
      <c r="B253" s="22"/>
      <c r="E253" s="22">
        <f t="shared" si="85"/>
        <v>253</v>
      </c>
      <c r="F253" s="9" t="s">
        <v>29</v>
      </c>
      <c r="M253" s="22" t="s">
        <v>161</v>
      </c>
    </row>
    <row r="254" spans="2:13">
      <c r="E254" s="22">
        <f t="shared" si="85"/>
        <v>254</v>
      </c>
      <c r="F254" s="9" t="s">
        <v>119</v>
      </c>
      <c r="M254" s="22" t="s">
        <v>162</v>
      </c>
    </row>
    <row r="255" spans="2:13">
      <c r="E255" s="22">
        <f t="shared" si="85"/>
        <v>255</v>
      </c>
      <c r="F255" s="9" t="s">
        <v>99</v>
      </c>
      <c r="K255" s="9" t="s">
        <v>138</v>
      </c>
      <c r="M255" s="22">
        <v>2</v>
      </c>
    </row>
    <row r="256" spans="2:13">
      <c r="E256" s="22">
        <f t="shared" si="85"/>
        <v>256</v>
      </c>
      <c r="F256" s="9" t="s">
        <v>163</v>
      </c>
      <c r="K256" s="9" t="s">
        <v>153</v>
      </c>
    </row>
    <row r="257" spans="2:13">
      <c r="E257" s="22">
        <f t="shared" si="85"/>
        <v>257</v>
      </c>
      <c r="F257" s="9" t="s">
        <v>134</v>
      </c>
      <c r="G257" s="22">
        <v>-7</v>
      </c>
      <c r="H257" s="22">
        <v>1</v>
      </c>
      <c r="K257" s="9" t="s">
        <v>154</v>
      </c>
      <c r="M257" s="22">
        <f t="shared" ref="M257" si="93">G257+H257*C249</f>
        <v>7</v>
      </c>
    </row>
    <row r="258" spans="2:13">
      <c r="E258" s="22">
        <f t="shared" si="85"/>
        <v>258</v>
      </c>
      <c r="F258" s="9" t="s">
        <v>134</v>
      </c>
      <c r="K258" s="9" t="s">
        <v>155</v>
      </c>
    </row>
    <row r="259" spans="2:13">
      <c r="E259" s="22">
        <f t="shared" si="85"/>
        <v>259</v>
      </c>
      <c r="F259" s="9" t="s">
        <v>133</v>
      </c>
      <c r="L259" s="9" t="s">
        <v>157</v>
      </c>
      <c r="M259" s="22">
        <v>2</v>
      </c>
    </row>
    <row r="260" spans="2:13">
      <c r="E260" s="22">
        <f t="shared" si="85"/>
        <v>260</v>
      </c>
      <c r="F260" s="9" t="s">
        <v>30</v>
      </c>
      <c r="M260" s="22">
        <v>4.2</v>
      </c>
    </row>
    <row r="261" spans="2:13">
      <c r="E261" s="22">
        <f t="shared" si="85"/>
        <v>261</v>
      </c>
      <c r="F261" s="9" t="s">
        <v>116</v>
      </c>
      <c r="M261" s="22">
        <v>-2.1</v>
      </c>
    </row>
    <row r="262" spans="2:13">
      <c r="E262" s="22">
        <f t="shared" si="85"/>
        <v>262</v>
      </c>
      <c r="F262" s="9" t="s">
        <v>31</v>
      </c>
      <c r="G262" s="22">
        <v>90</v>
      </c>
      <c r="H262" s="22">
        <v>-90</v>
      </c>
      <c r="L262" s="9" t="s">
        <v>135</v>
      </c>
      <c r="M262" s="22">
        <f t="shared" ref="M262" si="94">IF(MOD(B249,2)=0,90,-90)</f>
        <v>-90</v>
      </c>
    </row>
    <row r="263" spans="2:13">
      <c r="E263" s="22">
        <f t="shared" si="85"/>
        <v>263</v>
      </c>
      <c r="F263" s="9" t="s">
        <v>164</v>
      </c>
      <c r="L263" s="9" t="s">
        <v>157</v>
      </c>
      <c r="M263" s="22">
        <v>2</v>
      </c>
    </row>
    <row r="264" spans="2:13">
      <c r="E264" s="22">
        <f t="shared" si="85"/>
        <v>264</v>
      </c>
      <c r="F264" s="9" t="s">
        <v>167</v>
      </c>
      <c r="M264" s="22" t="b">
        <v>1</v>
      </c>
    </row>
    <row r="265" spans="2:13">
      <c r="E265" s="22">
        <f t="shared" si="85"/>
        <v>265</v>
      </c>
      <c r="F265" s="9" t="s">
        <v>108</v>
      </c>
      <c r="M265" s="22">
        <v>150</v>
      </c>
    </row>
    <row r="266" spans="2:13">
      <c r="B266" s="9">
        <f t="shared" ref="B266" si="95">QUOTIENT( D266-1,G267)+1</f>
        <v>1</v>
      </c>
      <c r="C266" s="22">
        <f t="shared" ref="C266" si="96">D266-(B266-1)*G267</f>
        <v>15</v>
      </c>
      <c r="D266" s="22">
        <f>COUNT($D$27:$D265)+1</f>
        <v>15</v>
      </c>
    </row>
    <row r="267" spans="2:13">
      <c r="E267" s="22">
        <f t="shared" ref="E267:E268" si="97">ROW(E267)</f>
        <v>267</v>
      </c>
      <c r="F267" s="9" t="s">
        <v>93</v>
      </c>
      <c r="G267" s="22">
        <v>20</v>
      </c>
      <c r="H267" s="22">
        <v>2</v>
      </c>
      <c r="J267" s="9">
        <v>13000</v>
      </c>
      <c r="M267" s="22">
        <f t="shared" ref="M267" si="98">$J$29+D266</f>
        <v>13015</v>
      </c>
    </row>
    <row r="268" spans="2:13">
      <c r="E268" s="22">
        <f t="shared" si="97"/>
        <v>268</v>
      </c>
      <c r="F268" s="9" t="s">
        <v>146</v>
      </c>
      <c r="M268" s="22">
        <v>12900</v>
      </c>
    </row>
    <row r="269" spans="2:13">
      <c r="B269" s="22"/>
      <c r="E269" s="22">
        <f t="shared" si="85"/>
        <v>269</v>
      </c>
      <c r="F269" s="9" t="s">
        <v>127</v>
      </c>
      <c r="G269" s="22">
        <v>5</v>
      </c>
      <c r="M269" s="22">
        <f t="shared" ref="M269" si="99">C266*G269</f>
        <v>75</v>
      </c>
    </row>
    <row r="270" spans="2:13">
      <c r="E270" s="22">
        <f t="shared" si="85"/>
        <v>270</v>
      </c>
      <c r="F270" s="9" t="s">
        <v>29</v>
      </c>
      <c r="M270" s="22" t="s">
        <v>161</v>
      </c>
    </row>
    <row r="271" spans="2:13">
      <c r="E271" s="22">
        <f t="shared" si="85"/>
        <v>271</v>
      </c>
      <c r="F271" s="9" t="s">
        <v>119</v>
      </c>
      <c r="M271" s="22" t="s">
        <v>162</v>
      </c>
    </row>
    <row r="272" spans="2:13">
      <c r="E272" s="22">
        <f t="shared" si="85"/>
        <v>272</v>
      </c>
      <c r="F272" s="9" t="s">
        <v>99</v>
      </c>
      <c r="K272" s="9" t="s">
        <v>138</v>
      </c>
      <c r="M272" s="22">
        <v>2</v>
      </c>
    </row>
    <row r="273" spans="2:13">
      <c r="E273" s="22">
        <f t="shared" si="85"/>
        <v>273</v>
      </c>
      <c r="F273" s="9" t="s">
        <v>163</v>
      </c>
      <c r="K273" s="9" t="s">
        <v>153</v>
      </c>
    </row>
    <row r="274" spans="2:13">
      <c r="E274" s="22">
        <f t="shared" si="85"/>
        <v>274</v>
      </c>
      <c r="F274" s="9" t="s">
        <v>134</v>
      </c>
      <c r="G274" s="22">
        <v>-7</v>
      </c>
      <c r="H274" s="22">
        <v>1</v>
      </c>
      <c r="K274" s="9" t="s">
        <v>154</v>
      </c>
      <c r="M274" s="22">
        <f t="shared" ref="M274" si="100">G274+H274*C266</f>
        <v>8</v>
      </c>
    </row>
    <row r="275" spans="2:13">
      <c r="E275" s="22">
        <f t="shared" si="85"/>
        <v>275</v>
      </c>
      <c r="F275" s="9" t="s">
        <v>134</v>
      </c>
      <c r="K275" s="9" t="s">
        <v>155</v>
      </c>
    </row>
    <row r="276" spans="2:13">
      <c r="E276" s="22">
        <f t="shared" si="85"/>
        <v>276</v>
      </c>
      <c r="F276" s="9" t="s">
        <v>133</v>
      </c>
      <c r="L276" s="9" t="s">
        <v>157</v>
      </c>
      <c r="M276" s="22">
        <v>2</v>
      </c>
    </row>
    <row r="277" spans="2:13">
      <c r="E277" s="22">
        <f t="shared" si="85"/>
        <v>277</v>
      </c>
      <c r="F277" s="9" t="s">
        <v>30</v>
      </c>
      <c r="M277" s="22">
        <v>4.2</v>
      </c>
    </row>
    <row r="278" spans="2:13">
      <c r="E278" s="22">
        <f t="shared" si="85"/>
        <v>278</v>
      </c>
      <c r="F278" s="9" t="s">
        <v>116</v>
      </c>
      <c r="M278" s="22">
        <v>-2.1</v>
      </c>
    </row>
    <row r="279" spans="2:13">
      <c r="E279" s="22">
        <f t="shared" si="85"/>
        <v>279</v>
      </c>
      <c r="F279" s="9" t="s">
        <v>31</v>
      </c>
      <c r="G279" s="22">
        <v>90</v>
      </c>
      <c r="H279" s="22">
        <v>-90</v>
      </c>
      <c r="L279" s="9" t="s">
        <v>135</v>
      </c>
      <c r="M279" s="22">
        <f t="shared" ref="M279" si="101">IF(MOD(B266,2)=0,90,-90)</f>
        <v>-90</v>
      </c>
    </row>
    <row r="280" spans="2:13">
      <c r="E280" s="22">
        <f t="shared" si="85"/>
        <v>280</v>
      </c>
      <c r="F280" s="9" t="s">
        <v>164</v>
      </c>
      <c r="L280" s="9" t="s">
        <v>157</v>
      </c>
      <c r="M280" s="22">
        <v>2</v>
      </c>
    </row>
    <row r="281" spans="2:13">
      <c r="E281" s="22">
        <f t="shared" si="85"/>
        <v>281</v>
      </c>
      <c r="F281" s="9" t="s">
        <v>167</v>
      </c>
      <c r="M281" s="22" t="b">
        <v>1</v>
      </c>
    </row>
    <row r="282" spans="2:13">
      <c r="E282" s="22">
        <f t="shared" si="85"/>
        <v>282</v>
      </c>
      <c r="F282" s="9" t="s">
        <v>108</v>
      </c>
      <c r="M282" s="22">
        <v>150</v>
      </c>
    </row>
    <row r="283" spans="2:13">
      <c r="B283" s="9">
        <f t="shared" ref="B283" si="102">QUOTIENT( D283-1,G284)+1</f>
        <v>1</v>
      </c>
      <c r="C283" s="22">
        <f t="shared" ref="C283" si="103">D283-(B283-1)*G284</f>
        <v>16</v>
      </c>
      <c r="D283" s="22">
        <f>COUNT($D$27:$D282)+1</f>
        <v>16</v>
      </c>
    </row>
    <row r="284" spans="2:13">
      <c r="E284" s="22">
        <f t="shared" ref="E284:E285" si="104">ROW(E284)</f>
        <v>284</v>
      </c>
      <c r="F284" s="9" t="s">
        <v>93</v>
      </c>
      <c r="G284" s="22">
        <v>20</v>
      </c>
      <c r="H284" s="22">
        <v>2</v>
      </c>
      <c r="J284" s="9">
        <v>13000</v>
      </c>
      <c r="M284" s="22">
        <f t="shared" ref="M284" si="105">$J$29+D283</f>
        <v>13016</v>
      </c>
    </row>
    <row r="285" spans="2:13">
      <c r="B285" s="22"/>
      <c r="E285" s="22">
        <f t="shared" si="104"/>
        <v>285</v>
      </c>
      <c r="F285" s="9" t="s">
        <v>146</v>
      </c>
      <c r="M285" s="22">
        <v>12900</v>
      </c>
    </row>
    <row r="286" spans="2:13">
      <c r="E286" s="22">
        <f t="shared" si="85"/>
        <v>286</v>
      </c>
      <c r="F286" s="9" t="s">
        <v>127</v>
      </c>
      <c r="G286" s="22">
        <v>5</v>
      </c>
      <c r="M286" s="22">
        <f t="shared" ref="M286" si="106">C283*G286</f>
        <v>80</v>
      </c>
    </row>
    <row r="287" spans="2:13">
      <c r="E287" s="22">
        <f t="shared" si="85"/>
        <v>287</v>
      </c>
      <c r="F287" s="9" t="s">
        <v>29</v>
      </c>
      <c r="M287" s="22" t="s">
        <v>161</v>
      </c>
    </row>
    <row r="288" spans="2:13">
      <c r="E288" s="22">
        <f t="shared" si="85"/>
        <v>288</v>
      </c>
      <c r="F288" s="9" t="s">
        <v>119</v>
      </c>
      <c r="M288" s="22" t="s">
        <v>162</v>
      </c>
    </row>
    <row r="289" spans="2:13">
      <c r="E289" s="22">
        <f t="shared" si="85"/>
        <v>289</v>
      </c>
      <c r="F289" s="9" t="s">
        <v>99</v>
      </c>
      <c r="K289" s="9" t="s">
        <v>138</v>
      </c>
      <c r="M289" s="22">
        <v>2</v>
      </c>
    </row>
    <row r="290" spans="2:13">
      <c r="E290" s="22">
        <f t="shared" si="85"/>
        <v>290</v>
      </c>
      <c r="F290" s="9" t="s">
        <v>163</v>
      </c>
      <c r="K290" s="9" t="s">
        <v>153</v>
      </c>
    </row>
    <row r="291" spans="2:13">
      <c r="E291" s="22">
        <f t="shared" si="85"/>
        <v>291</v>
      </c>
      <c r="F291" s="9" t="s">
        <v>134</v>
      </c>
      <c r="G291" s="22">
        <v>-7</v>
      </c>
      <c r="H291" s="22">
        <v>1</v>
      </c>
      <c r="K291" s="9" t="s">
        <v>154</v>
      </c>
      <c r="M291" s="22">
        <f t="shared" ref="M291" si="107">G291+H291*C283</f>
        <v>9</v>
      </c>
    </row>
    <row r="292" spans="2:13">
      <c r="E292" s="22">
        <f t="shared" si="85"/>
        <v>292</v>
      </c>
      <c r="F292" s="9" t="s">
        <v>134</v>
      </c>
      <c r="K292" s="9" t="s">
        <v>155</v>
      </c>
    </row>
    <row r="293" spans="2:13">
      <c r="E293" s="22">
        <f t="shared" si="85"/>
        <v>293</v>
      </c>
      <c r="F293" s="9" t="s">
        <v>133</v>
      </c>
      <c r="L293" s="9" t="s">
        <v>157</v>
      </c>
      <c r="M293" s="22">
        <v>2</v>
      </c>
    </row>
    <row r="294" spans="2:13">
      <c r="E294" s="22">
        <f t="shared" si="85"/>
        <v>294</v>
      </c>
      <c r="F294" s="9" t="s">
        <v>30</v>
      </c>
      <c r="M294" s="22">
        <v>4.2</v>
      </c>
    </row>
    <row r="295" spans="2:13">
      <c r="E295" s="22">
        <f t="shared" si="85"/>
        <v>295</v>
      </c>
      <c r="F295" s="9" t="s">
        <v>116</v>
      </c>
      <c r="M295" s="22">
        <v>-2.1</v>
      </c>
    </row>
    <row r="296" spans="2:13">
      <c r="E296" s="22">
        <f t="shared" si="85"/>
        <v>296</v>
      </c>
      <c r="F296" s="9" t="s">
        <v>31</v>
      </c>
      <c r="G296" s="22">
        <v>90</v>
      </c>
      <c r="H296" s="22">
        <v>-90</v>
      </c>
      <c r="L296" s="9" t="s">
        <v>135</v>
      </c>
      <c r="M296" s="22">
        <f t="shared" ref="M296" si="108">IF(MOD(B283,2)=0,90,-90)</f>
        <v>-90</v>
      </c>
    </row>
    <row r="297" spans="2:13">
      <c r="E297" s="22">
        <f t="shared" si="85"/>
        <v>297</v>
      </c>
      <c r="F297" s="9" t="s">
        <v>164</v>
      </c>
      <c r="L297" s="9" t="s">
        <v>157</v>
      </c>
      <c r="M297" s="22">
        <v>2</v>
      </c>
    </row>
    <row r="298" spans="2:13">
      <c r="E298" s="22">
        <f t="shared" si="85"/>
        <v>298</v>
      </c>
      <c r="F298" s="9" t="s">
        <v>167</v>
      </c>
      <c r="M298" s="22" t="b">
        <v>1</v>
      </c>
    </row>
    <row r="299" spans="2:13">
      <c r="E299" s="22">
        <f t="shared" si="85"/>
        <v>299</v>
      </c>
      <c r="F299" s="9" t="s">
        <v>108</v>
      </c>
      <c r="M299" s="22">
        <v>150</v>
      </c>
    </row>
    <row r="300" spans="2:13">
      <c r="B300" s="9">
        <f t="shared" ref="B300" si="109">QUOTIENT( D300-1,G301)+1</f>
        <v>1</v>
      </c>
      <c r="C300" s="22">
        <f t="shared" ref="C300" si="110">D300-(B300-1)*G301</f>
        <v>17</v>
      </c>
      <c r="D300" s="22">
        <f>COUNT($D$27:$D299)+1</f>
        <v>17</v>
      </c>
    </row>
    <row r="301" spans="2:13">
      <c r="B301" s="22"/>
      <c r="E301" s="22">
        <f t="shared" ref="E301:E364" si="111">ROW(E301)</f>
        <v>301</v>
      </c>
      <c r="F301" s="9" t="s">
        <v>93</v>
      </c>
      <c r="G301" s="22">
        <v>20</v>
      </c>
      <c r="H301" s="22">
        <v>2</v>
      </c>
      <c r="J301" s="9">
        <v>13000</v>
      </c>
      <c r="M301" s="22">
        <f t="shared" ref="M301" si="112">$J$29+D300</f>
        <v>13017</v>
      </c>
    </row>
    <row r="302" spans="2:13">
      <c r="E302" s="22">
        <f t="shared" si="111"/>
        <v>302</v>
      </c>
      <c r="F302" s="9" t="s">
        <v>146</v>
      </c>
      <c r="M302" s="22">
        <v>12900</v>
      </c>
    </row>
    <row r="303" spans="2:13">
      <c r="E303" s="22">
        <f t="shared" si="111"/>
        <v>303</v>
      </c>
      <c r="F303" s="9" t="s">
        <v>127</v>
      </c>
      <c r="G303" s="22">
        <v>5</v>
      </c>
      <c r="M303" s="22">
        <f t="shared" ref="M303" si="113">C300*G303</f>
        <v>85</v>
      </c>
    </row>
    <row r="304" spans="2:13">
      <c r="E304" s="22">
        <f t="shared" si="111"/>
        <v>304</v>
      </c>
      <c r="F304" s="9" t="s">
        <v>29</v>
      </c>
      <c r="M304" s="22" t="s">
        <v>161</v>
      </c>
    </row>
    <row r="305" spans="2:13">
      <c r="E305" s="22">
        <f t="shared" si="111"/>
        <v>305</v>
      </c>
      <c r="F305" s="9" t="s">
        <v>119</v>
      </c>
      <c r="M305" s="22" t="s">
        <v>162</v>
      </c>
    </row>
    <row r="306" spans="2:13">
      <c r="E306" s="22">
        <f t="shared" si="111"/>
        <v>306</v>
      </c>
      <c r="F306" s="9" t="s">
        <v>99</v>
      </c>
      <c r="K306" s="9" t="s">
        <v>138</v>
      </c>
      <c r="M306" s="22">
        <v>2</v>
      </c>
    </row>
    <row r="307" spans="2:13">
      <c r="E307" s="22">
        <f t="shared" si="111"/>
        <v>307</v>
      </c>
      <c r="F307" s="9" t="s">
        <v>163</v>
      </c>
      <c r="K307" s="9" t="s">
        <v>153</v>
      </c>
    </row>
    <row r="308" spans="2:13">
      <c r="E308" s="22">
        <f t="shared" si="111"/>
        <v>308</v>
      </c>
      <c r="F308" s="9" t="s">
        <v>134</v>
      </c>
      <c r="G308" s="22">
        <v>-7</v>
      </c>
      <c r="H308" s="22">
        <v>1</v>
      </c>
      <c r="K308" s="9" t="s">
        <v>154</v>
      </c>
      <c r="M308" s="22">
        <f t="shared" ref="M308" si="114">G308+H308*C300</f>
        <v>10</v>
      </c>
    </row>
    <row r="309" spans="2:13">
      <c r="E309" s="22">
        <f t="shared" si="111"/>
        <v>309</v>
      </c>
      <c r="F309" s="9" t="s">
        <v>134</v>
      </c>
      <c r="K309" s="9" t="s">
        <v>155</v>
      </c>
    </row>
    <row r="310" spans="2:13">
      <c r="E310" s="22">
        <f t="shared" si="111"/>
        <v>310</v>
      </c>
      <c r="F310" s="9" t="s">
        <v>133</v>
      </c>
      <c r="L310" s="9" t="s">
        <v>157</v>
      </c>
      <c r="M310" s="22">
        <v>2</v>
      </c>
    </row>
    <row r="311" spans="2:13">
      <c r="E311" s="22">
        <f t="shared" si="111"/>
        <v>311</v>
      </c>
      <c r="F311" s="9" t="s">
        <v>30</v>
      </c>
      <c r="M311" s="22">
        <v>4.2</v>
      </c>
    </row>
    <row r="312" spans="2:13">
      <c r="E312" s="22">
        <f t="shared" si="111"/>
        <v>312</v>
      </c>
      <c r="F312" s="9" t="s">
        <v>116</v>
      </c>
      <c r="M312" s="22">
        <v>-2.1</v>
      </c>
    </row>
    <row r="313" spans="2:13">
      <c r="E313" s="22">
        <f t="shared" si="111"/>
        <v>313</v>
      </c>
      <c r="F313" s="9" t="s">
        <v>31</v>
      </c>
      <c r="G313" s="22">
        <v>90</v>
      </c>
      <c r="H313" s="22">
        <v>-90</v>
      </c>
      <c r="L313" s="9" t="s">
        <v>135</v>
      </c>
      <c r="M313" s="22">
        <f t="shared" ref="M313" si="115">IF(MOD(B300,2)=0,90,-90)</f>
        <v>-90</v>
      </c>
    </row>
    <row r="314" spans="2:13">
      <c r="E314" s="22">
        <f t="shared" si="111"/>
        <v>314</v>
      </c>
      <c r="F314" s="9" t="s">
        <v>164</v>
      </c>
      <c r="L314" s="9" t="s">
        <v>157</v>
      </c>
      <c r="M314" s="22">
        <v>2</v>
      </c>
    </row>
    <row r="315" spans="2:13">
      <c r="E315" s="22">
        <f t="shared" si="111"/>
        <v>315</v>
      </c>
      <c r="F315" s="9" t="s">
        <v>167</v>
      </c>
      <c r="M315" s="22" t="b">
        <v>1</v>
      </c>
    </row>
    <row r="316" spans="2:13">
      <c r="E316" s="22">
        <f t="shared" si="111"/>
        <v>316</v>
      </c>
      <c r="F316" s="9" t="s">
        <v>108</v>
      </c>
      <c r="M316" s="22">
        <v>150</v>
      </c>
    </row>
    <row r="317" spans="2:13">
      <c r="B317" s="22">
        <f t="shared" ref="B317" si="116">QUOTIENT( D317-1,G318)+1</f>
        <v>1</v>
      </c>
      <c r="C317" s="22">
        <f t="shared" ref="C317" si="117">D317-(B317-1)*G318</f>
        <v>18</v>
      </c>
      <c r="D317" s="22">
        <f>COUNT($D$27:$D316)+1</f>
        <v>18</v>
      </c>
    </row>
    <row r="318" spans="2:13">
      <c r="E318" s="22">
        <f t="shared" ref="E318:E319" si="118">ROW(E318)</f>
        <v>318</v>
      </c>
      <c r="F318" s="9" t="s">
        <v>93</v>
      </c>
      <c r="G318" s="22">
        <v>20</v>
      </c>
      <c r="H318" s="22">
        <v>2</v>
      </c>
      <c r="J318" s="9">
        <v>13000</v>
      </c>
      <c r="M318" s="22">
        <f t="shared" ref="M318" si="119">$J$29+D317</f>
        <v>13018</v>
      </c>
    </row>
    <row r="319" spans="2:13">
      <c r="E319" s="22">
        <f t="shared" si="118"/>
        <v>319</v>
      </c>
      <c r="F319" s="9" t="s">
        <v>146</v>
      </c>
      <c r="M319" s="22">
        <v>12900</v>
      </c>
    </row>
    <row r="320" spans="2:13">
      <c r="E320" s="22">
        <f t="shared" si="111"/>
        <v>320</v>
      </c>
      <c r="F320" s="9" t="s">
        <v>127</v>
      </c>
      <c r="G320" s="22">
        <v>5</v>
      </c>
      <c r="M320" s="22">
        <f t="shared" ref="M320" si="120">C317*G320</f>
        <v>90</v>
      </c>
    </row>
    <row r="321" spans="2:13">
      <c r="E321" s="22">
        <f t="shared" si="111"/>
        <v>321</v>
      </c>
      <c r="F321" s="9" t="s">
        <v>29</v>
      </c>
      <c r="M321" s="22" t="s">
        <v>161</v>
      </c>
    </row>
    <row r="322" spans="2:13">
      <c r="E322" s="22">
        <f t="shared" si="111"/>
        <v>322</v>
      </c>
      <c r="F322" s="9" t="s">
        <v>119</v>
      </c>
      <c r="M322" s="22" t="s">
        <v>162</v>
      </c>
    </row>
    <row r="323" spans="2:13">
      <c r="E323" s="22">
        <f t="shared" si="111"/>
        <v>323</v>
      </c>
      <c r="F323" s="9" t="s">
        <v>99</v>
      </c>
      <c r="K323" s="9" t="s">
        <v>138</v>
      </c>
      <c r="M323" s="22">
        <v>2</v>
      </c>
    </row>
    <row r="324" spans="2:13">
      <c r="E324" s="22">
        <f t="shared" si="111"/>
        <v>324</v>
      </c>
      <c r="F324" s="9" t="s">
        <v>163</v>
      </c>
      <c r="K324" s="9" t="s">
        <v>153</v>
      </c>
    </row>
    <row r="325" spans="2:13">
      <c r="E325" s="22">
        <f t="shared" si="111"/>
        <v>325</v>
      </c>
      <c r="F325" s="9" t="s">
        <v>134</v>
      </c>
      <c r="G325" s="22">
        <v>-7</v>
      </c>
      <c r="H325" s="22">
        <v>1</v>
      </c>
      <c r="K325" s="9" t="s">
        <v>154</v>
      </c>
      <c r="M325" s="22">
        <f t="shared" ref="M325" si="121">G325+H325*C317</f>
        <v>11</v>
      </c>
    </row>
    <row r="326" spans="2:13">
      <c r="E326" s="22">
        <f t="shared" si="111"/>
        <v>326</v>
      </c>
      <c r="F326" s="9" t="s">
        <v>134</v>
      </c>
      <c r="K326" s="9" t="s">
        <v>155</v>
      </c>
    </row>
    <row r="327" spans="2:13">
      <c r="E327" s="22">
        <f t="shared" si="111"/>
        <v>327</v>
      </c>
      <c r="F327" s="9" t="s">
        <v>133</v>
      </c>
      <c r="L327" s="9" t="s">
        <v>157</v>
      </c>
      <c r="M327" s="22">
        <v>2</v>
      </c>
    </row>
    <row r="328" spans="2:13">
      <c r="E328" s="22">
        <f t="shared" si="111"/>
        <v>328</v>
      </c>
      <c r="F328" s="9" t="s">
        <v>30</v>
      </c>
      <c r="M328" s="22">
        <v>4.2</v>
      </c>
    </row>
    <row r="329" spans="2:13">
      <c r="E329" s="22">
        <f t="shared" si="111"/>
        <v>329</v>
      </c>
      <c r="F329" s="9" t="s">
        <v>116</v>
      </c>
      <c r="M329" s="22">
        <v>-2.1</v>
      </c>
    </row>
    <row r="330" spans="2:13">
      <c r="E330" s="22">
        <f t="shared" si="111"/>
        <v>330</v>
      </c>
      <c r="F330" s="9" t="s">
        <v>31</v>
      </c>
      <c r="G330" s="22">
        <v>90</v>
      </c>
      <c r="H330" s="22">
        <v>-90</v>
      </c>
      <c r="L330" s="9" t="s">
        <v>135</v>
      </c>
      <c r="M330" s="22">
        <f t="shared" ref="M330" si="122">IF(MOD(B317,2)=0,90,-90)</f>
        <v>-90</v>
      </c>
    </row>
    <row r="331" spans="2:13">
      <c r="E331" s="22">
        <f t="shared" si="111"/>
        <v>331</v>
      </c>
      <c r="F331" s="9" t="s">
        <v>164</v>
      </c>
      <c r="L331" s="9" t="s">
        <v>157</v>
      </c>
      <c r="M331" s="22">
        <v>2</v>
      </c>
    </row>
    <row r="332" spans="2:13">
      <c r="E332" s="22">
        <f t="shared" si="111"/>
        <v>332</v>
      </c>
      <c r="F332" s="9" t="s">
        <v>167</v>
      </c>
      <c r="M332" s="22" t="b">
        <v>1</v>
      </c>
    </row>
    <row r="333" spans="2:13">
      <c r="B333" s="22"/>
      <c r="E333" s="22">
        <f t="shared" si="111"/>
        <v>333</v>
      </c>
      <c r="F333" s="9" t="s">
        <v>108</v>
      </c>
      <c r="M333" s="22">
        <v>150</v>
      </c>
    </row>
    <row r="334" spans="2:13">
      <c r="B334" s="9">
        <f t="shared" ref="B334" si="123">QUOTIENT( D334-1,G335)+1</f>
        <v>1</v>
      </c>
      <c r="C334" s="22">
        <f t="shared" ref="C334" si="124">D334-(B334-1)*G335</f>
        <v>19</v>
      </c>
      <c r="D334" s="22">
        <f>COUNT($D$27:$D333)+1</f>
        <v>19</v>
      </c>
    </row>
    <row r="335" spans="2:13">
      <c r="E335" s="22">
        <f t="shared" ref="E335:E336" si="125">ROW(E335)</f>
        <v>335</v>
      </c>
      <c r="F335" s="9" t="s">
        <v>93</v>
      </c>
      <c r="G335" s="22">
        <v>20</v>
      </c>
      <c r="H335" s="22">
        <v>2</v>
      </c>
      <c r="J335" s="9">
        <v>13000</v>
      </c>
      <c r="M335" s="22">
        <f t="shared" ref="M335" si="126">$J$29+D334</f>
        <v>13019</v>
      </c>
    </row>
    <row r="336" spans="2:13">
      <c r="E336" s="22">
        <f t="shared" si="125"/>
        <v>336</v>
      </c>
      <c r="F336" s="9" t="s">
        <v>146</v>
      </c>
      <c r="M336" s="22">
        <v>12900</v>
      </c>
    </row>
    <row r="337" spans="2:13">
      <c r="E337" s="22">
        <f t="shared" si="111"/>
        <v>337</v>
      </c>
      <c r="F337" s="9" t="s">
        <v>127</v>
      </c>
      <c r="G337" s="22">
        <v>5</v>
      </c>
      <c r="M337" s="22">
        <f t="shared" ref="M337" si="127">C334*G337</f>
        <v>95</v>
      </c>
    </row>
    <row r="338" spans="2:13">
      <c r="E338" s="22">
        <f t="shared" si="111"/>
        <v>338</v>
      </c>
      <c r="F338" s="9" t="s">
        <v>29</v>
      </c>
      <c r="M338" s="22" t="s">
        <v>161</v>
      </c>
    </row>
    <row r="339" spans="2:13">
      <c r="E339" s="22">
        <f t="shared" si="111"/>
        <v>339</v>
      </c>
      <c r="F339" s="9" t="s">
        <v>119</v>
      </c>
      <c r="M339" s="22" t="s">
        <v>162</v>
      </c>
    </row>
    <row r="340" spans="2:13">
      <c r="E340" s="22">
        <f t="shared" si="111"/>
        <v>340</v>
      </c>
      <c r="F340" s="9" t="s">
        <v>99</v>
      </c>
      <c r="K340" s="9" t="s">
        <v>138</v>
      </c>
      <c r="M340" s="22">
        <v>2</v>
      </c>
    </row>
    <row r="341" spans="2:13">
      <c r="E341" s="22">
        <f t="shared" si="111"/>
        <v>341</v>
      </c>
      <c r="F341" s="9" t="s">
        <v>163</v>
      </c>
      <c r="K341" s="9" t="s">
        <v>153</v>
      </c>
    </row>
    <row r="342" spans="2:13">
      <c r="E342" s="22">
        <f t="shared" si="111"/>
        <v>342</v>
      </c>
      <c r="F342" s="9" t="s">
        <v>134</v>
      </c>
      <c r="G342" s="22">
        <v>-7</v>
      </c>
      <c r="H342" s="22">
        <v>1</v>
      </c>
      <c r="K342" s="9" t="s">
        <v>154</v>
      </c>
      <c r="M342" s="22">
        <f t="shared" ref="M342" si="128">G342+H342*C334</f>
        <v>12</v>
      </c>
    </row>
    <row r="343" spans="2:13">
      <c r="E343" s="22">
        <f t="shared" si="111"/>
        <v>343</v>
      </c>
      <c r="F343" s="9" t="s">
        <v>134</v>
      </c>
      <c r="K343" s="9" t="s">
        <v>155</v>
      </c>
    </row>
    <row r="344" spans="2:13">
      <c r="E344" s="22">
        <f t="shared" si="111"/>
        <v>344</v>
      </c>
      <c r="F344" s="9" t="s">
        <v>133</v>
      </c>
      <c r="L344" s="9" t="s">
        <v>157</v>
      </c>
      <c r="M344" s="22">
        <v>2</v>
      </c>
    </row>
    <row r="345" spans="2:13">
      <c r="E345" s="22">
        <f t="shared" si="111"/>
        <v>345</v>
      </c>
      <c r="F345" s="9" t="s">
        <v>30</v>
      </c>
      <c r="M345" s="22">
        <v>4.2</v>
      </c>
    </row>
    <row r="346" spans="2:13">
      <c r="E346" s="22">
        <f t="shared" si="111"/>
        <v>346</v>
      </c>
      <c r="F346" s="9" t="s">
        <v>116</v>
      </c>
      <c r="M346" s="22">
        <v>-2.1</v>
      </c>
    </row>
    <row r="347" spans="2:13">
      <c r="E347" s="22">
        <f t="shared" si="111"/>
        <v>347</v>
      </c>
      <c r="F347" s="9" t="s">
        <v>31</v>
      </c>
      <c r="G347" s="22">
        <v>90</v>
      </c>
      <c r="H347" s="22">
        <v>-90</v>
      </c>
      <c r="L347" s="9" t="s">
        <v>135</v>
      </c>
      <c r="M347" s="22">
        <f t="shared" ref="M347" si="129">IF(MOD(B334,2)=0,90,-90)</f>
        <v>-90</v>
      </c>
    </row>
    <row r="348" spans="2:13">
      <c r="E348" s="22">
        <f t="shared" si="111"/>
        <v>348</v>
      </c>
      <c r="F348" s="9" t="s">
        <v>164</v>
      </c>
      <c r="L348" s="9" t="s">
        <v>157</v>
      </c>
      <c r="M348" s="22">
        <v>2</v>
      </c>
    </row>
    <row r="349" spans="2:13">
      <c r="B349" s="22"/>
      <c r="E349" s="22">
        <f t="shared" si="111"/>
        <v>349</v>
      </c>
      <c r="F349" s="9" t="s">
        <v>167</v>
      </c>
      <c r="M349" s="22" t="b">
        <v>1</v>
      </c>
    </row>
    <row r="350" spans="2:13">
      <c r="E350" s="22">
        <f t="shared" si="111"/>
        <v>350</v>
      </c>
      <c r="F350" s="9" t="s">
        <v>108</v>
      </c>
      <c r="M350" s="22">
        <v>150</v>
      </c>
    </row>
    <row r="351" spans="2:13">
      <c r="B351" s="9">
        <f t="shared" ref="B351" si="130">QUOTIENT( D351-1,G352)+1</f>
        <v>1</v>
      </c>
      <c r="C351" s="22">
        <f t="shared" ref="C351" si="131">D351-(B351-1)*G352</f>
        <v>20</v>
      </c>
      <c r="D351" s="22">
        <f>COUNT($D$27:$D350)+1</f>
        <v>20</v>
      </c>
    </row>
    <row r="352" spans="2:13">
      <c r="E352" s="22">
        <f t="shared" ref="E352:E353" si="132">ROW(E352)</f>
        <v>352</v>
      </c>
      <c r="F352" s="9" t="s">
        <v>93</v>
      </c>
      <c r="G352" s="22">
        <v>20</v>
      </c>
      <c r="H352" s="22">
        <v>2</v>
      </c>
      <c r="J352" s="9">
        <v>13000</v>
      </c>
      <c r="M352" s="22">
        <f t="shared" ref="M352" si="133">$J$29+D351</f>
        <v>13020</v>
      </c>
    </row>
    <row r="353" spans="2:13">
      <c r="E353" s="22">
        <f t="shared" si="132"/>
        <v>353</v>
      </c>
      <c r="F353" s="9" t="s">
        <v>146</v>
      </c>
      <c r="M353" s="22">
        <v>12900</v>
      </c>
    </row>
    <row r="354" spans="2:13">
      <c r="E354" s="22">
        <f t="shared" si="111"/>
        <v>354</v>
      </c>
      <c r="F354" s="9" t="s">
        <v>127</v>
      </c>
      <c r="G354" s="22">
        <v>5</v>
      </c>
      <c r="M354" s="22">
        <f t="shared" ref="M354" si="134">C351*G354</f>
        <v>100</v>
      </c>
    </row>
    <row r="355" spans="2:13">
      <c r="E355" s="22">
        <f t="shared" si="111"/>
        <v>355</v>
      </c>
      <c r="F355" s="9" t="s">
        <v>29</v>
      </c>
      <c r="M355" s="22" t="s">
        <v>161</v>
      </c>
    </row>
    <row r="356" spans="2:13">
      <c r="E356" s="22">
        <f t="shared" si="111"/>
        <v>356</v>
      </c>
      <c r="F356" s="9" t="s">
        <v>119</v>
      </c>
      <c r="M356" s="22" t="s">
        <v>162</v>
      </c>
    </row>
    <row r="357" spans="2:13">
      <c r="E357" s="22">
        <f t="shared" si="111"/>
        <v>357</v>
      </c>
      <c r="F357" s="9" t="s">
        <v>99</v>
      </c>
      <c r="K357" s="9" t="s">
        <v>138</v>
      </c>
      <c r="M357" s="22">
        <v>2</v>
      </c>
    </row>
    <row r="358" spans="2:13">
      <c r="E358" s="22">
        <f t="shared" si="111"/>
        <v>358</v>
      </c>
      <c r="F358" s="9" t="s">
        <v>163</v>
      </c>
      <c r="K358" s="9" t="s">
        <v>153</v>
      </c>
    </row>
    <row r="359" spans="2:13">
      <c r="E359" s="22">
        <f t="shared" si="111"/>
        <v>359</v>
      </c>
      <c r="F359" s="9" t="s">
        <v>134</v>
      </c>
      <c r="G359" s="22">
        <v>-7</v>
      </c>
      <c r="H359" s="22">
        <v>1</v>
      </c>
      <c r="K359" s="9" t="s">
        <v>154</v>
      </c>
      <c r="M359" s="22">
        <f t="shared" ref="M359" si="135">G359+H359*C351</f>
        <v>13</v>
      </c>
    </row>
    <row r="360" spans="2:13">
      <c r="E360" s="22">
        <f t="shared" si="111"/>
        <v>360</v>
      </c>
      <c r="F360" s="9" t="s">
        <v>134</v>
      </c>
      <c r="K360" s="9" t="s">
        <v>155</v>
      </c>
    </row>
    <row r="361" spans="2:13">
      <c r="E361" s="22">
        <f t="shared" si="111"/>
        <v>361</v>
      </c>
      <c r="F361" s="9" t="s">
        <v>133</v>
      </c>
      <c r="L361" s="9" t="s">
        <v>157</v>
      </c>
      <c r="M361" s="22">
        <v>2</v>
      </c>
    </row>
    <row r="362" spans="2:13">
      <c r="E362" s="22">
        <f t="shared" si="111"/>
        <v>362</v>
      </c>
      <c r="F362" s="9" t="s">
        <v>30</v>
      </c>
      <c r="M362" s="22">
        <v>4.2</v>
      </c>
    </row>
    <row r="363" spans="2:13">
      <c r="E363" s="22">
        <f t="shared" si="111"/>
        <v>363</v>
      </c>
      <c r="F363" s="9" t="s">
        <v>116</v>
      </c>
      <c r="M363" s="22">
        <v>-2.1</v>
      </c>
    </row>
    <row r="364" spans="2:13">
      <c r="E364" s="22">
        <f t="shared" si="111"/>
        <v>364</v>
      </c>
      <c r="F364" s="9" t="s">
        <v>31</v>
      </c>
      <c r="G364" s="22">
        <v>90</v>
      </c>
      <c r="H364" s="22">
        <v>-90</v>
      </c>
      <c r="L364" s="9" t="s">
        <v>135</v>
      </c>
      <c r="M364" s="22">
        <f t="shared" ref="M364" si="136">IF(MOD(B351,2)=0,90,-90)</f>
        <v>-90</v>
      </c>
    </row>
    <row r="365" spans="2:13">
      <c r="B365" s="22"/>
      <c r="E365" s="22">
        <f t="shared" ref="E365:E428" si="137">ROW(E365)</f>
        <v>365</v>
      </c>
      <c r="F365" s="9" t="s">
        <v>164</v>
      </c>
      <c r="L365" s="9" t="s">
        <v>157</v>
      </c>
      <c r="M365" s="22">
        <v>2</v>
      </c>
    </row>
    <row r="366" spans="2:13">
      <c r="E366" s="22">
        <f t="shared" si="137"/>
        <v>366</v>
      </c>
      <c r="F366" s="9" t="s">
        <v>167</v>
      </c>
      <c r="M366" s="22" t="b">
        <v>1</v>
      </c>
    </row>
    <row r="367" spans="2:13">
      <c r="E367" s="22">
        <f t="shared" si="137"/>
        <v>367</v>
      </c>
      <c r="F367" s="9" t="s">
        <v>108</v>
      </c>
      <c r="M367" s="22">
        <v>150</v>
      </c>
    </row>
    <row r="368" spans="2:13">
      <c r="B368" s="9">
        <f t="shared" ref="B368" si="138">QUOTIENT( D368-1,G369)+1</f>
        <v>2</v>
      </c>
      <c r="C368" s="22">
        <f t="shared" ref="C368" si="139">D368-(B368-1)*G369</f>
        <v>1</v>
      </c>
      <c r="D368" s="22">
        <f>COUNT($D$27:$D367)+1</f>
        <v>21</v>
      </c>
    </row>
    <row r="369" spans="5:13">
      <c r="E369" s="22">
        <f t="shared" ref="E369:E370" si="140">ROW(E369)</f>
        <v>369</v>
      </c>
      <c r="F369" s="9" t="s">
        <v>93</v>
      </c>
      <c r="G369" s="22">
        <v>20</v>
      </c>
      <c r="H369" s="22">
        <v>2</v>
      </c>
      <c r="J369" s="9">
        <v>13000</v>
      </c>
      <c r="M369" s="22">
        <f t="shared" ref="M369" si="141">$J$29+D368</f>
        <v>13021</v>
      </c>
    </row>
    <row r="370" spans="5:13">
      <c r="E370" s="22">
        <f t="shared" si="140"/>
        <v>370</v>
      </c>
      <c r="F370" s="9" t="s">
        <v>146</v>
      </c>
      <c r="M370" s="22">
        <v>12900</v>
      </c>
    </row>
    <row r="371" spans="5:13">
      <c r="E371" s="22">
        <f t="shared" si="137"/>
        <v>371</v>
      </c>
      <c r="F371" s="9" t="s">
        <v>127</v>
      </c>
      <c r="G371" s="22">
        <v>5</v>
      </c>
      <c r="M371" s="22">
        <f t="shared" ref="M371" si="142">C368*G371</f>
        <v>5</v>
      </c>
    </row>
    <row r="372" spans="5:13">
      <c r="E372" s="22">
        <f t="shared" si="137"/>
        <v>372</v>
      </c>
      <c r="F372" s="9" t="s">
        <v>29</v>
      </c>
      <c r="M372" s="22" t="s">
        <v>161</v>
      </c>
    </row>
    <row r="373" spans="5:13">
      <c r="E373" s="22">
        <f t="shared" si="137"/>
        <v>373</v>
      </c>
      <c r="F373" s="9" t="s">
        <v>119</v>
      </c>
      <c r="M373" s="22" t="s">
        <v>162</v>
      </c>
    </row>
    <row r="374" spans="5:13">
      <c r="E374" s="22">
        <f t="shared" si="137"/>
        <v>374</v>
      </c>
      <c r="F374" s="9" t="s">
        <v>99</v>
      </c>
      <c r="K374" s="9" t="s">
        <v>138</v>
      </c>
      <c r="M374" s="22">
        <v>2</v>
      </c>
    </row>
    <row r="375" spans="5:13">
      <c r="E375" s="22">
        <f t="shared" si="137"/>
        <v>375</v>
      </c>
      <c r="F375" s="9" t="s">
        <v>163</v>
      </c>
      <c r="K375" s="9" t="s">
        <v>153</v>
      </c>
    </row>
    <row r="376" spans="5:13">
      <c r="E376" s="22">
        <f t="shared" si="137"/>
        <v>376</v>
      </c>
      <c r="F376" s="9" t="s">
        <v>134</v>
      </c>
      <c r="G376" s="22">
        <v>-7</v>
      </c>
      <c r="H376" s="22">
        <v>1</v>
      </c>
      <c r="K376" s="9" t="s">
        <v>154</v>
      </c>
      <c r="M376" s="22">
        <f t="shared" ref="M376" si="143">G376+H376*C368</f>
        <v>-6</v>
      </c>
    </row>
    <row r="377" spans="5:13">
      <c r="E377" s="22">
        <f t="shared" si="137"/>
        <v>377</v>
      </c>
      <c r="F377" s="9" t="s">
        <v>134</v>
      </c>
      <c r="K377" s="9" t="s">
        <v>155</v>
      </c>
    </row>
    <row r="378" spans="5:13">
      <c r="E378" s="22">
        <f t="shared" si="137"/>
        <v>378</v>
      </c>
      <c r="F378" s="9" t="s">
        <v>133</v>
      </c>
      <c r="L378" s="9" t="s">
        <v>157</v>
      </c>
      <c r="M378" s="22">
        <v>2</v>
      </c>
    </row>
    <row r="379" spans="5:13">
      <c r="E379" s="22">
        <f t="shared" si="137"/>
        <v>379</v>
      </c>
      <c r="F379" s="9" t="s">
        <v>30</v>
      </c>
      <c r="M379" s="22">
        <v>4.2</v>
      </c>
    </row>
    <row r="380" spans="5:13">
      <c r="E380" s="22">
        <f t="shared" si="137"/>
        <v>380</v>
      </c>
      <c r="F380" s="9" t="s">
        <v>116</v>
      </c>
      <c r="M380" s="22">
        <v>-2.1</v>
      </c>
    </row>
    <row r="381" spans="5:13">
      <c r="E381" s="22">
        <f t="shared" si="137"/>
        <v>381</v>
      </c>
      <c r="F381" s="9" t="s">
        <v>31</v>
      </c>
      <c r="G381" s="22">
        <v>90</v>
      </c>
      <c r="H381" s="22">
        <v>-90</v>
      </c>
      <c r="L381" s="9" t="s">
        <v>135</v>
      </c>
      <c r="M381" s="22">
        <f t="shared" ref="M381" si="144">IF(MOD(B368,2)=0,90,-90)</f>
        <v>90</v>
      </c>
    </row>
    <row r="382" spans="5:13">
      <c r="E382" s="22">
        <f t="shared" si="137"/>
        <v>382</v>
      </c>
      <c r="F382" s="9" t="s">
        <v>164</v>
      </c>
      <c r="L382" s="9" t="s">
        <v>157</v>
      </c>
      <c r="M382" s="22">
        <v>2</v>
      </c>
    </row>
    <row r="383" spans="5:13">
      <c r="E383" s="22">
        <f t="shared" si="137"/>
        <v>383</v>
      </c>
      <c r="F383" s="9" t="s">
        <v>167</v>
      </c>
      <c r="M383" s="22" t="b">
        <v>1</v>
      </c>
    </row>
    <row r="384" spans="5:13">
      <c r="E384" s="22">
        <f t="shared" si="137"/>
        <v>384</v>
      </c>
      <c r="F384" s="9" t="s">
        <v>108</v>
      </c>
      <c r="M384" s="22">
        <v>150</v>
      </c>
    </row>
    <row r="385" spans="2:13">
      <c r="B385" s="9">
        <f t="shared" ref="B385" si="145">QUOTIENT( D385-1,G386)+1</f>
        <v>2</v>
      </c>
      <c r="C385" s="22">
        <f t="shared" ref="C385" si="146">D385-(B385-1)*G386</f>
        <v>2</v>
      </c>
      <c r="D385" s="22">
        <f>COUNT($D$27:$D384)+1</f>
        <v>22</v>
      </c>
    </row>
    <row r="386" spans="2:13">
      <c r="E386" s="22">
        <f t="shared" ref="E386:E387" si="147">ROW(E386)</f>
        <v>386</v>
      </c>
      <c r="F386" s="9" t="s">
        <v>93</v>
      </c>
      <c r="G386" s="22">
        <v>20</v>
      </c>
      <c r="H386" s="22">
        <v>2</v>
      </c>
      <c r="J386" s="9">
        <v>13000</v>
      </c>
      <c r="M386" s="22">
        <f t="shared" ref="M386" si="148">$J$29+D385</f>
        <v>13022</v>
      </c>
    </row>
    <row r="387" spans="2:13">
      <c r="E387" s="22">
        <f t="shared" si="147"/>
        <v>387</v>
      </c>
      <c r="F387" s="9" t="s">
        <v>146</v>
      </c>
      <c r="M387" s="22">
        <v>12900</v>
      </c>
    </row>
    <row r="388" spans="2:13">
      <c r="E388" s="22">
        <f t="shared" si="137"/>
        <v>388</v>
      </c>
      <c r="F388" s="9" t="s">
        <v>127</v>
      </c>
      <c r="G388" s="22">
        <v>5</v>
      </c>
      <c r="M388" s="22">
        <f t="shared" ref="M388" si="149">C385*G388</f>
        <v>10</v>
      </c>
    </row>
    <row r="389" spans="2:13">
      <c r="E389" s="22">
        <f t="shared" si="137"/>
        <v>389</v>
      </c>
      <c r="F389" s="9" t="s">
        <v>29</v>
      </c>
      <c r="M389" s="22" t="s">
        <v>161</v>
      </c>
    </row>
    <row r="390" spans="2:13">
      <c r="E390" s="22">
        <f t="shared" si="137"/>
        <v>390</v>
      </c>
      <c r="F390" s="9" t="s">
        <v>119</v>
      </c>
      <c r="M390" s="22" t="s">
        <v>162</v>
      </c>
    </row>
    <row r="391" spans="2:13">
      <c r="E391" s="22">
        <f t="shared" si="137"/>
        <v>391</v>
      </c>
      <c r="F391" s="9" t="s">
        <v>99</v>
      </c>
      <c r="K391" s="9" t="s">
        <v>138</v>
      </c>
      <c r="M391" s="22">
        <v>2</v>
      </c>
    </row>
    <row r="392" spans="2:13">
      <c r="E392" s="22">
        <f t="shared" si="137"/>
        <v>392</v>
      </c>
      <c r="F392" s="9" t="s">
        <v>163</v>
      </c>
      <c r="K392" s="9" t="s">
        <v>153</v>
      </c>
    </row>
    <row r="393" spans="2:13">
      <c r="E393" s="22">
        <f t="shared" si="137"/>
        <v>393</v>
      </c>
      <c r="F393" s="9" t="s">
        <v>134</v>
      </c>
      <c r="G393" s="22">
        <v>-7</v>
      </c>
      <c r="H393" s="22">
        <v>1</v>
      </c>
      <c r="K393" s="9" t="s">
        <v>154</v>
      </c>
      <c r="M393" s="22">
        <f t="shared" ref="M393" si="150">G393+H393*C385</f>
        <v>-5</v>
      </c>
    </row>
    <row r="394" spans="2:13">
      <c r="E394" s="22">
        <f t="shared" si="137"/>
        <v>394</v>
      </c>
      <c r="F394" s="9" t="s">
        <v>134</v>
      </c>
      <c r="K394" s="9" t="s">
        <v>155</v>
      </c>
    </row>
    <row r="395" spans="2:13">
      <c r="E395" s="22">
        <f t="shared" si="137"/>
        <v>395</v>
      </c>
      <c r="F395" s="9" t="s">
        <v>133</v>
      </c>
      <c r="L395" s="9" t="s">
        <v>157</v>
      </c>
      <c r="M395" s="22">
        <v>2</v>
      </c>
    </row>
    <row r="396" spans="2:13">
      <c r="E396" s="22">
        <f t="shared" si="137"/>
        <v>396</v>
      </c>
      <c r="F396" s="9" t="s">
        <v>30</v>
      </c>
      <c r="M396" s="22">
        <v>4.2</v>
      </c>
    </row>
    <row r="397" spans="2:13">
      <c r="E397" s="22">
        <f t="shared" si="137"/>
        <v>397</v>
      </c>
      <c r="F397" s="9" t="s">
        <v>116</v>
      </c>
      <c r="M397" s="22">
        <v>-2.1</v>
      </c>
    </row>
    <row r="398" spans="2:13">
      <c r="E398" s="22">
        <f t="shared" si="137"/>
        <v>398</v>
      </c>
      <c r="F398" s="9" t="s">
        <v>31</v>
      </c>
      <c r="G398" s="22">
        <v>90</v>
      </c>
      <c r="H398" s="22">
        <v>-90</v>
      </c>
      <c r="L398" s="9" t="s">
        <v>135</v>
      </c>
      <c r="M398" s="22">
        <f t="shared" ref="M398" si="151">IF(MOD(B385,2)=0,90,-90)</f>
        <v>90</v>
      </c>
    </row>
    <row r="399" spans="2:13">
      <c r="E399" s="22">
        <f t="shared" si="137"/>
        <v>399</v>
      </c>
      <c r="F399" s="9" t="s">
        <v>164</v>
      </c>
      <c r="L399" s="9" t="s">
        <v>157</v>
      </c>
      <c r="M399" s="22">
        <v>2</v>
      </c>
    </row>
    <row r="400" spans="2:13">
      <c r="E400" s="22">
        <f t="shared" si="137"/>
        <v>400</v>
      </c>
      <c r="F400" s="9" t="s">
        <v>167</v>
      </c>
      <c r="M400" s="22" t="b">
        <v>1</v>
      </c>
    </row>
    <row r="401" spans="2:13">
      <c r="E401" s="22">
        <f t="shared" si="137"/>
        <v>401</v>
      </c>
      <c r="F401" s="9" t="s">
        <v>108</v>
      </c>
      <c r="M401" s="22">
        <v>150</v>
      </c>
    </row>
    <row r="402" spans="2:13">
      <c r="B402" s="9">
        <f t="shared" ref="B402" si="152">QUOTIENT( D402-1,G403)+1</f>
        <v>2</v>
      </c>
      <c r="C402" s="22">
        <f t="shared" ref="C402" si="153">D402-(B402-1)*G403</f>
        <v>3</v>
      </c>
      <c r="D402" s="22">
        <f>COUNT($D$27:$D401)+1</f>
        <v>23</v>
      </c>
    </row>
    <row r="403" spans="2:13">
      <c r="E403" s="22">
        <f t="shared" ref="E403:E404" si="154">ROW(E403)</f>
        <v>403</v>
      </c>
      <c r="F403" s="9" t="s">
        <v>93</v>
      </c>
      <c r="G403" s="22">
        <v>20</v>
      </c>
      <c r="H403" s="22">
        <v>2</v>
      </c>
      <c r="J403" s="9">
        <v>13000</v>
      </c>
      <c r="M403" s="22">
        <f t="shared" ref="M403" si="155">$J$29+D402</f>
        <v>13023</v>
      </c>
    </row>
    <row r="404" spans="2:13">
      <c r="E404" s="22">
        <f t="shared" si="154"/>
        <v>404</v>
      </c>
      <c r="F404" s="9" t="s">
        <v>146</v>
      </c>
      <c r="M404" s="22">
        <v>12900</v>
      </c>
    </row>
    <row r="405" spans="2:13">
      <c r="E405" s="22">
        <f t="shared" si="137"/>
        <v>405</v>
      </c>
      <c r="F405" s="9" t="s">
        <v>127</v>
      </c>
      <c r="G405" s="22">
        <v>5</v>
      </c>
      <c r="M405" s="22">
        <f t="shared" ref="M405" si="156">C402*G405</f>
        <v>15</v>
      </c>
    </row>
    <row r="406" spans="2:13">
      <c r="E406" s="22">
        <f t="shared" si="137"/>
        <v>406</v>
      </c>
      <c r="F406" s="9" t="s">
        <v>29</v>
      </c>
      <c r="M406" s="22" t="s">
        <v>161</v>
      </c>
    </row>
    <row r="407" spans="2:13">
      <c r="E407" s="22">
        <f t="shared" si="137"/>
        <v>407</v>
      </c>
      <c r="F407" s="9" t="s">
        <v>119</v>
      </c>
      <c r="M407" s="22" t="s">
        <v>162</v>
      </c>
    </row>
    <row r="408" spans="2:13">
      <c r="E408" s="22">
        <f t="shared" si="137"/>
        <v>408</v>
      </c>
      <c r="F408" s="9" t="s">
        <v>99</v>
      </c>
      <c r="K408" s="9" t="s">
        <v>138</v>
      </c>
      <c r="M408" s="22">
        <v>2</v>
      </c>
    </row>
    <row r="409" spans="2:13">
      <c r="E409" s="22">
        <f t="shared" si="137"/>
        <v>409</v>
      </c>
      <c r="F409" s="9" t="s">
        <v>163</v>
      </c>
      <c r="K409" s="9" t="s">
        <v>153</v>
      </c>
    </row>
    <row r="410" spans="2:13">
      <c r="E410" s="22">
        <f t="shared" si="137"/>
        <v>410</v>
      </c>
      <c r="F410" s="9" t="s">
        <v>134</v>
      </c>
      <c r="G410" s="22">
        <v>-7</v>
      </c>
      <c r="H410" s="22">
        <v>1</v>
      </c>
      <c r="K410" s="9" t="s">
        <v>154</v>
      </c>
      <c r="M410" s="22">
        <f t="shared" ref="M410" si="157">G410+H410*C402</f>
        <v>-4</v>
      </c>
    </row>
    <row r="411" spans="2:13">
      <c r="E411" s="22">
        <f t="shared" si="137"/>
        <v>411</v>
      </c>
      <c r="F411" s="9" t="s">
        <v>134</v>
      </c>
      <c r="K411" s="9" t="s">
        <v>155</v>
      </c>
    </row>
    <row r="412" spans="2:13">
      <c r="E412" s="22">
        <f t="shared" si="137"/>
        <v>412</v>
      </c>
      <c r="F412" s="9" t="s">
        <v>133</v>
      </c>
      <c r="L412" s="9" t="s">
        <v>157</v>
      </c>
      <c r="M412" s="22">
        <v>2</v>
      </c>
    </row>
    <row r="413" spans="2:13">
      <c r="E413" s="22">
        <f t="shared" si="137"/>
        <v>413</v>
      </c>
      <c r="F413" s="9" t="s">
        <v>30</v>
      </c>
      <c r="M413" s="22">
        <v>4.2</v>
      </c>
    </row>
    <row r="414" spans="2:13">
      <c r="E414" s="22">
        <f t="shared" si="137"/>
        <v>414</v>
      </c>
      <c r="F414" s="9" t="s">
        <v>116</v>
      </c>
      <c r="M414" s="22">
        <v>-2.1</v>
      </c>
    </row>
    <row r="415" spans="2:13">
      <c r="E415" s="22">
        <f t="shared" si="137"/>
        <v>415</v>
      </c>
      <c r="F415" s="9" t="s">
        <v>31</v>
      </c>
      <c r="G415" s="22">
        <v>90</v>
      </c>
      <c r="H415" s="22">
        <v>-90</v>
      </c>
      <c r="L415" s="9" t="s">
        <v>135</v>
      </c>
      <c r="M415" s="22">
        <f t="shared" ref="M415" si="158">IF(MOD(B402,2)=0,90,-90)</f>
        <v>90</v>
      </c>
    </row>
    <row r="416" spans="2:13">
      <c r="E416" s="22">
        <f t="shared" si="137"/>
        <v>416</v>
      </c>
      <c r="F416" s="9" t="s">
        <v>164</v>
      </c>
      <c r="L416" s="9" t="s">
        <v>157</v>
      </c>
      <c r="M416" s="22">
        <v>2</v>
      </c>
    </row>
    <row r="417" spans="2:13">
      <c r="E417" s="22">
        <f t="shared" si="137"/>
        <v>417</v>
      </c>
      <c r="F417" s="9" t="s">
        <v>167</v>
      </c>
      <c r="M417" s="22" t="b">
        <v>1</v>
      </c>
    </row>
    <row r="418" spans="2:13">
      <c r="E418" s="22">
        <f t="shared" si="137"/>
        <v>418</v>
      </c>
      <c r="F418" s="9" t="s">
        <v>108</v>
      </c>
      <c r="M418" s="22">
        <v>150</v>
      </c>
    </row>
    <row r="419" spans="2:13">
      <c r="B419" s="9">
        <f t="shared" ref="B419" si="159">QUOTIENT( D419-1,G420)+1</f>
        <v>2</v>
      </c>
      <c r="C419" s="22">
        <f t="shared" ref="C419" si="160">D419-(B419-1)*G420</f>
        <v>4</v>
      </c>
      <c r="D419" s="22">
        <f>COUNT($D$27:$D418)+1</f>
        <v>24</v>
      </c>
    </row>
    <row r="420" spans="2:13">
      <c r="E420" s="22">
        <f t="shared" ref="E420:E421" si="161">ROW(E420)</f>
        <v>420</v>
      </c>
      <c r="F420" s="9" t="s">
        <v>93</v>
      </c>
      <c r="G420" s="22">
        <v>20</v>
      </c>
      <c r="H420" s="22">
        <v>2</v>
      </c>
      <c r="J420" s="9">
        <v>13000</v>
      </c>
      <c r="M420" s="22">
        <f t="shared" ref="M420" si="162">$J$29+D419</f>
        <v>13024</v>
      </c>
    </row>
    <row r="421" spans="2:13">
      <c r="E421" s="22">
        <f t="shared" si="161"/>
        <v>421</v>
      </c>
      <c r="F421" s="9" t="s">
        <v>146</v>
      </c>
      <c r="M421" s="22">
        <v>12900</v>
      </c>
    </row>
    <row r="422" spans="2:13">
      <c r="E422" s="22">
        <f t="shared" si="137"/>
        <v>422</v>
      </c>
      <c r="F422" s="9" t="s">
        <v>127</v>
      </c>
      <c r="G422" s="22">
        <v>5</v>
      </c>
      <c r="M422" s="22">
        <f t="shared" ref="M422" si="163">C419*G422</f>
        <v>20</v>
      </c>
    </row>
    <row r="423" spans="2:13">
      <c r="E423" s="22">
        <f t="shared" si="137"/>
        <v>423</v>
      </c>
      <c r="F423" s="9" t="s">
        <v>29</v>
      </c>
      <c r="M423" s="22" t="s">
        <v>161</v>
      </c>
    </row>
    <row r="424" spans="2:13">
      <c r="E424" s="22">
        <f t="shared" si="137"/>
        <v>424</v>
      </c>
      <c r="F424" s="9" t="s">
        <v>119</v>
      </c>
      <c r="M424" s="22" t="s">
        <v>162</v>
      </c>
    </row>
    <row r="425" spans="2:13">
      <c r="E425" s="22">
        <f t="shared" si="137"/>
        <v>425</v>
      </c>
      <c r="F425" s="9" t="s">
        <v>99</v>
      </c>
      <c r="K425" s="9" t="s">
        <v>138</v>
      </c>
      <c r="M425" s="22">
        <v>2</v>
      </c>
    </row>
    <row r="426" spans="2:13">
      <c r="E426" s="22">
        <f t="shared" si="137"/>
        <v>426</v>
      </c>
      <c r="F426" s="9" t="s">
        <v>163</v>
      </c>
      <c r="K426" s="9" t="s">
        <v>153</v>
      </c>
    </row>
    <row r="427" spans="2:13">
      <c r="E427" s="22">
        <f t="shared" si="137"/>
        <v>427</v>
      </c>
      <c r="F427" s="9" t="s">
        <v>134</v>
      </c>
      <c r="G427" s="22">
        <v>-7</v>
      </c>
      <c r="H427" s="22">
        <v>1</v>
      </c>
      <c r="K427" s="9" t="s">
        <v>154</v>
      </c>
      <c r="M427" s="22">
        <f t="shared" ref="M427" si="164">G427+H427*C419</f>
        <v>-3</v>
      </c>
    </row>
    <row r="428" spans="2:13">
      <c r="E428" s="22">
        <f t="shared" si="137"/>
        <v>428</v>
      </c>
      <c r="F428" s="9" t="s">
        <v>134</v>
      </c>
      <c r="K428" s="9" t="s">
        <v>155</v>
      </c>
    </row>
    <row r="429" spans="2:13">
      <c r="E429" s="22">
        <f t="shared" ref="E429:E492" si="165">ROW(E429)</f>
        <v>429</v>
      </c>
      <c r="F429" s="9" t="s">
        <v>133</v>
      </c>
      <c r="L429" s="9" t="s">
        <v>157</v>
      </c>
      <c r="M429" s="22">
        <v>2</v>
      </c>
    </row>
    <row r="430" spans="2:13">
      <c r="E430" s="22">
        <f t="shared" si="165"/>
        <v>430</v>
      </c>
      <c r="F430" s="9" t="s">
        <v>30</v>
      </c>
      <c r="M430" s="22">
        <v>4.2</v>
      </c>
    </row>
    <row r="431" spans="2:13">
      <c r="E431" s="22">
        <f t="shared" si="165"/>
        <v>431</v>
      </c>
      <c r="F431" s="9" t="s">
        <v>116</v>
      </c>
      <c r="M431" s="22">
        <v>-2.1</v>
      </c>
    </row>
    <row r="432" spans="2:13">
      <c r="E432" s="22">
        <f t="shared" si="165"/>
        <v>432</v>
      </c>
      <c r="F432" s="9" t="s">
        <v>31</v>
      </c>
      <c r="G432" s="22">
        <v>90</v>
      </c>
      <c r="H432" s="22">
        <v>-90</v>
      </c>
      <c r="L432" s="9" t="s">
        <v>135</v>
      </c>
      <c r="M432" s="22">
        <f t="shared" ref="M432" si="166">IF(MOD(B419,2)=0,90,-90)</f>
        <v>90</v>
      </c>
    </row>
    <row r="433" spans="2:13">
      <c r="E433" s="22">
        <f t="shared" si="165"/>
        <v>433</v>
      </c>
      <c r="F433" s="9" t="s">
        <v>164</v>
      </c>
      <c r="L433" s="9" t="s">
        <v>157</v>
      </c>
      <c r="M433" s="22">
        <v>2</v>
      </c>
    </row>
    <row r="434" spans="2:13">
      <c r="E434" s="22">
        <f t="shared" si="165"/>
        <v>434</v>
      </c>
      <c r="F434" s="9" t="s">
        <v>167</v>
      </c>
      <c r="M434" s="22" t="b">
        <v>1</v>
      </c>
    </row>
    <row r="435" spans="2:13">
      <c r="E435" s="22">
        <f t="shared" si="165"/>
        <v>435</v>
      </c>
      <c r="F435" s="9" t="s">
        <v>108</v>
      </c>
      <c r="M435" s="22">
        <v>150</v>
      </c>
    </row>
    <row r="436" spans="2:13">
      <c r="B436" s="9">
        <f t="shared" ref="B436" si="167">QUOTIENT( D436-1,G437)+1</f>
        <v>2</v>
      </c>
      <c r="C436" s="22">
        <f t="shared" ref="C436" si="168">D436-(B436-1)*G437</f>
        <v>5</v>
      </c>
      <c r="D436" s="22">
        <f>COUNT($D$27:$D435)+1</f>
        <v>25</v>
      </c>
    </row>
    <row r="437" spans="2:13">
      <c r="E437" s="22">
        <f t="shared" ref="E437:E438" si="169">ROW(E437)</f>
        <v>437</v>
      </c>
      <c r="F437" s="9" t="s">
        <v>93</v>
      </c>
      <c r="G437" s="22">
        <v>20</v>
      </c>
      <c r="H437" s="22">
        <v>2</v>
      </c>
      <c r="J437" s="9">
        <v>13000</v>
      </c>
      <c r="M437" s="22">
        <f t="shared" ref="M437" si="170">$J$29+D436</f>
        <v>13025</v>
      </c>
    </row>
    <row r="438" spans="2:13">
      <c r="E438" s="22">
        <f t="shared" si="169"/>
        <v>438</v>
      </c>
      <c r="F438" s="9" t="s">
        <v>146</v>
      </c>
      <c r="M438" s="22">
        <v>12900</v>
      </c>
    </row>
    <row r="439" spans="2:13">
      <c r="E439" s="22">
        <f t="shared" si="165"/>
        <v>439</v>
      </c>
      <c r="F439" s="9" t="s">
        <v>127</v>
      </c>
      <c r="G439" s="22">
        <v>5</v>
      </c>
      <c r="M439" s="22">
        <f t="shared" ref="M439" si="171">C436*G439</f>
        <v>25</v>
      </c>
    </row>
    <row r="440" spans="2:13">
      <c r="E440" s="22">
        <f t="shared" si="165"/>
        <v>440</v>
      </c>
      <c r="F440" s="9" t="s">
        <v>29</v>
      </c>
      <c r="M440" s="22" t="s">
        <v>161</v>
      </c>
    </row>
    <row r="441" spans="2:13">
      <c r="E441" s="22">
        <f t="shared" si="165"/>
        <v>441</v>
      </c>
      <c r="F441" s="9" t="s">
        <v>119</v>
      </c>
      <c r="M441" s="22" t="s">
        <v>162</v>
      </c>
    </row>
    <row r="442" spans="2:13">
      <c r="E442" s="22">
        <f t="shared" si="165"/>
        <v>442</v>
      </c>
      <c r="F442" s="9" t="s">
        <v>99</v>
      </c>
      <c r="K442" s="9" t="s">
        <v>138</v>
      </c>
      <c r="M442" s="22">
        <v>2</v>
      </c>
    </row>
    <row r="443" spans="2:13">
      <c r="E443" s="22">
        <f t="shared" si="165"/>
        <v>443</v>
      </c>
      <c r="F443" s="9" t="s">
        <v>163</v>
      </c>
      <c r="K443" s="9" t="s">
        <v>153</v>
      </c>
    </row>
    <row r="444" spans="2:13">
      <c r="E444" s="22">
        <f t="shared" si="165"/>
        <v>444</v>
      </c>
      <c r="F444" s="9" t="s">
        <v>134</v>
      </c>
      <c r="G444" s="22">
        <v>-7</v>
      </c>
      <c r="H444" s="22">
        <v>1</v>
      </c>
      <c r="K444" s="9" t="s">
        <v>154</v>
      </c>
      <c r="M444" s="22">
        <f t="shared" ref="M444" si="172">G444+H444*C436</f>
        <v>-2</v>
      </c>
    </row>
    <row r="445" spans="2:13">
      <c r="E445" s="22">
        <f t="shared" si="165"/>
        <v>445</v>
      </c>
      <c r="F445" s="9" t="s">
        <v>134</v>
      </c>
      <c r="K445" s="9" t="s">
        <v>155</v>
      </c>
    </row>
    <row r="446" spans="2:13">
      <c r="E446" s="22">
        <f t="shared" si="165"/>
        <v>446</v>
      </c>
      <c r="F446" s="9" t="s">
        <v>133</v>
      </c>
      <c r="L446" s="9" t="s">
        <v>157</v>
      </c>
      <c r="M446" s="22">
        <v>2</v>
      </c>
    </row>
    <row r="447" spans="2:13">
      <c r="E447" s="22">
        <f t="shared" si="165"/>
        <v>447</v>
      </c>
      <c r="F447" s="9" t="s">
        <v>30</v>
      </c>
      <c r="M447" s="22">
        <v>4.2</v>
      </c>
    </row>
    <row r="448" spans="2:13">
      <c r="E448" s="22">
        <f t="shared" si="165"/>
        <v>448</v>
      </c>
      <c r="F448" s="9" t="s">
        <v>116</v>
      </c>
      <c r="M448" s="22">
        <v>-2.1</v>
      </c>
    </row>
    <row r="449" spans="2:13">
      <c r="E449" s="22">
        <f t="shared" si="165"/>
        <v>449</v>
      </c>
      <c r="F449" s="9" t="s">
        <v>31</v>
      </c>
      <c r="G449" s="22">
        <v>90</v>
      </c>
      <c r="H449" s="22">
        <v>-90</v>
      </c>
      <c r="L449" s="9" t="s">
        <v>135</v>
      </c>
      <c r="M449" s="22">
        <f t="shared" ref="M449" si="173">IF(MOD(B436,2)=0,90,-90)</f>
        <v>90</v>
      </c>
    </row>
    <row r="450" spans="2:13">
      <c r="E450" s="22">
        <f t="shared" si="165"/>
        <v>450</v>
      </c>
      <c r="F450" s="9" t="s">
        <v>164</v>
      </c>
      <c r="L450" s="9" t="s">
        <v>157</v>
      </c>
      <c r="M450" s="22">
        <v>2</v>
      </c>
    </row>
    <row r="451" spans="2:13">
      <c r="E451" s="22">
        <f t="shared" si="165"/>
        <v>451</v>
      </c>
      <c r="F451" s="9" t="s">
        <v>167</v>
      </c>
      <c r="M451" s="22" t="b">
        <v>1</v>
      </c>
    </row>
    <row r="452" spans="2:13">
      <c r="E452" s="22">
        <f t="shared" si="165"/>
        <v>452</v>
      </c>
      <c r="F452" s="9" t="s">
        <v>108</v>
      </c>
      <c r="M452" s="22">
        <v>150</v>
      </c>
    </row>
    <row r="453" spans="2:13">
      <c r="B453" s="9">
        <f t="shared" ref="B453" si="174">QUOTIENT( D453-1,G454)+1</f>
        <v>2</v>
      </c>
      <c r="C453" s="22">
        <f t="shared" ref="C453" si="175">D453-(B453-1)*G454</f>
        <v>6</v>
      </c>
      <c r="D453" s="22">
        <f>COUNT($D$27:$D452)+1</f>
        <v>26</v>
      </c>
    </row>
    <row r="454" spans="2:13">
      <c r="E454" s="22">
        <f t="shared" ref="E454:E455" si="176">ROW(E454)</f>
        <v>454</v>
      </c>
      <c r="F454" s="9" t="s">
        <v>93</v>
      </c>
      <c r="G454" s="22">
        <v>20</v>
      </c>
      <c r="H454" s="22">
        <v>2</v>
      </c>
      <c r="J454" s="9">
        <v>13000</v>
      </c>
      <c r="M454" s="22">
        <f t="shared" ref="M454" si="177">$J$29+D453</f>
        <v>13026</v>
      </c>
    </row>
    <row r="455" spans="2:13">
      <c r="E455" s="22">
        <f t="shared" si="176"/>
        <v>455</v>
      </c>
      <c r="F455" s="9" t="s">
        <v>146</v>
      </c>
      <c r="M455" s="22">
        <v>12900</v>
      </c>
    </row>
    <row r="456" spans="2:13">
      <c r="E456" s="22">
        <f t="shared" si="165"/>
        <v>456</v>
      </c>
      <c r="F456" s="9" t="s">
        <v>127</v>
      </c>
      <c r="G456" s="22">
        <v>5</v>
      </c>
      <c r="M456" s="22">
        <f t="shared" ref="M456" si="178">C453*G456</f>
        <v>30</v>
      </c>
    </row>
    <row r="457" spans="2:13">
      <c r="E457" s="22">
        <f t="shared" si="165"/>
        <v>457</v>
      </c>
      <c r="F457" s="9" t="s">
        <v>29</v>
      </c>
      <c r="M457" s="22" t="s">
        <v>161</v>
      </c>
    </row>
    <row r="458" spans="2:13">
      <c r="E458" s="22">
        <f t="shared" si="165"/>
        <v>458</v>
      </c>
      <c r="F458" s="9" t="s">
        <v>119</v>
      </c>
      <c r="M458" s="22" t="s">
        <v>162</v>
      </c>
    </row>
    <row r="459" spans="2:13">
      <c r="E459" s="22">
        <f t="shared" si="165"/>
        <v>459</v>
      </c>
      <c r="F459" s="9" t="s">
        <v>99</v>
      </c>
      <c r="K459" s="9" t="s">
        <v>138</v>
      </c>
      <c r="M459" s="22">
        <v>2</v>
      </c>
    </row>
    <row r="460" spans="2:13">
      <c r="E460" s="22">
        <f t="shared" si="165"/>
        <v>460</v>
      </c>
      <c r="F460" s="9" t="s">
        <v>163</v>
      </c>
      <c r="K460" s="9" t="s">
        <v>153</v>
      </c>
    </row>
    <row r="461" spans="2:13">
      <c r="E461" s="22">
        <f t="shared" si="165"/>
        <v>461</v>
      </c>
      <c r="F461" s="9" t="s">
        <v>134</v>
      </c>
      <c r="G461" s="22">
        <v>-7</v>
      </c>
      <c r="H461" s="22">
        <v>1</v>
      </c>
      <c r="K461" s="9" t="s">
        <v>154</v>
      </c>
      <c r="M461" s="22">
        <f t="shared" ref="M461" si="179">G461+H461*C453</f>
        <v>-1</v>
      </c>
    </row>
    <row r="462" spans="2:13">
      <c r="E462" s="22">
        <f t="shared" si="165"/>
        <v>462</v>
      </c>
      <c r="F462" s="9" t="s">
        <v>134</v>
      </c>
      <c r="K462" s="9" t="s">
        <v>155</v>
      </c>
    </row>
    <row r="463" spans="2:13">
      <c r="E463" s="22">
        <f t="shared" si="165"/>
        <v>463</v>
      </c>
      <c r="F463" s="9" t="s">
        <v>133</v>
      </c>
      <c r="L463" s="9" t="s">
        <v>157</v>
      </c>
      <c r="M463" s="22">
        <v>2</v>
      </c>
    </row>
    <row r="464" spans="2:13">
      <c r="E464" s="22">
        <f t="shared" si="165"/>
        <v>464</v>
      </c>
      <c r="F464" s="9" t="s">
        <v>30</v>
      </c>
      <c r="M464" s="22">
        <v>4.2</v>
      </c>
    </row>
    <row r="465" spans="2:13">
      <c r="E465" s="22">
        <f t="shared" si="165"/>
        <v>465</v>
      </c>
      <c r="F465" s="9" t="s">
        <v>116</v>
      </c>
      <c r="M465" s="22">
        <v>-2.1</v>
      </c>
    </row>
    <row r="466" spans="2:13">
      <c r="E466" s="22">
        <f t="shared" si="165"/>
        <v>466</v>
      </c>
      <c r="F466" s="9" t="s">
        <v>31</v>
      </c>
      <c r="G466" s="22">
        <v>90</v>
      </c>
      <c r="H466" s="22">
        <v>-90</v>
      </c>
      <c r="L466" s="9" t="s">
        <v>135</v>
      </c>
      <c r="M466" s="22">
        <f t="shared" ref="M466" si="180">IF(MOD(B453,2)=0,90,-90)</f>
        <v>90</v>
      </c>
    </row>
    <row r="467" spans="2:13">
      <c r="E467" s="22">
        <f t="shared" si="165"/>
        <v>467</v>
      </c>
      <c r="F467" s="9" t="s">
        <v>164</v>
      </c>
      <c r="L467" s="9" t="s">
        <v>157</v>
      </c>
      <c r="M467" s="22">
        <v>2</v>
      </c>
    </row>
    <row r="468" spans="2:13">
      <c r="E468" s="22">
        <f t="shared" si="165"/>
        <v>468</v>
      </c>
      <c r="F468" s="9" t="s">
        <v>167</v>
      </c>
      <c r="M468" s="22" t="b">
        <v>1</v>
      </c>
    </row>
    <row r="469" spans="2:13">
      <c r="E469" s="22">
        <f t="shared" si="165"/>
        <v>469</v>
      </c>
      <c r="F469" s="9" t="s">
        <v>108</v>
      </c>
      <c r="M469" s="22">
        <v>150</v>
      </c>
    </row>
    <row r="470" spans="2:13">
      <c r="B470" s="9">
        <f t="shared" ref="B470" si="181">QUOTIENT( D470-1,G471)+1</f>
        <v>2</v>
      </c>
      <c r="C470" s="22">
        <f t="shared" ref="C470" si="182">D470-(B470-1)*G471</f>
        <v>7</v>
      </c>
      <c r="D470" s="22">
        <f>COUNT($D$27:$D469)+1</f>
        <v>27</v>
      </c>
    </row>
    <row r="471" spans="2:13">
      <c r="E471" s="22">
        <f t="shared" ref="E471:E472" si="183">ROW(E471)</f>
        <v>471</v>
      </c>
      <c r="F471" s="9" t="s">
        <v>93</v>
      </c>
      <c r="G471" s="22">
        <v>20</v>
      </c>
      <c r="H471" s="22">
        <v>2</v>
      </c>
      <c r="J471" s="9">
        <v>13000</v>
      </c>
      <c r="M471" s="22">
        <f t="shared" ref="M471" si="184">$J$29+D470</f>
        <v>13027</v>
      </c>
    </row>
    <row r="472" spans="2:13">
      <c r="E472" s="22">
        <f t="shared" si="183"/>
        <v>472</v>
      </c>
      <c r="F472" s="9" t="s">
        <v>146</v>
      </c>
      <c r="M472" s="22">
        <v>12900</v>
      </c>
    </row>
    <row r="473" spans="2:13">
      <c r="E473" s="22">
        <f t="shared" si="165"/>
        <v>473</v>
      </c>
      <c r="F473" s="9" t="s">
        <v>127</v>
      </c>
      <c r="G473" s="22">
        <v>5</v>
      </c>
      <c r="M473" s="22">
        <f t="shared" ref="M473" si="185">C470*G473</f>
        <v>35</v>
      </c>
    </row>
    <row r="474" spans="2:13">
      <c r="E474" s="22">
        <f t="shared" si="165"/>
        <v>474</v>
      </c>
      <c r="F474" s="9" t="s">
        <v>29</v>
      </c>
      <c r="M474" s="22" t="s">
        <v>161</v>
      </c>
    </row>
    <row r="475" spans="2:13">
      <c r="E475" s="22">
        <f t="shared" si="165"/>
        <v>475</v>
      </c>
      <c r="F475" s="9" t="s">
        <v>119</v>
      </c>
      <c r="M475" s="22" t="s">
        <v>162</v>
      </c>
    </row>
    <row r="476" spans="2:13">
      <c r="E476" s="22">
        <f t="shared" si="165"/>
        <v>476</v>
      </c>
      <c r="F476" s="9" t="s">
        <v>99</v>
      </c>
      <c r="K476" s="9" t="s">
        <v>138</v>
      </c>
      <c r="M476" s="22">
        <v>2</v>
      </c>
    </row>
    <row r="477" spans="2:13">
      <c r="E477" s="22">
        <f t="shared" si="165"/>
        <v>477</v>
      </c>
      <c r="F477" s="9" t="s">
        <v>163</v>
      </c>
      <c r="K477" s="9" t="s">
        <v>153</v>
      </c>
    </row>
    <row r="478" spans="2:13">
      <c r="E478" s="22">
        <f t="shared" si="165"/>
        <v>478</v>
      </c>
      <c r="F478" s="9" t="s">
        <v>134</v>
      </c>
      <c r="G478" s="22">
        <v>-7</v>
      </c>
      <c r="H478" s="22">
        <v>1</v>
      </c>
      <c r="K478" s="9" t="s">
        <v>154</v>
      </c>
      <c r="M478" s="22">
        <f t="shared" ref="M478" si="186">G478+H478*C470</f>
        <v>0</v>
      </c>
    </row>
    <row r="479" spans="2:13">
      <c r="E479" s="22">
        <f t="shared" si="165"/>
        <v>479</v>
      </c>
      <c r="F479" s="9" t="s">
        <v>134</v>
      </c>
      <c r="K479" s="9" t="s">
        <v>155</v>
      </c>
    </row>
    <row r="480" spans="2:13">
      <c r="E480" s="22">
        <f t="shared" si="165"/>
        <v>480</v>
      </c>
      <c r="F480" s="9" t="s">
        <v>133</v>
      </c>
      <c r="L480" s="9" t="s">
        <v>157</v>
      </c>
      <c r="M480" s="22">
        <v>2</v>
      </c>
    </row>
    <row r="481" spans="2:13">
      <c r="E481" s="22">
        <f t="shared" si="165"/>
        <v>481</v>
      </c>
      <c r="F481" s="9" t="s">
        <v>30</v>
      </c>
      <c r="M481" s="22">
        <v>4.2</v>
      </c>
    </row>
    <row r="482" spans="2:13">
      <c r="E482" s="22">
        <f t="shared" si="165"/>
        <v>482</v>
      </c>
      <c r="F482" s="9" t="s">
        <v>116</v>
      </c>
      <c r="M482" s="22">
        <v>-2.1</v>
      </c>
    </row>
    <row r="483" spans="2:13">
      <c r="E483" s="22">
        <f t="shared" si="165"/>
        <v>483</v>
      </c>
      <c r="F483" s="9" t="s">
        <v>31</v>
      </c>
      <c r="G483" s="22">
        <v>90</v>
      </c>
      <c r="H483" s="22">
        <v>-90</v>
      </c>
      <c r="L483" s="9" t="s">
        <v>135</v>
      </c>
      <c r="M483" s="22">
        <f t="shared" ref="M483" si="187">IF(MOD(B470,2)=0,90,-90)</f>
        <v>90</v>
      </c>
    </row>
    <row r="484" spans="2:13">
      <c r="E484" s="22">
        <f t="shared" si="165"/>
        <v>484</v>
      </c>
      <c r="F484" s="9" t="s">
        <v>164</v>
      </c>
      <c r="L484" s="9" t="s">
        <v>157</v>
      </c>
      <c r="M484" s="22">
        <v>2</v>
      </c>
    </row>
    <row r="485" spans="2:13">
      <c r="E485" s="22">
        <f t="shared" si="165"/>
        <v>485</v>
      </c>
      <c r="F485" s="9" t="s">
        <v>167</v>
      </c>
      <c r="M485" s="22" t="b">
        <v>1</v>
      </c>
    </row>
    <row r="486" spans="2:13">
      <c r="E486" s="22">
        <f t="shared" si="165"/>
        <v>486</v>
      </c>
      <c r="F486" s="9" t="s">
        <v>108</v>
      </c>
      <c r="M486" s="22">
        <v>150</v>
      </c>
    </row>
    <row r="487" spans="2:13">
      <c r="B487" s="9">
        <f t="shared" ref="B487" si="188">QUOTIENT( D487-1,G488)+1</f>
        <v>2</v>
      </c>
      <c r="C487" s="22">
        <f t="shared" ref="C487" si="189">D487-(B487-1)*G488</f>
        <v>8</v>
      </c>
      <c r="D487" s="22">
        <f>COUNT($D$27:$D486)+1</f>
        <v>28</v>
      </c>
    </row>
    <row r="488" spans="2:13">
      <c r="E488" s="22">
        <f t="shared" ref="E488:E489" si="190">ROW(E488)</f>
        <v>488</v>
      </c>
      <c r="F488" s="9" t="s">
        <v>93</v>
      </c>
      <c r="G488" s="22">
        <v>20</v>
      </c>
      <c r="H488" s="22">
        <v>2</v>
      </c>
      <c r="J488" s="9">
        <v>13000</v>
      </c>
      <c r="M488" s="22">
        <f t="shared" ref="M488" si="191">$J$29+D487</f>
        <v>13028</v>
      </c>
    </row>
    <row r="489" spans="2:13">
      <c r="E489" s="22">
        <f t="shared" si="190"/>
        <v>489</v>
      </c>
      <c r="F489" s="9" t="s">
        <v>146</v>
      </c>
      <c r="M489" s="22">
        <v>12900</v>
      </c>
    </row>
    <row r="490" spans="2:13">
      <c r="E490" s="22">
        <f t="shared" si="165"/>
        <v>490</v>
      </c>
      <c r="F490" s="9" t="s">
        <v>127</v>
      </c>
      <c r="G490" s="22">
        <v>5</v>
      </c>
      <c r="M490" s="22">
        <f t="shared" ref="M490" si="192">C487*G490</f>
        <v>40</v>
      </c>
    </row>
    <row r="491" spans="2:13">
      <c r="E491" s="22">
        <f t="shared" si="165"/>
        <v>491</v>
      </c>
      <c r="F491" s="9" t="s">
        <v>29</v>
      </c>
      <c r="M491" s="22" t="s">
        <v>161</v>
      </c>
    </row>
    <row r="492" spans="2:13">
      <c r="E492" s="22">
        <f t="shared" si="165"/>
        <v>492</v>
      </c>
      <c r="F492" s="9" t="s">
        <v>119</v>
      </c>
      <c r="M492" s="22" t="s">
        <v>162</v>
      </c>
    </row>
    <row r="493" spans="2:13">
      <c r="E493" s="22">
        <f t="shared" ref="E493:E554" si="193">ROW(E493)</f>
        <v>493</v>
      </c>
      <c r="F493" s="9" t="s">
        <v>99</v>
      </c>
      <c r="K493" s="9" t="s">
        <v>138</v>
      </c>
      <c r="M493" s="22">
        <v>2</v>
      </c>
    </row>
    <row r="494" spans="2:13">
      <c r="E494" s="22">
        <f t="shared" si="193"/>
        <v>494</v>
      </c>
      <c r="F494" s="9" t="s">
        <v>163</v>
      </c>
      <c r="K494" s="9" t="s">
        <v>153</v>
      </c>
    </row>
    <row r="495" spans="2:13">
      <c r="E495" s="22">
        <f t="shared" si="193"/>
        <v>495</v>
      </c>
      <c r="F495" s="9" t="s">
        <v>134</v>
      </c>
      <c r="G495" s="22">
        <v>-7</v>
      </c>
      <c r="H495" s="22">
        <v>1</v>
      </c>
      <c r="K495" s="9" t="s">
        <v>154</v>
      </c>
      <c r="M495" s="22">
        <f t="shared" ref="M495" si="194">G495+H495*C487</f>
        <v>1</v>
      </c>
    </row>
    <row r="496" spans="2:13">
      <c r="E496" s="22">
        <f t="shared" si="193"/>
        <v>496</v>
      </c>
      <c r="F496" s="9" t="s">
        <v>134</v>
      </c>
      <c r="K496" s="9" t="s">
        <v>155</v>
      </c>
    </row>
    <row r="497" spans="2:13">
      <c r="E497" s="22">
        <f t="shared" si="193"/>
        <v>497</v>
      </c>
      <c r="F497" s="9" t="s">
        <v>133</v>
      </c>
      <c r="L497" s="9" t="s">
        <v>157</v>
      </c>
      <c r="M497" s="22">
        <v>2</v>
      </c>
    </row>
    <row r="498" spans="2:13">
      <c r="E498" s="22">
        <f t="shared" si="193"/>
        <v>498</v>
      </c>
      <c r="F498" s="9" t="s">
        <v>30</v>
      </c>
      <c r="M498" s="22">
        <v>4.2</v>
      </c>
    </row>
    <row r="499" spans="2:13">
      <c r="E499" s="22">
        <f t="shared" si="193"/>
        <v>499</v>
      </c>
      <c r="F499" s="9" t="s">
        <v>116</v>
      </c>
      <c r="M499" s="22">
        <v>-2.1</v>
      </c>
    </row>
    <row r="500" spans="2:13">
      <c r="E500" s="22">
        <f t="shared" si="193"/>
        <v>500</v>
      </c>
      <c r="F500" s="9" t="s">
        <v>31</v>
      </c>
      <c r="G500" s="22">
        <v>90</v>
      </c>
      <c r="H500" s="22">
        <v>-90</v>
      </c>
      <c r="L500" s="9" t="s">
        <v>135</v>
      </c>
      <c r="M500" s="22">
        <f t="shared" ref="M500" si="195">IF(MOD(B487,2)=0,90,-90)</f>
        <v>90</v>
      </c>
    </row>
    <row r="501" spans="2:13">
      <c r="E501" s="22">
        <f t="shared" si="193"/>
        <v>501</v>
      </c>
      <c r="F501" s="9" t="s">
        <v>164</v>
      </c>
      <c r="L501" s="9" t="s">
        <v>157</v>
      </c>
      <c r="M501" s="22">
        <v>2</v>
      </c>
    </row>
    <row r="502" spans="2:13">
      <c r="E502" s="22">
        <f t="shared" si="193"/>
        <v>502</v>
      </c>
      <c r="F502" s="9" t="s">
        <v>167</v>
      </c>
      <c r="M502" s="22" t="b">
        <v>1</v>
      </c>
    </row>
    <row r="503" spans="2:13">
      <c r="E503" s="22">
        <f t="shared" si="193"/>
        <v>503</v>
      </c>
      <c r="F503" s="9" t="s">
        <v>108</v>
      </c>
      <c r="M503" s="22">
        <v>150</v>
      </c>
    </row>
    <row r="504" spans="2:13">
      <c r="B504" s="9">
        <f t="shared" ref="B504" si="196">QUOTIENT( D504-1,G505)+1</f>
        <v>2</v>
      </c>
      <c r="C504" s="22">
        <f t="shared" ref="C504" si="197">D504-(B504-1)*G505</f>
        <v>9</v>
      </c>
      <c r="D504" s="22">
        <f>COUNT($D$27:$D503)+1</f>
        <v>29</v>
      </c>
    </row>
    <row r="505" spans="2:13">
      <c r="E505" s="22">
        <f t="shared" ref="E505:E506" si="198">ROW(E505)</f>
        <v>505</v>
      </c>
      <c r="F505" s="9" t="s">
        <v>93</v>
      </c>
      <c r="G505" s="22">
        <v>20</v>
      </c>
      <c r="H505" s="22">
        <v>2</v>
      </c>
      <c r="J505" s="9">
        <v>13000</v>
      </c>
      <c r="M505" s="22">
        <f t="shared" ref="M505" si="199">$J$29+D504</f>
        <v>13029</v>
      </c>
    </row>
    <row r="506" spans="2:13">
      <c r="E506" s="22">
        <f t="shared" si="198"/>
        <v>506</v>
      </c>
      <c r="F506" s="9" t="s">
        <v>146</v>
      </c>
      <c r="M506" s="22">
        <v>12900</v>
      </c>
    </row>
    <row r="507" spans="2:13">
      <c r="E507" s="22">
        <f t="shared" si="193"/>
        <v>507</v>
      </c>
      <c r="F507" s="9" t="s">
        <v>127</v>
      </c>
      <c r="G507" s="22">
        <v>5</v>
      </c>
      <c r="M507" s="22">
        <f t="shared" ref="M507" si="200">C504*G507</f>
        <v>45</v>
      </c>
    </row>
    <row r="508" spans="2:13">
      <c r="E508" s="22">
        <f t="shared" si="193"/>
        <v>508</v>
      </c>
      <c r="F508" s="9" t="s">
        <v>29</v>
      </c>
      <c r="M508" s="22" t="s">
        <v>161</v>
      </c>
    </row>
    <row r="509" spans="2:13">
      <c r="E509" s="22">
        <f t="shared" si="193"/>
        <v>509</v>
      </c>
      <c r="F509" s="9" t="s">
        <v>119</v>
      </c>
      <c r="M509" s="22" t="s">
        <v>162</v>
      </c>
    </row>
    <row r="510" spans="2:13">
      <c r="E510" s="22">
        <f t="shared" si="193"/>
        <v>510</v>
      </c>
      <c r="F510" s="9" t="s">
        <v>99</v>
      </c>
      <c r="K510" s="9" t="s">
        <v>138</v>
      </c>
      <c r="M510" s="22">
        <v>2</v>
      </c>
    </row>
    <row r="511" spans="2:13">
      <c r="E511" s="22">
        <f t="shared" si="193"/>
        <v>511</v>
      </c>
      <c r="F511" s="9" t="s">
        <v>163</v>
      </c>
      <c r="K511" s="9" t="s">
        <v>153</v>
      </c>
    </row>
    <row r="512" spans="2:13">
      <c r="E512" s="22">
        <f t="shared" si="193"/>
        <v>512</v>
      </c>
      <c r="F512" s="9" t="s">
        <v>134</v>
      </c>
      <c r="G512" s="22">
        <v>-7</v>
      </c>
      <c r="H512" s="22">
        <v>1</v>
      </c>
      <c r="K512" s="9" t="s">
        <v>154</v>
      </c>
      <c r="M512" s="22">
        <f t="shared" ref="M512" si="201">G512+H512*C504</f>
        <v>2</v>
      </c>
    </row>
    <row r="513" spans="2:13">
      <c r="E513" s="22">
        <f t="shared" si="193"/>
        <v>513</v>
      </c>
      <c r="F513" s="9" t="s">
        <v>134</v>
      </c>
      <c r="K513" s="9" t="s">
        <v>155</v>
      </c>
    </row>
    <row r="514" spans="2:13">
      <c r="E514" s="22">
        <f t="shared" si="193"/>
        <v>514</v>
      </c>
      <c r="F514" s="9" t="s">
        <v>133</v>
      </c>
      <c r="L514" s="9" t="s">
        <v>157</v>
      </c>
      <c r="M514" s="22">
        <v>2</v>
      </c>
    </row>
    <row r="515" spans="2:13">
      <c r="E515" s="22">
        <f t="shared" si="193"/>
        <v>515</v>
      </c>
      <c r="F515" s="9" t="s">
        <v>30</v>
      </c>
      <c r="M515" s="22">
        <v>4.2</v>
      </c>
    </row>
    <row r="516" spans="2:13">
      <c r="E516" s="22">
        <f t="shared" si="193"/>
        <v>516</v>
      </c>
      <c r="F516" s="9" t="s">
        <v>116</v>
      </c>
      <c r="M516" s="22">
        <v>-2.1</v>
      </c>
    </row>
    <row r="517" spans="2:13">
      <c r="E517" s="22">
        <f t="shared" si="193"/>
        <v>517</v>
      </c>
      <c r="F517" s="9" t="s">
        <v>31</v>
      </c>
      <c r="G517" s="22">
        <v>90</v>
      </c>
      <c r="H517" s="22">
        <v>-90</v>
      </c>
      <c r="L517" s="9" t="s">
        <v>135</v>
      </c>
      <c r="M517" s="22">
        <f t="shared" ref="M517" si="202">IF(MOD(B504,2)=0,90,-90)</f>
        <v>90</v>
      </c>
    </row>
    <row r="518" spans="2:13">
      <c r="E518" s="22">
        <f t="shared" si="193"/>
        <v>518</v>
      </c>
      <c r="F518" s="9" t="s">
        <v>164</v>
      </c>
      <c r="L518" s="9" t="s">
        <v>157</v>
      </c>
      <c r="M518" s="22">
        <v>2</v>
      </c>
    </row>
    <row r="519" spans="2:13">
      <c r="E519" s="22">
        <f t="shared" si="193"/>
        <v>519</v>
      </c>
      <c r="F519" s="9" t="s">
        <v>167</v>
      </c>
      <c r="M519" s="22" t="b">
        <v>1</v>
      </c>
    </row>
    <row r="520" spans="2:13">
      <c r="E520" s="22">
        <f t="shared" si="193"/>
        <v>520</v>
      </c>
      <c r="F520" s="9" t="s">
        <v>108</v>
      </c>
      <c r="M520" s="22">
        <v>150</v>
      </c>
    </row>
    <row r="521" spans="2:13">
      <c r="B521" s="9">
        <f t="shared" ref="B521" si="203">QUOTIENT( D521-1,G522)+1</f>
        <v>2</v>
      </c>
      <c r="C521" s="22">
        <f t="shared" ref="C521" si="204">D521-(B521-1)*G522</f>
        <v>10</v>
      </c>
      <c r="D521" s="22">
        <f>COUNT($D$27:$D520)+1</f>
        <v>30</v>
      </c>
    </row>
    <row r="522" spans="2:13">
      <c r="E522" s="22">
        <f t="shared" ref="E522:E523" si="205">ROW(E522)</f>
        <v>522</v>
      </c>
      <c r="F522" s="9" t="s">
        <v>93</v>
      </c>
      <c r="G522" s="22">
        <v>20</v>
      </c>
      <c r="H522" s="22">
        <v>2</v>
      </c>
      <c r="J522" s="9">
        <v>13000</v>
      </c>
      <c r="M522" s="22">
        <f t="shared" ref="M522" si="206">$J$29+D521</f>
        <v>13030</v>
      </c>
    </row>
    <row r="523" spans="2:13">
      <c r="E523" s="22">
        <f t="shared" si="205"/>
        <v>523</v>
      </c>
      <c r="F523" s="9" t="s">
        <v>146</v>
      </c>
      <c r="M523" s="22">
        <v>12900</v>
      </c>
    </row>
    <row r="524" spans="2:13">
      <c r="E524" s="22">
        <f t="shared" si="193"/>
        <v>524</v>
      </c>
      <c r="F524" s="9" t="s">
        <v>127</v>
      </c>
      <c r="G524" s="22">
        <v>5</v>
      </c>
      <c r="M524" s="22">
        <f t="shared" ref="M524" si="207">C521*G524</f>
        <v>50</v>
      </c>
    </row>
    <row r="525" spans="2:13">
      <c r="E525" s="22">
        <f t="shared" si="193"/>
        <v>525</v>
      </c>
      <c r="F525" s="9" t="s">
        <v>29</v>
      </c>
      <c r="M525" s="22" t="s">
        <v>161</v>
      </c>
    </row>
    <row r="526" spans="2:13">
      <c r="E526" s="22">
        <f t="shared" si="193"/>
        <v>526</v>
      </c>
      <c r="F526" s="9" t="s">
        <v>119</v>
      </c>
      <c r="M526" s="22" t="s">
        <v>162</v>
      </c>
    </row>
    <row r="527" spans="2:13">
      <c r="E527" s="22">
        <f t="shared" si="193"/>
        <v>527</v>
      </c>
      <c r="F527" s="9" t="s">
        <v>99</v>
      </c>
      <c r="K527" s="9" t="s">
        <v>138</v>
      </c>
      <c r="M527" s="22">
        <v>2</v>
      </c>
    </row>
    <row r="528" spans="2:13">
      <c r="E528" s="22">
        <f t="shared" si="193"/>
        <v>528</v>
      </c>
      <c r="F528" s="9" t="s">
        <v>163</v>
      </c>
      <c r="K528" s="9" t="s">
        <v>153</v>
      </c>
    </row>
    <row r="529" spans="2:13">
      <c r="E529" s="22">
        <f t="shared" si="193"/>
        <v>529</v>
      </c>
      <c r="F529" s="9" t="s">
        <v>134</v>
      </c>
      <c r="G529" s="22">
        <v>-7</v>
      </c>
      <c r="H529" s="22">
        <v>1</v>
      </c>
      <c r="K529" s="9" t="s">
        <v>154</v>
      </c>
      <c r="M529" s="22">
        <f t="shared" ref="M529" si="208">G529+H529*C521</f>
        <v>3</v>
      </c>
    </row>
    <row r="530" spans="2:13">
      <c r="E530" s="22">
        <f t="shared" si="193"/>
        <v>530</v>
      </c>
      <c r="F530" s="9" t="s">
        <v>134</v>
      </c>
      <c r="K530" s="9" t="s">
        <v>155</v>
      </c>
    </row>
    <row r="531" spans="2:13">
      <c r="E531" s="22">
        <f t="shared" si="193"/>
        <v>531</v>
      </c>
      <c r="F531" s="9" t="s">
        <v>133</v>
      </c>
      <c r="L531" s="9" t="s">
        <v>157</v>
      </c>
      <c r="M531" s="22">
        <v>2</v>
      </c>
    </row>
    <row r="532" spans="2:13">
      <c r="E532" s="22">
        <f t="shared" si="193"/>
        <v>532</v>
      </c>
      <c r="F532" s="9" t="s">
        <v>30</v>
      </c>
      <c r="M532" s="22">
        <v>4.2</v>
      </c>
    </row>
    <row r="533" spans="2:13">
      <c r="E533" s="22">
        <f t="shared" si="193"/>
        <v>533</v>
      </c>
      <c r="F533" s="9" t="s">
        <v>116</v>
      </c>
      <c r="M533" s="22">
        <v>-2.1</v>
      </c>
    </row>
    <row r="534" spans="2:13">
      <c r="E534" s="22">
        <f t="shared" si="193"/>
        <v>534</v>
      </c>
      <c r="F534" s="9" t="s">
        <v>31</v>
      </c>
      <c r="G534" s="22">
        <v>90</v>
      </c>
      <c r="H534" s="22">
        <v>-90</v>
      </c>
      <c r="L534" s="9" t="s">
        <v>135</v>
      </c>
      <c r="M534" s="22">
        <f t="shared" ref="M534" si="209">IF(MOD(B521,2)=0,90,-90)</f>
        <v>90</v>
      </c>
    </row>
    <row r="535" spans="2:13">
      <c r="E535" s="22">
        <f t="shared" si="193"/>
        <v>535</v>
      </c>
      <c r="F535" s="9" t="s">
        <v>164</v>
      </c>
      <c r="L535" s="9" t="s">
        <v>157</v>
      </c>
      <c r="M535" s="22">
        <v>2</v>
      </c>
    </row>
    <row r="536" spans="2:13">
      <c r="E536" s="22">
        <f t="shared" si="193"/>
        <v>536</v>
      </c>
      <c r="F536" s="9" t="s">
        <v>167</v>
      </c>
      <c r="M536" s="22" t="b">
        <v>1</v>
      </c>
    </row>
    <row r="537" spans="2:13">
      <c r="E537" s="22">
        <f t="shared" si="193"/>
        <v>537</v>
      </c>
      <c r="F537" s="9" t="s">
        <v>108</v>
      </c>
      <c r="M537" s="22">
        <v>150</v>
      </c>
    </row>
    <row r="538" spans="2:13">
      <c r="B538" s="9">
        <f t="shared" ref="B538" si="210">QUOTIENT( D538-1,G539)+1</f>
        <v>2</v>
      </c>
      <c r="C538" s="22">
        <f t="shared" ref="C538" si="211">D538-(B538-1)*G539</f>
        <v>11</v>
      </c>
      <c r="D538" s="22">
        <f>COUNT($D$27:$D537)+1</f>
        <v>31</v>
      </c>
    </row>
    <row r="539" spans="2:13">
      <c r="E539" s="22">
        <f t="shared" ref="E539:E540" si="212">ROW(E539)</f>
        <v>539</v>
      </c>
      <c r="F539" s="9" t="s">
        <v>93</v>
      </c>
      <c r="G539" s="22">
        <v>20</v>
      </c>
      <c r="H539" s="22">
        <v>2</v>
      </c>
      <c r="J539" s="9">
        <v>13000</v>
      </c>
      <c r="M539" s="22">
        <f t="shared" ref="M539" si="213">$J$29+D538</f>
        <v>13031</v>
      </c>
    </row>
    <row r="540" spans="2:13">
      <c r="E540" s="22">
        <f t="shared" si="212"/>
        <v>540</v>
      </c>
      <c r="F540" s="9" t="s">
        <v>146</v>
      </c>
      <c r="M540" s="22">
        <v>12900</v>
      </c>
    </row>
    <row r="541" spans="2:13">
      <c r="E541" s="22">
        <f t="shared" si="193"/>
        <v>541</v>
      </c>
      <c r="F541" s="9" t="s">
        <v>127</v>
      </c>
      <c r="G541" s="22">
        <v>5</v>
      </c>
      <c r="M541" s="22">
        <f t="shared" ref="M541" si="214">C538*G541</f>
        <v>55</v>
      </c>
    </row>
    <row r="542" spans="2:13">
      <c r="E542" s="22">
        <f t="shared" si="193"/>
        <v>542</v>
      </c>
      <c r="F542" s="9" t="s">
        <v>29</v>
      </c>
      <c r="M542" s="22" t="s">
        <v>161</v>
      </c>
    </row>
    <row r="543" spans="2:13">
      <c r="E543" s="22">
        <f t="shared" si="193"/>
        <v>543</v>
      </c>
      <c r="F543" s="9" t="s">
        <v>119</v>
      </c>
      <c r="M543" s="22" t="s">
        <v>162</v>
      </c>
    </row>
    <row r="544" spans="2:13">
      <c r="E544" s="22">
        <f t="shared" si="193"/>
        <v>544</v>
      </c>
      <c r="F544" s="9" t="s">
        <v>99</v>
      </c>
      <c r="K544" s="9" t="s">
        <v>138</v>
      </c>
      <c r="M544" s="22">
        <v>2</v>
      </c>
    </row>
    <row r="545" spans="2:13">
      <c r="E545" s="22">
        <f t="shared" si="193"/>
        <v>545</v>
      </c>
      <c r="F545" s="9" t="s">
        <v>163</v>
      </c>
      <c r="K545" s="9" t="s">
        <v>153</v>
      </c>
    </row>
    <row r="546" spans="2:13">
      <c r="E546" s="22">
        <f t="shared" si="193"/>
        <v>546</v>
      </c>
      <c r="F546" s="9" t="s">
        <v>134</v>
      </c>
      <c r="G546" s="22">
        <v>-7</v>
      </c>
      <c r="H546" s="22">
        <v>1</v>
      </c>
      <c r="K546" s="9" t="s">
        <v>154</v>
      </c>
      <c r="M546" s="22">
        <f t="shared" ref="M546" si="215">G546+H546*C538</f>
        <v>4</v>
      </c>
    </row>
    <row r="547" spans="2:13">
      <c r="E547" s="22">
        <f t="shared" si="193"/>
        <v>547</v>
      </c>
      <c r="F547" s="9" t="s">
        <v>134</v>
      </c>
      <c r="K547" s="9" t="s">
        <v>155</v>
      </c>
    </row>
    <row r="548" spans="2:13">
      <c r="E548" s="22">
        <f t="shared" si="193"/>
        <v>548</v>
      </c>
      <c r="F548" s="9" t="s">
        <v>133</v>
      </c>
      <c r="L548" s="9" t="s">
        <v>157</v>
      </c>
      <c r="M548" s="22">
        <v>2</v>
      </c>
    </row>
    <row r="549" spans="2:13">
      <c r="E549" s="22">
        <f t="shared" si="193"/>
        <v>549</v>
      </c>
      <c r="F549" s="9" t="s">
        <v>30</v>
      </c>
      <c r="M549" s="22">
        <v>4.2</v>
      </c>
    </row>
    <row r="550" spans="2:13">
      <c r="E550" s="22">
        <f t="shared" si="193"/>
        <v>550</v>
      </c>
      <c r="F550" s="9" t="s">
        <v>116</v>
      </c>
      <c r="M550" s="22">
        <v>-2.1</v>
      </c>
    </row>
    <row r="551" spans="2:13">
      <c r="E551" s="22">
        <f t="shared" si="193"/>
        <v>551</v>
      </c>
      <c r="F551" s="9" t="s">
        <v>31</v>
      </c>
      <c r="G551" s="22">
        <v>90</v>
      </c>
      <c r="H551" s="22">
        <v>-90</v>
      </c>
      <c r="L551" s="9" t="s">
        <v>135</v>
      </c>
      <c r="M551" s="22">
        <f t="shared" ref="M551" si="216">IF(MOD(B538,2)=0,90,-90)</f>
        <v>90</v>
      </c>
    </row>
    <row r="552" spans="2:13">
      <c r="E552" s="22">
        <f t="shared" si="193"/>
        <v>552</v>
      </c>
      <c r="F552" s="9" t="s">
        <v>164</v>
      </c>
      <c r="L552" s="9" t="s">
        <v>157</v>
      </c>
      <c r="M552" s="22">
        <v>2</v>
      </c>
    </row>
    <row r="553" spans="2:13">
      <c r="E553" s="22">
        <f t="shared" si="193"/>
        <v>553</v>
      </c>
      <c r="F553" s="9" t="s">
        <v>167</v>
      </c>
      <c r="M553" s="22" t="b">
        <v>1</v>
      </c>
    </row>
    <row r="554" spans="2:13">
      <c r="E554" s="22">
        <f t="shared" si="193"/>
        <v>554</v>
      </c>
      <c r="F554" s="9" t="s">
        <v>108</v>
      </c>
      <c r="M554" s="22">
        <v>150</v>
      </c>
    </row>
    <row r="555" spans="2:13">
      <c r="B555" s="9">
        <f t="shared" ref="B555" si="217">QUOTIENT( D555-1,G556)+1</f>
        <v>2</v>
      </c>
      <c r="C555" s="22">
        <f t="shared" ref="C555" si="218">D555-(B555-1)*G556</f>
        <v>12</v>
      </c>
      <c r="D555" s="22">
        <f>COUNT($D$27:$D554)+1</f>
        <v>32</v>
      </c>
    </row>
    <row r="556" spans="2:13">
      <c r="E556" s="22">
        <f t="shared" ref="E556:E619" si="219">ROW(E556)</f>
        <v>556</v>
      </c>
      <c r="F556" s="9" t="s">
        <v>93</v>
      </c>
      <c r="G556" s="22">
        <v>20</v>
      </c>
      <c r="H556" s="22">
        <v>2</v>
      </c>
      <c r="J556" s="9">
        <v>13000</v>
      </c>
      <c r="M556" s="22">
        <f t="shared" ref="M556" si="220">$J$29+D555</f>
        <v>13032</v>
      </c>
    </row>
    <row r="557" spans="2:13">
      <c r="E557" s="22">
        <f t="shared" si="219"/>
        <v>557</v>
      </c>
      <c r="F557" s="9" t="s">
        <v>146</v>
      </c>
      <c r="M557" s="22">
        <v>12900</v>
      </c>
    </row>
    <row r="558" spans="2:13">
      <c r="E558" s="22">
        <f t="shared" si="219"/>
        <v>558</v>
      </c>
      <c r="F558" s="9" t="s">
        <v>127</v>
      </c>
      <c r="G558" s="22">
        <v>5</v>
      </c>
      <c r="M558" s="22">
        <f t="shared" ref="M558" si="221">C555*G558</f>
        <v>60</v>
      </c>
    </row>
    <row r="559" spans="2:13">
      <c r="E559" s="22">
        <f t="shared" si="219"/>
        <v>559</v>
      </c>
      <c r="F559" s="9" t="s">
        <v>29</v>
      </c>
      <c r="M559" s="22" t="s">
        <v>161</v>
      </c>
    </row>
    <row r="560" spans="2:13">
      <c r="E560" s="22">
        <f t="shared" si="219"/>
        <v>560</v>
      </c>
      <c r="F560" s="9" t="s">
        <v>119</v>
      </c>
      <c r="M560" s="22" t="s">
        <v>162</v>
      </c>
    </row>
    <row r="561" spans="2:13">
      <c r="E561" s="22">
        <f t="shared" si="219"/>
        <v>561</v>
      </c>
      <c r="F561" s="9" t="s">
        <v>99</v>
      </c>
      <c r="K561" s="9" t="s">
        <v>138</v>
      </c>
      <c r="M561" s="22">
        <v>2</v>
      </c>
    </row>
    <row r="562" spans="2:13">
      <c r="E562" s="22">
        <f t="shared" si="219"/>
        <v>562</v>
      </c>
      <c r="F562" s="9" t="s">
        <v>163</v>
      </c>
      <c r="K562" s="9" t="s">
        <v>153</v>
      </c>
    </row>
    <row r="563" spans="2:13">
      <c r="E563" s="22">
        <f t="shared" si="219"/>
        <v>563</v>
      </c>
      <c r="F563" s="9" t="s">
        <v>134</v>
      </c>
      <c r="G563" s="22">
        <v>-7</v>
      </c>
      <c r="H563" s="22">
        <v>1</v>
      </c>
      <c r="K563" s="9" t="s">
        <v>154</v>
      </c>
      <c r="M563" s="22">
        <f t="shared" ref="M563" si="222">G563+H563*C555</f>
        <v>5</v>
      </c>
    </row>
    <row r="564" spans="2:13">
      <c r="E564" s="22">
        <f t="shared" si="219"/>
        <v>564</v>
      </c>
      <c r="F564" s="9" t="s">
        <v>134</v>
      </c>
      <c r="K564" s="9" t="s">
        <v>155</v>
      </c>
    </row>
    <row r="565" spans="2:13">
      <c r="E565" s="22">
        <f t="shared" si="219"/>
        <v>565</v>
      </c>
      <c r="F565" s="9" t="s">
        <v>133</v>
      </c>
      <c r="L565" s="9" t="s">
        <v>157</v>
      </c>
      <c r="M565" s="22">
        <v>2</v>
      </c>
    </row>
    <row r="566" spans="2:13">
      <c r="E566" s="22">
        <f t="shared" si="219"/>
        <v>566</v>
      </c>
      <c r="F566" s="9" t="s">
        <v>30</v>
      </c>
      <c r="M566" s="22">
        <v>4.2</v>
      </c>
    </row>
    <row r="567" spans="2:13">
      <c r="E567" s="22">
        <f t="shared" si="219"/>
        <v>567</v>
      </c>
      <c r="F567" s="9" t="s">
        <v>116</v>
      </c>
      <c r="M567" s="22">
        <v>-2.1</v>
      </c>
    </row>
    <row r="568" spans="2:13">
      <c r="E568" s="22">
        <f t="shared" si="219"/>
        <v>568</v>
      </c>
      <c r="F568" s="9" t="s">
        <v>31</v>
      </c>
      <c r="G568" s="22">
        <v>90</v>
      </c>
      <c r="H568" s="22">
        <v>-90</v>
      </c>
      <c r="L568" s="9" t="s">
        <v>135</v>
      </c>
      <c r="M568" s="22">
        <f t="shared" ref="M568" si="223">IF(MOD(B555,2)=0,90,-90)</f>
        <v>90</v>
      </c>
    </row>
    <row r="569" spans="2:13">
      <c r="E569" s="22">
        <f t="shared" si="219"/>
        <v>569</v>
      </c>
      <c r="F569" s="9" t="s">
        <v>164</v>
      </c>
      <c r="L569" s="9" t="s">
        <v>157</v>
      </c>
      <c r="M569" s="22">
        <v>2</v>
      </c>
    </row>
    <row r="570" spans="2:13">
      <c r="E570" s="22">
        <f t="shared" si="219"/>
        <v>570</v>
      </c>
      <c r="F570" s="9" t="s">
        <v>167</v>
      </c>
      <c r="M570" s="22" t="b">
        <v>1</v>
      </c>
    </row>
    <row r="571" spans="2:13">
      <c r="E571" s="22">
        <f t="shared" si="219"/>
        <v>571</v>
      </c>
      <c r="F571" s="9" t="s">
        <v>108</v>
      </c>
      <c r="M571" s="22">
        <v>150</v>
      </c>
    </row>
    <row r="572" spans="2:13">
      <c r="B572" s="9">
        <f t="shared" ref="B572" si="224">QUOTIENT( D572-1,G573)+1</f>
        <v>2</v>
      </c>
      <c r="C572" s="22">
        <f t="shared" ref="C572" si="225">D572-(B572-1)*G573</f>
        <v>13</v>
      </c>
      <c r="D572" s="22">
        <f>COUNT($D$27:$D571)+1</f>
        <v>33</v>
      </c>
    </row>
    <row r="573" spans="2:13">
      <c r="E573" s="22">
        <f t="shared" ref="E573:E574" si="226">ROW(E573)</f>
        <v>573</v>
      </c>
      <c r="F573" s="9" t="s">
        <v>93</v>
      </c>
      <c r="G573" s="22">
        <v>20</v>
      </c>
      <c r="H573" s="22">
        <v>2</v>
      </c>
      <c r="J573" s="9">
        <v>13000</v>
      </c>
      <c r="M573" s="22">
        <f t="shared" ref="M573" si="227">$J$29+D572</f>
        <v>13033</v>
      </c>
    </row>
    <row r="574" spans="2:13">
      <c r="E574" s="22">
        <f t="shared" si="226"/>
        <v>574</v>
      </c>
      <c r="F574" s="9" t="s">
        <v>146</v>
      </c>
      <c r="M574" s="22">
        <v>12900</v>
      </c>
    </row>
    <row r="575" spans="2:13">
      <c r="E575" s="22">
        <f t="shared" si="219"/>
        <v>575</v>
      </c>
      <c r="F575" s="9" t="s">
        <v>127</v>
      </c>
      <c r="G575" s="22">
        <v>5</v>
      </c>
      <c r="M575" s="22">
        <f t="shared" ref="M575" si="228">C572*G575</f>
        <v>65</v>
      </c>
    </row>
    <row r="576" spans="2:13">
      <c r="E576" s="22">
        <f t="shared" si="219"/>
        <v>576</v>
      </c>
      <c r="F576" s="9" t="s">
        <v>29</v>
      </c>
      <c r="M576" s="22" t="s">
        <v>161</v>
      </c>
    </row>
    <row r="577" spans="2:13">
      <c r="E577" s="22">
        <f t="shared" si="219"/>
        <v>577</v>
      </c>
      <c r="F577" s="9" t="s">
        <v>119</v>
      </c>
      <c r="M577" s="22" t="s">
        <v>162</v>
      </c>
    </row>
    <row r="578" spans="2:13">
      <c r="E578" s="22">
        <f t="shared" si="219"/>
        <v>578</v>
      </c>
      <c r="F578" s="9" t="s">
        <v>99</v>
      </c>
      <c r="K578" s="9" t="s">
        <v>138</v>
      </c>
      <c r="M578" s="22">
        <v>2</v>
      </c>
    </row>
    <row r="579" spans="2:13">
      <c r="E579" s="22">
        <f t="shared" si="219"/>
        <v>579</v>
      </c>
      <c r="F579" s="9" t="s">
        <v>163</v>
      </c>
      <c r="K579" s="9" t="s">
        <v>153</v>
      </c>
    </row>
    <row r="580" spans="2:13">
      <c r="E580" s="22">
        <f t="shared" si="219"/>
        <v>580</v>
      </c>
      <c r="F580" s="9" t="s">
        <v>134</v>
      </c>
      <c r="G580" s="22">
        <v>-7</v>
      </c>
      <c r="H580" s="22">
        <v>1</v>
      </c>
      <c r="K580" s="9" t="s">
        <v>154</v>
      </c>
      <c r="M580" s="22">
        <f t="shared" ref="M580" si="229">G580+H580*C572</f>
        <v>6</v>
      </c>
    </row>
    <row r="581" spans="2:13">
      <c r="E581" s="22">
        <f t="shared" si="219"/>
        <v>581</v>
      </c>
      <c r="F581" s="9" t="s">
        <v>134</v>
      </c>
      <c r="K581" s="9" t="s">
        <v>155</v>
      </c>
    </row>
    <row r="582" spans="2:13">
      <c r="E582" s="22">
        <f t="shared" si="219"/>
        <v>582</v>
      </c>
      <c r="F582" s="9" t="s">
        <v>133</v>
      </c>
      <c r="L582" s="9" t="s">
        <v>157</v>
      </c>
      <c r="M582" s="22">
        <v>2</v>
      </c>
    </row>
    <row r="583" spans="2:13">
      <c r="E583" s="22">
        <f t="shared" si="219"/>
        <v>583</v>
      </c>
      <c r="F583" s="9" t="s">
        <v>30</v>
      </c>
      <c r="M583" s="22">
        <v>4.2</v>
      </c>
    </row>
    <row r="584" spans="2:13">
      <c r="E584" s="22">
        <f t="shared" si="219"/>
        <v>584</v>
      </c>
      <c r="F584" s="9" t="s">
        <v>116</v>
      </c>
      <c r="M584" s="22">
        <v>-2.1</v>
      </c>
    </row>
    <row r="585" spans="2:13">
      <c r="E585" s="22">
        <f t="shared" si="219"/>
        <v>585</v>
      </c>
      <c r="F585" s="9" t="s">
        <v>31</v>
      </c>
      <c r="G585" s="22">
        <v>90</v>
      </c>
      <c r="H585" s="22">
        <v>-90</v>
      </c>
      <c r="L585" s="9" t="s">
        <v>135</v>
      </c>
      <c r="M585" s="22">
        <f t="shared" ref="M585" si="230">IF(MOD(B572,2)=0,90,-90)</f>
        <v>90</v>
      </c>
    </row>
    <row r="586" spans="2:13">
      <c r="E586" s="22">
        <f t="shared" si="219"/>
        <v>586</v>
      </c>
      <c r="F586" s="9" t="s">
        <v>164</v>
      </c>
      <c r="L586" s="9" t="s">
        <v>157</v>
      </c>
      <c r="M586" s="22">
        <v>2</v>
      </c>
    </row>
    <row r="587" spans="2:13">
      <c r="E587" s="22">
        <f t="shared" si="219"/>
        <v>587</v>
      </c>
      <c r="F587" s="9" t="s">
        <v>167</v>
      </c>
      <c r="M587" s="22" t="b">
        <v>1</v>
      </c>
    </row>
    <row r="588" spans="2:13">
      <c r="E588" s="22">
        <f t="shared" si="219"/>
        <v>588</v>
      </c>
      <c r="F588" s="9" t="s">
        <v>108</v>
      </c>
      <c r="M588" s="22">
        <v>150</v>
      </c>
    </row>
    <row r="589" spans="2:13">
      <c r="B589" s="9">
        <f t="shared" ref="B589" si="231">QUOTIENT( D589-1,G590)+1</f>
        <v>2</v>
      </c>
      <c r="C589" s="22">
        <f t="shared" ref="C589" si="232">D589-(B589-1)*G590</f>
        <v>14</v>
      </c>
      <c r="D589" s="22">
        <f>COUNT($D$27:$D588)+1</f>
        <v>34</v>
      </c>
    </row>
    <row r="590" spans="2:13">
      <c r="E590" s="22">
        <f t="shared" ref="E590:E591" si="233">ROW(E590)</f>
        <v>590</v>
      </c>
      <c r="F590" s="9" t="s">
        <v>93</v>
      </c>
      <c r="G590" s="22">
        <v>20</v>
      </c>
      <c r="H590" s="22">
        <v>2</v>
      </c>
      <c r="J590" s="9">
        <v>13000</v>
      </c>
      <c r="M590" s="22">
        <f t="shared" ref="M590" si="234">$J$29+D589</f>
        <v>13034</v>
      </c>
    </row>
    <row r="591" spans="2:13">
      <c r="E591" s="22">
        <f t="shared" si="233"/>
        <v>591</v>
      </c>
      <c r="F591" s="9" t="s">
        <v>146</v>
      </c>
      <c r="M591" s="22">
        <v>12900</v>
      </c>
    </row>
    <row r="592" spans="2:13">
      <c r="E592" s="22">
        <f t="shared" si="219"/>
        <v>592</v>
      </c>
      <c r="F592" s="9" t="s">
        <v>127</v>
      </c>
      <c r="G592" s="22">
        <v>5</v>
      </c>
      <c r="M592" s="22">
        <f t="shared" ref="M592" si="235">C589*G592</f>
        <v>70</v>
      </c>
    </row>
    <row r="593" spans="2:13">
      <c r="E593" s="22">
        <f t="shared" si="219"/>
        <v>593</v>
      </c>
      <c r="F593" s="9" t="s">
        <v>29</v>
      </c>
      <c r="M593" s="22" t="s">
        <v>161</v>
      </c>
    </row>
    <row r="594" spans="2:13">
      <c r="E594" s="22">
        <f t="shared" si="219"/>
        <v>594</v>
      </c>
      <c r="F594" s="9" t="s">
        <v>119</v>
      </c>
      <c r="M594" s="22" t="s">
        <v>162</v>
      </c>
    </row>
    <row r="595" spans="2:13">
      <c r="E595" s="22">
        <f t="shared" si="219"/>
        <v>595</v>
      </c>
      <c r="F595" s="9" t="s">
        <v>99</v>
      </c>
      <c r="K595" s="9" t="s">
        <v>138</v>
      </c>
      <c r="M595" s="22">
        <v>2</v>
      </c>
    </row>
    <row r="596" spans="2:13">
      <c r="E596" s="22">
        <f t="shared" si="219"/>
        <v>596</v>
      </c>
      <c r="F596" s="9" t="s">
        <v>163</v>
      </c>
      <c r="K596" s="9" t="s">
        <v>153</v>
      </c>
    </row>
    <row r="597" spans="2:13">
      <c r="E597" s="22">
        <f t="shared" si="219"/>
        <v>597</v>
      </c>
      <c r="F597" s="9" t="s">
        <v>134</v>
      </c>
      <c r="G597" s="22">
        <v>-7</v>
      </c>
      <c r="H597" s="22">
        <v>1</v>
      </c>
      <c r="K597" s="9" t="s">
        <v>154</v>
      </c>
      <c r="M597" s="22">
        <f t="shared" ref="M597" si="236">G597+H597*C589</f>
        <v>7</v>
      </c>
    </row>
    <row r="598" spans="2:13">
      <c r="E598" s="22">
        <f t="shared" si="219"/>
        <v>598</v>
      </c>
      <c r="F598" s="9" t="s">
        <v>134</v>
      </c>
      <c r="K598" s="9" t="s">
        <v>155</v>
      </c>
    </row>
    <row r="599" spans="2:13">
      <c r="E599" s="22">
        <f t="shared" si="219"/>
        <v>599</v>
      </c>
      <c r="F599" s="9" t="s">
        <v>133</v>
      </c>
      <c r="L599" s="9" t="s">
        <v>157</v>
      </c>
      <c r="M599" s="22">
        <v>2</v>
      </c>
    </row>
    <row r="600" spans="2:13">
      <c r="E600" s="22">
        <f t="shared" si="219"/>
        <v>600</v>
      </c>
      <c r="F600" s="9" t="s">
        <v>30</v>
      </c>
      <c r="M600" s="22">
        <v>4.2</v>
      </c>
    </row>
    <row r="601" spans="2:13">
      <c r="E601" s="22">
        <f t="shared" si="219"/>
        <v>601</v>
      </c>
      <c r="F601" s="9" t="s">
        <v>116</v>
      </c>
      <c r="M601" s="22">
        <v>-2.1</v>
      </c>
    </row>
    <row r="602" spans="2:13">
      <c r="E602" s="22">
        <f t="shared" si="219"/>
        <v>602</v>
      </c>
      <c r="F602" s="9" t="s">
        <v>31</v>
      </c>
      <c r="G602" s="22">
        <v>90</v>
      </c>
      <c r="H602" s="22">
        <v>-90</v>
      </c>
      <c r="L602" s="9" t="s">
        <v>135</v>
      </c>
      <c r="M602" s="22">
        <f t="shared" ref="M602" si="237">IF(MOD(B589,2)=0,90,-90)</f>
        <v>90</v>
      </c>
    </row>
    <row r="603" spans="2:13">
      <c r="E603" s="22">
        <f t="shared" si="219"/>
        <v>603</v>
      </c>
      <c r="F603" s="9" t="s">
        <v>164</v>
      </c>
      <c r="L603" s="9" t="s">
        <v>157</v>
      </c>
      <c r="M603" s="22">
        <v>2</v>
      </c>
    </row>
    <row r="604" spans="2:13">
      <c r="E604" s="22">
        <f t="shared" si="219"/>
        <v>604</v>
      </c>
      <c r="F604" s="9" t="s">
        <v>167</v>
      </c>
      <c r="M604" s="22" t="b">
        <v>1</v>
      </c>
    </row>
    <row r="605" spans="2:13">
      <c r="E605" s="22">
        <f t="shared" si="219"/>
        <v>605</v>
      </c>
      <c r="F605" s="9" t="s">
        <v>108</v>
      </c>
      <c r="M605" s="22">
        <v>150</v>
      </c>
    </row>
    <row r="606" spans="2:13">
      <c r="B606" s="9">
        <f t="shared" ref="B606" si="238">QUOTIENT( D606-1,G607)+1</f>
        <v>2</v>
      </c>
      <c r="C606" s="22">
        <f t="shared" ref="C606" si="239">D606-(B606-1)*G607</f>
        <v>15</v>
      </c>
      <c r="D606" s="22">
        <f>COUNT($D$27:$D605)+1</f>
        <v>35</v>
      </c>
    </row>
    <row r="607" spans="2:13">
      <c r="E607" s="22">
        <f t="shared" ref="E607:E608" si="240">ROW(E607)</f>
        <v>607</v>
      </c>
      <c r="F607" s="9" t="s">
        <v>93</v>
      </c>
      <c r="G607" s="22">
        <v>20</v>
      </c>
      <c r="H607" s="22">
        <v>2</v>
      </c>
      <c r="J607" s="9">
        <v>13000</v>
      </c>
      <c r="M607" s="22">
        <f t="shared" ref="M607" si="241">$J$29+D606</f>
        <v>13035</v>
      </c>
    </row>
    <row r="608" spans="2:13">
      <c r="E608" s="22">
        <f t="shared" si="240"/>
        <v>608</v>
      </c>
      <c r="F608" s="9" t="s">
        <v>146</v>
      </c>
      <c r="M608" s="22">
        <v>12900</v>
      </c>
    </row>
    <row r="609" spans="2:13">
      <c r="E609" s="22">
        <f t="shared" si="219"/>
        <v>609</v>
      </c>
      <c r="F609" s="9" t="s">
        <v>127</v>
      </c>
      <c r="G609" s="22">
        <v>5</v>
      </c>
      <c r="M609" s="22">
        <f t="shared" ref="M609" si="242">C606*G609</f>
        <v>75</v>
      </c>
    </row>
    <row r="610" spans="2:13">
      <c r="E610" s="22">
        <f t="shared" si="219"/>
        <v>610</v>
      </c>
      <c r="F610" s="9" t="s">
        <v>29</v>
      </c>
      <c r="M610" s="22" t="s">
        <v>161</v>
      </c>
    </row>
    <row r="611" spans="2:13">
      <c r="E611" s="22">
        <f t="shared" si="219"/>
        <v>611</v>
      </c>
      <c r="F611" s="9" t="s">
        <v>119</v>
      </c>
      <c r="M611" s="22" t="s">
        <v>162</v>
      </c>
    </row>
    <row r="612" spans="2:13">
      <c r="E612" s="22">
        <f t="shared" si="219"/>
        <v>612</v>
      </c>
      <c r="F612" s="9" t="s">
        <v>99</v>
      </c>
      <c r="K612" s="9" t="s">
        <v>138</v>
      </c>
      <c r="M612" s="22">
        <v>2</v>
      </c>
    </row>
    <row r="613" spans="2:13">
      <c r="E613" s="22">
        <f t="shared" si="219"/>
        <v>613</v>
      </c>
      <c r="F613" s="9" t="s">
        <v>163</v>
      </c>
      <c r="K613" s="9" t="s">
        <v>153</v>
      </c>
    </row>
    <row r="614" spans="2:13">
      <c r="E614" s="22">
        <f t="shared" si="219"/>
        <v>614</v>
      </c>
      <c r="F614" s="9" t="s">
        <v>134</v>
      </c>
      <c r="G614" s="22">
        <v>-7</v>
      </c>
      <c r="H614" s="22">
        <v>1</v>
      </c>
      <c r="K614" s="9" t="s">
        <v>154</v>
      </c>
      <c r="M614" s="22">
        <f t="shared" ref="M614" si="243">G614+H614*C606</f>
        <v>8</v>
      </c>
    </row>
    <row r="615" spans="2:13">
      <c r="E615" s="22">
        <f t="shared" si="219"/>
        <v>615</v>
      </c>
      <c r="F615" s="9" t="s">
        <v>134</v>
      </c>
      <c r="K615" s="9" t="s">
        <v>155</v>
      </c>
    </row>
    <row r="616" spans="2:13">
      <c r="E616" s="22">
        <f t="shared" si="219"/>
        <v>616</v>
      </c>
      <c r="F616" s="9" t="s">
        <v>133</v>
      </c>
      <c r="L616" s="9" t="s">
        <v>157</v>
      </c>
      <c r="M616" s="22">
        <v>2</v>
      </c>
    </row>
    <row r="617" spans="2:13">
      <c r="E617" s="22">
        <f t="shared" si="219"/>
        <v>617</v>
      </c>
      <c r="F617" s="9" t="s">
        <v>30</v>
      </c>
      <c r="M617" s="22">
        <v>4.2</v>
      </c>
    </row>
    <row r="618" spans="2:13">
      <c r="E618" s="22">
        <f t="shared" si="219"/>
        <v>618</v>
      </c>
      <c r="F618" s="9" t="s">
        <v>116</v>
      </c>
      <c r="M618" s="22">
        <v>-2.1</v>
      </c>
    </row>
    <row r="619" spans="2:13">
      <c r="E619" s="22">
        <f t="shared" si="219"/>
        <v>619</v>
      </c>
      <c r="F619" s="9" t="s">
        <v>31</v>
      </c>
      <c r="G619" s="22">
        <v>90</v>
      </c>
      <c r="H619" s="22">
        <v>-90</v>
      </c>
      <c r="L619" s="9" t="s">
        <v>135</v>
      </c>
      <c r="M619" s="22">
        <f t="shared" ref="M619" si="244">IF(MOD(B606,2)=0,90,-90)</f>
        <v>90</v>
      </c>
    </row>
    <row r="620" spans="2:13">
      <c r="E620" s="22">
        <f t="shared" ref="E620:E683" si="245">ROW(E620)</f>
        <v>620</v>
      </c>
      <c r="F620" s="9" t="s">
        <v>164</v>
      </c>
      <c r="L620" s="9" t="s">
        <v>157</v>
      </c>
      <c r="M620" s="22">
        <v>2</v>
      </c>
    </row>
    <row r="621" spans="2:13">
      <c r="E621" s="22">
        <f t="shared" si="245"/>
        <v>621</v>
      </c>
      <c r="F621" s="9" t="s">
        <v>167</v>
      </c>
      <c r="M621" s="22" t="b">
        <v>1</v>
      </c>
    </row>
    <row r="622" spans="2:13">
      <c r="E622" s="22">
        <f t="shared" si="245"/>
        <v>622</v>
      </c>
      <c r="F622" s="9" t="s">
        <v>108</v>
      </c>
      <c r="M622" s="22">
        <v>150</v>
      </c>
    </row>
    <row r="623" spans="2:13">
      <c r="B623" s="9">
        <f t="shared" ref="B623" si="246">QUOTIENT( D623-1,G624)+1</f>
        <v>2</v>
      </c>
      <c r="C623" s="22">
        <f t="shared" ref="C623" si="247">D623-(B623-1)*G624</f>
        <v>16</v>
      </c>
      <c r="D623" s="22">
        <f>COUNT($D$27:$D622)+1</f>
        <v>36</v>
      </c>
    </row>
    <row r="624" spans="2:13">
      <c r="E624" s="22">
        <f t="shared" ref="E624:E625" si="248">ROW(E624)</f>
        <v>624</v>
      </c>
      <c r="F624" s="9" t="s">
        <v>93</v>
      </c>
      <c r="G624" s="22">
        <v>20</v>
      </c>
      <c r="H624" s="22">
        <v>2</v>
      </c>
      <c r="J624" s="9">
        <v>13000</v>
      </c>
      <c r="M624" s="22">
        <f t="shared" ref="M624" si="249">$J$29+D623</f>
        <v>13036</v>
      </c>
    </row>
    <row r="625" spans="2:13">
      <c r="E625" s="22">
        <f t="shared" si="248"/>
        <v>625</v>
      </c>
      <c r="F625" s="9" t="s">
        <v>146</v>
      </c>
      <c r="M625" s="22">
        <v>12900</v>
      </c>
    </row>
    <row r="626" spans="2:13">
      <c r="E626" s="22">
        <f t="shared" si="245"/>
        <v>626</v>
      </c>
      <c r="F626" s="9" t="s">
        <v>127</v>
      </c>
      <c r="G626" s="22">
        <v>5</v>
      </c>
      <c r="M626" s="22">
        <f t="shared" ref="M626" si="250">C623*G626</f>
        <v>80</v>
      </c>
    </row>
    <row r="627" spans="2:13">
      <c r="E627" s="22">
        <f t="shared" si="245"/>
        <v>627</v>
      </c>
      <c r="F627" s="9" t="s">
        <v>29</v>
      </c>
      <c r="M627" s="22" t="s">
        <v>161</v>
      </c>
    </row>
    <row r="628" spans="2:13">
      <c r="E628" s="22">
        <f t="shared" si="245"/>
        <v>628</v>
      </c>
      <c r="F628" s="9" t="s">
        <v>119</v>
      </c>
      <c r="M628" s="22" t="s">
        <v>162</v>
      </c>
    </row>
    <row r="629" spans="2:13">
      <c r="E629" s="22">
        <f t="shared" si="245"/>
        <v>629</v>
      </c>
      <c r="F629" s="9" t="s">
        <v>99</v>
      </c>
      <c r="K629" s="9" t="s">
        <v>138</v>
      </c>
      <c r="M629" s="22">
        <v>2</v>
      </c>
    </row>
    <row r="630" spans="2:13">
      <c r="E630" s="22">
        <f t="shared" si="245"/>
        <v>630</v>
      </c>
      <c r="F630" s="9" t="s">
        <v>163</v>
      </c>
      <c r="K630" s="9" t="s">
        <v>153</v>
      </c>
    </row>
    <row r="631" spans="2:13">
      <c r="E631" s="22">
        <f t="shared" si="245"/>
        <v>631</v>
      </c>
      <c r="F631" s="9" t="s">
        <v>134</v>
      </c>
      <c r="G631" s="22">
        <v>-7</v>
      </c>
      <c r="H631" s="22">
        <v>1</v>
      </c>
      <c r="K631" s="9" t="s">
        <v>154</v>
      </c>
      <c r="M631" s="22">
        <f t="shared" ref="M631" si="251">G631+H631*C623</f>
        <v>9</v>
      </c>
    </row>
    <row r="632" spans="2:13">
      <c r="E632" s="22">
        <f t="shared" si="245"/>
        <v>632</v>
      </c>
      <c r="F632" s="9" t="s">
        <v>134</v>
      </c>
      <c r="K632" s="9" t="s">
        <v>155</v>
      </c>
    </row>
    <row r="633" spans="2:13">
      <c r="E633" s="22">
        <f t="shared" si="245"/>
        <v>633</v>
      </c>
      <c r="F633" s="9" t="s">
        <v>133</v>
      </c>
      <c r="L633" s="9" t="s">
        <v>157</v>
      </c>
      <c r="M633" s="22">
        <v>2</v>
      </c>
    </row>
    <row r="634" spans="2:13">
      <c r="E634" s="22">
        <f t="shared" si="245"/>
        <v>634</v>
      </c>
      <c r="F634" s="9" t="s">
        <v>30</v>
      </c>
      <c r="M634" s="22">
        <v>4.2</v>
      </c>
    </row>
    <row r="635" spans="2:13">
      <c r="E635" s="22">
        <f t="shared" si="245"/>
        <v>635</v>
      </c>
      <c r="F635" s="9" t="s">
        <v>116</v>
      </c>
      <c r="M635" s="22">
        <v>-2.1</v>
      </c>
    </row>
    <row r="636" spans="2:13">
      <c r="E636" s="22">
        <f t="shared" si="245"/>
        <v>636</v>
      </c>
      <c r="F636" s="9" t="s">
        <v>31</v>
      </c>
      <c r="G636" s="22">
        <v>90</v>
      </c>
      <c r="H636" s="22">
        <v>-90</v>
      </c>
      <c r="L636" s="9" t="s">
        <v>135</v>
      </c>
      <c r="M636" s="22">
        <f t="shared" ref="M636" si="252">IF(MOD(B623,2)=0,90,-90)</f>
        <v>90</v>
      </c>
    </row>
    <row r="637" spans="2:13">
      <c r="E637" s="22">
        <f t="shared" si="245"/>
        <v>637</v>
      </c>
      <c r="F637" s="9" t="s">
        <v>164</v>
      </c>
      <c r="L637" s="9" t="s">
        <v>157</v>
      </c>
      <c r="M637" s="22">
        <v>2</v>
      </c>
    </row>
    <row r="638" spans="2:13">
      <c r="E638" s="22">
        <f t="shared" si="245"/>
        <v>638</v>
      </c>
      <c r="F638" s="9" t="s">
        <v>167</v>
      </c>
      <c r="M638" s="22" t="b">
        <v>1</v>
      </c>
    </row>
    <row r="639" spans="2:13">
      <c r="E639" s="22">
        <f t="shared" si="245"/>
        <v>639</v>
      </c>
      <c r="F639" s="9" t="s">
        <v>108</v>
      </c>
      <c r="M639" s="22">
        <v>150</v>
      </c>
    </row>
    <row r="640" spans="2:13">
      <c r="B640" s="9">
        <f t="shared" ref="B640" si="253">QUOTIENT( D640-1,G641)+1</f>
        <v>2</v>
      </c>
      <c r="C640" s="22">
        <f t="shared" ref="C640" si="254">D640-(B640-1)*G641</f>
        <v>17</v>
      </c>
      <c r="D640" s="22">
        <f>COUNT($D$27:$D639)+1</f>
        <v>37</v>
      </c>
    </row>
    <row r="641" spans="5:13">
      <c r="E641" s="22">
        <f t="shared" ref="E641:E642" si="255">ROW(E641)</f>
        <v>641</v>
      </c>
      <c r="F641" s="9" t="s">
        <v>93</v>
      </c>
      <c r="G641" s="22">
        <v>20</v>
      </c>
      <c r="H641" s="22">
        <v>2</v>
      </c>
      <c r="J641" s="9">
        <v>13000</v>
      </c>
      <c r="M641" s="22">
        <f t="shared" ref="M641" si="256">$J$29+D640</f>
        <v>13037</v>
      </c>
    </row>
    <row r="642" spans="5:13">
      <c r="E642" s="22">
        <f t="shared" si="255"/>
        <v>642</v>
      </c>
      <c r="F642" s="9" t="s">
        <v>146</v>
      </c>
      <c r="M642" s="22">
        <v>12900</v>
      </c>
    </row>
    <row r="643" spans="5:13">
      <c r="E643" s="22">
        <f t="shared" si="245"/>
        <v>643</v>
      </c>
      <c r="F643" s="9" t="s">
        <v>127</v>
      </c>
      <c r="G643" s="22">
        <v>5</v>
      </c>
      <c r="M643" s="22">
        <f t="shared" ref="M643" si="257">C640*G643</f>
        <v>85</v>
      </c>
    </row>
    <row r="644" spans="5:13">
      <c r="E644" s="22">
        <f t="shared" si="245"/>
        <v>644</v>
      </c>
      <c r="F644" s="9" t="s">
        <v>29</v>
      </c>
      <c r="M644" s="22" t="s">
        <v>161</v>
      </c>
    </row>
    <row r="645" spans="5:13">
      <c r="E645" s="22">
        <f t="shared" si="245"/>
        <v>645</v>
      </c>
      <c r="F645" s="9" t="s">
        <v>119</v>
      </c>
      <c r="M645" s="22" t="s">
        <v>162</v>
      </c>
    </row>
    <row r="646" spans="5:13">
      <c r="E646" s="22">
        <f t="shared" si="245"/>
        <v>646</v>
      </c>
      <c r="F646" s="9" t="s">
        <v>99</v>
      </c>
      <c r="K646" s="9" t="s">
        <v>138</v>
      </c>
      <c r="M646" s="22">
        <v>2</v>
      </c>
    </row>
    <row r="647" spans="5:13">
      <c r="E647" s="22">
        <f t="shared" si="245"/>
        <v>647</v>
      </c>
      <c r="F647" s="9" t="s">
        <v>163</v>
      </c>
      <c r="K647" s="9" t="s">
        <v>153</v>
      </c>
    </row>
    <row r="648" spans="5:13">
      <c r="E648" s="22">
        <f t="shared" si="245"/>
        <v>648</v>
      </c>
      <c r="F648" s="9" t="s">
        <v>134</v>
      </c>
      <c r="G648" s="22">
        <v>-7</v>
      </c>
      <c r="H648" s="22">
        <v>1</v>
      </c>
      <c r="K648" s="9" t="s">
        <v>154</v>
      </c>
      <c r="M648" s="22">
        <f t="shared" ref="M648" si="258">G648+H648*C640</f>
        <v>10</v>
      </c>
    </row>
    <row r="649" spans="5:13">
      <c r="E649" s="22">
        <f t="shared" si="245"/>
        <v>649</v>
      </c>
      <c r="F649" s="9" t="s">
        <v>134</v>
      </c>
      <c r="K649" s="9" t="s">
        <v>155</v>
      </c>
    </row>
    <row r="650" spans="5:13">
      <c r="E650" s="22">
        <f t="shared" si="245"/>
        <v>650</v>
      </c>
      <c r="F650" s="9" t="s">
        <v>133</v>
      </c>
      <c r="L650" s="9" t="s">
        <v>157</v>
      </c>
      <c r="M650" s="22">
        <v>2</v>
      </c>
    </row>
    <row r="651" spans="5:13">
      <c r="E651" s="22">
        <f t="shared" si="245"/>
        <v>651</v>
      </c>
      <c r="F651" s="9" t="s">
        <v>30</v>
      </c>
      <c r="M651" s="22">
        <v>4.2</v>
      </c>
    </row>
    <row r="652" spans="5:13">
      <c r="E652" s="22">
        <f t="shared" si="245"/>
        <v>652</v>
      </c>
      <c r="F652" s="9" t="s">
        <v>116</v>
      </c>
      <c r="M652" s="22">
        <v>-2.1</v>
      </c>
    </row>
    <row r="653" spans="5:13">
      <c r="E653" s="22">
        <f t="shared" si="245"/>
        <v>653</v>
      </c>
      <c r="F653" s="9" t="s">
        <v>31</v>
      </c>
      <c r="G653" s="22">
        <v>90</v>
      </c>
      <c r="H653" s="22">
        <v>-90</v>
      </c>
      <c r="L653" s="9" t="s">
        <v>135</v>
      </c>
      <c r="M653" s="22">
        <f t="shared" ref="M653" si="259">IF(MOD(B640,2)=0,90,-90)</f>
        <v>90</v>
      </c>
    </row>
    <row r="654" spans="5:13">
      <c r="E654" s="22">
        <f t="shared" si="245"/>
        <v>654</v>
      </c>
      <c r="F654" s="9" t="s">
        <v>164</v>
      </c>
      <c r="L654" s="9" t="s">
        <v>157</v>
      </c>
      <c r="M654" s="22">
        <v>2</v>
      </c>
    </row>
    <row r="655" spans="5:13">
      <c r="E655" s="22">
        <f t="shared" si="245"/>
        <v>655</v>
      </c>
      <c r="F655" s="9" t="s">
        <v>167</v>
      </c>
      <c r="M655" s="22" t="b">
        <v>1</v>
      </c>
    </row>
    <row r="656" spans="5:13">
      <c r="E656" s="22">
        <f t="shared" si="245"/>
        <v>656</v>
      </c>
      <c r="F656" s="9" t="s">
        <v>108</v>
      </c>
      <c r="M656" s="22">
        <v>150</v>
      </c>
    </row>
    <row r="657" spans="2:13">
      <c r="B657" s="9">
        <f t="shared" ref="B657" si="260">QUOTIENT( D657-1,G658)+1</f>
        <v>2</v>
      </c>
      <c r="C657" s="22">
        <f t="shared" ref="C657" si="261">D657-(B657-1)*G658</f>
        <v>18</v>
      </c>
      <c r="D657" s="22">
        <f>COUNT($D$27:$D656)+1</f>
        <v>38</v>
      </c>
    </row>
    <row r="658" spans="2:13">
      <c r="E658" s="22">
        <f t="shared" ref="E658:E659" si="262">ROW(E658)</f>
        <v>658</v>
      </c>
      <c r="F658" s="9" t="s">
        <v>93</v>
      </c>
      <c r="G658" s="22">
        <v>20</v>
      </c>
      <c r="H658" s="22">
        <v>2</v>
      </c>
      <c r="J658" s="9">
        <v>13000</v>
      </c>
      <c r="M658" s="22">
        <f t="shared" ref="M658" si="263">$J$29+D657</f>
        <v>13038</v>
      </c>
    </row>
    <row r="659" spans="2:13">
      <c r="E659" s="22">
        <f t="shared" si="262"/>
        <v>659</v>
      </c>
      <c r="F659" s="9" t="s">
        <v>146</v>
      </c>
      <c r="M659" s="22">
        <v>12900</v>
      </c>
    </row>
    <row r="660" spans="2:13">
      <c r="E660" s="22">
        <f t="shared" si="245"/>
        <v>660</v>
      </c>
      <c r="F660" s="9" t="s">
        <v>127</v>
      </c>
      <c r="G660" s="22">
        <v>5</v>
      </c>
      <c r="M660" s="22">
        <f t="shared" ref="M660" si="264">C657*G660</f>
        <v>90</v>
      </c>
    </row>
    <row r="661" spans="2:13">
      <c r="E661" s="22">
        <f t="shared" si="245"/>
        <v>661</v>
      </c>
      <c r="F661" s="9" t="s">
        <v>29</v>
      </c>
      <c r="M661" s="22" t="s">
        <v>161</v>
      </c>
    </row>
    <row r="662" spans="2:13">
      <c r="E662" s="22">
        <f t="shared" si="245"/>
        <v>662</v>
      </c>
      <c r="F662" s="9" t="s">
        <v>119</v>
      </c>
      <c r="M662" s="22" t="s">
        <v>162</v>
      </c>
    </row>
    <row r="663" spans="2:13">
      <c r="E663" s="22">
        <f t="shared" si="245"/>
        <v>663</v>
      </c>
      <c r="F663" s="9" t="s">
        <v>99</v>
      </c>
      <c r="K663" s="9" t="s">
        <v>138</v>
      </c>
      <c r="M663" s="22">
        <v>2</v>
      </c>
    </row>
    <row r="664" spans="2:13">
      <c r="E664" s="22">
        <f t="shared" si="245"/>
        <v>664</v>
      </c>
      <c r="F664" s="9" t="s">
        <v>163</v>
      </c>
      <c r="K664" s="9" t="s">
        <v>153</v>
      </c>
    </row>
    <row r="665" spans="2:13">
      <c r="E665" s="22">
        <f t="shared" si="245"/>
        <v>665</v>
      </c>
      <c r="F665" s="9" t="s">
        <v>134</v>
      </c>
      <c r="G665" s="22">
        <v>-7</v>
      </c>
      <c r="H665" s="22">
        <v>1</v>
      </c>
      <c r="K665" s="9" t="s">
        <v>154</v>
      </c>
      <c r="M665" s="22">
        <f t="shared" ref="M665" si="265">G665+H665*C657</f>
        <v>11</v>
      </c>
    </row>
    <row r="666" spans="2:13">
      <c r="E666" s="22">
        <f t="shared" si="245"/>
        <v>666</v>
      </c>
      <c r="F666" s="9" t="s">
        <v>134</v>
      </c>
      <c r="K666" s="9" t="s">
        <v>155</v>
      </c>
    </row>
    <row r="667" spans="2:13">
      <c r="E667" s="22">
        <f t="shared" si="245"/>
        <v>667</v>
      </c>
      <c r="F667" s="9" t="s">
        <v>133</v>
      </c>
      <c r="L667" s="9" t="s">
        <v>157</v>
      </c>
      <c r="M667" s="22">
        <v>2</v>
      </c>
    </row>
    <row r="668" spans="2:13">
      <c r="E668" s="22">
        <f t="shared" si="245"/>
        <v>668</v>
      </c>
      <c r="F668" s="9" t="s">
        <v>30</v>
      </c>
      <c r="M668" s="22">
        <v>4.2</v>
      </c>
    </row>
    <row r="669" spans="2:13">
      <c r="E669" s="22">
        <f t="shared" si="245"/>
        <v>669</v>
      </c>
      <c r="F669" s="9" t="s">
        <v>116</v>
      </c>
      <c r="M669" s="22">
        <v>-2.1</v>
      </c>
    </row>
    <row r="670" spans="2:13">
      <c r="E670" s="22">
        <f t="shared" si="245"/>
        <v>670</v>
      </c>
      <c r="F670" s="9" t="s">
        <v>31</v>
      </c>
      <c r="G670" s="22">
        <v>90</v>
      </c>
      <c r="H670" s="22">
        <v>-90</v>
      </c>
      <c r="L670" s="9" t="s">
        <v>135</v>
      </c>
      <c r="M670" s="22">
        <f t="shared" ref="M670" si="266">IF(MOD(B657,2)=0,90,-90)</f>
        <v>90</v>
      </c>
    </row>
    <row r="671" spans="2:13">
      <c r="E671" s="22">
        <f t="shared" si="245"/>
        <v>671</v>
      </c>
      <c r="F671" s="9" t="s">
        <v>164</v>
      </c>
      <c r="L671" s="9" t="s">
        <v>157</v>
      </c>
      <c r="M671" s="22">
        <v>2</v>
      </c>
    </row>
    <row r="672" spans="2:13">
      <c r="E672" s="22">
        <f t="shared" si="245"/>
        <v>672</v>
      </c>
      <c r="F672" s="9" t="s">
        <v>167</v>
      </c>
      <c r="M672" s="22" t="b">
        <v>1</v>
      </c>
    </row>
    <row r="673" spans="2:13">
      <c r="E673" s="22">
        <f t="shared" si="245"/>
        <v>673</v>
      </c>
      <c r="F673" s="9" t="s">
        <v>108</v>
      </c>
      <c r="M673" s="22">
        <v>150</v>
      </c>
    </row>
    <row r="674" spans="2:13">
      <c r="B674" s="9">
        <f t="shared" ref="B674" si="267">QUOTIENT( D674-1,G675)+1</f>
        <v>2</v>
      </c>
      <c r="C674" s="22">
        <f t="shared" ref="C674" si="268">D674-(B674-1)*G675</f>
        <v>19</v>
      </c>
      <c r="D674" s="22">
        <f>COUNT($D$27:$D673)+1</f>
        <v>39</v>
      </c>
    </row>
    <row r="675" spans="2:13">
      <c r="E675" s="22">
        <f t="shared" ref="E675:E676" si="269">ROW(E675)</f>
        <v>675</v>
      </c>
      <c r="F675" s="9" t="s">
        <v>93</v>
      </c>
      <c r="G675" s="22">
        <v>20</v>
      </c>
      <c r="H675" s="22">
        <v>2</v>
      </c>
      <c r="J675" s="9">
        <v>13000</v>
      </c>
      <c r="M675" s="22">
        <f t="shared" ref="M675" si="270">$J$29+D674</f>
        <v>13039</v>
      </c>
    </row>
    <row r="676" spans="2:13">
      <c r="E676" s="22">
        <f t="shared" si="269"/>
        <v>676</v>
      </c>
      <c r="F676" s="9" t="s">
        <v>146</v>
      </c>
      <c r="M676" s="22">
        <v>12900</v>
      </c>
    </row>
    <row r="677" spans="2:13">
      <c r="E677" s="22">
        <f t="shared" si="245"/>
        <v>677</v>
      </c>
      <c r="F677" s="9" t="s">
        <v>127</v>
      </c>
      <c r="G677" s="22">
        <v>5</v>
      </c>
      <c r="M677" s="22">
        <f t="shared" ref="M677" si="271">C674*G677</f>
        <v>95</v>
      </c>
    </row>
    <row r="678" spans="2:13">
      <c r="E678" s="22">
        <f t="shared" si="245"/>
        <v>678</v>
      </c>
      <c r="F678" s="9" t="s">
        <v>29</v>
      </c>
      <c r="M678" s="22" t="s">
        <v>161</v>
      </c>
    </row>
    <row r="679" spans="2:13">
      <c r="E679" s="22">
        <f t="shared" si="245"/>
        <v>679</v>
      </c>
      <c r="F679" s="9" t="s">
        <v>119</v>
      </c>
      <c r="M679" s="22" t="s">
        <v>162</v>
      </c>
    </row>
    <row r="680" spans="2:13">
      <c r="E680" s="22">
        <f t="shared" si="245"/>
        <v>680</v>
      </c>
      <c r="F680" s="9" t="s">
        <v>99</v>
      </c>
      <c r="K680" s="9" t="s">
        <v>138</v>
      </c>
      <c r="M680" s="22">
        <v>2</v>
      </c>
    </row>
    <row r="681" spans="2:13">
      <c r="E681" s="22">
        <f t="shared" si="245"/>
        <v>681</v>
      </c>
      <c r="F681" s="9" t="s">
        <v>163</v>
      </c>
      <c r="K681" s="9" t="s">
        <v>153</v>
      </c>
    </row>
    <row r="682" spans="2:13">
      <c r="E682" s="22">
        <f t="shared" si="245"/>
        <v>682</v>
      </c>
      <c r="F682" s="9" t="s">
        <v>134</v>
      </c>
      <c r="G682" s="22">
        <v>-7</v>
      </c>
      <c r="H682" s="22">
        <v>1</v>
      </c>
      <c r="K682" s="9" t="s">
        <v>154</v>
      </c>
      <c r="M682" s="22">
        <f t="shared" ref="M682" si="272">G682+H682*C674</f>
        <v>12</v>
      </c>
    </row>
    <row r="683" spans="2:13">
      <c r="E683" s="22">
        <f t="shared" si="245"/>
        <v>683</v>
      </c>
      <c r="F683" s="9" t="s">
        <v>134</v>
      </c>
      <c r="K683" s="9" t="s">
        <v>155</v>
      </c>
    </row>
    <row r="684" spans="2:13">
      <c r="E684" s="22">
        <f t="shared" ref="E684:E707" si="273">ROW(E684)</f>
        <v>684</v>
      </c>
      <c r="F684" s="9" t="s">
        <v>133</v>
      </c>
      <c r="L684" s="9" t="s">
        <v>157</v>
      </c>
      <c r="M684" s="22">
        <v>2</v>
      </c>
    </row>
    <row r="685" spans="2:13">
      <c r="E685" s="22">
        <f t="shared" si="273"/>
        <v>685</v>
      </c>
      <c r="F685" s="9" t="s">
        <v>30</v>
      </c>
      <c r="M685" s="22">
        <v>4.2</v>
      </c>
    </row>
    <row r="686" spans="2:13">
      <c r="E686" s="22">
        <f t="shared" si="273"/>
        <v>686</v>
      </c>
      <c r="F686" s="9" t="s">
        <v>116</v>
      </c>
      <c r="M686" s="22">
        <v>-2.1</v>
      </c>
    </row>
    <row r="687" spans="2:13">
      <c r="E687" s="22">
        <f t="shared" si="273"/>
        <v>687</v>
      </c>
      <c r="F687" s="9" t="s">
        <v>31</v>
      </c>
      <c r="G687" s="22">
        <v>90</v>
      </c>
      <c r="H687" s="22">
        <v>-90</v>
      </c>
      <c r="L687" s="9" t="s">
        <v>135</v>
      </c>
      <c r="M687" s="22">
        <f t="shared" ref="M687" si="274">IF(MOD(B674,2)=0,90,-90)</f>
        <v>90</v>
      </c>
    </row>
    <row r="688" spans="2:13">
      <c r="E688" s="22">
        <f t="shared" si="273"/>
        <v>688</v>
      </c>
      <c r="F688" s="9" t="s">
        <v>164</v>
      </c>
      <c r="L688" s="9" t="s">
        <v>157</v>
      </c>
      <c r="M688" s="22">
        <v>2</v>
      </c>
    </row>
    <row r="689" spans="2:13">
      <c r="E689" s="22">
        <f t="shared" si="273"/>
        <v>689</v>
      </c>
      <c r="F689" s="9" t="s">
        <v>167</v>
      </c>
      <c r="M689" s="22" t="b">
        <v>1</v>
      </c>
    </row>
    <row r="690" spans="2:13">
      <c r="E690" s="22">
        <f t="shared" si="273"/>
        <v>690</v>
      </c>
      <c r="F690" s="9" t="s">
        <v>108</v>
      </c>
      <c r="M690" s="22">
        <v>150</v>
      </c>
    </row>
    <row r="691" spans="2:13">
      <c r="B691" s="9">
        <f t="shared" ref="B691" si="275">QUOTIENT( D691-1,G692)+1</f>
        <v>2</v>
      </c>
      <c r="C691" s="22">
        <f t="shared" ref="C691" si="276">D691-(B691-1)*G692</f>
        <v>20</v>
      </c>
      <c r="D691" s="22">
        <f>COUNT($D$27:$D690)+1</f>
        <v>40</v>
      </c>
    </row>
    <row r="692" spans="2:13">
      <c r="E692" s="22">
        <f t="shared" ref="E692:E693" si="277">ROW(E692)</f>
        <v>692</v>
      </c>
      <c r="F692" s="9" t="s">
        <v>93</v>
      </c>
      <c r="G692" s="22">
        <v>20</v>
      </c>
      <c r="H692" s="22">
        <v>2</v>
      </c>
      <c r="J692" s="9">
        <v>13000</v>
      </c>
      <c r="M692" s="22">
        <f t="shared" ref="M692" si="278">$J$29+D691</f>
        <v>13040</v>
      </c>
    </row>
    <row r="693" spans="2:13">
      <c r="E693" s="22">
        <f t="shared" si="277"/>
        <v>693</v>
      </c>
      <c r="F693" s="9" t="s">
        <v>146</v>
      </c>
      <c r="M693" s="22">
        <v>12900</v>
      </c>
    </row>
    <row r="694" spans="2:13">
      <c r="E694" s="22">
        <f t="shared" si="273"/>
        <v>694</v>
      </c>
      <c r="F694" s="9" t="s">
        <v>127</v>
      </c>
      <c r="G694" s="22">
        <v>5</v>
      </c>
      <c r="M694" s="22">
        <f t="shared" ref="M694" si="279">C691*G694</f>
        <v>100</v>
      </c>
    </row>
    <row r="695" spans="2:13">
      <c r="E695" s="22">
        <f t="shared" si="273"/>
        <v>695</v>
      </c>
      <c r="F695" s="9" t="s">
        <v>29</v>
      </c>
      <c r="M695" s="22" t="s">
        <v>161</v>
      </c>
    </row>
    <row r="696" spans="2:13">
      <c r="E696" s="22">
        <f t="shared" si="273"/>
        <v>696</v>
      </c>
      <c r="F696" s="9" t="s">
        <v>119</v>
      </c>
      <c r="M696" s="22" t="s">
        <v>162</v>
      </c>
    </row>
    <row r="697" spans="2:13">
      <c r="E697" s="22">
        <f t="shared" si="273"/>
        <v>697</v>
      </c>
      <c r="F697" s="9" t="s">
        <v>99</v>
      </c>
      <c r="K697" s="9" t="s">
        <v>138</v>
      </c>
      <c r="M697" s="22">
        <v>2</v>
      </c>
    </row>
    <row r="698" spans="2:13">
      <c r="E698" s="22">
        <f t="shared" si="273"/>
        <v>698</v>
      </c>
      <c r="F698" s="9" t="s">
        <v>163</v>
      </c>
      <c r="K698" s="9" t="s">
        <v>153</v>
      </c>
    </row>
    <row r="699" spans="2:13">
      <c r="E699" s="22">
        <f t="shared" si="273"/>
        <v>699</v>
      </c>
      <c r="F699" s="9" t="s">
        <v>134</v>
      </c>
      <c r="G699" s="22">
        <v>-7</v>
      </c>
      <c r="H699" s="22">
        <v>1</v>
      </c>
      <c r="K699" s="9" t="s">
        <v>154</v>
      </c>
      <c r="M699" s="22">
        <f t="shared" ref="M699" si="280">G699+H699*C691</f>
        <v>13</v>
      </c>
    </row>
    <row r="700" spans="2:13">
      <c r="E700" s="22">
        <f t="shared" si="273"/>
        <v>700</v>
      </c>
      <c r="F700" s="9" t="s">
        <v>134</v>
      </c>
      <c r="K700" s="9" t="s">
        <v>155</v>
      </c>
    </row>
    <row r="701" spans="2:13">
      <c r="E701" s="22">
        <f t="shared" si="273"/>
        <v>701</v>
      </c>
      <c r="F701" s="9" t="s">
        <v>133</v>
      </c>
      <c r="L701" s="9" t="s">
        <v>157</v>
      </c>
      <c r="M701" s="22">
        <v>2</v>
      </c>
    </row>
    <row r="702" spans="2:13">
      <c r="E702" s="22">
        <f t="shared" si="273"/>
        <v>702</v>
      </c>
      <c r="F702" s="9" t="s">
        <v>30</v>
      </c>
      <c r="M702" s="22">
        <v>4.2</v>
      </c>
    </row>
    <row r="703" spans="2:13">
      <c r="E703" s="22">
        <f t="shared" si="273"/>
        <v>703</v>
      </c>
      <c r="F703" s="9" t="s">
        <v>116</v>
      </c>
      <c r="M703" s="22">
        <v>-2.1</v>
      </c>
    </row>
    <row r="704" spans="2:13">
      <c r="E704" s="22">
        <f t="shared" si="273"/>
        <v>704</v>
      </c>
      <c r="F704" s="9" t="s">
        <v>31</v>
      </c>
      <c r="G704" s="22">
        <v>90</v>
      </c>
      <c r="H704" s="22">
        <v>-90</v>
      </c>
      <c r="L704" s="9" t="s">
        <v>135</v>
      </c>
      <c r="M704" s="22">
        <f t="shared" ref="M704" si="281">IF(MOD(B691,2)=0,90,-90)</f>
        <v>90</v>
      </c>
    </row>
    <row r="705" spans="5:13">
      <c r="E705" s="22">
        <f t="shared" si="273"/>
        <v>705</v>
      </c>
      <c r="F705" s="9" t="s">
        <v>164</v>
      </c>
      <c r="L705" s="9" t="s">
        <v>157</v>
      </c>
      <c r="M705" s="22">
        <v>2</v>
      </c>
    </row>
    <row r="706" spans="5:13">
      <c r="E706" s="22">
        <f t="shared" si="273"/>
        <v>706</v>
      </c>
      <c r="F706" s="9" t="s">
        <v>167</v>
      </c>
      <c r="M706" s="22" t="b">
        <v>1</v>
      </c>
    </row>
    <row r="707" spans="5:13">
      <c r="E707" s="22">
        <f t="shared" si="273"/>
        <v>707</v>
      </c>
      <c r="F707" s="9" t="s">
        <v>108</v>
      </c>
      <c r="M707" s="22">
        <v>150</v>
      </c>
    </row>
  </sheetData>
  <autoFilter ref="D1:D25" xr:uid="{00000000-0001-0000-0000-000000000000}"/>
  <phoneticPr fontId="2" type="noConversion"/>
  <conditionalFormatting sqref="BE1:XFD1 E1:I1">
    <cfRule type="duplicateValues" dxfId="53" priority="1672"/>
  </conditionalFormatting>
  <conditionalFormatting sqref="F1:F380">
    <cfRule type="cellIs" dxfId="52" priority="1173" operator="equal">
      <formula>"ID"</formula>
    </cfRule>
    <cfRule type="cellIs" dxfId="51" priority="1588" operator="equal">
      <formula>"行動序號"</formula>
    </cfRule>
  </conditionalFormatting>
  <conditionalFormatting sqref="N8:N22 N29:N44">
    <cfRule type="expression" dxfId="50" priority="1592">
      <formula>OR($F8="行動序號",$F8="ID")</formula>
    </cfRule>
  </conditionalFormatting>
  <conditionalFormatting sqref="N8:N22 N29:N44">
    <cfRule type="expression" dxfId="49" priority="1059">
      <formula>$F8="行動ID"</formula>
    </cfRule>
  </conditionalFormatting>
  <conditionalFormatting sqref="K1:L1">
    <cfRule type="duplicateValues" dxfId="48" priority="1168"/>
  </conditionalFormatting>
  <conditionalFormatting sqref="N8:N22 N29:N44">
    <cfRule type="expression" dxfId="47" priority="1675">
      <formula>$E8&gt;0</formula>
    </cfRule>
  </conditionalFormatting>
  <conditionalFormatting sqref="J29">
    <cfRule type="expression" dxfId="46" priority="1680">
      <formula>OR($F27="行動序號",$F27="ID")</formula>
    </cfRule>
  </conditionalFormatting>
  <conditionalFormatting sqref="J29">
    <cfRule type="expression" dxfId="45" priority="1682">
      <formula>$F27="行動ID"</formula>
    </cfRule>
  </conditionalFormatting>
  <conditionalFormatting sqref="J29">
    <cfRule type="expression" dxfId="44" priority="1684">
      <formula>$E27&gt;0</formula>
    </cfRule>
  </conditionalFormatting>
  <conditionalFormatting sqref="J1">
    <cfRule type="duplicateValues" dxfId="43" priority="1687"/>
  </conditionalFormatting>
  <conditionalFormatting sqref="M1:M1048576">
    <cfRule type="expression" dxfId="42" priority="3">
      <formula>OR($F1="行動序號",$F1="ID")</formula>
    </cfRule>
  </conditionalFormatting>
  <conditionalFormatting sqref="M1:M1048576">
    <cfRule type="expression" dxfId="41" priority="2">
      <formula>_xlfn.ISFORMULA(M1)</formula>
    </cfRule>
  </conditionalFormatting>
  <conditionalFormatting sqref="M1:M1048576">
    <cfRule type="expression" dxfId="40" priority="1">
      <formula>$F1="行動ID"</formula>
    </cfRule>
  </conditionalFormatting>
  <conditionalFormatting sqref="N1:BD1">
    <cfRule type="duplicateValues" dxfId="39" priority="1688"/>
  </conditionalFormatting>
  <dataValidations count="1">
    <dataValidation type="list" allowBlank="1" showInputMessage="1" showErrorMessage="1" sqref="L5 L22 L15 L19 K27:L27 F8:M13 L52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67F2-7819-4001-82E6-EAEB68E99C4F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50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866D01CD-F52A-42FD-8A3C-1BEBD04E3B72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1D1D6-95C6-4EB2-81EF-C9BCDF366958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169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170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244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171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172</v>
      </c>
      <c r="C17" s="7" t="s">
        <v>245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173</v>
      </c>
      <c r="E20" t="str">
        <f t="shared" si="0"/>
        <v>啟動依ID,</v>
      </c>
      <c r="H20"/>
    </row>
    <row r="21" spans="1:8">
      <c r="A21" s="7" t="s">
        <v>27</v>
      </c>
      <c r="B21" s="7" t="s">
        <v>174</v>
      </c>
      <c r="C21" s="7" t="s">
        <v>175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176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177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178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179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180</v>
      </c>
      <c r="C26" s="7" t="s">
        <v>181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182</v>
      </c>
      <c r="C27" s="7" t="s">
        <v>183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184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185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186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187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188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189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190</v>
      </c>
      <c r="C36" s="7" t="s">
        <v>191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192</v>
      </c>
      <c r="C37" s="7" t="s">
        <v>193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194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195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196</v>
      </c>
      <c r="E42" t="str">
        <f t="shared" si="0"/>
        <v>死亡時間,</v>
      </c>
      <c r="H42"/>
    </row>
    <row r="43" spans="1:8">
      <c r="A43" s="7" t="s">
        <v>27</v>
      </c>
      <c r="B43" s="7" t="s">
        <v>242</v>
      </c>
      <c r="C43" s="7" t="s">
        <v>243</v>
      </c>
      <c r="E43" t="str">
        <f t="shared" si="0"/>
        <v>符卡時間,</v>
      </c>
      <c r="H43"/>
    </row>
    <row r="44" spans="1:8">
      <c r="B44" s="26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197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198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199</v>
      </c>
      <c r="E48" t="str">
        <f t="shared" si="0"/>
        <v>位置參數,</v>
      </c>
      <c r="H48"/>
    </row>
    <row r="49" spans="1:8">
      <c r="A49" s="7" t="s">
        <v>27</v>
      </c>
      <c r="B49" s="7" t="s">
        <v>163</v>
      </c>
      <c r="C49" s="7" t="s">
        <v>200</v>
      </c>
      <c r="E49" t="str">
        <f t="shared" si="0"/>
        <v>加位置,</v>
      </c>
      <c r="H49"/>
    </row>
    <row r="50" spans="1:8">
      <c r="A50" s="7" t="s">
        <v>27</v>
      </c>
      <c r="B50" s="7" t="s">
        <v>251</v>
      </c>
      <c r="C50" s="7" t="s">
        <v>252</v>
      </c>
      <c r="E50" t="str">
        <f t="shared" si="0"/>
        <v>記錄位置,</v>
      </c>
      <c r="H50"/>
    </row>
    <row r="51" spans="1:8">
      <c r="A51" s="7" t="s">
        <v>27</v>
      </c>
      <c r="B51" s="7" t="s">
        <v>253</v>
      </c>
      <c r="C51" s="7" t="s">
        <v>254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201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202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203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204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205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164</v>
      </c>
      <c r="C59" s="7" t="s">
        <v>206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207</v>
      </c>
      <c r="E60" t="str">
        <f t="shared" si="0"/>
        <v>旋轉是移動角度,</v>
      </c>
      <c r="H60"/>
    </row>
    <row r="61" spans="1:8">
      <c r="A61" s="7" t="s">
        <v>27</v>
      </c>
      <c r="B61" s="27" t="s">
        <v>246</v>
      </c>
      <c r="C61" s="7" t="s">
        <v>247</v>
      </c>
      <c r="E61" t="str">
        <f t="shared" si="0"/>
        <v>子旋轉角度,</v>
      </c>
      <c r="H61"/>
    </row>
    <row r="62" spans="1:8">
      <c r="A62" s="7" t="s">
        <v>27</v>
      </c>
      <c r="B62" s="27" t="s">
        <v>248</v>
      </c>
      <c r="C62" s="7" t="s">
        <v>249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255</v>
      </c>
      <c r="C63" s="7" t="s">
        <v>256</v>
      </c>
      <c r="E63" t="str">
        <f t="shared" si="0"/>
        <v>記錄角度,</v>
      </c>
      <c r="H63"/>
    </row>
    <row r="64" spans="1:8">
      <c r="A64" s="7" t="s">
        <v>27</v>
      </c>
      <c r="B64" s="7" t="s">
        <v>258</v>
      </c>
      <c r="C64" s="7" t="s">
        <v>257</v>
      </c>
      <c r="E64" t="str">
        <f t="shared" si="0"/>
        <v>記錄角度ID,</v>
      </c>
      <c r="H64"/>
    </row>
    <row r="65" spans="1:11">
      <c r="B65" s="27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208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209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210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211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167</v>
      </c>
      <c r="C73" s="7" t="s">
        <v>212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213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214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215</v>
      </c>
      <c r="E76" t="str">
        <f t="shared" si="0"/>
        <v>回收距離,</v>
      </c>
      <c r="H76"/>
    </row>
    <row r="77" spans="1:11">
      <c r="A77" s="7" t="s">
        <v>27</v>
      </c>
      <c r="B77" s="7" t="s">
        <v>216</v>
      </c>
      <c r="C77" s="7" t="s">
        <v>217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218</v>
      </c>
      <c r="C78" s="7" t="s">
        <v>219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220</v>
      </c>
      <c r="C79" s="7" t="s">
        <v>221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222</v>
      </c>
      <c r="C80" s="7" t="s">
        <v>223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224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225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226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227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228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229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230</v>
      </c>
      <c r="C91" s="7" t="s">
        <v>231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232</v>
      </c>
      <c r="C92" s="7" t="s">
        <v>233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234</v>
      </c>
      <c r="C93" s="7" t="s">
        <v>235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236</v>
      </c>
      <c r="C94" s="7" t="s">
        <v>237</v>
      </c>
      <c r="E94" t="str">
        <f t="shared" si="1"/>
        <v>玩家Shift,</v>
      </c>
      <c r="H94"/>
    </row>
    <row r="95" spans="1:11">
      <c r="A95" s="7" t="s">
        <v>27</v>
      </c>
      <c r="B95" s="7" t="s">
        <v>238</v>
      </c>
      <c r="C95" s="7" t="s">
        <v>239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137</v>
      </c>
      <c r="C103" s="7" t="s">
        <v>21</v>
      </c>
      <c r="H103"/>
    </row>
    <row r="104" spans="1:12" customFormat="1">
      <c r="A104" s="7" t="s">
        <v>143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154</v>
      </c>
      <c r="C106" s="7" t="s">
        <v>97</v>
      </c>
      <c r="D106" s="7"/>
      <c r="L106" s="7"/>
    </row>
    <row r="107" spans="1:12" customFormat="1">
      <c r="A107" s="7" t="s">
        <v>143</v>
      </c>
      <c r="B107" t="s">
        <v>155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153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148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240</v>
      </c>
      <c r="C114" s="7" t="s">
        <v>22</v>
      </c>
      <c r="D114" s="7"/>
      <c r="L114" s="7"/>
    </row>
    <row r="115" spans="1:12">
      <c r="A115" s="7" t="s">
        <v>144</v>
      </c>
      <c r="B115" s="7" t="s">
        <v>157</v>
      </c>
      <c r="C115" s="7" t="s">
        <v>23</v>
      </c>
      <c r="H115"/>
    </row>
    <row r="116" spans="1:12">
      <c r="A116" s="7" t="s">
        <v>144</v>
      </c>
      <c r="B116" s="7" t="s">
        <v>259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7AC3A-7588-437A-ACD0-0DA61B201DC4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152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241</v>
      </c>
      <c r="D4" s="20"/>
      <c r="G4" s="9"/>
      <c r="H4" s="18"/>
    </row>
    <row r="5" spans="1:10" ht="17.25" customHeight="1">
      <c r="A5" s="20" t="s">
        <v>100</v>
      </c>
      <c r="B5" s="20" t="s">
        <v>154</v>
      </c>
      <c r="C5" s="20" t="s">
        <v>240</v>
      </c>
      <c r="D5" s="20"/>
      <c r="G5" s="9"/>
    </row>
    <row r="6" spans="1:10">
      <c r="A6" s="20" t="s">
        <v>103</v>
      </c>
      <c r="B6" s="20" t="s">
        <v>155</v>
      </c>
      <c r="C6" s="20" t="s">
        <v>157</v>
      </c>
      <c r="D6" s="20"/>
      <c r="G6" s="9"/>
    </row>
    <row r="7" spans="1:10">
      <c r="A7" s="20" t="s">
        <v>48</v>
      </c>
      <c r="B7" s="20" t="s">
        <v>153</v>
      </c>
      <c r="C7" s="26" t="s">
        <v>259</v>
      </c>
      <c r="D7" s="20"/>
      <c r="G7" s="9"/>
    </row>
    <row r="8" spans="1:10">
      <c r="A8" s="20" t="s">
        <v>170</v>
      </c>
      <c r="B8" s="26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244</v>
      </c>
      <c r="B10" s="20"/>
      <c r="C10" s="20"/>
      <c r="D10" s="20"/>
      <c r="G10" s="9"/>
    </row>
    <row r="11" spans="1:10">
      <c r="A11" s="20" t="s">
        <v>171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172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174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180</v>
      </c>
      <c r="C26"/>
      <c r="G26" s="9"/>
    </row>
    <row r="27" spans="1:7">
      <c r="A27" s="20" t="s">
        <v>182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190</v>
      </c>
      <c r="C36"/>
    </row>
    <row r="37" spans="1:7">
      <c r="A37" s="20" t="s">
        <v>192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98</v>
      </c>
      <c r="C41"/>
      <c r="G41" s="9"/>
    </row>
    <row r="42" spans="1:7">
      <c r="A42" s="20" t="s">
        <v>108</v>
      </c>
      <c r="C42"/>
      <c r="G42" s="9"/>
    </row>
    <row r="43" spans="1:7">
      <c r="A43" s="26" t="s">
        <v>242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99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163</v>
      </c>
      <c r="C49"/>
      <c r="G49" s="9"/>
    </row>
    <row r="50" spans="1:8">
      <c r="A50" s="27" t="s">
        <v>255</v>
      </c>
      <c r="C50"/>
      <c r="G50" s="9"/>
    </row>
    <row r="51" spans="1:8">
      <c r="A51" s="27" t="s">
        <v>260</v>
      </c>
      <c r="C51"/>
      <c r="G51" s="9"/>
    </row>
    <row r="52" spans="1:8">
      <c r="A52" s="27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8" t="s">
        <v>250</v>
      </c>
      <c r="C57"/>
      <c r="G57" s="9"/>
    </row>
    <row r="58" spans="1:8">
      <c r="A58" s="20" t="s">
        <v>133</v>
      </c>
      <c r="G58" s="9"/>
    </row>
    <row r="59" spans="1:8">
      <c r="A59" s="20" t="s">
        <v>164</v>
      </c>
      <c r="G59" s="9"/>
    </row>
    <row r="60" spans="1:8">
      <c r="A60" s="20" t="s">
        <v>115</v>
      </c>
      <c r="G60" s="9"/>
    </row>
    <row r="61" spans="1:8">
      <c r="A61" s="27" t="s">
        <v>246</v>
      </c>
      <c r="G61" s="9"/>
    </row>
    <row r="62" spans="1:8">
      <c r="A62" s="27" t="s">
        <v>248</v>
      </c>
      <c r="G62" s="9"/>
    </row>
    <row r="63" spans="1:8">
      <c r="A63" s="27" t="s">
        <v>255</v>
      </c>
      <c r="G63" s="9"/>
    </row>
    <row r="64" spans="1:8">
      <c r="A64" s="27" t="s">
        <v>258</v>
      </c>
      <c r="G64" s="9"/>
    </row>
    <row r="65" spans="1:7">
      <c r="A65" s="27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167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216</v>
      </c>
      <c r="G77" s="9"/>
    </row>
    <row r="78" spans="1:7">
      <c r="A78" s="20" t="s">
        <v>218</v>
      </c>
      <c r="G78" s="9"/>
    </row>
    <row r="79" spans="1:7">
      <c r="A79" s="20" t="s">
        <v>220</v>
      </c>
    </row>
    <row r="80" spans="1:7">
      <c r="A80" s="20" t="s">
        <v>222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230</v>
      </c>
    </row>
    <row r="92" spans="1:1">
      <c r="A92" s="20" t="s">
        <v>232</v>
      </c>
    </row>
    <row r="93" spans="1:1">
      <c r="A93" s="20" t="s">
        <v>234</v>
      </c>
    </row>
    <row r="94" spans="1:1">
      <c r="A94" s="20" t="s">
        <v>236</v>
      </c>
    </row>
    <row r="95" spans="1:1">
      <c r="A95" s="20" t="s">
        <v>238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4EEEFFCA-B9AB-4420-95E3-3593ED18A912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782F6-0738-474D-8250-34B82D1F6622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EA409-4AD0-4B2B-9422-0E0876797DE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88D3-A74B-4E67-B845-80BF1DD524BA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stage7_card3light_shot1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2025-04-16T06:38:19Z</dcterms:modified>
</cp:coreProperties>
</file>