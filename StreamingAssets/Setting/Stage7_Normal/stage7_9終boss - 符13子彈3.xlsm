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16B7ED75-9CD3-4B37-9333-96BAEABC871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3shot3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3" i="1" l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D72" i="1"/>
  <c r="M73" i="1" s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D49" i="1"/>
  <c r="M90" i="1" l="1"/>
  <c r="M86" i="1" s="1"/>
  <c r="M83" i="1"/>
  <c r="M91" i="1" s="1"/>
  <c r="M84" i="1"/>
  <c r="D95" i="1"/>
  <c r="B72" i="1"/>
  <c r="M81" i="1" s="1"/>
  <c r="M50" i="1"/>
  <c r="B49" i="1"/>
  <c r="M58" i="1" s="1"/>
  <c r="C72" i="1" l="1"/>
  <c r="M75" i="1" s="1"/>
  <c r="M61" i="1"/>
  <c r="M60" i="1"/>
  <c r="M68" i="1" s="1"/>
  <c r="M67" i="1"/>
  <c r="M63" i="1" s="1"/>
  <c r="C49" i="1"/>
  <c r="M52" i="1" s="1"/>
  <c r="B95" i="1"/>
  <c r="M104" i="1" s="1"/>
  <c r="M96" i="1"/>
  <c r="D118" i="1"/>
  <c r="D141" i="1"/>
  <c r="B141" i="1" l="1"/>
  <c r="M150" i="1" s="1"/>
  <c r="M142" i="1"/>
  <c r="M119" i="1"/>
  <c r="C118" i="1"/>
  <c r="M121" i="1" s="1"/>
  <c r="B118" i="1"/>
  <c r="M127" i="1" s="1"/>
  <c r="M107" i="1"/>
  <c r="M106" i="1"/>
  <c r="M114" i="1" s="1"/>
  <c r="M113" i="1"/>
  <c r="M109" i="1" s="1"/>
  <c r="C95" i="1"/>
  <c r="M98" i="1" s="1"/>
  <c r="M136" i="1" l="1"/>
  <c r="M132" i="1" s="1"/>
  <c r="M130" i="1"/>
  <c r="M129" i="1"/>
  <c r="M137" i="1" s="1"/>
  <c r="M153" i="1"/>
  <c r="M152" i="1"/>
  <c r="M160" i="1" s="1"/>
  <c r="M159" i="1"/>
  <c r="M155" i="1" s="1"/>
  <c r="C141" i="1"/>
  <c r="M144" i="1" s="1"/>
  <c r="E41" i="1" l="1"/>
  <c r="E40" i="1"/>
  <c r="E48" i="1"/>
  <c r="E43" i="1"/>
  <c r="E47" i="1"/>
  <c r="E46" i="1"/>
  <c r="E45" i="1"/>
  <c r="E44" i="1"/>
  <c r="D26" i="1"/>
  <c r="E42" i="1"/>
  <c r="E39" i="1"/>
  <c r="E38" i="1"/>
  <c r="E37" i="1"/>
  <c r="E33" i="1"/>
  <c r="E31" i="1"/>
  <c r="E36" i="1"/>
  <c r="E35" i="1"/>
  <c r="E34" i="1"/>
  <c r="E32" i="1"/>
  <c r="E30" i="1"/>
  <c r="E29" i="1"/>
  <c r="E28" i="1"/>
  <c r="E27" i="1"/>
  <c r="A25" i="1"/>
  <c r="E18" i="1"/>
  <c r="B26" i="1" l="1"/>
  <c r="M27" i="1"/>
  <c r="M44" i="1" s="1"/>
  <c r="M40" i="1" s="1"/>
  <c r="E16" i="1"/>
  <c r="E15" i="1"/>
  <c r="C26" i="1" l="1"/>
  <c r="M29" i="1" s="1"/>
  <c r="M35" i="1"/>
  <c r="M38" i="1"/>
  <c r="M37" i="1"/>
  <c r="M45" i="1" s="1"/>
  <c r="E14" i="1"/>
  <c r="E13" i="1"/>
  <c r="E12" i="1"/>
  <c r="E11" i="1"/>
  <c r="E10" i="1"/>
  <c r="D9" i="1"/>
  <c r="B9" i="1" l="1"/>
  <c r="A8" i="1"/>
  <c r="C9" i="1" l="1"/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sharedStrings.xml><?xml version="1.0" encoding="utf-8"?>
<sst xmlns="http://schemas.openxmlformats.org/spreadsheetml/2006/main" count="637" uniqueCount="256">
  <si>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</si>
  <si>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</si>
  <si>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</si>
  <si>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</si>
  <si>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</si>
  <si>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</si>
  <si>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</si>
  <si>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</si>
  <si>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</si>
  <si>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</si>
  <si>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</si>
  <si>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</si>
  <si>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</si>
  <si>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</si>
  <si>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</si>
  <si>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</si>
  <si>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</si>
  <si>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</si>
  <si>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</si>
  <si>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</si>
  <si>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</si>
  <si>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</si>
  <si>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</si>
  <si>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</si>
  <si>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</si>
  <si>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</si>
  <si>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</si>
  <si>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</si>
  <si>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</si>
  <si>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</si>
  <si>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</si>
  <si>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</si>
  <si>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</si>
  <si>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</si>
  <si>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</si>
  <si>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</si>
  <si>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</si>
  <si>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</si>
  <si>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</si>
  <si>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</si>
  <si>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</si>
  <si>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</si>
  <si>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</si>
  <si>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</si>
  <si>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</si>
  <si>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</si>
  <si>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</si>
  <si>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</si>
  <si>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</si>
  <si>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</si>
  <si>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</si>
  <si>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</si>
  <si>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</si>
  <si>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</si>
  <si>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</si>
  <si>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</si>
  <si>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</si>
  <si>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</si>
  <si>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</si>
  <si>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</si>
  <si>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</si>
  <si>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</si>
  <si>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</si>
  <si>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</si>
  <si>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</si>
  <si>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</si>
  <si>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</si>
  <si>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</si>
  <si>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</si>
  <si>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</si>
  <si>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</si>
  <si>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</si>
  <si>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</si>
  <si>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</si>
  <si>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</si>
  <si>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</si>
  <si>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</si>
  <si>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</si>
  <si>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</si>
  <si>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</si>
  <si>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</si>
  <si>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</si>
  <si>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</si>
  <si>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</si>
  <si>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</si>
  <si>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</si>
  <si>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</si>
  <si>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</si>
  <si>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</si>
  <si>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</si>
  <si>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</si>
  <si>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</si>
  <si>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</si>
  <si>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</si>
  <si>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</si>
  <si>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</si>
  <si>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</si>
  <si>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</si>
  <si>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</si>
  <si>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</si>
  <si>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</si>
  <si>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</si>
  <si>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</si>
  <si>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</si>
  <si>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</si>
  <si>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</si>
  <si>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</si>
  <si>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</si>
  <si>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</si>
  <si>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</si>
  <si>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</si>
  <si>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</si>
  <si>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</si>
  <si>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</si>
  <si>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</si>
  <si>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</si>
  <si>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</si>
  <si>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</si>
  <si>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</si>
  <si>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</si>
  <si>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</si>
  <si>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</si>
  <si>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</si>
  <si>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</si>
  <si>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</si>
  <si>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</si>
  <si>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</si>
  <si>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</si>
  <si>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</si>
  <si>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</si>
  <si>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</si>
  <si>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</si>
  <si>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</si>
  <si>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</si>
  <si>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</si>
  <si>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</si>
  <si>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</si>
  <si>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</si>
  <si>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</si>
  <si>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</si>
  <si>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</si>
  <si>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</si>
  <si>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</si>
  <si>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</si>
  <si>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</si>
  <si>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</si>
  <si>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</si>
  <si>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</si>
  <si>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</si>
  <si>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</si>
  <si>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</si>
  <si>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</si>
  <si>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</si>
  <si>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</si>
  <si>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</si>
  <si>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</si>
  <si>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</si>
  <si>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</si>
  <si>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</si>
  <si>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</si>
  <si>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</si>
  <si>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</si>
  <si>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</si>
  <si>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</si>
  <si>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</si>
  <si>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</si>
  <si>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</si>
  <si>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</si>
  <si>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</si>
  <si>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</si>
  <si>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</si>
  <si>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</si>
  <si>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</si>
  <si>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</si>
  <si>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</si>
  <si>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</si>
  <si>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</si>
  <si>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</si>
  <si>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</si>
  <si>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</si>
  <si>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</si>
  <si>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</si>
  <si>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</si>
  <si>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</si>
  <si>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</si>
  <si>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</si>
  <si>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</si>
  <si>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</si>
  <si>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</si>
  <si>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</si>
  <si>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</si>
  <si>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</si>
  <si>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</si>
  <si>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</si>
  <si>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</si>
  <si>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</si>
  <si>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</si>
  <si>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</si>
  <si>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</si>
  <si>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</si>
  <si>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</si>
  <si>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</si>
  <si>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</si>
  <si>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</si>
  <si>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</si>
  <si>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</si>
  <si>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</si>
  <si>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</si>
  <si>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</si>
  <si>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</si>
  <si>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</si>
  <si>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</si>
  <si>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</si>
  <si>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</si>
  <si>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</si>
  <si>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</si>
  <si>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</si>
  <si>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</si>
  <si>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</si>
  <si>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</si>
  <si>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</si>
  <si>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</si>
  <si>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</si>
  <si>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</si>
  <si>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</si>
  <si>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</si>
  <si>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</si>
  <si>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</si>
  <si>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</si>
  <si>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</si>
  <si>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</si>
  <si>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</si>
  <si>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</si>
  <si>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</si>
  <si>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</si>
  <si>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</si>
  <si>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</si>
  <si>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</si>
  <si>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</si>
  <si>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</si>
  <si>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</si>
  <si>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</si>
  <si>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</si>
  <si>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</si>
  <si>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</si>
  <si>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</si>
  <si>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</si>
  <si>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Empty</t>
    <phoneticPr fontId="2" type="noConversion"/>
  </si>
  <si>
    <t>EnemyShot3</t>
  </si>
  <si>
    <t>EnemyShot3</t>
    <phoneticPr fontId="2" type="noConversion"/>
  </si>
  <si>
    <t>Shot3_yellow</t>
  </si>
  <si>
    <t>Shot3_yellow</t>
    <phoneticPr fontId="2" type="noConversion"/>
  </si>
  <si>
    <t>20400</t>
  </si>
  <si>
    <t>20400</t>
    <phoneticPr fontId="2" type="noConversion"/>
  </si>
  <si>
    <t>20300</t>
  </si>
  <si>
    <t>20300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</si>
</sst>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63"/>
  <sheetViews>
    <sheetView tabSelected="1" zoomScale="115" zoomScaleNormal="115" workbookViewId="0">
      <pane ySplit="1" topLeftCell="A141" activePane="bottomLeft" state="frozen"/>
      <selection pane="bottomLeft" activeCell="A26" sqref="A26:M163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8" spans="1:60">
      <c r="A8" s="21">
        <f>G10*H10</f>
        <v>1</v>
      </c>
      <c r="B8" s="9"/>
      <c r="C8" s="9"/>
      <c r="D8" s="9"/>
      <c r="R8" s="12"/>
      <c r="S8" s="9"/>
      <c r="U8" s="12"/>
      <c r="X8" s="15"/>
      <c r="AE8" s="16"/>
      <c r="BH8" s="9"/>
    </row>
    <row r="9" spans="1:60">
      <c r="A9" s="21" t="s">
        <v>227</v>
      </c>
      <c r="B9" s="21">
        <f t="shared" ref="B9" si="0">QUOTIENT( D9-1,G10)+1</f>
        <v>1</v>
      </c>
      <c r="C9" s="21">
        <f t="shared" ref="C9" si="1">D9-(B9-1)*G10</f>
        <v>1</v>
      </c>
      <c r="D9" s="21">
        <f>COUNT($D$8:$D8)+1</f>
        <v>1</v>
      </c>
      <c r="R9" s="12"/>
      <c r="S9" s="9"/>
      <c r="U9" s="12"/>
      <c r="X9" s="15"/>
      <c r="AE9" s="16"/>
      <c r="BH9" s="9"/>
    </row>
    <row r="10" spans="1:60">
      <c r="E10" s="21">
        <f t="shared" ref="E10:E14" si="2">ROW(E10)</f>
        <v>10</v>
      </c>
      <c r="F10" s="9" t="s">
        <v>93</v>
      </c>
      <c r="G10" s="21">
        <v>1</v>
      </c>
      <c r="H10" s="21">
        <v>1</v>
      </c>
      <c r="J10" s="9" t="s">
        <v>255</v>
      </c>
      <c r="M10" s="21" t="s">
        <v>254</v>
      </c>
      <c r="R10" s="12"/>
      <c r="S10" s="9"/>
      <c r="U10" s="12"/>
      <c r="X10" s="15"/>
      <c r="AE10" s="16"/>
      <c r="BH10" s="9"/>
    </row>
    <row r="11" spans="1:60">
      <c r="E11" s="21">
        <f t="shared" si="2"/>
        <v>11</v>
      </c>
      <c r="F11" s="9" t="s">
        <v>142</v>
      </c>
      <c r="M11" s="21">
        <v>199108</v>
      </c>
      <c r="R11" s="12"/>
      <c r="S11" s="9"/>
      <c r="U11" s="12"/>
      <c r="X11" s="15"/>
      <c r="AE11" s="16"/>
      <c r="BH11" s="9"/>
    </row>
    <row r="12" spans="1:60">
      <c r="E12" s="21">
        <f t="shared" si="2"/>
        <v>12</v>
      </c>
      <c r="F12" s="9" t="s">
        <v>126</v>
      </c>
      <c r="M12" s="21">
        <v>120</v>
      </c>
      <c r="R12" s="12"/>
      <c r="S12" s="9"/>
      <c r="U12" s="12"/>
      <c r="X12" s="15"/>
      <c r="AE12" s="16"/>
      <c r="BH12" s="9"/>
    </row>
    <row r="13" spans="1:60">
      <c r="E13" s="21">
        <f t="shared" si="2"/>
        <v>13</v>
      </c>
      <c r="F13" s="9" t="s">
        <v>29</v>
      </c>
      <c r="M13" s="21" t="s">
        <v>247</v>
      </c>
      <c r="R13" s="12"/>
      <c r="S13" s="9"/>
      <c r="U13" s="12"/>
      <c r="X13" s="15"/>
      <c r="AE13" s="16"/>
      <c r="BH13" s="9"/>
    </row>
    <row r="14" spans="1:60">
      <c r="E14" s="21">
        <f t="shared" si="2"/>
        <v>14</v>
      </c>
      <c r="F14" s="9" t="s">
        <v>98</v>
      </c>
      <c r="G14" s="9"/>
      <c r="H14" s="9"/>
      <c r="I14" s="9"/>
      <c r="K14" s="9" t="s">
        <v>137</v>
      </c>
      <c r="M14" s="21">
        <v>2</v>
      </c>
      <c r="R14" s="12"/>
      <c r="S14" s="9"/>
      <c r="U14" s="12"/>
      <c r="X14" s="15"/>
      <c r="AE14" s="16"/>
      <c r="BH14" s="9"/>
    </row>
    <row r="15" spans="1:60">
      <c r="E15" s="21">
        <f t="shared" ref="E15:E18" si="3">ROW(E15)</f>
        <v>15</v>
      </c>
      <c r="F15" s="9" t="s">
        <v>31</v>
      </c>
      <c r="L15" s="9" t="s">
        <v>134</v>
      </c>
      <c r="M15" s="21">
        <v>270</v>
      </c>
      <c r="R15" s="12"/>
      <c r="S15" s="9"/>
      <c r="U15" s="12"/>
      <c r="X15" s="15"/>
      <c r="AE15" s="16"/>
      <c r="BH15" s="9"/>
    </row>
    <row r="16" spans="1:60">
      <c r="E16" s="21">
        <f t="shared" si="3"/>
        <v>16</v>
      </c>
      <c r="F16" s="9" t="s">
        <v>30</v>
      </c>
      <c r="M16" s="26">
        <v>1.2</v>
      </c>
      <c r="R16" s="12"/>
      <c r="S16" s="9"/>
      <c r="U16" s="12"/>
      <c r="X16" s="15"/>
      <c r="AE16" s="16"/>
      <c r="BH16" s="9"/>
    </row>
    <row r="17" spans="1:60">
      <c r="F17" s="9" t="s">
        <v>115</v>
      </c>
      <c r="M17" s="26">
        <v>0.5</v>
      </c>
      <c r="R17" s="12"/>
      <c r="S17" s="9"/>
      <c r="U17" s="12"/>
      <c r="X17" s="15"/>
      <c r="AE17" s="16"/>
      <c r="BH17" s="9"/>
    </row>
    <row r="18" spans="1:60">
      <c r="E18" s="21">
        <f t="shared" si="3"/>
        <v>18</v>
      </c>
      <c r="F18" s="9" t="s">
        <v>97</v>
      </c>
      <c r="M18" s="26">
        <v>600</v>
      </c>
      <c r="R18" s="12"/>
      <c r="S18" s="9"/>
      <c r="U18" s="12"/>
      <c r="X18" s="15"/>
      <c r="AE18" s="16"/>
      <c r="BH18" s="9"/>
    </row>
    <row r="25" spans="1:60">
      <c r="A25" s="21">
        <f>G27*H27</f>
        <v>6</v>
      </c>
      <c r="B25" s="9"/>
      <c r="C25" s="9"/>
      <c r="D25" s="9"/>
    </row>
    <row r="26" spans="1:60">
      <c r="A26" s="21" t="s">
        <v>227</v>
      </c>
      <c r="B26" s="21">
        <f>QUOTIENT( D26-1,G27)+1</f>
        <v>1</v>
      </c>
      <c r="C26" s="21">
        <f>D26-(B26-1)*G27</f>
        <v>1</v>
      </c>
      <c r="D26" s="21">
        <f>COUNT($D$25:$D25)+1</f>
        <v>1</v>
      </c>
    </row>
    <row r="27" spans="1:60">
      <c r="E27" s="21">
        <f t="shared" ref="E27:E90" si="4">ROW(E27)</f>
        <v>27</v>
      </c>
      <c r="F27" s="9" t="s">
        <v>93</v>
      </c>
      <c r="G27" s="21">
        <v>3</v>
      </c>
      <c r="H27" s="21">
        <v>2</v>
      </c>
      <c r="J27" s="9" t="s">
        <v>253</v>
      </c>
      <c r="M27" s="21">
        <f t="shared" ref="M27" si="5">J27+D26</f>
        <v>20401</v>
      </c>
    </row>
    <row r="28" spans="1:60">
      <c r="E28" s="21">
        <f t="shared" si="4"/>
        <v>28</v>
      </c>
      <c r="F28" s="9" t="s">
        <v>142</v>
      </c>
      <c r="M28" s="21">
        <v>20300</v>
      </c>
    </row>
    <row r="29" spans="1:60">
      <c r="E29" s="21">
        <f t="shared" si="4"/>
        <v>29</v>
      </c>
      <c r="F29" s="9" t="s">
        <v>126</v>
      </c>
      <c r="G29" s="21">
        <v>10</v>
      </c>
      <c r="H29" s="21">
        <v>30</v>
      </c>
      <c r="M29" s="21">
        <f>G29*(C26-1)+H29</f>
        <v>30</v>
      </c>
    </row>
    <row r="30" spans="1:60">
      <c r="E30" s="21">
        <f t="shared" si="4"/>
        <v>30</v>
      </c>
      <c r="F30" s="9" t="s">
        <v>29</v>
      </c>
      <c r="M30" s="21" t="s">
        <v>249</v>
      </c>
    </row>
    <row r="31" spans="1:60">
      <c r="E31" s="21">
        <f t="shared" si="4"/>
        <v>31</v>
      </c>
      <c r="F31" s="9" t="s">
        <v>118</v>
      </c>
      <c r="M31" s="21" t="s">
        <v>251</v>
      </c>
    </row>
    <row r="32" spans="1:60">
      <c r="E32" s="21">
        <f t="shared" si="4"/>
        <v>32</v>
      </c>
      <c r="F32" s="9" t="s">
        <v>98</v>
      </c>
      <c r="G32" s="9"/>
      <c r="H32" s="9"/>
      <c r="I32" s="9"/>
      <c r="K32" s="9" t="s">
        <v>137</v>
      </c>
      <c r="M32" s="21">
        <v>2</v>
      </c>
    </row>
    <row r="33" spans="5:13">
      <c r="E33" s="21">
        <f t="shared" si="4"/>
        <v>33</v>
      </c>
      <c r="F33" s="9" t="s">
        <v>116</v>
      </c>
      <c r="G33" s="9"/>
      <c r="H33" s="9"/>
      <c r="I33" s="9"/>
      <c r="K33" s="9" t="s">
        <v>137</v>
      </c>
      <c r="M33" s="21">
        <v>2</v>
      </c>
    </row>
    <row r="34" spans="5:13">
      <c r="E34" s="21">
        <f t="shared" si="4"/>
        <v>34</v>
      </c>
      <c r="F34" s="9" t="s">
        <v>31</v>
      </c>
      <c r="L34" s="9" t="s">
        <v>134</v>
      </c>
      <c r="M34" s="21">
        <v>180</v>
      </c>
    </row>
    <row r="35" spans="5:13">
      <c r="E35" s="21">
        <f t="shared" si="4"/>
        <v>35</v>
      </c>
      <c r="F35" s="9" t="s">
        <v>30</v>
      </c>
      <c r="G35" s="27">
        <v>3</v>
      </c>
      <c r="H35" s="27">
        <v>-3</v>
      </c>
      <c r="M35" s="27">
        <f>IF(B26=1,G35,H35)</f>
        <v>3</v>
      </c>
    </row>
    <row r="36" spans="5:13">
      <c r="E36" s="21">
        <f t="shared" si="4"/>
        <v>36</v>
      </c>
      <c r="F36" s="9" t="s">
        <v>35</v>
      </c>
      <c r="M36" s="26">
        <v>90</v>
      </c>
    </row>
    <row r="37" spans="5:13">
      <c r="E37" s="21">
        <f t="shared" si="4"/>
        <v>37</v>
      </c>
      <c r="F37" s="9" t="s">
        <v>101</v>
      </c>
      <c r="M37" s="21">
        <f>M27*10+1</f>
        <v>204011</v>
      </c>
    </row>
    <row r="38" spans="5:13">
      <c r="E38" s="21">
        <f t="shared" si="4"/>
        <v>38</v>
      </c>
      <c r="F38" s="9" t="s">
        <v>142</v>
      </c>
      <c r="M38" s="21">
        <f>M27</f>
        <v>20401</v>
      </c>
    </row>
    <row r="39" spans="5:13">
      <c r="E39" s="21">
        <f t="shared" si="4"/>
        <v>39</v>
      </c>
      <c r="F39" s="9" t="s">
        <v>127</v>
      </c>
      <c r="M39" s="21">
        <v>0</v>
      </c>
    </row>
    <row r="40" spans="5:13">
      <c r="E40" s="21">
        <f t="shared" si="4"/>
        <v>40</v>
      </c>
      <c r="F40" s="9" t="s">
        <v>142</v>
      </c>
      <c r="M40" s="21">
        <f>M44</f>
        <v>204012</v>
      </c>
    </row>
    <row r="41" spans="5:13">
      <c r="E41" s="21">
        <f t="shared" si="4"/>
        <v>41</v>
      </c>
      <c r="F41" s="9" t="s">
        <v>127</v>
      </c>
      <c r="M41" s="21">
        <v>0</v>
      </c>
    </row>
    <row r="42" spans="5:13">
      <c r="E42" s="21">
        <f t="shared" si="4"/>
        <v>42</v>
      </c>
      <c r="F42" s="9" t="s">
        <v>31</v>
      </c>
      <c r="L42" s="9" t="s">
        <v>134</v>
      </c>
      <c r="M42" s="21">
        <v>0</v>
      </c>
    </row>
    <row r="43" spans="5:13">
      <c r="E43" s="21">
        <f t="shared" si="4"/>
        <v>43</v>
      </c>
      <c r="F43" s="9" t="s">
        <v>35</v>
      </c>
      <c r="M43" s="26">
        <v>180</v>
      </c>
    </row>
    <row r="44" spans="5:13">
      <c r="E44" s="21">
        <f t="shared" si="4"/>
        <v>44</v>
      </c>
      <c r="F44" s="9" t="s">
        <v>101</v>
      </c>
      <c r="M44" s="21">
        <f>M27*10+2</f>
        <v>204012</v>
      </c>
    </row>
    <row r="45" spans="5:13">
      <c r="E45" s="21">
        <f t="shared" si="4"/>
        <v>45</v>
      </c>
      <c r="F45" s="9" t="s">
        <v>142</v>
      </c>
      <c r="M45" s="21">
        <f>M37</f>
        <v>204011</v>
      </c>
    </row>
    <row r="46" spans="5:13">
      <c r="E46" s="21">
        <f t="shared" si="4"/>
        <v>46</v>
      </c>
      <c r="F46" s="9" t="s">
        <v>127</v>
      </c>
      <c r="M46" s="21">
        <v>0</v>
      </c>
    </row>
    <row r="47" spans="5:13">
      <c r="E47" s="21">
        <f t="shared" si="4"/>
        <v>47</v>
      </c>
      <c r="F47" s="9" t="s">
        <v>31</v>
      </c>
      <c r="L47" s="9" t="s">
        <v>134</v>
      </c>
      <c r="M47" s="21">
        <v>180</v>
      </c>
    </row>
    <row r="48" spans="5:13">
      <c r="E48" s="21">
        <f t="shared" si="4"/>
        <v>48</v>
      </c>
      <c r="F48" s="9" t="s">
        <v>35</v>
      </c>
      <c r="M48" s="26">
        <v>180</v>
      </c>
    </row>
    <row r="49" spans="1:13">
      <c r="A49" s="21" t="s">
        <v>227</v>
      </c>
      <c r="B49" s="21">
        <f t="shared" ref="B49:B80" si="6">QUOTIENT( D49-1,G50)+1</f>
        <v>1</v>
      </c>
      <c r="C49" s="21">
        <f t="shared" ref="C49" si="7">D49-(B49-1)*G50</f>
        <v>2</v>
      </c>
      <c r="D49" s="21">
        <f>COUNT($D$25:$D48)+1</f>
        <v>2</v>
      </c>
    </row>
    <row r="50" spans="1:13">
      <c r="E50" s="21">
        <f t="shared" si="4"/>
        <v>50</v>
      </c>
      <c r="F50" s="9" t="s">
        <v>93</v>
      </c>
      <c r="G50" s="21">
        <v>3</v>
      </c>
      <c r="H50" s="21">
        <v>2</v>
      </c>
      <c r="J50" s="9" t="s">
        <v>252</v>
      </c>
      <c r="M50" s="21">
        <f t="shared" ref="M50:M113" si="8">J50+D49</f>
        <v>20402</v>
      </c>
    </row>
    <row r="51" spans="1:13">
      <c r="E51" s="21">
        <f t="shared" si="4"/>
        <v>51</v>
      </c>
      <c r="F51" s="9" t="s">
        <v>142</v>
      </c>
      <c r="M51" s="21">
        <v>20300</v>
      </c>
    </row>
    <row r="52" spans="1:13">
      <c r="E52" s="21">
        <f t="shared" si="4"/>
        <v>52</v>
      </c>
      <c r="F52" s="9" t="s">
        <v>126</v>
      </c>
      <c r="G52" s="21">
        <v>10</v>
      </c>
      <c r="H52" s="21">
        <v>30</v>
      </c>
      <c r="M52" s="21">
        <f t="shared" ref="M52" si="9">G52*(C49-1)+H52</f>
        <v>40</v>
      </c>
    </row>
    <row r="53" spans="1:13">
      <c r="E53" s="21">
        <f t="shared" si="4"/>
        <v>53</v>
      </c>
      <c r="F53" s="9" t="s">
        <v>29</v>
      </c>
      <c r="M53" s="21" t="s">
        <v>248</v>
      </c>
    </row>
    <row r="54" spans="1:13">
      <c r="E54" s="21">
        <f t="shared" si="4"/>
        <v>54</v>
      </c>
      <c r="F54" s="9" t="s">
        <v>118</v>
      </c>
      <c r="M54" s="21" t="s">
        <v>250</v>
      </c>
    </row>
    <row r="55" spans="1:13">
      <c r="E55" s="21">
        <f t="shared" si="4"/>
        <v>55</v>
      </c>
      <c r="F55" s="9" t="s">
        <v>98</v>
      </c>
      <c r="K55" s="9" t="s">
        <v>137</v>
      </c>
      <c r="M55" s="21">
        <v>2</v>
      </c>
    </row>
    <row r="56" spans="1:13">
      <c r="E56" s="21">
        <f t="shared" si="4"/>
        <v>56</v>
      </c>
      <c r="F56" s="9" t="s">
        <v>116</v>
      </c>
      <c r="K56" s="9" t="s">
        <v>137</v>
      </c>
      <c r="M56" s="21">
        <v>2</v>
      </c>
    </row>
    <row r="57" spans="1:13">
      <c r="E57" s="21">
        <f t="shared" si="4"/>
        <v>57</v>
      </c>
      <c r="F57" s="9" t="s">
        <v>31</v>
      </c>
      <c r="L57" s="9" t="s">
        <v>134</v>
      </c>
      <c r="M57" s="21">
        <v>180</v>
      </c>
    </row>
    <row r="58" spans="1:13">
      <c r="E58" s="21">
        <f t="shared" si="4"/>
        <v>58</v>
      </c>
      <c r="F58" s="9" t="s">
        <v>30</v>
      </c>
      <c r="G58" s="21">
        <v>3</v>
      </c>
      <c r="H58" s="21">
        <v>-3</v>
      </c>
      <c r="M58" s="21">
        <f t="shared" ref="M58" si="10">IF(B49=1,G58,H58)</f>
        <v>3</v>
      </c>
    </row>
    <row r="59" spans="1:13">
      <c r="E59" s="21">
        <f t="shared" si="4"/>
        <v>59</v>
      </c>
      <c r="F59" s="9" t="s">
        <v>35</v>
      </c>
      <c r="M59" s="21">
        <v>90</v>
      </c>
    </row>
    <row r="60" spans="1:13">
      <c r="E60" s="21">
        <f t="shared" si="4"/>
        <v>60</v>
      </c>
      <c r="F60" s="9" t="s">
        <v>101</v>
      </c>
      <c r="M60" s="21">
        <f t="shared" ref="M60" si="11">M50*10+1</f>
        <v>204021</v>
      </c>
    </row>
    <row r="61" spans="1:13">
      <c r="E61" s="21">
        <f t="shared" si="4"/>
        <v>61</v>
      </c>
      <c r="F61" s="9" t="s">
        <v>142</v>
      </c>
      <c r="M61" s="21">
        <f t="shared" ref="M61" si="12">M50</f>
        <v>20402</v>
      </c>
    </row>
    <row r="62" spans="1:13">
      <c r="E62" s="21">
        <f t="shared" si="4"/>
        <v>62</v>
      </c>
      <c r="F62" s="9" t="s">
        <v>127</v>
      </c>
      <c r="M62" s="21">
        <v>0</v>
      </c>
    </row>
    <row r="63" spans="1:13">
      <c r="E63" s="21">
        <f t="shared" si="4"/>
        <v>63</v>
      </c>
      <c r="F63" s="9" t="s">
        <v>142</v>
      </c>
      <c r="M63" s="21">
        <f t="shared" ref="M63" si="13">M67</f>
        <v>204022</v>
      </c>
    </row>
    <row r="64" spans="1:13">
      <c r="E64" s="21">
        <f t="shared" si="4"/>
        <v>64</v>
      </c>
      <c r="F64" s="9" t="s">
        <v>127</v>
      </c>
      <c r="M64" s="21">
        <v>0</v>
      </c>
    </row>
    <row r="65" spans="1:13">
      <c r="E65" s="21">
        <f t="shared" si="4"/>
        <v>65</v>
      </c>
      <c r="F65" s="9" t="s">
        <v>31</v>
      </c>
      <c r="L65" s="9" t="s">
        <v>134</v>
      </c>
      <c r="M65" s="21">
        <v>0</v>
      </c>
    </row>
    <row r="66" spans="1:13">
      <c r="E66" s="21">
        <f t="shared" si="4"/>
        <v>66</v>
      </c>
      <c r="F66" s="9" t="s">
        <v>35</v>
      </c>
      <c r="M66" s="21">
        <v>180</v>
      </c>
    </row>
    <row r="67" spans="1:13">
      <c r="E67" s="21">
        <f t="shared" si="4"/>
        <v>67</v>
      </c>
      <c r="F67" s="9" t="s">
        <v>101</v>
      </c>
      <c r="M67" s="21">
        <f t="shared" ref="M67" si="14">M50*10+2</f>
        <v>204022</v>
      </c>
    </row>
    <row r="68" spans="1:13">
      <c r="E68" s="21">
        <f t="shared" si="4"/>
        <v>68</v>
      </c>
      <c r="F68" s="9" t="s">
        <v>142</v>
      </c>
      <c r="M68" s="21">
        <f t="shared" ref="M68" si="15">M60</f>
        <v>204021</v>
      </c>
    </row>
    <row r="69" spans="1:13">
      <c r="E69" s="21">
        <f t="shared" si="4"/>
        <v>69</v>
      </c>
      <c r="F69" s="9" t="s">
        <v>127</v>
      </c>
      <c r="M69" s="21">
        <v>0</v>
      </c>
    </row>
    <row r="70" spans="1:13">
      <c r="E70" s="21">
        <f t="shared" si="4"/>
        <v>70</v>
      </c>
      <c r="F70" s="9" t="s">
        <v>31</v>
      </c>
      <c r="L70" s="9" t="s">
        <v>134</v>
      </c>
      <c r="M70" s="21">
        <v>180</v>
      </c>
    </row>
    <row r="71" spans="1:13">
      <c r="E71" s="21">
        <f t="shared" si="4"/>
        <v>71</v>
      </c>
      <c r="F71" s="9" t="s">
        <v>35</v>
      </c>
      <c r="M71" s="21">
        <v>180</v>
      </c>
    </row>
    <row r="72" spans="1:13">
      <c r="A72" s="21" t="s">
        <v>227</v>
      </c>
      <c r="B72" s="21">
        <f t="shared" ref="B72:B103" si="16">QUOTIENT( D72-1,G73)+1</f>
        <v>1</v>
      </c>
      <c r="C72" s="21">
        <f t="shared" ref="C72" si="17">D72-(B72-1)*G73</f>
        <v>3</v>
      </c>
      <c r="D72" s="21">
        <f>COUNT($D$25:$D71)+1</f>
        <v>3</v>
      </c>
    </row>
    <row r="73" spans="1:13">
      <c r="E73" s="21">
        <f t="shared" si="4"/>
        <v>73</v>
      </c>
      <c r="F73" s="9" t="s">
        <v>93</v>
      </c>
      <c r="G73" s="21">
        <v>3</v>
      </c>
      <c r="H73" s="21">
        <v>2</v>
      </c>
      <c r="J73" s="9" t="s">
        <v>252</v>
      </c>
      <c r="M73" s="21">
        <f t="shared" ref="M73:M136" si="18">J73+D72</f>
        <v>20403</v>
      </c>
    </row>
    <row r="74" spans="1:13">
      <c r="E74" s="21">
        <f t="shared" si="4"/>
        <v>74</v>
      </c>
      <c r="F74" s="9" t="s">
        <v>142</v>
      </c>
      <c r="M74" s="21">
        <v>20300</v>
      </c>
    </row>
    <row r="75" spans="1:13">
      <c r="E75" s="21">
        <f t="shared" si="4"/>
        <v>75</v>
      </c>
      <c r="F75" s="9" t="s">
        <v>126</v>
      </c>
      <c r="G75" s="21">
        <v>10</v>
      </c>
      <c r="H75" s="21">
        <v>30</v>
      </c>
      <c r="M75" s="21">
        <f t="shared" ref="M75" si="19">G75*(C72-1)+H75</f>
        <v>50</v>
      </c>
    </row>
    <row r="76" spans="1:13">
      <c r="E76" s="21">
        <f t="shared" si="4"/>
        <v>76</v>
      </c>
      <c r="F76" s="9" t="s">
        <v>29</v>
      </c>
      <c r="M76" s="21" t="s">
        <v>248</v>
      </c>
    </row>
    <row r="77" spans="1:13">
      <c r="E77" s="21">
        <f t="shared" si="4"/>
        <v>77</v>
      </c>
      <c r="F77" s="9" t="s">
        <v>118</v>
      </c>
      <c r="M77" s="21" t="s">
        <v>250</v>
      </c>
    </row>
    <row r="78" spans="1:13">
      <c r="E78" s="21">
        <f t="shared" si="4"/>
        <v>78</v>
      </c>
      <c r="F78" s="9" t="s">
        <v>98</v>
      </c>
      <c r="K78" s="9" t="s">
        <v>137</v>
      </c>
      <c r="M78" s="21">
        <v>2</v>
      </c>
    </row>
    <row r="79" spans="1:13">
      <c r="E79" s="21">
        <f t="shared" si="4"/>
        <v>79</v>
      </c>
      <c r="F79" s="9" t="s">
        <v>116</v>
      </c>
      <c r="K79" s="9" t="s">
        <v>137</v>
      </c>
      <c r="M79" s="21">
        <v>2</v>
      </c>
    </row>
    <row r="80" spans="1:13">
      <c r="E80" s="21">
        <f t="shared" si="4"/>
        <v>80</v>
      </c>
      <c r="F80" s="9" t="s">
        <v>31</v>
      </c>
      <c r="L80" s="9" t="s">
        <v>134</v>
      </c>
      <c r="M80" s="21">
        <v>180</v>
      </c>
    </row>
    <row r="81" spans="1:13">
      <c r="E81" s="21">
        <f t="shared" si="4"/>
        <v>81</v>
      </c>
      <c r="F81" s="9" t="s">
        <v>30</v>
      </c>
      <c r="G81" s="21">
        <v>3</v>
      </c>
      <c r="H81" s="21">
        <v>-3</v>
      </c>
      <c r="M81" s="21">
        <f t="shared" ref="M81" si="20">IF(B72=1,G81,H81)</f>
        <v>3</v>
      </c>
    </row>
    <row r="82" spans="1:13">
      <c r="E82" s="21">
        <f t="shared" si="4"/>
        <v>82</v>
      </c>
      <c r="F82" s="9" t="s">
        <v>35</v>
      </c>
      <c r="M82" s="21">
        <v>90</v>
      </c>
    </row>
    <row r="83" spans="1:13">
      <c r="E83" s="21">
        <f t="shared" si="4"/>
        <v>83</v>
      </c>
      <c r="F83" s="9" t="s">
        <v>101</v>
      </c>
      <c r="M83" s="21">
        <f t="shared" ref="M83" si="21">M73*10+1</f>
        <v>204031</v>
      </c>
    </row>
    <row r="84" spans="1:13">
      <c r="E84" s="21">
        <f t="shared" si="4"/>
        <v>84</v>
      </c>
      <c r="F84" s="9" t="s">
        <v>142</v>
      </c>
      <c r="M84" s="21">
        <f t="shared" ref="M84" si="22">M73</f>
        <v>20403</v>
      </c>
    </row>
    <row r="85" spans="1:13">
      <c r="E85" s="21">
        <f t="shared" si="4"/>
        <v>85</v>
      </c>
      <c r="F85" s="9" t="s">
        <v>127</v>
      </c>
      <c r="M85" s="21">
        <v>0</v>
      </c>
    </row>
    <row r="86" spans="1:13">
      <c r="E86" s="21">
        <f t="shared" si="4"/>
        <v>86</v>
      </c>
      <c r="F86" s="9" t="s">
        <v>142</v>
      </c>
      <c r="M86" s="21">
        <f t="shared" ref="M86" si="23">M90</f>
        <v>204032</v>
      </c>
    </row>
    <row r="87" spans="1:13">
      <c r="E87" s="21">
        <f t="shared" si="4"/>
        <v>87</v>
      </c>
      <c r="F87" s="9" t="s">
        <v>127</v>
      </c>
      <c r="M87" s="21">
        <v>0</v>
      </c>
    </row>
    <row r="88" spans="1:13">
      <c r="E88" s="21">
        <f t="shared" si="4"/>
        <v>88</v>
      </c>
      <c r="F88" s="9" t="s">
        <v>31</v>
      </c>
      <c r="L88" s="9" t="s">
        <v>134</v>
      </c>
      <c r="M88" s="21">
        <v>0</v>
      </c>
    </row>
    <row r="89" spans="1:13">
      <c r="E89" s="21">
        <f t="shared" si="4"/>
        <v>89</v>
      </c>
      <c r="F89" s="9" t="s">
        <v>35</v>
      </c>
      <c r="M89" s="21">
        <v>180</v>
      </c>
    </row>
    <row r="90" spans="1:13">
      <c r="E90" s="21">
        <f t="shared" si="4"/>
        <v>90</v>
      </c>
      <c r="F90" s="9" t="s">
        <v>101</v>
      </c>
      <c r="M90" s="21">
        <f t="shared" ref="M90" si="24">M73*10+2</f>
        <v>204032</v>
      </c>
    </row>
    <row r="91" spans="1:13">
      <c r="E91" s="21">
        <f t="shared" ref="E91:E154" si="25">ROW(E91)</f>
        <v>91</v>
      </c>
      <c r="F91" s="9" t="s">
        <v>142</v>
      </c>
      <c r="M91" s="21">
        <f t="shared" ref="M91" si="26">M83</f>
        <v>204031</v>
      </c>
    </row>
    <row r="92" spans="1:13">
      <c r="E92" s="21">
        <f t="shared" si="25"/>
        <v>92</v>
      </c>
      <c r="F92" s="9" t="s">
        <v>127</v>
      </c>
      <c r="M92" s="21">
        <v>0</v>
      </c>
    </row>
    <row r="93" spans="1:13">
      <c r="E93" s="21">
        <f t="shared" si="25"/>
        <v>93</v>
      </c>
      <c r="F93" s="9" t="s">
        <v>31</v>
      </c>
      <c r="L93" s="9" t="s">
        <v>134</v>
      </c>
      <c r="M93" s="21">
        <v>180</v>
      </c>
    </row>
    <row r="94" spans="1:13">
      <c r="E94" s="21">
        <f t="shared" si="25"/>
        <v>94</v>
      </c>
      <c r="F94" s="9" t="s">
        <v>35</v>
      </c>
      <c r="M94" s="21">
        <v>180</v>
      </c>
    </row>
    <row r="95" spans="1:13">
      <c r="A95" s="21" t="s">
        <v>227</v>
      </c>
      <c r="B95" s="21">
        <f t="shared" ref="B95:B126" si="27">QUOTIENT( D95-1,G96)+1</f>
        <v>2</v>
      </c>
      <c r="C95" s="21">
        <f t="shared" ref="C95" si="28">D95-(B95-1)*G96</f>
        <v>1</v>
      </c>
      <c r="D95" s="21">
        <f>COUNT($D$25:$D94)+1</f>
        <v>4</v>
      </c>
    </row>
    <row r="96" spans="1:13">
      <c r="E96" s="21">
        <f t="shared" si="25"/>
        <v>96</v>
      </c>
      <c r="F96" s="9" t="s">
        <v>93</v>
      </c>
      <c r="G96" s="21">
        <v>3</v>
      </c>
      <c r="H96" s="21">
        <v>2</v>
      </c>
      <c r="J96" s="9" t="s">
        <v>252</v>
      </c>
      <c r="M96" s="21">
        <f t="shared" ref="M96:M159" si="29">J96+D95</f>
        <v>20404</v>
      </c>
    </row>
    <row r="97" spans="5:13">
      <c r="E97" s="21">
        <f t="shared" si="25"/>
        <v>97</v>
      </c>
      <c r="F97" s="9" t="s">
        <v>142</v>
      </c>
      <c r="M97" s="21">
        <v>20300</v>
      </c>
    </row>
    <row r="98" spans="5:13">
      <c r="E98" s="21">
        <f t="shared" si="25"/>
        <v>98</v>
      </c>
      <c r="F98" s="9" t="s">
        <v>126</v>
      </c>
      <c r="G98" s="21">
        <v>10</v>
      </c>
      <c r="H98" s="21">
        <v>30</v>
      </c>
      <c r="M98" s="21">
        <f t="shared" ref="M98" si="30">G98*(C95-1)+H98</f>
        <v>30</v>
      </c>
    </row>
    <row r="99" spans="5:13">
      <c r="E99" s="21">
        <f t="shared" si="25"/>
        <v>99</v>
      </c>
      <c r="F99" s="9" t="s">
        <v>29</v>
      </c>
      <c r="M99" s="21" t="s">
        <v>248</v>
      </c>
    </row>
    <row r="100" spans="5:13">
      <c r="E100" s="21">
        <f t="shared" si="25"/>
        <v>100</v>
      </c>
      <c r="F100" s="9" t="s">
        <v>118</v>
      </c>
      <c r="M100" s="21" t="s">
        <v>250</v>
      </c>
    </row>
    <row r="101" spans="5:13">
      <c r="E101" s="21">
        <f t="shared" si="25"/>
        <v>101</v>
      </c>
      <c r="F101" s="9" t="s">
        <v>98</v>
      </c>
      <c r="K101" s="9" t="s">
        <v>137</v>
      </c>
      <c r="M101" s="21">
        <v>2</v>
      </c>
    </row>
    <row r="102" spans="5:13">
      <c r="E102" s="21">
        <f t="shared" si="25"/>
        <v>102</v>
      </c>
      <c r="F102" s="9" t="s">
        <v>116</v>
      </c>
      <c r="K102" s="9" t="s">
        <v>137</v>
      </c>
      <c r="M102" s="21">
        <v>2</v>
      </c>
    </row>
    <row r="103" spans="5:13">
      <c r="E103" s="21">
        <f t="shared" si="25"/>
        <v>103</v>
      </c>
      <c r="F103" s="9" t="s">
        <v>31</v>
      </c>
      <c r="L103" s="9" t="s">
        <v>134</v>
      </c>
      <c r="M103" s="21">
        <v>180</v>
      </c>
    </row>
    <row r="104" spans="5:13">
      <c r="E104" s="21">
        <f t="shared" si="25"/>
        <v>104</v>
      </c>
      <c r="F104" s="9" t="s">
        <v>30</v>
      </c>
      <c r="G104" s="21">
        <v>3</v>
      </c>
      <c r="H104" s="21">
        <v>-3</v>
      </c>
      <c r="M104" s="21">
        <f t="shared" ref="M104" si="31">IF(B95=1,G104,H104)</f>
        <v>-3</v>
      </c>
    </row>
    <row r="105" spans="5:13">
      <c r="E105" s="21">
        <f t="shared" si="25"/>
        <v>105</v>
      </c>
      <c r="F105" s="9" t="s">
        <v>35</v>
      </c>
      <c r="M105" s="21">
        <v>90</v>
      </c>
    </row>
    <row r="106" spans="5:13">
      <c r="E106" s="21">
        <f t="shared" si="25"/>
        <v>106</v>
      </c>
      <c r="F106" s="9" t="s">
        <v>101</v>
      </c>
      <c r="M106" s="21">
        <f t="shared" ref="M106" si="32">M96*10+1</f>
        <v>204041</v>
      </c>
    </row>
    <row r="107" spans="5:13">
      <c r="E107" s="21">
        <f t="shared" si="25"/>
        <v>107</v>
      </c>
      <c r="F107" s="9" t="s">
        <v>142</v>
      </c>
      <c r="M107" s="21">
        <f t="shared" ref="M107" si="33">M96</f>
        <v>20404</v>
      </c>
    </row>
    <row r="108" spans="5:13">
      <c r="E108" s="21">
        <f t="shared" si="25"/>
        <v>108</v>
      </c>
      <c r="F108" s="9" t="s">
        <v>127</v>
      </c>
      <c r="M108" s="21">
        <v>0</v>
      </c>
    </row>
    <row r="109" spans="5:13">
      <c r="E109" s="21">
        <f t="shared" si="25"/>
        <v>109</v>
      </c>
      <c r="F109" s="9" t="s">
        <v>142</v>
      </c>
      <c r="M109" s="21">
        <f t="shared" ref="M109" si="34">M113</f>
        <v>204042</v>
      </c>
    </row>
    <row r="110" spans="5:13">
      <c r="E110" s="21">
        <f t="shared" si="25"/>
        <v>110</v>
      </c>
      <c r="F110" s="9" t="s">
        <v>127</v>
      </c>
      <c r="M110" s="21">
        <v>0</v>
      </c>
    </row>
    <row r="111" spans="5:13">
      <c r="E111" s="21">
        <f t="shared" si="25"/>
        <v>111</v>
      </c>
      <c r="F111" s="9" t="s">
        <v>31</v>
      </c>
      <c r="L111" s="9" t="s">
        <v>134</v>
      </c>
      <c r="M111" s="21">
        <v>0</v>
      </c>
    </row>
    <row r="112" spans="5:13">
      <c r="E112" s="21">
        <f t="shared" si="25"/>
        <v>112</v>
      </c>
      <c r="F112" s="9" t="s">
        <v>35</v>
      </c>
      <c r="M112" s="21">
        <v>180</v>
      </c>
    </row>
    <row r="113" spans="1:13">
      <c r="E113" s="21">
        <f t="shared" si="25"/>
        <v>113</v>
      </c>
      <c r="F113" s="9" t="s">
        <v>101</v>
      </c>
      <c r="M113" s="21">
        <f t="shared" ref="M113" si="35">M96*10+2</f>
        <v>204042</v>
      </c>
    </row>
    <row r="114" spans="1:13">
      <c r="E114" s="21">
        <f t="shared" si="25"/>
        <v>114</v>
      </c>
      <c r="F114" s="9" t="s">
        <v>142</v>
      </c>
      <c r="M114" s="21">
        <f t="shared" ref="M114" si="36">M106</f>
        <v>204041</v>
      </c>
    </row>
    <row r="115" spans="1:13">
      <c r="E115" s="21">
        <f t="shared" si="25"/>
        <v>115</v>
      </c>
      <c r="F115" s="9" t="s">
        <v>127</v>
      </c>
      <c r="M115" s="21">
        <v>0</v>
      </c>
    </row>
    <row r="116" spans="1:13">
      <c r="E116" s="21">
        <f t="shared" si="25"/>
        <v>116</v>
      </c>
      <c r="F116" s="9" t="s">
        <v>31</v>
      </c>
      <c r="L116" s="9" t="s">
        <v>134</v>
      </c>
      <c r="M116" s="21">
        <v>180</v>
      </c>
    </row>
    <row r="117" spans="1:13">
      <c r="E117" s="21">
        <f t="shared" si="25"/>
        <v>117</v>
      </c>
      <c r="F117" s="9" t="s">
        <v>35</v>
      </c>
      <c r="M117" s="21">
        <v>180</v>
      </c>
    </row>
    <row r="118" spans="1:13">
      <c r="A118" s="21" t="s">
        <v>227</v>
      </c>
      <c r="B118" s="21">
        <f t="shared" ref="B118:B163" si="37">QUOTIENT( D118-1,G119)+1</f>
        <v>2</v>
      </c>
      <c r="C118" s="21">
        <f t="shared" ref="C118" si="38">D118-(B118-1)*G119</f>
        <v>2</v>
      </c>
      <c r="D118" s="21">
        <f>COUNT($D$25:$D117)+1</f>
        <v>5</v>
      </c>
    </row>
    <row r="119" spans="1:13">
      <c r="E119" s="21">
        <f t="shared" si="25"/>
        <v>119</v>
      </c>
      <c r="F119" s="9" t="s">
        <v>93</v>
      </c>
      <c r="G119" s="21">
        <v>3</v>
      </c>
      <c r="H119" s="21">
        <v>2</v>
      </c>
      <c r="J119" s="9" t="s">
        <v>252</v>
      </c>
      <c r="M119" s="21">
        <f t="shared" ref="M119:M163" si="39">J119+D118</f>
        <v>20405</v>
      </c>
    </row>
    <row r="120" spans="1:13">
      <c r="E120" s="21">
        <f t="shared" si="25"/>
        <v>120</v>
      </c>
      <c r="F120" s="9" t="s">
        <v>142</v>
      </c>
      <c r="M120" s="21">
        <v>20300</v>
      </c>
    </row>
    <row r="121" spans="1:13">
      <c r="E121" s="21">
        <f t="shared" si="25"/>
        <v>121</v>
      </c>
      <c r="F121" s="9" t="s">
        <v>126</v>
      </c>
      <c r="G121" s="21">
        <v>10</v>
      </c>
      <c r="H121" s="21">
        <v>30</v>
      </c>
      <c r="M121" s="21">
        <f t="shared" ref="M121" si="40">G121*(C118-1)+H121</f>
        <v>40</v>
      </c>
    </row>
    <row r="122" spans="1:13">
      <c r="E122" s="21">
        <f t="shared" si="25"/>
        <v>122</v>
      </c>
      <c r="F122" s="9" t="s">
        <v>29</v>
      </c>
      <c r="M122" s="21" t="s">
        <v>248</v>
      </c>
    </row>
    <row r="123" spans="1:13">
      <c r="E123" s="21">
        <f t="shared" si="25"/>
        <v>123</v>
      </c>
      <c r="F123" s="9" t="s">
        <v>118</v>
      </c>
      <c r="M123" s="21" t="s">
        <v>250</v>
      </c>
    </row>
    <row r="124" spans="1:13">
      <c r="E124" s="21">
        <f t="shared" si="25"/>
        <v>124</v>
      </c>
      <c r="F124" s="9" t="s">
        <v>98</v>
      </c>
      <c r="K124" s="9" t="s">
        <v>137</v>
      </c>
      <c r="M124" s="21">
        <v>2</v>
      </c>
    </row>
    <row r="125" spans="1:13">
      <c r="E125" s="21">
        <f t="shared" si="25"/>
        <v>125</v>
      </c>
      <c r="F125" s="9" t="s">
        <v>116</v>
      </c>
      <c r="K125" s="9" t="s">
        <v>137</v>
      </c>
      <c r="M125" s="21">
        <v>2</v>
      </c>
    </row>
    <row r="126" spans="1:13">
      <c r="E126" s="21">
        <f t="shared" si="25"/>
        <v>126</v>
      </c>
      <c r="F126" s="9" t="s">
        <v>31</v>
      </c>
      <c r="L126" s="9" t="s">
        <v>134</v>
      </c>
      <c r="M126" s="21">
        <v>180</v>
      </c>
    </row>
    <row r="127" spans="1:13">
      <c r="E127" s="21">
        <f t="shared" si="25"/>
        <v>127</v>
      </c>
      <c r="F127" s="9" t="s">
        <v>30</v>
      </c>
      <c r="G127" s="21">
        <v>3</v>
      </c>
      <c r="H127" s="21">
        <v>-3</v>
      </c>
      <c r="M127" s="21">
        <f t="shared" ref="M127" si="41">IF(B118=1,G127,H127)</f>
        <v>-3</v>
      </c>
    </row>
    <row r="128" spans="1:13">
      <c r="E128" s="21">
        <f t="shared" si="25"/>
        <v>128</v>
      </c>
      <c r="F128" s="9" t="s">
        <v>35</v>
      </c>
      <c r="M128" s="21">
        <v>90</v>
      </c>
    </row>
    <row r="129" spans="1:13">
      <c r="E129" s="21">
        <f t="shared" si="25"/>
        <v>129</v>
      </c>
      <c r="F129" s="9" t="s">
        <v>101</v>
      </c>
      <c r="M129" s="21">
        <f t="shared" ref="M129" si="42">M119*10+1</f>
        <v>204051</v>
      </c>
    </row>
    <row r="130" spans="1:13">
      <c r="E130" s="21">
        <f t="shared" si="25"/>
        <v>130</v>
      </c>
      <c r="F130" s="9" t="s">
        <v>142</v>
      </c>
      <c r="M130" s="21">
        <f t="shared" ref="M130" si="43">M119</f>
        <v>20405</v>
      </c>
    </row>
    <row r="131" spans="1:13">
      <c r="E131" s="21">
        <f t="shared" si="25"/>
        <v>131</v>
      </c>
      <c r="F131" s="9" t="s">
        <v>127</v>
      </c>
      <c r="M131" s="21">
        <v>0</v>
      </c>
    </row>
    <row r="132" spans="1:13">
      <c r="E132" s="21">
        <f t="shared" si="25"/>
        <v>132</v>
      </c>
      <c r="F132" s="9" t="s">
        <v>142</v>
      </c>
      <c r="M132" s="21">
        <f t="shared" ref="M132" si="44">M136</f>
        <v>204052</v>
      </c>
    </row>
    <row r="133" spans="1:13">
      <c r="E133" s="21">
        <f t="shared" si="25"/>
        <v>133</v>
      </c>
      <c r="F133" s="9" t="s">
        <v>127</v>
      </c>
      <c r="M133" s="21">
        <v>0</v>
      </c>
    </row>
    <row r="134" spans="1:13">
      <c r="E134" s="21">
        <f t="shared" si="25"/>
        <v>134</v>
      </c>
      <c r="F134" s="9" t="s">
        <v>31</v>
      </c>
      <c r="L134" s="9" t="s">
        <v>134</v>
      </c>
      <c r="M134" s="21">
        <v>0</v>
      </c>
    </row>
    <row r="135" spans="1:13">
      <c r="E135" s="21">
        <f t="shared" si="25"/>
        <v>135</v>
      </c>
      <c r="F135" s="9" t="s">
        <v>35</v>
      </c>
      <c r="M135" s="21">
        <v>180</v>
      </c>
    </row>
    <row r="136" spans="1:13">
      <c r="E136" s="21">
        <f t="shared" si="25"/>
        <v>136</v>
      </c>
      <c r="F136" s="9" t="s">
        <v>101</v>
      </c>
      <c r="M136" s="21">
        <f t="shared" ref="M136" si="45">M119*10+2</f>
        <v>204052</v>
      </c>
    </row>
    <row r="137" spans="1:13">
      <c r="E137" s="21">
        <f t="shared" si="25"/>
        <v>137</v>
      </c>
      <c r="F137" s="9" t="s">
        <v>142</v>
      </c>
      <c r="M137" s="21">
        <f t="shared" ref="M137" si="46">M129</f>
        <v>204051</v>
      </c>
    </row>
    <row r="138" spans="1:13">
      <c r="E138" s="21">
        <f t="shared" si="25"/>
        <v>138</v>
      </c>
      <c r="F138" s="9" t="s">
        <v>127</v>
      </c>
      <c r="M138" s="21">
        <v>0</v>
      </c>
    </row>
    <row r="139" spans="1:13">
      <c r="E139" s="21">
        <f t="shared" si="25"/>
        <v>139</v>
      </c>
      <c r="F139" s="9" t="s">
        <v>31</v>
      </c>
      <c r="L139" s="9" t="s">
        <v>134</v>
      </c>
      <c r="M139" s="21">
        <v>180</v>
      </c>
    </row>
    <row r="140" spans="1:13">
      <c r="E140" s="21">
        <f t="shared" si="25"/>
        <v>140</v>
      </c>
      <c r="F140" s="9" t="s">
        <v>35</v>
      </c>
      <c r="M140" s="21">
        <v>180</v>
      </c>
    </row>
    <row r="141" spans="1:13">
      <c r="A141" s="21" t="s">
        <v>227</v>
      </c>
      <c r="B141" s="21">
        <f t="shared" ref="B141:B163" si="47">QUOTIENT( D141-1,G142)+1</f>
        <v>2</v>
      </c>
      <c r="C141" s="21">
        <f t="shared" ref="C141" si="48">D141-(B141-1)*G142</f>
        <v>3</v>
      </c>
      <c r="D141" s="21">
        <f>COUNT($D$25:$D140)+1</f>
        <v>6</v>
      </c>
    </row>
    <row r="142" spans="1:13">
      <c r="E142" s="21">
        <f t="shared" si="25"/>
        <v>142</v>
      </c>
      <c r="F142" s="9" t="s">
        <v>93</v>
      </c>
      <c r="G142" s="21">
        <v>3</v>
      </c>
      <c r="H142" s="21">
        <v>2</v>
      </c>
      <c r="J142" s="9" t="s">
        <v>252</v>
      </c>
      <c r="M142" s="21">
        <f t="shared" ref="M142:M163" si="49">J142+D141</f>
        <v>20406</v>
      </c>
    </row>
    <row r="143" spans="1:13">
      <c r="E143" s="21">
        <f t="shared" si="25"/>
        <v>143</v>
      </c>
      <c r="F143" s="9" t="s">
        <v>142</v>
      </c>
      <c r="M143" s="21">
        <v>20300</v>
      </c>
    </row>
    <row r="144" spans="1:13">
      <c r="E144" s="21">
        <f t="shared" si="25"/>
        <v>144</v>
      </c>
      <c r="F144" s="9" t="s">
        <v>126</v>
      </c>
      <c r="G144" s="21">
        <v>10</v>
      </c>
      <c r="H144" s="21">
        <v>30</v>
      </c>
      <c r="M144" s="21">
        <f t="shared" ref="M144" si="50">G144*(C141-1)+H144</f>
        <v>50</v>
      </c>
    </row>
    <row r="145" spans="5:13">
      <c r="E145" s="21">
        <f t="shared" si="25"/>
        <v>145</v>
      </c>
      <c r="F145" s="9" t="s">
        <v>29</v>
      </c>
      <c r="M145" s="21" t="s">
        <v>248</v>
      </c>
    </row>
    <row r="146" spans="5:13">
      <c r="E146" s="21">
        <f t="shared" si="25"/>
        <v>146</v>
      </c>
      <c r="F146" s="9" t="s">
        <v>118</v>
      </c>
      <c r="M146" s="21" t="s">
        <v>250</v>
      </c>
    </row>
    <row r="147" spans="5:13">
      <c r="E147" s="21">
        <f t="shared" si="25"/>
        <v>147</v>
      </c>
      <c r="F147" s="9" t="s">
        <v>98</v>
      </c>
      <c r="K147" s="9" t="s">
        <v>137</v>
      </c>
      <c r="M147" s="21">
        <v>2</v>
      </c>
    </row>
    <row r="148" spans="5:13">
      <c r="E148" s="21">
        <f t="shared" si="25"/>
        <v>148</v>
      </c>
      <c r="F148" s="9" t="s">
        <v>116</v>
      </c>
      <c r="K148" s="9" t="s">
        <v>137</v>
      </c>
      <c r="M148" s="21">
        <v>2</v>
      </c>
    </row>
    <row r="149" spans="5:13">
      <c r="E149" s="21">
        <f t="shared" si="25"/>
        <v>149</v>
      </c>
      <c r="F149" s="9" t="s">
        <v>31</v>
      </c>
      <c r="L149" s="9" t="s">
        <v>134</v>
      </c>
      <c r="M149" s="21">
        <v>180</v>
      </c>
    </row>
    <row r="150" spans="5:13">
      <c r="E150" s="21">
        <f t="shared" si="25"/>
        <v>150</v>
      </c>
      <c r="F150" s="9" t="s">
        <v>30</v>
      </c>
      <c r="G150" s="21">
        <v>3</v>
      </c>
      <c r="H150" s="21">
        <v>-3</v>
      </c>
      <c r="M150" s="21">
        <f t="shared" ref="M150" si="51">IF(B141=1,G150,H150)</f>
        <v>-3</v>
      </c>
    </row>
    <row r="151" spans="5:13">
      <c r="E151" s="21">
        <f t="shared" si="25"/>
        <v>151</v>
      </c>
      <c r="F151" s="9" t="s">
        <v>35</v>
      </c>
      <c r="M151" s="21">
        <v>90</v>
      </c>
    </row>
    <row r="152" spans="5:13">
      <c r="E152" s="21">
        <f t="shared" si="25"/>
        <v>152</v>
      </c>
      <c r="F152" s="9" t="s">
        <v>101</v>
      </c>
      <c r="M152" s="21">
        <f t="shared" ref="M152" si="52">M142*10+1</f>
        <v>204061</v>
      </c>
    </row>
    <row r="153" spans="5:13">
      <c r="E153" s="21">
        <f t="shared" si="25"/>
        <v>153</v>
      </c>
      <c r="F153" s="9" t="s">
        <v>142</v>
      </c>
      <c r="M153" s="21">
        <f t="shared" ref="M153" si="53">M142</f>
        <v>20406</v>
      </c>
    </row>
    <row r="154" spans="5:13">
      <c r="E154" s="21">
        <f t="shared" si="25"/>
        <v>154</v>
      </c>
      <c r="F154" s="9" t="s">
        <v>127</v>
      </c>
      <c r="M154" s="21">
        <v>0</v>
      </c>
    </row>
    <row r="155" spans="5:13">
      <c r="E155" s="21">
        <f t="shared" ref="E155:E163" si="54">ROW(E155)</f>
        <v>155</v>
      </c>
      <c r="F155" s="9" t="s">
        <v>142</v>
      </c>
      <c r="M155" s="21">
        <f t="shared" ref="M155" si="55">M159</f>
        <v>204062</v>
      </c>
    </row>
    <row r="156" spans="5:13">
      <c r="E156" s="21">
        <f t="shared" si="54"/>
        <v>156</v>
      </c>
      <c r="F156" s="9" t="s">
        <v>127</v>
      </c>
      <c r="M156" s="21">
        <v>0</v>
      </c>
    </row>
    <row r="157" spans="5:13">
      <c r="E157" s="21">
        <f t="shared" si="54"/>
        <v>157</v>
      </c>
      <c r="F157" s="9" t="s">
        <v>31</v>
      </c>
      <c r="L157" s="9" t="s">
        <v>134</v>
      </c>
      <c r="M157" s="21">
        <v>0</v>
      </c>
    </row>
    <row r="158" spans="5:13">
      <c r="E158" s="21">
        <f t="shared" si="54"/>
        <v>158</v>
      </c>
      <c r="F158" s="9" t="s">
        <v>35</v>
      </c>
      <c r="M158" s="21">
        <v>180</v>
      </c>
    </row>
    <row r="159" spans="5:13">
      <c r="E159" s="21">
        <f t="shared" si="54"/>
        <v>159</v>
      </c>
      <c r="F159" s="9" t="s">
        <v>101</v>
      </c>
      <c r="M159" s="21">
        <f t="shared" ref="M159" si="56">M142*10+2</f>
        <v>204062</v>
      </c>
    </row>
    <row r="160" spans="5:13">
      <c r="E160" s="21">
        <f t="shared" si="54"/>
        <v>160</v>
      </c>
      <c r="F160" s="9" t="s">
        <v>142</v>
      </c>
      <c r="M160" s="21">
        <f t="shared" ref="M160" si="57">M152</f>
        <v>204061</v>
      </c>
    </row>
    <row r="161" spans="5:13">
      <c r="E161" s="21">
        <f t="shared" si="54"/>
        <v>161</v>
      </c>
      <c r="F161" s="9" t="s">
        <v>127</v>
      </c>
      <c r="M161" s="21">
        <v>0</v>
      </c>
    </row>
    <row r="162" spans="5:13">
      <c r="E162" s="21">
        <f t="shared" si="54"/>
        <v>162</v>
      </c>
      <c r="F162" s="9" t="s">
        <v>31</v>
      </c>
      <c r="L162" s="9" t="s">
        <v>134</v>
      </c>
      <c r="M162" s="21">
        <v>180</v>
      </c>
    </row>
    <row r="163" spans="5:13">
      <c r="E163" s="21">
        <f t="shared" si="54"/>
        <v>163</v>
      </c>
      <c r="F163" s="9" t="s">
        <v>35</v>
      </c>
      <c r="M163" s="21">
        <v>180</v>
      </c>
    </row>
  </sheetData>
  <phoneticPr fontId="2" type="noConversion"/>
  <conditionalFormatting sqref="BE1:XFD1 E1:I1">
    <cfRule type="duplicateValues" dxfId="64" priority="1906"/>
  </conditionalFormatting>
  <conditionalFormatting sqref="F1:F2">
    <cfRule type="cellIs" dxfId="63" priority="1407" operator="equal">
      <formula>"ID"</formula>
    </cfRule>
    <cfRule type="cellIs" dxfId="62" priority="1822" operator="equal">
      <formula>"行動序號"</formula>
    </cfRule>
  </conditionalFormatting>
  <conditionalFormatting sqref="J1">
    <cfRule type="duplicateValues" dxfId="61" priority="1405"/>
  </conditionalFormatting>
  <conditionalFormatting sqref="K1:L1">
    <cfRule type="duplicateValues" dxfId="60" priority="1402"/>
  </conditionalFormatting>
  <conditionalFormatting sqref="M1:M10 M29:M37 M39 M46:M1048576 M41:M44 M12:M27">
    <cfRule type="expression" dxfId="59" priority="1017">
      <formula>_xlfn.ISFORMULA(M1)</formula>
    </cfRule>
  </conditionalFormatting>
  <conditionalFormatting sqref="N1:BD1">
    <cfRule type="duplicateValues" dxfId="58" priority="1922"/>
  </conditionalFormatting>
  <conditionalFormatting sqref="F1:F1048576">
    <cfRule type="cellIs" dxfId="57" priority="120" operator="equal">
      <formula>"ID"</formula>
    </cfRule>
    <cfRule type="cellIs" dxfId="56" priority="121" operator="equal">
      <formula>"行動ID"</formula>
    </cfRule>
  </conditionalFormatting>
  <conditionalFormatting sqref="M1:M10 M29:M37 M39 M41:M44 M46:M1048576 M12:M27">
    <cfRule type="expression" dxfId="55" priority="81">
      <formula>AND(_xlfn.ISFORMULA(M1),OR($F1="行動ID", $F1="ID"))</formula>
    </cfRule>
    <cfRule type="expression" dxfId="54" priority="83">
      <formula>OR($F1="行動ID", $F1="ID")</formula>
    </cfRule>
  </conditionalFormatting>
  <conditionalFormatting sqref="M11">
    <cfRule type="expression" dxfId="53" priority="22">
      <formula>AND(_xlfn.ISFORMULA(M11),OR($F11="行動ID", $F11="ID"))</formula>
    </cfRule>
    <cfRule type="expression" dxfId="52" priority="24">
      <formula>OR($F11="行動ID", $F11="ID")</formula>
    </cfRule>
  </conditionalFormatting>
  <conditionalFormatting sqref="M11">
    <cfRule type="expression" dxfId="51" priority="23">
      <formula>_xlfn.ISFORMULA(M11)</formula>
    </cfRule>
  </conditionalFormatting>
  <conditionalFormatting sqref="M28">
    <cfRule type="expression" dxfId="50" priority="10">
      <formula>AND(_xlfn.ISFORMULA(M28),OR($F28="行動ID", $F28="ID"))</formula>
    </cfRule>
    <cfRule type="expression" dxfId="49" priority="12">
      <formula>OR($F28="行動ID", $F28="ID")</formula>
    </cfRule>
  </conditionalFormatting>
  <conditionalFormatting sqref="M28">
    <cfRule type="expression" dxfId="48" priority="11">
      <formula>_xlfn.ISFORMULA(M28)</formula>
    </cfRule>
  </conditionalFormatting>
  <conditionalFormatting sqref="M38">
    <cfRule type="expression" dxfId="47" priority="7">
      <formula>AND(_xlfn.ISFORMULA(M38),OR($F38="行動ID", $F38="ID"))</formula>
    </cfRule>
    <cfRule type="expression" dxfId="46" priority="9">
      <formula>OR($F38="行動ID", $F38="ID")</formula>
    </cfRule>
  </conditionalFormatting>
  <conditionalFormatting sqref="M38">
    <cfRule type="expression" dxfId="45" priority="8">
      <formula>_xlfn.ISFORMULA(M38)</formula>
    </cfRule>
  </conditionalFormatting>
  <conditionalFormatting sqref="M45">
    <cfRule type="expression" dxfId="44" priority="4">
      <formula>AND(_xlfn.ISFORMULA(M45),OR($F45="行動ID", $F45="ID"))</formula>
    </cfRule>
    <cfRule type="expression" dxfId="43" priority="6">
      <formula>OR($F45="行動ID", $F45="ID")</formula>
    </cfRule>
  </conditionalFormatting>
  <conditionalFormatting sqref="M45">
    <cfRule type="expression" dxfId="42" priority="5">
      <formula>_xlfn.ISFORMULA(M45)</formula>
    </cfRule>
  </conditionalFormatting>
  <conditionalFormatting sqref="M40">
    <cfRule type="expression" dxfId="41" priority="1">
      <formula>AND(_xlfn.ISFORMULA(M40),OR($F40="行動ID", $F40="ID"))</formula>
    </cfRule>
    <cfRule type="expression" dxfId="40" priority="3">
      <formula>OR($F40="行動ID", $F40="ID")</formula>
    </cfRule>
  </conditionalFormatting>
  <conditionalFormatting sqref="M40">
    <cfRule type="expression" dxfId="39" priority="2">
      <formula>_xlfn.ISFORMULA(M40)</formula>
    </cfRule>
  </conditionalFormatting>
  <dataValidations count="1">
    <dataValidation type="list" allowBlank="1" showInputMessage="1" showErrorMessage="1" sqref="L5 L7 F17 L25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stage7_card13shot3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2025-04-29T06:22:32Z</dcterms:modified>
</cp:coreProperties>
</file>