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374EE690-13AB-47F6-967E-77C78AFAB83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8shot2_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6" i="1" l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5" i="1"/>
  <c r="D28" i="1"/>
  <c r="D30" i="1" l="1"/>
  <c r="B28" i="1"/>
  <c r="C28" i="1" s="1"/>
  <c r="M28" i="1" s="1"/>
  <c r="B30" i="1" l="1"/>
  <c r="C30" i="1" s="1"/>
  <c r="M30" i="1" s="1"/>
  <c r="D34" i="1"/>
  <c r="D32" i="1"/>
  <c r="E26" i="1"/>
  <c r="E24" i="1"/>
  <c r="E22" i="1"/>
  <c r="E23" i="1"/>
  <c r="E21" i="1"/>
  <c r="E28" i="1"/>
  <c r="E27" i="1"/>
  <c r="E20" i="1"/>
  <c r="A18" i="1"/>
  <c r="B34" i="1" l="1"/>
  <c r="C34" i="1" s="1"/>
  <c r="M34" i="1" s="1"/>
  <c r="B32" i="1"/>
  <c r="C32" i="1" s="1"/>
  <c r="M32" i="1" s="1"/>
  <c r="D3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36" i="1" l="1"/>
  <c r="C36" i="1" s="1"/>
  <c r="M36" i="1" s="1"/>
  <c r="D38" i="1"/>
  <c r="D40" i="1" s="1"/>
  <c r="D44" i="1" l="1"/>
  <c r="B40" i="1"/>
  <c r="C40" i="1" s="1"/>
  <c r="M40" i="1" s="1"/>
  <c r="B38" i="1"/>
  <c r="C38" i="1" s="1"/>
  <c r="M38" i="1" s="1"/>
  <c r="D42" i="1"/>
  <c r="B44" i="1" l="1"/>
  <c r="C44" i="1" s="1"/>
  <c r="M44" i="1" s="1"/>
  <c r="D46" i="1"/>
  <c r="B42" i="1"/>
  <c r="C42" i="1" s="1"/>
  <c r="M42" i="1" s="1"/>
  <c r="B46" i="1" l="1"/>
  <c r="C46" i="1" s="1"/>
  <c r="M46" i="1" s="1"/>
  <c r="D48" i="1"/>
  <c r="D50" i="1"/>
  <c r="B48" i="1" l="1"/>
  <c r="C48" i="1" s="1"/>
  <c r="M48" i="1" s="1"/>
  <c r="B50" i="1"/>
  <c r="C50" i="1" s="1"/>
  <c r="M50" i="1" s="1"/>
  <c r="D52" i="1"/>
  <c r="B52" i="1" l="1"/>
  <c r="C52" i="1" s="1"/>
  <c r="M52" i="1" s="1"/>
  <c r="D54" i="1"/>
  <c r="B54" i="1" l="1"/>
  <c r="C54" i="1" s="1"/>
  <c r="M54" i="1" s="1"/>
  <c r="D56" i="1"/>
  <c r="B56" i="1" l="1"/>
  <c r="C56" i="1" s="1"/>
  <c r="M56" i="1" s="1"/>
  <c r="D58" i="1"/>
  <c r="B58" i="1" l="1"/>
  <c r="C58" i="1" s="1"/>
  <c r="M58" i="1" s="1"/>
  <c r="D60" i="1"/>
  <c r="B60" i="1" l="1"/>
  <c r="C60" i="1" s="1"/>
  <c r="M60" i="1" s="1"/>
  <c r="D62" i="1"/>
  <c r="B62" i="1" l="1"/>
  <c r="C62" i="1" s="1"/>
  <c r="M62" i="1" s="1"/>
  <c r="D64" i="1"/>
  <c r="B64" i="1" l="1"/>
  <c r="C64" i="1" s="1"/>
  <c r="M64" i="1" s="1"/>
  <c r="D66" i="1"/>
  <c r="B66" i="1" l="1"/>
  <c r="C66" i="1" s="1"/>
  <c r="M66" i="1" s="1"/>
  <c r="D68" i="1"/>
  <c r="B68" i="1" l="1"/>
  <c r="C68" i="1" s="1"/>
  <c r="M68" i="1" s="1"/>
  <c r="D70" i="1"/>
  <c r="B70" i="1" l="1"/>
  <c r="C70" i="1" s="1"/>
  <c r="M70" i="1" s="1"/>
  <c r="D72" i="1"/>
  <c r="B72" i="1" l="1"/>
  <c r="C72" i="1" s="1"/>
  <c r="M72" i="1" s="1"/>
  <c r="D74" i="1"/>
  <c r="B74" i="1" l="1"/>
  <c r="C74" i="1" s="1"/>
  <c r="M74" i="1" s="1"/>
  <c r="D76" i="1"/>
  <c r="B76" i="1" l="1"/>
  <c r="C76" i="1" s="1"/>
  <c r="M76" i="1" s="1"/>
  <c r="D78" i="1"/>
  <c r="B78" i="1" l="1"/>
  <c r="C78" i="1" s="1"/>
  <c r="M78" i="1" s="1"/>
  <c r="D80" i="1"/>
  <c r="B80" i="1" l="1"/>
  <c r="C80" i="1" s="1"/>
  <c r="M80" i="1" s="1"/>
  <c r="D82" i="1"/>
  <c r="B82" i="1" l="1"/>
  <c r="C82" i="1" s="1"/>
  <c r="M82" i="1" s="1"/>
  <c r="D84" i="1"/>
  <c r="B84" i="1" l="1"/>
  <c r="C84" i="1" s="1"/>
  <c r="M84" i="1" s="1"/>
  <c r="D86" i="1"/>
  <c r="B86" i="1" l="1"/>
  <c r="C86" i="1" s="1"/>
  <c r="M86" i="1" s="1"/>
  <c r="D88" i="1"/>
  <c r="B88" i="1" l="1"/>
  <c r="C88" i="1" s="1"/>
  <c r="M88" i="1" s="1"/>
  <c r="D90" i="1"/>
  <c r="B90" i="1" l="1"/>
  <c r="C90" i="1" s="1"/>
  <c r="M90" i="1" s="1"/>
  <c r="D92" i="1"/>
  <c r="B92" i="1" l="1"/>
  <c r="C92" i="1" s="1"/>
  <c r="M92" i="1" s="1"/>
  <c r="D94" i="1"/>
  <c r="B94" i="1" l="1"/>
  <c r="C94" i="1" s="1"/>
  <c r="M94" i="1" s="1"/>
  <c r="D96" i="1"/>
  <c r="B96" i="1" l="1"/>
  <c r="C96" i="1" s="1"/>
  <c r="M96" i="1" s="1"/>
  <c r="D98" i="1"/>
  <c r="B98" i="1" l="1"/>
  <c r="C98" i="1" s="1"/>
  <c r="M98" i="1" s="1"/>
  <c r="D100" i="1"/>
  <c r="B100" i="1" l="1"/>
  <c r="C100" i="1" s="1"/>
  <c r="M100" i="1" s="1"/>
  <c r="D102" i="1"/>
  <c r="B102" i="1" l="1"/>
  <c r="C102" i="1" s="1"/>
  <c r="M102" i="1" s="1"/>
  <c r="D104" i="1"/>
  <c r="B104" i="1" l="1"/>
  <c r="C104" i="1" s="1"/>
  <c r="M104" i="1" s="1"/>
  <c r="D106" i="1"/>
  <c r="B106" i="1" l="1"/>
  <c r="C106" i="1" s="1"/>
  <c r="M106" i="1" s="1"/>
  <c r="D108" i="1"/>
  <c r="B108" i="1" l="1"/>
  <c r="C108" i="1" s="1"/>
  <c r="M108" i="1" s="1"/>
  <c r="D110" i="1"/>
  <c r="B110" i="1" l="1"/>
  <c r="C110" i="1" s="1"/>
  <c r="M110" i="1" s="1"/>
  <c r="D112" i="1"/>
  <c r="B112" i="1" l="1"/>
  <c r="C112" i="1" s="1"/>
  <c r="M112" i="1" s="1"/>
  <c r="D114" i="1"/>
  <c r="B114" i="1" l="1"/>
  <c r="C114" i="1"/>
  <c r="M114" i="1" s="1"/>
  <c r="D116" i="1"/>
  <c r="B116" i="1" l="1"/>
  <c r="C116" i="1" s="1"/>
  <c r="M116" i="1" s="1"/>
  <c r="D118" i="1"/>
  <c r="B118" i="1" l="1"/>
  <c r="C118" i="1" s="1"/>
  <c r="M118" i="1" s="1"/>
  <c r="D120" i="1"/>
  <c r="B120" i="1" l="1"/>
  <c r="C120" i="1" s="1"/>
  <c r="M120" i="1" s="1"/>
  <c r="D122" i="1"/>
  <c r="B122" i="1" l="1"/>
  <c r="C122" i="1" s="1"/>
  <c r="M122" i="1" s="1"/>
  <c r="D124" i="1"/>
  <c r="B124" i="1" l="1"/>
  <c r="C124" i="1" s="1"/>
  <c r="M124" i="1" s="1"/>
  <c r="D126" i="1"/>
  <c r="B126" i="1" l="1"/>
  <c r="C126" i="1" s="1"/>
  <c r="M126" i="1" s="1"/>
  <c r="D128" i="1"/>
  <c r="B128" i="1" l="1"/>
  <c r="C128" i="1" s="1"/>
  <c r="M128" i="1" s="1"/>
  <c r="D130" i="1"/>
  <c r="B130" i="1" l="1"/>
  <c r="C130" i="1" s="1"/>
  <c r="M130" i="1" s="1"/>
  <c r="D132" i="1"/>
  <c r="B132" i="1" l="1"/>
  <c r="C132" i="1" s="1"/>
  <c r="M132" i="1" s="1"/>
  <c r="D134" i="1"/>
  <c r="B134" i="1" l="1"/>
  <c r="C134" i="1" s="1"/>
  <c r="M134" i="1" s="1"/>
  <c r="D136" i="1"/>
  <c r="B136" i="1" l="1"/>
  <c r="C136" i="1" s="1"/>
  <c r="M136" i="1" s="1"/>
  <c r="D138" i="1"/>
  <c r="B138" i="1" l="1"/>
  <c r="C138" i="1" s="1"/>
  <c r="M138" i="1" s="1"/>
  <c r="D140" i="1"/>
  <c r="B140" i="1" l="1"/>
  <c r="C140" i="1" s="1"/>
  <c r="M140" i="1" s="1"/>
  <c r="D142" i="1"/>
  <c r="B142" i="1" l="1"/>
  <c r="C142" i="1" s="1"/>
  <c r="M142" i="1" s="1"/>
  <c r="D144" i="1"/>
  <c r="B144" i="1" l="1"/>
  <c r="C144" i="1" s="1"/>
  <c r="M144" i="1" s="1"/>
  <c r="D146" i="1"/>
  <c r="B146" i="1" l="1"/>
  <c r="C146" i="1" s="1"/>
  <c r="M146" i="1" s="1"/>
</calcChain>
</file>

<file path=xl/sharedStrings.xml><?xml version="1.0" encoding="utf-8"?>
<sst xmlns="http://schemas.openxmlformats.org/spreadsheetml/2006/main" count="628" uniqueCount="250">
  <si>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</si>
  <si>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</si>
  <si>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</si>
  <si>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</si>
  <si>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</si>
  <si>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</si>
  <si>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</si>
  <si>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</si>
  <si>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</si>
  <si>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</si>
  <si>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</si>
  <si>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</si>
  <si>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</si>
  <si>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</si>
  <si>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</si>
  <si>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</si>
  <si>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</si>
  <si>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</si>
  <si>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</si>
  <si>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</si>
  <si>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</si>
  <si>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</si>
  <si>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</si>
  <si>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</si>
  <si>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</si>
  <si>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</si>
  <si>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</si>
  <si>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</si>
  <si>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</si>
  <si>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</si>
  <si>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</si>
  <si>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</si>
  <si>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</si>
  <si>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</si>
  <si>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</si>
  <si>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</si>
  <si>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</si>
  <si>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</si>
  <si>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</si>
  <si>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</si>
  <si>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</si>
  <si>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</si>
  <si>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</si>
  <si>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</si>
  <si>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</si>
  <si>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</si>
  <si>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</si>
  <si>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</si>
  <si>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</si>
  <si>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</si>
  <si>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</si>
  <si>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</si>
  <si>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</si>
  <si>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</si>
  <si>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</si>
  <si>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</si>
  <si>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</si>
  <si>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</si>
  <si>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</si>
  <si>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</si>
  <si>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</si>
  <si>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</si>
  <si>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</si>
  <si>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</si>
  <si>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</si>
  <si>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</si>
  <si>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</si>
  <si>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</si>
  <si>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</si>
  <si>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</si>
  <si>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</si>
  <si>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</si>
  <si>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</si>
  <si>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</si>
  <si>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</si>
  <si>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</si>
  <si>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</si>
  <si>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</si>
  <si>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</si>
  <si>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</si>
  <si>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</si>
  <si>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</si>
  <si>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</si>
  <si>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</si>
  <si>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</si>
  <si>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</si>
  <si>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</si>
  <si>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</si>
  <si>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</si>
  <si>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</si>
  <si>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</si>
  <si>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</si>
  <si>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</si>
  <si>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</si>
  <si>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</si>
  <si>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</si>
  <si>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</si>
  <si>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</si>
  <si>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</si>
  <si>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</si>
  <si>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</si>
  <si>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</si>
  <si>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</si>
  <si>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</si>
  <si>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</si>
  <si>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</si>
  <si>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</si>
  <si>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</si>
  <si>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</si>
  <si>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</si>
  <si>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</si>
  <si>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</si>
  <si>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</si>
  <si>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</si>
  <si>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</si>
  <si>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</si>
  <si>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</si>
  <si>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</si>
  <si>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</si>
  <si>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</si>
  <si>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</si>
  <si>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</si>
  <si>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</si>
  <si>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</si>
  <si>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</si>
  <si>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</si>
  <si>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</si>
  <si>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</si>
  <si>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</si>
  <si>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</si>
  <si>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</si>
  <si>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</si>
  <si>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</si>
  <si>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</si>
  <si>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</si>
  <si>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</si>
  <si>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</si>
  <si>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</si>
  <si>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</si>
  <si>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</si>
  <si>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</si>
  <si>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</si>
  <si>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</si>
  <si>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</si>
  <si>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</si>
  <si>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</si>
  <si>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</si>
  <si>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</si>
  <si>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</si>
  <si>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</si>
  <si>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</si>
  <si>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</si>
  <si>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</si>
  <si>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</si>
  <si>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</si>
  <si>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</si>
  <si>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</si>
  <si>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</si>
  <si>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</si>
  <si>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</si>
  <si>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</si>
  <si>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</si>
  <si>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</si>
  <si>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</si>
  <si>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</si>
  <si>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</si>
  <si>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</si>
  <si>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</si>
  <si>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</si>
  <si>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</si>
  <si>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</si>
  <si>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</si>
  <si>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</si>
  <si>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</si>
  <si>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</si>
  <si>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</si>
  <si>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</si>
  <si>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</si>
  <si>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</si>
  <si>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</si>
  <si>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</si>
  <si>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</si>
  <si>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</si>
  <si>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</si>
  <si>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</si>
  <si>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</si>
  <si>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</si>
  <si>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</si>
  <si>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</si>
  <si>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</si>
  <si>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</si>
  <si>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</si>
  <si>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</si>
  <si>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</si>
  <si>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</si>
  <si>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</si>
  <si>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</si>
  <si>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</si>
  <si>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</si>
  <si>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</si>
  <si>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</si>
  <si>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</si>
  <si>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</si>
  <si>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</si>
  <si>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</si>
  <si>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</si>
  <si>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</si>
  <si>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</si>
  <si>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</si>
  <si>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</si>
  <si>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</si>
  <si>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</si>
  <si>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</si>
  <si>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</si>
  <si>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</si>
  <si>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</si>
  <si>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</si>
  <si>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</si>
  <si>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</si>
  <si>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</si>
  <si>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</si>
  <si>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</si>
  <si>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</si>
  <si>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</si>
  <si>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</si>
  <si>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</si>
  <si>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</si>
  <si>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</si>
  <si>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</si>
  <si>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</si>
  <si>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</si>
  <si>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</si>
  <si>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</si>
  <si>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</si>
  <si>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</si>
  <si>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</si>
  <si>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</si>
  <si>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</si>
  <si>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</si>
  <si>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</si>
  <si>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</si>
  <si>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</si>
  <si>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</si>
  <si>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</si>
  <si>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</si>
  <si>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</si>
  <si>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</si>
  <si>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</si>
  <si>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</si>
  <si>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Shot2_black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</si>
</sst>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46"/>
  <sheetViews>
    <sheetView tabSelected="1" zoomScale="115" zoomScaleNormal="115" workbookViewId="0">
      <pane ySplit="1" topLeftCell="A13" activePane="bottomLeft" state="frozen"/>
      <selection pane="bottomLeft" activeCell="O21" sqref="O21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8" spans="1:60">
      <c r="A18" s="21">
        <f>G20*H20</f>
        <v>60</v>
      </c>
      <c r="B18" s="9"/>
      <c r="C18" s="9"/>
      <c r="D18" s="9"/>
      <c r="R18" s="12"/>
      <c r="S18" s="9"/>
      <c r="U18" s="12"/>
      <c r="X18" s="15"/>
      <c r="AE18" s="16"/>
      <c r="BH18" s="9"/>
    </row>
    <row r="19" spans="1:60">
      <c r="A19" s="9" t="s">
        <v>228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>ROW(E20)</f>
        <v>20</v>
      </c>
      <c r="F20" s="9" t="s">
        <v>93</v>
      </c>
      <c r="G20" s="21">
        <v>60</v>
      </c>
      <c r="H20" s="21">
        <v>1</v>
      </c>
      <c r="J20" s="21"/>
      <c r="M20" s="21">
        <v>17201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96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>ROW(E22)</f>
        <v>22</v>
      </c>
      <c r="F22" s="9" t="s">
        <v>119</v>
      </c>
      <c r="M22" s="21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>ROW(E23)</f>
        <v>23</v>
      </c>
      <c r="F23" s="9" t="s">
        <v>99</v>
      </c>
      <c r="G23" s="26"/>
      <c r="H23" s="28"/>
      <c r="I23" s="27"/>
      <c r="J23" s="27"/>
      <c r="K23" s="9" t="s">
        <v>138</v>
      </c>
      <c r="M23" s="27">
        <v>2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ref="E24:E26" si="0">ROW(E24)</f>
        <v>24</v>
      </c>
      <c r="F24" s="9" t="s">
        <v>31</v>
      </c>
      <c r="G24" s="9"/>
      <c r="H24" s="9"/>
      <c r="I24" s="9"/>
      <c r="L24" s="9" t="s">
        <v>223</v>
      </c>
      <c r="M24" s="27">
        <v>2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9"/>
      <c r="H25" s="9"/>
      <c r="I25" s="9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116</v>
      </c>
      <c r="G26" s="9"/>
      <c r="H26" s="9"/>
      <c r="I26" s="9"/>
      <c r="M26" s="27">
        <v>2</v>
      </c>
      <c r="R26" s="12"/>
      <c r="S26" s="9"/>
      <c r="U26" s="12"/>
      <c r="X26" s="15"/>
      <c r="AE26" s="16"/>
      <c r="BH26" s="9"/>
    </row>
    <row r="27" spans="1:60">
      <c r="B27" s="9"/>
      <c r="C27" s="9"/>
      <c r="D27" s="9"/>
      <c r="E27" s="21">
        <f t="shared" ref="E27:E90" si="1">ROW(E27)</f>
        <v>27</v>
      </c>
      <c r="F27" s="9" t="s">
        <v>143</v>
      </c>
      <c r="M27" s="21">
        <v>171012</v>
      </c>
      <c r="R27" s="12"/>
      <c r="S27" s="9"/>
      <c r="U27" s="12"/>
      <c r="X27" s="15"/>
      <c r="AE27" s="16"/>
      <c r="BH27" s="9"/>
    </row>
    <row r="28" spans="1:60">
      <c r="A28" s="9" t="s">
        <v>228</v>
      </c>
      <c r="B28" s="21">
        <f>QUOTIENT( D28-1,$G$20)+1</f>
        <v>1</v>
      </c>
      <c r="C28" s="21">
        <f>D28-(B28-1)*$G$20</f>
        <v>1</v>
      </c>
      <c r="D28" s="21">
        <f>COUNT($D$18:$D27)+1</f>
        <v>1</v>
      </c>
      <c r="E28" s="21">
        <f t="shared" si="1"/>
        <v>28</v>
      </c>
      <c r="F28" s="9" t="s">
        <v>127</v>
      </c>
      <c r="G28" s="21">
        <v>1</v>
      </c>
      <c r="M28" s="27">
        <f>C28*G28</f>
        <v>1</v>
      </c>
      <c r="R28" s="12"/>
      <c r="S28" s="9"/>
      <c r="U28" s="12"/>
      <c r="X28" s="15"/>
      <c r="AE28" s="16"/>
      <c r="BH28" s="9"/>
    </row>
    <row r="29" spans="1:60">
      <c r="E29" s="21">
        <f t="shared" si="1"/>
        <v>29</v>
      </c>
      <c r="F29" s="9" t="s">
        <v>143</v>
      </c>
      <c r="M29" s="21">
        <v>171012</v>
      </c>
    </row>
    <row r="30" spans="1:60">
      <c r="A30" s="21" t="s">
        <v>228</v>
      </c>
      <c r="B30" s="21">
        <f t="shared" ref="B30" si="2">QUOTIENT( D30-1,$G$20)+1</f>
        <v>1</v>
      </c>
      <c r="C30" s="21">
        <f t="shared" ref="C30" si="3">D30-(B30-1)*$G$20</f>
        <v>2</v>
      </c>
      <c r="D30" s="21">
        <f>COUNT($D$18:$D29)+1</f>
        <v>2</v>
      </c>
      <c r="E30" s="21">
        <f t="shared" si="1"/>
        <v>30</v>
      </c>
      <c r="F30" s="9" t="s">
        <v>127</v>
      </c>
      <c r="G30" s="21">
        <v>1</v>
      </c>
      <c r="M30" s="21">
        <f t="shared" ref="M30" si="4">C30*G30</f>
        <v>2</v>
      </c>
    </row>
    <row r="31" spans="1:60">
      <c r="E31" s="21">
        <f t="shared" si="1"/>
        <v>31</v>
      </c>
      <c r="F31" s="9" t="s">
        <v>143</v>
      </c>
      <c r="M31" s="21">
        <v>171012</v>
      </c>
    </row>
    <row r="32" spans="1:60">
      <c r="A32" s="21" t="s">
        <v>228</v>
      </c>
      <c r="B32" s="21">
        <f t="shared" ref="B32" si="5">QUOTIENT( D32-1,$G$20)+1</f>
        <v>1</v>
      </c>
      <c r="C32" s="21">
        <f t="shared" ref="C32" si="6">D32-(B32-1)*$G$20</f>
        <v>3</v>
      </c>
      <c r="D32" s="21">
        <f>COUNT($D$18:$D31)+1</f>
        <v>3</v>
      </c>
      <c r="E32" s="21">
        <f t="shared" si="1"/>
        <v>32</v>
      </c>
      <c r="F32" s="9" t="s">
        <v>127</v>
      </c>
      <c r="G32" s="21">
        <v>1</v>
      </c>
      <c r="M32" s="21">
        <f t="shared" ref="M32" si="7">C32*G32</f>
        <v>3</v>
      </c>
    </row>
    <row r="33" spans="1:13">
      <c r="E33" s="21">
        <f t="shared" si="1"/>
        <v>33</v>
      </c>
      <c r="F33" s="9" t="s">
        <v>143</v>
      </c>
      <c r="M33" s="21">
        <v>171012</v>
      </c>
    </row>
    <row r="34" spans="1:13">
      <c r="A34" s="21" t="s">
        <v>228</v>
      </c>
      <c r="B34" s="21">
        <f t="shared" ref="B34" si="8">QUOTIENT( D34-1,$G$20)+1</f>
        <v>1</v>
      </c>
      <c r="C34" s="21">
        <f t="shared" ref="C34" si="9">D34-(B34-1)*$G$20</f>
        <v>4</v>
      </c>
      <c r="D34" s="21">
        <f>COUNT($D$18:$D33)+1</f>
        <v>4</v>
      </c>
      <c r="E34" s="21">
        <f t="shared" si="1"/>
        <v>34</v>
      </c>
      <c r="F34" s="9" t="s">
        <v>127</v>
      </c>
      <c r="G34" s="21">
        <v>1</v>
      </c>
      <c r="M34" s="21">
        <f t="shared" ref="M34" si="10">C34*G34</f>
        <v>4</v>
      </c>
    </row>
    <row r="35" spans="1:13">
      <c r="E35" s="21">
        <f t="shared" si="1"/>
        <v>35</v>
      </c>
      <c r="F35" s="9" t="s">
        <v>143</v>
      </c>
      <c r="M35" s="21">
        <v>171012</v>
      </c>
    </row>
    <row r="36" spans="1:13">
      <c r="A36" s="21" t="s">
        <v>228</v>
      </c>
      <c r="B36" s="21">
        <f t="shared" ref="B36" si="11">QUOTIENT( D36-1,$G$20)+1</f>
        <v>1</v>
      </c>
      <c r="C36" s="21">
        <f t="shared" ref="C36" si="12">D36-(B36-1)*$G$20</f>
        <v>5</v>
      </c>
      <c r="D36" s="21">
        <f>COUNT($D$18:$D35)+1</f>
        <v>5</v>
      </c>
      <c r="E36" s="21">
        <f t="shared" si="1"/>
        <v>36</v>
      </c>
      <c r="F36" s="9" t="s">
        <v>127</v>
      </c>
      <c r="G36" s="21">
        <v>1</v>
      </c>
      <c r="M36" s="21">
        <f t="shared" ref="M36" si="13">C36*G36</f>
        <v>5</v>
      </c>
    </row>
    <row r="37" spans="1:13">
      <c r="E37" s="21">
        <f t="shared" si="1"/>
        <v>37</v>
      </c>
      <c r="F37" s="9" t="s">
        <v>143</v>
      </c>
      <c r="M37" s="21">
        <v>171012</v>
      </c>
    </row>
    <row r="38" spans="1:13">
      <c r="A38" s="21" t="s">
        <v>228</v>
      </c>
      <c r="B38" s="21">
        <f t="shared" ref="B38" si="14">QUOTIENT( D38-1,$G$20)+1</f>
        <v>1</v>
      </c>
      <c r="C38" s="21">
        <f t="shared" ref="C38" si="15">D38-(B38-1)*$G$20</f>
        <v>6</v>
      </c>
      <c r="D38" s="21">
        <f>COUNT($D$18:$D37)+1</f>
        <v>6</v>
      </c>
      <c r="E38" s="21">
        <f t="shared" si="1"/>
        <v>38</v>
      </c>
      <c r="F38" s="9" t="s">
        <v>127</v>
      </c>
      <c r="G38" s="21">
        <v>1</v>
      </c>
      <c r="M38" s="21">
        <f t="shared" ref="M38" si="16">C38*G38</f>
        <v>6</v>
      </c>
    </row>
    <row r="39" spans="1:13">
      <c r="E39" s="21">
        <f t="shared" si="1"/>
        <v>39</v>
      </c>
      <c r="F39" s="9" t="s">
        <v>143</v>
      </c>
      <c r="M39" s="21">
        <v>171012</v>
      </c>
    </row>
    <row r="40" spans="1:13">
      <c r="A40" s="21" t="s">
        <v>228</v>
      </c>
      <c r="B40" s="21">
        <f t="shared" ref="B40" si="17">QUOTIENT( D40-1,$G$20)+1</f>
        <v>1</v>
      </c>
      <c r="C40" s="21">
        <f t="shared" ref="C40" si="18">D40-(B40-1)*$G$20</f>
        <v>7</v>
      </c>
      <c r="D40" s="21">
        <f>COUNT($D$18:$D39)+1</f>
        <v>7</v>
      </c>
      <c r="E40" s="21">
        <f t="shared" si="1"/>
        <v>40</v>
      </c>
      <c r="F40" s="9" t="s">
        <v>127</v>
      </c>
      <c r="G40" s="21">
        <v>1</v>
      </c>
      <c r="M40" s="21">
        <f t="shared" ref="M40" si="19">C40*G40</f>
        <v>7</v>
      </c>
    </row>
    <row r="41" spans="1:13">
      <c r="E41" s="21">
        <f t="shared" si="1"/>
        <v>41</v>
      </c>
      <c r="F41" s="9" t="s">
        <v>143</v>
      </c>
      <c r="M41" s="21">
        <v>171012</v>
      </c>
    </row>
    <row r="42" spans="1:13">
      <c r="A42" s="21" t="s">
        <v>228</v>
      </c>
      <c r="B42" s="21">
        <f t="shared" ref="B42" si="20">QUOTIENT( D42-1,$G$20)+1</f>
        <v>1</v>
      </c>
      <c r="C42" s="21">
        <f t="shared" ref="C42" si="21">D42-(B42-1)*$G$20</f>
        <v>8</v>
      </c>
      <c r="D42" s="21">
        <f>COUNT($D$18:$D41)+1</f>
        <v>8</v>
      </c>
      <c r="E42" s="21">
        <f t="shared" si="1"/>
        <v>42</v>
      </c>
      <c r="F42" s="9" t="s">
        <v>127</v>
      </c>
      <c r="G42" s="21">
        <v>1</v>
      </c>
      <c r="M42" s="21">
        <f t="shared" ref="M42" si="22">C42*G42</f>
        <v>8</v>
      </c>
    </row>
    <row r="43" spans="1:13">
      <c r="E43" s="21">
        <f t="shared" si="1"/>
        <v>43</v>
      </c>
      <c r="F43" s="9" t="s">
        <v>143</v>
      </c>
      <c r="M43" s="21">
        <v>171012</v>
      </c>
    </row>
    <row r="44" spans="1:13">
      <c r="A44" s="21" t="s">
        <v>228</v>
      </c>
      <c r="B44" s="21">
        <f t="shared" ref="B44" si="23">QUOTIENT( D44-1,$G$20)+1</f>
        <v>1</v>
      </c>
      <c r="C44" s="21">
        <f t="shared" ref="C44" si="24">D44-(B44-1)*$G$20</f>
        <v>9</v>
      </c>
      <c r="D44" s="21">
        <f>COUNT($D$18:$D43)+1</f>
        <v>9</v>
      </c>
      <c r="E44" s="21">
        <f t="shared" si="1"/>
        <v>44</v>
      </c>
      <c r="F44" s="9" t="s">
        <v>127</v>
      </c>
      <c r="G44" s="21">
        <v>1</v>
      </c>
      <c r="M44" s="21">
        <f t="shared" ref="M44" si="25">C44*G44</f>
        <v>9</v>
      </c>
    </row>
    <row r="45" spans="1:13">
      <c r="E45" s="21">
        <f t="shared" si="1"/>
        <v>45</v>
      </c>
      <c r="F45" s="9" t="s">
        <v>143</v>
      </c>
      <c r="M45" s="21">
        <v>171012</v>
      </c>
    </row>
    <row r="46" spans="1:13">
      <c r="A46" s="21" t="s">
        <v>228</v>
      </c>
      <c r="B46" s="21">
        <f t="shared" ref="B46" si="26">QUOTIENT( D46-1,$G$20)+1</f>
        <v>1</v>
      </c>
      <c r="C46" s="21">
        <f t="shared" ref="C46" si="27">D46-(B46-1)*$G$20</f>
        <v>10</v>
      </c>
      <c r="D46" s="21">
        <f>COUNT($D$18:$D45)+1</f>
        <v>10</v>
      </c>
      <c r="E46" s="21">
        <f t="shared" si="1"/>
        <v>46</v>
      </c>
      <c r="F46" s="9" t="s">
        <v>127</v>
      </c>
      <c r="G46" s="21">
        <v>1</v>
      </c>
      <c r="M46" s="21">
        <f t="shared" ref="M46" si="28">C46*G46</f>
        <v>10</v>
      </c>
    </row>
    <row r="47" spans="1:13">
      <c r="E47" s="21">
        <f t="shared" si="1"/>
        <v>47</v>
      </c>
      <c r="F47" s="9" t="s">
        <v>143</v>
      </c>
      <c r="M47" s="21">
        <v>171012</v>
      </c>
    </row>
    <row r="48" spans="1:13">
      <c r="A48" s="21" t="s">
        <v>228</v>
      </c>
      <c r="B48" s="21">
        <f t="shared" ref="B48" si="29">QUOTIENT( D48-1,$G$20)+1</f>
        <v>1</v>
      </c>
      <c r="C48" s="21">
        <f t="shared" ref="C48" si="30">D48-(B48-1)*$G$20</f>
        <v>11</v>
      </c>
      <c r="D48" s="21">
        <f>COUNT($D$18:$D47)+1</f>
        <v>11</v>
      </c>
      <c r="E48" s="21">
        <f t="shared" si="1"/>
        <v>48</v>
      </c>
      <c r="F48" s="9" t="s">
        <v>127</v>
      </c>
      <c r="G48" s="21">
        <v>1</v>
      </c>
      <c r="M48" s="21">
        <f t="shared" ref="M48" si="31">C48*G48</f>
        <v>11</v>
      </c>
    </row>
    <row r="49" spans="1:13">
      <c r="E49" s="21">
        <f t="shared" si="1"/>
        <v>49</v>
      </c>
      <c r="F49" s="9" t="s">
        <v>143</v>
      </c>
      <c r="M49" s="21">
        <v>171012</v>
      </c>
    </row>
    <row r="50" spans="1:13">
      <c r="A50" s="21" t="s">
        <v>228</v>
      </c>
      <c r="B50" s="21">
        <f t="shared" ref="B50" si="32">QUOTIENT( D50-1,$G$20)+1</f>
        <v>1</v>
      </c>
      <c r="C50" s="21">
        <f t="shared" ref="C50" si="33">D50-(B50-1)*$G$20</f>
        <v>12</v>
      </c>
      <c r="D50" s="21">
        <f>COUNT($D$18:$D49)+1</f>
        <v>12</v>
      </c>
      <c r="E50" s="21">
        <f t="shared" si="1"/>
        <v>50</v>
      </c>
      <c r="F50" s="9" t="s">
        <v>127</v>
      </c>
      <c r="G50" s="21">
        <v>1</v>
      </c>
      <c r="M50" s="21">
        <f t="shared" ref="M50" si="34">C50*G50</f>
        <v>12</v>
      </c>
    </row>
    <row r="51" spans="1:13">
      <c r="E51" s="21">
        <f t="shared" si="1"/>
        <v>51</v>
      </c>
      <c r="F51" s="9" t="s">
        <v>143</v>
      </c>
      <c r="M51" s="21">
        <v>171012</v>
      </c>
    </row>
    <row r="52" spans="1:13">
      <c r="A52" s="21" t="s">
        <v>228</v>
      </c>
      <c r="B52" s="21">
        <f t="shared" ref="B52" si="35">QUOTIENT( D52-1,$G$20)+1</f>
        <v>1</v>
      </c>
      <c r="C52" s="21">
        <f t="shared" ref="C52" si="36">D52-(B52-1)*$G$20</f>
        <v>13</v>
      </c>
      <c r="D52" s="21">
        <f>COUNT($D$18:$D51)+1</f>
        <v>13</v>
      </c>
      <c r="E52" s="21">
        <f t="shared" si="1"/>
        <v>52</v>
      </c>
      <c r="F52" s="9" t="s">
        <v>127</v>
      </c>
      <c r="G52" s="21">
        <v>1</v>
      </c>
      <c r="M52" s="21">
        <f t="shared" ref="M52" si="37">C52*G52</f>
        <v>13</v>
      </c>
    </row>
    <row r="53" spans="1:13">
      <c r="E53" s="21">
        <f t="shared" si="1"/>
        <v>53</v>
      </c>
      <c r="F53" s="9" t="s">
        <v>143</v>
      </c>
      <c r="M53" s="21">
        <v>171012</v>
      </c>
    </row>
    <row r="54" spans="1:13">
      <c r="A54" s="21" t="s">
        <v>228</v>
      </c>
      <c r="B54" s="21">
        <f t="shared" ref="B54" si="38">QUOTIENT( D54-1,$G$20)+1</f>
        <v>1</v>
      </c>
      <c r="C54" s="21">
        <f t="shared" ref="C54" si="39">D54-(B54-1)*$G$20</f>
        <v>14</v>
      </c>
      <c r="D54" s="21">
        <f>COUNT($D$18:$D53)+1</f>
        <v>14</v>
      </c>
      <c r="E54" s="21">
        <f t="shared" si="1"/>
        <v>54</v>
      </c>
      <c r="F54" s="9" t="s">
        <v>127</v>
      </c>
      <c r="G54" s="21">
        <v>1</v>
      </c>
      <c r="M54" s="21">
        <f t="shared" ref="M54" si="40">C54*G54</f>
        <v>14</v>
      </c>
    </row>
    <row r="55" spans="1:13">
      <c r="E55" s="21">
        <f t="shared" si="1"/>
        <v>55</v>
      </c>
      <c r="F55" s="9" t="s">
        <v>143</v>
      </c>
      <c r="M55" s="21">
        <v>171012</v>
      </c>
    </row>
    <row r="56" spans="1:13">
      <c r="A56" s="21" t="s">
        <v>228</v>
      </c>
      <c r="B56" s="21">
        <f t="shared" ref="B56" si="41">QUOTIENT( D56-1,$G$20)+1</f>
        <v>1</v>
      </c>
      <c r="C56" s="21">
        <f t="shared" ref="C56" si="42">D56-(B56-1)*$G$20</f>
        <v>15</v>
      </c>
      <c r="D56" s="21">
        <f>COUNT($D$18:$D55)+1</f>
        <v>15</v>
      </c>
      <c r="E56" s="21">
        <f t="shared" si="1"/>
        <v>56</v>
      </c>
      <c r="F56" s="9" t="s">
        <v>127</v>
      </c>
      <c r="G56" s="21">
        <v>1</v>
      </c>
      <c r="M56" s="21">
        <f t="shared" ref="M56" si="43">C56*G56</f>
        <v>15</v>
      </c>
    </row>
    <row r="57" spans="1:13">
      <c r="E57" s="21">
        <f t="shared" si="1"/>
        <v>57</v>
      </c>
      <c r="F57" s="9" t="s">
        <v>143</v>
      </c>
      <c r="M57" s="21">
        <v>171012</v>
      </c>
    </row>
    <row r="58" spans="1:13">
      <c r="A58" s="21" t="s">
        <v>228</v>
      </c>
      <c r="B58" s="21">
        <f t="shared" ref="B58" si="44">QUOTIENT( D58-1,$G$20)+1</f>
        <v>1</v>
      </c>
      <c r="C58" s="21">
        <f t="shared" ref="C58" si="45">D58-(B58-1)*$G$20</f>
        <v>16</v>
      </c>
      <c r="D58" s="21">
        <f>COUNT($D$18:$D57)+1</f>
        <v>16</v>
      </c>
      <c r="E58" s="21">
        <f t="shared" si="1"/>
        <v>58</v>
      </c>
      <c r="F58" s="9" t="s">
        <v>127</v>
      </c>
      <c r="G58" s="21">
        <v>1</v>
      </c>
      <c r="M58" s="21">
        <f t="shared" ref="M58" si="46">C58*G58</f>
        <v>16</v>
      </c>
    </row>
    <row r="59" spans="1:13">
      <c r="E59" s="21">
        <f t="shared" si="1"/>
        <v>59</v>
      </c>
      <c r="F59" s="9" t="s">
        <v>143</v>
      </c>
      <c r="M59" s="21">
        <v>171012</v>
      </c>
    </row>
    <row r="60" spans="1:13">
      <c r="A60" s="21" t="s">
        <v>228</v>
      </c>
      <c r="B60" s="21">
        <f t="shared" ref="B60" si="47">QUOTIENT( D60-1,$G$20)+1</f>
        <v>1</v>
      </c>
      <c r="C60" s="21">
        <f t="shared" ref="C60" si="48">D60-(B60-1)*$G$20</f>
        <v>17</v>
      </c>
      <c r="D60" s="21">
        <f>COUNT($D$18:$D59)+1</f>
        <v>17</v>
      </c>
      <c r="E60" s="21">
        <f t="shared" si="1"/>
        <v>60</v>
      </c>
      <c r="F60" s="9" t="s">
        <v>127</v>
      </c>
      <c r="G60" s="21">
        <v>1</v>
      </c>
      <c r="M60" s="21">
        <f t="shared" ref="M60" si="49">C60*G60</f>
        <v>17</v>
      </c>
    </row>
    <row r="61" spans="1:13">
      <c r="E61" s="21">
        <f t="shared" si="1"/>
        <v>61</v>
      </c>
      <c r="F61" s="9" t="s">
        <v>143</v>
      </c>
      <c r="M61" s="21">
        <v>171012</v>
      </c>
    </row>
    <row r="62" spans="1:13">
      <c r="A62" s="21" t="s">
        <v>228</v>
      </c>
      <c r="B62" s="21">
        <f t="shared" ref="B62" si="50">QUOTIENT( D62-1,$G$20)+1</f>
        <v>1</v>
      </c>
      <c r="C62" s="21">
        <f t="shared" ref="C62" si="51">D62-(B62-1)*$G$20</f>
        <v>18</v>
      </c>
      <c r="D62" s="21">
        <f>COUNT($D$18:$D61)+1</f>
        <v>18</v>
      </c>
      <c r="E62" s="21">
        <f t="shared" si="1"/>
        <v>62</v>
      </c>
      <c r="F62" s="9" t="s">
        <v>127</v>
      </c>
      <c r="G62" s="21">
        <v>1</v>
      </c>
      <c r="M62" s="21">
        <f t="shared" ref="M62" si="52">C62*G62</f>
        <v>18</v>
      </c>
    </row>
    <row r="63" spans="1:13">
      <c r="E63" s="21">
        <f t="shared" si="1"/>
        <v>63</v>
      </c>
      <c r="F63" s="9" t="s">
        <v>143</v>
      </c>
      <c r="M63" s="21">
        <v>171012</v>
      </c>
    </row>
    <row r="64" spans="1:13">
      <c r="A64" s="21" t="s">
        <v>228</v>
      </c>
      <c r="B64" s="21">
        <f t="shared" ref="B64" si="53">QUOTIENT( D64-1,$G$20)+1</f>
        <v>1</v>
      </c>
      <c r="C64" s="21">
        <f t="shared" ref="C64" si="54">D64-(B64-1)*$G$20</f>
        <v>19</v>
      </c>
      <c r="D64" s="21">
        <f>COUNT($D$18:$D63)+1</f>
        <v>19</v>
      </c>
      <c r="E64" s="21">
        <f t="shared" si="1"/>
        <v>64</v>
      </c>
      <c r="F64" s="9" t="s">
        <v>127</v>
      </c>
      <c r="G64" s="21">
        <v>1</v>
      </c>
      <c r="M64" s="21">
        <f t="shared" ref="M64" si="55">C64*G64</f>
        <v>19</v>
      </c>
    </row>
    <row r="65" spans="1:13">
      <c r="E65" s="21">
        <f t="shared" si="1"/>
        <v>65</v>
      </c>
      <c r="F65" s="9" t="s">
        <v>143</v>
      </c>
      <c r="M65" s="21">
        <v>171012</v>
      </c>
    </row>
    <row r="66" spans="1:13">
      <c r="A66" s="21" t="s">
        <v>228</v>
      </c>
      <c r="B66" s="21">
        <f t="shared" ref="B66" si="56">QUOTIENT( D66-1,$G$20)+1</f>
        <v>1</v>
      </c>
      <c r="C66" s="21">
        <f t="shared" ref="C66" si="57">D66-(B66-1)*$G$20</f>
        <v>20</v>
      </c>
      <c r="D66" s="21">
        <f>COUNT($D$18:$D65)+1</f>
        <v>20</v>
      </c>
      <c r="E66" s="21">
        <f t="shared" si="1"/>
        <v>66</v>
      </c>
      <c r="F66" s="9" t="s">
        <v>127</v>
      </c>
      <c r="G66" s="21">
        <v>1</v>
      </c>
      <c r="M66" s="21">
        <f t="shared" ref="M66" si="58">C66*G66</f>
        <v>20</v>
      </c>
    </row>
    <row r="67" spans="1:13">
      <c r="E67" s="21">
        <f t="shared" si="1"/>
        <v>67</v>
      </c>
      <c r="F67" s="9" t="s">
        <v>143</v>
      </c>
      <c r="M67" s="21">
        <v>171012</v>
      </c>
    </row>
    <row r="68" spans="1:13">
      <c r="A68" s="21" t="s">
        <v>228</v>
      </c>
      <c r="B68" s="21">
        <f t="shared" ref="B68" si="59">QUOTIENT( D68-1,$G$20)+1</f>
        <v>1</v>
      </c>
      <c r="C68" s="21">
        <f t="shared" ref="C68" si="60">D68-(B68-1)*$G$20</f>
        <v>21</v>
      </c>
      <c r="D68" s="21">
        <f>COUNT($D$18:$D67)+1</f>
        <v>21</v>
      </c>
      <c r="E68" s="21">
        <f t="shared" si="1"/>
        <v>68</v>
      </c>
      <c r="F68" s="9" t="s">
        <v>127</v>
      </c>
      <c r="G68" s="21">
        <v>1</v>
      </c>
      <c r="M68" s="21">
        <f t="shared" ref="M68" si="61">C68*G68</f>
        <v>21</v>
      </c>
    </row>
    <row r="69" spans="1:13">
      <c r="E69" s="21">
        <f t="shared" si="1"/>
        <v>69</v>
      </c>
      <c r="F69" s="9" t="s">
        <v>143</v>
      </c>
      <c r="M69" s="21">
        <v>171012</v>
      </c>
    </row>
    <row r="70" spans="1:13">
      <c r="A70" s="21" t="s">
        <v>228</v>
      </c>
      <c r="B70" s="21">
        <f t="shared" ref="B70" si="62">QUOTIENT( D70-1,$G$20)+1</f>
        <v>1</v>
      </c>
      <c r="C70" s="21">
        <f t="shared" ref="C70" si="63">D70-(B70-1)*$G$20</f>
        <v>22</v>
      </c>
      <c r="D70" s="21">
        <f>COUNT($D$18:$D69)+1</f>
        <v>22</v>
      </c>
      <c r="E70" s="21">
        <f t="shared" si="1"/>
        <v>70</v>
      </c>
      <c r="F70" s="9" t="s">
        <v>127</v>
      </c>
      <c r="G70" s="21">
        <v>1</v>
      </c>
      <c r="M70" s="21">
        <f t="shared" ref="M70" si="64">C70*G70</f>
        <v>22</v>
      </c>
    </row>
    <row r="71" spans="1:13">
      <c r="E71" s="21">
        <f t="shared" si="1"/>
        <v>71</v>
      </c>
      <c r="F71" s="9" t="s">
        <v>143</v>
      </c>
      <c r="M71" s="21">
        <v>171012</v>
      </c>
    </row>
    <row r="72" spans="1:13">
      <c r="A72" s="21" t="s">
        <v>228</v>
      </c>
      <c r="B72" s="21">
        <f t="shared" ref="B72" si="65">QUOTIENT( D72-1,$G$20)+1</f>
        <v>1</v>
      </c>
      <c r="C72" s="21">
        <f t="shared" ref="C72" si="66">D72-(B72-1)*$G$20</f>
        <v>23</v>
      </c>
      <c r="D72" s="21">
        <f>COUNT($D$18:$D71)+1</f>
        <v>23</v>
      </c>
      <c r="E72" s="21">
        <f t="shared" si="1"/>
        <v>72</v>
      </c>
      <c r="F72" s="9" t="s">
        <v>127</v>
      </c>
      <c r="G72" s="21">
        <v>1</v>
      </c>
      <c r="M72" s="21">
        <f t="shared" ref="M72" si="67">C72*G72</f>
        <v>23</v>
      </c>
    </row>
    <row r="73" spans="1:13">
      <c r="E73" s="21">
        <f t="shared" si="1"/>
        <v>73</v>
      </c>
      <c r="F73" s="9" t="s">
        <v>143</v>
      </c>
      <c r="M73" s="21">
        <v>171012</v>
      </c>
    </row>
    <row r="74" spans="1:13">
      <c r="A74" s="21" t="s">
        <v>228</v>
      </c>
      <c r="B74" s="21">
        <f t="shared" ref="B74" si="68">QUOTIENT( D74-1,$G$20)+1</f>
        <v>1</v>
      </c>
      <c r="C74" s="21">
        <f t="shared" ref="C74" si="69">D74-(B74-1)*$G$20</f>
        <v>24</v>
      </c>
      <c r="D74" s="21">
        <f>COUNT($D$18:$D73)+1</f>
        <v>24</v>
      </c>
      <c r="E74" s="21">
        <f t="shared" si="1"/>
        <v>74</v>
      </c>
      <c r="F74" s="9" t="s">
        <v>127</v>
      </c>
      <c r="G74" s="21">
        <v>1</v>
      </c>
      <c r="M74" s="21">
        <f t="shared" ref="M74" si="70">C74*G74</f>
        <v>24</v>
      </c>
    </row>
    <row r="75" spans="1:13">
      <c r="E75" s="21">
        <f t="shared" si="1"/>
        <v>75</v>
      </c>
      <c r="F75" s="9" t="s">
        <v>143</v>
      </c>
      <c r="M75" s="21">
        <v>171012</v>
      </c>
    </row>
    <row r="76" spans="1:13">
      <c r="A76" s="21" t="s">
        <v>228</v>
      </c>
      <c r="B76" s="21">
        <f t="shared" ref="B76" si="71">QUOTIENT( D76-1,$G$20)+1</f>
        <v>1</v>
      </c>
      <c r="C76" s="21">
        <f t="shared" ref="C76" si="72">D76-(B76-1)*$G$20</f>
        <v>25</v>
      </c>
      <c r="D76" s="21">
        <f>COUNT($D$18:$D75)+1</f>
        <v>25</v>
      </c>
      <c r="E76" s="21">
        <f t="shared" si="1"/>
        <v>76</v>
      </c>
      <c r="F76" s="9" t="s">
        <v>127</v>
      </c>
      <c r="G76" s="21">
        <v>1</v>
      </c>
      <c r="M76" s="21">
        <f t="shared" ref="M76" si="73">C76*G76</f>
        <v>25</v>
      </c>
    </row>
    <row r="77" spans="1:13">
      <c r="E77" s="21">
        <f t="shared" si="1"/>
        <v>77</v>
      </c>
      <c r="F77" s="9" t="s">
        <v>143</v>
      </c>
      <c r="M77" s="21">
        <v>171012</v>
      </c>
    </row>
    <row r="78" spans="1:13">
      <c r="A78" s="21" t="s">
        <v>228</v>
      </c>
      <c r="B78" s="21">
        <f t="shared" ref="B78" si="74">QUOTIENT( D78-1,$G$20)+1</f>
        <v>1</v>
      </c>
      <c r="C78" s="21">
        <f t="shared" ref="C78" si="75">D78-(B78-1)*$G$20</f>
        <v>26</v>
      </c>
      <c r="D78" s="21">
        <f>COUNT($D$18:$D77)+1</f>
        <v>26</v>
      </c>
      <c r="E78" s="21">
        <f t="shared" si="1"/>
        <v>78</v>
      </c>
      <c r="F78" s="9" t="s">
        <v>127</v>
      </c>
      <c r="G78" s="21">
        <v>1</v>
      </c>
      <c r="M78" s="21">
        <f t="shared" ref="M78" si="76">C78*G78</f>
        <v>26</v>
      </c>
    </row>
    <row r="79" spans="1:13">
      <c r="E79" s="21">
        <f t="shared" si="1"/>
        <v>79</v>
      </c>
      <c r="F79" s="9" t="s">
        <v>143</v>
      </c>
      <c r="M79" s="21">
        <v>171012</v>
      </c>
    </row>
    <row r="80" spans="1:13">
      <c r="A80" s="21" t="s">
        <v>228</v>
      </c>
      <c r="B80" s="21">
        <f t="shared" ref="B80" si="77">QUOTIENT( D80-1,$G$20)+1</f>
        <v>1</v>
      </c>
      <c r="C80" s="21">
        <f t="shared" ref="C80" si="78">D80-(B80-1)*$G$20</f>
        <v>27</v>
      </c>
      <c r="D80" s="21">
        <f>COUNT($D$18:$D79)+1</f>
        <v>27</v>
      </c>
      <c r="E80" s="21">
        <f t="shared" si="1"/>
        <v>80</v>
      </c>
      <c r="F80" s="9" t="s">
        <v>127</v>
      </c>
      <c r="G80" s="21">
        <v>1</v>
      </c>
      <c r="M80" s="21">
        <f t="shared" ref="M80" si="79">C80*G80</f>
        <v>27</v>
      </c>
    </row>
    <row r="81" spans="1:13">
      <c r="E81" s="21">
        <f t="shared" si="1"/>
        <v>81</v>
      </c>
      <c r="F81" s="9" t="s">
        <v>143</v>
      </c>
      <c r="M81" s="21">
        <v>171012</v>
      </c>
    </row>
    <row r="82" spans="1:13">
      <c r="A82" s="21" t="s">
        <v>228</v>
      </c>
      <c r="B82" s="21">
        <f t="shared" ref="B82" si="80">QUOTIENT( D82-1,$G$20)+1</f>
        <v>1</v>
      </c>
      <c r="C82" s="21">
        <f t="shared" ref="C82" si="81">D82-(B82-1)*$G$20</f>
        <v>28</v>
      </c>
      <c r="D82" s="21">
        <f>COUNT($D$18:$D81)+1</f>
        <v>28</v>
      </c>
      <c r="E82" s="21">
        <f t="shared" si="1"/>
        <v>82</v>
      </c>
      <c r="F82" s="9" t="s">
        <v>127</v>
      </c>
      <c r="G82" s="21">
        <v>1</v>
      </c>
      <c r="M82" s="21">
        <f t="shared" ref="M82" si="82">C82*G82</f>
        <v>28</v>
      </c>
    </row>
    <row r="83" spans="1:13">
      <c r="E83" s="21">
        <f t="shared" si="1"/>
        <v>83</v>
      </c>
      <c r="F83" s="9" t="s">
        <v>143</v>
      </c>
      <c r="M83" s="21">
        <v>171012</v>
      </c>
    </row>
    <row r="84" spans="1:13">
      <c r="A84" s="21" t="s">
        <v>228</v>
      </c>
      <c r="B84" s="21">
        <f t="shared" ref="B84" si="83">QUOTIENT( D84-1,$G$20)+1</f>
        <v>1</v>
      </c>
      <c r="C84" s="21">
        <f t="shared" ref="C84" si="84">D84-(B84-1)*$G$20</f>
        <v>29</v>
      </c>
      <c r="D84" s="21">
        <f>COUNT($D$18:$D83)+1</f>
        <v>29</v>
      </c>
      <c r="E84" s="21">
        <f t="shared" si="1"/>
        <v>84</v>
      </c>
      <c r="F84" s="9" t="s">
        <v>127</v>
      </c>
      <c r="G84" s="21">
        <v>1</v>
      </c>
      <c r="M84" s="21">
        <f t="shared" ref="M84" si="85">C84*G84</f>
        <v>29</v>
      </c>
    </row>
    <row r="85" spans="1:13">
      <c r="E85" s="21">
        <f t="shared" si="1"/>
        <v>85</v>
      </c>
      <c r="F85" s="9" t="s">
        <v>143</v>
      </c>
      <c r="M85" s="21">
        <v>171012</v>
      </c>
    </row>
    <row r="86" spans="1:13">
      <c r="A86" s="21" t="s">
        <v>228</v>
      </c>
      <c r="B86" s="21">
        <f t="shared" ref="B86" si="86">QUOTIENT( D86-1,$G$20)+1</f>
        <v>1</v>
      </c>
      <c r="C86" s="21">
        <f t="shared" ref="C86" si="87">D86-(B86-1)*$G$20</f>
        <v>30</v>
      </c>
      <c r="D86" s="21">
        <f>COUNT($D$18:$D85)+1</f>
        <v>30</v>
      </c>
      <c r="E86" s="21">
        <f t="shared" si="1"/>
        <v>86</v>
      </c>
      <c r="F86" s="9" t="s">
        <v>127</v>
      </c>
      <c r="G86" s="21">
        <v>1</v>
      </c>
      <c r="M86" s="21">
        <f t="shared" ref="M86" si="88">C86*G86</f>
        <v>30</v>
      </c>
    </row>
    <row r="87" spans="1:13">
      <c r="E87" s="21">
        <f t="shared" si="1"/>
        <v>87</v>
      </c>
      <c r="F87" s="9" t="s">
        <v>143</v>
      </c>
      <c r="M87" s="21">
        <v>171012</v>
      </c>
    </row>
    <row r="88" spans="1:13">
      <c r="A88" s="21" t="s">
        <v>228</v>
      </c>
      <c r="B88" s="21">
        <f t="shared" ref="B88" si="89">QUOTIENT( D88-1,$G$20)+1</f>
        <v>1</v>
      </c>
      <c r="C88" s="21">
        <f t="shared" ref="C88" si="90">D88-(B88-1)*$G$20</f>
        <v>31</v>
      </c>
      <c r="D88" s="21">
        <f>COUNT($D$18:$D87)+1</f>
        <v>31</v>
      </c>
      <c r="E88" s="21">
        <f t="shared" si="1"/>
        <v>88</v>
      </c>
      <c r="F88" s="9" t="s">
        <v>127</v>
      </c>
      <c r="G88" s="21">
        <v>1</v>
      </c>
      <c r="M88" s="21">
        <f t="shared" ref="M88" si="91">C88*G88</f>
        <v>31</v>
      </c>
    </row>
    <row r="89" spans="1:13">
      <c r="E89" s="21">
        <f t="shared" si="1"/>
        <v>89</v>
      </c>
      <c r="F89" s="9" t="s">
        <v>143</v>
      </c>
      <c r="M89" s="21">
        <v>171012</v>
      </c>
    </row>
    <row r="90" spans="1:13">
      <c r="A90" s="21" t="s">
        <v>228</v>
      </c>
      <c r="B90" s="21">
        <f t="shared" ref="B90" si="92">QUOTIENT( D90-1,$G$20)+1</f>
        <v>1</v>
      </c>
      <c r="C90" s="21">
        <f t="shared" ref="C90" si="93">D90-(B90-1)*$G$20</f>
        <v>32</v>
      </c>
      <c r="D90" s="21">
        <f>COUNT($D$18:$D89)+1</f>
        <v>32</v>
      </c>
      <c r="E90" s="21">
        <f t="shared" si="1"/>
        <v>90</v>
      </c>
      <c r="F90" s="9" t="s">
        <v>127</v>
      </c>
      <c r="G90" s="21">
        <v>1</v>
      </c>
      <c r="M90" s="21">
        <f t="shared" ref="M90" si="94">C90*G90</f>
        <v>32</v>
      </c>
    </row>
    <row r="91" spans="1:13">
      <c r="E91" s="21">
        <f t="shared" ref="E91:E146" si="95">ROW(E91)</f>
        <v>91</v>
      </c>
      <c r="F91" s="9" t="s">
        <v>143</v>
      </c>
      <c r="M91" s="21">
        <v>171012</v>
      </c>
    </row>
    <row r="92" spans="1:13">
      <c r="A92" s="21" t="s">
        <v>228</v>
      </c>
      <c r="B92" s="21">
        <f t="shared" ref="B92" si="96">QUOTIENT( D92-1,$G$20)+1</f>
        <v>1</v>
      </c>
      <c r="C92" s="21">
        <f t="shared" ref="C92" si="97">D92-(B92-1)*$G$20</f>
        <v>33</v>
      </c>
      <c r="D92" s="21">
        <f>COUNT($D$18:$D91)+1</f>
        <v>33</v>
      </c>
      <c r="E92" s="21">
        <f t="shared" si="95"/>
        <v>92</v>
      </c>
      <c r="F92" s="9" t="s">
        <v>127</v>
      </c>
      <c r="G92" s="21">
        <v>1</v>
      </c>
      <c r="M92" s="21">
        <f t="shared" ref="M92" si="98">C92*G92</f>
        <v>33</v>
      </c>
    </row>
    <row r="93" spans="1:13">
      <c r="E93" s="21">
        <f t="shared" si="95"/>
        <v>93</v>
      </c>
      <c r="F93" s="9" t="s">
        <v>143</v>
      </c>
      <c r="M93" s="21">
        <v>171012</v>
      </c>
    </row>
    <row r="94" spans="1:13">
      <c r="A94" s="21" t="s">
        <v>228</v>
      </c>
      <c r="B94" s="21">
        <f t="shared" ref="B94" si="99">QUOTIENT( D94-1,$G$20)+1</f>
        <v>1</v>
      </c>
      <c r="C94" s="21">
        <f t="shared" ref="C94" si="100">D94-(B94-1)*$G$20</f>
        <v>34</v>
      </c>
      <c r="D94" s="21">
        <f>COUNT($D$18:$D93)+1</f>
        <v>34</v>
      </c>
      <c r="E94" s="21">
        <f t="shared" si="95"/>
        <v>94</v>
      </c>
      <c r="F94" s="9" t="s">
        <v>127</v>
      </c>
      <c r="G94" s="21">
        <v>1</v>
      </c>
      <c r="M94" s="21">
        <f t="shared" ref="M94" si="101">C94*G94</f>
        <v>34</v>
      </c>
    </row>
    <row r="95" spans="1:13">
      <c r="E95" s="21">
        <f t="shared" si="95"/>
        <v>95</v>
      </c>
      <c r="F95" s="9" t="s">
        <v>143</v>
      </c>
      <c r="M95" s="21">
        <v>171012</v>
      </c>
    </row>
    <row r="96" spans="1:13">
      <c r="A96" s="21" t="s">
        <v>228</v>
      </c>
      <c r="B96" s="21">
        <f t="shared" ref="B96" si="102">QUOTIENT( D96-1,$G$20)+1</f>
        <v>1</v>
      </c>
      <c r="C96" s="21">
        <f t="shared" ref="C96" si="103">D96-(B96-1)*$G$20</f>
        <v>35</v>
      </c>
      <c r="D96" s="21">
        <f>COUNT($D$18:$D95)+1</f>
        <v>35</v>
      </c>
      <c r="E96" s="21">
        <f t="shared" si="95"/>
        <v>96</v>
      </c>
      <c r="F96" s="9" t="s">
        <v>127</v>
      </c>
      <c r="G96" s="21">
        <v>1</v>
      </c>
      <c r="M96" s="21">
        <f t="shared" ref="M96" si="104">C96*G96</f>
        <v>35</v>
      </c>
    </row>
    <row r="97" spans="1:13">
      <c r="E97" s="21">
        <f t="shared" si="95"/>
        <v>97</v>
      </c>
      <c r="F97" s="9" t="s">
        <v>143</v>
      </c>
      <c r="M97" s="21">
        <v>171012</v>
      </c>
    </row>
    <row r="98" spans="1:13">
      <c r="A98" s="21" t="s">
        <v>228</v>
      </c>
      <c r="B98" s="21">
        <f t="shared" ref="B98" si="105">QUOTIENT( D98-1,$G$20)+1</f>
        <v>1</v>
      </c>
      <c r="C98" s="21">
        <f t="shared" ref="C98" si="106">D98-(B98-1)*$G$20</f>
        <v>36</v>
      </c>
      <c r="D98" s="21">
        <f>COUNT($D$18:$D97)+1</f>
        <v>36</v>
      </c>
      <c r="E98" s="21">
        <f t="shared" si="95"/>
        <v>98</v>
      </c>
      <c r="F98" s="9" t="s">
        <v>127</v>
      </c>
      <c r="G98" s="21">
        <v>1</v>
      </c>
      <c r="M98" s="21">
        <f t="shared" ref="M98" si="107">C98*G98</f>
        <v>36</v>
      </c>
    </row>
    <row r="99" spans="1:13">
      <c r="E99" s="21">
        <f t="shared" si="95"/>
        <v>99</v>
      </c>
      <c r="F99" s="9" t="s">
        <v>143</v>
      </c>
      <c r="M99" s="21">
        <v>171012</v>
      </c>
    </row>
    <row r="100" spans="1:13">
      <c r="A100" s="21" t="s">
        <v>228</v>
      </c>
      <c r="B100" s="21">
        <f t="shared" ref="B100" si="108">QUOTIENT( D100-1,$G$20)+1</f>
        <v>1</v>
      </c>
      <c r="C100" s="21">
        <f t="shared" ref="C100" si="109">D100-(B100-1)*$G$20</f>
        <v>37</v>
      </c>
      <c r="D100" s="21">
        <f>COUNT($D$18:$D99)+1</f>
        <v>37</v>
      </c>
      <c r="E100" s="21">
        <f t="shared" si="95"/>
        <v>100</v>
      </c>
      <c r="F100" s="9" t="s">
        <v>127</v>
      </c>
      <c r="G100" s="21">
        <v>1</v>
      </c>
      <c r="M100" s="21">
        <f t="shared" ref="M100" si="110">C100*G100</f>
        <v>37</v>
      </c>
    </row>
    <row r="101" spans="1:13">
      <c r="E101" s="21">
        <f t="shared" si="95"/>
        <v>101</v>
      </c>
      <c r="F101" s="9" t="s">
        <v>143</v>
      </c>
      <c r="M101" s="21">
        <v>171012</v>
      </c>
    </row>
    <row r="102" spans="1:13">
      <c r="A102" s="21" t="s">
        <v>228</v>
      </c>
      <c r="B102" s="21">
        <f t="shared" ref="B102" si="111">QUOTIENT( D102-1,$G$20)+1</f>
        <v>1</v>
      </c>
      <c r="C102" s="21">
        <f t="shared" ref="C102" si="112">D102-(B102-1)*$G$20</f>
        <v>38</v>
      </c>
      <c r="D102" s="21">
        <f>COUNT($D$18:$D101)+1</f>
        <v>38</v>
      </c>
      <c r="E102" s="21">
        <f t="shared" si="95"/>
        <v>102</v>
      </c>
      <c r="F102" s="9" t="s">
        <v>127</v>
      </c>
      <c r="G102" s="21">
        <v>1</v>
      </c>
      <c r="M102" s="21">
        <f t="shared" ref="M102" si="113">C102*G102</f>
        <v>38</v>
      </c>
    </row>
    <row r="103" spans="1:13">
      <c r="E103" s="21">
        <f t="shared" si="95"/>
        <v>103</v>
      </c>
      <c r="F103" s="9" t="s">
        <v>143</v>
      </c>
      <c r="M103" s="21">
        <v>171012</v>
      </c>
    </row>
    <row r="104" spans="1:13">
      <c r="A104" s="21" t="s">
        <v>228</v>
      </c>
      <c r="B104" s="21">
        <f t="shared" ref="B104" si="114">QUOTIENT( D104-1,$G$20)+1</f>
        <v>1</v>
      </c>
      <c r="C104" s="21">
        <f t="shared" ref="C104" si="115">D104-(B104-1)*$G$20</f>
        <v>39</v>
      </c>
      <c r="D104" s="21">
        <f>COUNT($D$18:$D103)+1</f>
        <v>39</v>
      </c>
      <c r="E104" s="21">
        <f t="shared" si="95"/>
        <v>104</v>
      </c>
      <c r="F104" s="9" t="s">
        <v>127</v>
      </c>
      <c r="G104" s="21">
        <v>1</v>
      </c>
      <c r="M104" s="21">
        <f t="shared" ref="M104" si="116">C104*G104</f>
        <v>39</v>
      </c>
    </row>
    <row r="105" spans="1:13">
      <c r="E105" s="21">
        <f t="shared" si="95"/>
        <v>105</v>
      </c>
      <c r="F105" s="9" t="s">
        <v>143</v>
      </c>
      <c r="M105" s="21">
        <v>171012</v>
      </c>
    </row>
    <row r="106" spans="1:13">
      <c r="A106" s="21" t="s">
        <v>228</v>
      </c>
      <c r="B106" s="21">
        <f t="shared" ref="B106" si="117">QUOTIENT( D106-1,$G$20)+1</f>
        <v>1</v>
      </c>
      <c r="C106" s="21">
        <f t="shared" ref="C106" si="118">D106-(B106-1)*$G$20</f>
        <v>40</v>
      </c>
      <c r="D106" s="21">
        <f>COUNT($D$18:$D105)+1</f>
        <v>40</v>
      </c>
      <c r="E106" s="21">
        <f t="shared" si="95"/>
        <v>106</v>
      </c>
      <c r="F106" s="9" t="s">
        <v>127</v>
      </c>
      <c r="G106" s="21">
        <v>1</v>
      </c>
      <c r="M106" s="21">
        <f t="shared" ref="M106" si="119">C106*G106</f>
        <v>40</v>
      </c>
    </row>
    <row r="107" spans="1:13">
      <c r="E107" s="21">
        <f t="shared" si="95"/>
        <v>107</v>
      </c>
      <c r="F107" s="9" t="s">
        <v>143</v>
      </c>
      <c r="M107" s="21">
        <v>171012</v>
      </c>
    </row>
    <row r="108" spans="1:13">
      <c r="A108" s="21" t="s">
        <v>228</v>
      </c>
      <c r="B108" s="21">
        <f t="shared" ref="B108" si="120">QUOTIENT( D108-1,$G$20)+1</f>
        <v>1</v>
      </c>
      <c r="C108" s="21">
        <f t="shared" ref="C108" si="121">D108-(B108-1)*$G$20</f>
        <v>41</v>
      </c>
      <c r="D108" s="21">
        <f>COUNT($D$18:$D107)+1</f>
        <v>41</v>
      </c>
      <c r="E108" s="21">
        <f t="shared" si="95"/>
        <v>108</v>
      </c>
      <c r="F108" s="9" t="s">
        <v>127</v>
      </c>
      <c r="G108" s="21">
        <v>1</v>
      </c>
      <c r="M108" s="21">
        <f t="shared" ref="M108" si="122">C108*G108</f>
        <v>41</v>
      </c>
    </row>
    <row r="109" spans="1:13">
      <c r="E109" s="21">
        <f t="shared" si="95"/>
        <v>109</v>
      </c>
      <c r="F109" s="9" t="s">
        <v>143</v>
      </c>
      <c r="M109" s="21">
        <v>171012</v>
      </c>
    </row>
    <row r="110" spans="1:13">
      <c r="A110" s="21" t="s">
        <v>228</v>
      </c>
      <c r="B110" s="21">
        <f t="shared" ref="B110" si="123">QUOTIENT( D110-1,$G$20)+1</f>
        <v>1</v>
      </c>
      <c r="C110" s="21">
        <f t="shared" ref="C110" si="124">D110-(B110-1)*$G$20</f>
        <v>42</v>
      </c>
      <c r="D110" s="21">
        <f>COUNT($D$18:$D109)+1</f>
        <v>42</v>
      </c>
      <c r="E110" s="21">
        <f t="shared" si="95"/>
        <v>110</v>
      </c>
      <c r="F110" s="9" t="s">
        <v>127</v>
      </c>
      <c r="G110" s="21">
        <v>1</v>
      </c>
      <c r="M110" s="21">
        <f t="shared" ref="M110" si="125">C110*G110</f>
        <v>42</v>
      </c>
    </row>
    <row r="111" spans="1:13">
      <c r="E111" s="21">
        <f t="shared" si="95"/>
        <v>111</v>
      </c>
      <c r="F111" s="9" t="s">
        <v>143</v>
      </c>
      <c r="M111" s="21">
        <v>171012</v>
      </c>
    </row>
    <row r="112" spans="1:13">
      <c r="A112" s="21" t="s">
        <v>228</v>
      </c>
      <c r="B112" s="21">
        <f t="shared" ref="B112" si="126">QUOTIENT( D112-1,$G$20)+1</f>
        <v>1</v>
      </c>
      <c r="C112" s="21">
        <f t="shared" ref="C112" si="127">D112-(B112-1)*$G$20</f>
        <v>43</v>
      </c>
      <c r="D112" s="21">
        <f>COUNT($D$18:$D111)+1</f>
        <v>43</v>
      </c>
      <c r="E112" s="21">
        <f t="shared" si="95"/>
        <v>112</v>
      </c>
      <c r="F112" s="9" t="s">
        <v>127</v>
      </c>
      <c r="G112" s="21">
        <v>1</v>
      </c>
      <c r="M112" s="21">
        <f t="shared" ref="M112" si="128">C112*G112</f>
        <v>43</v>
      </c>
    </row>
    <row r="113" spans="1:13">
      <c r="E113" s="21">
        <f t="shared" si="95"/>
        <v>113</v>
      </c>
      <c r="F113" s="9" t="s">
        <v>143</v>
      </c>
      <c r="M113" s="21">
        <v>171012</v>
      </c>
    </row>
    <row r="114" spans="1:13">
      <c r="A114" s="21" t="s">
        <v>228</v>
      </c>
      <c r="B114" s="21">
        <f t="shared" ref="B114" si="129">QUOTIENT( D114-1,$G$20)+1</f>
        <v>1</v>
      </c>
      <c r="C114" s="21">
        <f t="shared" ref="C114" si="130">D114-(B114-1)*$G$20</f>
        <v>44</v>
      </c>
      <c r="D114" s="21">
        <f>COUNT($D$18:$D113)+1</f>
        <v>44</v>
      </c>
      <c r="E114" s="21">
        <f t="shared" si="95"/>
        <v>114</v>
      </c>
      <c r="F114" s="9" t="s">
        <v>127</v>
      </c>
      <c r="G114" s="21">
        <v>1</v>
      </c>
      <c r="M114" s="21">
        <f t="shared" ref="M114" si="131">C114*G114</f>
        <v>44</v>
      </c>
    </row>
    <row r="115" spans="1:13">
      <c r="E115" s="21">
        <f t="shared" si="95"/>
        <v>115</v>
      </c>
      <c r="F115" s="9" t="s">
        <v>143</v>
      </c>
      <c r="M115" s="21">
        <v>171012</v>
      </c>
    </row>
    <row r="116" spans="1:13">
      <c r="A116" s="21" t="s">
        <v>228</v>
      </c>
      <c r="B116" s="21">
        <f t="shared" ref="B116" si="132">QUOTIENT( D116-1,$G$20)+1</f>
        <v>1</v>
      </c>
      <c r="C116" s="21">
        <f t="shared" ref="C116" si="133">D116-(B116-1)*$G$20</f>
        <v>45</v>
      </c>
      <c r="D116" s="21">
        <f>COUNT($D$18:$D115)+1</f>
        <v>45</v>
      </c>
      <c r="E116" s="21">
        <f t="shared" si="95"/>
        <v>116</v>
      </c>
      <c r="F116" s="9" t="s">
        <v>127</v>
      </c>
      <c r="G116" s="21">
        <v>1</v>
      </c>
      <c r="M116" s="21">
        <f t="shared" ref="M116" si="134">C116*G116</f>
        <v>45</v>
      </c>
    </row>
    <row r="117" spans="1:13">
      <c r="E117" s="21">
        <f t="shared" si="95"/>
        <v>117</v>
      </c>
      <c r="F117" s="9" t="s">
        <v>143</v>
      </c>
      <c r="M117" s="21">
        <v>171012</v>
      </c>
    </row>
    <row r="118" spans="1:13">
      <c r="A118" s="21" t="s">
        <v>228</v>
      </c>
      <c r="B118" s="21">
        <f t="shared" ref="B118" si="135">QUOTIENT( D118-1,$G$20)+1</f>
        <v>1</v>
      </c>
      <c r="C118" s="21">
        <f t="shared" ref="C118" si="136">D118-(B118-1)*$G$20</f>
        <v>46</v>
      </c>
      <c r="D118" s="21">
        <f>COUNT($D$18:$D117)+1</f>
        <v>46</v>
      </c>
      <c r="E118" s="21">
        <f t="shared" si="95"/>
        <v>118</v>
      </c>
      <c r="F118" s="9" t="s">
        <v>127</v>
      </c>
      <c r="G118" s="21">
        <v>1</v>
      </c>
      <c r="M118" s="21">
        <f t="shared" ref="M118" si="137">C118*G118</f>
        <v>46</v>
      </c>
    </row>
    <row r="119" spans="1:13">
      <c r="E119" s="21">
        <f t="shared" si="95"/>
        <v>119</v>
      </c>
      <c r="F119" s="9" t="s">
        <v>143</v>
      </c>
      <c r="M119" s="21">
        <v>171012</v>
      </c>
    </row>
    <row r="120" spans="1:13">
      <c r="A120" s="21" t="s">
        <v>228</v>
      </c>
      <c r="B120" s="21">
        <f t="shared" ref="B120" si="138">QUOTIENT( D120-1,$G$20)+1</f>
        <v>1</v>
      </c>
      <c r="C120" s="21">
        <f t="shared" ref="C120" si="139">D120-(B120-1)*$G$20</f>
        <v>47</v>
      </c>
      <c r="D120" s="21">
        <f>COUNT($D$18:$D119)+1</f>
        <v>47</v>
      </c>
      <c r="E120" s="21">
        <f t="shared" si="95"/>
        <v>120</v>
      </c>
      <c r="F120" s="9" t="s">
        <v>127</v>
      </c>
      <c r="G120" s="21">
        <v>1</v>
      </c>
      <c r="M120" s="21">
        <f t="shared" ref="M120" si="140">C120*G120</f>
        <v>47</v>
      </c>
    </row>
    <row r="121" spans="1:13">
      <c r="E121" s="21">
        <f t="shared" si="95"/>
        <v>121</v>
      </c>
      <c r="F121" s="9" t="s">
        <v>143</v>
      </c>
      <c r="M121" s="21">
        <v>171012</v>
      </c>
    </row>
    <row r="122" spans="1:13">
      <c r="A122" s="21" t="s">
        <v>228</v>
      </c>
      <c r="B122" s="21">
        <f t="shared" ref="B122" si="141">QUOTIENT( D122-1,$G$20)+1</f>
        <v>1</v>
      </c>
      <c r="C122" s="21">
        <f t="shared" ref="C122" si="142">D122-(B122-1)*$G$20</f>
        <v>48</v>
      </c>
      <c r="D122" s="21">
        <f>COUNT($D$18:$D121)+1</f>
        <v>48</v>
      </c>
      <c r="E122" s="21">
        <f t="shared" si="95"/>
        <v>122</v>
      </c>
      <c r="F122" s="9" t="s">
        <v>127</v>
      </c>
      <c r="G122" s="21">
        <v>1</v>
      </c>
      <c r="M122" s="21">
        <f t="shared" ref="M122" si="143">C122*G122</f>
        <v>48</v>
      </c>
    </row>
    <row r="123" spans="1:13">
      <c r="E123" s="21">
        <f t="shared" si="95"/>
        <v>123</v>
      </c>
      <c r="F123" s="9" t="s">
        <v>143</v>
      </c>
      <c r="M123" s="21">
        <v>171012</v>
      </c>
    </row>
    <row r="124" spans="1:13">
      <c r="A124" s="21" t="s">
        <v>228</v>
      </c>
      <c r="B124" s="21">
        <f t="shared" ref="B124" si="144">QUOTIENT( D124-1,$G$20)+1</f>
        <v>1</v>
      </c>
      <c r="C124" s="21">
        <f t="shared" ref="C124" si="145">D124-(B124-1)*$G$20</f>
        <v>49</v>
      </c>
      <c r="D124" s="21">
        <f>COUNT($D$18:$D123)+1</f>
        <v>49</v>
      </c>
      <c r="E124" s="21">
        <f t="shared" si="95"/>
        <v>124</v>
      </c>
      <c r="F124" s="9" t="s">
        <v>127</v>
      </c>
      <c r="G124" s="21">
        <v>1</v>
      </c>
      <c r="M124" s="21">
        <f t="shared" ref="M124" si="146">C124*G124</f>
        <v>49</v>
      </c>
    </row>
    <row r="125" spans="1:13">
      <c r="E125" s="21">
        <f t="shared" si="95"/>
        <v>125</v>
      </c>
      <c r="F125" s="9" t="s">
        <v>143</v>
      </c>
      <c r="M125" s="21">
        <v>171012</v>
      </c>
    </row>
    <row r="126" spans="1:13">
      <c r="A126" s="21" t="s">
        <v>228</v>
      </c>
      <c r="B126" s="21">
        <f t="shared" ref="B126" si="147">QUOTIENT( D126-1,$G$20)+1</f>
        <v>1</v>
      </c>
      <c r="C126" s="21">
        <f t="shared" ref="C126" si="148">D126-(B126-1)*$G$20</f>
        <v>50</v>
      </c>
      <c r="D126" s="21">
        <f>COUNT($D$18:$D125)+1</f>
        <v>50</v>
      </c>
      <c r="E126" s="21">
        <f t="shared" si="95"/>
        <v>126</v>
      </c>
      <c r="F126" s="9" t="s">
        <v>127</v>
      </c>
      <c r="G126" s="21">
        <v>1</v>
      </c>
      <c r="M126" s="21">
        <f t="shared" ref="M126" si="149">C126*G126</f>
        <v>50</v>
      </c>
    </row>
    <row r="127" spans="1:13">
      <c r="E127" s="21">
        <f t="shared" si="95"/>
        <v>127</v>
      </c>
      <c r="F127" s="9" t="s">
        <v>143</v>
      </c>
      <c r="M127" s="21">
        <v>171012</v>
      </c>
    </row>
    <row r="128" spans="1:13">
      <c r="A128" s="21" t="s">
        <v>228</v>
      </c>
      <c r="B128" s="21">
        <f t="shared" ref="B128" si="150">QUOTIENT( D128-1,$G$20)+1</f>
        <v>1</v>
      </c>
      <c r="C128" s="21">
        <f t="shared" ref="C128" si="151">D128-(B128-1)*$G$20</f>
        <v>51</v>
      </c>
      <c r="D128" s="21">
        <f>COUNT($D$18:$D127)+1</f>
        <v>51</v>
      </c>
      <c r="E128" s="21">
        <f t="shared" si="95"/>
        <v>128</v>
      </c>
      <c r="F128" s="9" t="s">
        <v>127</v>
      </c>
      <c r="G128" s="21">
        <v>1</v>
      </c>
      <c r="M128" s="21">
        <f t="shared" ref="M128" si="152">C128*G128</f>
        <v>51</v>
      </c>
    </row>
    <row r="129" spans="1:13">
      <c r="E129" s="21">
        <f t="shared" si="95"/>
        <v>129</v>
      </c>
      <c r="F129" s="9" t="s">
        <v>143</v>
      </c>
      <c r="M129" s="21">
        <v>171012</v>
      </c>
    </row>
    <row r="130" spans="1:13">
      <c r="A130" s="21" t="s">
        <v>228</v>
      </c>
      <c r="B130" s="21">
        <f t="shared" ref="B130" si="153">QUOTIENT( D130-1,$G$20)+1</f>
        <v>1</v>
      </c>
      <c r="C130" s="21">
        <f t="shared" ref="C130" si="154">D130-(B130-1)*$G$20</f>
        <v>52</v>
      </c>
      <c r="D130" s="21">
        <f>COUNT($D$18:$D129)+1</f>
        <v>52</v>
      </c>
      <c r="E130" s="21">
        <f t="shared" si="95"/>
        <v>130</v>
      </c>
      <c r="F130" s="9" t="s">
        <v>127</v>
      </c>
      <c r="G130" s="21">
        <v>1</v>
      </c>
      <c r="M130" s="21">
        <f t="shared" ref="M130" si="155">C130*G130</f>
        <v>52</v>
      </c>
    </row>
    <row r="131" spans="1:13">
      <c r="E131" s="21">
        <f t="shared" si="95"/>
        <v>131</v>
      </c>
      <c r="F131" s="9" t="s">
        <v>143</v>
      </c>
      <c r="M131" s="21">
        <v>171012</v>
      </c>
    </row>
    <row r="132" spans="1:13">
      <c r="A132" s="21" t="s">
        <v>228</v>
      </c>
      <c r="B132" s="21">
        <f t="shared" ref="B132" si="156">QUOTIENT( D132-1,$G$20)+1</f>
        <v>1</v>
      </c>
      <c r="C132" s="21">
        <f t="shared" ref="C132" si="157">D132-(B132-1)*$G$20</f>
        <v>53</v>
      </c>
      <c r="D132" s="21">
        <f>COUNT($D$18:$D131)+1</f>
        <v>53</v>
      </c>
      <c r="E132" s="21">
        <f t="shared" si="95"/>
        <v>132</v>
      </c>
      <c r="F132" s="9" t="s">
        <v>127</v>
      </c>
      <c r="G132" s="21">
        <v>1</v>
      </c>
      <c r="M132" s="21">
        <f t="shared" ref="M132" si="158">C132*G132</f>
        <v>53</v>
      </c>
    </row>
    <row r="133" spans="1:13">
      <c r="E133" s="21">
        <f t="shared" si="95"/>
        <v>133</v>
      </c>
      <c r="F133" s="9" t="s">
        <v>143</v>
      </c>
      <c r="M133" s="21">
        <v>171012</v>
      </c>
    </row>
    <row r="134" spans="1:13">
      <c r="A134" s="21" t="s">
        <v>228</v>
      </c>
      <c r="B134" s="21">
        <f t="shared" ref="B134" si="159">QUOTIENT( D134-1,$G$20)+1</f>
        <v>1</v>
      </c>
      <c r="C134" s="21">
        <f t="shared" ref="C134" si="160">D134-(B134-1)*$G$20</f>
        <v>54</v>
      </c>
      <c r="D134" s="21">
        <f>COUNT($D$18:$D133)+1</f>
        <v>54</v>
      </c>
      <c r="E134" s="21">
        <f t="shared" si="95"/>
        <v>134</v>
      </c>
      <c r="F134" s="9" t="s">
        <v>127</v>
      </c>
      <c r="G134" s="21">
        <v>1</v>
      </c>
      <c r="M134" s="21">
        <f t="shared" ref="M134" si="161">C134*G134</f>
        <v>54</v>
      </c>
    </row>
    <row r="135" spans="1:13">
      <c r="E135" s="21">
        <f t="shared" si="95"/>
        <v>135</v>
      </c>
      <c r="F135" s="9" t="s">
        <v>143</v>
      </c>
      <c r="M135" s="21">
        <v>171012</v>
      </c>
    </row>
    <row r="136" spans="1:13">
      <c r="A136" s="21" t="s">
        <v>228</v>
      </c>
      <c r="B136" s="21">
        <f t="shared" ref="B136" si="162">QUOTIENT( D136-1,$G$20)+1</f>
        <v>1</v>
      </c>
      <c r="C136" s="21">
        <f t="shared" ref="C136" si="163">D136-(B136-1)*$G$20</f>
        <v>55</v>
      </c>
      <c r="D136" s="21">
        <f>COUNT($D$18:$D135)+1</f>
        <v>55</v>
      </c>
      <c r="E136" s="21">
        <f t="shared" si="95"/>
        <v>136</v>
      </c>
      <c r="F136" s="9" t="s">
        <v>127</v>
      </c>
      <c r="G136" s="21">
        <v>1</v>
      </c>
      <c r="M136" s="21">
        <f t="shared" ref="M136" si="164">C136*G136</f>
        <v>55</v>
      </c>
    </row>
    <row r="137" spans="1:13">
      <c r="E137" s="21">
        <f t="shared" si="95"/>
        <v>137</v>
      </c>
      <c r="F137" s="9" t="s">
        <v>143</v>
      </c>
      <c r="M137" s="21">
        <v>171012</v>
      </c>
    </row>
    <row r="138" spans="1:13">
      <c r="A138" s="21" t="s">
        <v>228</v>
      </c>
      <c r="B138" s="21">
        <f t="shared" ref="B138" si="165">QUOTIENT( D138-1,$G$20)+1</f>
        <v>1</v>
      </c>
      <c r="C138" s="21">
        <f t="shared" ref="C138" si="166">D138-(B138-1)*$G$20</f>
        <v>56</v>
      </c>
      <c r="D138" s="21">
        <f>COUNT($D$18:$D137)+1</f>
        <v>56</v>
      </c>
      <c r="E138" s="21">
        <f t="shared" si="95"/>
        <v>138</v>
      </c>
      <c r="F138" s="9" t="s">
        <v>127</v>
      </c>
      <c r="G138" s="21">
        <v>1</v>
      </c>
      <c r="M138" s="21">
        <f t="shared" ref="M138" si="167">C138*G138</f>
        <v>56</v>
      </c>
    </row>
    <row r="139" spans="1:13">
      <c r="E139" s="21">
        <f t="shared" si="95"/>
        <v>139</v>
      </c>
      <c r="F139" s="9" t="s">
        <v>143</v>
      </c>
      <c r="M139" s="21">
        <v>171012</v>
      </c>
    </row>
    <row r="140" spans="1:13">
      <c r="A140" s="21" t="s">
        <v>228</v>
      </c>
      <c r="B140" s="21">
        <f t="shared" ref="B140" si="168">QUOTIENT( D140-1,$G$20)+1</f>
        <v>1</v>
      </c>
      <c r="C140" s="21">
        <f t="shared" ref="C140" si="169">D140-(B140-1)*$G$20</f>
        <v>57</v>
      </c>
      <c r="D140" s="21">
        <f>COUNT($D$18:$D139)+1</f>
        <v>57</v>
      </c>
      <c r="E140" s="21">
        <f t="shared" si="95"/>
        <v>140</v>
      </c>
      <c r="F140" s="9" t="s">
        <v>127</v>
      </c>
      <c r="G140" s="21">
        <v>1</v>
      </c>
      <c r="M140" s="21">
        <f t="shared" ref="M140" si="170">C140*G140</f>
        <v>57</v>
      </c>
    </row>
    <row r="141" spans="1:13">
      <c r="E141" s="21">
        <f t="shared" si="95"/>
        <v>141</v>
      </c>
      <c r="F141" s="9" t="s">
        <v>143</v>
      </c>
      <c r="M141" s="21">
        <v>171012</v>
      </c>
    </row>
    <row r="142" spans="1:13">
      <c r="A142" s="21" t="s">
        <v>228</v>
      </c>
      <c r="B142" s="21">
        <f t="shared" ref="B142" si="171">QUOTIENT( D142-1,$G$20)+1</f>
        <v>1</v>
      </c>
      <c r="C142" s="21">
        <f t="shared" ref="C142" si="172">D142-(B142-1)*$G$20</f>
        <v>58</v>
      </c>
      <c r="D142" s="21">
        <f>COUNT($D$18:$D141)+1</f>
        <v>58</v>
      </c>
      <c r="E142" s="21">
        <f t="shared" si="95"/>
        <v>142</v>
      </c>
      <c r="F142" s="9" t="s">
        <v>127</v>
      </c>
      <c r="G142" s="21">
        <v>1</v>
      </c>
      <c r="M142" s="21">
        <f t="shared" ref="M142" si="173">C142*G142</f>
        <v>58</v>
      </c>
    </row>
    <row r="143" spans="1:13">
      <c r="E143" s="21">
        <f t="shared" si="95"/>
        <v>143</v>
      </c>
      <c r="F143" s="9" t="s">
        <v>143</v>
      </c>
      <c r="M143" s="21">
        <v>171012</v>
      </c>
    </row>
    <row r="144" spans="1:13">
      <c r="A144" s="21" t="s">
        <v>228</v>
      </c>
      <c r="B144" s="21">
        <f t="shared" ref="B144" si="174">QUOTIENT( D144-1,$G$20)+1</f>
        <v>1</v>
      </c>
      <c r="C144" s="21">
        <f t="shared" ref="C144" si="175">D144-(B144-1)*$G$20</f>
        <v>59</v>
      </c>
      <c r="D144" s="21">
        <f>COUNT($D$18:$D143)+1</f>
        <v>59</v>
      </c>
      <c r="E144" s="21">
        <f t="shared" si="95"/>
        <v>144</v>
      </c>
      <c r="F144" s="9" t="s">
        <v>127</v>
      </c>
      <c r="G144" s="21">
        <v>1</v>
      </c>
      <c r="M144" s="21">
        <f t="shared" ref="M144" si="176">C144*G144</f>
        <v>59</v>
      </c>
    </row>
    <row r="145" spans="1:13">
      <c r="E145" s="21">
        <f t="shared" si="95"/>
        <v>145</v>
      </c>
      <c r="F145" s="9" t="s">
        <v>143</v>
      </c>
      <c r="M145" s="21">
        <v>171012</v>
      </c>
    </row>
    <row r="146" spans="1:13">
      <c r="A146" s="21" t="s">
        <v>228</v>
      </c>
      <c r="B146" s="21">
        <f t="shared" ref="B146" si="177">QUOTIENT( D146-1,$G$20)+1</f>
        <v>1</v>
      </c>
      <c r="C146" s="21">
        <f t="shared" ref="C146" si="178">D146-(B146-1)*$G$20</f>
        <v>60</v>
      </c>
      <c r="D146" s="21">
        <f>COUNT($D$18:$D145)+1</f>
        <v>60</v>
      </c>
      <c r="E146" s="21">
        <f t="shared" si="95"/>
        <v>146</v>
      </c>
      <c r="F146" s="9" t="s">
        <v>127</v>
      </c>
      <c r="G146" s="21">
        <v>1</v>
      </c>
      <c r="M146" s="21">
        <f t="shared" ref="M146" si="179">C146*G146</f>
        <v>60</v>
      </c>
    </row>
  </sheetData>
  <phoneticPr fontId="2" type="noConversion"/>
  <conditionalFormatting sqref="BE1:XFD1 E1:I1">
    <cfRule type="duplicateValues" dxfId="56" priority="1876"/>
  </conditionalFormatting>
  <conditionalFormatting sqref="F1:F10 F13">
    <cfRule type="cellIs" dxfId="55" priority="1377" operator="equal">
      <formula>"ID"</formula>
    </cfRule>
    <cfRule type="cellIs" dxfId="54" priority="1792" operator="equal">
      <formula>"行動序號"</formula>
    </cfRule>
  </conditionalFormatting>
  <conditionalFormatting sqref="J1">
    <cfRule type="duplicateValues" dxfId="53" priority="1375"/>
  </conditionalFormatting>
  <conditionalFormatting sqref="K1:L1">
    <cfRule type="duplicateValues" dxfId="52" priority="1372"/>
  </conditionalFormatting>
  <conditionalFormatting sqref="M1:M13 J22 M16:M1048576">
    <cfRule type="expression" dxfId="51" priority="987">
      <formula>_xlfn.ISFORMULA(J1)</formula>
    </cfRule>
  </conditionalFormatting>
  <conditionalFormatting sqref="N1:BD1">
    <cfRule type="duplicateValues" dxfId="50" priority="1892"/>
  </conditionalFormatting>
  <conditionalFormatting sqref="F11:F12">
    <cfRule type="cellIs" dxfId="49" priority="97" operator="equal">
      <formula>"ID"</formula>
    </cfRule>
    <cfRule type="cellIs" dxfId="48" priority="98" operator="equal">
      <formula>"行動序號"</formula>
    </cfRule>
  </conditionalFormatting>
  <conditionalFormatting sqref="F1:F13 F16:F1048576">
    <cfRule type="cellIs" dxfId="47" priority="90" operator="equal">
      <formula>"ID"</formula>
    </cfRule>
    <cfRule type="cellIs" dxfId="46" priority="91" operator="equal">
      <formula>"行動ID"</formula>
    </cfRule>
  </conditionalFormatting>
  <conditionalFormatting sqref="M1:M13 M16:M1048576">
    <cfRule type="expression" dxfId="45" priority="51">
      <formula>AND(_xlfn.ISFORMULA(M1),OR($F1="行動ID", $F1="ID"))</formula>
    </cfRule>
    <cfRule type="expression" dxfId="44" priority="53">
      <formula>OR($F1="行動ID", $F1="ID")</formula>
    </cfRule>
  </conditionalFormatting>
  <conditionalFormatting sqref="J20:J26">
    <cfRule type="expression" dxfId="43" priority="12">
      <formula>_xlfn.ISFORMULA(J20)</formula>
    </cfRule>
  </conditionalFormatting>
  <conditionalFormatting sqref="J20">
    <cfRule type="expression" dxfId="42" priority="13">
      <formula>OR($F18="行動序號",$F18="ID")</formula>
    </cfRule>
  </conditionalFormatting>
  <conditionalFormatting sqref="J20">
    <cfRule type="expression" dxfId="41" priority="14">
      <formula>$F18="行動ID"</formula>
    </cfRule>
  </conditionalFormatting>
  <conditionalFormatting sqref="J22">
    <cfRule type="expression" dxfId="40" priority="1924">
      <formula>OR(#REF!="行動序號",#REF!="ID")</formula>
    </cfRule>
  </conditionalFormatting>
  <conditionalFormatting sqref="J22">
    <cfRule type="expression" dxfId="39" priority="1925">
      <formula>#REF!="行動ID"</formula>
    </cfRule>
  </conditionalFormatting>
  <dataValidations count="1">
    <dataValidation type="list" allowBlank="1" showInputMessage="1" showErrorMessage="1" sqref="K8 L5:L6 F10 K4 L18 F25 L25 F26 K139:K14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stage7_notcard8shot2_2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2025-04-21T16:13:45Z</dcterms:modified>
</cp:coreProperties>
</file>