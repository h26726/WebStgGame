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hcook-win\STG project\Assets\Setting\Stage7_Normal\"/>
    </mc:Choice>
  </mc:AlternateContent>
  <xr:revisionPtr revIDLastSave="0" documentId="13_ncr:1_{4C9CD7AD-F180-490B-A055-D3B9D38BB5D2}" xr6:coauthVersionLast="47" xr6:coauthVersionMax="47" xr10:uidLastSave="{00000000-0000-0000-0000-000000000000}"/>
  <bookViews>
    <workbookView xWindow="-120" yWindow="-120" windowWidth="29040" windowHeight="15840" activeTab="6" xr2:uid="{00000000-000D-0000-FFFF-FFFF00000000}"/>
  </bookViews>
  <sheets>
    <sheet name="stage7_5" sheetId="1" r:id="rId1"/>
    <sheet name="#ALIAS" sheetId="66" r:id="rId2"/>
    <sheet name="#DEFINE" sheetId="67" r:id="rId3"/>
    <sheet name="#OPTION" sheetId="68" r:id="rId4"/>
    <sheet name="#PARAM" sheetId="69" r:id="rId5"/>
    <sheet name="#OUTPUT" sheetId="70" r:id="rId6"/>
    <sheet name="#使用說明" sheetId="71" r:id="rId7"/>
  </sheets>
  <functionGroups builtInGroupCount="19"/>
  <externalReferences>
    <externalReference r:id="rId8"/>
  </externalReferences>
  <definedNames>
    <definedName name="_OPTION_" localSheetId="1">#REF!</definedName>
    <definedName name="_OPTION_" localSheetId="2">#REF!</definedName>
    <definedName name="_OPTION_" localSheetId="3">'#OPTION'!$A$2:$A$98</definedName>
    <definedName name="_OPTION_" localSheetId="5">#REF!</definedName>
    <definedName name="_OPTION_" localSheetId="4">#REF!</definedName>
    <definedName name="_OPTION_" localSheetId="6">#REF!</definedName>
    <definedName name="_OPTION_">#REF!</definedName>
    <definedName name="一般物品">#REF!</definedName>
    <definedName name="無償商城幣">#REF!</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5" i="67" l="1"/>
  <c r="E94" i="67"/>
  <c r="E93" i="67"/>
  <c r="E92" i="67"/>
  <c r="E91" i="67"/>
  <c r="E88" i="67"/>
  <c r="E87" i="67"/>
  <c r="E86" i="67"/>
  <c r="E85" i="67"/>
  <c r="E84" i="67"/>
  <c r="E83" i="67"/>
  <c r="E80" i="67"/>
  <c r="E79" i="67"/>
  <c r="E78" i="67"/>
  <c r="E77" i="67"/>
  <c r="E76" i="67"/>
  <c r="E75" i="67"/>
  <c r="E74" i="67"/>
  <c r="E73" i="67"/>
  <c r="E70" i="67"/>
  <c r="E69" i="67"/>
  <c r="E68" i="67"/>
  <c r="E67" i="67"/>
  <c r="E64" i="67"/>
  <c r="E63" i="67"/>
  <c r="E62" i="67"/>
  <c r="E61" i="67"/>
  <c r="E60" i="67"/>
  <c r="E59" i="67"/>
  <c r="E58" i="67"/>
  <c r="E57" i="67"/>
  <c r="E56" i="67"/>
  <c r="E55" i="67"/>
  <c r="E54" i="67"/>
  <c r="E51" i="67"/>
  <c r="E50" i="67"/>
  <c r="E49" i="67"/>
  <c r="E48" i="67"/>
  <c r="E47" i="67"/>
  <c r="E46" i="67"/>
  <c r="E43" i="67"/>
  <c r="E42" i="67"/>
  <c r="E41" i="67"/>
  <c r="E40" i="67"/>
  <c r="E37" i="67"/>
  <c r="E36" i="67"/>
  <c r="E35" i="67"/>
  <c r="E34" i="67"/>
  <c r="E33" i="67"/>
  <c r="E32" i="67"/>
  <c r="E31" i="67"/>
  <c r="E30" i="67"/>
  <c r="E27" i="67"/>
  <c r="E26" i="67"/>
  <c r="E25" i="67"/>
  <c r="E24" i="67"/>
  <c r="E23" i="67"/>
  <c r="E22" i="67"/>
  <c r="E21" i="67"/>
  <c r="E20" i="67"/>
  <c r="E17" i="67"/>
  <c r="E16" i="67"/>
  <c r="E15" i="67"/>
  <c r="E14" i="67"/>
  <c r="E13" i="67"/>
  <c r="E12" i="67"/>
  <c r="E11" i="67"/>
  <c r="E10" i="67"/>
  <c r="E9" i="67"/>
  <c r="E8" i="67"/>
  <c r="E7" i="67"/>
  <c r="E6" i="67"/>
  <c r="E5" i="67"/>
  <c r="E4" i="67"/>
  <c r="E3" i="67"/>
  <c r="E968" i="1" l="1"/>
  <c r="E967" i="1"/>
  <c r="E966" i="1"/>
  <c r="E965" i="1"/>
  <c r="E964" i="1"/>
  <c r="E963" i="1"/>
  <c r="E962" i="1"/>
  <c r="O961" i="1"/>
  <c r="E961" i="1"/>
  <c r="E960" i="1"/>
  <c r="E959" i="1"/>
  <c r="E958" i="1"/>
  <c r="E956" i="1"/>
  <c r="E955" i="1"/>
  <c r="J954" i="1"/>
  <c r="I954" i="1"/>
  <c r="H954" i="1"/>
  <c r="G954" i="1"/>
  <c r="E952" i="1"/>
  <c r="E951" i="1"/>
  <c r="E950" i="1"/>
  <c r="E949" i="1"/>
  <c r="E948" i="1"/>
  <c r="E947" i="1"/>
  <c r="E946" i="1"/>
  <c r="E944" i="1"/>
  <c r="E943" i="1"/>
  <c r="E942" i="1"/>
  <c r="E941" i="1"/>
  <c r="E940" i="1"/>
  <c r="E939" i="1"/>
  <c r="E938" i="1"/>
  <c r="O937" i="1"/>
  <c r="E937" i="1"/>
  <c r="E936" i="1"/>
  <c r="E935" i="1"/>
  <c r="E934" i="1"/>
  <c r="E932" i="1"/>
  <c r="E931" i="1"/>
  <c r="J930" i="1"/>
  <c r="I930" i="1"/>
  <c r="H930" i="1"/>
  <c r="G930" i="1"/>
  <c r="E928" i="1"/>
  <c r="E927" i="1"/>
  <c r="E926" i="1"/>
  <c r="E925" i="1"/>
  <c r="E924" i="1"/>
  <c r="E923" i="1"/>
  <c r="E922" i="1"/>
  <c r="E920" i="1"/>
  <c r="E919" i="1"/>
  <c r="E918" i="1"/>
  <c r="E917" i="1"/>
  <c r="E916" i="1"/>
  <c r="E915" i="1"/>
  <c r="E914" i="1"/>
  <c r="O913" i="1"/>
  <c r="E913" i="1"/>
  <c r="E912" i="1"/>
  <c r="E911" i="1"/>
  <c r="E910" i="1"/>
  <c r="E908" i="1"/>
  <c r="E907" i="1"/>
  <c r="J906" i="1"/>
  <c r="I906" i="1"/>
  <c r="H906" i="1"/>
  <c r="G906" i="1"/>
  <c r="E904" i="1"/>
  <c r="E903" i="1"/>
  <c r="E902" i="1"/>
  <c r="E901" i="1"/>
  <c r="E900" i="1"/>
  <c r="E899" i="1"/>
  <c r="E898" i="1"/>
  <c r="E896" i="1"/>
  <c r="E895" i="1"/>
  <c r="E894" i="1"/>
  <c r="E893" i="1"/>
  <c r="E892" i="1"/>
  <c r="E891" i="1"/>
  <c r="E890" i="1"/>
  <c r="O889" i="1"/>
  <c r="E889" i="1"/>
  <c r="E888" i="1"/>
  <c r="E887" i="1"/>
  <c r="E886" i="1"/>
  <c r="E884" i="1"/>
  <c r="E883" i="1"/>
  <c r="J882" i="1"/>
  <c r="I882" i="1"/>
  <c r="H882" i="1"/>
  <c r="G882" i="1"/>
  <c r="E880" i="1"/>
  <c r="E879" i="1"/>
  <c r="E878" i="1"/>
  <c r="E877" i="1"/>
  <c r="E876" i="1"/>
  <c r="E875" i="1"/>
  <c r="E874" i="1"/>
  <c r="E872" i="1"/>
  <c r="E871" i="1"/>
  <c r="E870" i="1"/>
  <c r="E869" i="1"/>
  <c r="E868" i="1"/>
  <c r="E867" i="1"/>
  <c r="E866" i="1"/>
  <c r="O865" i="1"/>
  <c r="E865" i="1"/>
  <c r="E864" i="1"/>
  <c r="E863" i="1"/>
  <c r="E862" i="1"/>
  <c r="E860" i="1"/>
  <c r="E859" i="1"/>
  <c r="J858" i="1"/>
  <c r="I858" i="1"/>
  <c r="H858" i="1"/>
  <c r="G858" i="1"/>
  <c r="E856" i="1"/>
  <c r="E855" i="1"/>
  <c r="E854" i="1"/>
  <c r="E853" i="1"/>
  <c r="E852" i="1"/>
  <c r="E851" i="1"/>
  <c r="E850" i="1"/>
  <c r="E848" i="1"/>
  <c r="E847" i="1"/>
  <c r="E846" i="1"/>
  <c r="E845" i="1"/>
  <c r="E844" i="1"/>
  <c r="E843" i="1"/>
  <c r="E842" i="1"/>
  <c r="O841" i="1"/>
  <c r="E841" i="1"/>
  <c r="E840" i="1"/>
  <c r="E839" i="1"/>
  <c r="E838" i="1"/>
  <c r="E836" i="1"/>
  <c r="E835" i="1"/>
  <c r="J834" i="1"/>
  <c r="I834" i="1"/>
  <c r="H834" i="1"/>
  <c r="G834" i="1"/>
  <c r="E832" i="1"/>
  <c r="E831" i="1"/>
  <c r="E830" i="1"/>
  <c r="E829" i="1"/>
  <c r="E828" i="1"/>
  <c r="E827" i="1"/>
  <c r="E826" i="1"/>
  <c r="E824" i="1"/>
  <c r="E823" i="1"/>
  <c r="E822" i="1"/>
  <c r="E821" i="1"/>
  <c r="E820" i="1"/>
  <c r="E819" i="1"/>
  <c r="E818" i="1"/>
  <c r="O817" i="1"/>
  <c r="E817" i="1"/>
  <c r="E816" i="1"/>
  <c r="E815" i="1"/>
  <c r="E814" i="1"/>
  <c r="E812" i="1"/>
  <c r="E811" i="1"/>
  <c r="J810" i="1"/>
  <c r="I810" i="1"/>
  <c r="H810" i="1"/>
  <c r="G810" i="1"/>
  <c r="E808" i="1"/>
  <c r="E807" i="1"/>
  <c r="E806" i="1"/>
  <c r="E805" i="1"/>
  <c r="E804" i="1"/>
  <c r="E803" i="1"/>
  <c r="E802" i="1"/>
  <c r="E800" i="1"/>
  <c r="E799" i="1"/>
  <c r="E798" i="1"/>
  <c r="E797" i="1"/>
  <c r="E796" i="1"/>
  <c r="E795" i="1"/>
  <c r="E794" i="1"/>
  <c r="O793" i="1"/>
  <c r="E793" i="1"/>
  <c r="E792" i="1"/>
  <c r="E791" i="1"/>
  <c r="E790" i="1"/>
  <c r="E788" i="1"/>
  <c r="E787" i="1"/>
  <c r="J786" i="1"/>
  <c r="I786" i="1"/>
  <c r="H786" i="1"/>
  <c r="G786" i="1"/>
  <c r="E784" i="1"/>
  <c r="E783" i="1"/>
  <c r="E782" i="1"/>
  <c r="E781" i="1"/>
  <c r="E780" i="1"/>
  <c r="E779" i="1"/>
  <c r="E778" i="1"/>
  <c r="E776" i="1"/>
  <c r="E775" i="1"/>
  <c r="E774" i="1"/>
  <c r="E773" i="1"/>
  <c r="E772" i="1"/>
  <c r="E771" i="1"/>
  <c r="E770" i="1"/>
  <c r="O769" i="1"/>
  <c r="E769" i="1"/>
  <c r="E768" i="1"/>
  <c r="E767" i="1"/>
  <c r="E766" i="1"/>
  <c r="E764" i="1"/>
  <c r="E763" i="1"/>
  <c r="J762" i="1"/>
  <c r="I762" i="1"/>
  <c r="H762" i="1"/>
  <c r="G762" i="1"/>
  <c r="E760" i="1"/>
  <c r="E759" i="1"/>
  <c r="E758" i="1"/>
  <c r="E757" i="1"/>
  <c r="E756" i="1"/>
  <c r="E755" i="1"/>
  <c r="E754" i="1"/>
  <c r="E752" i="1"/>
  <c r="E751" i="1"/>
  <c r="E750" i="1"/>
  <c r="E749" i="1"/>
  <c r="E748" i="1"/>
  <c r="E747" i="1"/>
  <c r="E746" i="1"/>
  <c r="O745" i="1"/>
  <c r="E745" i="1"/>
  <c r="E744" i="1"/>
  <c r="E743" i="1"/>
  <c r="E742" i="1"/>
  <c r="E740" i="1"/>
  <c r="E739" i="1"/>
  <c r="J738" i="1"/>
  <c r="I738" i="1"/>
  <c r="H738" i="1"/>
  <c r="G738" i="1"/>
  <c r="E736" i="1"/>
  <c r="E735" i="1"/>
  <c r="E734" i="1"/>
  <c r="E733" i="1"/>
  <c r="E732" i="1"/>
  <c r="E731" i="1"/>
  <c r="E730" i="1"/>
  <c r="E728" i="1"/>
  <c r="E727" i="1"/>
  <c r="E726" i="1"/>
  <c r="E725" i="1"/>
  <c r="E724" i="1"/>
  <c r="E723" i="1"/>
  <c r="E722" i="1"/>
  <c r="O721" i="1"/>
  <c r="E721" i="1"/>
  <c r="E720" i="1"/>
  <c r="E719" i="1"/>
  <c r="E718" i="1"/>
  <c r="E716" i="1"/>
  <c r="E715" i="1"/>
  <c r="J714" i="1"/>
  <c r="I714" i="1"/>
  <c r="H714" i="1"/>
  <c r="G714" i="1"/>
  <c r="E712" i="1"/>
  <c r="E711" i="1"/>
  <c r="E710" i="1"/>
  <c r="E709" i="1"/>
  <c r="E708" i="1"/>
  <c r="E707" i="1"/>
  <c r="E706" i="1"/>
  <c r="E704" i="1"/>
  <c r="E703" i="1"/>
  <c r="E702" i="1"/>
  <c r="E701" i="1"/>
  <c r="E700" i="1"/>
  <c r="E699" i="1"/>
  <c r="E698" i="1"/>
  <c r="O697" i="1"/>
  <c r="E697" i="1"/>
  <c r="E696" i="1"/>
  <c r="E695" i="1"/>
  <c r="E694" i="1"/>
  <c r="E692" i="1"/>
  <c r="E691" i="1"/>
  <c r="J690" i="1"/>
  <c r="I690" i="1"/>
  <c r="H690" i="1"/>
  <c r="G690" i="1"/>
  <c r="E688" i="1"/>
  <c r="E687" i="1"/>
  <c r="E686" i="1"/>
  <c r="E685" i="1"/>
  <c r="E684" i="1"/>
  <c r="E683" i="1"/>
  <c r="E682" i="1"/>
  <c r="E680" i="1"/>
  <c r="E679" i="1"/>
  <c r="E678" i="1"/>
  <c r="E677" i="1"/>
  <c r="E676" i="1"/>
  <c r="E675" i="1"/>
  <c r="E674" i="1"/>
  <c r="O673" i="1"/>
  <c r="E673" i="1"/>
  <c r="E672" i="1"/>
  <c r="E671" i="1"/>
  <c r="E670" i="1"/>
  <c r="E668" i="1"/>
  <c r="E667" i="1"/>
  <c r="J666" i="1"/>
  <c r="I666" i="1"/>
  <c r="H666" i="1"/>
  <c r="G666" i="1"/>
  <c r="E664" i="1"/>
  <c r="E663" i="1"/>
  <c r="E662" i="1"/>
  <c r="E661" i="1"/>
  <c r="E660" i="1"/>
  <c r="E659" i="1"/>
  <c r="E658" i="1"/>
  <c r="E656" i="1"/>
  <c r="E655" i="1"/>
  <c r="E654" i="1"/>
  <c r="E653" i="1"/>
  <c r="E652" i="1"/>
  <c r="E651" i="1"/>
  <c r="E650" i="1"/>
  <c r="O649" i="1"/>
  <c r="E649" i="1"/>
  <c r="E648" i="1"/>
  <c r="E647" i="1"/>
  <c r="E646" i="1"/>
  <c r="E644" i="1"/>
  <c r="E643" i="1"/>
  <c r="J642" i="1"/>
  <c r="I642" i="1"/>
  <c r="H642" i="1"/>
  <c r="G642" i="1"/>
  <c r="E640" i="1"/>
  <c r="E639" i="1"/>
  <c r="E638" i="1"/>
  <c r="E637" i="1"/>
  <c r="E636" i="1"/>
  <c r="E635" i="1"/>
  <c r="E634" i="1"/>
  <c r="E632" i="1"/>
  <c r="E631" i="1"/>
  <c r="E630" i="1"/>
  <c r="E629" i="1"/>
  <c r="E628" i="1"/>
  <c r="E627" i="1"/>
  <c r="E626" i="1"/>
  <c r="O625" i="1"/>
  <c r="E625" i="1"/>
  <c r="E624" i="1"/>
  <c r="E623" i="1"/>
  <c r="E622" i="1"/>
  <c r="E620" i="1"/>
  <c r="E619" i="1"/>
  <c r="J618" i="1"/>
  <c r="I618" i="1"/>
  <c r="H618" i="1"/>
  <c r="G618" i="1"/>
  <c r="E616" i="1"/>
  <c r="E615" i="1"/>
  <c r="E614" i="1"/>
  <c r="E613" i="1"/>
  <c r="E612" i="1"/>
  <c r="E611" i="1"/>
  <c r="E610" i="1"/>
  <c r="E608" i="1"/>
  <c r="E607" i="1"/>
  <c r="E606" i="1"/>
  <c r="E605" i="1"/>
  <c r="E604" i="1"/>
  <c r="E603" i="1"/>
  <c r="E602" i="1"/>
  <c r="O601" i="1"/>
  <c r="E601" i="1"/>
  <c r="E600" i="1"/>
  <c r="E599" i="1"/>
  <c r="E598" i="1"/>
  <c r="E596" i="1"/>
  <c r="E595" i="1"/>
  <c r="J594" i="1"/>
  <c r="I594" i="1"/>
  <c r="H594" i="1"/>
  <c r="G594" i="1"/>
  <c r="E592" i="1"/>
  <c r="E591" i="1"/>
  <c r="E590" i="1"/>
  <c r="E589" i="1"/>
  <c r="E588" i="1"/>
  <c r="E587" i="1"/>
  <c r="E586" i="1"/>
  <c r="E584" i="1"/>
  <c r="E583" i="1"/>
  <c r="E582" i="1"/>
  <c r="E581" i="1"/>
  <c r="E580" i="1"/>
  <c r="E579" i="1"/>
  <c r="E578" i="1"/>
  <c r="O577" i="1"/>
  <c r="E577" i="1"/>
  <c r="E576" i="1"/>
  <c r="E575" i="1"/>
  <c r="E574" i="1"/>
  <c r="E572" i="1"/>
  <c r="E571" i="1"/>
  <c r="J570" i="1"/>
  <c r="I570" i="1"/>
  <c r="H570" i="1"/>
  <c r="G570" i="1"/>
  <c r="E568" i="1"/>
  <c r="E567" i="1"/>
  <c r="E566" i="1"/>
  <c r="E565" i="1"/>
  <c r="E564" i="1"/>
  <c r="E563" i="1"/>
  <c r="E562" i="1"/>
  <c r="E560" i="1"/>
  <c r="E559" i="1"/>
  <c r="E558" i="1"/>
  <c r="E557" i="1"/>
  <c r="E556" i="1"/>
  <c r="E555" i="1"/>
  <c r="E554" i="1"/>
  <c r="O553" i="1"/>
  <c r="E553" i="1"/>
  <c r="E552" i="1"/>
  <c r="E551" i="1"/>
  <c r="E550" i="1"/>
  <c r="E548" i="1"/>
  <c r="E547" i="1"/>
  <c r="J546" i="1"/>
  <c r="I546" i="1"/>
  <c r="H546" i="1"/>
  <c r="G546" i="1"/>
  <c r="E544" i="1"/>
  <c r="E543" i="1"/>
  <c r="E542" i="1"/>
  <c r="E541" i="1"/>
  <c r="E540" i="1"/>
  <c r="E539" i="1"/>
  <c r="E538" i="1"/>
  <c r="E536" i="1"/>
  <c r="E535" i="1"/>
  <c r="E534" i="1"/>
  <c r="E533" i="1"/>
  <c r="E532" i="1"/>
  <c r="E531" i="1"/>
  <c r="E530" i="1"/>
  <c r="O529" i="1"/>
  <c r="E529" i="1"/>
  <c r="E528" i="1"/>
  <c r="E527" i="1"/>
  <c r="E526" i="1"/>
  <c r="E524" i="1"/>
  <c r="E523" i="1"/>
  <c r="J522" i="1"/>
  <c r="I522" i="1"/>
  <c r="H522" i="1"/>
  <c r="G522" i="1"/>
  <c r="E520" i="1"/>
  <c r="E519" i="1"/>
  <c r="E518" i="1"/>
  <c r="E517" i="1"/>
  <c r="E516" i="1"/>
  <c r="E515" i="1"/>
  <c r="E514" i="1"/>
  <c r="E512" i="1"/>
  <c r="E511" i="1"/>
  <c r="E510" i="1"/>
  <c r="E509" i="1"/>
  <c r="E508" i="1"/>
  <c r="E507" i="1"/>
  <c r="E506" i="1"/>
  <c r="O505" i="1"/>
  <c r="E505" i="1"/>
  <c r="E504" i="1"/>
  <c r="E503" i="1"/>
  <c r="E502" i="1"/>
  <c r="E500" i="1"/>
  <c r="E499" i="1"/>
  <c r="J498" i="1"/>
  <c r="I498" i="1"/>
  <c r="H498" i="1"/>
  <c r="G498" i="1"/>
  <c r="E496" i="1"/>
  <c r="E495" i="1"/>
  <c r="E494" i="1"/>
  <c r="E493" i="1"/>
  <c r="E492" i="1"/>
  <c r="E491" i="1"/>
  <c r="E490" i="1"/>
  <c r="E488" i="1"/>
  <c r="E487" i="1"/>
  <c r="E486" i="1"/>
  <c r="E485" i="1"/>
  <c r="E484" i="1"/>
  <c r="E483" i="1"/>
  <c r="E482" i="1"/>
  <c r="O481" i="1"/>
  <c r="E481" i="1"/>
  <c r="E480" i="1"/>
  <c r="E479" i="1"/>
  <c r="E478" i="1"/>
  <c r="E476" i="1"/>
  <c r="E475" i="1"/>
  <c r="J474" i="1"/>
  <c r="I474" i="1"/>
  <c r="H474" i="1"/>
  <c r="G474" i="1"/>
  <c r="E472" i="1"/>
  <c r="E471" i="1"/>
  <c r="E470" i="1"/>
  <c r="E469" i="1"/>
  <c r="E468" i="1"/>
  <c r="E467" i="1"/>
  <c r="E466" i="1"/>
  <c r="E464" i="1"/>
  <c r="E463" i="1"/>
  <c r="E462" i="1"/>
  <c r="E461" i="1"/>
  <c r="E460" i="1"/>
  <c r="E459" i="1"/>
  <c r="E458" i="1"/>
  <c r="O457" i="1"/>
  <c r="E457" i="1"/>
  <c r="E456" i="1"/>
  <c r="E455" i="1"/>
  <c r="E454" i="1"/>
  <c r="E452" i="1"/>
  <c r="E451" i="1"/>
  <c r="J450" i="1"/>
  <c r="I450" i="1"/>
  <c r="H450" i="1"/>
  <c r="G450" i="1"/>
  <c r="E448" i="1"/>
  <c r="E447" i="1"/>
  <c r="E446" i="1"/>
  <c r="E445" i="1"/>
  <c r="E444" i="1"/>
  <c r="E443" i="1"/>
  <c r="E442" i="1"/>
  <c r="E440" i="1"/>
  <c r="E439" i="1"/>
  <c r="E438" i="1"/>
  <c r="E437" i="1"/>
  <c r="E436" i="1"/>
  <c r="E435" i="1"/>
  <c r="E434" i="1"/>
  <c r="O433" i="1"/>
  <c r="E433" i="1"/>
  <c r="E432" i="1"/>
  <c r="E431" i="1"/>
  <c r="E430" i="1"/>
  <c r="E428" i="1"/>
  <c r="E427" i="1"/>
  <c r="J426" i="1"/>
  <c r="I426" i="1"/>
  <c r="H426" i="1"/>
  <c r="G426" i="1"/>
  <c r="E424" i="1"/>
  <c r="E423" i="1"/>
  <c r="E422" i="1"/>
  <c r="E421" i="1"/>
  <c r="E420" i="1"/>
  <c r="E419" i="1"/>
  <c r="E418" i="1"/>
  <c r="E416" i="1"/>
  <c r="E415" i="1"/>
  <c r="E414" i="1"/>
  <c r="E413" i="1"/>
  <c r="E412" i="1"/>
  <c r="E411" i="1"/>
  <c r="E410" i="1"/>
  <c r="O409" i="1"/>
  <c r="E409" i="1"/>
  <c r="E408" i="1"/>
  <c r="E407" i="1"/>
  <c r="E406" i="1"/>
  <c r="E404" i="1"/>
  <c r="E403" i="1"/>
  <c r="J402" i="1"/>
  <c r="I402" i="1"/>
  <c r="H402" i="1"/>
  <c r="G402" i="1"/>
  <c r="E400" i="1"/>
  <c r="E399" i="1"/>
  <c r="E398" i="1"/>
  <c r="E397" i="1"/>
  <c r="E396" i="1"/>
  <c r="E395" i="1"/>
  <c r="E394" i="1"/>
  <c r="E392" i="1"/>
  <c r="E391" i="1"/>
  <c r="E390" i="1"/>
  <c r="E389" i="1"/>
  <c r="E388" i="1"/>
  <c r="E387" i="1"/>
  <c r="E386" i="1"/>
  <c r="O385" i="1"/>
  <c r="E385" i="1"/>
  <c r="E384" i="1"/>
  <c r="E383" i="1"/>
  <c r="E382" i="1"/>
  <c r="E380" i="1"/>
  <c r="E379" i="1"/>
  <c r="J378" i="1"/>
  <c r="I378" i="1"/>
  <c r="H378" i="1"/>
  <c r="G378" i="1"/>
  <c r="E376" i="1"/>
  <c r="E375" i="1"/>
  <c r="E374" i="1"/>
  <c r="E373" i="1"/>
  <c r="E372" i="1"/>
  <c r="E371" i="1"/>
  <c r="E370" i="1"/>
  <c r="E368" i="1"/>
  <c r="E367" i="1"/>
  <c r="E366" i="1"/>
  <c r="E365" i="1"/>
  <c r="E364" i="1"/>
  <c r="E363" i="1"/>
  <c r="E362" i="1"/>
  <c r="O361" i="1"/>
  <c r="E361" i="1"/>
  <c r="E360" i="1"/>
  <c r="E359" i="1"/>
  <c r="E358" i="1"/>
  <c r="E356" i="1"/>
  <c r="E355" i="1"/>
  <c r="J354" i="1"/>
  <c r="I354" i="1"/>
  <c r="H354" i="1"/>
  <c r="G354" i="1"/>
  <c r="E352" i="1"/>
  <c r="E351" i="1"/>
  <c r="E350" i="1"/>
  <c r="E349" i="1"/>
  <c r="E348" i="1"/>
  <c r="E347" i="1"/>
  <c r="E346" i="1"/>
  <c r="E344" i="1"/>
  <c r="E343" i="1"/>
  <c r="E342" i="1"/>
  <c r="E341" i="1"/>
  <c r="E340" i="1"/>
  <c r="E339" i="1"/>
  <c r="E338" i="1"/>
  <c r="O337" i="1"/>
  <c r="E337" i="1"/>
  <c r="E336" i="1"/>
  <c r="E335" i="1"/>
  <c r="E334" i="1"/>
  <c r="E332" i="1"/>
  <c r="E331" i="1"/>
  <c r="J330" i="1"/>
  <c r="I330" i="1"/>
  <c r="H330" i="1"/>
  <c r="G330" i="1"/>
  <c r="E328" i="1"/>
  <c r="E327" i="1"/>
  <c r="E326" i="1"/>
  <c r="E325" i="1"/>
  <c r="E324" i="1"/>
  <c r="E323" i="1"/>
  <c r="E322" i="1"/>
  <c r="E320" i="1"/>
  <c r="E319" i="1"/>
  <c r="E318" i="1"/>
  <c r="E317" i="1"/>
  <c r="E316" i="1"/>
  <c r="E315" i="1"/>
  <c r="E314" i="1"/>
  <c r="O313" i="1"/>
  <c r="E313" i="1"/>
  <c r="E312" i="1"/>
  <c r="E311" i="1"/>
  <c r="E310" i="1"/>
  <c r="E308" i="1"/>
  <c r="E307" i="1"/>
  <c r="J306" i="1"/>
  <c r="I306" i="1"/>
  <c r="H306" i="1"/>
  <c r="G306" i="1"/>
  <c r="E304" i="1"/>
  <c r="E303" i="1"/>
  <c r="E302" i="1"/>
  <c r="E301" i="1"/>
  <c r="E300" i="1"/>
  <c r="E299" i="1"/>
  <c r="E298" i="1"/>
  <c r="E296" i="1"/>
  <c r="E295" i="1"/>
  <c r="E294" i="1"/>
  <c r="E293" i="1"/>
  <c r="E292" i="1"/>
  <c r="E291" i="1"/>
  <c r="E290" i="1"/>
  <c r="O289" i="1"/>
  <c r="E289" i="1"/>
  <c r="E288" i="1"/>
  <c r="E287" i="1"/>
  <c r="E286" i="1"/>
  <c r="E284" i="1"/>
  <c r="E283" i="1"/>
  <c r="J282" i="1"/>
  <c r="I282" i="1"/>
  <c r="H282" i="1"/>
  <c r="G282" i="1"/>
  <c r="E280" i="1"/>
  <c r="E279" i="1"/>
  <c r="E278" i="1"/>
  <c r="E277" i="1"/>
  <c r="E276" i="1"/>
  <c r="E275" i="1"/>
  <c r="E274" i="1"/>
  <c r="E272" i="1"/>
  <c r="E271" i="1"/>
  <c r="E270" i="1"/>
  <c r="E269" i="1"/>
  <c r="E268" i="1"/>
  <c r="E267" i="1"/>
  <c r="E266" i="1"/>
  <c r="O265" i="1"/>
  <c r="E265" i="1"/>
  <c r="E264" i="1"/>
  <c r="E263" i="1"/>
  <c r="E262" i="1"/>
  <c r="E260" i="1"/>
  <c r="E259" i="1"/>
  <c r="J258" i="1"/>
  <c r="I258" i="1"/>
  <c r="H258" i="1"/>
  <c r="G258" i="1"/>
  <c r="E256" i="1"/>
  <c r="E255" i="1"/>
  <c r="E254" i="1"/>
  <c r="E253" i="1"/>
  <c r="E252" i="1"/>
  <c r="E251" i="1"/>
  <c r="E250" i="1"/>
  <c r="E248" i="1"/>
  <c r="E247" i="1"/>
  <c r="E246" i="1"/>
  <c r="E245" i="1"/>
  <c r="E244" i="1"/>
  <c r="E243" i="1"/>
  <c r="E242" i="1"/>
  <c r="O241" i="1"/>
  <c r="E241" i="1"/>
  <c r="E240" i="1"/>
  <c r="E239" i="1"/>
  <c r="E238" i="1"/>
  <c r="E236" i="1"/>
  <c r="E235" i="1"/>
  <c r="J234" i="1"/>
  <c r="I234" i="1"/>
  <c r="H234" i="1"/>
  <c r="G234" i="1"/>
  <c r="E232" i="1"/>
  <c r="E231" i="1"/>
  <c r="E230" i="1"/>
  <c r="E229" i="1"/>
  <c r="E228" i="1"/>
  <c r="E227" i="1"/>
  <c r="E226" i="1"/>
  <c r="E224" i="1"/>
  <c r="E223" i="1"/>
  <c r="E222" i="1"/>
  <c r="E221" i="1"/>
  <c r="E220" i="1"/>
  <c r="E219" i="1"/>
  <c r="E218" i="1"/>
  <c r="O217" i="1"/>
  <c r="E217" i="1"/>
  <c r="E216" i="1"/>
  <c r="E215" i="1"/>
  <c r="E214" i="1"/>
  <c r="E212" i="1"/>
  <c r="E211" i="1"/>
  <c r="J210" i="1"/>
  <c r="I210" i="1"/>
  <c r="H210" i="1"/>
  <c r="G210" i="1"/>
  <c r="E208" i="1"/>
  <c r="E207" i="1"/>
  <c r="E206" i="1"/>
  <c r="E205" i="1"/>
  <c r="E204" i="1"/>
  <c r="E203" i="1"/>
  <c r="E202" i="1"/>
  <c r="E200" i="1"/>
  <c r="E199" i="1"/>
  <c r="E198" i="1"/>
  <c r="E197" i="1"/>
  <c r="E196" i="1"/>
  <c r="E195" i="1"/>
  <c r="E194" i="1"/>
  <c r="O193" i="1"/>
  <c r="E193" i="1"/>
  <c r="E192" i="1"/>
  <c r="E191" i="1"/>
  <c r="E190" i="1"/>
  <c r="E188" i="1"/>
  <c r="E187" i="1"/>
  <c r="J186" i="1"/>
  <c r="I186" i="1"/>
  <c r="H186" i="1"/>
  <c r="G186" i="1"/>
  <c r="E184" i="1"/>
  <c r="E183" i="1"/>
  <c r="E182" i="1"/>
  <c r="E181" i="1"/>
  <c r="E180" i="1"/>
  <c r="E179" i="1"/>
  <c r="E178" i="1"/>
  <c r="E176" i="1"/>
  <c r="E175" i="1"/>
  <c r="E174" i="1"/>
  <c r="E173" i="1"/>
  <c r="E172" i="1"/>
  <c r="E171" i="1"/>
  <c r="E170" i="1"/>
  <c r="O169" i="1"/>
  <c r="E169" i="1"/>
  <c r="E168" i="1"/>
  <c r="E167" i="1"/>
  <c r="E166" i="1"/>
  <c r="E164" i="1"/>
  <c r="E163" i="1"/>
  <c r="J162" i="1"/>
  <c r="I162" i="1"/>
  <c r="H162" i="1"/>
  <c r="G162" i="1"/>
  <c r="E160" i="1"/>
  <c r="E159" i="1"/>
  <c r="E158" i="1"/>
  <c r="E157" i="1"/>
  <c r="E156" i="1"/>
  <c r="E155" i="1"/>
  <c r="E154" i="1"/>
  <c r="E152" i="1"/>
  <c r="E151" i="1"/>
  <c r="E150" i="1"/>
  <c r="E149" i="1"/>
  <c r="E148" i="1"/>
  <c r="E147" i="1"/>
  <c r="E146" i="1"/>
  <c r="O145" i="1"/>
  <c r="E145" i="1"/>
  <c r="E144" i="1"/>
  <c r="E143" i="1"/>
  <c r="E142" i="1"/>
  <c r="E140" i="1"/>
  <c r="E139" i="1"/>
  <c r="J138" i="1"/>
  <c r="I138" i="1"/>
  <c r="H138" i="1"/>
  <c r="G138" i="1"/>
  <c r="E136" i="1"/>
  <c r="E135" i="1"/>
  <c r="E134" i="1"/>
  <c r="E133" i="1"/>
  <c r="E132" i="1"/>
  <c r="E131" i="1"/>
  <c r="E130" i="1"/>
  <c r="E128" i="1"/>
  <c r="E127" i="1"/>
  <c r="E126" i="1"/>
  <c r="E125" i="1"/>
  <c r="E124" i="1"/>
  <c r="E123" i="1"/>
  <c r="E122" i="1"/>
  <c r="O121" i="1"/>
  <c r="E121" i="1"/>
  <c r="E120" i="1"/>
  <c r="E119" i="1"/>
  <c r="E118" i="1"/>
  <c r="E116" i="1"/>
  <c r="E115" i="1"/>
  <c r="J114" i="1"/>
  <c r="I114" i="1"/>
  <c r="H114" i="1"/>
  <c r="G114" i="1"/>
  <c r="E112" i="1"/>
  <c r="E111" i="1"/>
  <c r="E110" i="1"/>
  <c r="E109" i="1"/>
  <c r="E108" i="1"/>
  <c r="E107" i="1"/>
  <c r="E106" i="1"/>
  <c r="E104" i="1"/>
  <c r="E103" i="1"/>
  <c r="E102" i="1"/>
  <c r="E101" i="1"/>
  <c r="E100" i="1"/>
  <c r="E99" i="1"/>
  <c r="E98" i="1"/>
  <c r="O97" i="1"/>
  <c r="E97" i="1"/>
  <c r="E96" i="1"/>
  <c r="E95" i="1"/>
  <c r="E94" i="1"/>
  <c r="E92" i="1"/>
  <c r="E91" i="1"/>
  <c r="J90" i="1"/>
  <c r="I90" i="1"/>
  <c r="H90" i="1"/>
  <c r="G90" i="1"/>
  <c r="E88" i="1"/>
  <c r="E87" i="1"/>
  <c r="E86" i="1"/>
  <c r="E85" i="1"/>
  <c r="E84" i="1"/>
  <c r="E83" i="1"/>
  <c r="E82" i="1"/>
  <c r="E80" i="1"/>
  <c r="E79" i="1"/>
  <c r="E78" i="1"/>
  <c r="E77" i="1"/>
  <c r="E76" i="1"/>
  <c r="E75" i="1"/>
  <c r="E74" i="1"/>
  <c r="O73" i="1"/>
  <c r="E73" i="1"/>
  <c r="E72" i="1"/>
  <c r="E71" i="1"/>
  <c r="E70" i="1"/>
  <c r="E68" i="1"/>
  <c r="E67" i="1"/>
  <c r="J66" i="1"/>
  <c r="I66" i="1"/>
  <c r="H66" i="1"/>
  <c r="G66" i="1"/>
  <c r="E64" i="1"/>
  <c r="E63" i="1"/>
  <c r="E62" i="1"/>
  <c r="E61" i="1"/>
  <c r="E60" i="1"/>
  <c r="E59" i="1"/>
  <c r="E58" i="1"/>
  <c r="E56" i="1"/>
  <c r="E55" i="1"/>
  <c r="E54" i="1"/>
  <c r="E53" i="1"/>
  <c r="E52" i="1"/>
  <c r="E51" i="1"/>
  <c r="E50" i="1"/>
  <c r="O49" i="1"/>
  <c r="E49" i="1"/>
  <c r="E48" i="1"/>
  <c r="E47" i="1"/>
  <c r="E46" i="1"/>
  <c r="E44" i="1"/>
  <c r="E43" i="1"/>
  <c r="J42" i="1"/>
  <c r="I42" i="1"/>
  <c r="H42" i="1"/>
  <c r="G42" i="1"/>
  <c r="E40" i="1"/>
  <c r="E39" i="1"/>
  <c r="E38" i="1"/>
  <c r="E37" i="1"/>
  <c r="E36" i="1"/>
  <c r="E35" i="1"/>
  <c r="E34" i="1"/>
  <c r="D33" i="1"/>
  <c r="D57" i="1" s="1"/>
  <c r="G68" i="1" l="1"/>
  <c r="O68" i="1" s="1" a="1"/>
  <c r="O68" i="1" s="1"/>
  <c r="B57" i="1"/>
  <c r="O58" i="1"/>
  <c r="G64" i="1"/>
  <c r="O64" i="1" s="1" a="1"/>
  <c r="O64" i="1" s="1"/>
  <c r="O34" i="1"/>
  <c r="G40" i="1"/>
  <c r="O40" i="1" s="1" a="1"/>
  <c r="O40" i="1" s="1"/>
  <c r="G44" i="1"/>
  <c r="O44" i="1" s="1" a="1"/>
  <c r="O44" i="1" s="1"/>
  <c r="B33" i="1"/>
  <c r="C33" i="1" s="1"/>
  <c r="D81" i="1"/>
  <c r="G18" i="1"/>
  <c r="O25" i="1"/>
  <c r="D9" i="1"/>
  <c r="B9" i="1" s="1"/>
  <c r="A8" i="1"/>
  <c r="G88" i="1" l="1"/>
  <c r="O88" i="1" s="1" a="1"/>
  <c r="O88" i="1" s="1"/>
  <c r="G92" i="1"/>
  <c r="O92" i="1" s="1" a="1"/>
  <c r="O92" i="1" s="1"/>
  <c r="O82" i="1"/>
  <c r="B81" i="1"/>
  <c r="D105" i="1"/>
  <c r="O71" i="1"/>
  <c r="O70" i="1"/>
  <c r="G63" i="1"/>
  <c r="O63" i="1" s="1"/>
  <c r="O75" i="1" s="1"/>
  <c r="O80" i="1" s="1"/>
  <c r="O59" i="1"/>
  <c r="O35" i="1"/>
  <c r="G39" i="1"/>
  <c r="O39" i="1" s="1"/>
  <c r="O51" i="1" s="1"/>
  <c r="O56" i="1" s="1"/>
  <c r="O46" i="1"/>
  <c r="O47" i="1"/>
  <c r="C57" i="1"/>
  <c r="C9" i="1"/>
  <c r="O11" i="1"/>
  <c r="G20" i="1"/>
  <c r="O20" i="1" s="1" a="1"/>
  <c r="O20" i="1" s="1"/>
  <c r="G16" i="1"/>
  <c r="G15" i="1"/>
  <c r="O15" i="1" s="1"/>
  <c r="O27" i="1" s="1"/>
  <c r="O32" i="1" s="1"/>
  <c r="O10" i="1"/>
  <c r="O23" i="1" s="1"/>
  <c r="I18" i="1"/>
  <c r="J18" i="1"/>
  <c r="H18" i="1"/>
  <c r="E30" i="1"/>
  <c r="E24" i="1"/>
  <c r="E31" i="1"/>
  <c r="E32" i="1"/>
  <c r="E29" i="1"/>
  <c r="E28" i="1"/>
  <c r="E22" i="1"/>
  <c r="E23" i="1"/>
  <c r="E25" i="1"/>
  <c r="E26" i="1"/>
  <c r="E27" i="1"/>
  <c r="G87" i="1" l="1"/>
  <c r="O87" i="1" s="1"/>
  <c r="O99" i="1" s="1"/>
  <c r="O104" i="1" s="1"/>
  <c r="O83" i="1"/>
  <c r="G116" i="1"/>
  <c r="O116" i="1" s="1" a="1"/>
  <c r="O116" i="1" s="1"/>
  <c r="B105" i="1"/>
  <c r="G112" i="1"/>
  <c r="O112" i="1" s="1" a="1"/>
  <c r="O112" i="1" s="1"/>
  <c r="O106" i="1"/>
  <c r="D129" i="1"/>
  <c r="D177" i="1"/>
  <c r="C81" i="1"/>
  <c r="O52" i="1"/>
  <c r="O53" i="1"/>
  <c r="O94" i="1"/>
  <c r="O95" i="1"/>
  <c r="D153" i="1"/>
  <c r="O76" i="1"/>
  <c r="O77" i="1"/>
  <c r="O22" i="1"/>
  <c r="O28" i="1" s="1"/>
  <c r="O16" i="1" a="1"/>
  <c r="O16" i="1" s="1"/>
  <c r="D201" i="1" l="1"/>
  <c r="O119" i="1"/>
  <c r="O118" i="1"/>
  <c r="B177" i="1"/>
  <c r="C177" i="1" s="1"/>
  <c r="G188" i="1"/>
  <c r="O188" i="1" s="1" a="1"/>
  <c r="O188" i="1" s="1"/>
  <c r="G184" i="1"/>
  <c r="O184" i="1" s="1" a="1"/>
  <c r="O184" i="1" s="1"/>
  <c r="O178" i="1"/>
  <c r="G160" i="1"/>
  <c r="O160" i="1" s="1" a="1"/>
  <c r="O160" i="1" s="1"/>
  <c r="C153" i="1"/>
  <c r="O154" i="1"/>
  <c r="B153" i="1"/>
  <c r="G164" i="1"/>
  <c r="O164" i="1" s="1" a="1"/>
  <c r="O164" i="1" s="1"/>
  <c r="G140" i="1"/>
  <c r="O140" i="1" s="1" a="1"/>
  <c r="O140" i="1" s="1"/>
  <c r="O130" i="1"/>
  <c r="G136" i="1"/>
  <c r="O136" i="1" s="1" a="1"/>
  <c r="O136" i="1" s="1"/>
  <c r="B129" i="1"/>
  <c r="O107" i="1"/>
  <c r="G111" i="1"/>
  <c r="O111" i="1" s="1"/>
  <c r="O123" i="1" s="1"/>
  <c r="O128" i="1" s="1"/>
  <c r="O101" i="1"/>
  <c r="O100" i="1"/>
  <c r="C105" i="1"/>
  <c r="O29" i="1"/>
  <c r="E11" i="1"/>
  <c r="E12" i="1"/>
  <c r="E13" i="1"/>
  <c r="E14" i="1"/>
  <c r="E15" i="1"/>
  <c r="E16" i="1"/>
  <c r="E19" i="1"/>
  <c r="E20" i="1"/>
  <c r="E10" i="1"/>
  <c r="O155" i="1" l="1"/>
  <c r="G159" i="1"/>
  <c r="O159" i="1" s="1"/>
  <c r="O171" i="1" s="1"/>
  <c r="O176" i="1" s="1"/>
  <c r="G212" i="1"/>
  <c r="O212" i="1" s="1" a="1"/>
  <c r="O212" i="1" s="1"/>
  <c r="O202" i="1"/>
  <c r="C201" i="1"/>
  <c r="G208" i="1"/>
  <c r="O208" i="1" s="1" a="1"/>
  <c r="O208" i="1" s="1"/>
  <c r="B201" i="1"/>
  <c r="G135" i="1"/>
  <c r="O135" i="1" s="1"/>
  <c r="O147" i="1" s="1"/>
  <c r="O152" i="1" s="1"/>
  <c r="O131" i="1"/>
  <c r="C129" i="1"/>
  <c r="O143" i="1"/>
  <c r="O142" i="1"/>
  <c r="O125" i="1"/>
  <c r="O124" i="1"/>
  <c r="O166" i="1"/>
  <c r="O167" i="1"/>
  <c r="O179" i="1"/>
  <c r="G183" i="1"/>
  <c r="O183" i="1" s="1"/>
  <c r="O195" i="1" s="1"/>
  <c r="O200" i="1" s="1"/>
  <c r="O191" i="1"/>
  <c r="O190" i="1"/>
  <c r="D225" i="1"/>
  <c r="G232" i="1" l="1"/>
  <c r="O232" i="1" s="1" a="1"/>
  <c r="O232" i="1" s="1"/>
  <c r="O226" i="1"/>
  <c r="G236" i="1"/>
  <c r="O236" i="1" s="1" a="1"/>
  <c r="O236" i="1" s="1"/>
  <c r="B225" i="1"/>
  <c r="D249" i="1"/>
  <c r="O173" i="1"/>
  <c r="O172" i="1"/>
  <c r="O215" i="1"/>
  <c r="O214" i="1"/>
  <c r="O196" i="1"/>
  <c r="O197" i="1"/>
  <c r="O149" i="1"/>
  <c r="O148" i="1"/>
  <c r="G207" i="1"/>
  <c r="O207" i="1" s="1"/>
  <c r="O219" i="1" s="1"/>
  <c r="O224" i="1" s="1"/>
  <c r="O203" i="1"/>
  <c r="O227" i="1" l="1"/>
  <c r="G231" i="1"/>
  <c r="O231" i="1" s="1"/>
  <c r="O243" i="1" s="1"/>
  <c r="O248" i="1" s="1"/>
  <c r="D273" i="1"/>
  <c r="O221" i="1"/>
  <c r="O220" i="1"/>
  <c r="O238" i="1"/>
  <c r="O239" i="1"/>
  <c r="B249" i="1"/>
  <c r="G260" i="1"/>
  <c r="O260" i="1" s="1" a="1"/>
  <c r="O260" i="1" s="1"/>
  <c r="O250" i="1"/>
  <c r="G256" i="1"/>
  <c r="O256" i="1" s="1" a="1"/>
  <c r="O256" i="1" s="1"/>
  <c r="C225" i="1"/>
  <c r="O263" i="1" l="1"/>
  <c r="O262" i="1"/>
  <c r="G284" i="1"/>
  <c r="O284" i="1" s="1" a="1"/>
  <c r="O284" i="1" s="1"/>
  <c r="O274" i="1"/>
  <c r="G280" i="1"/>
  <c r="O280" i="1" s="1" a="1"/>
  <c r="O280" i="1" s="1"/>
  <c r="B273" i="1"/>
  <c r="C273" i="1"/>
  <c r="D297" i="1"/>
  <c r="O245" i="1"/>
  <c r="O244" i="1"/>
  <c r="O251" i="1"/>
  <c r="G255" i="1"/>
  <c r="O255" i="1" s="1"/>
  <c r="O267" i="1" s="1"/>
  <c r="O272" i="1" s="1"/>
  <c r="C249" i="1"/>
  <c r="G304" i="1" l="1"/>
  <c r="O304" i="1" s="1" a="1"/>
  <c r="O304" i="1" s="1"/>
  <c r="B297" i="1"/>
  <c r="O298" i="1"/>
  <c r="G308" i="1"/>
  <c r="O308" i="1" s="1" a="1"/>
  <c r="O308" i="1" s="1"/>
  <c r="D321" i="1"/>
  <c r="G279" i="1"/>
  <c r="O279" i="1" s="1"/>
  <c r="O291" i="1" s="1"/>
  <c r="O296" i="1" s="1"/>
  <c r="O275" i="1"/>
  <c r="O287" i="1"/>
  <c r="O286" i="1"/>
  <c r="O268" i="1"/>
  <c r="O269" i="1"/>
  <c r="C321" i="1" l="1"/>
  <c r="B321" i="1"/>
  <c r="G332" i="1"/>
  <c r="O332" i="1" s="1" a="1"/>
  <c r="O332" i="1" s="1"/>
  <c r="O322" i="1"/>
  <c r="G328" i="1"/>
  <c r="O328" i="1" s="1" a="1"/>
  <c r="O328" i="1" s="1"/>
  <c r="D345" i="1"/>
  <c r="O299" i="1"/>
  <c r="G303" i="1"/>
  <c r="O303" i="1" s="1"/>
  <c r="O315" i="1" s="1"/>
  <c r="O320" i="1" s="1"/>
  <c r="O293" i="1"/>
  <c r="O292" i="1"/>
  <c r="O310" i="1"/>
  <c r="O311" i="1"/>
  <c r="C297" i="1"/>
  <c r="G356" i="1" l="1"/>
  <c r="O356" i="1" s="1" a="1"/>
  <c r="O356" i="1" s="1"/>
  <c r="O346" i="1"/>
  <c r="G352" i="1"/>
  <c r="O352" i="1" s="1" a="1"/>
  <c r="O352" i="1" s="1"/>
  <c r="B345" i="1"/>
  <c r="C345" i="1"/>
  <c r="D369" i="1"/>
  <c r="O335" i="1"/>
  <c r="O334" i="1"/>
  <c r="O323" i="1"/>
  <c r="G327" i="1"/>
  <c r="O327" i="1" s="1"/>
  <c r="O339" i="1" s="1"/>
  <c r="O344" i="1" s="1"/>
  <c r="O317" i="1"/>
  <c r="O316" i="1"/>
  <c r="G376" i="1" l="1"/>
  <c r="O376" i="1" s="1" a="1"/>
  <c r="O376" i="1" s="1"/>
  <c r="C369" i="1"/>
  <c r="B369" i="1"/>
  <c r="O370" i="1"/>
  <c r="G380" i="1"/>
  <c r="O380" i="1" s="1" a="1"/>
  <c r="O380" i="1" s="1"/>
  <c r="D393" i="1"/>
  <c r="G351" i="1"/>
  <c r="O351" i="1" s="1"/>
  <c r="O363" i="1" s="1"/>
  <c r="O368" i="1" s="1"/>
  <c r="O347" i="1"/>
  <c r="O340" i="1"/>
  <c r="O341" i="1"/>
  <c r="O359" i="1"/>
  <c r="O358" i="1"/>
  <c r="O365" i="1" l="1"/>
  <c r="O364" i="1"/>
  <c r="B393" i="1"/>
  <c r="G404" i="1"/>
  <c r="O404" i="1" s="1" a="1"/>
  <c r="O404" i="1" s="1"/>
  <c r="O394" i="1"/>
  <c r="G400" i="1"/>
  <c r="O400" i="1" s="1" a="1"/>
  <c r="O400" i="1" s="1"/>
  <c r="D417" i="1"/>
  <c r="O382" i="1"/>
  <c r="O383" i="1"/>
  <c r="O371" i="1"/>
  <c r="G375" i="1"/>
  <c r="O375" i="1" s="1"/>
  <c r="O387" i="1" s="1"/>
  <c r="O392" i="1" s="1"/>
  <c r="O407" i="1" l="1"/>
  <c r="O406" i="1"/>
  <c r="O395" i="1"/>
  <c r="G399" i="1"/>
  <c r="O399" i="1" s="1"/>
  <c r="O411" i="1" s="1"/>
  <c r="O416" i="1" s="1"/>
  <c r="O389" i="1"/>
  <c r="O388" i="1"/>
  <c r="C393" i="1"/>
  <c r="G424" i="1"/>
  <c r="O424" i="1" s="1" a="1"/>
  <c r="O424" i="1" s="1"/>
  <c r="O418" i="1"/>
  <c r="G428" i="1"/>
  <c r="O428" i="1" s="1" a="1"/>
  <c r="O428" i="1" s="1"/>
  <c r="B417" i="1"/>
  <c r="C417" i="1" s="1"/>
  <c r="D441" i="1"/>
  <c r="O431" i="1" l="1"/>
  <c r="O430" i="1"/>
  <c r="O419" i="1"/>
  <c r="G423" i="1"/>
  <c r="O423" i="1" s="1"/>
  <c r="O435" i="1" s="1"/>
  <c r="O440" i="1" s="1"/>
  <c r="O412" i="1"/>
  <c r="O413" i="1"/>
  <c r="B441" i="1"/>
  <c r="G452" i="1"/>
  <c r="O452" i="1" s="1" a="1"/>
  <c r="O452" i="1" s="1"/>
  <c r="G448" i="1"/>
  <c r="O448" i="1" s="1" a="1"/>
  <c r="O448" i="1" s="1"/>
  <c r="C441" i="1"/>
  <c r="O442" i="1"/>
  <c r="D465" i="1"/>
  <c r="O466" i="1" l="1"/>
  <c r="B465" i="1"/>
  <c r="C465" i="1"/>
  <c r="G476" i="1"/>
  <c r="O476" i="1" s="1" a="1"/>
  <c r="O476" i="1" s="1"/>
  <c r="G472" i="1"/>
  <c r="O472" i="1" s="1" a="1"/>
  <c r="O472" i="1" s="1"/>
  <c r="D489" i="1"/>
  <c r="O455" i="1"/>
  <c r="O454" i="1"/>
  <c r="O436" i="1"/>
  <c r="O437" i="1"/>
  <c r="O443" i="1"/>
  <c r="G447" i="1"/>
  <c r="O447" i="1" s="1"/>
  <c r="O459" i="1" s="1"/>
  <c r="O464" i="1" s="1"/>
  <c r="G496" i="1" l="1"/>
  <c r="O496" i="1" s="1" a="1"/>
  <c r="O496" i="1" s="1"/>
  <c r="O490" i="1"/>
  <c r="G500" i="1"/>
  <c r="O500" i="1" s="1" a="1"/>
  <c r="O500" i="1" s="1"/>
  <c r="B489" i="1"/>
  <c r="D513" i="1"/>
  <c r="O461" i="1"/>
  <c r="O460" i="1"/>
  <c r="O467" i="1"/>
  <c r="G471" i="1"/>
  <c r="O471" i="1" s="1"/>
  <c r="O483" i="1" s="1"/>
  <c r="O488" i="1" s="1"/>
  <c r="O478" i="1"/>
  <c r="O479" i="1"/>
  <c r="O491" i="1" l="1"/>
  <c r="G495" i="1"/>
  <c r="O495" i="1" s="1"/>
  <c r="O507" i="1" s="1"/>
  <c r="O512" i="1" s="1"/>
  <c r="O502" i="1"/>
  <c r="O503" i="1"/>
  <c r="O485" i="1"/>
  <c r="O484" i="1"/>
  <c r="C489" i="1"/>
  <c r="B513" i="1"/>
  <c r="C513" i="1" s="1"/>
  <c r="G524" i="1"/>
  <c r="O524" i="1" s="1" a="1"/>
  <c r="O524" i="1" s="1"/>
  <c r="G520" i="1"/>
  <c r="O520" i="1" s="1" a="1"/>
  <c r="O520" i="1" s="1"/>
  <c r="O514" i="1"/>
  <c r="D537" i="1"/>
  <c r="O527" i="1" l="1"/>
  <c r="O526" i="1"/>
  <c r="O508" i="1"/>
  <c r="O509" i="1"/>
  <c r="O515" i="1"/>
  <c r="G519" i="1"/>
  <c r="O519" i="1" s="1"/>
  <c r="O531" i="1" s="1"/>
  <c r="O536" i="1" s="1"/>
  <c r="O538" i="1"/>
  <c r="B537" i="1"/>
  <c r="G548" i="1"/>
  <c r="O548" i="1" s="1" a="1"/>
  <c r="O548" i="1" s="1"/>
  <c r="G544" i="1"/>
  <c r="O544" i="1" s="1" a="1"/>
  <c r="O544" i="1" s="1"/>
  <c r="C537" i="1"/>
  <c r="D561" i="1"/>
  <c r="G568" i="1" l="1"/>
  <c r="O568" i="1" s="1" a="1"/>
  <c r="O568" i="1" s="1"/>
  <c r="C561" i="1"/>
  <c r="O562" i="1"/>
  <c r="G572" i="1"/>
  <c r="O572" i="1" s="1" a="1"/>
  <c r="O572" i="1" s="1"/>
  <c r="B561" i="1"/>
  <c r="D585" i="1"/>
  <c r="O539" i="1"/>
  <c r="G543" i="1"/>
  <c r="O543" i="1" s="1"/>
  <c r="O555" i="1" s="1"/>
  <c r="O560" i="1" s="1"/>
  <c r="O532" i="1"/>
  <c r="O533" i="1"/>
  <c r="O550" i="1"/>
  <c r="O551" i="1"/>
  <c r="O557" i="1" l="1"/>
  <c r="O556" i="1"/>
  <c r="B585" i="1"/>
  <c r="G596" i="1"/>
  <c r="O596" i="1" s="1" a="1"/>
  <c r="O596" i="1" s="1"/>
  <c r="G592" i="1"/>
  <c r="O592" i="1" s="1" a="1"/>
  <c r="O592" i="1" s="1"/>
  <c r="C585" i="1"/>
  <c r="O586" i="1"/>
  <c r="D609" i="1"/>
  <c r="O563" i="1"/>
  <c r="G567" i="1"/>
  <c r="O567" i="1" s="1"/>
  <c r="O579" i="1" s="1"/>
  <c r="O584" i="1" s="1"/>
  <c r="O575" i="1"/>
  <c r="O574" i="1"/>
  <c r="O580" i="1" l="1"/>
  <c r="O581" i="1"/>
  <c r="O587" i="1"/>
  <c r="G591" i="1"/>
  <c r="O591" i="1" s="1"/>
  <c r="O603" i="1" s="1"/>
  <c r="O608" i="1" s="1"/>
  <c r="O610" i="1"/>
  <c r="B609" i="1"/>
  <c r="G620" i="1"/>
  <c r="O620" i="1" s="1" a="1"/>
  <c r="O620" i="1" s="1"/>
  <c r="G616" i="1"/>
  <c r="O616" i="1" s="1" a="1"/>
  <c r="O616" i="1" s="1"/>
  <c r="D633" i="1"/>
  <c r="O599" i="1"/>
  <c r="O598" i="1"/>
  <c r="O605" i="1" l="1"/>
  <c r="O604" i="1"/>
  <c r="O622" i="1"/>
  <c r="O623" i="1"/>
  <c r="G640" i="1"/>
  <c r="O640" i="1" s="1" a="1"/>
  <c r="O640" i="1" s="1"/>
  <c r="C633" i="1"/>
  <c r="O634" i="1"/>
  <c r="G644" i="1"/>
  <c r="O644" i="1" s="1" a="1"/>
  <c r="O644" i="1" s="1"/>
  <c r="B633" i="1"/>
  <c r="D657" i="1"/>
  <c r="O611" i="1"/>
  <c r="G615" i="1"/>
  <c r="O615" i="1" s="1"/>
  <c r="O627" i="1" s="1"/>
  <c r="O632" i="1" s="1"/>
  <c r="C609" i="1"/>
  <c r="B657" i="1" l="1"/>
  <c r="G668" i="1"/>
  <c r="O668" i="1" s="1" a="1"/>
  <c r="O668" i="1" s="1"/>
  <c r="G664" i="1"/>
  <c r="O664" i="1" s="1" a="1"/>
  <c r="O664" i="1" s="1"/>
  <c r="O658" i="1"/>
  <c r="C657" i="1"/>
  <c r="D681" i="1"/>
  <c r="O635" i="1"/>
  <c r="G639" i="1"/>
  <c r="O639" i="1" s="1"/>
  <c r="O651" i="1" s="1"/>
  <c r="O656" i="1" s="1"/>
  <c r="O629" i="1"/>
  <c r="O628" i="1"/>
  <c r="O646" i="1"/>
  <c r="O647" i="1"/>
  <c r="O682" i="1" l="1"/>
  <c r="B681" i="1"/>
  <c r="G692" i="1"/>
  <c r="O692" i="1" s="1" a="1"/>
  <c r="O692" i="1" s="1"/>
  <c r="G688" i="1"/>
  <c r="O688" i="1" s="1" a="1"/>
  <c r="O688" i="1" s="1"/>
  <c r="C681" i="1"/>
  <c r="D705" i="1"/>
  <c r="O652" i="1"/>
  <c r="O653" i="1"/>
  <c r="O671" i="1"/>
  <c r="O670" i="1"/>
  <c r="O659" i="1"/>
  <c r="G663" i="1"/>
  <c r="O663" i="1" s="1"/>
  <c r="O675" i="1" s="1"/>
  <c r="O680" i="1" s="1"/>
  <c r="G712" i="1" l="1"/>
  <c r="O712" i="1" s="1" a="1"/>
  <c r="O712" i="1" s="1"/>
  <c r="O706" i="1"/>
  <c r="G716" i="1"/>
  <c r="O716" i="1" s="1" a="1"/>
  <c r="O716" i="1" s="1"/>
  <c r="B705" i="1"/>
  <c r="D729" i="1"/>
  <c r="O676" i="1"/>
  <c r="O677" i="1"/>
  <c r="O683" i="1"/>
  <c r="G687" i="1"/>
  <c r="O687" i="1" s="1"/>
  <c r="O699" i="1" s="1"/>
  <c r="O704" i="1" s="1"/>
  <c r="O694" i="1"/>
  <c r="O695" i="1"/>
  <c r="B729" i="1" l="1"/>
  <c r="G740" i="1"/>
  <c r="O740" i="1" s="1" a="1"/>
  <c r="O740" i="1" s="1"/>
  <c r="G736" i="1"/>
  <c r="O736" i="1" s="1" a="1"/>
  <c r="O736" i="1" s="1"/>
  <c r="C729" i="1"/>
  <c r="O730" i="1"/>
  <c r="D753" i="1"/>
  <c r="O701" i="1"/>
  <c r="O700" i="1"/>
  <c r="O719" i="1"/>
  <c r="O718" i="1"/>
  <c r="O707" i="1"/>
  <c r="G711" i="1"/>
  <c r="O711" i="1" s="1"/>
  <c r="O723" i="1" s="1"/>
  <c r="O728" i="1" s="1"/>
  <c r="C705" i="1"/>
  <c r="O743" i="1" l="1"/>
  <c r="O742" i="1"/>
  <c r="O724" i="1"/>
  <c r="O725" i="1"/>
  <c r="O754" i="1"/>
  <c r="B753" i="1"/>
  <c r="G764" i="1"/>
  <c r="O764" i="1" s="1" a="1"/>
  <c r="O764" i="1" s="1"/>
  <c r="G760" i="1"/>
  <c r="O760" i="1" s="1" a="1"/>
  <c r="O760" i="1" s="1"/>
  <c r="D777" i="1"/>
  <c r="O731" i="1"/>
  <c r="G735" i="1"/>
  <c r="O735" i="1" s="1"/>
  <c r="O747" i="1" s="1"/>
  <c r="O752" i="1" s="1"/>
  <c r="G784" i="1" l="1"/>
  <c r="O784" i="1" s="1" a="1"/>
  <c r="O784" i="1" s="1"/>
  <c r="O778" i="1"/>
  <c r="G788" i="1"/>
  <c r="O788" i="1" s="1" a="1"/>
  <c r="O788" i="1" s="1"/>
  <c r="B777" i="1"/>
  <c r="D801" i="1"/>
  <c r="O755" i="1"/>
  <c r="G759" i="1"/>
  <c r="O759" i="1" s="1"/>
  <c r="O771" i="1" s="1"/>
  <c r="O776" i="1" s="1"/>
  <c r="O766" i="1"/>
  <c r="O767" i="1"/>
  <c r="O749" i="1"/>
  <c r="O748" i="1"/>
  <c r="C753" i="1"/>
  <c r="B801" i="1" l="1"/>
  <c r="G812" i="1"/>
  <c r="O812" i="1" s="1" a="1"/>
  <c r="O812" i="1" s="1"/>
  <c r="G808" i="1"/>
  <c r="O808" i="1" s="1" a="1"/>
  <c r="O808" i="1" s="1"/>
  <c r="O802" i="1"/>
  <c r="C801" i="1"/>
  <c r="D825" i="1"/>
  <c r="O779" i="1"/>
  <c r="G783" i="1"/>
  <c r="O783" i="1" s="1"/>
  <c r="O795" i="1" s="1"/>
  <c r="O800" i="1" s="1"/>
  <c r="O773" i="1"/>
  <c r="O772" i="1"/>
  <c r="O790" i="1"/>
  <c r="O791" i="1"/>
  <c r="C777" i="1"/>
  <c r="O826" i="1" l="1"/>
  <c r="B825" i="1"/>
  <c r="G836" i="1"/>
  <c r="O836" i="1" s="1" a="1"/>
  <c r="O836" i="1" s="1"/>
  <c r="G832" i="1"/>
  <c r="O832" i="1" s="1" a="1"/>
  <c r="O832" i="1" s="1"/>
  <c r="C825" i="1"/>
  <c r="D849" i="1"/>
  <c r="O796" i="1"/>
  <c r="O797" i="1"/>
  <c r="O815" i="1"/>
  <c r="O814" i="1"/>
  <c r="O803" i="1"/>
  <c r="G807" i="1"/>
  <c r="O807" i="1" s="1"/>
  <c r="O819" i="1" s="1"/>
  <c r="O824" i="1" s="1"/>
  <c r="G856" i="1" l="1"/>
  <c r="O856" i="1" s="1" a="1"/>
  <c r="O856" i="1" s="1"/>
  <c r="O850" i="1"/>
  <c r="G860" i="1"/>
  <c r="O860" i="1" s="1" a="1"/>
  <c r="O860" i="1" s="1"/>
  <c r="B849" i="1"/>
  <c r="D873" i="1"/>
  <c r="O820" i="1"/>
  <c r="O821" i="1"/>
  <c r="O827" i="1"/>
  <c r="G831" i="1"/>
  <c r="O831" i="1" s="1"/>
  <c r="O843" i="1" s="1"/>
  <c r="O848" i="1" s="1"/>
  <c r="O838" i="1"/>
  <c r="O839" i="1"/>
  <c r="O851" i="1" l="1"/>
  <c r="G855" i="1"/>
  <c r="O855" i="1" s="1"/>
  <c r="O867" i="1" s="1"/>
  <c r="O872" i="1" s="1"/>
  <c r="O863" i="1"/>
  <c r="O862" i="1"/>
  <c r="B873" i="1"/>
  <c r="G884" i="1"/>
  <c r="O884" i="1" s="1" a="1"/>
  <c r="O884" i="1" s="1"/>
  <c r="G880" i="1"/>
  <c r="O880" i="1" s="1" a="1"/>
  <c r="O880" i="1" s="1"/>
  <c r="O874" i="1"/>
  <c r="D897" i="1"/>
  <c r="O845" i="1"/>
  <c r="O844" i="1"/>
  <c r="C849" i="1"/>
  <c r="O875" i="1" l="1"/>
  <c r="G879" i="1"/>
  <c r="O879" i="1" s="1"/>
  <c r="O891" i="1" s="1"/>
  <c r="O896" i="1" s="1"/>
  <c r="O868" i="1"/>
  <c r="O869" i="1"/>
  <c r="O898" i="1"/>
  <c r="G904" i="1"/>
  <c r="O904" i="1" s="1" a="1"/>
  <c r="O904" i="1" s="1"/>
  <c r="B897" i="1"/>
  <c r="G908" i="1"/>
  <c r="O908" i="1" s="1" a="1"/>
  <c r="O908" i="1" s="1"/>
  <c r="C897" i="1"/>
  <c r="D921" i="1"/>
  <c r="O887" i="1"/>
  <c r="O886" i="1"/>
  <c r="C873" i="1"/>
  <c r="O893" i="1" l="1"/>
  <c r="O892" i="1"/>
  <c r="G928" i="1"/>
  <c r="O928" i="1" s="1" a="1"/>
  <c r="O928" i="1" s="1"/>
  <c r="B921" i="1"/>
  <c r="O922" i="1"/>
  <c r="G932" i="1"/>
  <c r="O932" i="1" s="1" a="1"/>
  <c r="O932" i="1" s="1"/>
  <c r="D945" i="1"/>
  <c r="O910" i="1"/>
  <c r="O911" i="1"/>
  <c r="O899" i="1"/>
  <c r="G903" i="1"/>
  <c r="O903" i="1" s="1"/>
  <c r="O915" i="1" s="1"/>
  <c r="O920" i="1" s="1"/>
  <c r="O923" i="1" l="1"/>
  <c r="G927" i="1"/>
  <c r="O927" i="1" s="1"/>
  <c r="O939" i="1" s="1"/>
  <c r="O944" i="1" s="1"/>
  <c r="C921" i="1"/>
  <c r="O934" i="1"/>
  <c r="O935" i="1"/>
  <c r="O917" i="1"/>
  <c r="O916" i="1"/>
  <c r="B945" i="1"/>
  <c r="G956" i="1"/>
  <c r="O956" i="1" s="1" a="1"/>
  <c r="O956" i="1" s="1"/>
  <c r="O946" i="1"/>
  <c r="G952" i="1"/>
  <c r="O952" i="1" s="1" a="1"/>
  <c r="O952" i="1" s="1"/>
  <c r="C945" i="1"/>
  <c r="O959" i="1" l="1"/>
  <c r="O958" i="1"/>
  <c r="O940" i="1"/>
  <c r="O941" i="1"/>
  <c r="O947" i="1"/>
  <c r="G951" i="1"/>
  <c r="O951" i="1" s="1"/>
  <c r="O963" i="1" s="1"/>
  <c r="O968" i="1" s="1"/>
  <c r="O964" i="1" l="1"/>
  <c r="O96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<sst xmlns="http://schemas.openxmlformats.org/spreadsheetml/2006/main" count="1914" uniqueCount="263">
  <si>
    <t>Author: Overing</t>
    <phoneticPr fontId="2" type="noConversion"/>
  </si>
  <si>
    <t>當標題是</t>
    <phoneticPr fontId="2" type="noConversion"/>
  </si>
  <si>
    <t>且選項值為</t>
    <phoneticPr fontId="2" type="noConversion"/>
  </si>
  <si>
    <t>把後面的標題設定成…</t>
    <phoneticPr fontId="2" type="noConversion"/>
  </si>
  <si>
    <r>
      <t>沒有 '#' 開頭的 Sheet 會被當作輸出 XML 的主要資料來源</t>
    </r>
    <r>
      <rPr>
        <sz val="12"/>
        <rFont val="新細明體"/>
        <family val="1"/>
        <charset val="136"/>
      </rPr>
      <t xml:space="preserve">
Sheet name 會被做為輸出的 Node name           請依需求修改
如果需要自己開空的 Sheet 整理資料使用
請在最前方加上 '#' 符號避開輸出功能</t>
    </r>
    <phoneticPr fontId="2" type="noConversion"/>
  </si>
  <si>
    <r>
      <t>#DEFINE</t>
    </r>
    <r>
      <rPr>
        <sz val="12"/>
        <rFont val="新細明體"/>
        <family val="1"/>
        <charset val="136"/>
      </rPr>
      <t xml:space="preserve"> Sheet 功能
輸出 DEFINE Node 的資料列
Head 列要有值 且 下方任一 Row 有值才會被輸出</t>
    </r>
    <phoneticPr fontId="2" type="noConversion"/>
  </si>
  <si>
    <r>
      <t>#ALIAS</t>
    </r>
    <r>
      <rPr>
        <sz val="12"/>
        <rFont val="新細明體"/>
        <family val="1"/>
        <charset val="136"/>
      </rPr>
      <t xml:space="preserve"> Sheet 功能
輸出後 主要設定 Node 的 Attribute name 對照
主要設定 Sheet 的 Head 只要能在 ALIAS Sheet 的 Row1 被找到
就會輸出 ALIAS Sheet 的 Row2 名稱到 XML
反之 有在主要設定 Sheet 裡但是 ALIAS Sheet 找不到的 Column 就不會被輸出
可以拿來做為只有在表格上看得到的註解列使用</t>
    </r>
    <phoneticPr fontId="2" type="noConversion"/>
  </si>
  <si>
    <r>
      <t>#OPTION</t>
    </r>
    <r>
      <rPr>
        <sz val="12"/>
        <rFont val="新細明體"/>
        <family val="1"/>
        <charset val="136"/>
      </rPr>
      <t xml:space="preserve"> Sheet 功能
主要 Sheet 中需要被做成選項的項目參照
Head 為有選項的選項標題
後續值就是可以選項項目列舉
(被 #PARAM Sheet 設定變更過的 Head 也有用)</t>
    </r>
    <phoneticPr fontId="2" type="noConversion"/>
  </si>
  <si>
    <t>Update Note</t>
    <phoneticPr fontId="2" type="noConversion"/>
  </si>
  <si>
    <t>2015/09/07: 調整載入 Option 方式為設定定義名稱 (解決選項不能超過 255 字 bug)</t>
    <phoneticPr fontId="2" type="noConversion"/>
  </si>
  <si>
    <t>2015/09/10: 調整輸出巨集，改善輸出耗費時間 (減半)</t>
    <phoneticPr fontId="2" type="noConversion"/>
  </si>
  <si>
    <t>輸出路徑或參考檔案</t>
    <phoneticPr fontId="2" type="noConversion"/>
  </si>
  <si>
    <r>
      <t>#OUTPUT</t>
    </r>
    <r>
      <rPr>
        <sz val="12"/>
        <rFont val="新細明體"/>
        <family val="1"/>
        <charset val="136"/>
      </rPr>
      <t xml:space="preserve"> Sheet 功能
與前一版表格功能類似 不過改成可以讀檔或路徑兩者皆可
如果是檔案 就把他開起來讀取裡面的行當 </t>
    </r>
    <r>
      <rPr>
        <sz val="12"/>
        <rFont val="新細明體"/>
        <family val="1"/>
        <charset val="136"/>
      </rPr>
      <t xml:space="preserve">xml </t>
    </r>
    <r>
      <rPr>
        <sz val="12"/>
        <rFont val="新細明體"/>
        <family val="1"/>
        <charset val="136"/>
      </rPr>
      <t>輸出路徑
如果是路徑 就直接往該路徑輸出</t>
    </r>
    <r>
      <rPr>
        <sz val="12"/>
        <rFont val="新細明體"/>
        <family val="1"/>
        <charset val="136"/>
      </rPr>
      <t xml:space="preserve"> xml</t>
    </r>
    <phoneticPr fontId="2" type="noConversion"/>
  </si>
  <si>
    <t>2015/11/03: 調整巨集
 * 輸出再加速 (已經可以跟原本的 xml scheam 版比了)
 * 輸出超過 1000 筆資料量時 Call DoEvents (解決UI卡死 讓人以為當掉的問題)
 * 縮小無法 Undo 的影響範圍
 * 註解掉 HttpPost ReloadSetting 動作</t>
    <phoneticPr fontId="2" type="noConversion"/>
  </si>
  <si>
    <r>
      <t>#PARAM</t>
    </r>
    <r>
      <rPr>
        <sz val="12"/>
        <rFont val="新細明體"/>
        <family val="1"/>
        <charset val="136"/>
      </rPr>
      <t xml:space="preserve"> Sheet 功能
主要 Sheet 中 Head 需要根據選項變化的項目
當 標題 與 其下 Cell 值符合時會替換之後的標題
</t>
    </r>
    <r>
      <rPr>
        <sz val="12"/>
        <color indexed="10"/>
        <rFont val="新細明體"/>
        <family val="1"/>
        <charset val="136"/>
      </rPr>
      <t>需要留下一列 "當沒有選值的時候要指定的標題" 復原原始的標題才能正常輸出</t>
    </r>
    <r>
      <rPr>
        <sz val="12"/>
        <rFont val="新細明體"/>
        <family val="1"/>
        <charset val="136"/>
      </rPr>
      <t xml:space="preserve">
(需要注意重疊問題 請慎用 不然會無限迴圈XD)</t>
    </r>
    <phoneticPr fontId="2" type="noConversion"/>
  </si>
  <si>
    <t>2015/11/04: 修改說明注意事項</t>
    <phoneticPr fontId="2" type="noConversion"/>
  </si>
  <si>
    <t>Version: 2019/09/17</t>
    <phoneticPr fontId="2" type="noConversion"/>
  </si>
  <si>
    <t>輸出到XML時取代成…</t>
    <phoneticPr fontId="2" type="noConversion"/>
  </si>
  <si>
    <t>且值為</t>
    <phoneticPr fontId="2" type="noConversion"/>
  </si>
  <si>
    <t>2019/09/17:
* 支援複數同前綴欄位使用 "[]" 尾綴定義 #ALIAS Sheet 將值輸出到子節點 (方便程式碼使用陣列載入)
* 支援複數同前綴欄位使用 "[]" 尾綴定義 #OPTION Sheet 一次定義所有選項下拉選單
* 支援複數同前綴欄位使用 "[]" 尾綴定義 #PARAM Sheet 一次定義所有標題置換規則
* 新增 #DEFINE Sheet 做輸出值轉換</t>
    <phoneticPr fontId="2" type="noConversion"/>
  </si>
  <si>
    <t>/</t>
    <phoneticPr fontId="2" type="noConversion"/>
  </si>
  <si>
    <t>1</t>
    <phoneticPr fontId="2" type="noConversion"/>
  </si>
  <si>
    <t>4</t>
  </si>
  <si>
    <t>5</t>
  </si>
  <si>
    <t>6</t>
    <phoneticPr fontId="2" type="noConversion"/>
  </si>
  <si>
    <t>2</t>
    <phoneticPr fontId="2" type="noConversion"/>
  </si>
  <si>
    <t>3</t>
    <phoneticPr fontId="2" type="noConversion"/>
  </si>
  <si>
    <t>類型</t>
    <phoneticPr fontId="2" type="noConversion"/>
  </si>
  <si>
    <t>Type</t>
    <phoneticPr fontId="2" type="noConversion"/>
  </si>
  <si>
    <t>物件</t>
  </si>
  <si>
    <t>速度</t>
  </si>
  <si>
    <t>移動角度</t>
  </si>
  <si>
    <t>6</t>
  </si>
  <si>
    <t>8</t>
  </si>
  <si>
    <t>10</t>
  </si>
  <si>
    <t>行動時間</t>
  </si>
  <si>
    <t>90</t>
    <phoneticPr fontId="2" type="noConversion"/>
  </si>
  <si>
    <t>ParamVals[]</t>
    <phoneticPr fontId="2" type="noConversion"/>
  </si>
  <si>
    <t>2</t>
  </si>
  <si>
    <t>3</t>
  </si>
  <si>
    <t>7</t>
  </si>
  <si>
    <t>9</t>
  </si>
  <si>
    <t>11</t>
  </si>
  <si>
    <t>12</t>
  </si>
  <si>
    <t>13</t>
  </si>
  <si>
    <t>14</t>
  </si>
  <si>
    <t>符卡</t>
  </si>
  <si>
    <t>PreLayerNo</t>
    <phoneticPr fontId="2" type="noConversion"/>
  </si>
  <si>
    <t>HP</t>
  </si>
  <si>
    <t>無敵</t>
  </si>
  <si>
    <t>BOSS</t>
  </si>
  <si>
    <t>順序</t>
    <phoneticPr fontId="2" type="noConversion"/>
  </si>
  <si>
    <t>ParamFormat</t>
    <phoneticPr fontId="2" type="noConversion"/>
  </si>
  <si>
    <t>Order</t>
    <phoneticPr fontId="2" type="noConversion"/>
  </si>
  <si>
    <t>ParamVals2</t>
  </si>
  <si>
    <t>ParamVals3</t>
  </si>
  <si>
    <t>ParamVals4</t>
  </si>
  <si>
    <t>ParamVals5</t>
  </si>
  <si>
    <t>ParamVals6</t>
  </si>
  <si>
    <t>ParamVals7</t>
  </si>
  <si>
    <t>ParamVals8</t>
  </si>
  <si>
    <t>ParamVals9</t>
  </si>
  <si>
    <t>ParamVals10</t>
  </si>
  <si>
    <t>ParamVals11</t>
  </si>
  <si>
    <t>ParamVals12</t>
  </si>
  <si>
    <t>ParamVals13</t>
  </si>
  <si>
    <t>ParamVals14</t>
  </si>
  <si>
    <t>ParamVals15</t>
  </si>
  <si>
    <t>ParamVals16</t>
  </si>
  <si>
    <t>ParamVals17</t>
  </si>
  <si>
    <t>ParamVals18</t>
  </si>
  <si>
    <t>ParamVals19</t>
  </si>
  <si>
    <t>ParamVals20</t>
  </si>
  <si>
    <t>ParamVals21</t>
  </si>
  <si>
    <t>ParamVals22</t>
  </si>
  <si>
    <t>ParamVals23</t>
  </si>
  <si>
    <t>ParamVals24</t>
  </si>
  <si>
    <t>ParamVals25</t>
  </si>
  <si>
    <t>ParamVals26</t>
  </si>
  <si>
    <t>ParamVals27</t>
  </si>
  <si>
    <t>ParamVals28</t>
  </si>
  <si>
    <t>ParamVals29</t>
  </si>
  <si>
    <t>ParamVals30</t>
  </si>
  <si>
    <t>ParamVals31</t>
  </si>
  <si>
    <t>ParamVals32</t>
  </si>
  <si>
    <t>ParamVals33</t>
  </si>
  <si>
    <t>ParamVals34</t>
  </si>
  <si>
    <t>ParamVals35</t>
  </si>
  <si>
    <t>ParamVals36</t>
  </si>
  <si>
    <t>ParamVals37</t>
  </si>
  <si>
    <t>ParamVals38</t>
  </si>
  <si>
    <t>ParamVals39</t>
  </si>
  <si>
    <t>ParamVals40</t>
  </si>
  <si>
    <t>ParamVals41</t>
  </si>
  <si>
    <t>ParamVals42</t>
  </si>
  <si>
    <t>ParamVals43</t>
  </si>
  <si>
    <t>ID</t>
  </si>
  <si>
    <t>ParamVals0</t>
    <phoneticPr fontId="2" type="noConversion"/>
  </si>
  <si>
    <t>ParamVals1</t>
  </si>
  <si>
    <t>4</t>
    <phoneticPr fontId="2" type="noConversion"/>
  </si>
  <si>
    <t>回收時間</t>
  </si>
  <si>
    <t>移位置</t>
  </si>
  <si>
    <t>玩家</t>
  </si>
  <si>
    <t>動畫</t>
  </si>
  <si>
    <t>行動ID</t>
  </si>
  <si>
    <t>玩家子彈</t>
  </si>
  <si>
    <t>標題</t>
  </si>
  <si>
    <t>對話</t>
  </si>
  <si>
    <t>傷害</t>
  </si>
  <si>
    <t>Name</t>
  </si>
  <si>
    <t>死亡時間</t>
  </si>
  <si>
    <t>最小速度</t>
  </si>
  <si>
    <t>最大速度</t>
  </si>
  <si>
    <t>BOSSDEAD</t>
  </si>
  <si>
    <t>加移動角度</t>
  </si>
  <si>
    <t>旋轉角度</t>
  </si>
  <si>
    <t>加旋轉角度</t>
  </si>
  <si>
    <t>旋轉是移動角度</t>
  </si>
  <si>
    <t>加速度</t>
  </si>
  <si>
    <t>相對位置</t>
  </si>
  <si>
    <t>貫穿</t>
  </si>
  <si>
    <t>Sprite</t>
  </si>
  <si>
    <t>時位時間</t>
  </si>
  <si>
    <t>時位位置</t>
  </si>
  <si>
    <t>時位變速點</t>
  </si>
  <si>
    <t>時位開始速度</t>
  </si>
  <si>
    <t>時位結束速度</t>
  </si>
  <si>
    <t>時位移動角度</t>
  </si>
  <si>
    <t>回收距離</t>
  </si>
  <si>
    <t>啟動依開始時間後</t>
  </si>
  <si>
    <t>啟動依結束時間前</t>
  </si>
  <si>
    <t>啟動依位置</t>
  </si>
  <si>
    <t>啟動依位置距離</t>
  </si>
  <si>
    <t>播放音樂</t>
  </si>
  <si>
    <t>關卡結束</t>
  </si>
  <si>
    <t>角度參數</t>
  </si>
  <si>
    <t>位置參數</t>
  </si>
  <si>
    <t>角度值</t>
  </si>
  <si>
    <t>角度IDs</t>
  </si>
  <si>
    <t>位置xy</t>
  </si>
  <si>
    <t>位置ID</t>
  </si>
  <si>
    <t>位置Gene</t>
  </si>
  <si>
    <t>PosParamType</t>
  </si>
  <si>
    <t>PosParamType</t>
    <phoneticPr fontId="2" type="noConversion"/>
  </si>
  <si>
    <t>AngleParamType</t>
    <phoneticPr fontId="2" type="noConversion"/>
  </si>
  <si>
    <t>新參照位置12</t>
    <phoneticPr fontId="2" type="noConversion"/>
  </si>
  <si>
    <t>啟動依ID</t>
  </si>
  <si>
    <t>Shot5_yellow</t>
  </si>
  <si>
    <t>EnemyShot5</t>
  </si>
  <si>
    <t>6</t>
    <phoneticPr fontId="2" type="noConversion"/>
  </si>
  <si>
    <t>-6</t>
    <phoneticPr fontId="2" type="noConversion"/>
  </si>
  <si>
    <t>-4.8</t>
    <phoneticPr fontId="2" type="noConversion"/>
  </si>
  <si>
    <t>180</t>
    <phoneticPr fontId="2" type="noConversion"/>
  </si>
  <si>
    <t>90</t>
    <phoneticPr fontId="2" type="noConversion"/>
  </si>
  <si>
    <t>270</t>
    <phoneticPr fontId="2" type="noConversion"/>
  </si>
  <si>
    <t>啟動依遊戲時間</t>
  </si>
  <si>
    <t>ID</t>
    <phoneticPr fontId="2" type="noConversion"/>
  </si>
  <si>
    <t>復位</t>
  </si>
  <si>
    <t>Power</t>
  </si>
  <si>
    <t>下一關</t>
  </si>
  <si>
    <t>101</t>
    <phoneticPr fontId="2" type="noConversion"/>
  </si>
  <si>
    <t>102</t>
  </si>
  <si>
    <t>103</t>
  </si>
  <si>
    <t>104</t>
  </si>
  <si>
    <t>105</t>
  </si>
  <si>
    <t>106</t>
  </si>
  <si>
    <t>啟動依玩家死亡</t>
  </si>
  <si>
    <t>107</t>
  </si>
  <si>
    <t>啟動位置是活動</t>
  </si>
  <si>
    <t>108</t>
  </si>
  <si>
    <t>201</t>
    <phoneticPr fontId="2" type="noConversion"/>
  </si>
  <si>
    <t>202</t>
  </si>
  <si>
    <t>203</t>
  </si>
  <si>
    <t>204</t>
  </si>
  <si>
    <t>205</t>
  </si>
  <si>
    <t>206</t>
  </si>
  <si>
    <t>Power掉落</t>
  </si>
  <si>
    <t>207</t>
  </si>
  <si>
    <t>加ID</t>
  </si>
  <si>
    <t>208</t>
  </si>
  <si>
    <t>301</t>
    <phoneticPr fontId="2" type="noConversion"/>
  </si>
  <si>
    <t>302</t>
  </si>
  <si>
    <t>303</t>
  </si>
  <si>
    <t>401</t>
    <phoneticPr fontId="2" type="noConversion"/>
  </si>
  <si>
    <t>402</t>
  </si>
  <si>
    <t>403</t>
  </si>
  <si>
    <t>加位置</t>
  </si>
  <si>
    <t>404</t>
  </si>
  <si>
    <t>501</t>
    <phoneticPr fontId="2" type="noConversion"/>
  </si>
  <si>
    <t>502</t>
  </si>
  <si>
    <t>503</t>
  </si>
  <si>
    <t>504</t>
  </si>
  <si>
    <t>505</t>
  </si>
  <si>
    <t>加角度</t>
  </si>
  <si>
    <t>506</t>
  </si>
  <si>
    <t>507</t>
  </si>
  <si>
    <t>601</t>
    <phoneticPr fontId="2" type="noConversion"/>
  </si>
  <si>
    <t>602</t>
  </si>
  <si>
    <t>603</t>
  </si>
  <si>
    <t>604</t>
  </si>
  <si>
    <t>是界內</t>
  </si>
  <si>
    <t>701</t>
    <phoneticPr fontId="2" type="noConversion"/>
  </si>
  <si>
    <t>702</t>
  </si>
  <si>
    <t>703</t>
  </si>
  <si>
    <t>704</t>
  </si>
  <si>
    <t>出生動畫速率</t>
  </si>
  <si>
    <t>705</t>
  </si>
  <si>
    <t>出生動畫時間</t>
  </si>
  <si>
    <t>706</t>
  </si>
  <si>
    <t>出生動畫開始</t>
  </si>
  <si>
    <t>707</t>
  </si>
  <si>
    <t>行動ID結束</t>
  </si>
  <si>
    <t>708</t>
  </si>
  <si>
    <t>801</t>
    <phoneticPr fontId="2" type="noConversion"/>
  </si>
  <si>
    <t>802</t>
  </si>
  <si>
    <t>803</t>
  </si>
  <si>
    <t>804</t>
  </si>
  <si>
    <t>805</t>
  </si>
  <si>
    <t>806</t>
  </si>
  <si>
    <t>玩家遊戲時間</t>
  </si>
  <si>
    <t>901</t>
    <phoneticPr fontId="2" type="noConversion"/>
  </si>
  <si>
    <t>玩家子彈間隔</t>
  </si>
  <si>
    <t>902</t>
  </si>
  <si>
    <t>玩家Power需求</t>
  </si>
  <si>
    <t>903</t>
  </si>
  <si>
    <t>玩家Shift</t>
  </si>
  <si>
    <t>904</t>
  </si>
  <si>
    <t>玩家子彈延遲</t>
  </si>
  <si>
    <t>905</t>
  </si>
  <si>
    <t>位置參數角距距離</t>
  </si>
  <si>
    <t>位置參數角距角度</t>
  </si>
  <si>
    <t>新參照位置</t>
  </si>
  <si>
    <t>新參照角度</t>
  </si>
  <si>
    <t>角度ID旋轉</t>
  </si>
  <si>
    <t>Self = 1,
Parent = 2,
Player = 3,
Boss = 4,
Center=5,
BossHome=6,</t>
    <phoneticPr fontId="2" type="noConversion"/>
  </si>
  <si>
    <t>新參照位置12</t>
  </si>
  <si>
    <t>符卡時間</t>
    <phoneticPr fontId="2" type="noConversion"/>
  </si>
  <si>
    <t>304</t>
  </si>
  <si>
    <t/>
  </si>
  <si>
    <t>0</t>
  </si>
  <si>
    <t>0</t>
    <phoneticPr fontId="2" type="noConversion"/>
  </si>
  <si>
    <t>90</t>
  </si>
  <si>
    <t>-6</t>
  </si>
  <si>
    <t>-4.8</t>
  </si>
  <si>
    <t>180</t>
  </si>
  <si>
    <t>270</t>
  </si>
  <si>
    <t>BOSSLEAVE</t>
    <phoneticPr fontId="2" type="noConversion"/>
  </si>
  <si>
    <t>15</t>
  </si>
  <si>
    <t>子旋轉角度</t>
    <phoneticPr fontId="2" type="noConversion"/>
  </si>
  <si>
    <t>508</t>
  </si>
  <si>
    <r>
      <rPr>
        <sz val="11"/>
        <rFont val="Microsoft JhengHei UI"/>
        <family val="3"/>
        <charset val="136"/>
      </rPr>
      <t>子</t>
    </r>
    <r>
      <rPr>
        <sz val="11"/>
        <rFont val="微軟正黑體"/>
        <family val="3"/>
        <charset val="136"/>
      </rPr>
      <t>加旋轉角度</t>
    </r>
    <phoneticPr fontId="2" type="noConversion"/>
  </si>
  <si>
    <t>509</t>
  </si>
  <si>
    <t>加旋轉角度</t>
    <phoneticPr fontId="2" type="noConversion"/>
  </si>
  <si>
    <t>記錄位置</t>
    <phoneticPr fontId="2" type="noConversion"/>
  </si>
  <si>
    <t>405</t>
  </si>
  <si>
    <t>記錄位置序號</t>
    <phoneticPr fontId="2" type="noConversion"/>
  </si>
  <si>
    <t>406</t>
  </si>
  <si>
    <t>記錄角度</t>
    <phoneticPr fontId="2" type="noConversion"/>
  </si>
  <si>
    <t>510</t>
  </si>
  <si>
    <t>511</t>
  </si>
  <si>
    <t>記錄角度ID</t>
    <phoneticPr fontId="2" type="noConversion"/>
  </si>
  <si>
    <t>角度ID記錄</t>
    <phoneticPr fontId="2" type="noConversion"/>
  </si>
  <si>
    <t>記錄位置ID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</si>
</sst>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37">
    <font>
      <sz val="12"/>
      <name val="新細明體"/>
      <family val="1"/>
      <charset val="136"/>
    </font>
    <font>
      <sz val="12"/>
      <name val="新細明體"/>
      <family val="1"/>
      <charset val="136"/>
    </font>
    <font>
      <sz val="9"/>
      <name val="新細明體"/>
      <family val="1"/>
      <charset val="136"/>
    </font>
    <font>
      <sz val="12"/>
      <color indexed="8"/>
      <name val="新細明體"/>
      <family val="1"/>
      <charset val="136"/>
    </font>
    <font>
      <sz val="12"/>
      <color indexed="9"/>
      <name val="新細明體"/>
      <family val="1"/>
      <charset val="136"/>
    </font>
    <font>
      <sz val="12"/>
      <color indexed="60"/>
      <name val="新細明體"/>
      <family val="1"/>
      <charset val="136"/>
    </font>
    <font>
      <b/>
      <sz val="12"/>
      <color indexed="8"/>
      <name val="新細明體"/>
      <family val="1"/>
      <charset val="136"/>
    </font>
    <font>
      <sz val="12"/>
      <color indexed="17"/>
      <name val="新細明體"/>
      <family val="1"/>
      <charset val="136"/>
    </font>
    <font>
      <b/>
      <sz val="12"/>
      <color indexed="52"/>
      <name val="新細明體"/>
      <family val="1"/>
      <charset val="136"/>
    </font>
    <font>
      <sz val="12"/>
      <color indexed="52"/>
      <name val="新細明體"/>
      <family val="1"/>
      <charset val="136"/>
    </font>
    <font>
      <i/>
      <sz val="12"/>
      <color indexed="23"/>
      <name val="新細明體"/>
      <family val="1"/>
      <charset val="136"/>
    </font>
    <font>
      <sz val="11"/>
      <color indexed="8"/>
      <name val="ＭＳ Ｐゴシック"/>
      <family val="2"/>
      <charset val="128"/>
    </font>
    <font>
      <sz val="11"/>
      <color indexed="8"/>
      <name val="新細明體"/>
      <family val="1"/>
      <charset val="136"/>
    </font>
    <font>
      <sz val="12"/>
      <name val="微軟正黑體"/>
      <family val="2"/>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10"/>
      <name val="新細明體"/>
      <family val="1"/>
      <charset val="136"/>
    </font>
    <font>
      <b/>
      <sz val="12"/>
      <name val="新細明體"/>
      <family val="1"/>
      <charset val="136"/>
    </font>
    <font>
      <b/>
      <sz val="12"/>
      <color theme="0"/>
      <name val="新細明體"/>
      <family val="1"/>
      <charset val="136"/>
    </font>
    <font>
      <sz val="14"/>
      <name val="細明體"/>
      <family val="1"/>
      <charset val="136"/>
    </font>
    <font>
      <sz val="12"/>
      <color theme="0"/>
      <name val="新細明體"/>
      <family val="1"/>
      <charset val="136"/>
    </font>
    <font>
      <sz val="11"/>
      <color rgb="FFCCCCCC"/>
      <name val="Consolas"/>
      <family val="3"/>
    </font>
    <font>
      <sz val="11"/>
      <color rgb="FF4FC1FF"/>
      <name val="Consolas"/>
      <family val="3"/>
    </font>
    <font>
      <sz val="14"/>
      <color theme="0"/>
      <name val="細明體"/>
      <family val="1"/>
      <charset val="136"/>
    </font>
    <font>
      <sz val="12"/>
      <name val="Microsoft JhengHei"/>
      <family val="1"/>
      <charset val="136"/>
    </font>
    <font>
      <sz val="11"/>
      <name val="Consolas"/>
      <family val="3"/>
    </font>
    <font>
      <sz val="10"/>
      <name val="新細明體"/>
      <family val="1"/>
      <charset val="136"/>
    </font>
    <font>
      <sz val="11"/>
      <name val="Microsoft JhengHei"/>
      <family val="3"/>
    </font>
    <font>
      <sz val="11"/>
      <name val="微軟正黑體"/>
      <family val="3"/>
      <charset val="136"/>
    </font>
    <font>
      <sz val="11"/>
      <name val="Microsoft JhengHei UI"/>
      <family val="3"/>
      <charset val="136"/>
    </font>
    <font>
      <sz val="11"/>
      <name val="微軟正黑體"/>
      <family val="2"/>
      <charset val="136"/>
    </font>
  </fonts>
  <fills count="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patternFill>
    </fill>
    <fill>
      <patternFill patternType="solid">
        <fgColor indexed="22"/>
      </patternFill>
    </fill>
    <fill>
      <patternFill patternType="solid">
        <fgColor indexed="26"/>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1"/>
        <bgColor indexed="64"/>
      </patternFill>
    </fill>
    <fill>
      <patternFill patternType="solid">
        <fgColor rgb="FF7030A0"/>
        <bgColor indexed="64"/>
      </patternFill>
    </fill>
    <fill>
      <patternFill patternType="solid">
        <fgColor theme="6" tint="0.79998168889431442"/>
        <bgColor indexed="64"/>
      </patternFill>
    </fill>
  </fills>
  <borders count="10">
    <border>
      <left/>
      <right/>
      <top/>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s>
  <cellStyleXfs count="64">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5" fillId="16" borderId="0" applyNumberFormat="0" applyBorder="0" applyAlignment="0" applyProtection="0">
      <alignment vertical="center"/>
    </xf>
    <xf numFmtId="0" fontId="6" fillId="0" borderId="1" applyNumberFormat="0" applyFill="0" applyAlignment="0" applyProtection="0">
      <alignment vertical="center"/>
    </xf>
    <xf numFmtId="0" fontId="7" fillId="4" borderId="0" applyNumberFormat="0" applyBorder="0" applyAlignment="0" applyProtection="0">
      <alignment vertical="center"/>
    </xf>
    <xf numFmtId="0" fontId="8" fillId="17" borderId="2" applyNumberFormat="0" applyAlignment="0" applyProtection="0">
      <alignment vertical="center"/>
    </xf>
    <xf numFmtId="0" fontId="9" fillId="0" borderId="3" applyNumberFormat="0" applyFill="0" applyAlignment="0" applyProtection="0">
      <alignment vertical="center"/>
    </xf>
    <xf numFmtId="0" fontId="1" fillId="18" borderId="4" applyNumberFormat="0" applyFont="0" applyAlignment="0" applyProtection="0">
      <alignment vertical="center"/>
    </xf>
    <xf numFmtId="0" fontId="10" fillId="0" borderId="0" applyNumberFormat="0" applyFill="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4" fillId="21"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22"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0" fontId="13" fillId="0" borderId="0">
      <alignment vertical="center"/>
    </xf>
    <xf numFmtId="0" fontId="13" fillId="0" borderId="0">
      <alignment vertical="center"/>
    </xf>
    <xf numFmtId="0" fontId="1"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 fillId="0" borderId="0"/>
    <xf numFmtId="0" fontId="1" fillId="0" borderId="0"/>
    <xf numFmtId="0" fontId="14" fillId="0" borderId="0" applyNumberFormat="0" applyFill="0" applyBorder="0" applyAlignment="0" applyProtection="0">
      <alignment vertical="center"/>
    </xf>
    <xf numFmtId="0" fontId="15" fillId="0" borderId="5" applyNumberFormat="0" applyFill="0" applyAlignment="0" applyProtection="0">
      <alignment vertical="center"/>
    </xf>
    <xf numFmtId="0" fontId="16" fillId="0" borderId="6" applyNumberFormat="0" applyFill="0" applyAlignment="0" applyProtection="0">
      <alignment vertical="center"/>
    </xf>
    <xf numFmtId="0" fontId="17" fillId="0" borderId="7" applyNumberFormat="0" applyFill="0" applyAlignment="0" applyProtection="0">
      <alignment vertical="center"/>
    </xf>
    <xf numFmtId="0" fontId="17" fillId="0" borderId="0" applyNumberFormat="0" applyFill="0" applyBorder="0" applyAlignment="0" applyProtection="0">
      <alignment vertical="center"/>
    </xf>
    <xf numFmtId="0" fontId="18" fillId="7" borderId="2" applyNumberFormat="0" applyAlignment="0" applyProtection="0">
      <alignment vertical="center"/>
    </xf>
    <xf numFmtId="0" fontId="19" fillId="17" borderId="8" applyNumberFormat="0" applyAlignment="0" applyProtection="0">
      <alignment vertical="center"/>
    </xf>
    <xf numFmtId="0" fontId="20" fillId="23" borderId="9" applyNumberFormat="0" applyAlignment="0" applyProtection="0">
      <alignment vertical="center"/>
    </xf>
    <xf numFmtId="0" fontId="21" fillId="3" borderId="0" applyNumberFormat="0" applyBorder="0" applyAlignment="0" applyProtection="0">
      <alignment vertical="center"/>
    </xf>
    <xf numFmtId="0" fontId="22" fillId="0" borderId="0" applyNumberFormat="0" applyFill="0" applyBorder="0" applyAlignment="0" applyProtection="0">
      <alignment vertical="center"/>
    </xf>
  </cellStyleXfs>
  <cellXfs count="29">
    <xf numFmtId="0" fontId="0" fillId="0" borderId="0" xfId="0">
      <alignment vertical="center"/>
    </xf>
    <xf numFmtId="0" fontId="23" fillId="0" borderId="0" xfId="0" applyFont="1">
      <alignment vertical="center"/>
    </xf>
    <xf numFmtId="0" fontId="0" fillId="0" borderId="0" xfId="0" applyAlignment="1">
      <alignment vertical="center" wrapText="1"/>
    </xf>
    <xf numFmtId="0" fontId="23" fillId="0" borderId="0" xfId="0" applyFont="1" applyAlignment="1">
      <alignment vertical="center" wrapText="1"/>
    </xf>
    <xf numFmtId="0" fontId="0" fillId="0" borderId="0" xfId="0" applyAlignment="1">
      <alignment horizontal="center" vertical="center"/>
    </xf>
    <xf numFmtId="0" fontId="24" fillId="24" borderId="0" xfId="0" applyFont="1" applyFill="1" applyAlignment="1">
      <alignment horizontal="center" vertical="center"/>
    </xf>
    <xf numFmtId="49" fontId="24" fillId="24" borderId="0" xfId="0" applyNumberFormat="1" applyFont="1" applyFill="1" applyAlignment="1">
      <alignment horizontal="center" vertical="center"/>
    </xf>
    <xf numFmtId="49" fontId="0" fillId="0" borderId="0" xfId="0" applyNumberFormat="1">
      <alignment vertical="center"/>
    </xf>
    <xf numFmtId="49" fontId="24" fillId="24" borderId="0" xfId="0" applyNumberFormat="1" applyFont="1" applyFill="1">
      <alignment vertical="center"/>
    </xf>
    <xf numFmtId="49" fontId="0" fillId="0" borderId="0" xfId="0" applyNumberFormat="1" applyAlignment="1">
      <alignment horizontal="center" vertical="center"/>
    </xf>
    <xf numFmtId="0" fontId="28" fillId="0" borderId="0" xfId="0" applyFont="1">
      <alignment vertical="center"/>
    </xf>
    <xf numFmtId="0" fontId="27" fillId="0" borderId="0" xfId="0" applyFont="1">
      <alignment vertical="center"/>
    </xf>
    <xf numFmtId="49" fontId="25" fillId="0" borderId="0" xfId="0" applyNumberFormat="1" applyFont="1" applyAlignment="1">
      <alignment horizontal="center" vertical="center"/>
    </xf>
    <xf numFmtId="49" fontId="26" fillId="25" borderId="0" xfId="0" applyNumberFormat="1" applyFont="1" applyFill="1" applyAlignment="1">
      <alignment horizontal="center" vertical="center"/>
    </xf>
    <xf numFmtId="49" fontId="0" fillId="26" borderId="0" xfId="0" applyNumberFormat="1" applyFill="1" applyAlignment="1">
      <alignment horizontal="center" vertical="center"/>
    </xf>
    <xf numFmtId="49" fontId="25" fillId="0" borderId="0" xfId="0" applyNumberFormat="1" applyFont="1" applyAlignment="1">
      <alignment horizontal="left" vertical="center"/>
    </xf>
    <xf numFmtId="49" fontId="0" fillId="0" borderId="0" xfId="0" applyNumberFormat="1" applyAlignment="1">
      <alignment horizontal="left" vertical="center"/>
    </xf>
    <xf numFmtId="49" fontId="29" fillId="24" borderId="0" xfId="0" applyNumberFormat="1" applyFont="1" applyFill="1" applyAlignment="1">
      <alignment horizontal="left" vertical="center"/>
    </xf>
    <xf numFmtId="0" fontId="30" fillId="0" borderId="0" xfId="0" applyFont="1" applyAlignment="1">
      <alignment horizontal="center" vertical="center"/>
    </xf>
    <xf numFmtId="49" fontId="26" fillId="24" borderId="0" xfId="0" applyNumberFormat="1" applyFont="1" applyFill="1" applyAlignment="1">
      <alignment horizontal="center" vertical="center"/>
    </xf>
    <xf numFmtId="0" fontId="31" fillId="0" borderId="0" xfId="0" applyFont="1">
      <alignment vertical="center"/>
    </xf>
    <xf numFmtId="176" fontId="29" fillId="24" borderId="0" xfId="0" applyNumberFormat="1" applyFont="1" applyFill="1" applyAlignment="1">
      <alignment horizontal="left" vertical="center"/>
    </xf>
    <xf numFmtId="176" fontId="0" fillId="0" borderId="0" xfId="0" applyNumberFormat="1" applyAlignment="1">
      <alignment horizontal="center" vertical="center"/>
    </xf>
    <xf numFmtId="1" fontId="0" fillId="0" borderId="0" xfId="0" applyNumberFormat="1" applyAlignment="1">
      <alignment horizontal="center" vertical="center"/>
    </xf>
    <xf numFmtId="0" fontId="32" fillId="0" borderId="0" xfId="0" applyFont="1" applyAlignment="1">
      <alignment horizontal="center" vertical="center" wrapText="1"/>
    </xf>
    <xf numFmtId="177" fontId="0" fillId="0" borderId="0" xfId="0" applyNumberFormat="1" applyAlignment="1">
      <alignment horizontal="center" vertical="center"/>
    </xf>
    <xf numFmtId="0" fontId="33" fillId="0" borderId="0" xfId="0" applyFont="1">
      <alignment vertical="center"/>
    </xf>
    <xf numFmtId="0" fontId="34" fillId="0" borderId="0" xfId="0" applyFont="1">
      <alignment vertical="center"/>
    </xf>
    <xf numFmtId="0" fontId="36" fillId="0" borderId="0" xfId="0" applyFont="1">
      <alignment vertical="center"/>
    </xf>
  </cellXfs>
  <cellStyles count="64">
    <cellStyle name="20% - 輔色1" xfId="1" builtinId="30" customBuiltin="1"/>
    <cellStyle name="20% - 輔色2" xfId="2" builtinId="34" customBuiltin="1"/>
    <cellStyle name="20% - 輔色3" xfId="3" builtinId="38" customBuiltin="1"/>
    <cellStyle name="20% - 輔色4" xfId="4" builtinId="42" customBuiltin="1"/>
    <cellStyle name="20% - 輔色5" xfId="5" builtinId="46" customBuiltin="1"/>
    <cellStyle name="20% - 輔色6" xfId="6" builtinId="50" customBuiltin="1"/>
    <cellStyle name="40% - 輔色1" xfId="7" builtinId="31" customBuiltin="1"/>
    <cellStyle name="40% - 輔色2" xfId="8" builtinId="35" customBuiltin="1"/>
    <cellStyle name="40% - 輔色3" xfId="9" builtinId="39" customBuiltin="1"/>
    <cellStyle name="40% - 輔色4" xfId="10" builtinId="43" customBuiltin="1"/>
    <cellStyle name="40% - 輔色5" xfId="11" builtinId="47" customBuiltin="1"/>
    <cellStyle name="40% - 輔色6" xfId="12" builtinId="51" customBuiltin="1"/>
    <cellStyle name="60% - 輔色1" xfId="13" builtinId="32" customBuiltin="1"/>
    <cellStyle name="60% - 輔色2" xfId="14" builtinId="36" customBuiltin="1"/>
    <cellStyle name="60% - 輔色3" xfId="15" builtinId="40" customBuiltin="1"/>
    <cellStyle name="60% - 輔色4" xfId="16" builtinId="44" customBuiltin="1"/>
    <cellStyle name="60% - 輔色5" xfId="17" builtinId="48" customBuiltin="1"/>
    <cellStyle name="60% - 輔色6" xfId="18" builtinId="52" customBuiltin="1"/>
    <cellStyle name="一般" xfId="0" builtinId="0"/>
    <cellStyle name="中等" xfId="19" builtinId="28" customBuiltin="1"/>
    <cellStyle name="合計" xfId="20" builtinId="25" customBuiltin="1"/>
    <cellStyle name="好" xfId="21" builtinId="26" customBuiltin="1"/>
    <cellStyle name="計算方式" xfId="22" builtinId="22" customBuiltin="1"/>
    <cellStyle name="連結的儲存格" xfId="23" builtinId="24" customBuiltin="1"/>
    <cellStyle name="備註" xfId="24" builtinId="10" customBuiltin="1"/>
    <cellStyle name="說明文字" xfId="25" builtinId="53" customBuiltin="1"/>
    <cellStyle name="輔色1" xfId="26" builtinId="29" customBuiltin="1"/>
    <cellStyle name="輔色2" xfId="27" builtinId="33" customBuiltin="1"/>
    <cellStyle name="輔色3" xfId="28" builtinId="37" customBuiltin="1"/>
    <cellStyle name="輔色4" xfId="29" builtinId="41" customBuiltin="1"/>
    <cellStyle name="輔色5" xfId="30" builtinId="45" customBuiltin="1"/>
    <cellStyle name="輔色6" xfId="31" builtinId="49" customBuiltin="1"/>
    <cellStyle name="標準 10" xfId="32" xr:uid="{00000000-0005-0000-0000-000021000000}"/>
    <cellStyle name="標準 11" xfId="33" xr:uid="{00000000-0005-0000-0000-000022000000}"/>
    <cellStyle name="標準 12" xfId="34" xr:uid="{00000000-0005-0000-0000-000023000000}"/>
    <cellStyle name="標準 13" xfId="35" xr:uid="{00000000-0005-0000-0000-000024000000}"/>
    <cellStyle name="標準 14" xfId="36" xr:uid="{00000000-0005-0000-0000-000025000000}"/>
    <cellStyle name="標準 19" xfId="37" xr:uid="{00000000-0005-0000-0000-000026000000}"/>
    <cellStyle name="標準 2" xfId="38" xr:uid="{00000000-0005-0000-0000-000027000000}"/>
    <cellStyle name="標準 2 2" xfId="39" xr:uid="{00000000-0005-0000-0000-000028000000}"/>
    <cellStyle name="標準 2 3" xfId="40" xr:uid="{00000000-0005-0000-0000-000029000000}"/>
    <cellStyle name="標準 2 4" xfId="41" xr:uid="{00000000-0005-0000-0000-00002A000000}"/>
    <cellStyle name="標準 2 5" xfId="42" xr:uid="{00000000-0005-0000-0000-00002B000000}"/>
    <cellStyle name="標準 2 6" xfId="43" xr:uid="{00000000-0005-0000-0000-00002C000000}"/>
    <cellStyle name="標準 3" xfId="44" xr:uid="{00000000-0005-0000-0000-00002D000000}"/>
    <cellStyle name="標準 3 2" xfId="45" xr:uid="{00000000-0005-0000-0000-00002E000000}"/>
    <cellStyle name="標準 3 3" xfId="46" xr:uid="{00000000-0005-0000-0000-00002F000000}"/>
    <cellStyle name="標準 3 4" xfId="47" xr:uid="{00000000-0005-0000-0000-000030000000}"/>
    <cellStyle name="標準 4" xfId="48" xr:uid="{00000000-0005-0000-0000-000031000000}"/>
    <cellStyle name="標準 5" xfId="49" xr:uid="{00000000-0005-0000-0000-000032000000}"/>
    <cellStyle name="標準 6" xfId="50" xr:uid="{00000000-0005-0000-0000-000033000000}"/>
    <cellStyle name="標準 7" xfId="51" xr:uid="{00000000-0005-0000-0000-000034000000}"/>
    <cellStyle name="標準 8" xfId="52" xr:uid="{00000000-0005-0000-0000-000035000000}"/>
    <cellStyle name="標準 9" xfId="53" xr:uid="{00000000-0005-0000-0000-000036000000}"/>
    <cellStyle name="標題" xfId="54" builtinId="15" customBuiltin="1"/>
    <cellStyle name="標題 1" xfId="55" builtinId="16" customBuiltin="1"/>
    <cellStyle name="標題 2" xfId="56" builtinId="17" customBuiltin="1"/>
    <cellStyle name="標題 3" xfId="57" builtinId="18" customBuiltin="1"/>
    <cellStyle name="標題 4" xfId="58" builtinId="19" customBuiltin="1"/>
    <cellStyle name="輸入" xfId="59" builtinId="20" customBuiltin="1"/>
    <cellStyle name="輸出" xfId="60" builtinId="21" customBuiltin="1"/>
    <cellStyle name="檢查儲存格" xfId="61" builtinId="23" customBuiltin="1"/>
    <cellStyle name="壞" xfId="62" builtinId="27" customBuiltin="1"/>
    <cellStyle name="警告文字" xfId="63" builtinId="11" customBuiltin="1"/>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3" tint="0.39994506668294322"/>
      </font>
      <fill>
        <patternFill patternType="none">
          <bgColor auto="1"/>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cook-win\STG%20project\Assets\Setting\Stage7_Normal\stage7_9&#32066;boss%20-%20&#31526;5&#23376;&#24392;2.xlsm" TargetMode="External"/><Relationship Id="rId1" Type="http://schemas.openxmlformats.org/officeDocument/2006/relationships/externalLinkPath" Target="stage7_9&#32066;boss%20-%20&#31526;5&#23376;&#2439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age7_card5shot2"/>
      <sheetName val="#ALIAS"/>
      <sheetName val="#DEFINE"/>
      <sheetName val="#OPTION"/>
      <sheetName val="#PARAM"/>
      <sheetName val="#OUTPUT"/>
      <sheetName val="#使用說明"/>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968"/>
  <sheetViews>
    <sheetView zoomScale="115" zoomScaleNormal="115" workbookViewId="0">
      <pane ySplit="1" topLeftCell="A5" activePane="bottomLeft" state="frozen"/>
      <selection pane="bottomLeft" activeCell="G11" sqref="G11"/>
    </sheetView>
  </sheetViews>
  <sheetFormatPr defaultRowHeight="19.5"/>
  <cols>
    <col min="1" max="4" width="4.125" style="22" customWidth="1"/>
    <col min="5" max="5" width="9" style="9"/>
    <col min="6" max="6" width="16.125" style="9" bestFit="1" customWidth="1"/>
    <col min="7" max="10" width="7.375" style="23" customWidth="1"/>
    <col min="11" max="11" width="16" style="9" customWidth="1"/>
    <col min="12" max="12" width="22.375" style="9" customWidth="1"/>
    <col min="13" max="13" width="14.625" style="9" bestFit="1" customWidth="1"/>
    <col min="14" max="14" width="12.625" style="9" bestFit="1" customWidth="1"/>
    <col min="15" max="15" width="24.375" style="23" bestFit="1" customWidth="1"/>
    <col min="16" max="16" width="16.125" style="9" bestFit="1" customWidth="1"/>
    <col min="17" max="17" width="12.625" style="9" bestFit="1" customWidth="1"/>
    <col min="18" max="18" width="13.875" style="9" bestFit="1" customWidth="1"/>
    <col min="19" max="19" width="9" style="9"/>
    <col min="20" max="20" width="8" style="9" bestFit="1" customWidth="1"/>
    <col min="21" max="21" width="9.25" style="12" bestFit="1" customWidth="1"/>
    <col min="22" max="22" width="13.875" style="9" bestFit="1" customWidth="1"/>
    <col min="23" max="23" width="13.25" style="9" bestFit="1" customWidth="1"/>
    <col min="24" max="24" width="10.5" style="12" bestFit="1" customWidth="1"/>
    <col min="25" max="25" width="16.125" style="12" bestFit="1" customWidth="1"/>
    <col min="26" max="26" width="16.125" style="12" customWidth="1"/>
    <col min="27" max="28" width="16.125" style="15" bestFit="1" customWidth="1"/>
    <col min="29" max="33" width="13.25" style="15" bestFit="1" customWidth="1"/>
    <col min="34" max="35" width="13.25" style="16" bestFit="1" customWidth="1"/>
    <col min="36" max="62" width="14.625" style="16" bestFit="1" customWidth="1"/>
    <col min="63" max="16384" width="9" style="9"/>
  </cols>
  <sheetData>
    <row r="1" spans="1:58" s="17" customFormat="1">
      <c r="A1" s="21"/>
      <c r="B1" s="21"/>
      <c r="C1" s="21"/>
      <c r="D1" s="21"/>
      <c r="E1" s="17" t="s">
        <v>51</v>
      </c>
      <c r="F1" s="19" t="s">
        <v>27</v>
      </c>
      <c r="G1" s="23"/>
      <c r="H1" s="23"/>
      <c r="I1" s="23"/>
      <c r="J1" s="23"/>
      <c r="K1" s="17" t="s">
        <v>143</v>
      </c>
      <c r="L1" s="17" t="s">
        <v>144</v>
      </c>
      <c r="M1" s="17" t="s">
        <v>52</v>
      </c>
      <c r="N1" s="6" t="s">
        <v>47</v>
      </c>
      <c r="O1" s="23" t="s">
        <v>97</v>
      </c>
      <c r="P1" s="6" t="s">
        <v>98</v>
      </c>
      <c r="Q1" s="6" t="s">
        <v>54</v>
      </c>
      <c r="R1" s="6" t="s">
        <v>55</v>
      </c>
      <c r="S1" s="6" t="s">
        <v>56</v>
      </c>
      <c r="T1" s="6" t="s">
        <v>57</v>
      </c>
      <c r="U1" s="6" t="s">
        <v>58</v>
      </c>
      <c r="V1" s="6" t="s">
        <v>59</v>
      </c>
      <c r="W1" s="6" t="s">
        <v>60</v>
      </c>
      <c r="X1" s="6" t="s">
        <v>61</v>
      </c>
      <c r="Y1" s="6" t="s">
        <v>62</v>
      </c>
      <c r="Z1" s="6" t="s">
        <v>63</v>
      </c>
      <c r="AA1" s="6" t="s">
        <v>64</v>
      </c>
      <c r="AB1" s="6" t="s">
        <v>65</v>
      </c>
      <c r="AC1" s="6" t="s">
        <v>66</v>
      </c>
      <c r="AD1" s="6" t="s">
        <v>67</v>
      </c>
      <c r="AE1" s="6" t="s">
        <v>68</v>
      </c>
      <c r="AF1" s="6" t="s">
        <v>69</v>
      </c>
      <c r="AG1" s="6" t="s">
        <v>70</v>
      </c>
      <c r="AH1" s="6" t="s">
        <v>71</v>
      </c>
      <c r="AI1" s="6" t="s">
        <v>72</v>
      </c>
      <c r="AJ1" s="6" t="s">
        <v>73</v>
      </c>
      <c r="AK1" s="6" t="s">
        <v>74</v>
      </c>
      <c r="AL1" s="6" t="s">
        <v>75</v>
      </c>
      <c r="AM1" s="6" t="s">
        <v>76</v>
      </c>
      <c r="AN1" s="6" t="s">
        <v>77</v>
      </c>
      <c r="AO1" s="6" t="s">
        <v>78</v>
      </c>
      <c r="AP1" s="6" t="s">
        <v>79</v>
      </c>
      <c r="AQ1" s="6" t="s">
        <v>80</v>
      </c>
      <c r="AR1" s="6" t="s">
        <v>81</v>
      </c>
      <c r="AS1" s="6" t="s">
        <v>82</v>
      </c>
      <c r="AT1" s="6" t="s">
        <v>83</v>
      </c>
      <c r="AU1" s="6" t="s">
        <v>84</v>
      </c>
      <c r="AV1" s="6" t="s">
        <v>85</v>
      </c>
      <c r="AW1" s="6" t="s">
        <v>86</v>
      </c>
      <c r="AX1" s="6" t="s">
        <v>87</v>
      </c>
      <c r="AY1" s="6" t="s">
        <v>88</v>
      </c>
      <c r="AZ1" s="6" t="s">
        <v>89</v>
      </c>
      <c r="BA1" s="6" t="s">
        <v>90</v>
      </c>
      <c r="BB1" s="6" t="s">
        <v>91</v>
      </c>
      <c r="BC1" s="6" t="s">
        <v>92</v>
      </c>
      <c r="BD1" s="6" t="s">
        <v>93</v>
      </c>
      <c r="BE1" s="6" t="s">
        <v>94</v>
      </c>
      <c r="BF1" s="6" t="s">
        <v>95</v>
      </c>
    </row>
    <row r="2" spans="1:58">
      <c r="E2" s="4"/>
    </row>
    <row r="3" spans="1:58">
      <c r="E3" s="4"/>
    </row>
    <row r="4" spans="1:58">
      <c r="E4" s="4"/>
    </row>
    <row r="5" spans="1:58">
      <c r="E5" s="4"/>
    </row>
    <row r="6" spans="1:58">
      <c r="E6" s="4"/>
    </row>
    <row r="7" spans="1:58">
      <c r="E7" s="4"/>
    </row>
    <row r="8" spans="1:58">
      <c r="A8" s="23">
        <f>G10*H10</f>
        <v>40</v>
      </c>
      <c r="B8" s="9"/>
      <c r="C8" s="9"/>
      <c r="D8" s="9"/>
      <c r="E8" s="4"/>
    </row>
    <row r="9" spans="1:58">
      <c r="A9" s="9" t="s">
        <v>238</v>
      </c>
      <c r="B9" s="23">
        <f>QUOTIENT( D9-1,G10)+1</f>
        <v>1</v>
      </c>
      <c r="C9" s="23">
        <f>D9-(B9-1)*G10</f>
        <v>1</v>
      </c>
      <c r="D9" s="23">
        <f>COUNT($D8:$D$8)+1</f>
        <v>1</v>
      </c>
      <c r="E9" s="4"/>
    </row>
    <row r="10" spans="1:58">
      <c r="E10" s="4">
        <f t="shared" ref="E10:E40" si="0">ROW(E10)</f>
        <v>10</v>
      </c>
      <c r="F10" s="9" t="s">
        <v>96</v>
      </c>
      <c r="G10" s="23">
        <v>8</v>
      </c>
      <c r="H10" s="23">
        <v>5</v>
      </c>
      <c r="J10" s="23">
        <v>11000</v>
      </c>
      <c r="O10" s="23">
        <f>$J$10+D9</f>
        <v>11001</v>
      </c>
    </row>
    <row r="11" spans="1:58">
      <c r="E11" s="4">
        <f t="shared" si="0"/>
        <v>11</v>
      </c>
      <c r="F11" s="9" t="s">
        <v>155</v>
      </c>
      <c r="G11" s="23">
        <v>2650</v>
      </c>
      <c r="H11" s="9" t="s">
        <v>153</v>
      </c>
      <c r="O11" s="23">
        <f>G11+H11*(B9-1)</f>
        <v>2650</v>
      </c>
    </row>
    <row r="12" spans="1:58">
      <c r="E12" s="4">
        <f t="shared" si="0"/>
        <v>12</v>
      </c>
      <c r="F12" s="9" t="s">
        <v>35</v>
      </c>
      <c r="O12" s="23">
        <v>60</v>
      </c>
    </row>
    <row r="13" spans="1:58">
      <c r="E13" s="4">
        <f t="shared" si="0"/>
        <v>13</v>
      </c>
      <c r="F13" s="9" t="s">
        <v>29</v>
      </c>
      <c r="O13" s="23" t="s">
        <v>148</v>
      </c>
    </row>
    <row r="14" spans="1:58">
      <c r="E14" s="4">
        <f t="shared" si="0"/>
        <v>14</v>
      </c>
      <c r="F14" s="9" t="s">
        <v>121</v>
      </c>
      <c r="O14" s="23" t="s">
        <v>147</v>
      </c>
    </row>
    <row r="15" spans="1:58">
      <c r="E15" s="4">
        <f t="shared" si="0"/>
        <v>15</v>
      </c>
      <c r="F15" s="9" t="s">
        <v>116</v>
      </c>
      <c r="G15" s="23" t="b">
        <f>MOD(B9,2)=0</f>
        <v>0</v>
      </c>
      <c r="H15" s="23">
        <v>-90</v>
      </c>
      <c r="I15" s="9" t="s">
        <v>36</v>
      </c>
      <c r="L15" s="9" t="s">
        <v>137</v>
      </c>
      <c r="O15" s="23" t="str">
        <f>IF(G15,$H$15,$I$15)</f>
        <v>90</v>
      </c>
    </row>
    <row r="16" spans="1:58">
      <c r="E16" s="4">
        <f t="shared" si="0"/>
        <v>16</v>
      </c>
      <c r="F16" s="9" t="s">
        <v>101</v>
      </c>
      <c r="G16" s="23">
        <f>MOD(D9-1,4)+1</f>
        <v>1</v>
      </c>
      <c r="H16" s="9"/>
      <c r="I16" s="9"/>
      <c r="J16" s="9"/>
      <c r="K16" s="9" t="s">
        <v>139</v>
      </c>
      <c r="O16" s="23" t="str" cm="1">
        <f t="array" aca="1" ref="O16" ca="1">_xlfn.SWITCH(G16, 1, G18, 2, H18, 3, I18, 4, J18)</f>
        <v>6,-4.4</v>
      </c>
    </row>
    <row r="17" spans="5:15">
      <c r="E17" s="4"/>
      <c r="G17" s="9" t="s">
        <v>149</v>
      </c>
      <c r="H17" s="9" t="s">
        <v>150</v>
      </c>
      <c r="I17" s="25">
        <v>4.8</v>
      </c>
      <c r="J17" s="9" t="s">
        <v>151</v>
      </c>
    </row>
    <row r="18" spans="5:15">
      <c r="E18" s="4"/>
      <c r="G18" s="23" t="str">
        <f ca="1">CONCATENATE($G$17,",",RANDBETWEEN($J$17*10,$I$17*10)/10)</f>
        <v>6,-4.4</v>
      </c>
      <c r="H18" s="23" t="str">
        <f ca="1">CONCATENATE($H$17,",",RANDBETWEEN($J$17*10,$I$17*10)/10)</f>
        <v>-6,-0.5</v>
      </c>
      <c r="I18" s="23" t="str">
        <f ca="1">CONCATENATE(RANDBETWEEN($J$17*10,$I$17*10)/10,",",$H$17)</f>
        <v>-3.5,-6</v>
      </c>
      <c r="J18" s="23" t="str">
        <f ca="1">CONCATENATE(RANDBETWEEN($J$17*10,$I$17*10)/10,",",$G$17)</f>
        <v>3.7,6</v>
      </c>
    </row>
    <row r="19" spans="5:15">
      <c r="E19" s="4">
        <f t="shared" si="0"/>
        <v>19</v>
      </c>
      <c r="F19" s="9" t="s">
        <v>30</v>
      </c>
      <c r="H19" s="9"/>
      <c r="J19" s="9"/>
      <c r="O19" s="23">
        <v>1.4</v>
      </c>
    </row>
    <row r="20" spans="5:15">
      <c r="E20" s="4">
        <f t="shared" si="0"/>
        <v>20</v>
      </c>
      <c r="F20" s="9" t="s">
        <v>31</v>
      </c>
      <c r="G20" s="23">
        <f>MOD(D9-1,4)+1</f>
        <v>1</v>
      </c>
      <c r="H20" s="9"/>
      <c r="I20" s="9"/>
      <c r="J20" s="9"/>
      <c r="L20" s="9" t="s">
        <v>137</v>
      </c>
      <c r="O20" s="23" t="str" cm="1">
        <f t="array" ref="O20">_xlfn.SWITCH(G20, 1, $G$21, 2, $H$21, 3, $I$21, 4, $J$21)</f>
        <v>180</v>
      </c>
    </row>
    <row r="21" spans="5:15">
      <c r="E21" s="4"/>
      <c r="G21" s="9" t="s">
        <v>152</v>
      </c>
      <c r="H21" s="23">
        <v>0</v>
      </c>
      <c r="I21" s="9" t="s">
        <v>153</v>
      </c>
      <c r="J21" s="9" t="s">
        <v>154</v>
      </c>
    </row>
    <row r="22" spans="5:15">
      <c r="E22" s="4">
        <f t="shared" si="0"/>
        <v>22</v>
      </c>
      <c r="F22" s="9" t="s">
        <v>104</v>
      </c>
      <c r="O22" s="23">
        <f>O10*10+1</f>
        <v>110011</v>
      </c>
    </row>
    <row r="23" spans="5:15">
      <c r="E23" s="4">
        <f t="shared" si="0"/>
        <v>23</v>
      </c>
      <c r="F23" s="9" t="s">
        <v>146</v>
      </c>
      <c r="O23" s="23">
        <f>O10</f>
        <v>11001</v>
      </c>
    </row>
    <row r="24" spans="5:15">
      <c r="E24" s="4">
        <f t="shared" si="0"/>
        <v>24</v>
      </c>
      <c r="F24" s="9" t="s">
        <v>130</v>
      </c>
      <c r="G24" s="9"/>
      <c r="H24" s="9"/>
      <c r="I24" s="9"/>
      <c r="J24" s="9"/>
      <c r="O24" s="23">
        <v>0</v>
      </c>
    </row>
    <row r="25" spans="5:15">
      <c r="E25" s="4">
        <f t="shared" si="0"/>
        <v>25</v>
      </c>
      <c r="F25" s="9" t="s">
        <v>35</v>
      </c>
      <c r="G25" s="23">
        <v>0</v>
      </c>
      <c r="H25" s="23">
        <v>90</v>
      </c>
      <c r="I25" s="9" t="s">
        <v>240</v>
      </c>
      <c r="J25" s="23">
        <v>0</v>
      </c>
      <c r="O25" s="23">
        <f>$H$25+IF(G25,$I$25,$J$25)</f>
        <v>90</v>
      </c>
    </row>
    <row r="26" spans="5:15">
      <c r="E26" s="4">
        <f t="shared" si="0"/>
        <v>26</v>
      </c>
      <c r="F26" s="9" t="s">
        <v>30</v>
      </c>
      <c r="O26" s="23">
        <v>0</v>
      </c>
    </row>
    <row r="27" spans="5:15">
      <c r="E27" s="4">
        <f t="shared" si="0"/>
        <v>27</v>
      </c>
      <c r="F27" s="9" t="s">
        <v>116</v>
      </c>
      <c r="L27" s="9" t="s">
        <v>137</v>
      </c>
      <c r="O27" s="23" t="str">
        <f>O15</f>
        <v>90</v>
      </c>
    </row>
    <row r="28" spans="5:15">
      <c r="E28" s="4">
        <f t="shared" si="0"/>
        <v>28</v>
      </c>
      <c r="F28" s="9" t="s">
        <v>104</v>
      </c>
      <c r="O28" s="23">
        <f>O22+1</f>
        <v>110012</v>
      </c>
    </row>
    <row r="29" spans="5:15">
      <c r="E29" s="4">
        <f t="shared" si="0"/>
        <v>29</v>
      </c>
      <c r="F29" s="9" t="s">
        <v>146</v>
      </c>
      <c r="O29" s="23">
        <f>O22</f>
        <v>110011</v>
      </c>
    </row>
    <row r="30" spans="5:15">
      <c r="E30" s="4">
        <f t="shared" si="0"/>
        <v>30</v>
      </c>
      <c r="F30" s="9" t="s">
        <v>130</v>
      </c>
      <c r="O30" s="23">
        <v>0</v>
      </c>
    </row>
    <row r="31" spans="5:15">
      <c r="E31" s="4">
        <f t="shared" si="0"/>
        <v>31</v>
      </c>
      <c r="F31" s="9" t="s">
        <v>30</v>
      </c>
      <c r="O31" s="23">
        <v>3</v>
      </c>
    </row>
    <row r="32" spans="5:15">
      <c r="E32" s="4">
        <f t="shared" si="0"/>
        <v>32</v>
      </c>
      <c r="F32" s="9" t="s">
        <v>116</v>
      </c>
      <c r="L32" s="9" t="s">
        <v>137</v>
      </c>
      <c r="O32" s="23" t="str">
        <f>O27</f>
        <v>90</v>
      </c>
    </row>
    <row r="33" spans="1:15">
      <c r="A33" s="22" t="s">
        <v>238</v>
      </c>
      <c r="B33" s="22">
        <f t="shared" ref="B33" si="1">QUOTIENT( D33-1,G34)+1</f>
        <v>1</v>
      </c>
      <c r="C33" s="22">
        <f t="shared" ref="C33" si="2">D33-(B33-1)*G34</f>
        <v>2</v>
      </c>
      <c r="D33" s="22">
        <f>COUNT($D$8:$D32)+1</f>
        <v>2</v>
      </c>
      <c r="E33" s="4"/>
    </row>
    <row r="34" spans="1:15">
      <c r="E34" s="4">
        <f t="shared" si="0"/>
        <v>34</v>
      </c>
      <c r="F34" s="9" t="s">
        <v>96</v>
      </c>
      <c r="G34" s="23">
        <v>8</v>
      </c>
      <c r="H34" s="23">
        <v>5</v>
      </c>
      <c r="J34" s="23">
        <v>11000</v>
      </c>
      <c r="O34" s="23">
        <f t="shared" ref="O34" si="3">$J$10+D33</f>
        <v>11002</v>
      </c>
    </row>
    <row r="35" spans="1:15">
      <c r="E35" s="4">
        <f t="shared" si="0"/>
        <v>35</v>
      </c>
      <c r="F35" s="9" t="s">
        <v>155</v>
      </c>
      <c r="G35" s="23">
        <v>2650</v>
      </c>
      <c r="H35" s="23" t="s">
        <v>241</v>
      </c>
      <c r="O35" s="23">
        <f t="shared" ref="O35" si="4">G35+H35*(B33-1)</f>
        <v>2650</v>
      </c>
    </row>
    <row r="36" spans="1:15">
      <c r="E36" s="4">
        <f t="shared" si="0"/>
        <v>36</v>
      </c>
      <c r="F36" s="9" t="s">
        <v>35</v>
      </c>
      <c r="O36" s="23">
        <v>60</v>
      </c>
    </row>
    <row r="37" spans="1:15">
      <c r="E37" s="4">
        <f t="shared" si="0"/>
        <v>37</v>
      </c>
      <c r="F37" s="9" t="s">
        <v>29</v>
      </c>
      <c r="O37" s="23" t="s">
        <v>148</v>
      </c>
    </row>
    <row r="38" spans="1:15">
      <c r="E38" s="4">
        <f t="shared" si="0"/>
        <v>38</v>
      </c>
      <c r="F38" s="9" t="s">
        <v>121</v>
      </c>
      <c r="O38" s="23" t="s">
        <v>147</v>
      </c>
    </row>
    <row r="39" spans="1:15">
      <c r="E39" s="4">
        <f t="shared" si="0"/>
        <v>39</v>
      </c>
      <c r="F39" s="9" t="s">
        <v>116</v>
      </c>
      <c r="G39" s="23" t="b">
        <f t="shared" ref="G39" si="5">MOD(B33,2)=0</f>
        <v>0</v>
      </c>
      <c r="H39" s="23">
        <v>-90</v>
      </c>
      <c r="I39" s="23" t="s">
        <v>241</v>
      </c>
      <c r="L39" s="9" t="s">
        <v>137</v>
      </c>
      <c r="O39" s="23" t="str">
        <f t="shared" ref="O39" si="6">IF(G39,$H$15,$I$15)</f>
        <v>90</v>
      </c>
    </row>
    <row r="40" spans="1:15">
      <c r="E40" s="4">
        <f t="shared" si="0"/>
        <v>40</v>
      </c>
      <c r="F40" s="9" t="s">
        <v>101</v>
      </c>
      <c r="G40" s="23">
        <f t="shared" ref="G40" si="7">MOD(D33-1,4)+1</f>
        <v>2</v>
      </c>
      <c r="K40" s="9" t="s">
        <v>139</v>
      </c>
      <c r="O40" s="23" t="str" cm="1">
        <f t="array" aca="1" ref="O40" ca="1">_xlfn.SWITCH(G40, 1, G42, 2, H42, 3, I42, 4, J42)</f>
        <v>-6,-0.1</v>
      </c>
    </row>
    <row r="41" spans="1:15">
      <c r="E41" s="4"/>
      <c r="G41" s="23" t="s">
        <v>32</v>
      </c>
      <c r="H41" s="23" t="s">
        <v>242</v>
      </c>
      <c r="I41" s="23">
        <v>4.8</v>
      </c>
      <c r="J41" s="23" t="s">
        <v>243</v>
      </c>
    </row>
    <row r="42" spans="1:15">
      <c r="E42" s="4"/>
      <c r="G42" s="23" t="str">
        <f t="shared" ref="G42" ca="1" si="8">CONCATENATE($G$17,",",RANDBETWEEN($J$17*10,$I$17*10)/10)</f>
        <v>6,-4.4</v>
      </c>
      <c r="H42" s="9" t="str">
        <f t="shared" ref="H42" ca="1" si="9">CONCATENATE($H$17,",",RANDBETWEEN($J$17*10,$I$17*10)/10)</f>
        <v>-6,-0.1</v>
      </c>
      <c r="I42" s="23" t="str">
        <f t="shared" ref="I42" ca="1" si="10">CONCATENATE(RANDBETWEEN($J$17*10,$I$17*10)/10,",",$H$17)</f>
        <v>-2.8,-6</v>
      </c>
      <c r="J42" s="9" t="str">
        <f t="shared" ref="J42" ca="1" si="11">CONCATENATE(RANDBETWEEN($J$17*10,$I$17*10)/10,",",$G$17)</f>
        <v>2.8,6</v>
      </c>
    </row>
    <row r="43" spans="1:15">
      <c r="E43" s="4">
        <f t="shared" ref="E43:E44" si="12">ROW(E43)</f>
        <v>43</v>
      </c>
      <c r="F43" s="9" t="s">
        <v>30</v>
      </c>
      <c r="H43" s="9"/>
      <c r="J43" s="9"/>
      <c r="O43" s="23">
        <v>1.4</v>
      </c>
    </row>
    <row r="44" spans="1:15">
      <c r="E44" s="4">
        <f t="shared" si="12"/>
        <v>44</v>
      </c>
      <c r="F44" s="9" t="s">
        <v>31</v>
      </c>
      <c r="G44" s="23">
        <f t="shared" ref="G44" si="13">MOD(D33-1,4)+1</f>
        <v>2</v>
      </c>
      <c r="L44" s="9" t="s">
        <v>137</v>
      </c>
      <c r="O44" s="23" cm="1">
        <f t="array" ref="O44">_xlfn.SWITCH(G44, 1, $G$21, 2, $H$21, 3, $I$21, 4, $J$21)</f>
        <v>0</v>
      </c>
    </row>
    <row r="45" spans="1:15">
      <c r="E45" s="4"/>
      <c r="G45" s="23" t="s">
        <v>244</v>
      </c>
      <c r="H45" s="23">
        <v>0</v>
      </c>
      <c r="I45" s="23" t="s">
        <v>241</v>
      </c>
      <c r="J45" s="23" t="s">
        <v>245</v>
      </c>
    </row>
    <row r="46" spans="1:15">
      <c r="E46" s="4">
        <f t="shared" ref="E46:E64" si="14">ROW(E46)</f>
        <v>46</v>
      </c>
      <c r="F46" s="9" t="s">
        <v>104</v>
      </c>
      <c r="G46" s="9"/>
      <c r="H46" s="9"/>
      <c r="I46" s="9"/>
      <c r="J46" s="9"/>
      <c r="O46" s="23">
        <f t="shared" ref="O46" si="15">O34*10+1</f>
        <v>110021</v>
      </c>
    </row>
    <row r="47" spans="1:15">
      <c r="E47" s="4">
        <f t="shared" si="14"/>
        <v>47</v>
      </c>
      <c r="F47" s="9" t="s">
        <v>146</v>
      </c>
      <c r="O47" s="23">
        <f t="shared" ref="O47" si="16">O34</f>
        <v>11002</v>
      </c>
    </row>
    <row r="48" spans="1:15">
      <c r="E48" s="4">
        <f t="shared" si="14"/>
        <v>48</v>
      </c>
      <c r="F48" s="9" t="s">
        <v>130</v>
      </c>
      <c r="O48" s="23">
        <v>0</v>
      </c>
    </row>
    <row r="49" spans="1:15">
      <c r="E49" s="4">
        <f t="shared" si="14"/>
        <v>49</v>
      </c>
      <c r="F49" s="9" t="s">
        <v>35</v>
      </c>
      <c r="G49" s="23">
        <v>0</v>
      </c>
      <c r="H49" s="23">
        <v>90</v>
      </c>
      <c r="I49" s="23" t="s">
        <v>239</v>
      </c>
      <c r="J49" s="23">
        <v>0</v>
      </c>
      <c r="O49" s="23">
        <f t="shared" ref="O49" si="17">$H$25+IF(G49,$I$25,$J$25)</f>
        <v>90</v>
      </c>
    </row>
    <row r="50" spans="1:15">
      <c r="E50" s="4">
        <f t="shared" si="14"/>
        <v>50</v>
      </c>
      <c r="F50" s="9" t="s">
        <v>30</v>
      </c>
      <c r="O50" s="23">
        <v>0</v>
      </c>
    </row>
    <row r="51" spans="1:15">
      <c r="E51" s="4">
        <f t="shared" si="14"/>
        <v>51</v>
      </c>
      <c r="F51" s="9" t="s">
        <v>116</v>
      </c>
      <c r="L51" s="9" t="s">
        <v>137</v>
      </c>
      <c r="O51" s="23" t="str">
        <f t="shared" ref="O51" si="18">O39</f>
        <v>90</v>
      </c>
    </row>
    <row r="52" spans="1:15">
      <c r="E52" s="4">
        <f t="shared" si="14"/>
        <v>52</v>
      </c>
      <c r="F52" s="9" t="s">
        <v>104</v>
      </c>
      <c r="O52" s="23">
        <f t="shared" ref="O52" si="19">O46+1</f>
        <v>110022</v>
      </c>
    </row>
    <row r="53" spans="1:15">
      <c r="E53" s="4">
        <f t="shared" si="14"/>
        <v>53</v>
      </c>
      <c r="F53" s="9" t="s">
        <v>146</v>
      </c>
      <c r="O53" s="23">
        <f t="shared" ref="O53" si="20">O46</f>
        <v>110021</v>
      </c>
    </row>
    <row r="54" spans="1:15">
      <c r="E54" s="4">
        <f t="shared" si="14"/>
        <v>54</v>
      </c>
      <c r="F54" s="9" t="s">
        <v>130</v>
      </c>
      <c r="O54" s="23">
        <v>0</v>
      </c>
    </row>
    <row r="55" spans="1:15">
      <c r="E55" s="4">
        <f t="shared" si="14"/>
        <v>55</v>
      </c>
      <c r="F55" s="9" t="s">
        <v>30</v>
      </c>
      <c r="O55" s="23">
        <v>3</v>
      </c>
    </row>
    <row r="56" spans="1:15">
      <c r="E56" s="4">
        <f t="shared" si="14"/>
        <v>56</v>
      </c>
      <c r="F56" s="9" t="s">
        <v>116</v>
      </c>
      <c r="L56" s="9" t="s">
        <v>137</v>
      </c>
      <c r="O56" s="23" t="str">
        <f t="shared" ref="O56" si="21">O51</f>
        <v>90</v>
      </c>
    </row>
    <row r="57" spans="1:15">
      <c r="A57" s="22" t="s">
        <v>238</v>
      </c>
      <c r="B57" s="22">
        <f t="shared" ref="B57" si="22">QUOTIENT( D57-1,G58)+1</f>
        <v>1</v>
      </c>
      <c r="C57" s="22">
        <f t="shared" ref="C57" si="23">D57-(B57-1)*G58</f>
        <v>3</v>
      </c>
      <c r="D57" s="22">
        <f>COUNT($D$8:$D56)+1</f>
        <v>3</v>
      </c>
      <c r="E57" s="4"/>
    </row>
    <row r="58" spans="1:15">
      <c r="E58" s="4">
        <f t="shared" si="14"/>
        <v>58</v>
      </c>
      <c r="F58" s="9" t="s">
        <v>96</v>
      </c>
      <c r="G58" s="23">
        <v>8</v>
      </c>
      <c r="H58" s="23">
        <v>5</v>
      </c>
      <c r="J58" s="23">
        <v>11000</v>
      </c>
      <c r="O58" s="23">
        <f t="shared" ref="O58" si="24">$J$10+D57</f>
        <v>11003</v>
      </c>
    </row>
    <row r="59" spans="1:15">
      <c r="E59" s="4">
        <f t="shared" si="14"/>
        <v>59</v>
      </c>
      <c r="F59" s="9" t="s">
        <v>155</v>
      </c>
      <c r="G59" s="23">
        <v>2650</v>
      </c>
      <c r="H59" s="23" t="s">
        <v>241</v>
      </c>
      <c r="O59" s="23">
        <f t="shared" ref="O59" si="25">G59+H59*(B57-1)</f>
        <v>2650</v>
      </c>
    </row>
    <row r="60" spans="1:15">
      <c r="E60" s="4">
        <f t="shared" si="14"/>
        <v>60</v>
      </c>
      <c r="F60" s="9" t="s">
        <v>35</v>
      </c>
      <c r="O60" s="23">
        <v>60</v>
      </c>
    </row>
    <row r="61" spans="1:15">
      <c r="E61" s="4">
        <f t="shared" si="14"/>
        <v>61</v>
      </c>
      <c r="F61" s="9" t="s">
        <v>29</v>
      </c>
      <c r="O61" s="23" t="s">
        <v>148</v>
      </c>
    </row>
    <row r="62" spans="1:15">
      <c r="E62" s="4">
        <f t="shared" si="14"/>
        <v>62</v>
      </c>
      <c r="F62" s="9" t="s">
        <v>121</v>
      </c>
      <c r="O62" s="23" t="s">
        <v>147</v>
      </c>
    </row>
    <row r="63" spans="1:15">
      <c r="E63" s="4">
        <f t="shared" si="14"/>
        <v>63</v>
      </c>
      <c r="F63" s="9" t="s">
        <v>116</v>
      </c>
      <c r="G63" s="23" t="b">
        <f t="shared" ref="G63" si="26">MOD(B57,2)=0</f>
        <v>0</v>
      </c>
      <c r="H63" s="23">
        <v>-90</v>
      </c>
      <c r="I63" s="23" t="s">
        <v>241</v>
      </c>
      <c r="L63" s="9" t="s">
        <v>137</v>
      </c>
      <c r="O63" s="23" t="str">
        <f t="shared" ref="O63" si="27">IF(G63,$H$15,$I$15)</f>
        <v>90</v>
      </c>
    </row>
    <row r="64" spans="1:15">
      <c r="E64" s="4">
        <f t="shared" si="14"/>
        <v>64</v>
      </c>
      <c r="F64" s="9" t="s">
        <v>101</v>
      </c>
      <c r="G64" s="23">
        <f t="shared" ref="G64" si="28">MOD(D57-1,4)+1</f>
        <v>3</v>
      </c>
      <c r="K64" s="9" t="s">
        <v>139</v>
      </c>
      <c r="O64" s="23" t="str" cm="1">
        <f t="array" aca="1" ref="O64" ca="1">_xlfn.SWITCH(G64, 1, G66, 2, H66, 3, I66, 4, J66)</f>
        <v>-1,-6</v>
      </c>
    </row>
    <row r="65" spans="5:15">
      <c r="E65" s="4"/>
      <c r="G65" s="23" t="s">
        <v>32</v>
      </c>
      <c r="H65" s="9" t="s">
        <v>242</v>
      </c>
      <c r="I65" s="23">
        <v>4.8</v>
      </c>
      <c r="J65" s="9" t="s">
        <v>243</v>
      </c>
    </row>
    <row r="66" spans="5:15">
      <c r="E66" s="4"/>
      <c r="G66" s="23" t="str">
        <f t="shared" ref="G66" ca="1" si="29">CONCATENATE($G$17,",",RANDBETWEEN($J$17*10,$I$17*10)/10)</f>
        <v>6,-4.7</v>
      </c>
      <c r="H66" s="9" t="str">
        <f t="shared" ref="H66" ca="1" si="30">CONCATENATE($H$17,",",RANDBETWEEN($J$17*10,$I$17*10)/10)</f>
        <v>-6,-3.4</v>
      </c>
      <c r="I66" s="23" t="str">
        <f t="shared" ref="I66" ca="1" si="31">CONCATENATE(RANDBETWEEN($J$17*10,$I$17*10)/10,",",$H$17)</f>
        <v>-1,-6</v>
      </c>
      <c r="J66" s="9" t="str">
        <f t="shared" ref="J66" ca="1" si="32">CONCATENATE(RANDBETWEEN($J$17*10,$I$17*10)/10,",",$G$17)</f>
        <v>3.7,6</v>
      </c>
    </row>
    <row r="67" spans="5:15">
      <c r="E67" s="4">
        <f t="shared" ref="E67:E68" si="33">ROW(E67)</f>
        <v>67</v>
      </c>
      <c r="F67" s="9" t="s">
        <v>30</v>
      </c>
      <c r="O67" s="23">
        <v>1.4</v>
      </c>
    </row>
    <row r="68" spans="5:15">
      <c r="E68" s="4">
        <f t="shared" si="33"/>
        <v>68</v>
      </c>
      <c r="F68" s="9" t="s">
        <v>31</v>
      </c>
      <c r="G68" s="23">
        <f t="shared" ref="G68" si="34">MOD(D57-1,4)+1</f>
        <v>3</v>
      </c>
      <c r="L68" s="9" t="s">
        <v>137</v>
      </c>
      <c r="O68" s="23" t="str" cm="1">
        <f t="array" ref="O68">_xlfn.SWITCH(G68, 1, $G$21, 2, $H$21, 3, $I$21, 4, $J$21)</f>
        <v>90</v>
      </c>
    </row>
    <row r="69" spans="5:15">
      <c r="E69" s="4"/>
      <c r="G69" s="9" t="s">
        <v>244</v>
      </c>
      <c r="H69" s="9">
        <v>0</v>
      </c>
      <c r="I69" s="9" t="s">
        <v>241</v>
      </c>
      <c r="J69" s="9" t="s">
        <v>245</v>
      </c>
    </row>
    <row r="70" spans="5:15">
      <c r="E70" s="4">
        <f t="shared" ref="E70:E88" si="35">ROW(E70)</f>
        <v>70</v>
      </c>
      <c r="F70" s="9" t="s">
        <v>104</v>
      </c>
      <c r="O70" s="23">
        <f t="shared" ref="O70" si="36">O58*10+1</f>
        <v>110031</v>
      </c>
    </row>
    <row r="71" spans="5:15">
      <c r="E71" s="4">
        <f t="shared" si="35"/>
        <v>71</v>
      </c>
      <c r="F71" s="9" t="s">
        <v>146</v>
      </c>
      <c r="O71" s="23">
        <f t="shared" ref="O71" si="37">O58</f>
        <v>11003</v>
      </c>
    </row>
    <row r="72" spans="5:15">
      <c r="E72" s="4">
        <f t="shared" si="35"/>
        <v>72</v>
      </c>
      <c r="F72" s="9" t="s">
        <v>130</v>
      </c>
      <c r="O72" s="23">
        <v>0</v>
      </c>
    </row>
    <row r="73" spans="5:15">
      <c r="E73" s="4">
        <f t="shared" si="35"/>
        <v>73</v>
      </c>
      <c r="F73" s="9" t="s">
        <v>35</v>
      </c>
      <c r="G73" s="23">
        <v>0</v>
      </c>
      <c r="H73" s="23">
        <v>90</v>
      </c>
      <c r="I73" s="23" t="s">
        <v>239</v>
      </c>
      <c r="J73" s="23">
        <v>0</v>
      </c>
      <c r="O73" s="23">
        <f t="shared" ref="O73" si="38">$H$25+IF(G73,$I$25,$J$25)</f>
        <v>90</v>
      </c>
    </row>
    <row r="74" spans="5:15">
      <c r="E74" s="4">
        <f t="shared" si="35"/>
        <v>74</v>
      </c>
      <c r="F74" s="9" t="s">
        <v>30</v>
      </c>
      <c r="O74" s="23">
        <v>0</v>
      </c>
    </row>
    <row r="75" spans="5:15">
      <c r="E75" s="4">
        <f t="shared" si="35"/>
        <v>75</v>
      </c>
      <c r="F75" s="9" t="s">
        <v>116</v>
      </c>
      <c r="L75" s="9" t="s">
        <v>137</v>
      </c>
      <c r="O75" s="23" t="str">
        <f t="shared" ref="O75" si="39">O63</f>
        <v>90</v>
      </c>
    </row>
    <row r="76" spans="5:15">
      <c r="E76" s="4">
        <f t="shared" si="35"/>
        <v>76</v>
      </c>
      <c r="F76" s="9" t="s">
        <v>104</v>
      </c>
      <c r="O76" s="23">
        <f t="shared" ref="O76" si="40">O70+1</f>
        <v>110032</v>
      </c>
    </row>
    <row r="77" spans="5:15">
      <c r="E77" s="4">
        <f t="shared" si="35"/>
        <v>77</v>
      </c>
      <c r="F77" s="9" t="s">
        <v>146</v>
      </c>
      <c r="O77" s="23">
        <f t="shared" ref="O77" si="41">O70</f>
        <v>110031</v>
      </c>
    </row>
    <row r="78" spans="5:15">
      <c r="E78" s="4">
        <f t="shared" si="35"/>
        <v>78</v>
      </c>
      <c r="F78" s="9" t="s">
        <v>130</v>
      </c>
      <c r="O78" s="23">
        <v>0</v>
      </c>
    </row>
    <row r="79" spans="5:15">
      <c r="E79" s="4">
        <f t="shared" si="35"/>
        <v>79</v>
      </c>
      <c r="F79" s="9" t="s">
        <v>30</v>
      </c>
      <c r="O79" s="23">
        <v>3</v>
      </c>
    </row>
    <row r="80" spans="5:15">
      <c r="E80" s="4">
        <f t="shared" si="35"/>
        <v>80</v>
      </c>
      <c r="F80" s="9" t="s">
        <v>116</v>
      </c>
      <c r="L80" s="9" t="s">
        <v>137</v>
      </c>
      <c r="O80" s="23" t="str">
        <f t="shared" ref="O80" si="42">O75</f>
        <v>90</v>
      </c>
    </row>
    <row r="81" spans="1:15">
      <c r="A81" s="22" t="s">
        <v>238</v>
      </c>
      <c r="B81" s="22">
        <f t="shared" ref="B81" si="43">QUOTIENT( D81-1,G82)+1</f>
        <v>1</v>
      </c>
      <c r="C81" s="22">
        <f t="shared" ref="C81" si="44">D81-(B81-1)*G82</f>
        <v>4</v>
      </c>
      <c r="D81" s="22">
        <f>COUNT($D$8:$D80)+1</f>
        <v>4</v>
      </c>
      <c r="E81" s="4"/>
    </row>
    <row r="82" spans="1:15">
      <c r="E82" s="4">
        <f t="shared" si="35"/>
        <v>82</v>
      </c>
      <c r="F82" s="9" t="s">
        <v>96</v>
      </c>
      <c r="G82" s="23">
        <v>8</v>
      </c>
      <c r="H82" s="23">
        <v>5</v>
      </c>
      <c r="J82" s="23">
        <v>11000</v>
      </c>
      <c r="O82" s="23">
        <f t="shared" ref="O82" si="45">$J$10+D81</f>
        <v>11004</v>
      </c>
    </row>
    <row r="83" spans="1:15">
      <c r="E83" s="4">
        <f t="shared" si="35"/>
        <v>83</v>
      </c>
      <c r="F83" s="9" t="s">
        <v>155</v>
      </c>
      <c r="G83" s="23">
        <v>2650</v>
      </c>
      <c r="H83" s="23" t="s">
        <v>241</v>
      </c>
      <c r="O83" s="23">
        <f t="shared" ref="O83" si="46">G83+H83*(B81-1)</f>
        <v>2650</v>
      </c>
    </row>
    <row r="84" spans="1:15">
      <c r="E84" s="4">
        <f t="shared" si="35"/>
        <v>84</v>
      </c>
      <c r="F84" s="9" t="s">
        <v>35</v>
      </c>
      <c r="O84" s="23">
        <v>60</v>
      </c>
    </row>
    <row r="85" spans="1:15">
      <c r="E85" s="4">
        <f t="shared" si="35"/>
        <v>85</v>
      </c>
      <c r="F85" s="9" t="s">
        <v>29</v>
      </c>
      <c r="O85" s="23" t="s">
        <v>148</v>
      </c>
    </row>
    <row r="86" spans="1:15">
      <c r="E86" s="4">
        <f t="shared" si="35"/>
        <v>86</v>
      </c>
      <c r="F86" s="9" t="s">
        <v>121</v>
      </c>
      <c r="O86" s="23" t="s">
        <v>147</v>
      </c>
    </row>
    <row r="87" spans="1:15">
      <c r="E87" s="4">
        <f t="shared" si="35"/>
        <v>87</v>
      </c>
      <c r="F87" s="9" t="s">
        <v>116</v>
      </c>
      <c r="G87" s="23" t="b">
        <f t="shared" ref="G87" si="47">MOD(B81,2)=0</f>
        <v>0</v>
      </c>
      <c r="H87" s="23">
        <v>-90</v>
      </c>
      <c r="I87" s="23" t="s">
        <v>241</v>
      </c>
      <c r="L87" s="9" t="s">
        <v>137</v>
      </c>
      <c r="O87" s="23" t="str">
        <f t="shared" ref="O87" si="48">IF(G87,$H$15,$I$15)</f>
        <v>90</v>
      </c>
    </row>
    <row r="88" spans="1:15">
      <c r="E88" s="4">
        <f t="shared" si="35"/>
        <v>88</v>
      </c>
      <c r="F88" s="9" t="s">
        <v>101</v>
      </c>
      <c r="G88" s="23">
        <f t="shared" ref="G88" si="49">MOD(D81-1,4)+1</f>
        <v>4</v>
      </c>
      <c r="H88" s="9"/>
      <c r="J88" s="9"/>
      <c r="K88" s="9" t="s">
        <v>139</v>
      </c>
      <c r="O88" s="23" t="str" cm="1">
        <f t="array" aca="1" ref="O88" ca="1">_xlfn.SWITCH(G88, 1, G90, 2, H90, 3, I90, 4, J90)</f>
        <v>-1.1,6</v>
      </c>
    </row>
    <row r="89" spans="1:15">
      <c r="E89" s="4"/>
      <c r="G89" s="23" t="s">
        <v>32</v>
      </c>
      <c r="H89" s="9" t="s">
        <v>242</v>
      </c>
      <c r="I89" s="23">
        <v>4.8</v>
      </c>
      <c r="J89" s="9" t="s">
        <v>243</v>
      </c>
    </row>
    <row r="90" spans="1:15">
      <c r="E90" s="4"/>
      <c r="G90" s="23" t="str">
        <f t="shared" ref="G90" ca="1" si="50">CONCATENATE($G$17,",",RANDBETWEEN($J$17*10,$I$17*10)/10)</f>
        <v>6,-2.6</v>
      </c>
      <c r="H90" s="23" t="str">
        <f t="shared" ref="H90" ca="1" si="51">CONCATENATE($H$17,",",RANDBETWEEN($J$17*10,$I$17*10)/10)</f>
        <v>-6,3</v>
      </c>
      <c r="I90" s="23" t="str">
        <f t="shared" ref="I90" ca="1" si="52">CONCATENATE(RANDBETWEEN($J$17*10,$I$17*10)/10,",",$H$17)</f>
        <v>-1,-6</v>
      </c>
      <c r="J90" s="23" t="str">
        <f t="shared" ref="J90" ca="1" si="53">CONCATENATE(RANDBETWEEN($J$17*10,$I$17*10)/10,",",$G$17)</f>
        <v>-1.1,6</v>
      </c>
    </row>
    <row r="91" spans="1:15">
      <c r="E91" s="4">
        <f t="shared" ref="E91:E92" si="54">ROW(E91)</f>
        <v>91</v>
      </c>
      <c r="F91" s="9" t="s">
        <v>30</v>
      </c>
      <c r="O91" s="23">
        <v>1.4</v>
      </c>
    </row>
    <row r="92" spans="1:15">
      <c r="E92" s="4">
        <f t="shared" si="54"/>
        <v>92</v>
      </c>
      <c r="F92" s="9" t="s">
        <v>31</v>
      </c>
      <c r="G92" s="9">
        <f t="shared" ref="G92" si="55">MOD(D81-1,4)+1</f>
        <v>4</v>
      </c>
      <c r="H92" s="9"/>
      <c r="I92" s="9"/>
      <c r="J92" s="9"/>
      <c r="L92" s="9" t="s">
        <v>137</v>
      </c>
      <c r="O92" s="23" t="str" cm="1">
        <f t="array" ref="O92">_xlfn.SWITCH(G92, 1, $G$21, 2, $H$21, 3, $I$21, 4, $J$21)</f>
        <v>270</v>
      </c>
    </row>
    <row r="93" spans="1:15">
      <c r="E93" s="4"/>
      <c r="G93" s="23" t="s">
        <v>244</v>
      </c>
      <c r="H93" s="23">
        <v>0</v>
      </c>
      <c r="I93" s="23" t="s">
        <v>241</v>
      </c>
      <c r="J93" s="23" t="s">
        <v>245</v>
      </c>
    </row>
    <row r="94" spans="1:15">
      <c r="E94" s="4">
        <f t="shared" ref="E94:E112" si="56">ROW(E94)</f>
        <v>94</v>
      </c>
      <c r="F94" s="9" t="s">
        <v>104</v>
      </c>
      <c r="O94" s="23">
        <f t="shared" ref="O94" si="57">O82*10+1</f>
        <v>110041</v>
      </c>
    </row>
    <row r="95" spans="1:15">
      <c r="E95" s="4">
        <f t="shared" si="56"/>
        <v>95</v>
      </c>
      <c r="F95" s="9" t="s">
        <v>146</v>
      </c>
      <c r="O95" s="23">
        <f t="shared" ref="O95" si="58">O82</f>
        <v>11004</v>
      </c>
    </row>
    <row r="96" spans="1:15">
      <c r="E96" s="4">
        <f t="shared" si="56"/>
        <v>96</v>
      </c>
      <c r="F96" s="9" t="s">
        <v>130</v>
      </c>
      <c r="O96" s="23">
        <v>0</v>
      </c>
    </row>
    <row r="97" spans="1:15">
      <c r="E97" s="4">
        <f t="shared" si="56"/>
        <v>97</v>
      </c>
      <c r="F97" s="9" t="s">
        <v>35</v>
      </c>
      <c r="G97" s="23">
        <v>0</v>
      </c>
      <c r="H97" s="23">
        <v>90</v>
      </c>
      <c r="I97" s="23" t="s">
        <v>239</v>
      </c>
      <c r="J97" s="23">
        <v>0</v>
      </c>
      <c r="O97" s="23">
        <f t="shared" ref="O97" si="59">$H$25+IF(G97,$I$25,$J$25)</f>
        <v>90</v>
      </c>
    </row>
    <row r="98" spans="1:15">
      <c r="E98" s="4">
        <f t="shared" si="56"/>
        <v>98</v>
      </c>
      <c r="F98" s="9" t="s">
        <v>30</v>
      </c>
      <c r="O98" s="23">
        <v>0</v>
      </c>
    </row>
    <row r="99" spans="1:15">
      <c r="E99" s="4">
        <f t="shared" si="56"/>
        <v>99</v>
      </c>
      <c r="F99" s="9" t="s">
        <v>116</v>
      </c>
      <c r="L99" s="9" t="s">
        <v>137</v>
      </c>
      <c r="O99" s="23" t="str">
        <f t="shared" ref="O99" si="60">O87</f>
        <v>90</v>
      </c>
    </row>
    <row r="100" spans="1:15">
      <c r="E100" s="4">
        <f t="shared" si="56"/>
        <v>100</v>
      </c>
      <c r="F100" s="9" t="s">
        <v>104</v>
      </c>
      <c r="O100" s="23">
        <f t="shared" ref="O100" si="61">O94+1</f>
        <v>110042</v>
      </c>
    </row>
    <row r="101" spans="1:15">
      <c r="E101" s="4">
        <f t="shared" si="56"/>
        <v>101</v>
      </c>
      <c r="F101" s="9" t="s">
        <v>146</v>
      </c>
      <c r="O101" s="23">
        <f t="shared" ref="O101" si="62">O94</f>
        <v>110041</v>
      </c>
    </row>
    <row r="102" spans="1:15">
      <c r="E102" s="4">
        <f t="shared" si="56"/>
        <v>102</v>
      </c>
      <c r="F102" s="9" t="s">
        <v>130</v>
      </c>
      <c r="O102" s="23">
        <v>0</v>
      </c>
    </row>
    <row r="103" spans="1:15">
      <c r="E103" s="4">
        <f t="shared" si="56"/>
        <v>103</v>
      </c>
      <c r="F103" s="9" t="s">
        <v>30</v>
      </c>
      <c r="O103" s="23">
        <v>3</v>
      </c>
    </row>
    <row r="104" spans="1:15">
      <c r="E104" s="4">
        <f t="shared" si="56"/>
        <v>104</v>
      </c>
      <c r="F104" s="9" t="s">
        <v>116</v>
      </c>
      <c r="L104" s="9" t="s">
        <v>137</v>
      </c>
      <c r="O104" s="23" t="str">
        <f t="shared" ref="O104" si="63">O99</f>
        <v>90</v>
      </c>
    </row>
    <row r="105" spans="1:15">
      <c r="A105" s="22" t="s">
        <v>238</v>
      </c>
      <c r="B105" s="22">
        <f t="shared" ref="B105" si="64">QUOTIENT( D105-1,G106)+1</f>
        <v>1</v>
      </c>
      <c r="C105" s="22">
        <f t="shared" ref="C105" si="65">D105-(B105-1)*G106</f>
        <v>5</v>
      </c>
      <c r="D105" s="22">
        <f>COUNT($D$8:$D104)+1</f>
        <v>5</v>
      </c>
      <c r="E105" s="4"/>
    </row>
    <row r="106" spans="1:15">
      <c r="E106" s="4">
        <f t="shared" si="56"/>
        <v>106</v>
      </c>
      <c r="F106" s="9" t="s">
        <v>96</v>
      </c>
      <c r="G106" s="23">
        <v>8</v>
      </c>
      <c r="H106" s="23">
        <v>5</v>
      </c>
      <c r="J106" s="23">
        <v>11000</v>
      </c>
      <c r="O106" s="23">
        <f t="shared" ref="O106" si="66">$J$10+D105</f>
        <v>11005</v>
      </c>
    </row>
    <row r="107" spans="1:15">
      <c r="E107" s="4">
        <f t="shared" si="56"/>
        <v>107</v>
      </c>
      <c r="F107" s="9" t="s">
        <v>155</v>
      </c>
      <c r="G107" s="23">
        <v>2650</v>
      </c>
      <c r="H107" s="23" t="s">
        <v>241</v>
      </c>
      <c r="O107" s="23">
        <f t="shared" ref="O107" si="67">G107+H107*(B105-1)</f>
        <v>2650</v>
      </c>
    </row>
    <row r="108" spans="1:15">
      <c r="E108" s="4">
        <f t="shared" si="56"/>
        <v>108</v>
      </c>
      <c r="F108" s="9" t="s">
        <v>35</v>
      </c>
      <c r="O108" s="23">
        <v>60</v>
      </c>
    </row>
    <row r="109" spans="1:15">
      <c r="E109" s="4">
        <f t="shared" si="56"/>
        <v>109</v>
      </c>
      <c r="F109" s="9" t="s">
        <v>29</v>
      </c>
      <c r="O109" s="23" t="s">
        <v>148</v>
      </c>
    </row>
    <row r="110" spans="1:15">
      <c r="E110" s="4">
        <f t="shared" si="56"/>
        <v>110</v>
      </c>
      <c r="F110" s="9" t="s">
        <v>121</v>
      </c>
      <c r="O110" s="23" t="s">
        <v>147</v>
      </c>
    </row>
    <row r="111" spans="1:15">
      <c r="E111" s="4">
        <f t="shared" si="56"/>
        <v>111</v>
      </c>
      <c r="F111" s="9" t="s">
        <v>116</v>
      </c>
      <c r="G111" s="23" t="b">
        <f t="shared" ref="G111" si="68">MOD(B105,2)=0</f>
        <v>0</v>
      </c>
      <c r="H111" s="9">
        <v>-90</v>
      </c>
      <c r="I111" s="23" t="s">
        <v>241</v>
      </c>
      <c r="J111" s="9"/>
      <c r="L111" s="9" t="s">
        <v>137</v>
      </c>
      <c r="O111" s="23" t="str">
        <f t="shared" ref="O111" si="69">IF(G111,$H$15,$I$15)</f>
        <v>90</v>
      </c>
    </row>
    <row r="112" spans="1:15">
      <c r="E112" s="4">
        <f t="shared" si="56"/>
        <v>112</v>
      </c>
      <c r="F112" s="9" t="s">
        <v>101</v>
      </c>
      <c r="G112" s="23">
        <f t="shared" ref="G112" si="70">MOD(D105-1,4)+1</f>
        <v>1</v>
      </c>
      <c r="H112" s="9"/>
      <c r="J112" s="9"/>
      <c r="K112" s="9" t="s">
        <v>139</v>
      </c>
      <c r="O112" s="23" t="str" cm="1">
        <f t="array" aca="1" ref="O112" ca="1">_xlfn.SWITCH(G112, 1, G114, 2, H114, 3, I114, 4, J114)</f>
        <v>6,-4.6</v>
      </c>
    </row>
    <row r="113" spans="5:15">
      <c r="E113" s="4"/>
      <c r="G113" s="23" t="s">
        <v>32</v>
      </c>
      <c r="H113" s="23" t="s">
        <v>242</v>
      </c>
      <c r="I113" s="23">
        <v>4.8</v>
      </c>
      <c r="J113" s="23" t="s">
        <v>243</v>
      </c>
    </row>
    <row r="114" spans="5:15">
      <c r="E114" s="4"/>
      <c r="G114" s="23" t="str">
        <f t="shared" ref="G114" ca="1" si="71">CONCATENATE($G$17,",",RANDBETWEEN($J$17*10,$I$17*10)/10)</f>
        <v>6,-4.6</v>
      </c>
      <c r="H114" s="23" t="str">
        <f t="shared" ref="H114" ca="1" si="72">CONCATENATE($H$17,",",RANDBETWEEN($J$17*10,$I$17*10)/10)</f>
        <v>-6,-3</v>
      </c>
      <c r="I114" s="23" t="str">
        <f t="shared" ref="I114" ca="1" si="73">CONCATENATE(RANDBETWEEN($J$17*10,$I$17*10)/10,",",$H$17)</f>
        <v>-0.8,-6</v>
      </c>
      <c r="J114" s="23" t="str">
        <f t="shared" ref="J114" ca="1" si="74">CONCATENATE(RANDBETWEEN($J$17*10,$I$17*10)/10,",",$G$17)</f>
        <v>3.4,6</v>
      </c>
    </row>
    <row r="115" spans="5:15">
      <c r="E115" s="4">
        <f t="shared" ref="E115:E116" si="75">ROW(E115)</f>
        <v>115</v>
      </c>
      <c r="F115" s="9" t="s">
        <v>30</v>
      </c>
      <c r="G115" s="9"/>
      <c r="H115" s="9"/>
      <c r="I115" s="9"/>
      <c r="J115" s="9"/>
      <c r="O115" s="23">
        <v>1.4</v>
      </c>
    </row>
    <row r="116" spans="5:15">
      <c r="E116" s="4">
        <f t="shared" si="75"/>
        <v>116</v>
      </c>
      <c r="F116" s="9" t="s">
        <v>31</v>
      </c>
      <c r="G116" s="23">
        <f t="shared" ref="G116" si="76">MOD(D105-1,4)+1</f>
        <v>1</v>
      </c>
      <c r="L116" s="9" t="s">
        <v>137</v>
      </c>
      <c r="O116" s="23" t="str" cm="1">
        <f t="array" ref="O116">_xlfn.SWITCH(G116, 1, $G$21, 2, $H$21, 3, $I$21, 4, $J$21)</f>
        <v>180</v>
      </c>
    </row>
    <row r="117" spans="5:15">
      <c r="E117" s="4"/>
      <c r="G117" s="23" t="s">
        <v>244</v>
      </c>
      <c r="H117" s="23">
        <v>0</v>
      </c>
      <c r="I117" s="23" t="s">
        <v>241</v>
      </c>
      <c r="J117" s="23" t="s">
        <v>245</v>
      </c>
    </row>
    <row r="118" spans="5:15">
      <c r="E118" s="4">
        <f t="shared" ref="E118:E136" si="77">ROW(E118)</f>
        <v>118</v>
      </c>
      <c r="F118" s="9" t="s">
        <v>104</v>
      </c>
      <c r="O118" s="23">
        <f t="shared" ref="O118" si="78">O106*10+1</f>
        <v>110051</v>
      </c>
    </row>
    <row r="119" spans="5:15">
      <c r="E119" s="4">
        <f t="shared" si="77"/>
        <v>119</v>
      </c>
      <c r="F119" s="9" t="s">
        <v>146</v>
      </c>
      <c r="O119" s="23">
        <f t="shared" ref="O119" si="79">O106</f>
        <v>11005</v>
      </c>
    </row>
    <row r="120" spans="5:15">
      <c r="E120" s="4">
        <f t="shared" si="77"/>
        <v>120</v>
      </c>
      <c r="F120" s="9" t="s">
        <v>130</v>
      </c>
      <c r="O120" s="23">
        <v>0</v>
      </c>
    </row>
    <row r="121" spans="5:15">
      <c r="E121" s="4">
        <f t="shared" si="77"/>
        <v>121</v>
      </c>
      <c r="F121" s="9" t="s">
        <v>35</v>
      </c>
      <c r="G121" s="23">
        <v>0</v>
      </c>
      <c r="H121" s="23">
        <v>90</v>
      </c>
      <c r="I121" s="23" t="s">
        <v>239</v>
      </c>
      <c r="J121" s="23">
        <v>0</v>
      </c>
      <c r="O121" s="23">
        <f t="shared" ref="O121" si="80">$H$25+IF(G121,$I$25,$J$25)</f>
        <v>90</v>
      </c>
    </row>
    <row r="122" spans="5:15">
      <c r="E122" s="4">
        <f t="shared" si="77"/>
        <v>122</v>
      </c>
      <c r="F122" s="9" t="s">
        <v>30</v>
      </c>
      <c r="O122" s="23">
        <v>0</v>
      </c>
    </row>
    <row r="123" spans="5:15">
      <c r="E123" s="4">
        <f t="shared" si="77"/>
        <v>123</v>
      </c>
      <c r="F123" s="9" t="s">
        <v>116</v>
      </c>
      <c r="L123" s="9" t="s">
        <v>137</v>
      </c>
      <c r="O123" s="23" t="str">
        <f t="shared" ref="O123" si="81">O111</f>
        <v>90</v>
      </c>
    </row>
    <row r="124" spans="5:15">
      <c r="E124" s="4">
        <f t="shared" si="77"/>
        <v>124</v>
      </c>
      <c r="F124" s="9" t="s">
        <v>104</v>
      </c>
      <c r="O124" s="23">
        <f t="shared" ref="O124" si="82">O118+1</f>
        <v>110052</v>
      </c>
    </row>
    <row r="125" spans="5:15">
      <c r="E125" s="4">
        <f t="shared" si="77"/>
        <v>125</v>
      </c>
      <c r="F125" s="9" t="s">
        <v>146</v>
      </c>
      <c r="O125" s="23">
        <f t="shared" ref="O125" si="83">O118</f>
        <v>110051</v>
      </c>
    </row>
    <row r="126" spans="5:15">
      <c r="E126" s="4">
        <f t="shared" si="77"/>
        <v>126</v>
      </c>
      <c r="F126" s="9" t="s">
        <v>130</v>
      </c>
      <c r="O126" s="23">
        <v>0</v>
      </c>
    </row>
    <row r="127" spans="5:15">
      <c r="E127" s="4">
        <f t="shared" si="77"/>
        <v>127</v>
      </c>
      <c r="F127" s="9" t="s">
        <v>30</v>
      </c>
      <c r="O127" s="23">
        <v>3</v>
      </c>
    </row>
    <row r="128" spans="5:15">
      <c r="E128" s="4">
        <f t="shared" si="77"/>
        <v>128</v>
      </c>
      <c r="F128" s="9" t="s">
        <v>116</v>
      </c>
      <c r="L128" s="9" t="s">
        <v>137</v>
      </c>
      <c r="O128" s="23" t="str">
        <f t="shared" ref="O128" si="84">O123</f>
        <v>90</v>
      </c>
    </row>
    <row r="129" spans="1:15">
      <c r="A129" s="22" t="s">
        <v>238</v>
      </c>
      <c r="B129" s="22">
        <f t="shared" ref="B129" si="85">QUOTIENT( D129-1,G130)+1</f>
        <v>1</v>
      </c>
      <c r="C129" s="22">
        <f t="shared" ref="C129" si="86">D129-(B129-1)*G130</f>
        <v>6</v>
      </c>
      <c r="D129" s="22">
        <f>COUNT($D$8:$D128)+1</f>
        <v>6</v>
      </c>
      <c r="E129" s="4"/>
    </row>
    <row r="130" spans="1:15">
      <c r="E130" s="4">
        <f t="shared" si="77"/>
        <v>130</v>
      </c>
      <c r="F130" s="9" t="s">
        <v>96</v>
      </c>
      <c r="G130" s="23">
        <v>8</v>
      </c>
      <c r="H130" s="23">
        <v>5</v>
      </c>
      <c r="J130" s="23">
        <v>11000</v>
      </c>
      <c r="O130" s="23">
        <f t="shared" ref="O130" si="87">$J$10+D129</f>
        <v>11006</v>
      </c>
    </row>
    <row r="131" spans="1:15">
      <c r="E131" s="4">
        <f t="shared" si="77"/>
        <v>131</v>
      </c>
      <c r="F131" s="9" t="s">
        <v>155</v>
      </c>
      <c r="G131" s="23">
        <v>2650</v>
      </c>
      <c r="H131" s="23" t="s">
        <v>241</v>
      </c>
      <c r="O131" s="23">
        <f t="shared" ref="O131" si="88">G131+H131*(B129-1)</f>
        <v>2650</v>
      </c>
    </row>
    <row r="132" spans="1:15">
      <c r="E132" s="4">
        <f t="shared" si="77"/>
        <v>132</v>
      </c>
      <c r="F132" s="9" t="s">
        <v>35</v>
      </c>
      <c r="O132" s="23">
        <v>60</v>
      </c>
    </row>
    <row r="133" spans="1:15">
      <c r="E133" s="4">
        <f t="shared" si="77"/>
        <v>133</v>
      </c>
      <c r="F133" s="9" t="s">
        <v>29</v>
      </c>
      <c r="O133" s="23" t="s">
        <v>148</v>
      </c>
    </row>
    <row r="134" spans="1:15">
      <c r="E134" s="4">
        <f t="shared" si="77"/>
        <v>134</v>
      </c>
      <c r="F134" s="9" t="s">
        <v>121</v>
      </c>
      <c r="H134" s="9"/>
      <c r="J134" s="9"/>
      <c r="O134" s="23" t="s">
        <v>147</v>
      </c>
    </row>
    <row r="135" spans="1:15">
      <c r="E135" s="4">
        <f t="shared" si="77"/>
        <v>135</v>
      </c>
      <c r="F135" s="9" t="s">
        <v>116</v>
      </c>
      <c r="G135" s="23" t="b">
        <f t="shared" ref="G135" si="89">MOD(B129,2)=0</f>
        <v>0</v>
      </c>
      <c r="H135" s="9">
        <v>-90</v>
      </c>
      <c r="I135" s="23" t="s">
        <v>241</v>
      </c>
      <c r="J135" s="9"/>
      <c r="L135" s="9" t="s">
        <v>137</v>
      </c>
      <c r="O135" s="23" t="str">
        <f t="shared" ref="O135" si="90">IF(G135,$H$15,$I$15)</f>
        <v>90</v>
      </c>
    </row>
    <row r="136" spans="1:15">
      <c r="E136" s="4">
        <f t="shared" si="77"/>
        <v>136</v>
      </c>
      <c r="F136" s="9" t="s">
        <v>101</v>
      </c>
      <c r="G136" s="23">
        <f t="shared" ref="G136" si="91">MOD(D129-1,4)+1</f>
        <v>2</v>
      </c>
      <c r="K136" s="9" t="s">
        <v>139</v>
      </c>
      <c r="O136" s="23" t="str" cm="1">
        <f t="array" aca="1" ref="O136" ca="1">_xlfn.SWITCH(G136, 1, G138, 2, H138, 3, I138, 4, J138)</f>
        <v>-6,-4.2</v>
      </c>
    </row>
    <row r="137" spans="1:15">
      <c r="E137" s="4"/>
      <c r="G137" s="23" t="s">
        <v>32</v>
      </c>
      <c r="H137" s="23" t="s">
        <v>242</v>
      </c>
      <c r="I137" s="23">
        <v>4.8</v>
      </c>
      <c r="J137" s="23" t="s">
        <v>243</v>
      </c>
    </row>
    <row r="138" spans="1:15">
      <c r="E138" s="4"/>
      <c r="G138" s="9" t="str">
        <f t="shared" ref="G138" ca="1" si="92">CONCATENATE($G$17,",",RANDBETWEEN($J$17*10,$I$17*10)/10)</f>
        <v>6,4.7</v>
      </c>
      <c r="H138" s="9" t="str">
        <f t="shared" ref="H138" ca="1" si="93">CONCATENATE($H$17,",",RANDBETWEEN($J$17*10,$I$17*10)/10)</f>
        <v>-6,-4.2</v>
      </c>
      <c r="I138" s="9" t="str">
        <f t="shared" ref="I138" ca="1" si="94">CONCATENATE(RANDBETWEEN($J$17*10,$I$17*10)/10,",",$H$17)</f>
        <v>-3.3,-6</v>
      </c>
      <c r="J138" s="9" t="str">
        <f t="shared" ref="J138" ca="1" si="95">CONCATENATE(RANDBETWEEN($J$17*10,$I$17*10)/10,",",$G$17)</f>
        <v>2.5,6</v>
      </c>
    </row>
    <row r="139" spans="1:15">
      <c r="E139" s="4">
        <f t="shared" ref="E139:E140" si="96">ROW(E139)</f>
        <v>139</v>
      </c>
      <c r="F139" s="9" t="s">
        <v>30</v>
      </c>
      <c r="O139" s="23">
        <v>1.4</v>
      </c>
    </row>
    <row r="140" spans="1:15">
      <c r="E140" s="4">
        <f t="shared" si="96"/>
        <v>140</v>
      </c>
      <c r="F140" s="9" t="s">
        <v>31</v>
      </c>
      <c r="G140" s="23">
        <f t="shared" ref="G140" si="97">MOD(D129-1,4)+1</f>
        <v>2</v>
      </c>
      <c r="L140" s="9" t="s">
        <v>137</v>
      </c>
      <c r="O140" s="23" cm="1">
        <f t="array" ref="O140">_xlfn.SWITCH(G140, 1, $G$21, 2, $H$21, 3, $I$21, 4, $J$21)</f>
        <v>0</v>
      </c>
    </row>
    <row r="141" spans="1:15">
      <c r="E141" s="4"/>
      <c r="G141" s="23" t="s">
        <v>244</v>
      </c>
      <c r="H141" s="23">
        <v>0</v>
      </c>
      <c r="I141" s="23" t="s">
        <v>241</v>
      </c>
      <c r="J141" s="23" t="s">
        <v>245</v>
      </c>
    </row>
    <row r="142" spans="1:15">
      <c r="E142" s="4">
        <f t="shared" ref="E142:E160" si="98">ROW(E142)</f>
        <v>142</v>
      </c>
      <c r="F142" s="9" t="s">
        <v>104</v>
      </c>
      <c r="O142" s="23">
        <f t="shared" ref="O142" si="99">O130*10+1</f>
        <v>110061</v>
      </c>
    </row>
    <row r="143" spans="1:15">
      <c r="E143" s="4">
        <f t="shared" si="98"/>
        <v>143</v>
      </c>
      <c r="F143" s="9" t="s">
        <v>146</v>
      </c>
      <c r="O143" s="23">
        <f t="shared" ref="O143" si="100">O130</f>
        <v>11006</v>
      </c>
    </row>
    <row r="144" spans="1:15">
      <c r="E144" s="4">
        <f t="shared" si="98"/>
        <v>144</v>
      </c>
      <c r="F144" s="9" t="s">
        <v>130</v>
      </c>
      <c r="O144" s="23">
        <v>0</v>
      </c>
    </row>
    <row r="145" spans="1:15">
      <c r="E145" s="4">
        <f t="shared" si="98"/>
        <v>145</v>
      </c>
      <c r="F145" s="9" t="s">
        <v>35</v>
      </c>
      <c r="G145" s="23">
        <v>0</v>
      </c>
      <c r="H145" s="23">
        <v>90</v>
      </c>
      <c r="I145" s="23" t="s">
        <v>239</v>
      </c>
      <c r="J145" s="23">
        <v>0</v>
      </c>
      <c r="O145" s="23">
        <f t="shared" ref="O145" si="101">$H$25+IF(G145,$I$25,$J$25)</f>
        <v>90</v>
      </c>
    </row>
    <row r="146" spans="1:15">
      <c r="E146" s="4">
        <f t="shared" si="98"/>
        <v>146</v>
      </c>
      <c r="F146" s="9" t="s">
        <v>30</v>
      </c>
      <c r="O146" s="23">
        <v>0</v>
      </c>
    </row>
    <row r="147" spans="1:15">
      <c r="E147" s="4">
        <f t="shared" si="98"/>
        <v>147</v>
      </c>
      <c r="F147" s="9" t="s">
        <v>116</v>
      </c>
      <c r="L147" s="9" t="s">
        <v>137</v>
      </c>
      <c r="O147" s="23" t="str">
        <f t="shared" ref="O147" si="102">O135</f>
        <v>90</v>
      </c>
    </row>
    <row r="148" spans="1:15">
      <c r="E148" s="4">
        <f t="shared" si="98"/>
        <v>148</v>
      </c>
      <c r="F148" s="9" t="s">
        <v>104</v>
      </c>
      <c r="O148" s="23">
        <f t="shared" ref="O148" si="103">O142+1</f>
        <v>110062</v>
      </c>
    </row>
    <row r="149" spans="1:15">
      <c r="E149" s="4">
        <f t="shared" si="98"/>
        <v>149</v>
      </c>
      <c r="F149" s="9" t="s">
        <v>146</v>
      </c>
      <c r="O149" s="23">
        <f t="shared" ref="O149" si="104">O142</f>
        <v>110061</v>
      </c>
    </row>
    <row r="150" spans="1:15">
      <c r="E150" s="4">
        <f t="shared" si="98"/>
        <v>150</v>
      </c>
      <c r="F150" s="9" t="s">
        <v>130</v>
      </c>
      <c r="O150" s="23">
        <v>0</v>
      </c>
    </row>
    <row r="151" spans="1:15">
      <c r="E151" s="4">
        <f t="shared" si="98"/>
        <v>151</v>
      </c>
      <c r="F151" s="9" t="s">
        <v>30</v>
      </c>
      <c r="O151" s="23">
        <v>3</v>
      </c>
    </row>
    <row r="152" spans="1:15">
      <c r="E152" s="4">
        <f t="shared" si="98"/>
        <v>152</v>
      </c>
      <c r="F152" s="9" t="s">
        <v>116</v>
      </c>
      <c r="L152" s="9" t="s">
        <v>137</v>
      </c>
      <c r="O152" s="23" t="str">
        <f t="shared" ref="O152" si="105">O147</f>
        <v>90</v>
      </c>
    </row>
    <row r="153" spans="1:15">
      <c r="A153" s="22" t="s">
        <v>238</v>
      </c>
      <c r="B153" s="22">
        <f t="shared" ref="B153" si="106">QUOTIENT( D153-1,G154)+1</f>
        <v>1</v>
      </c>
      <c r="C153" s="22">
        <f t="shared" ref="C153" si="107">D153-(B153-1)*G154</f>
        <v>7</v>
      </c>
      <c r="D153" s="22">
        <f>COUNT($D$8:$D152)+1</f>
        <v>7</v>
      </c>
      <c r="E153" s="4"/>
    </row>
    <row r="154" spans="1:15">
      <c r="E154" s="4">
        <f t="shared" si="98"/>
        <v>154</v>
      </c>
      <c r="F154" s="9" t="s">
        <v>96</v>
      </c>
      <c r="G154" s="23">
        <v>8</v>
      </c>
      <c r="H154" s="23">
        <v>5</v>
      </c>
      <c r="J154" s="23">
        <v>11000</v>
      </c>
      <c r="O154" s="23">
        <f t="shared" ref="O154" si="108">$J$10+D153</f>
        <v>11007</v>
      </c>
    </row>
    <row r="155" spans="1:15">
      <c r="E155" s="4">
        <f t="shared" si="98"/>
        <v>155</v>
      </c>
      <c r="F155" s="9" t="s">
        <v>155</v>
      </c>
      <c r="G155" s="23">
        <v>2650</v>
      </c>
      <c r="H155" s="23" t="s">
        <v>241</v>
      </c>
      <c r="O155" s="23">
        <f t="shared" ref="O155" si="109">G155+H155*(B153-1)</f>
        <v>2650</v>
      </c>
    </row>
    <row r="156" spans="1:15">
      <c r="E156" s="4">
        <f t="shared" si="98"/>
        <v>156</v>
      </c>
      <c r="F156" s="9" t="s">
        <v>35</v>
      </c>
      <c r="O156" s="23">
        <v>60</v>
      </c>
    </row>
    <row r="157" spans="1:15">
      <c r="E157" s="4">
        <f t="shared" si="98"/>
        <v>157</v>
      </c>
      <c r="F157" s="9" t="s">
        <v>29</v>
      </c>
      <c r="H157" s="9"/>
      <c r="J157" s="9"/>
      <c r="O157" s="23" t="s">
        <v>148</v>
      </c>
    </row>
    <row r="158" spans="1:15">
      <c r="E158" s="4">
        <f t="shared" si="98"/>
        <v>158</v>
      </c>
      <c r="F158" s="9" t="s">
        <v>121</v>
      </c>
      <c r="H158" s="9"/>
      <c r="J158" s="9"/>
      <c r="O158" s="23" t="s">
        <v>147</v>
      </c>
    </row>
    <row r="159" spans="1:15">
      <c r="E159" s="4">
        <f t="shared" si="98"/>
        <v>159</v>
      </c>
      <c r="F159" s="9" t="s">
        <v>116</v>
      </c>
      <c r="G159" s="23" t="b">
        <f t="shared" ref="G159" si="110">MOD(B153,2)=0</f>
        <v>0</v>
      </c>
      <c r="H159" s="23">
        <v>-90</v>
      </c>
      <c r="I159" s="23" t="s">
        <v>241</v>
      </c>
      <c r="L159" s="9" t="s">
        <v>137</v>
      </c>
      <c r="O159" s="23" t="str">
        <f t="shared" ref="O159" si="111">IF(G159,$H$15,$I$15)</f>
        <v>90</v>
      </c>
    </row>
    <row r="160" spans="1:15">
      <c r="E160" s="4">
        <f t="shared" si="98"/>
        <v>160</v>
      </c>
      <c r="F160" s="9" t="s">
        <v>101</v>
      </c>
      <c r="G160" s="23">
        <f t="shared" ref="G160" si="112">MOD(D153-1,4)+1</f>
        <v>3</v>
      </c>
      <c r="K160" s="9" t="s">
        <v>139</v>
      </c>
      <c r="O160" s="23" t="str" cm="1">
        <f t="array" aca="1" ref="O160" ca="1">_xlfn.SWITCH(G160, 1, G162, 2, H162, 3, I162, 4, J162)</f>
        <v>3.1,-6</v>
      </c>
    </row>
    <row r="161" spans="5:15">
      <c r="E161" s="4"/>
      <c r="G161" s="9" t="s">
        <v>32</v>
      </c>
      <c r="H161" s="9" t="s">
        <v>242</v>
      </c>
      <c r="I161" s="9">
        <v>4.8</v>
      </c>
      <c r="J161" s="9" t="s">
        <v>243</v>
      </c>
    </row>
    <row r="162" spans="5:15">
      <c r="E162" s="4"/>
      <c r="G162" s="23" t="str">
        <f t="shared" ref="G162" ca="1" si="113">CONCATENATE($G$17,",",RANDBETWEEN($J$17*10,$I$17*10)/10)</f>
        <v>6,1.8</v>
      </c>
      <c r="H162" s="23" t="str">
        <f t="shared" ref="H162" ca="1" si="114">CONCATENATE($H$17,",",RANDBETWEEN($J$17*10,$I$17*10)/10)</f>
        <v>-6,-4.2</v>
      </c>
      <c r="I162" s="23" t="str">
        <f t="shared" ref="I162" ca="1" si="115">CONCATENATE(RANDBETWEEN($J$17*10,$I$17*10)/10,",",$H$17)</f>
        <v>3.1,-6</v>
      </c>
      <c r="J162" s="23" t="str">
        <f t="shared" ref="J162" ca="1" si="116">CONCATENATE(RANDBETWEEN($J$17*10,$I$17*10)/10,",",$G$17)</f>
        <v>2.3,6</v>
      </c>
    </row>
    <row r="163" spans="5:15">
      <c r="E163" s="4">
        <f t="shared" ref="E163:E164" si="117">ROW(E163)</f>
        <v>163</v>
      </c>
      <c r="F163" s="9" t="s">
        <v>30</v>
      </c>
      <c r="O163" s="23">
        <v>1.4</v>
      </c>
    </row>
    <row r="164" spans="5:15">
      <c r="E164" s="4">
        <f t="shared" si="117"/>
        <v>164</v>
      </c>
      <c r="F164" s="9" t="s">
        <v>31</v>
      </c>
      <c r="G164" s="23">
        <f t="shared" ref="G164" si="118">MOD(D153-1,4)+1</f>
        <v>3</v>
      </c>
      <c r="L164" s="9" t="s">
        <v>137</v>
      </c>
      <c r="O164" s="23" t="str" cm="1">
        <f t="array" ref="O164">_xlfn.SWITCH(G164, 1, $G$21, 2, $H$21, 3, $I$21, 4, $J$21)</f>
        <v>90</v>
      </c>
    </row>
    <row r="165" spans="5:15">
      <c r="E165" s="4"/>
      <c r="G165" s="23" t="s">
        <v>244</v>
      </c>
      <c r="H165" s="23">
        <v>0</v>
      </c>
      <c r="I165" s="23" t="s">
        <v>241</v>
      </c>
      <c r="J165" s="23" t="s">
        <v>245</v>
      </c>
    </row>
    <row r="166" spans="5:15">
      <c r="E166" s="4">
        <f t="shared" ref="E166:E184" si="119">ROW(E166)</f>
        <v>166</v>
      </c>
      <c r="F166" s="9" t="s">
        <v>104</v>
      </c>
      <c r="O166" s="23">
        <f t="shared" ref="O166" si="120">O154*10+1</f>
        <v>110071</v>
      </c>
    </row>
    <row r="167" spans="5:15">
      <c r="E167" s="4">
        <f t="shared" si="119"/>
        <v>167</v>
      </c>
      <c r="F167" s="9" t="s">
        <v>146</v>
      </c>
      <c r="O167" s="23">
        <f t="shared" ref="O167" si="121">O154</f>
        <v>11007</v>
      </c>
    </row>
    <row r="168" spans="5:15">
      <c r="E168" s="4">
        <f t="shared" si="119"/>
        <v>168</v>
      </c>
      <c r="F168" s="9" t="s">
        <v>130</v>
      </c>
      <c r="O168" s="23">
        <v>0</v>
      </c>
    </row>
    <row r="169" spans="5:15">
      <c r="E169" s="4">
        <f t="shared" si="119"/>
        <v>169</v>
      </c>
      <c r="F169" s="9" t="s">
        <v>35</v>
      </c>
      <c r="G169" s="23">
        <v>0</v>
      </c>
      <c r="H169" s="23">
        <v>90</v>
      </c>
      <c r="I169" s="23" t="s">
        <v>239</v>
      </c>
      <c r="J169" s="23">
        <v>0</v>
      </c>
      <c r="O169" s="23">
        <f t="shared" ref="O169" si="122">$H$25+IF(G169,$I$25,$J$25)</f>
        <v>90</v>
      </c>
    </row>
    <row r="170" spans="5:15">
      <c r="E170" s="4">
        <f t="shared" si="119"/>
        <v>170</v>
      </c>
      <c r="F170" s="9" t="s">
        <v>30</v>
      </c>
      <c r="O170" s="23">
        <v>0</v>
      </c>
    </row>
    <row r="171" spans="5:15">
      <c r="E171" s="4">
        <f t="shared" si="119"/>
        <v>171</v>
      </c>
      <c r="F171" s="9" t="s">
        <v>116</v>
      </c>
      <c r="L171" s="9" t="s">
        <v>137</v>
      </c>
      <c r="O171" s="23" t="str">
        <f t="shared" ref="O171" si="123">O159</f>
        <v>90</v>
      </c>
    </row>
    <row r="172" spans="5:15">
      <c r="E172" s="4">
        <f t="shared" si="119"/>
        <v>172</v>
      </c>
      <c r="F172" s="9" t="s">
        <v>104</v>
      </c>
      <c r="O172" s="23">
        <f t="shared" ref="O172" si="124">O166+1</f>
        <v>110072</v>
      </c>
    </row>
    <row r="173" spans="5:15">
      <c r="E173" s="4">
        <f t="shared" si="119"/>
        <v>173</v>
      </c>
      <c r="F173" s="9" t="s">
        <v>146</v>
      </c>
      <c r="O173" s="23">
        <f t="shared" ref="O173" si="125">O166</f>
        <v>110071</v>
      </c>
    </row>
    <row r="174" spans="5:15">
      <c r="E174" s="4">
        <f t="shared" si="119"/>
        <v>174</v>
      </c>
      <c r="F174" s="9" t="s">
        <v>130</v>
      </c>
      <c r="O174" s="23">
        <v>0</v>
      </c>
    </row>
    <row r="175" spans="5:15">
      <c r="E175" s="4">
        <f t="shared" si="119"/>
        <v>175</v>
      </c>
      <c r="F175" s="9" t="s">
        <v>30</v>
      </c>
      <c r="O175" s="23">
        <v>3</v>
      </c>
    </row>
    <row r="176" spans="5:15">
      <c r="E176" s="4">
        <f t="shared" si="119"/>
        <v>176</v>
      </c>
      <c r="F176" s="9" t="s">
        <v>116</v>
      </c>
      <c r="L176" s="9" t="s">
        <v>137</v>
      </c>
      <c r="O176" s="23" t="str">
        <f t="shared" ref="O176" si="126">O171</f>
        <v>90</v>
      </c>
    </row>
    <row r="177" spans="1:15">
      <c r="A177" s="22" t="s">
        <v>238</v>
      </c>
      <c r="B177" s="22">
        <f t="shared" ref="B177" si="127">QUOTIENT( D177-1,G178)+1</f>
        <v>1</v>
      </c>
      <c r="C177" s="22">
        <f t="shared" ref="C177" si="128">D177-(B177-1)*G178</f>
        <v>8</v>
      </c>
      <c r="D177" s="22">
        <f>COUNT($D$8:$D176)+1</f>
        <v>8</v>
      </c>
      <c r="E177" s="4"/>
    </row>
    <row r="178" spans="1:15">
      <c r="E178" s="4">
        <f t="shared" si="119"/>
        <v>178</v>
      </c>
      <c r="F178" s="9" t="s">
        <v>96</v>
      </c>
      <c r="G178" s="23">
        <v>8</v>
      </c>
      <c r="H178" s="23">
        <v>5</v>
      </c>
      <c r="J178" s="23">
        <v>11000</v>
      </c>
      <c r="O178" s="23">
        <f t="shared" ref="O178" si="129">$J$10+D177</f>
        <v>11008</v>
      </c>
    </row>
    <row r="179" spans="1:15">
      <c r="E179" s="4">
        <f t="shared" si="119"/>
        <v>179</v>
      </c>
      <c r="F179" s="9" t="s">
        <v>155</v>
      </c>
      <c r="G179" s="23">
        <v>2650</v>
      </c>
      <c r="H179" s="23" t="s">
        <v>241</v>
      </c>
      <c r="O179" s="23">
        <f t="shared" ref="O179" si="130">G179+H179*(B177-1)</f>
        <v>2650</v>
      </c>
    </row>
    <row r="180" spans="1:15">
      <c r="E180" s="4">
        <f t="shared" si="119"/>
        <v>180</v>
      </c>
      <c r="F180" s="9" t="s">
        <v>35</v>
      </c>
      <c r="H180" s="9"/>
      <c r="J180" s="9"/>
      <c r="O180" s="23">
        <v>60</v>
      </c>
    </row>
    <row r="181" spans="1:15">
      <c r="E181" s="4">
        <f t="shared" si="119"/>
        <v>181</v>
      </c>
      <c r="F181" s="9" t="s">
        <v>29</v>
      </c>
      <c r="H181" s="9"/>
      <c r="J181" s="9"/>
      <c r="O181" s="23" t="s">
        <v>148</v>
      </c>
    </row>
    <row r="182" spans="1:15">
      <c r="E182" s="4">
        <f t="shared" si="119"/>
        <v>182</v>
      </c>
      <c r="F182" s="9" t="s">
        <v>121</v>
      </c>
      <c r="O182" s="23" t="s">
        <v>147</v>
      </c>
    </row>
    <row r="183" spans="1:15">
      <c r="E183" s="4">
        <f t="shared" si="119"/>
        <v>183</v>
      </c>
      <c r="F183" s="9" t="s">
        <v>116</v>
      </c>
      <c r="G183" s="23" t="b">
        <f t="shared" ref="G183" si="131">MOD(B177,2)=0</f>
        <v>0</v>
      </c>
      <c r="H183" s="23">
        <v>-90</v>
      </c>
      <c r="I183" s="23" t="s">
        <v>241</v>
      </c>
      <c r="L183" s="9" t="s">
        <v>137</v>
      </c>
      <c r="O183" s="23" t="str">
        <f t="shared" ref="O183" si="132">IF(G183,$H$15,$I$15)</f>
        <v>90</v>
      </c>
    </row>
    <row r="184" spans="1:15">
      <c r="E184" s="4">
        <f t="shared" si="119"/>
        <v>184</v>
      </c>
      <c r="F184" s="9" t="s">
        <v>101</v>
      </c>
      <c r="G184" s="9">
        <f t="shared" ref="G184" si="133">MOD(D177-1,4)+1</f>
        <v>4</v>
      </c>
      <c r="H184" s="9"/>
      <c r="I184" s="9"/>
      <c r="J184" s="9"/>
      <c r="K184" s="9" t="s">
        <v>139</v>
      </c>
      <c r="O184" s="23" t="str" cm="1">
        <f t="array" aca="1" ref="O184" ca="1">_xlfn.SWITCH(G184, 1, G186, 2, H186, 3, I186, 4, J186)</f>
        <v>-4,6</v>
      </c>
    </row>
    <row r="185" spans="1:15">
      <c r="E185" s="4"/>
      <c r="G185" s="23" t="s">
        <v>32</v>
      </c>
      <c r="H185" s="23" t="s">
        <v>242</v>
      </c>
      <c r="I185" s="23">
        <v>4.8</v>
      </c>
      <c r="J185" s="23" t="s">
        <v>243</v>
      </c>
    </row>
    <row r="186" spans="1:15">
      <c r="E186" s="4"/>
      <c r="G186" s="23" t="str">
        <f t="shared" ref="G186" ca="1" si="134">CONCATENATE($G$17,",",RANDBETWEEN($J$17*10,$I$17*10)/10)</f>
        <v>6,2.4</v>
      </c>
      <c r="H186" s="23" t="str">
        <f t="shared" ref="H186" ca="1" si="135">CONCATENATE($H$17,",",RANDBETWEEN($J$17*10,$I$17*10)/10)</f>
        <v>-6,-2.2</v>
      </c>
      <c r="I186" s="23" t="str">
        <f t="shared" ref="I186" ca="1" si="136">CONCATENATE(RANDBETWEEN($J$17*10,$I$17*10)/10,",",$H$17)</f>
        <v>2,-6</v>
      </c>
      <c r="J186" s="23" t="str">
        <f t="shared" ref="J186" ca="1" si="137">CONCATENATE(RANDBETWEEN($J$17*10,$I$17*10)/10,",",$G$17)</f>
        <v>-4,6</v>
      </c>
    </row>
    <row r="187" spans="1:15">
      <c r="E187" s="4">
        <f t="shared" ref="E187:E188" si="138">ROW(E187)</f>
        <v>187</v>
      </c>
      <c r="F187" s="9" t="s">
        <v>30</v>
      </c>
      <c r="O187" s="23">
        <v>1.4</v>
      </c>
    </row>
    <row r="188" spans="1:15">
      <c r="E188" s="4">
        <f t="shared" si="138"/>
        <v>188</v>
      </c>
      <c r="F188" s="9" t="s">
        <v>31</v>
      </c>
      <c r="G188" s="23">
        <f t="shared" ref="G188" si="139">MOD(D177-1,4)+1</f>
        <v>4</v>
      </c>
      <c r="L188" s="9" t="s">
        <v>137</v>
      </c>
      <c r="O188" s="23" t="str" cm="1">
        <f t="array" ref="O188">_xlfn.SWITCH(G188, 1, $G$21, 2, $H$21, 3, $I$21, 4, $J$21)</f>
        <v>270</v>
      </c>
    </row>
    <row r="189" spans="1:15">
      <c r="E189" s="4"/>
      <c r="G189" s="23" t="s">
        <v>244</v>
      </c>
      <c r="H189" s="23">
        <v>0</v>
      </c>
      <c r="I189" s="23" t="s">
        <v>241</v>
      </c>
      <c r="J189" s="23" t="s">
        <v>245</v>
      </c>
    </row>
    <row r="190" spans="1:15">
      <c r="E190" s="4">
        <f t="shared" ref="E190:E208" si="140">ROW(E190)</f>
        <v>190</v>
      </c>
      <c r="F190" s="9" t="s">
        <v>104</v>
      </c>
      <c r="O190" s="23">
        <f t="shared" ref="O190" si="141">O178*10+1</f>
        <v>110081</v>
      </c>
    </row>
    <row r="191" spans="1:15">
      <c r="E191" s="4">
        <f t="shared" si="140"/>
        <v>191</v>
      </c>
      <c r="F191" s="9" t="s">
        <v>146</v>
      </c>
      <c r="O191" s="23">
        <f t="shared" ref="O191" si="142">O178</f>
        <v>11008</v>
      </c>
    </row>
    <row r="192" spans="1:15">
      <c r="E192" s="4">
        <f t="shared" si="140"/>
        <v>192</v>
      </c>
      <c r="F192" s="9" t="s">
        <v>130</v>
      </c>
      <c r="O192" s="23">
        <v>0</v>
      </c>
    </row>
    <row r="193" spans="1:15">
      <c r="E193" s="4">
        <f t="shared" si="140"/>
        <v>193</v>
      </c>
      <c r="F193" s="9" t="s">
        <v>35</v>
      </c>
      <c r="G193" s="23">
        <v>0</v>
      </c>
      <c r="H193" s="23">
        <v>90</v>
      </c>
      <c r="I193" s="23" t="s">
        <v>239</v>
      </c>
      <c r="J193" s="23">
        <v>0</v>
      </c>
      <c r="O193" s="23">
        <f t="shared" ref="O193" si="143">$H$25+IF(G193,$I$25,$J$25)</f>
        <v>90</v>
      </c>
    </row>
    <row r="194" spans="1:15">
      <c r="E194" s="4">
        <f t="shared" si="140"/>
        <v>194</v>
      </c>
      <c r="F194" s="9" t="s">
        <v>30</v>
      </c>
      <c r="O194" s="23">
        <v>0</v>
      </c>
    </row>
    <row r="195" spans="1:15">
      <c r="E195" s="4">
        <f t="shared" si="140"/>
        <v>195</v>
      </c>
      <c r="F195" s="9" t="s">
        <v>116</v>
      </c>
      <c r="L195" s="9" t="s">
        <v>137</v>
      </c>
      <c r="O195" s="23" t="str">
        <f t="shared" ref="O195" si="144">O183</f>
        <v>90</v>
      </c>
    </row>
    <row r="196" spans="1:15">
      <c r="E196" s="4">
        <f t="shared" si="140"/>
        <v>196</v>
      </c>
      <c r="F196" s="9" t="s">
        <v>104</v>
      </c>
      <c r="O196" s="23">
        <f t="shared" ref="O196" si="145">O190+1</f>
        <v>110082</v>
      </c>
    </row>
    <row r="197" spans="1:15">
      <c r="E197" s="4">
        <f t="shared" si="140"/>
        <v>197</v>
      </c>
      <c r="F197" s="9" t="s">
        <v>146</v>
      </c>
      <c r="O197" s="23">
        <f t="shared" ref="O197" si="146">O190</f>
        <v>110081</v>
      </c>
    </row>
    <row r="198" spans="1:15">
      <c r="E198" s="4">
        <f t="shared" si="140"/>
        <v>198</v>
      </c>
      <c r="F198" s="9" t="s">
        <v>130</v>
      </c>
      <c r="O198" s="23">
        <v>0</v>
      </c>
    </row>
    <row r="199" spans="1:15">
      <c r="E199" s="4">
        <f t="shared" si="140"/>
        <v>199</v>
      </c>
      <c r="F199" s="9" t="s">
        <v>30</v>
      </c>
      <c r="O199" s="23">
        <v>3</v>
      </c>
    </row>
    <row r="200" spans="1:15">
      <c r="E200" s="4">
        <f t="shared" si="140"/>
        <v>200</v>
      </c>
      <c r="F200" s="9" t="s">
        <v>116</v>
      </c>
      <c r="L200" s="9" t="s">
        <v>137</v>
      </c>
      <c r="O200" s="23" t="str">
        <f t="shared" ref="O200" si="147">O195</f>
        <v>90</v>
      </c>
    </row>
    <row r="201" spans="1:15">
      <c r="A201" s="22" t="s">
        <v>238</v>
      </c>
      <c r="B201" s="22">
        <f t="shared" ref="B201" si="148">QUOTIENT( D201-1,G202)+1</f>
        <v>2</v>
      </c>
      <c r="C201" s="22">
        <f t="shared" ref="C201" si="149">D201-(B201-1)*G202</f>
        <v>1</v>
      </c>
      <c r="D201" s="22">
        <f>COUNT($D$8:$D200)+1</f>
        <v>9</v>
      </c>
      <c r="E201" s="4"/>
    </row>
    <row r="202" spans="1:15">
      <c r="E202" s="4">
        <f t="shared" si="140"/>
        <v>202</v>
      </c>
      <c r="F202" s="9" t="s">
        <v>96</v>
      </c>
      <c r="G202" s="23">
        <v>8</v>
      </c>
      <c r="H202" s="23">
        <v>5</v>
      </c>
      <c r="J202" s="23">
        <v>11000</v>
      </c>
      <c r="O202" s="23">
        <f t="shared" ref="O202" si="150">$J$10+D201</f>
        <v>11009</v>
      </c>
    </row>
    <row r="203" spans="1:15">
      <c r="E203" s="4">
        <f t="shared" si="140"/>
        <v>203</v>
      </c>
      <c r="F203" s="9" t="s">
        <v>155</v>
      </c>
      <c r="G203" s="23">
        <v>2650</v>
      </c>
      <c r="H203" s="9" t="s">
        <v>241</v>
      </c>
      <c r="J203" s="9"/>
      <c r="O203" s="23">
        <f t="shared" ref="O203" si="151">G203+H203*(B201-1)</f>
        <v>2740</v>
      </c>
    </row>
    <row r="204" spans="1:15">
      <c r="E204" s="4">
        <f t="shared" si="140"/>
        <v>204</v>
      </c>
      <c r="F204" s="9" t="s">
        <v>35</v>
      </c>
      <c r="H204" s="9"/>
      <c r="J204" s="9"/>
      <c r="O204" s="23">
        <v>60</v>
      </c>
    </row>
    <row r="205" spans="1:15">
      <c r="E205" s="4">
        <f t="shared" si="140"/>
        <v>205</v>
      </c>
      <c r="F205" s="9" t="s">
        <v>29</v>
      </c>
      <c r="O205" s="23" t="s">
        <v>148</v>
      </c>
    </row>
    <row r="206" spans="1:15">
      <c r="E206" s="4">
        <f t="shared" si="140"/>
        <v>206</v>
      </c>
      <c r="F206" s="9" t="s">
        <v>121</v>
      </c>
      <c r="O206" s="23" t="s">
        <v>147</v>
      </c>
    </row>
    <row r="207" spans="1:15">
      <c r="E207" s="4">
        <f t="shared" si="140"/>
        <v>207</v>
      </c>
      <c r="F207" s="9" t="s">
        <v>116</v>
      </c>
      <c r="G207" s="9" t="b">
        <f t="shared" ref="G207" si="152">MOD(B201,2)=0</f>
        <v>1</v>
      </c>
      <c r="H207" s="9">
        <v>-90</v>
      </c>
      <c r="I207" s="9" t="s">
        <v>241</v>
      </c>
      <c r="J207" s="9"/>
      <c r="L207" s="9" t="s">
        <v>137</v>
      </c>
      <c r="O207" s="23">
        <f t="shared" ref="O207" si="153">IF(G207,$H$15,$I$15)</f>
        <v>-90</v>
      </c>
    </row>
    <row r="208" spans="1:15">
      <c r="E208" s="4">
        <f t="shared" si="140"/>
        <v>208</v>
      </c>
      <c r="F208" s="9" t="s">
        <v>101</v>
      </c>
      <c r="G208" s="23">
        <f t="shared" ref="G208" si="154">MOD(D201-1,4)+1</f>
        <v>1</v>
      </c>
      <c r="K208" s="9" t="s">
        <v>139</v>
      </c>
      <c r="O208" s="23" t="str" cm="1">
        <f t="array" aca="1" ref="O208" ca="1">_xlfn.SWITCH(G208, 1, G210, 2, H210, 3, I210, 4, J210)</f>
        <v>6,-2</v>
      </c>
    </row>
    <row r="209" spans="5:15">
      <c r="E209" s="4"/>
      <c r="G209" s="23" t="s">
        <v>32</v>
      </c>
      <c r="H209" s="23" t="s">
        <v>242</v>
      </c>
      <c r="I209" s="23">
        <v>4.8</v>
      </c>
      <c r="J209" s="23" t="s">
        <v>243</v>
      </c>
    </row>
    <row r="210" spans="5:15">
      <c r="E210" s="4"/>
      <c r="G210" s="23" t="str">
        <f t="shared" ref="G210" ca="1" si="155">CONCATENATE($G$17,",",RANDBETWEEN($J$17*10,$I$17*10)/10)</f>
        <v>6,-2</v>
      </c>
      <c r="H210" s="23" t="str">
        <f t="shared" ref="H210" ca="1" si="156">CONCATENATE($H$17,",",RANDBETWEEN($J$17*10,$I$17*10)/10)</f>
        <v>-6,4.5</v>
      </c>
      <c r="I210" s="23" t="str">
        <f t="shared" ref="I210" ca="1" si="157">CONCATENATE(RANDBETWEEN($J$17*10,$I$17*10)/10,",",$H$17)</f>
        <v>1.8,-6</v>
      </c>
      <c r="J210" s="23" t="str">
        <f t="shared" ref="J210" ca="1" si="158">CONCATENATE(RANDBETWEEN($J$17*10,$I$17*10)/10,",",$G$17)</f>
        <v>3.4,6</v>
      </c>
    </row>
    <row r="211" spans="5:15">
      <c r="E211" s="4">
        <f t="shared" ref="E211:E212" si="159">ROW(E211)</f>
        <v>211</v>
      </c>
      <c r="F211" s="9" t="s">
        <v>30</v>
      </c>
      <c r="O211" s="23">
        <v>1.4</v>
      </c>
    </row>
    <row r="212" spans="5:15">
      <c r="E212" s="4">
        <f t="shared" si="159"/>
        <v>212</v>
      </c>
      <c r="F212" s="9" t="s">
        <v>31</v>
      </c>
      <c r="G212" s="23">
        <f t="shared" ref="G212" si="160">MOD(D201-1,4)+1</f>
        <v>1</v>
      </c>
      <c r="L212" s="9" t="s">
        <v>137</v>
      </c>
      <c r="O212" s="23" t="str" cm="1">
        <f t="array" ref="O212">_xlfn.SWITCH(G212, 1, $G$21, 2, $H$21, 3, $I$21, 4, $J$21)</f>
        <v>180</v>
      </c>
    </row>
    <row r="213" spans="5:15">
      <c r="E213" s="4"/>
      <c r="G213" s="23" t="s">
        <v>244</v>
      </c>
      <c r="H213" s="23">
        <v>0</v>
      </c>
      <c r="I213" s="23" t="s">
        <v>241</v>
      </c>
      <c r="J213" s="23" t="s">
        <v>245</v>
      </c>
    </row>
    <row r="214" spans="5:15">
      <c r="E214" s="4">
        <f t="shared" ref="E214:E232" si="161">ROW(E214)</f>
        <v>214</v>
      </c>
      <c r="F214" s="9" t="s">
        <v>104</v>
      </c>
      <c r="O214" s="23">
        <f t="shared" ref="O214" si="162">O202*10+1</f>
        <v>110091</v>
      </c>
    </row>
    <row r="215" spans="5:15">
      <c r="E215" s="4">
        <f t="shared" si="161"/>
        <v>215</v>
      </c>
      <c r="F215" s="9" t="s">
        <v>146</v>
      </c>
      <c r="O215" s="23">
        <f t="shared" ref="O215" si="163">O202</f>
        <v>11009</v>
      </c>
    </row>
    <row r="216" spans="5:15">
      <c r="E216" s="4">
        <f t="shared" si="161"/>
        <v>216</v>
      </c>
      <c r="F216" s="9" t="s">
        <v>130</v>
      </c>
      <c r="O216" s="23">
        <v>0</v>
      </c>
    </row>
    <row r="217" spans="5:15">
      <c r="E217" s="4">
        <f t="shared" si="161"/>
        <v>217</v>
      </c>
      <c r="F217" s="9" t="s">
        <v>35</v>
      </c>
      <c r="G217" s="23">
        <v>0</v>
      </c>
      <c r="H217" s="23">
        <v>90</v>
      </c>
      <c r="I217" s="23" t="s">
        <v>239</v>
      </c>
      <c r="J217" s="23">
        <v>0</v>
      </c>
      <c r="O217" s="23">
        <f t="shared" ref="O217" si="164">$H$25+IF(G217,$I$25,$J$25)</f>
        <v>90</v>
      </c>
    </row>
    <row r="218" spans="5:15">
      <c r="E218" s="4">
        <f t="shared" si="161"/>
        <v>218</v>
      </c>
      <c r="F218" s="9" t="s">
        <v>30</v>
      </c>
      <c r="O218" s="23">
        <v>0</v>
      </c>
    </row>
    <row r="219" spans="5:15">
      <c r="E219" s="4">
        <f t="shared" si="161"/>
        <v>219</v>
      </c>
      <c r="F219" s="9" t="s">
        <v>116</v>
      </c>
      <c r="L219" s="9" t="s">
        <v>137</v>
      </c>
      <c r="O219" s="23">
        <f t="shared" ref="O219" si="165">O207</f>
        <v>-90</v>
      </c>
    </row>
    <row r="220" spans="5:15">
      <c r="E220" s="4">
        <f t="shared" si="161"/>
        <v>220</v>
      </c>
      <c r="F220" s="9" t="s">
        <v>104</v>
      </c>
      <c r="O220" s="23">
        <f t="shared" ref="O220" si="166">O214+1</f>
        <v>110092</v>
      </c>
    </row>
    <row r="221" spans="5:15">
      <c r="E221" s="4">
        <f t="shared" si="161"/>
        <v>221</v>
      </c>
      <c r="F221" s="9" t="s">
        <v>146</v>
      </c>
      <c r="O221" s="23">
        <f t="shared" ref="O221" si="167">O214</f>
        <v>110091</v>
      </c>
    </row>
    <row r="222" spans="5:15">
      <c r="E222" s="4">
        <f t="shared" si="161"/>
        <v>222</v>
      </c>
      <c r="F222" s="9" t="s">
        <v>130</v>
      </c>
      <c r="O222" s="23">
        <v>0</v>
      </c>
    </row>
    <row r="223" spans="5:15">
      <c r="E223" s="4">
        <f t="shared" si="161"/>
        <v>223</v>
      </c>
      <c r="F223" s="9" t="s">
        <v>30</v>
      </c>
      <c r="O223" s="23">
        <v>3</v>
      </c>
    </row>
    <row r="224" spans="5:15">
      <c r="E224" s="4">
        <f t="shared" si="161"/>
        <v>224</v>
      </c>
      <c r="F224" s="9" t="s">
        <v>116</v>
      </c>
      <c r="L224" s="9" t="s">
        <v>137</v>
      </c>
      <c r="O224" s="23">
        <f t="shared" ref="O224" si="168">O219</f>
        <v>-90</v>
      </c>
    </row>
    <row r="225" spans="1:15">
      <c r="A225" s="22" t="s">
        <v>238</v>
      </c>
      <c r="B225" s="22">
        <f t="shared" ref="B225" si="169">QUOTIENT( D225-1,G226)+1</f>
        <v>2</v>
      </c>
      <c r="C225" s="22">
        <f t="shared" ref="C225" si="170">D225-(B225-1)*G226</f>
        <v>2</v>
      </c>
      <c r="D225" s="22">
        <f>COUNT($D$8:$D224)+1</f>
        <v>10</v>
      </c>
      <c r="E225" s="4"/>
    </row>
    <row r="226" spans="1:15">
      <c r="E226" s="4">
        <f t="shared" si="161"/>
        <v>226</v>
      </c>
      <c r="F226" s="9" t="s">
        <v>96</v>
      </c>
      <c r="G226" s="23">
        <v>8</v>
      </c>
      <c r="H226" s="9">
        <v>5</v>
      </c>
      <c r="J226" s="9">
        <v>11000</v>
      </c>
      <c r="O226" s="23">
        <f t="shared" ref="O226" si="171">$J$10+D225</f>
        <v>11010</v>
      </c>
    </row>
    <row r="227" spans="1:15">
      <c r="E227" s="4">
        <f t="shared" si="161"/>
        <v>227</v>
      </c>
      <c r="F227" s="9" t="s">
        <v>155</v>
      </c>
      <c r="G227" s="23">
        <v>2650</v>
      </c>
      <c r="H227" s="9" t="s">
        <v>241</v>
      </c>
      <c r="J227" s="9"/>
      <c r="O227" s="23">
        <f t="shared" ref="O227" si="172">G227+H227*(B225-1)</f>
        <v>2740</v>
      </c>
    </row>
    <row r="228" spans="1:15">
      <c r="E228" s="4">
        <f t="shared" si="161"/>
        <v>228</v>
      </c>
      <c r="F228" s="9" t="s">
        <v>35</v>
      </c>
      <c r="O228" s="23">
        <v>60</v>
      </c>
    </row>
    <row r="229" spans="1:15">
      <c r="E229" s="4">
        <f t="shared" si="161"/>
        <v>229</v>
      </c>
      <c r="F229" s="9" t="s">
        <v>29</v>
      </c>
      <c r="O229" s="23" t="s">
        <v>148</v>
      </c>
    </row>
    <row r="230" spans="1:15">
      <c r="E230" s="4">
        <f t="shared" si="161"/>
        <v>230</v>
      </c>
      <c r="F230" s="9" t="s">
        <v>121</v>
      </c>
      <c r="G230" s="9"/>
      <c r="H230" s="9"/>
      <c r="I230" s="9"/>
      <c r="J230" s="9"/>
      <c r="O230" s="23" t="s">
        <v>147</v>
      </c>
    </row>
    <row r="231" spans="1:15">
      <c r="E231" s="4">
        <f t="shared" si="161"/>
        <v>231</v>
      </c>
      <c r="F231" s="9" t="s">
        <v>116</v>
      </c>
      <c r="G231" s="23" t="b">
        <f t="shared" ref="G231" si="173">MOD(B225,2)=0</f>
        <v>1</v>
      </c>
      <c r="H231" s="23">
        <v>-90</v>
      </c>
      <c r="I231" s="23" t="s">
        <v>241</v>
      </c>
      <c r="L231" s="9" t="s">
        <v>137</v>
      </c>
      <c r="O231" s="23">
        <f t="shared" ref="O231" si="174">IF(G231,$H$15,$I$15)</f>
        <v>-90</v>
      </c>
    </row>
    <row r="232" spans="1:15">
      <c r="E232" s="4">
        <f t="shared" si="161"/>
        <v>232</v>
      </c>
      <c r="F232" s="9" t="s">
        <v>101</v>
      </c>
      <c r="G232" s="23">
        <f t="shared" ref="G232" si="175">MOD(D225-1,4)+1</f>
        <v>2</v>
      </c>
      <c r="K232" s="9" t="s">
        <v>139</v>
      </c>
      <c r="O232" s="23" t="str" cm="1">
        <f t="array" aca="1" ref="O232" ca="1">_xlfn.SWITCH(G232, 1, G234, 2, H234, 3, I234, 4, J234)</f>
        <v>-6,1.3</v>
      </c>
    </row>
    <row r="233" spans="1:15">
      <c r="E233" s="4"/>
      <c r="G233" s="23" t="s">
        <v>32</v>
      </c>
      <c r="H233" s="23" t="s">
        <v>242</v>
      </c>
      <c r="I233" s="23">
        <v>4.8</v>
      </c>
      <c r="J233" s="23" t="s">
        <v>243</v>
      </c>
    </row>
    <row r="234" spans="1:15">
      <c r="E234" s="4"/>
      <c r="G234" s="23" t="str">
        <f t="shared" ref="G234" ca="1" si="176">CONCATENATE($G$17,",",RANDBETWEEN($J$17*10,$I$17*10)/10)</f>
        <v>6,-3.4</v>
      </c>
      <c r="H234" s="23" t="str">
        <f t="shared" ref="H234" ca="1" si="177">CONCATENATE($H$17,",",RANDBETWEEN($J$17*10,$I$17*10)/10)</f>
        <v>-6,1.3</v>
      </c>
      <c r="I234" s="23" t="str">
        <f t="shared" ref="I234" ca="1" si="178">CONCATENATE(RANDBETWEEN($J$17*10,$I$17*10)/10,",",$H$17)</f>
        <v>-2.2,-6</v>
      </c>
      <c r="J234" s="23" t="str">
        <f t="shared" ref="J234" ca="1" si="179">CONCATENATE(RANDBETWEEN($J$17*10,$I$17*10)/10,",",$G$17)</f>
        <v>-0.6,6</v>
      </c>
    </row>
    <row r="235" spans="1:15">
      <c r="E235" s="4">
        <f t="shared" ref="E235:E236" si="180">ROW(E235)</f>
        <v>235</v>
      </c>
      <c r="F235" s="9" t="s">
        <v>30</v>
      </c>
      <c r="O235" s="23">
        <v>1.4</v>
      </c>
    </row>
    <row r="236" spans="1:15">
      <c r="E236" s="4">
        <f t="shared" si="180"/>
        <v>236</v>
      </c>
      <c r="F236" s="9" t="s">
        <v>31</v>
      </c>
      <c r="G236" s="23">
        <f t="shared" ref="G236" si="181">MOD(D225-1,4)+1</f>
        <v>2</v>
      </c>
      <c r="L236" s="9" t="s">
        <v>137</v>
      </c>
      <c r="O236" s="23" cm="1">
        <f t="array" ref="O236">_xlfn.SWITCH(G236, 1, $G$21, 2, $H$21, 3, $I$21, 4, $J$21)</f>
        <v>0</v>
      </c>
    </row>
    <row r="237" spans="1:15">
      <c r="E237" s="4"/>
      <c r="G237" s="23" t="s">
        <v>244</v>
      </c>
      <c r="H237" s="23">
        <v>0</v>
      </c>
      <c r="I237" s="23" t="s">
        <v>241</v>
      </c>
      <c r="J237" s="23" t="s">
        <v>245</v>
      </c>
    </row>
    <row r="238" spans="1:15">
      <c r="E238" s="4">
        <f t="shared" ref="E238:E256" si="182">ROW(E238)</f>
        <v>238</v>
      </c>
      <c r="F238" s="9" t="s">
        <v>104</v>
      </c>
      <c r="O238" s="23">
        <f t="shared" ref="O238" si="183">O226*10+1</f>
        <v>110101</v>
      </c>
    </row>
    <row r="239" spans="1:15">
      <c r="E239" s="4">
        <f t="shared" si="182"/>
        <v>239</v>
      </c>
      <c r="F239" s="9" t="s">
        <v>146</v>
      </c>
      <c r="O239" s="23">
        <f t="shared" ref="O239" si="184">O226</f>
        <v>11010</v>
      </c>
    </row>
    <row r="240" spans="1:15">
      <c r="E240" s="4">
        <f t="shared" si="182"/>
        <v>240</v>
      </c>
      <c r="F240" s="9" t="s">
        <v>130</v>
      </c>
      <c r="O240" s="23">
        <v>0</v>
      </c>
    </row>
    <row r="241" spans="1:15">
      <c r="E241" s="4">
        <f t="shared" si="182"/>
        <v>241</v>
      </c>
      <c r="F241" s="9" t="s">
        <v>35</v>
      </c>
      <c r="G241" s="23">
        <v>0</v>
      </c>
      <c r="H241" s="23">
        <v>90</v>
      </c>
      <c r="I241" s="23" t="s">
        <v>239</v>
      </c>
      <c r="J241" s="23">
        <v>0</v>
      </c>
      <c r="O241" s="23">
        <f t="shared" ref="O241" si="185">$H$25+IF(G241,$I$25,$J$25)</f>
        <v>90</v>
      </c>
    </row>
    <row r="242" spans="1:15">
      <c r="E242" s="4">
        <f t="shared" si="182"/>
        <v>242</v>
      </c>
      <c r="F242" s="9" t="s">
        <v>30</v>
      </c>
      <c r="O242" s="23">
        <v>0</v>
      </c>
    </row>
    <row r="243" spans="1:15">
      <c r="E243" s="4">
        <f t="shared" si="182"/>
        <v>243</v>
      </c>
      <c r="F243" s="9" t="s">
        <v>116</v>
      </c>
      <c r="L243" s="9" t="s">
        <v>137</v>
      </c>
      <c r="O243" s="23">
        <f t="shared" ref="O243" si="186">O231</f>
        <v>-90</v>
      </c>
    </row>
    <row r="244" spans="1:15">
      <c r="E244" s="4">
        <f t="shared" si="182"/>
        <v>244</v>
      </c>
      <c r="F244" s="9" t="s">
        <v>104</v>
      </c>
      <c r="O244" s="23">
        <f t="shared" ref="O244" si="187">O238+1</f>
        <v>110102</v>
      </c>
    </row>
    <row r="245" spans="1:15">
      <c r="E245" s="4">
        <f t="shared" si="182"/>
        <v>245</v>
      </c>
      <c r="F245" s="9" t="s">
        <v>146</v>
      </c>
      <c r="O245" s="23">
        <f t="shared" ref="O245" si="188">O238</f>
        <v>110101</v>
      </c>
    </row>
    <row r="246" spans="1:15">
      <c r="E246" s="4">
        <f t="shared" si="182"/>
        <v>246</v>
      </c>
      <c r="F246" s="9" t="s">
        <v>130</v>
      </c>
      <c r="O246" s="23">
        <v>0</v>
      </c>
    </row>
    <row r="247" spans="1:15">
      <c r="E247" s="4">
        <f t="shared" si="182"/>
        <v>247</v>
      </c>
      <c r="F247" s="9" t="s">
        <v>30</v>
      </c>
      <c r="O247" s="23">
        <v>3</v>
      </c>
    </row>
    <row r="248" spans="1:15">
      <c r="E248" s="4">
        <f t="shared" si="182"/>
        <v>248</v>
      </c>
      <c r="F248" s="9" t="s">
        <v>116</v>
      </c>
      <c r="L248" s="9" t="s">
        <v>137</v>
      </c>
      <c r="O248" s="23">
        <f t="shared" ref="O248" si="189">O243</f>
        <v>-90</v>
      </c>
    </row>
    <row r="249" spans="1:15">
      <c r="A249" s="22" t="s">
        <v>238</v>
      </c>
      <c r="B249" s="22">
        <f t="shared" ref="B249" si="190">QUOTIENT( D249-1,G250)+1</f>
        <v>2</v>
      </c>
      <c r="C249" s="22">
        <f t="shared" ref="C249" si="191">D249-(B249-1)*G250</f>
        <v>3</v>
      </c>
      <c r="D249" s="22">
        <f>COUNT($D$8:$D248)+1</f>
        <v>11</v>
      </c>
      <c r="E249" s="4"/>
      <c r="H249" s="9"/>
      <c r="J249" s="9"/>
    </row>
    <row r="250" spans="1:15">
      <c r="E250" s="4">
        <f t="shared" si="182"/>
        <v>250</v>
      </c>
      <c r="F250" s="9" t="s">
        <v>96</v>
      </c>
      <c r="G250" s="23">
        <v>8</v>
      </c>
      <c r="H250" s="9">
        <v>5</v>
      </c>
      <c r="J250" s="9">
        <v>11000</v>
      </c>
      <c r="O250" s="23">
        <f t="shared" ref="O250" si="192">$J$10+D249</f>
        <v>11011</v>
      </c>
    </row>
    <row r="251" spans="1:15">
      <c r="E251" s="4">
        <f t="shared" si="182"/>
        <v>251</v>
      </c>
      <c r="F251" s="9" t="s">
        <v>155</v>
      </c>
      <c r="G251" s="23">
        <v>2650</v>
      </c>
      <c r="H251" s="23" t="s">
        <v>241</v>
      </c>
      <c r="O251" s="23">
        <f t="shared" ref="O251" si="193">G251+H251*(B249-1)</f>
        <v>2740</v>
      </c>
    </row>
    <row r="252" spans="1:15">
      <c r="E252" s="4">
        <f t="shared" si="182"/>
        <v>252</v>
      </c>
      <c r="F252" s="9" t="s">
        <v>35</v>
      </c>
      <c r="O252" s="23">
        <v>60</v>
      </c>
    </row>
    <row r="253" spans="1:15">
      <c r="E253" s="4">
        <f t="shared" si="182"/>
        <v>253</v>
      </c>
      <c r="F253" s="9" t="s">
        <v>29</v>
      </c>
      <c r="G253" s="9"/>
      <c r="H253" s="9"/>
      <c r="I253" s="9"/>
      <c r="J253" s="9"/>
      <c r="O253" s="23" t="s">
        <v>148</v>
      </c>
    </row>
    <row r="254" spans="1:15">
      <c r="E254" s="4">
        <f t="shared" si="182"/>
        <v>254</v>
      </c>
      <c r="F254" s="9" t="s">
        <v>121</v>
      </c>
      <c r="O254" s="23" t="s">
        <v>147</v>
      </c>
    </row>
    <row r="255" spans="1:15">
      <c r="E255" s="4">
        <f t="shared" si="182"/>
        <v>255</v>
      </c>
      <c r="F255" s="9" t="s">
        <v>116</v>
      </c>
      <c r="G255" s="23" t="b">
        <f t="shared" ref="G255" si="194">MOD(B249,2)=0</f>
        <v>1</v>
      </c>
      <c r="H255" s="23">
        <v>-90</v>
      </c>
      <c r="I255" s="23" t="s">
        <v>241</v>
      </c>
      <c r="L255" s="9" t="s">
        <v>137</v>
      </c>
      <c r="O255" s="23">
        <f t="shared" ref="O255" si="195">IF(G255,$H$15,$I$15)</f>
        <v>-90</v>
      </c>
    </row>
    <row r="256" spans="1:15">
      <c r="E256" s="4">
        <f t="shared" si="182"/>
        <v>256</v>
      </c>
      <c r="F256" s="9" t="s">
        <v>101</v>
      </c>
      <c r="G256" s="23">
        <f t="shared" ref="G256" si="196">MOD(D249-1,4)+1</f>
        <v>3</v>
      </c>
      <c r="K256" s="9" t="s">
        <v>139</v>
      </c>
      <c r="O256" s="23" t="str" cm="1">
        <f t="array" aca="1" ref="O256" ca="1">_xlfn.SWITCH(G256, 1, G258, 2, H258, 3, I258, 4, J258)</f>
        <v>2.6,-6</v>
      </c>
    </row>
    <row r="257" spans="5:15">
      <c r="E257" s="4"/>
      <c r="G257" s="23" t="s">
        <v>32</v>
      </c>
      <c r="H257" s="23" t="s">
        <v>242</v>
      </c>
      <c r="I257" s="23">
        <v>4.8</v>
      </c>
      <c r="J257" s="23" t="s">
        <v>243</v>
      </c>
    </row>
    <row r="258" spans="5:15">
      <c r="E258" s="4"/>
      <c r="G258" s="23" t="str">
        <f t="shared" ref="G258" ca="1" si="197">CONCATENATE($G$17,",",RANDBETWEEN($J$17*10,$I$17*10)/10)</f>
        <v>6,3.9</v>
      </c>
      <c r="H258" s="23" t="str">
        <f t="shared" ref="H258" ca="1" si="198">CONCATENATE($H$17,",",RANDBETWEEN($J$17*10,$I$17*10)/10)</f>
        <v>-6,-3.7</v>
      </c>
      <c r="I258" s="23" t="str">
        <f t="shared" ref="I258" ca="1" si="199">CONCATENATE(RANDBETWEEN($J$17*10,$I$17*10)/10,",",$H$17)</f>
        <v>2.6,-6</v>
      </c>
      <c r="J258" s="23" t="str">
        <f t="shared" ref="J258" ca="1" si="200">CONCATENATE(RANDBETWEEN($J$17*10,$I$17*10)/10,",",$G$17)</f>
        <v>-1.6,6</v>
      </c>
    </row>
    <row r="259" spans="5:15">
      <c r="E259" s="4">
        <f t="shared" ref="E259:E260" si="201">ROW(E259)</f>
        <v>259</v>
      </c>
      <c r="F259" s="9" t="s">
        <v>30</v>
      </c>
      <c r="O259" s="23">
        <v>1.4</v>
      </c>
    </row>
    <row r="260" spans="5:15">
      <c r="E260" s="4">
        <f t="shared" si="201"/>
        <v>260</v>
      </c>
      <c r="F260" s="9" t="s">
        <v>31</v>
      </c>
      <c r="G260" s="23">
        <f t="shared" ref="G260" si="202">MOD(D249-1,4)+1</f>
        <v>3</v>
      </c>
      <c r="L260" s="9" t="s">
        <v>137</v>
      </c>
      <c r="O260" s="23" t="str" cm="1">
        <f t="array" ref="O260">_xlfn.SWITCH(G260, 1, $G$21, 2, $H$21, 3, $I$21, 4, $J$21)</f>
        <v>90</v>
      </c>
    </row>
    <row r="261" spans="5:15">
      <c r="E261" s="4"/>
      <c r="G261" s="23" t="s">
        <v>244</v>
      </c>
      <c r="H261" s="23">
        <v>0</v>
      </c>
      <c r="I261" s="23" t="s">
        <v>241</v>
      </c>
      <c r="J261" s="23" t="s">
        <v>245</v>
      </c>
    </row>
    <row r="262" spans="5:15">
      <c r="E262" s="4">
        <f t="shared" ref="E262:E280" si="203">ROW(E262)</f>
        <v>262</v>
      </c>
      <c r="F262" s="9" t="s">
        <v>104</v>
      </c>
      <c r="O262" s="23">
        <f t="shared" ref="O262" si="204">O250*10+1</f>
        <v>110111</v>
      </c>
    </row>
    <row r="263" spans="5:15">
      <c r="E263" s="4">
        <f t="shared" si="203"/>
        <v>263</v>
      </c>
      <c r="F263" s="9" t="s">
        <v>146</v>
      </c>
      <c r="O263" s="23">
        <f t="shared" ref="O263" si="205">O250</f>
        <v>11011</v>
      </c>
    </row>
    <row r="264" spans="5:15">
      <c r="E264" s="4">
        <f t="shared" si="203"/>
        <v>264</v>
      </c>
      <c r="F264" s="9" t="s">
        <v>130</v>
      </c>
      <c r="O264" s="23">
        <v>0</v>
      </c>
    </row>
    <row r="265" spans="5:15">
      <c r="E265" s="4">
        <f t="shared" si="203"/>
        <v>265</v>
      </c>
      <c r="F265" s="9" t="s">
        <v>35</v>
      </c>
      <c r="G265" s="23">
        <v>0</v>
      </c>
      <c r="H265" s="23">
        <v>90</v>
      </c>
      <c r="I265" s="23" t="s">
        <v>239</v>
      </c>
      <c r="J265" s="23">
        <v>0</v>
      </c>
      <c r="O265" s="23">
        <f t="shared" ref="O265" si="206">$H$25+IF(G265,$I$25,$J$25)</f>
        <v>90</v>
      </c>
    </row>
    <row r="266" spans="5:15">
      <c r="E266" s="4">
        <f t="shared" si="203"/>
        <v>266</v>
      </c>
      <c r="F266" s="9" t="s">
        <v>30</v>
      </c>
      <c r="O266" s="23">
        <v>0</v>
      </c>
    </row>
    <row r="267" spans="5:15">
      <c r="E267" s="4">
        <f t="shared" si="203"/>
        <v>267</v>
      </c>
      <c r="F267" s="9" t="s">
        <v>116</v>
      </c>
      <c r="L267" s="9" t="s">
        <v>137</v>
      </c>
      <c r="O267" s="23">
        <f t="shared" ref="O267" si="207">O255</f>
        <v>-90</v>
      </c>
    </row>
    <row r="268" spans="5:15">
      <c r="E268" s="4">
        <f t="shared" si="203"/>
        <v>268</v>
      </c>
      <c r="F268" s="9" t="s">
        <v>104</v>
      </c>
      <c r="O268" s="23">
        <f t="shared" ref="O268" si="208">O262+1</f>
        <v>110112</v>
      </c>
    </row>
    <row r="269" spans="5:15">
      <c r="E269" s="4">
        <f t="shared" si="203"/>
        <v>269</v>
      </c>
      <c r="F269" s="9" t="s">
        <v>146</v>
      </c>
      <c r="O269" s="23">
        <f t="shared" ref="O269" si="209">O262</f>
        <v>110111</v>
      </c>
    </row>
    <row r="270" spans="5:15">
      <c r="E270" s="4">
        <f t="shared" si="203"/>
        <v>270</v>
      </c>
      <c r="F270" s="9" t="s">
        <v>130</v>
      </c>
      <c r="O270" s="23">
        <v>0</v>
      </c>
    </row>
    <row r="271" spans="5:15">
      <c r="E271" s="4">
        <f t="shared" si="203"/>
        <v>271</v>
      </c>
      <c r="F271" s="9" t="s">
        <v>30</v>
      </c>
      <c r="O271" s="23">
        <v>3</v>
      </c>
    </row>
    <row r="272" spans="5:15">
      <c r="E272" s="4">
        <f t="shared" si="203"/>
        <v>272</v>
      </c>
      <c r="F272" s="9" t="s">
        <v>116</v>
      </c>
      <c r="H272" s="9"/>
      <c r="J272" s="9"/>
      <c r="L272" s="9" t="s">
        <v>137</v>
      </c>
      <c r="O272" s="23">
        <f t="shared" ref="O272" si="210">O267</f>
        <v>-90</v>
      </c>
    </row>
    <row r="273" spans="1:15">
      <c r="A273" s="22" t="s">
        <v>238</v>
      </c>
      <c r="B273" s="22">
        <f t="shared" ref="B273" si="211">QUOTIENT( D273-1,G274)+1</f>
        <v>2</v>
      </c>
      <c r="C273" s="22">
        <f t="shared" ref="C273" si="212">D273-(B273-1)*G274</f>
        <v>4</v>
      </c>
      <c r="D273" s="22">
        <f>COUNT($D$8:$D272)+1</f>
        <v>12</v>
      </c>
      <c r="E273" s="4"/>
      <c r="H273" s="9"/>
      <c r="J273" s="9"/>
    </row>
    <row r="274" spans="1:15">
      <c r="E274" s="4">
        <f t="shared" si="203"/>
        <v>274</v>
      </c>
      <c r="F274" s="9" t="s">
        <v>96</v>
      </c>
      <c r="G274" s="23">
        <v>8</v>
      </c>
      <c r="H274" s="23">
        <v>5</v>
      </c>
      <c r="J274" s="23">
        <v>11000</v>
      </c>
      <c r="O274" s="23">
        <f t="shared" ref="O274" si="213">$J$10+D273</f>
        <v>11012</v>
      </c>
    </row>
    <row r="275" spans="1:15">
      <c r="E275" s="4">
        <f t="shared" si="203"/>
        <v>275</v>
      </c>
      <c r="F275" s="9" t="s">
        <v>155</v>
      </c>
      <c r="G275" s="23">
        <v>2650</v>
      </c>
      <c r="H275" s="23" t="s">
        <v>241</v>
      </c>
      <c r="O275" s="23">
        <f t="shared" ref="O275" si="214">G275+H275*(B273-1)</f>
        <v>2740</v>
      </c>
    </row>
    <row r="276" spans="1:15">
      <c r="E276" s="4">
        <f t="shared" si="203"/>
        <v>276</v>
      </c>
      <c r="F276" s="9" t="s">
        <v>35</v>
      </c>
      <c r="G276" s="9"/>
      <c r="H276" s="9"/>
      <c r="I276" s="9"/>
      <c r="J276" s="9"/>
      <c r="O276" s="23">
        <v>60</v>
      </c>
    </row>
    <row r="277" spans="1:15">
      <c r="E277" s="4">
        <f t="shared" si="203"/>
        <v>277</v>
      </c>
      <c r="F277" s="9" t="s">
        <v>29</v>
      </c>
      <c r="O277" s="23" t="s">
        <v>148</v>
      </c>
    </row>
    <row r="278" spans="1:15">
      <c r="E278" s="4">
        <f t="shared" si="203"/>
        <v>278</v>
      </c>
      <c r="F278" s="9" t="s">
        <v>121</v>
      </c>
      <c r="O278" s="23" t="s">
        <v>147</v>
      </c>
    </row>
    <row r="279" spans="1:15">
      <c r="E279" s="4">
        <f t="shared" si="203"/>
        <v>279</v>
      </c>
      <c r="F279" s="9" t="s">
        <v>116</v>
      </c>
      <c r="G279" s="23" t="b">
        <f t="shared" ref="G279" si="215">MOD(B273,2)=0</f>
        <v>1</v>
      </c>
      <c r="H279" s="23">
        <v>-90</v>
      </c>
      <c r="I279" s="23" t="s">
        <v>241</v>
      </c>
      <c r="L279" s="9" t="s">
        <v>137</v>
      </c>
      <c r="O279" s="23">
        <f t="shared" ref="O279" si="216">IF(G279,$H$15,$I$15)</f>
        <v>-90</v>
      </c>
    </row>
    <row r="280" spans="1:15">
      <c r="E280" s="4">
        <f t="shared" si="203"/>
        <v>280</v>
      </c>
      <c r="F280" s="9" t="s">
        <v>101</v>
      </c>
      <c r="G280" s="23">
        <f t="shared" ref="G280" si="217">MOD(D273-1,4)+1</f>
        <v>4</v>
      </c>
      <c r="K280" s="9" t="s">
        <v>139</v>
      </c>
      <c r="O280" s="23" t="str" cm="1">
        <f t="array" aca="1" ref="O280" ca="1">_xlfn.SWITCH(G280, 1, G282, 2, H282, 3, I282, 4, J282)</f>
        <v>4.8,6</v>
      </c>
    </row>
    <row r="281" spans="1:15">
      <c r="E281" s="4"/>
      <c r="G281" s="23" t="s">
        <v>32</v>
      </c>
      <c r="H281" s="23" t="s">
        <v>242</v>
      </c>
      <c r="I281" s="23">
        <v>4.8</v>
      </c>
      <c r="J281" s="23" t="s">
        <v>243</v>
      </c>
    </row>
    <row r="282" spans="1:15">
      <c r="E282" s="4"/>
      <c r="G282" s="23" t="str">
        <f t="shared" ref="G282" ca="1" si="218">CONCATENATE($G$17,",",RANDBETWEEN($J$17*10,$I$17*10)/10)</f>
        <v>6,2.2</v>
      </c>
      <c r="H282" s="23" t="str">
        <f t="shared" ref="H282" ca="1" si="219">CONCATENATE($H$17,",",RANDBETWEEN($J$17*10,$I$17*10)/10)</f>
        <v>-6,0.3</v>
      </c>
      <c r="I282" s="23" t="str">
        <f t="shared" ref="I282" ca="1" si="220">CONCATENATE(RANDBETWEEN($J$17*10,$I$17*10)/10,",",$H$17)</f>
        <v>4.8,-6</v>
      </c>
      <c r="J282" s="23" t="str">
        <f t="shared" ref="J282" ca="1" si="221">CONCATENATE(RANDBETWEEN($J$17*10,$I$17*10)/10,",",$G$17)</f>
        <v>4.8,6</v>
      </c>
    </row>
    <row r="283" spans="1:15">
      <c r="E283" s="4">
        <f t="shared" ref="E283:E284" si="222">ROW(E283)</f>
        <v>283</v>
      </c>
      <c r="F283" s="9" t="s">
        <v>30</v>
      </c>
      <c r="O283" s="23">
        <v>1.4</v>
      </c>
    </row>
    <row r="284" spans="1:15">
      <c r="E284" s="4">
        <f t="shared" si="222"/>
        <v>284</v>
      </c>
      <c r="F284" s="9" t="s">
        <v>31</v>
      </c>
      <c r="G284" s="23">
        <f t="shared" ref="G284" si="223">MOD(D273-1,4)+1</f>
        <v>4</v>
      </c>
      <c r="L284" s="9" t="s">
        <v>137</v>
      </c>
      <c r="O284" s="23" t="str" cm="1">
        <f t="array" ref="O284">_xlfn.SWITCH(G284, 1, $G$21, 2, $H$21, 3, $I$21, 4, $J$21)</f>
        <v>270</v>
      </c>
    </row>
    <row r="285" spans="1:15">
      <c r="E285" s="4"/>
      <c r="G285" s="23" t="s">
        <v>244</v>
      </c>
      <c r="H285" s="23">
        <v>0</v>
      </c>
      <c r="I285" s="23" t="s">
        <v>241</v>
      </c>
      <c r="J285" s="23" t="s">
        <v>245</v>
      </c>
    </row>
    <row r="286" spans="1:15">
      <c r="E286" s="4">
        <f t="shared" ref="E286:E304" si="224">ROW(E286)</f>
        <v>286</v>
      </c>
      <c r="F286" s="9" t="s">
        <v>104</v>
      </c>
      <c r="O286" s="23">
        <f t="shared" ref="O286" si="225">O274*10+1</f>
        <v>110121</v>
      </c>
    </row>
    <row r="287" spans="1:15">
      <c r="E287" s="4">
        <f t="shared" si="224"/>
        <v>287</v>
      </c>
      <c r="F287" s="9" t="s">
        <v>146</v>
      </c>
      <c r="O287" s="23">
        <f t="shared" ref="O287" si="226">O274</f>
        <v>11012</v>
      </c>
    </row>
    <row r="288" spans="1:15">
      <c r="E288" s="4">
        <f t="shared" si="224"/>
        <v>288</v>
      </c>
      <c r="F288" s="9" t="s">
        <v>130</v>
      </c>
      <c r="O288" s="23">
        <v>0</v>
      </c>
    </row>
    <row r="289" spans="1:15">
      <c r="E289" s="4">
        <f t="shared" si="224"/>
        <v>289</v>
      </c>
      <c r="F289" s="9" t="s">
        <v>35</v>
      </c>
      <c r="G289" s="23">
        <v>0</v>
      </c>
      <c r="H289" s="23">
        <v>90</v>
      </c>
      <c r="I289" s="23" t="s">
        <v>239</v>
      </c>
      <c r="J289" s="23">
        <v>0</v>
      </c>
      <c r="O289" s="23">
        <f t="shared" ref="O289" si="227">$H$25+IF(G289,$I$25,$J$25)</f>
        <v>90</v>
      </c>
    </row>
    <row r="290" spans="1:15">
      <c r="E290" s="4">
        <f t="shared" si="224"/>
        <v>290</v>
      </c>
      <c r="F290" s="9" t="s">
        <v>30</v>
      </c>
      <c r="O290" s="23">
        <v>0</v>
      </c>
    </row>
    <row r="291" spans="1:15">
      <c r="E291" s="4">
        <f t="shared" si="224"/>
        <v>291</v>
      </c>
      <c r="F291" s="9" t="s">
        <v>116</v>
      </c>
      <c r="L291" s="9" t="s">
        <v>137</v>
      </c>
      <c r="O291" s="23">
        <f t="shared" ref="O291" si="228">O279</f>
        <v>-90</v>
      </c>
    </row>
    <row r="292" spans="1:15">
      <c r="E292" s="4">
        <f t="shared" si="224"/>
        <v>292</v>
      </c>
      <c r="F292" s="9" t="s">
        <v>104</v>
      </c>
      <c r="O292" s="23">
        <f t="shared" ref="O292" si="229">O286+1</f>
        <v>110122</v>
      </c>
    </row>
    <row r="293" spans="1:15">
      <c r="E293" s="4">
        <f t="shared" si="224"/>
        <v>293</v>
      </c>
      <c r="F293" s="9" t="s">
        <v>146</v>
      </c>
      <c r="O293" s="23">
        <f t="shared" ref="O293" si="230">O286</f>
        <v>110121</v>
      </c>
    </row>
    <row r="294" spans="1:15">
      <c r="E294" s="4">
        <f t="shared" si="224"/>
        <v>294</v>
      </c>
      <c r="F294" s="9" t="s">
        <v>130</v>
      </c>
      <c r="O294" s="23">
        <v>0</v>
      </c>
    </row>
    <row r="295" spans="1:15">
      <c r="E295" s="4">
        <f t="shared" si="224"/>
        <v>295</v>
      </c>
      <c r="F295" s="9" t="s">
        <v>30</v>
      </c>
      <c r="H295" s="9"/>
      <c r="J295" s="9"/>
      <c r="O295" s="23">
        <v>3</v>
      </c>
    </row>
    <row r="296" spans="1:15">
      <c r="E296" s="4">
        <f t="shared" si="224"/>
        <v>296</v>
      </c>
      <c r="F296" s="9" t="s">
        <v>116</v>
      </c>
      <c r="H296" s="9"/>
      <c r="J296" s="9"/>
      <c r="L296" s="9" t="s">
        <v>137</v>
      </c>
      <c r="O296" s="23">
        <f t="shared" ref="O296" si="231">O291</f>
        <v>-90</v>
      </c>
    </row>
    <row r="297" spans="1:15">
      <c r="A297" s="22" t="s">
        <v>238</v>
      </c>
      <c r="B297" s="22">
        <f t="shared" ref="B297" si="232">QUOTIENT( D297-1,G298)+1</f>
        <v>2</v>
      </c>
      <c r="C297" s="22">
        <f t="shared" ref="C297" si="233">D297-(B297-1)*G298</f>
        <v>5</v>
      </c>
      <c r="D297" s="22">
        <f>COUNT($D$8:$D296)+1</f>
        <v>13</v>
      </c>
      <c r="E297" s="4"/>
    </row>
    <row r="298" spans="1:15">
      <c r="E298" s="4">
        <f t="shared" si="224"/>
        <v>298</v>
      </c>
      <c r="F298" s="9" t="s">
        <v>96</v>
      </c>
      <c r="G298" s="23">
        <v>8</v>
      </c>
      <c r="H298" s="23">
        <v>5</v>
      </c>
      <c r="J298" s="23">
        <v>11000</v>
      </c>
      <c r="O298" s="23">
        <f t="shared" ref="O298" si="234">$J$10+D297</f>
        <v>11013</v>
      </c>
    </row>
    <row r="299" spans="1:15">
      <c r="E299" s="4">
        <f t="shared" si="224"/>
        <v>299</v>
      </c>
      <c r="F299" s="9" t="s">
        <v>155</v>
      </c>
      <c r="G299" s="9">
        <v>2650</v>
      </c>
      <c r="H299" s="9" t="s">
        <v>241</v>
      </c>
      <c r="I299" s="9"/>
      <c r="J299" s="9"/>
      <c r="O299" s="23">
        <f t="shared" ref="O299" si="235">G299+H299*(B297-1)</f>
        <v>2740</v>
      </c>
    </row>
    <row r="300" spans="1:15">
      <c r="E300" s="4">
        <f t="shared" si="224"/>
        <v>300</v>
      </c>
      <c r="F300" s="9" t="s">
        <v>35</v>
      </c>
      <c r="O300" s="23">
        <v>60</v>
      </c>
    </row>
    <row r="301" spans="1:15">
      <c r="E301" s="4">
        <f t="shared" si="224"/>
        <v>301</v>
      </c>
      <c r="F301" s="9" t="s">
        <v>29</v>
      </c>
      <c r="O301" s="23" t="s">
        <v>148</v>
      </c>
    </row>
    <row r="302" spans="1:15">
      <c r="E302" s="4">
        <f t="shared" si="224"/>
        <v>302</v>
      </c>
      <c r="F302" s="9" t="s">
        <v>121</v>
      </c>
      <c r="O302" s="23" t="s">
        <v>147</v>
      </c>
    </row>
    <row r="303" spans="1:15">
      <c r="E303" s="4">
        <f t="shared" si="224"/>
        <v>303</v>
      </c>
      <c r="F303" s="9" t="s">
        <v>116</v>
      </c>
      <c r="G303" s="23" t="b">
        <f t="shared" ref="G303" si="236">MOD(B297,2)=0</f>
        <v>1</v>
      </c>
      <c r="H303" s="23">
        <v>-90</v>
      </c>
      <c r="I303" s="23" t="s">
        <v>241</v>
      </c>
      <c r="L303" s="9" t="s">
        <v>137</v>
      </c>
      <c r="O303" s="23">
        <f t="shared" ref="O303" si="237">IF(G303,$H$15,$I$15)</f>
        <v>-90</v>
      </c>
    </row>
    <row r="304" spans="1:15">
      <c r="E304" s="4">
        <f t="shared" si="224"/>
        <v>304</v>
      </c>
      <c r="F304" s="9" t="s">
        <v>101</v>
      </c>
      <c r="G304" s="23">
        <f t="shared" ref="G304" si="238">MOD(D297-1,4)+1</f>
        <v>1</v>
      </c>
      <c r="K304" s="9" t="s">
        <v>139</v>
      </c>
      <c r="O304" s="23" t="str" cm="1">
        <f t="array" aca="1" ref="O304" ca="1">_xlfn.SWITCH(G304, 1, G306, 2, H306, 3, I306, 4, J306)</f>
        <v>6,-1.2</v>
      </c>
    </row>
    <row r="305" spans="5:15">
      <c r="E305" s="4"/>
      <c r="G305" s="23" t="s">
        <v>32</v>
      </c>
      <c r="H305" s="23" t="s">
        <v>242</v>
      </c>
      <c r="I305" s="23">
        <v>4.8</v>
      </c>
      <c r="J305" s="23" t="s">
        <v>243</v>
      </c>
    </row>
    <row r="306" spans="5:15">
      <c r="E306" s="4"/>
      <c r="G306" s="23" t="str">
        <f t="shared" ref="G306" ca="1" si="239">CONCATENATE($G$17,",",RANDBETWEEN($J$17*10,$I$17*10)/10)</f>
        <v>6,-1.2</v>
      </c>
      <c r="H306" s="23" t="str">
        <f t="shared" ref="H306" ca="1" si="240">CONCATENATE($H$17,",",RANDBETWEEN($J$17*10,$I$17*10)/10)</f>
        <v>-6,-4</v>
      </c>
      <c r="I306" s="23" t="str">
        <f t="shared" ref="I306" ca="1" si="241">CONCATENATE(RANDBETWEEN($J$17*10,$I$17*10)/10,",",$H$17)</f>
        <v>2.2,-6</v>
      </c>
      <c r="J306" s="23" t="str">
        <f t="shared" ref="J306" ca="1" si="242">CONCATENATE(RANDBETWEEN($J$17*10,$I$17*10)/10,",",$G$17)</f>
        <v>3.6,6</v>
      </c>
    </row>
    <row r="307" spans="5:15">
      <c r="E307" s="4">
        <f t="shared" ref="E307:E308" si="243">ROW(E307)</f>
        <v>307</v>
      </c>
      <c r="F307" s="9" t="s">
        <v>30</v>
      </c>
      <c r="O307" s="23">
        <v>1.4</v>
      </c>
    </row>
    <row r="308" spans="5:15">
      <c r="E308" s="4">
        <f t="shared" si="243"/>
        <v>308</v>
      </c>
      <c r="F308" s="9" t="s">
        <v>31</v>
      </c>
      <c r="G308" s="23">
        <f t="shared" ref="G308" si="244">MOD(D297-1,4)+1</f>
        <v>1</v>
      </c>
      <c r="L308" s="9" t="s">
        <v>137</v>
      </c>
      <c r="O308" s="23" t="str" cm="1">
        <f t="array" ref="O308">_xlfn.SWITCH(G308, 1, $G$21, 2, $H$21, 3, $I$21, 4, $J$21)</f>
        <v>180</v>
      </c>
    </row>
    <row r="309" spans="5:15">
      <c r="E309" s="4"/>
      <c r="G309" s="23" t="s">
        <v>244</v>
      </c>
      <c r="H309" s="23">
        <v>0</v>
      </c>
      <c r="I309" s="23" t="s">
        <v>241</v>
      </c>
      <c r="J309" s="23" t="s">
        <v>245</v>
      </c>
    </row>
    <row r="310" spans="5:15">
      <c r="E310" s="4">
        <f t="shared" ref="E310:E328" si="245">ROW(E310)</f>
        <v>310</v>
      </c>
      <c r="F310" s="9" t="s">
        <v>104</v>
      </c>
      <c r="O310" s="23">
        <f t="shared" ref="O310" si="246">O298*10+1</f>
        <v>110131</v>
      </c>
    </row>
    <row r="311" spans="5:15">
      <c r="E311" s="4">
        <f t="shared" si="245"/>
        <v>311</v>
      </c>
      <c r="F311" s="9" t="s">
        <v>146</v>
      </c>
      <c r="O311" s="23">
        <f t="shared" ref="O311" si="247">O298</f>
        <v>11013</v>
      </c>
    </row>
    <row r="312" spans="5:15">
      <c r="E312" s="4">
        <f t="shared" si="245"/>
        <v>312</v>
      </c>
      <c r="F312" s="9" t="s">
        <v>130</v>
      </c>
      <c r="O312" s="23">
        <v>0</v>
      </c>
    </row>
    <row r="313" spans="5:15">
      <c r="E313" s="4">
        <f t="shared" si="245"/>
        <v>313</v>
      </c>
      <c r="F313" s="9" t="s">
        <v>35</v>
      </c>
      <c r="G313" s="23">
        <v>0</v>
      </c>
      <c r="H313" s="23">
        <v>90</v>
      </c>
      <c r="I313" s="23" t="s">
        <v>239</v>
      </c>
      <c r="J313" s="23">
        <v>0</v>
      </c>
      <c r="O313" s="23">
        <f t="shared" ref="O313" si="248">$H$25+IF(G313,$I$25,$J$25)</f>
        <v>90</v>
      </c>
    </row>
    <row r="314" spans="5:15">
      <c r="E314" s="4">
        <f t="shared" si="245"/>
        <v>314</v>
      </c>
      <c r="F314" s="9" t="s">
        <v>30</v>
      </c>
      <c r="O314" s="23">
        <v>0</v>
      </c>
    </row>
    <row r="315" spans="5:15">
      <c r="E315" s="4">
        <f t="shared" si="245"/>
        <v>315</v>
      </c>
      <c r="F315" s="9" t="s">
        <v>116</v>
      </c>
      <c r="L315" s="9" t="s">
        <v>137</v>
      </c>
      <c r="O315" s="23">
        <f t="shared" ref="O315" si="249">O303</f>
        <v>-90</v>
      </c>
    </row>
    <row r="316" spans="5:15">
      <c r="E316" s="4">
        <f t="shared" si="245"/>
        <v>316</v>
      </c>
      <c r="F316" s="9" t="s">
        <v>104</v>
      </c>
      <c r="O316" s="23">
        <f t="shared" ref="O316" si="250">O310+1</f>
        <v>110132</v>
      </c>
    </row>
    <row r="317" spans="5:15">
      <c r="E317" s="4">
        <f t="shared" si="245"/>
        <v>317</v>
      </c>
      <c r="F317" s="9" t="s">
        <v>146</v>
      </c>
      <c r="O317" s="23">
        <f t="shared" ref="O317" si="251">O310</f>
        <v>110131</v>
      </c>
    </row>
    <row r="318" spans="5:15">
      <c r="E318" s="4">
        <f t="shared" si="245"/>
        <v>318</v>
      </c>
      <c r="F318" s="9" t="s">
        <v>130</v>
      </c>
      <c r="H318" s="9"/>
      <c r="J318" s="9"/>
      <c r="O318" s="23">
        <v>0</v>
      </c>
    </row>
    <row r="319" spans="5:15">
      <c r="E319" s="4">
        <f t="shared" si="245"/>
        <v>319</v>
      </c>
      <c r="F319" s="9" t="s">
        <v>30</v>
      </c>
      <c r="H319" s="9"/>
      <c r="J319" s="9"/>
      <c r="O319" s="23">
        <v>3</v>
      </c>
    </row>
    <row r="320" spans="5:15">
      <c r="E320" s="4">
        <f t="shared" si="245"/>
        <v>320</v>
      </c>
      <c r="F320" s="9" t="s">
        <v>116</v>
      </c>
      <c r="L320" s="9" t="s">
        <v>137</v>
      </c>
      <c r="O320" s="23">
        <f t="shared" ref="O320" si="252">O315</f>
        <v>-90</v>
      </c>
    </row>
    <row r="321" spans="1:15">
      <c r="A321" s="22" t="s">
        <v>238</v>
      </c>
      <c r="B321" s="22">
        <f t="shared" ref="B321" si="253">QUOTIENT( D321-1,G322)+1</f>
        <v>2</v>
      </c>
      <c r="C321" s="22">
        <f t="shared" ref="C321" si="254">D321-(B321-1)*G322</f>
        <v>6</v>
      </c>
      <c r="D321" s="22">
        <f>COUNT($D$8:$D320)+1</f>
        <v>14</v>
      </c>
      <c r="E321" s="4"/>
    </row>
    <row r="322" spans="1:15">
      <c r="E322" s="4">
        <f t="shared" si="245"/>
        <v>322</v>
      </c>
      <c r="F322" s="9" t="s">
        <v>96</v>
      </c>
      <c r="G322" s="9">
        <v>8</v>
      </c>
      <c r="H322" s="9">
        <v>5</v>
      </c>
      <c r="I322" s="9"/>
      <c r="J322" s="9">
        <v>11000</v>
      </c>
      <c r="O322" s="23">
        <f t="shared" ref="O322" si="255">$J$10+D321</f>
        <v>11014</v>
      </c>
    </row>
    <row r="323" spans="1:15">
      <c r="E323" s="4">
        <f t="shared" si="245"/>
        <v>323</v>
      </c>
      <c r="F323" s="9" t="s">
        <v>155</v>
      </c>
      <c r="G323" s="23">
        <v>2650</v>
      </c>
      <c r="H323" s="23" t="s">
        <v>241</v>
      </c>
      <c r="O323" s="23">
        <f t="shared" ref="O323" si="256">G323+H323*(B321-1)</f>
        <v>2740</v>
      </c>
    </row>
    <row r="324" spans="1:15">
      <c r="E324" s="4">
        <f t="shared" si="245"/>
        <v>324</v>
      </c>
      <c r="F324" s="9" t="s">
        <v>35</v>
      </c>
      <c r="O324" s="23">
        <v>60</v>
      </c>
    </row>
    <row r="325" spans="1:15">
      <c r="E325" s="4">
        <f t="shared" si="245"/>
        <v>325</v>
      </c>
      <c r="F325" s="9" t="s">
        <v>29</v>
      </c>
      <c r="O325" s="23" t="s">
        <v>148</v>
      </c>
    </row>
    <row r="326" spans="1:15">
      <c r="E326" s="4">
        <f t="shared" si="245"/>
        <v>326</v>
      </c>
      <c r="F326" s="9" t="s">
        <v>121</v>
      </c>
      <c r="O326" s="23" t="s">
        <v>147</v>
      </c>
    </row>
    <row r="327" spans="1:15">
      <c r="E327" s="4">
        <f t="shared" si="245"/>
        <v>327</v>
      </c>
      <c r="F327" s="9" t="s">
        <v>116</v>
      </c>
      <c r="G327" s="23" t="b">
        <f t="shared" ref="G327" si="257">MOD(B321,2)=0</f>
        <v>1</v>
      </c>
      <c r="H327" s="23">
        <v>-90</v>
      </c>
      <c r="I327" s="23" t="s">
        <v>241</v>
      </c>
      <c r="L327" s="9" t="s">
        <v>137</v>
      </c>
      <c r="O327" s="23">
        <f t="shared" ref="O327" si="258">IF(G327,$H$15,$I$15)</f>
        <v>-90</v>
      </c>
    </row>
    <row r="328" spans="1:15">
      <c r="E328" s="4">
        <f t="shared" si="245"/>
        <v>328</v>
      </c>
      <c r="F328" s="9" t="s">
        <v>101</v>
      </c>
      <c r="G328" s="23">
        <f t="shared" ref="G328" si="259">MOD(D321-1,4)+1</f>
        <v>2</v>
      </c>
      <c r="K328" s="9" t="s">
        <v>139</v>
      </c>
      <c r="O328" s="23" t="str" cm="1">
        <f t="array" aca="1" ref="O328" ca="1">_xlfn.SWITCH(G328, 1, G330, 2, H330, 3, I330, 4, J330)</f>
        <v>-6,0.4</v>
      </c>
    </row>
    <row r="329" spans="1:15">
      <c r="E329" s="4"/>
      <c r="G329" s="23" t="s">
        <v>32</v>
      </c>
      <c r="H329" s="23" t="s">
        <v>242</v>
      </c>
      <c r="I329" s="23">
        <v>4.8</v>
      </c>
      <c r="J329" s="23" t="s">
        <v>243</v>
      </c>
    </row>
    <row r="330" spans="1:15">
      <c r="E330" s="4"/>
      <c r="G330" s="23" t="str">
        <f t="shared" ref="G330" ca="1" si="260">CONCATENATE($G$17,",",RANDBETWEEN($J$17*10,$I$17*10)/10)</f>
        <v>6,2.9</v>
      </c>
      <c r="H330" s="23" t="str">
        <f t="shared" ref="H330" ca="1" si="261">CONCATENATE($H$17,",",RANDBETWEEN($J$17*10,$I$17*10)/10)</f>
        <v>-6,0.4</v>
      </c>
      <c r="I330" s="23" t="str">
        <f t="shared" ref="I330" ca="1" si="262">CONCATENATE(RANDBETWEEN($J$17*10,$I$17*10)/10,",",$H$17)</f>
        <v>2.9,-6</v>
      </c>
      <c r="J330" s="23" t="str">
        <f t="shared" ref="J330" ca="1" si="263">CONCATENATE(RANDBETWEEN($J$17*10,$I$17*10)/10,",",$G$17)</f>
        <v>0.2,6</v>
      </c>
    </row>
    <row r="331" spans="1:15">
      <c r="E331" s="4">
        <f t="shared" ref="E331:E332" si="264">ROW(E331)</f>
        <v>331</v>
      </c>
      <c r="F331" s="9" t="s">
        <v>30</v>
      </c>
      <c r="O331" s="23">
        <v>1.4</v>
      </c>
    </row>
    <row r="332" spans="1:15">
      <c r="E332" s="4">
        <f t="shared" si="264"/>
        <v>332</v>
      </c>
      <c r="F332" s="9" t="s">
        <v>31</v>
      </c>
      <c r="G332" s="23">
        <f t="shared" ref="G332" si="265">MOD(D321-1,4)+1</f>
        <v>2</v>
      </c>
      <c r="L332" s="9" t="s">
        <v>137</v>
      </c>
      <c r="O332" s="23" cm="1">
        <f t="array" ref="O332">_xlfn.SWITCH(G332, 1, $G$21, 2, $H$21, 3, $I$21, 4, $J$21)</f>
        <v>0</v>
      </c>
    </row>
    <row r="333" spans="1:15">
      <c r="E333" s="4"/>
      <c r="G333" s="23" t="s">
        <v>244</v>
      </c>
      <c r="H333" s="23">
        <v>0</v>
      </c>
      <c r="I333" s="23" t="s">
        <v>241</v>
      </c>
      <c r="J333" s="23" t="s">
        <v>245</v>
      </c>
    </row>
    <row r="334" spans="1:15">
      <c r="E334" s="4">
        <f t="shared" ref="E334:E352" si="266">ROW(E334)</f>
        <v>334</v>
      </c>
      <c r="F334" s="9" t="s">
        <v>104</v>
      </c>
      <c r="O334" s="23">
        <f t="shared" ref="O334" si="267">O322*10+1</f>
        <v>110141</v>
      </c>
    </row>
    <row r="335" spans="1:15">
      <c r="E335" s="4">
        <f t="shared" si="266"/>
        <v>335</v>
      </c>
      <c r="F335" s="9" t="s">
        <v>146</v>
      </c>
      <c r="O335" s="23">
        <f t="shared" ref="O335" si="268">O322</f>
        <v>11014</v>
      </c>
    </row>
    <row r="336" spans="1:15">
      <c r="E336" s="4">
        <f t="shared" si="266"/>
        <v>336</v>
      </c>
      <c r="F336" s="9" t="s">
        <v>130</v>
      </c>
      <c r="O336" s="23">
        <v>0</v>
      </c>
    </row>
    <row r="337" spans="1:15">
      <c r="E337" s="4">
        <f t="shared" si="266"/>
        <v>337</v>
      </c>
      <c r="F337" s="9" t="s">
        <v>35</v>
      </c>
      <c r="G337" s="23">
        <v>0</v>
      </c>
      <c r="H337" s="23">
        <v>90</v>
      </c>
      <c r="I337" s="23" t="s">
        <v>239</v>
      </c>
      <c r="J337" s="23">
        <v>0</v>
      </c>
      <c r="O337" s="23">
        <f t="shared" ref="O337" si="269">$H$25+IF(G337,$I$25,$J$25)</f>
        <v>90</v>
      </c>
    </row>
    <row r="338" spans="1:15">
      <c r="E338" s="4">
        <f t="shared" si="266"/>
        <v>338</v>
      </c>
      <c r="F338" s="9" t="s">
        <v>30</v>
      </c>
      <c r="O338" s="23">
        <v>0</v>
      </c>
    </row>
    <row r="339" spans="1:15">
      <c r="E339" s="4">
        <f t="shared" si="266"/>
        <v>339</v>
      </c>
      <c r="F339" s="9" t="s">
        <v>116</v>
      </c>
      <c r="L339" s="9" t="s">
        <v>137</v>
      </c>
      <c r="O339" s="23">
        <f t="shared" ref="O339" si="270">O327</f>
        <v>-90</v>
      </c>
    </row>
    <row r="340" spans="1:15">
      <c r="E340" s="4">
        <f t="shared" si="266"/>
        <v>340</v>
      </c>
      <c r="F340" s="9" t="s">
        <v>104</v>
      </c>
      <c r="O340" s="23">
        <f t="shared" ref="O340" si="271">O334+1</f>
        <v>110142</v>
      </c>
    </row>
    <row r="341" spans="1:15">
      <c r="E341" s="4">
        <f t="shared" si="266"/>
        <v>341</v>
      </c>
      <c r="F341" s="9" t="s">
        <v>146</v>
      </c>
      <c r="H341" s="9"/>
      <c r="J341" s="9"/>
      <c r="O341" s="23">
        <f t="shared" ref="O341" si="272">O334</f>
        <v>110141</v>
      </c>
    </row>
    <row r="342" spans="1:15">
      <c r="E342" s="4">
        <f t="shared" si="266"/>
        <v>342</v>
      </c>
      <c r="F342" s="9" t="s">
        <v>130</v>
      </c>
      <c r="H342" s="9"/>
      <c r="J342" s="9"/>
      <c r="O342" s="23">
        <v>0</v>
      </c>
    </row>
    <row r="343" spans="1:15">
      <c r="E343" s="4">
        <f t="shared" si="266"/>
        <v>343</v>
      </c>
      <c r="F343" s="9" t="s">
        <v>30</v>
      </c>
      <c r="O343" s="23">
        <v>3</v>
      </c>
    </row>
    <row r="344" spans="1:15">
      <c r="E344" s="4">
        <f t="shared" si="266"/>
        <v>344</v>
      </c>
      <c r="F344" s="9" t="s">
        <v>116</v>
      </c>
      <c r="L344" s="9" t="s">
        <v>137</v>
      </c>
      <c r="O344" s="23">
        <f t="shared" ref="O344" si="273">O339</f>
        <v>-90</v>
      </c>
    </row>
    <row r="345" spans="1:15">
      <c r="A345" s="22" t="s">
        <v>238</v>
      </c>
      <c r="B345" s="22">
        <f t="shared" ref="B345" si="274">QUOTIENT( D345-1,G346)+1</f>
        <v>2</v>
      </c>
      <c r="C345" s="22">
        <f t="shared" ref="C345" si="275">D345-(B345-1)*G346</f>
        <v>7</v>
      </c>
      <c r="D345" s="22">
        <f>COUNT($D$8:$D344)+1</f>
        <v>15</v>
      </c>
      <c r="E345" s="4"/>
      <c r="G345" s="9"/>
      <c r="H345" s="9"/>
      <c r="I345" s="9"/>
      <c r="J345" s="9"/>
    </row>
    <row r="346" spans="1:15">
      <c r="E346" s="4">
        <f t="shared" si="266"/>
        <v>346</v>
      </c>
      <c r="F346" s="9" t="s">
        <v>96</v>
      </c>
      <c r="G346" s="23">
        <v>8</v>
      </c>
      <c r="H346" s="23">
        <v>5</v>
      </c>
      <c r="J346" s="23">
        <v>11000</v>
      </c>
      <c r="O346" s="23">
        <f t="shared" ref="O346" si="276">$J$10+D345</f>
        <v>11015</v>
      </c>
    </row>
    <row r="347" spans="1:15">
      <c r="E347" s="4">
        <f t="shared" si="266"/>
        <v>347</v>
      </c>
      <c r="F347" s="9" t="s">
        <v>155</v>
      </c>
      <c r="G347" s="23">
        <v>2650</v>
      </c>
      <c r="H347" s="23" t="s">
        <v>241</v>
      </c>
      <c r="O347" s="23">
        <f t="shared" ref="O347" si="277">G347+H347*(B345-1)</f>
        <v>2740</v>
      </c>
    </row>
    <row r="348" spans="1:15">
      <c r="E348" s="4">
        <f t="shared" si="266"/>
        <v>348</v>
      </c>
      <c r="F348" s="9" t="s">
        <v>35</v>
      </c>
      <c r="O348" s="23">
        <v>60</v>
      </c>
    </row>
    <row r="349" spans="1:15">
      <c r="E349" s="4">
        <f t="shared" si="266"/>
        <v>349</v>
      </c>
      <c r="F349" s="9" t="s">
        <v>29</v>
      </c>
      <c r="O349" s="23" t="s">
        <v>148</v>
      </c>
    </row>
    <row r="350" spans="1:15">
      <c r="E350" s="4">
        <f t="shared" si="266"/>
        <v>350</v>
      </c>
      <c r="F350" s="9" t="s">
        <v>121</v>
      </c>
      <c r="O350" s="23" t="s">
        <v>147</v>
      </c>
    </row>
    <row r="351" spans="1:15">
      <c r="E351" s="4">
        <f t="shared" si="266"/>
        <v>351</v>
      </c>
      <c r="F351" s="9" t="s">
        <v>116</v>
      </c>
      <c r="G351" s="23" t="b">
        <f t="shared" ref="G351" si="278">MOD(B345,2)=0</f>
        <v>1</v>
      </c>
      <c r="H351" s="23">
        <v>-90</v>
      </c>
      <c r="I351" s="23" t="s">
        <v>241</v>
      </c>
      <c r="L351" s="9" t="s">
        <v>137</v>
      </c>
      <c r="O351" s="23">
        <f t="shared" ref="O351" si="279">IF(G351,$H$15,$I$15)</f>
        <v>-90</v>
      </c>
    </row>
    <row r="352" spans="1:15">
      <c r="E352" s="4">
        <f t="shared" si="266"/>
        <v>352</v>
      </c>
      <c r="F352" s="9" t="s">
        <v>101</v>
      </c>
      <c r="G352" s="23">
        <f t="shared" ref="G352" si="280">MOD(D345-1,4)+1</f>
        <v>3</v>
      </c>
      <c r="K352" s="9" t="s">
        <v>139</v>
      </c>
      <c r="O352" s="23" t="str" cm="1">
        <f t="array" aca="1" ref="O352" ca="1">_xlfn.SWITCH(G352, 1, G354, 2, H354, 3, I354, 4, J354)</f>
        <v>-0.2,-6</v>
      </c>
    </row>
    <row r="353" spans="5:15">
      <c r="E353" s="4"/>
      <c r="G353" s="23" t="s">
        <v>32</v>
      </c>
      <c r="H353" s="23" t="s">
        <v>242</v>
      </c>
      <c r="I353" s="23">
        <v>4.8</v>
      </c>
      <c r="J353" s="23" t="s">
        <v>243</v>
      </c>
    </row>
    <row r="354" spans="5:15">
      <c r="E354" s="4"/>
      <c r="G354" s="23" t="str">
        <f t="shared" ref="G354" ca="1" si="281">CONCATENATE($G$17,",",RANDBETWEEN($J$17*10,$I$17*10)/10)</f>
        <v>6,0.1</v>
      </c>
      <c r="H354" s="23" t="str">
        <f t="shared" ref="H354" ca="1" si="282">CONCATENATE($H$17,",",RANDBETWEEN($J$17*10,$I$17*10)/10)</f>
        <v>-6,3.1</v>
      </c>
      <c r="I354" s="23" t="str">
        <f t="shared" ref="I354" ca="1" si="283">CONCATENATE(RANDBETWEEN($J$17*10,$I$17*10)/10,",",$H$17)</f>
        <v>-0.2,-6</v>
      </c>
      <c r="J354" s="23" t="str">
        <f t="shared" ref="J354" ca="1" si="284">CONCATENATE(RANDBETWEEN($J$17*10,$I$17*10)/10,",",$G$17)</f>
        <v>0.7,6</v>
      </c>
    </row>
    <row r="355" spans="5:15">
      <c r="E355" s="4">
        <f t="shared" ref="E355:E356" si="285">ROW(E355)</f>
        <v>355</v>
      </c>
      <c r="F355" s="9" t="s">
        <v>30</v>
      </c>
      <c r="O355" s="23">
        <v>1.4</v>
      </c>
    </row>
    <row r="356" spans="5:15">
      <c r="E356" s="4">
        <f t="shared" si="285"/>
        <v>356</v>
      </c>
      <c r="F356" s="9" t="s">
        <v>31</v>
      </c>
      <c r="G356" s="23">
        <f t="shared" ref="G356" si="286">MOD(D345-1,4)+1</f>
        <v>3</v>
      </c>
      <c r="L356" s="9" t="s">
        <v>137</v>
      </c>
      <c r="O356" s="23" t="str" cm="1">
        <f t="array" ref="O356">_xlfn.SWITCH(G356, 1, $G$21, 2, $H$21, 3, $I$21, 4, $J$21)</f>
        <v>90</v>
      </c>
    </row>
    <row r="357" spans="5:15">
      <c r="E357" s="4"/>
      <c r="G357" s="23" t="s">
        <v>244</v>
      </c>
      <c r="H357" s="23">
        <v>0</v>
      </c>
      <c r="I357" s="23" t="s">
        <v>241</v>
      </c>
      <c r="J357" s="23" t="s">
        <v>245</v>
      </c>
    </row>
    <row r="358" spans="5:15">
      <c r="E358" s="4">
        <f t="shared" ref="E358:E376" si="287">ROW(E358)</f>
        <v>358</v>
      </c>
      <c r="F358" s="9" t="s">
        <v>104</v>
      </c>
      <c r="O358" s="23">
        <f t="shared" ref="O358" si="288">O346*10+1</f>
        <v>110151</v>
      </c>
    </row>
    <row r="359" spans="5:15">
      <c r="E359" s="4">
        <f t="shared" si="287"/>
        <v>359</v>
      </c>
      <c r="F359" s="9" t="s">
        <v>146</v>
      </c>
      <c r="O359" s="23">
        <f t="shared" ref="O359" si="289">O346</f>
        <v>11015</v>
      </c>
    </row>
    <row r="360" spans="5:15">
      <c r="E360" s="4">
        <f t="shared" si="287"/>
        <v>360</v>
      </c>
      <c r="F360" s="9" t="s">
        <v>130</v>
      </c>
      <c r="O360" s="23">
        <v>0</v>
      </c>
    </row>
    <row r="361" spans="5:15">
      <c r="E361" s="4">
        <f t="shared" si="287"/>
        <v>361</v>
      </c>
      <c r="F361" s="9" t="s">
        <v>35</v>
      </c>
      <c r="G361" s="23">
        <v>0</v>
      </c>
      <c r="H361" s="23">
        <v>90</v>
      </c>
      <c r="I361" s="23" t="s">
        <v>239</v>
      </c>
      <c r="J361" s="23">
        <v>0</v>
      </c>
      <c r="O361" s="23">
        <f t="shared" ref="O361" si="290">$H$25+IF(G361,$I$25,$J$25)</f>
        <v>90</v>
      </c>
    </row>
    <row r="362" spans="5:15">
      <c r="E362" s="4">
        <f t="shared" si="287"/>
        <v>362</v>
      </c>
      <c r="F362" s="9" t="s">
        <v>30</v>
      </c>
      <c r="O362" s="23">
        <v>0</v>
      </c>
    </row>
    <row r="363" spans="5:15">
      <c r="E363" s="4">
        <f t="shared" si="287"/>
        <v>363</v>
      </c>
      <c r="F363" s="9" t="s">
        <v>116</v>
      </c>
      <c r="L363" s="9" t="s">
        <v>137</v>
      </c>
      <c r="O363" s="23">
        <f t="shared" ref="O363" si="291">O351</f>
        <v>-90</v>
      </c>
    </row>
    <row r="364" spans="5:15">
      <c r="E364" s="4">
        <f t="shared" si="287"/>
        <v>364</v>
      </c>
      <c r="F364" s="9" t="s">
        <v>104</v>
      </c>
      <c r="H364" s="9"/>
      <c r="J364" s="9"/>
      <c r="O364" s="23">
        <f t="shared" ref="O364" si="292">O358+1</f>
        <v>110152</v>
      </c>
    </row>
    <row r="365" spans="5:15">
      <c r="E365" s="4">
        <f t="shared" si="287"/>
        <v>365</v>
      </c>
      <c r="F365" s="9" t="s">
        <v>146</v>
      </c>
      <c r="H365" s="9"/>
      <c r="J365" s="9"/>
      <c r="O365" s="23">
        <f t="shared" ref="O365" si="293">O358</f>
        <v>110151</v>
      </c>
    </row>
    <row r="366" spans="5:15">
      <c r="E366" s="4">
        <f t="shared" si="287"/>
        <v>366</v>
      </c>
      <c r="F366" s="9" t="s">
        <v>130</v>
      </c>
      <c r="O366" s="23">
        <v>0</v>
      </c>
    </row>
    <row r="367" spans="5:15">
      <c r="E367" s="4">
        <f t="shared" si="287"/>
        <v>367</v>
      </c>
      <c r="F367" s="9" t="s">
        <v>30</v>
      </c>
      <c r="O367" s="23">
        <v>3</v>
      </c>
    </row>
    <row r="368" spans="5:15">
      <c r="E368" s="4">
        <f t="shared" si="287"/>
        <v>368</v>
      </c>
      <c r="F368" s="9" t="s">
        <v>116</v>
      </c>
      <c r="G368" s="9"/>
      <c r="H368" s="9"/>
      <c r="I368" s="9"/>
      <c r="J368" s="9"/>
      <c r="L368" s="9" t="s">
        <v>137</v>
      </c>
      <c r="O368" s="23">
        <f t="shared" ref="O368" si="294">O363</f>
        <v>-90</v>
      </c>
    </row>
    <row r="369" spans="1:15">
      <c r="A369" s="22" t="s">
        <v>238</v>
      </c>
      <c r="B369" s="22">
        <f t="shared" ref="B369" si="295">QUOTIENT( D369-1,G370)+1</f>
        <v>2</v>
      </c>
      <c r="C369" s="22">
        <f t="shared" ref="C369" si="296">D369-(B369-1)*G370</f>
        <v>8</v>
      </c>
      <c r="D369" s="22">
        <f>COUNT($D$8:$D368)+1</f>
        <v>16</v>
      </c>
      <c r="E369" s="4"/>
    </row>
    <row r="370" spans="1:15">
      <c r="E370" s="4">
        <f t="shared" si="287"/>
        <v>370</v>
      </c>
      <c r="F370" s="9" t="s">
        <v>96</v>
      </c>
      <c r="G370" s="23">
        <v>8</v>
      </c>
      <c r="H370" s="23">
        <v>5</v>
      </c>
      <c r="J370" s="23">
        <v>11000</v>
      </c>
      <c r="O370" s="23">
        <f t="shared" ref="O370" si="297">$J$10+D369</f>
        <v>11016</v>
      </c>
    </row>
    <row r="371" spans="1:15">
      <c r="E371" s="4">
        <f t="shared" si="287"/>
        <v>371</v>
      </c>
      <c r="F371" s="9" t="s">
        <v>155</v>
      </c>
      <c r="G371" s="23">
        <v>2650</v>
      </c>
      <c r="H371" s="23" t="s">
        <v>241</v>
      </c>
      <c r="O371" s="23">
        <f t="shared" ref="O371" si="298">G371+H371*(B369-1)</f>
        <v>2740</v>
      </c>
    </row>
    <row r="372" spans="1:15">
      <c r="E372" s="4">
        <f t="shared" si="287"/>
        <v>372</v>
      </c>
      <c r="F372" s="9" t="s">
        <v>35</v>
      </c>
      <c r="O372" s="23">
        <v>60</v>
      </c>
    </row>
    <row r="373" spans="1:15">
      <c r="E373" s="4">
        <f t="shared" si="287"/>
        <v>373</v>
      </c>
      <c r="F373" s="9" t="s">
        <v>29</v>
      </c>
      <c r="O373" s="23" t="s">
        <v>148</v>
      </c>
    </row>
    <row r="374" spans="1:15">
      <c r="E374" s="4">
        <f t="shared" si="287"/>
        <v>374</v>
      </c>
      <c r="F374" s="9" t="s">
        <v>121</v>
      </c>
      <c r="O374" s="23" t="s">
        <v>147</v>
      </c>
    </row>
    <row r="375" spans="1:15">
      <c r="E375" s="4">
        <f t="shared" si="287"/>
        <v>375</v>
      </c>
      <c r="F375" s="9" t="s">
        <v>116</v>
      </c>
      <c r="G375" s="23" t="b">
        <f t="shared" ref="G375" si="299">MOD(B369,2)=0</f>
        <v>1</v>
      </c>
      <c r="H375" s="23">
        <v>-90</v>
      </c>
      <c r="I375" s="23" t="s">
        <v>241</v>
      </c>
      <c r="L375" s="9" t="s">
        <v>137</v>
      </c>
      <c r="O375" s="23">
        <f t="shared" ref="O375" si="300">IF(G375,$H$15,$I$15)</f>
        <v>-90</v>
      </c>
    </row>
    <row r="376" spans="1:15">
      <c r="E376" s="4">
        <f t="shared" si="287"/>
        <v>376</v>
      </c>
      <c r="F376" s="9" t="s">
        <v>101</v>
      </c>
      <c r="G376" s="23">
        <f t="shared" ref="G376" si="301">MOD(D369-1,4)+1</f>
        <v>4</v>
      </c>
      <c r="K376" s="9" t="s">
        <v>139</v>
      </c>
      <c r="O376" s="23" t="str" cm="1">
        <f t="array" aca="1" ref="O376" ca="1">_xlfn.SWITCH(G376, 1, G378, 2, H378, 3, I378, 4, J378)</f>
        <v>-2.9,6</v>
      </c>
    </row>
    <row r="377" spans="1:15">
      <c r="E377" s="4"/>
      <c r="G377" s="23" t="s">
        <v>32</v>
      </c>
      <c r="H377" s="23" t="s">
        <v>242</v>
      </c>
      <c r="I377" s="23">
        <v>4.8</v>
      </c>
      <c r="J377" s="23" t="s">
        <v>243</v>
      </c>
    </row>
    <row r="378" spans="1:15">
      <c r="E378" s="4"/>
      <c r="G378" s="23" t="str">
        <f t="shared" ref="G378" ca="1" si="302">CONCATENATE($G$17,",",RANDBETWEEN($J$17*10,$I$17*10)/10)</f>
        <v>6,-0.2</v>
      </c>
      <c r="H378" s="23" t="str">
        <f t="shared" ref="H378" ca="1" si="303">CONCATENATE($H$17,",",RANDBETWEEN($J$17*10,$I$17*10)/10)</f>
        <v>-6,1.3</v>
      </c>
      <c r="I378" s="23" t="str">
        <f t="shared" ref="I378" ca="1" si="304">CONCATENATE(RANDBETWEEN($J$17*10,$I$17*10)/10,",",$H$17)</f>
        <v>4.6,-6</v>
      </c>
      <c r="J378" s="23" t="str">
        <f t="shared" ref="J378" ca="1" si="305">CONCATENATE(RANDBETWEEN($J$17*10,$I$17*10)/10,",",$G$17)</f>
        <v>-2.9,6</v>
      </c>
    </row>
    <row r="379" spans="1:15">
      <c r="E379" s="4">
        <f t="shared" ref="E379:E380" si="306">ROW(E379)</f>
        <v>379</v>
      </c>
      <c r="F379" s="9" t="s">
        <v>30</v>
      </c>
      <c r="O379" s="23">
        <v>1.4</v>
      </c>
    </row>
    <row r="380" spans="1:15">
      <c r="E380" s="4">
        <f t="shared" si="306"/>
        <v>380</v>
      </c>
      <c r="F380" s="9" t="s">
        <v>31</v>
      </c>
      <c r="G380" s="23">
        <f t="shared" ref="G380" si="307">MOD(D369-1,4)+1</f>
        <v>4</v>
      </c>
      <c r="L380" s="9" t="s">
        <v>137</v>
      </c>
      <c r="O380" s="23" t="str" cm="1">
        <f t="array" ref="O380">_xlfn.SWITCH(G380, 1, $G$21, 2, $H$21, 3, $I$21, 4, $J$21)</f>
        <v>270</v>
      </c>
    </row>
    <row r="381" spans="1:15">
      <c r="E381" s="4"/>
      <c r="G381" s="23" t="s">
        <v>244</v>
      </c>
      <c r="H381" s="23">
        <v>0</v>
      </c>
      <c r="I381" s="23" t="s">
        <v>241</v>
      </c>
      <c r="J381" s="23" t="s">
        <v>245</v>
      </c>
    </row>
    <row r="382" spans="1:15">
      <c r="E382" s="4">
        <f t="shared" ref="E382:E400" si="308">ROW(E382)</f>
        <v>382</v>
      </c>
      <c r="F382" s="9" t="s">
        <v>104</v>
      </c>
      <c r="O382" s="23">
        <f t="shared" ref="O382" si="309">O370*10+1</f>
        <v>110161</v>
      </c>
    </row>
    <row r="383" spans="1:15">
      <c r="E383" s="4">
        <f t="shared" si="308"/>
        <v>383</v>
      </c>
      <c r="F383" s="9" t="s">
        <v>146</v>
      </c>
      <c r="O383" s="23">
        <f t="shared" ref="O383" si="310">O370</f>
        <v>11016</v>
      </c>
    </row>
    <row r="384" spans="1:15">
      <c r="E384" s="4">
        <f t="shared" si="308"/>
        <v>384</v>
      </c>
      <c r="F384" s="9" t="s">
        <v>130</v>
      </c>
      <c r="O384" s="23">
        <v>0</v>
      </c>
    </row>
    <row r="385" spans="1:15">
      <c r="E385" s="4">
        <f t="shared" si="308"/>
        <v>385</v>
      </c>
      <c r="F385" s="9" t="s">
        <v>35</v>
      </c>
      <c r="G385" s="23">
        <v>0</v>
      </c>
      <c r="H385" s="23">
        <v>90</v>
      </c>
      <c r="I385" s="23" t="s">
        <v>239</v>
      </c>
      <c r="J385" s="23">
        <v>0</v>
      </c>
      <c r="O385" s="23">
        <f t="shared" ref="O385" si="311">$H$25+IF(G385,$I$25,$J$25)</f>
        <v>90</v>
      </c>
    </row>
    <row r="386" spans="1:15">
      <c r="E386" s="4">
        <f t="shared" si="308"/>
        <v>386</v>
      </c>
      <c r="F386" s="9" t="s">
        <v>30</v>
      </c>
      <c r="O386" s="23">
        <v>0</v>
      </c>
    </row>
    <row r="387" spans="1:15">
      <c r="E387" s="4">
        <f t="shared" si="308"/>
        <v>387</v>
      </c>
      <c r="F387" s="9" t="s">
        <v>116</v>
      </c>
      <c r="H387" s="9"/>
      <c r="J387" s="9"/>
      <c r="L387" s="9" t="s">
        <v>137</v>
      </c>
      <c r="O387" s="23">
        <f t="shared" ref="O387" si="312">O375</f>
        <v>-90</v>
      </c>
    </row>
    <row r="388" spans="1:15">
      <c r="E388" s="4">
        <f t="shared" si="308"/>
        <v>388</v>
      </c>
      <c r="F388" s="9" t="s">
        <v>104</v>
      </c>
      <c r="H388" s="9"/>
      <c r="J388" s="9"/>
      <c r="O388" s="23">
        <f t="shared" ref="O388" si="313">O382+1</f>
        <v>110162</v>
      </c>
    </row>
    <row r="389" spans="1:15">
      <c r="E389" s="4">
        <f t="shared" si="308"/>
        <v>389</v>
      </c>
      <c r="F389" s="9" t="s">
        <v>146</v>
      </c>
      <c r="O389" s="23">
        <f t="shared" ref="O389" si="314">O382</f>
        <v>110161</v>
      </c>
    </row>
    <row r="390" spans="1:15">
      <c r="E390" s="4">
        <f t="shared" si="308"/>
        <v>390</v>
      </c>
      <c r="F390" s="9" t="s">
        <v>130</v>
      </c>
      <c r="O390" s="23">
        <v>0</v>
      </c>
    </row>
    <row r="391" spans="1:15">
      <c r="E391" s="4">
        <f t="shared" si="308"/>
        <v>391</v>
      </c>
      <c r="F391" s="9" t="s">
        <v>30</v>
      </c>
      <c r="G391" s="9"/>
      <c r="H391" s="9"/>
      <c r="I391" s="9"/>
      <c r="J391" s="9"/>
      <c r="O391" s="23">
        <v>3</v>
      </c>
    </row>
    <row r="392" spans="1:15">
      <c r="E392" s="4">
        <f t="shared" si="308"/>
        <v>392</v>
      </c>
      <c r="F392" s="9" t="s">
        <v>116</v>
      </c>
      <c r="L392" s="9" t="s">
        <v>137</v>
      </c>
      <c r="O392" s="23">
        <f t="shared" ref="O392" si="315">O387</f>
        <v>-90</v>
      </c>
    </row>
    <row r="393" spans="1:15">
      <c r="A393" s="22" t="s">
        <v>238</v>
      </c>
      <c r="B393" s="22">
        <f t="shared" ref="B393" si="316">QUOTIENT( D393-1,G394)+1</f>
        <v>3</v>
      </c>
      <c r="C393" s="22">
        <f t="shared" ref="C393" si="317">D393-(B393-1)*G394</f>
        <v>1</v>
      </c>
      <c r="D393" s="22">
        <f>COUNT($D$8:$D392)+1</f>
        <v>17</v>
      </c>
      <c r="E393" s="4"/>
    </row>
    <row r="394" spans="1:15">
      <c r="E394" s="4">
        <f t="shared" si="308"/>
        <v>394</v>
      </c>
      <c r="F394" s="9" t="s">
        <v>96</v>
      </c>
      <c r="G394" s="23">
        <v>8</v>
      </c>
      <c r="H394" s="23">
        <v>5</v>
      </c>
      <c r="J394" s="23">
        <v>11000</v>
      </c>
      <c r="O394" s="23">
        <f t="shared" ref="O394" si="318">$J$10+D393</f>
        <v>11017</v>
      </c>
    </row>
    <row r="395" spans="1:15">
      <c r="E395" s="4">
        <f t="shared" si="308"/>
        <v>395</v>
      </c>
      <c r="F395" s="9" t="s">
        <v>155</v>
      </c>
      <c r="G395" s="23">
        <v>2650</v>
      </c>
      <c r="H395" s="23" t="s">
        <v>241</v>
      </c>
      <c r="O395" s="23">
        <f t="shared" ref="O395" si="319">G395+H395*(B393-1)</f>
        <v>2830</v>
      </c>
    </row>
    <row r="396" spans="1:15">
      <c r="E396" s="4">
        <f t="shared" si="308"/>
        <v>396</v>
      </c>
      <c r="F396" s="9" t="s">
        <v>35</v>
      </c>
      <c r="O396" s="23">
        <v>60</v>
      </c>
    </row>
    <row r="397" spans="1:15">
      <c r="E397" s="4">
        <f t="shared" si="308"/>
        <v>397</v>
      </c>
      <c r="F397" s="9" t="s">
        <v>29</v>
      </c>
      <c r="O397" s="23" t="s">
        <v>148</v>
      </c>
    </row>
    <row r="398" spans="1:15">
      <c r="E398" s="4">
        <f t="shared" si="308"/>
        <v>398</v>
      </c>
      <c r="F398" s="9" t="s">
        <v>121</v>
      </c>
      <c r="O398" s="23" t="s">
        <v>147</v>
      </c>
    </row>
    <row r="399" spans="1:15">
      <c r="E399" s="4">
        <f t="shared" si="308"/>
        <v>399</v>
      </c>
      <c r="F399" s="9" t="s">
        <v>116</v>
      </c>
      <c r="G399" s="23" t="b">
        <f t="shared" ref="G399" si="320">MOD(B393,2)=0</f>
        <v>0</v>
      </c>
      <c r="H399" s="23">
        <v>-90</v>
      </c>
      <c r="I399" s="23" t="s">
        <v>241</v>
      </c>
      <c r="L399" s="9" t="s">
        <v>137</v>
      </c>
      <c r="O399" s="23" t="str">
        <f t="shared" ref="O399" si="321">IF(G399,$H$15,$I$15)</f>
        <v>90</v>
      </c>
    </row>
    <row r="400" spans="1:15">
      <c r="E400" s="4">
        <f t="shared" si="308"/>
        <v>400</v>
      </c>
      <c r="F400" s="9" t="s">
        <v>101</v>
      </c>
      <c r="G400" s="23">
        <f t="shared" ref="G400" si="322">MOD(D393-1,4)+1</f>
        <v>1</v>
      </c>
      <c r="K400" s="9" t="s">
        <v>139</v>
      </c>
      <c r="O400" s="23" t="str" cm="1">
        <f t="array" aca="1" ref="O400" ca="1">_xlfn.SWITCH(G400, 1, G402, 2, H402, 3, I402, 4, J402)</f>
        <v>6,2.8</v>
      </c>
    </row>
    <row r="401" spans="5:15">
      <c r="E401" s="4"/>
      <c r="G401" s="23" t="s">
        <v>32</v>
      </c>
      <c r="H401" s="23" t="s">
        <v>242</v>
      </c>
      <c r="I401" s="23">
        <v>4.8</v>
      </c>
      <c r="J401" s="23" t="s">
        <v>243</v>
      </c>
    </row>
    <row r="402" spans="5:15">
      <c r="E402" s="4"/>
      <c r="G402" s="23" t="str">
        <f t="shared" ref="G402" ca="1" si="323">CONCATENATE($G$17,",",RANDBETWEEN($J$17*10,$I$17*10)/10)</f>
        <v>6,2.8</v>
      </c>
      <c r="H402" s="23" t="str">
        <f t="shared" ref="H402" ca="1" si="324">CONCATENATE($H$17,",",RANDBETWEEN($J$17*10,$I$17*10)/10)</f>
        <v>-6,0.9</v>
      </c>
      <c r="I402" s="23" t="str">
        <f t="shared" ref="I402" ca="1" si="325">CONCATENATE(RANDBETWEEN($J$17*10,$I$17*10)/10,",",$H$17)</f>
        <v>3.9,-6</v>
      </c>
      <c r="J402" s="23" t="str">
        <f t="shared" ref="J402" ca="1" si="326">CONCATENATE(RANDBETWEEN($J$17*10,$I$17*10)/10,",",$G$17)</f>
        <v>1.3,6</v>
      </c>
    </row>
    <row r="403" spans="5:15">
      <c r="E403" s="4">
        <f t="shared" ref="E403:E404" si="327">ROW(E403)</f>
        <v>403</v>
      </c>
      <c r="F403" s="9" t="s">
        <v>30</v>
      </c>
      <c r="O403" s="23">
        <v>1.4</v>
      </c>
    </row>
    <row r="404" spans="5:15">
      <c r="E404" s="4">
        <f t="shared" si="327"/>
        <v>404</v>
      </c>
      <c r="F404" s="9" t="s">
        <v>31</v>
      </c>
      <c r="G404" s="23">
        <f t="shared" ref="G404" si="328">MOD(D393-1,4)+1</f>
        <v>1</v>
      </c>
      <c r="L404" s="9" t="s">
        <v>137</v>
      </c>
      <c r="O404" s="23" t="str" cm="1">
        <f t="array" ref="O404">_xlfn.SWITCH(G404, 1, $G$21, 2, $H$21, 3, $I$21, 4, $J$21)</f>
        <v>180</v>
      </c>
    </row>
    <row r="405" spans="5:15">
      <c r="E405" s="4"/>
      <c r="G405" s="23" t="s">
        <v>244</v>
      </c>
      <c r="H405" s="23">
        <v>0</v>
      </c>
      <c r="I405" s="23" t="s">
        <v>241</v>
      </c>
      <c r="J405" s="23" t="s">
        <v>245</v>
      </c>
    </row>
    <row r="406" spans="5:15">
      <c r="E406" s="4">
        <f t="shared" ref="E406:E424" si="329">ROW(E406)</f>
        <v>406</v>
      </c>
      <c r="F406" s="9" t="s">
        <v>104</v>
      </c>
      <c r="O406" s="23">
        <f t="shared" ref="O406" si="330">O394*10+1</f>
        <v>110171</v>
      </c>
    </row>
    <row r="407" spans="5:15">
      <c r="E407" s="4">
        <f t="shared" si="329"/>
        <v>407</v>
      </c>
      <c r="F407" s="9" t="s">
        <v>146</v>
      </c>
      <c r="O407" s="23">
        <f t="shared" ref="O407" si="331">O394</f>
        <v>11017</v>
      </c>
    </row>
    <row r="408" spans="5:15">
      <c r="E408" s="4">
        <f t="shared" si="329"/>
        <v>408</v>
      </c>
      <c r="F408" s="9" t="s">
        <v>130</v>
      </c>
      <c r="O408" s="23">
        <v>0</v>
      </c>
    </row>
    <row r="409" spans="5:15">
      <c r="E409" s="4">
        <f t="shared" si="329"/>
        <v>409</v>
      </c>
      <c r="F409" s="9" t="s">
        <v>35</v>
      </c>
      <c r="G409" s="23">
        <v>0</v>
      </c>
      <c r="H409" s="23">
        <v>90</v>
      </c>
      <c r="I409" s="23" t="s">
        <v>239</v>
      </c>
      <c r="J409" s="23">
        <v>0</v>
      </c>
      <c r="O409" s="23">
        <f t="shared" ref="O409" si="332">$H$25+IF(G409,$I$25,$J$25)</f>
        <v>90</v>
      </c>
    </row>
    <row r="410" spans="5:15">
      <c r="E410" s="4">
        <f t="shared" si="329"/>
        <v>410</v>
      </c>
      <c r="F410" s="9" t="s">
        <v>30</v>
      </c>
      <c r="H410" s="9"/>
      <c r="J410" s="9"/>
      <c r="O410" s="23">
        <v>0</v>
      </c>
    </row>
    <row r="411" spans="5:15">
      <c r="E411" s="4">
        <f t="shared" si="329"/>
        <v>411</v>
      </c>
      <c r="F411" s="9" t="s">
        <v>116</v>
      </c>
      <c r="H411" s="9"/>
      <c r="J411" s="9"/>
      <c r="L411" s="9" t="s">
        <v>137</v>
      </c>
      <c r="O411" s="23" t="str">
        <f t="shared" ref="O411" si="333">O399</f>
        <v>90</v>
      </c>
    </row>
    <row r="412" spans="5:15">
      <c r="E412" s="4">
        <f t="shared" si="329"/>
        <v>412</v>
      </c>
      <c r="F412" s="9" t="s">
        <v>104</v>
      </c>
      <c r="O412" s="23">
        <f t="shared" ref="O412" si="334">O406+1</f>
        <v>110172</v>
      </c>
    </row>
    <row r="413" spans="5:15">
      <c r="E413" s="4">
        <f t="shared" si="329"/>
        <v>413</v>
      </c>
      <c r="F413" s="9" t="s">
        <v>146</v>
      </c>
      <c r="O413" s="23">
        <f t="shared" ref="O413" si="335">O406</f>
        <v>110171</v>
      </c>
    </row>
    <row r="414" spans="5:15">
      <c r="E414" s="4">
        <f t="shared" si="329"/>
        <v>414</v>
      </c>
      <c r="F414" s="9" t="s">
        <v>130</v>
      </c>
      <c r="G414" s="9"/>
      <c r="H414" s="9"/>
      <c r="I414" s="9"/>
      <c r="J414" s="9"/>
      <c r="O414" s="23">
        <v>0</v>
      </c>
    </row>
    <row r="415" spans="5:15">
      <c r="E415" s="4">
        <f t="shared" si="329"/>
        <v>415</v>
      </c>
      <c r="F415" s="9" t="s">
        <v>30</v>
      </c>
      <c r="O415" s="23">
        <v>3</v>
      </c>
    </row>
    <row r="416" spans="5:15">
      <c r="E416" s="4">
        <f t="shared" si="329"/>
        <v>416</v>
      </c>
      <c r="F416" s="9" t="s">
        <v>116</v>
      </c>
      <c r="L416" s="9" t="s">
        <v>137</v>
      </c>
      <c r="O416" s="23" t="str">
        <f t="shared" ref="O416" si="336">O411</f>
        <v>90</v>
      </c>
    </row>
    <row r="417" spans="1:15">
      <c r="A417" s="22" t="s">
        <v>238</v>
      </c>
      <c r="B417" s="22">
        <f t="shared" ref="B417" si="337">QUOTIENT( D417-1,G418)+1</f>
        <v>3</v>
      </c>
      <c r="C417" s="22">
        <f t="shared" ref="C417" si="338">D417-(B417-1)*G418</f>
        <v>2</v>
      </c>
      <c r="D417" s="22">
        <f>COUNT($D$8:$D416)+1</f>
        <v>18</v>
      </c>
      <c r="E417" s="4"/>
    </row>
    <row r="418" spans="1:15">
      <c r="E418" s="4">
        <f t="shared" si="329"/>
        <v>418</v>
      </c>
      <c r="F418" s="9" t="s">
        <v>96</v>
      </c>
      <c r="G418" s="23">
        <v>8</v>
      </c>
      <c r="H418" s="23">
        <v>5</v>
      </c>
      <c r="J418" s="23">
        <v>11000</v>
      </c>
      <c r="O418" s="23">
        <f t="shared" ref="O418" si="339">$J$10+D417</f>
        <v>11018</v>
      </c>
    </row>
    <row r="419" spans="1:15">
      <c r="E419" s="4">
        <f t="shared" si="329"/>
        <v>419</v>
      </c>
      <c r="F419" s="9" t="s">
        <v>155</v>
      </c>
      <c r="G419" s="23">
        <v>2650</v>
      </c>
      <c r="H419" s="23" t="s">
        <v>241</v>
      </c>
      <c r="O419" s="23">
        <f t="shared" ref="O419" si="340">G419+H419*(B417-1)</f>
        <v>2830</v>
      </c>
    </row>
    <row r="420" spans="1:15">
      <c r="E420" s="4">
        <f t="shared" si="329"/>
        <v>420</v>
      </c>
      <c r="F420" s="9" t="s">
        <v>35</v>
      </c>
      <c r="O420" s="23">
        <v>60</v>
      </c>
    </row>
    <row r="421" spans="1:15">
      <c r="E421" s="4">
        <f t="shared" si="329"/>
        <v>421</v>
      </c>
      <c r="F421" s="9" t="s">
        <v>29</v>
      </c>
      <c r="O421" s="23" t="s">
        <v>148</v>
      </c>
    </row>
    <row r="422" spans="1:15">
      <c r="E422" s="4">
        <f t="shared" si="329"/>
        <v>422</v>
      </c>
      <c r="F422" s="9" t="s">
        <v>121</v>
      </c>
      <c r="O422" s="23" t="s">
        <v>147</v>
      </c>
    </row>
    <row r="423" spans="1:15">
      <c r="E423" s="4">
        <f t="shared" si="329"/>
        <v>423</v>
      </c>
      <c r="F423" s="9" t="s">
        <v>116</v>
      </c>
      <c r="G423" s="23" t="b">
        <f t="shared" ref="G423" si="341">MOD(B417,2)=0</f>
        <v>0</v>
      </c>
      <c r="H423" s="23">
        <v>-90</v>
      </c>
      <c r="I423" s="23" t="s">
        <v>241</v>
      </c>
      <c r="L423" s="9" t="s">
        <v>137</v>
      </c>
      <c r="O423" s="23" t="str">
        <f t="shared" ref="O423" si="342">IF(G423,$H$15,$I$15)</f>
        <v>90</v>
      </c>
    </row>
    <row r="424" spans="1:15">
      <c r="E424" s="4">
        <f t="shared" si="329"/>
        <v>424</v>
      </c>
      <c r="F424" s="9" t="s">
        <v>101</v>
      </c>
      <c r="G424" s="23">
        <f t="shared" ref="G424" si="343">MOD(D417-1,4)+1</f>
        <v>2</v>
      </c>
      <c r="K424" s="9" t="s">
        <v>139</v>
      </c>
      <c r="O424" s="23" t="str" cm="1">
        <f t="array" aca="1" ref="O424" ca="1">_xlfn.SWITCH(G424, 1, G426, 2, H426, 3, I426, 4, J426)</f>
        <v>-6,-4.1</v>
      </c>
    </row>
    <row r="425" spans="1:15">
      <c r="E425" s="4"/>
      <c r="G425" s="23" t="s">
        <v>32</v>
      </c>
      <c r="H425" s="23" t="s">
        <v>242</v>
      </c>
      <c r="I425" s="23">
        <v>4.8</v>
      </c>
      <c r="J425" s="23" t="s">
        <v>243</v>
      </c>
    </row>
    <row r="426" spans="1:15">
      <c r="E426" s="4"/>
      <c r="G426" s="23" t="str">
        <f t="shared" ref="G426" ca="1" si="344">CONCATENATE($G$17,",",RANDBETWEEN($J$17*10,$I$17*10)/10)</f>
        <v>6,-1.6</v>
      </c>
      <c r="H426" s="23" t="str">
        <f t="shared" ref="H426" ca="1" si="345">CONCATENATE($H$17,",",RANDBETWEEN($J$17*10,$I$17*10)/10)</f>
        <v>-6,-4.1</v>
      </c>
      <c r="I426" s="23" t="str">
        <f t="shared" ref="I426" ca="1" si="346">CONCATENATE(RANDBETWEEN($J$17*10,$I$17*10)/10,",",$H$17)</f>
        <v>-2.5,-6</v>
      </c>
      <c r="J426" s="23" t="str">
        <f t="shared" ref="J426" ca="1" si="347">CONCATENATE(RANDBETWEEN($J$17*10,$I$17*10)/10,",",$G$17)</f>
        <v>0.6,6</v>
      </c>
    </row>
    <row r="427" spans="1:15">
      <c r="E427" s="4">
        <f t="shared" ref="E427:E428" si="348">ROW(E427)</f>
        <v>427</v>
      </c>
      <c r="F427" s="9" t="s">
        <v>30</v>
      </c>
      <c r="O427" s="23">
        <v>1.4</v>
      </c>
    </row>
    <row r="428" spans="1:15">
      <c r="E428" s="4">
        <f t="shared" si="348"/>
        <v>428</v>
      </c>
      <c r="F428" s="9" t="s">
        <v>31</v>
      </c>
      <c r="G428" s="23">
        <f t="shared" ref="G428" si="349">MOD(D417-1,4)+1</f>
        <v>2</v>
      </c>
      <c r="L428" s="9" t="s">
        <v>137</v>
      </c>
      <c r="O428" s="23" cm="1">
        <f t="array" ref="O428">_xlfn.SWITCH(G428, 1, $G$21, 2, $H$21, 3, $I$21, 4, $J$21)</f>
        <v>0</v>
      </c>
    </row>
    <row r="429" spans="1:15">
      <c r="E429" s="4"/>
      <c r="G429" s="23" t="s">
        <v>244</v>
      </c>
      <c r="H429" s="23">
        <v>0</v>
      </c>
      <c r="I429" s="23" t="s">
        <v>241</v>
      </c>
      <c r="J429" s="23" t="s">
        <v>245</v>
      </c>
    </row>
    <row r="430" spans="1:15">
      <c r="E430" s="4">
        <f t="shared" ref="E430:E448" si="350">ROW(E430)</f>
        <v>430</v>
      </c>
      <c r="F430" s="9" t="s">
        <v>104</v>
      </c>
      <c r="O430" s="23">
        <f t="shared" ref="O430" si="351">O418*10+1</f>
        <v>110181</v>
      </c>
    </row>
    <row r="431" spans="1:15">
      <c r="E431" s="4">
        <f t="shared" si="350"/>
        <v>431</v>
      </c>
      <c r="F431" s="9" t="s">
        <v>146</v>
      </c>
      <c r="O431" s="23">
        <f t="shared" ref="O431" si="352">O418</f>
        <v>11018</v>
      </c>
    </row>
    <row r="432" spans="1:15">
      <c r="E432" s="4">
        <f t="shared" si="350"/>
        <v>432</v>
      </c>
      <c r="F432" s="9" t="s">
        <v>130</v>
      </c>
      <c r="O432" s="23">
        <v>0</v>
      </c>
    </row>
    <row r="433" spans="1:15">
      <c r="E433" s="4">
        <f t="shared" si="350"/>
        <v>433</v>
      </c>
      <c r="F433" s="9" t="s">
        <v>35</v>
      </c>
      <c r="G433" s="23">
        <v>0</v>
      </c>
      <c r="H433" s="9">
        <v>90</v>
      </c>
      <c r="I433" s="23" t="s">
        <v>239</v>
      </c>
      <c r="J433" s="9">
        <v>0</v>
      </c>
      <c r="O433" s="23">
        <f t="shared" ref="O433" si="353">$H$25+IF(G433,$I$25,$J$25)</f>
        <v>90</v>
      </c>
    </row>
    <row r="434" spans="1:15">
      <c r="E434" s="4">
        <f t="shared" si="350"/>
        <v>434</v>
      </c>
      <c r="F434" s="9" t="s">
        <v>30</v>
      </c>
      <c r="H434" s="9"/>
      <c r="J434" s="9"/>
      <c r="O434" s="23">
        <v>0</v>
      </c>
    </row>
    <row r="435" spans="1:15">
      <c r="E435" s="4">
        <f t="shared" si="350"/>
        <v>435</v>
      </c>
      <c r="F435" s="9" t="s">
        <v>116</v>
      </c>
      <c r="L435" s="9" t="s">
        <v>137</v>
      </c>
      <c r="O435" s="23" t="str">
        <f t="shared" ref="O435" si="354">O423</f>
        <v>90</v>
      </c>
    </row>
    <row r="436" spans="1:15">
      <c r="E436" s="4">
        <f t="shared" si="350"/>
        <v>436</v>
      </c>
      <c r="F436" s="9" t="s">
        <v>104</v>
      </c>
      <c r="O436" s="23">
        <f t="shared" ref="O436" si="355">O430+1</f>
        <v>110182</v>
      </c>
    </row>
    <row r="437" spans="1:15">
      <c r="E437" s="4">
        <f t="shared" si="350"/>
        <v>437</v>
      </c>
      <c r="F437" s="9" t="s">
        <v>146</v>
      </c>
      <c r="G437" s="9"/>
      <c r="H437" s="9"/>
      <c r="I437" s="9"/>
      <c r="J437" s="9"/>
      <c r="O437" s="23">
        <f t="shared" ref="O437" si="356">O430</f>
        <v>110181</v>
      </c>
    </row>
    <row r="438" spans="1:15">
      <c r="E438" s="4">
        <f t="shared" si="350"/>
        <v>438</v>
      </c>
      <c r="F438" s="9" t="s">
        <v>130</v>
      </c>
      <c r="O438" s="23">
        <v>0</v>
      </c>
    </row>
    <row r="439" spans="1:15">
      <c r="E439" s="4">
        <f t="shared" si="350"/>
        <v>439</v>
      </c>
      <c r="F439" s="9" t="s">
        <v>30</v>
      </c>
      <c r="O439" s="23">
        <v>3</v>
      </c>
    </row>
    <row r="440" spans="1:15">
      <c r="E440" s="4">
        <f t="shared" si="350"/>
        <v>440</v>
      </c>
      <c r="F440" s="9" t="s">
        <v>116</v>
      </c>
      <c r="L440" s="9" t="s">
        <v>137</v>
      </c>
      <c r="O440" s="23" t="str">
        <f t="shared" ref="O440" si="357">O435</f>
        <v>90</v>
      </c>
    </row>
    <row r="441" spans="1:15">
      <c r="A441" s="22" t="s">
        <v>238</v>
      </c>
      <c r="B441" s="22">
        <f t="shared" ref="B441" si="358">QUOTIENT( D441-1,G442)+1</f>
        <v>3</v>
      </c>
      <c r="C441" s="22">
        <f t="shared" ref="C441" si="359">D441-(B441-1)*G442</f>
        <v>3</v>
      </c>
      <c r="D441" s="22">
        <f>COUNT($D$8:$D440)+1</f>
        <v>19</v>
      </c>
      <c r="E441" s="4"/>
    </row>
    <row r="442" spans="1:15">
      <c r="E442" s="4">
        <f t="shared" si="350"/>
        <v>442</v>
      </c>
      <c r="F442" s="9" t="s">
        <v>96</v>
      </c>
      <c r="G442" s="23">
        <v>8</v>
      </c>
      <c r="H442" s="23">
        <v>5</v>
      </c>
      <c r="J442" s="23">
        <v>11000</v>
      </c>
      <c r="O442" s="23">
        <f t="shared" ref="O442" si="360">$J$10+D441</f>
        <v>11019</v>
      </c>
    </row>
    <row r="443" spans="1:15">
      <c r="E443" s="4">
        <f t="shared" si="350"/>
        <v>443</v>
      </c>
      <c r="F443" s="9" t="s">
        <v>155</v>
      </c>
      <c r="G443" s="23">
        <v>2650</v>
      </c>
      <c r="H443" s="23" t="s">
        <v>241</v>
      </c>
      <c r="O443" s="23">
        <f t="shared" ref="O443" si="361">G443+H443*(B441-1)</f>
        <v>2830</v>
      </c>
    </row>
    <row r="444" spans="1:15">
      <c r="E444" s="4">
        <f t="shared" si="350"/>
        <v>444</v>
      </c>
      <c r="F444" s="9" t="s">
        <v>35</v>
      </c>
      <c r="O444" s="23">
        <v>60</v>
      </c>
    </row>
    <row r="445" spans="1:15">
      <c r="E445" s="4">
        <f t="shared" si="350"/>
        <v>445</v>
      </c>
      <c r="F445" s="9" t="s">
        <v>29</v>
      </c>
      <c r="O445" s="23" t="s">
        <v>148</v>
      </c>
    </row>
    <row r="446" spans="1:15">
      <c r="E446" s="4">
        <f t="shared" si="350"/>
        <v>446</v>
      </c>
      <c r="F446" s="9" t="s">
        <v>121</v>
      </c>
      <c r="O446" s="23" t="s">
        <v>147</v>
      </c>
    </row>
    <row r="447" spans="1:15">
      <c r="E447" s="4">
        <f t="shared" si="350"/>
        <v>447</v>
      </c>
      <c r="F447" s="9" t="s">
        <v>116</v>
      </c>
      <c r="G447" s="23" t="b">
        <f t="shared" ref="G447" si="362">MOD(B441,2)=0</f>
        <v>0</v>
      </c>
      <c r="H447" s="23">
        <v>-90</v>
      </c>
      <c r="I447" s="23" t="s">
        <v>241</v>
      </c>
      <c r="L447" s="9" t="s">
        <v>137</v>
      </c>
      <c r="O447" s="23" t="str">
        <f t="shared" ref="O447" si="363">IF(G447,$H$15,$I$15)</f>
        <v>90</v>
      </c>
    </row>
    <row r="448" spans="1:15">
      <c r="E448" s="4">
        <f t="shared" si="350"/>
        <v>448</v>
      </c>
      <c r="F448" s="9" t="s">
        <v>101</v>
      </c>
      <c r="G448" s="23">
        <f t="shared" ref="G448" si="364">MOD(D441-1,4)+1</f>
        <v>3</v>
      </c>
      <c r="K448" s="9" t="s">
        <v>139</v>
      </c>
      <c r="O448" s="23" t="str" cm="1">
        <f t="array" aca="1" ref="O448" ca="1">_xlfn.SWITCH(G448, 1, G450, 2, H450, 3, I450, 4, J450)</f>
        <v>1.5,-6</v>
      </c>
    </row>
    <row r="449" spans="5:15">
      <c r="E449" s="4"/>
      <c r="G449" s="23" t="s">
        <v>32</v>
      </c>
      <c r="H449" s="23" t="s">
        <v>242</v>
      </c>
      <c r="I449" s="23">
        <v>4.8</v>
      </c>
      <c r="J449" s="23" t="s">
        <v>243</v>
      </c>
    </row>
    <row r="450" spans="5:15">
      <c r="E450" s="4"/>
      <c r="G450" s="23" t="str">
        <f t="shared" ref="G450" ca="1" si="365">CONCATENATE($G$17,",",RANDBETWEEN($J$17*10,$I$17*10)/10)</f>
        <v>6,-0.7</v>
      </c>
      <c r="H450" s="23" t="str">
        <f t="shared" ref="H450" ca="1" si="366">CONCATENATE($H$17,",",RANDBETWEEN($J$17*10,$I$17*10)/10)</f>
        <v>-6,-1.3</v>
      </c>
      <c r="I450" s="23" t="str">
        <f t="shared" ref="I450" ca="1" si="367">CONCATENATE(RANDBETWEEN($J$17*10,$I$17*10)/10,",",$H$17)</f>
        <v>1.5,-6</v>
      </c>
      <c r="J450" s="23" t="str">
        <f t="shared" ref="J450" ca="1" si="368">CONCATENATE(RANDBETWEEN($J$17*10,$I$17*10)/10,",",$G$17)</f>
        <v>0.7,6</v>
      </c>
    </row>
    <row r="451" spans="5:15">
      <c r="E451" s="4">
        <f t="shared" ref="E451:E452" si="369">ROW(E451)</f>
        <v>451</v>
      </c>
      <c r="F451" s="9" t="s">
        <v>30</v>
      </c>
      <c r="O451" s="23">
        <v>1.4</v>
      </c>
    </row>
    <row r="452" spans="5:15">
      <c r="E452" s="4">
        <f t="shared" si="369"/>
        <v>452</v>
      </c>
      <c r="F452" s="9" t="s">
        <v>31</v>
      </c>
      <c r="G452" s="23">
        <f t="shared" ref="G452" si="370">MOD(D441-1,4)+1</f>
        <v>3</v>
      </c>
      <c r="L452" s="9" t="s">
        <v>137</v>
      </c>
      <c r="O452" s="23" t="str" cm="1">
        <f t="array" ref="O452">_xlfn.SWITCH(G452, 1, $G$21, 2, $H$21, 3, $I$21, 4, $J$21)</f>
        <v>90</v>
      </c>
    </row>
    <row r="453" spans="5:15">
      <c r="E453" s="4"/>
      <c r="G453" s="23" t="s">
        <v>244</v>
      </c>
      <c r="H453" s="23">
        <v>0</v>
      </c>
      <c r="I453" s="23" t="s">
        <v>241</v>
      </c>
      <c r="J453" s="23" t="s">
        <v>245</v>
      </c>
    </row>
    <row r="454" spans="5:15">
      <c r="E454" s="4">
        <f t="shared" ref="E454:E472" si="371">ROW(E454)</f>
        <v>454</v>
      </c>
      <c r="F454" s="9" t="s">
        <v>104</v>
      </c>
      <c r="O454" s="23">
        <f t="shared" ref="O454" si="372">O442*10+1</f>
        <v>110191</v>
      </c>
    </row>
    <row r="455" spans="5:15">
      <c r="E455" s="4">
        <f t="shared" si="371"/>
        <v>455</v>
      </c>
      <c r="F455" s="9" t="s">
        <v>146</v>
      </c>
      <c r="O455" s="23">
        <f t="shared" ref="O455" si="373">O442</f>
        <v>11019</v>
      </c>
    </row>
    <row r="456" spans="5:15">
      <c r="E456" s="4">
        <f t="shared" si="371"/>
        <v>456</v>
      </c>
      <c r="F456" s="9" t="s">
        <v>130</v>
      </c>
      <c r="H456" s="9"/>
      <c r="J456" s="9"/>
      <c r="O456" s="23">
        <v>0</v>
      </c>
    </row>
    <row r="457" spans="5:15">
      <c r="E457" s="4">
        <f t="shared" si="371"/>
        <v>457</v>
      </c>
      <c r="F457" s="9" t="s">
        <v>35</v>
      </c>
      <c r="G457" s="23">
        <v>0</v>
      </c>
      <c r="H457" s="9">
        <v>90</v>
      </c>
      <c r="I457" s="23" t="s">
        <v>239</v>
      </c>
      <c r="J457" s="9">
        <v>0</v>
      </c>
      <c r="O457" s="23">
        <f t="shared" ref="O457" si="374">$H$25+IF(G457,$I$25,$J$25)</f>
        <v>90</v>
      </c>
    </row>
    <row r="458" spans="5:15">
      <c r="E458" s="4">
        <f t="shared" si="371"/>
        <v>458</v>
      </c>
      <c r="F458" s="9" t="s">
        <v>30</v>
      </c>
      <c r="O458" s="23">
        <v>0</v>
      </c>
    </row>
    <row r="459" spans="5:15">
      <c r="E459" s="4">
        <f t="shared" si="371"/>
        <v>459</v>
      </c>
      <c r="F459" s="9" t="s">
        <v>116</v>
      </c>
      <c r="L459" s="9" t="s">
        <v>137</v>
      </c>
      <c r="O459" s="23" t="str">
        <f t="shared" ref="O459" si="375">O447</f>
        <v>90</v>
      </c>
    </row>
    <row r="460" spans="5:15">
      <c r="E460" s="4">
        <f t="shared" si="371"/>
        <v>460</v>
      </c>
      <c r="F460" s="9" t="s">
        <v>104</v>
      </c>
      <c r="G460" s="9"/>
      <c r="H460" s="9"/>
      <c r="I460" s="9"/>
      <c r="J460" s="9"/>
      <c r="O460" s="23">
        <f t="shared" ref="O460" si="376">O454+1</f>
        <v>110192</v>
      </c>
    </row>
    <row r="461" spans="5:15">
      <c r="E461" s="4">
        <f t="shared" si="371"/>
        <v>461</v>
      </c>
      <c r="F461" s="9" t="s">
        <v>146</v>
      </c>
      <c r="O461" s="23">
        <f t="shared" ref="O461" si="377">O454</f>
        <v>110191</v>
      </c>
    </row>
    <row r="462" spans="5:15">
      <c r="E462" s="4">
        <f t="shared" si="371"/>
        <v>462</v>
      </c>
      <c r="F462" s="9" t="s">
        <v>130</v>
      </c>
      <c r="O462" s="23">
        <v>0</v>
      </c>
    </row>
    <row r="463" spans="5:15">
      <c r="E463" s="4">
        <f t="shared" si="371"/>
        <v>463</v>
      </c>
      <c r="F463" s="9" t="s">
        <v>30</v>
      </c>
      <c r="O463" s="23">
        <v>3</v>
      </c>
    </row>
    <row r="464" spans="5:15">
      <c r="E464" s="4">
        <f t="shared" si="371"/>
        <v>464</v>
      </c>
      <c r="F464" s="9" t="s">
        <v>116</v>
      </c>
      <c r="L464" s="9" t="s">
        <v>137</v>
      </c>
      <c r="O464" s="23" t="str">
        <f t="shared" ref="O464" si="378">O459</f>
        <v>90</v>
      </c>
    </row>
    <row r="465" spans="1:15">
      <c r="A465" s="22" t="s">
        <v>238</v>
      </c>
      <c r="B465" s="22">
        <f t="shared" ref="B465" si="379">QUOTIENT( D465-1,G466)+1</f>
        <v>3</v>
      </c>
      <c r="C465" s="22">
        <f t="shared" ref="C465" si="380">D465-(B465-1)*G466</f>
        <v>4</v>
      </c>
      <c r="D465" s="22">
        <f>COUNT($D$8:$D464)+1</f>
        <v>20</v>
      </c>
      <c r="E465" s="4"/>
    </row>
    <row r="466" spans="1:15">
      <c r="E466" s="4">
        <f t="shared" si="371"/>
        <v>466</v>
      </c>
      <c r="F466" s="9" t="s">
        <v>96</v>
      </c>
      <c r="G466" s="23">
        <v>8</v>
      </c>
      <c r="H466" s="23">
        <v>5</v>
      </c>
      <c r="J466" s="23">
        <v>11000</v>
      </c>
      <c r="O466" s="23">
        <f t="shared" ref="O466" si="381">$J$10+D465</f>
        <v>11020</v>
      </c>
    </row>
    <row r="467" spans="1:15">
      <c r="E467" s="4">
        <f t="shared" si="371"/>
        <v>467</v>
      </c>
      <c r="F467" s="9" t="s">
        <v>155</v>
      </c>
      <c r="G467" s="23">
        <v>2650</v>
      </c>
      <c r="H467" s="23" t="s">
        <v>241</v>
      </c>
      <c r="O467" s="23">
        <f t="shared" ref="O467" si="382">G467+H467*(B465-1)</f>
        <v>2830</v>
      </c>
    </row>
    <row r="468" spans="1:15">
      <c r="E468" s="4">
        <f t="shared" si="371"/>
        <v>468</v>
      </c>
      <c r="F468" s="9" t="s">
        <v>35</v>
      </c>
      <c r="O468" s="23">
        <v>60</v>
      </c>
    </row>
    <row r="469" spans="1:15">
      <c r="E469" s="4">
        <f t="shared" si="371"/>
        <v>469</v>
      </c>
      <c r="F469" s="9" t="s">
        <v>29</v>
      </c>
      <c r="O469" s="23" t="s">
        <v>148</v>
      </c>
    </row>
    <row r="470" spans="1:15">
      <c r="E470" s="4">
        <f t="shared" si="371"/>
        <v>470</v>
      </c>
      <c r="F470" s="9" t="s">
        <v>121</v>
      </c>
      <c r="O470" s="23" t="s">
        <v>147</v>
      </c>
    </row>
    <row r="471" spans="1:15">
      <c r="E471" s="4">
        <f t="shared" si="371"/>
        <v>471</v>
      </c>
      <c r="F471" s="9" t="s">
        <v>116</v>
      </c>
      <c r="G471" s="23" t="b">
        <f t="shared" ref="G471" si="383">MOD(B465,2)=0</f>
        <v>0</v>
      </c>
      <c r="H471" s="23">
        <v>-90</v>
      </c>
      <c r="I471" s="23" t="s">
        <v>241</v>
      </c>
      <c r="L471" s="9" t="s">
        <v>137</v>
      </c>
      <c r="O471" s="23" t="str">
        <f t="shared" ref="O471" si="384">IF(G471,$H$15,$I$15)</f>
        <v>90</v>
      </c>
    </row>
    <row r="472" spans="1:15">
      <c r="E472" s="4">
        <f t="shared" si="371"/>
        <v>472</v>
      </c>
      <c r="F472" s="9" t="s">
        <v>101</v>
      </c>
      <c r="G472" s="23">
        <f t="shared" ref="G472" si="385">MOD(D465-1,4)+1</f>
        <v>4</v>
      </c>
      <c r="K472" s="9" t="s">
        <v>139</v>
      </c>
      <c r="O472" s="23" t="str" cm="1">
        <f t="array" aca="1" ref="O472" ca="1">_xlfn.SWITCH(G472, 1, G474, 2, H474, 3, I474, 4, J474)</f>
        <v>-0.8,6</v>
      </c>
    </row>
    <row r="473" spans="1:15">
      <c r="E473" s="4"/>
      <c r="G473" s="23" t="s">
        <v>32</v>
      </c>
      <c r="H473" s="23" t="s">
        <v>242</v>
      </c>
      <c r="I473" s="23">
        <v>4.8</v>
      </c>
      <c r="J473" s="23" t="s">
        <v>243</v>
      </c>
    </row>
    <row r="474" spans="1:15">
      <c r="E474" s="4"/>
      <c r="G474" s="23" t="str">
        <f t="shared" ref="G474" ca="1" si="386">CONCATENATE($G$17,",",RANDBETWEEN($J$17*10,$I$17*10)/10)</f>
        <v>6,4.7</v>
      </c>
      <c r="H474" s="23" t="str">
        <f t="shared" ref="H474" ca="1" si="387">CONCATENATE($H$17,",",RANDBETWEEN($J$17*10,$I$17*10)/10)</f>
        <v>-6,-1.8</v>
      </c>
      <c r="I474" s="23" t="str">
        <f t="shared" ref="I474" ca="1" si="388">CONCATENATE(RANDBETWEEN($J$17*10,$I$17*10)/10,",",$H$17)</f>
        <v>-3.4,-6</v>
      </c>
      <c r="J474" s="23" t="str">
        <f t="shared" ref="J474" ca="1" si="389">CONCATENATE(RANDBETWEEN($J$17*10,$I$17*10)/10,",",$G$17)</f>
        <v>-0.8,6</v>
      </c>
    </row>
    <row r="475" spans="1:15">
      <c r="E475" s="4">
        <f t="shared" ref="E475:E476" si="390">ROW(E475)</f>
        <v>475</v>
      </c>
      <c r="F475" s="9" t="s">
        <v>30</v>
      </c>
      <c r="O475" s="23">
        <v>1.4</v>
      </c>
    </row>
    <row r="476" spans="1:15">
      <c r="E476" s="4">
        <f t="shared" si="390"/>
        <v>476</v>
      </c>
      <c r="F476" s="9" t="s">
        <v>31</v>
      </c>
      <c r="G476" s="23">
        <f t="shared" ref="G476" si="391">MOD(D465-1,4)+1</f>
        <v>4</v>
      </c>
      <c r="L476" s="9" t="s">
        <v>137</v>
      </c>
      <c r="O476" s="23" t="str" cm="1">
        <f t="array" ref="O476">_xlfn.SWITCH(G476, 1, $G$21, 2, $H$21, 3, $I$21, 4, $J$21)</f>
        <v>270</v>
      </c>
    </row>
    <row r="477" spans="1:15">
      <c r="E477" s="4"/>
      <c r="G477" s="23" t="s">
        <v>244</v>
      </c>
      <c r="H477" s="23">
        <v>0</v>
      </c>
      <c r="I477" s="23" t="s">
        <v>241</v>
      </c>
      <c r="J477" s="23" t="s">
        <v>245</v>
      </c>
    </row>
    <row r="478" spans="1:15">
      <c r="E478" s="4">
        <f t="shared" ref="E478:E496" si="392">ROW(E478)</f>
        <v>478</v>
      </c>
      <c r="F478" s="9" t="s">
        <v>104</v>
      </c>
      <c r="O478" s="23">
        <f t="shared" ref="O478" si="393">O466*10+1</f>
        <v>110201</v>
      </c>
    </row>
    <row r="479" spans="1:15">
      <c r="E479" s="4">
        <f t="shared" si="392"/>
        <v>479</v>
      </c>
      <c r="F479" s="9" t="s">
        <v>146</v>
      </c>
      <c r="H479" s="9"/>
      <c r="J479" s="9"/>
      <c r="O479" s="23">
        <f t="shared" ref="O479" si="394">O466</f>
        <v>11020</v>
      </c>
    </row>
    <row r="480" spans="1:15">
      <c r="E480" s="4">
        <f t="shared" si="392"/>
        <v>480</v>
      </c>
      <c r="F480" s="9" t="s">
        <v>130</v>
      </c>
      <c r="H480" s="9"/>
      <c r="J480" s="9"/>
      <c r="O480" s="23">
        <v>0</v>
      </c>
    </row>
    <row r="481" spans="1:15">
      <c r="E481" s="4">
        <f t="shared" si="392"/>
        <v>481</v>
      </c>
      <c r="F481" s="9" t="s">
        <v>35</v>
      </c>
      <c r="G481" s="23">
        <v>0</v>
      </c>
      <c r="H481" s="23">
        <v>90</v>
      </c>
      <c r="I481" s="23" t="s">
        <v>239</v>
      </c>
      <c r="J481" s="23">
        <v>0</v>
      </c>
      <c r="O481" s="23">
        <f t="shared" ref="O481" si="395">$H$25+IF(G481,$I$25,$J$25)</f>
        <v>90</v>
      </c>
    </row>
    <row r="482" spans="1:15">
      <c r="E482" s="4">
        <f t="shared" si="392"/>
        <v>482</v>
      </c>
      <c r="F482" s="9" t="s">
        <v>30</v>
      </c>
      <c r="O482" s="23">
        <v>0</v>
      </c>
    </row>
    <row r="483" spans="1:15">
      <c r="E483" s="4">
        <f t="shared" si="392"/>
        <v>483</v>
      </c>
      <c r="F483" s="9" t="s">
        <v>116</v>
      </c>
      <c r="G483" s="9"/>
      <c r="H483" s="9"/>
      <c r="I483" s="9"/>
      <c r="J483" s="9"/>
      <c r="L483" s="9" t="s">
        <v>137</v>
      </c>
      <c r="O483" s="23" t="str">
        <f t="shared" ref="O483" si="396">O471</f>
        <v>90</v>
      </c>
    </row>
    <row r="484" spans="1:15">
      <c r="E484" s="4">
        <f t="shared" si="392"/>
        <v>484</v>
      </c>
      <c r="F484" s="9" t="s">
        <v>104</v>
      </c>
      <c r="O484" s="23">
        <f t="shared" ref="O484" si="397">O478+1</f>
        <v>110202</v>
      </c>
    </row>
    <row r="485" spans="1:15">
      <c r="E485" s="4">
        <f t="shared" si="392"/>
        <v>485</v>
      </c>
      <c r="F485" s="9" t="s">
        <v>146</v>
      </c>
      <c r="O485" s="23">
        <f t="shared" ref="O485" si="398">O478</f>
        <v>110201</v>
      </c>
    </row>
    <row r="486" spans="1:15">
      <c r="E486" s="4">
        <f t="shared" si="392"/>
        <v>486</v>
      </c>
      <c r="F486" s="9" t="s">
        <v>130</v>
      </c>
      <c r="O486" s="23">
        <v>0</v>
      </c>
    </row>
    <row r="487" spans="1:15">
      <c r="E487" s="4">
        <f t="shared" si="392"/>
        <v>487</v>
      </c>
      <c r="F487" s="9" t="s">
        <v>30</v>
      </c>
      <c r="O487" s="23">
        <v>3</v>
      </c>
    </row>
    <row r="488" spans="1:15">
      <c r="E488" s="4">
        <f t="shared" si="392"/>
        <v>488</v>
      </c>
      <c r="F488" s="9" t="s">
        <v>116</v>
      </c>
      <c r="L488" s="9" t="s">
        <v>137</v>
      </c>
      <c r="O488" s="23" t="str">
        <f t="shared" ref="O488" si="399">O483</f>
        <v>90</v>
      </c>
    </row>
    <row r="489" spans="1:15">
      <c r="A489" s="22" t="s">
        <v>238</v>
      </c>
      <c r="B489" s="22">
        <f t="shared" ref="B489" si="400">QUOTIENT( D489-1,G490)+1</f>
        <v>3</v>
      </c>
      <c r="C489" s="22">
        <f t="shared" ref="C489" si="401">D489-(B489-1)*G490</f>
        <v>5</v>
      </c>
      <c r="D489" s="22">
        <f>COUNT($D$8:$D488)+1</f>
        <v>21</v>
      </c>
      <c r="E489" s="4"/>
    </row>
    <row r="490" spans="1:15">
      <c r="E490" s="4">
        <f t="shared" si="392"/>
        <v>490</v>
      </c>
      <c r="F490" s="9" t="s">
        <v>96</v>
      </c>
      <c r="G490" s="23">
        <v>8</v>
      </c>
      <c r="H490" s="23">
        <v>5</v>
      </c>
      <c r="J490" s="23">
        <v>11000</v>
      </c>
      <c r="O490" s="23">
        <f t="shared" ref="O490" si="402">$J$10+D489</f>
        <v>11021</v>
      </c>
    </row>
    <row r="491" spans="1:15">
      <c r="E491" s="4">
        <f t="shared" si="392"/>
        <v>491</v>
      </c>
      <c r="F491" s="9" t="s">
        <v>155</v>
      </c>
      <c r="G491" s="23">
        <v>2650</v>
      </c>
      <c r="H491" s="23" t="s">
        <v>241</v>
      </c>
      <c r="O491" s="23">
        <f t="shared" ref="O491" si="403">G491+H491*(B489-1)</f>
        <v>2830</v>
      </c>
    </row>
    <row r="492" spans="1:15">
      <c r="E492" s="4">
        <f t="shared" si="392"/>
        <v>492</v>
      </c>
      <c r="F492" s="9" t="s">
        <v>35</v>
      </c>
      <c r="O492" s="23">
        <v>60</v>
      </c>
    </row>
    <row r="493" spans="1:15">
      <c r="E493" s="4">
        <f t="shared" si="392"/>
        <v>493</v>
      </c>
      <c r="F493" s="9" t="s">
        <v>29</v>
      </c>
      <c r="O493" s="23" t="s">
        <v>148</v>
      </c>
    </row>
    <row r="494" spans="1:15">
      <c r="E494" s="4">
        <f t="shared" si="392"/>
        <v>494</v>
      </c>
      <c r="F494" s="9" t="s">
        <v>121</v>
      </c>
      <c r="O494" s="23" t="s">
        <v>147</v>
      </c>
    </row>
    <row r="495" spans="1:15">
      <c r="E495" s="4">
        <f t="shared" si="392"/>
        <v>495</v>
      </c>
      <c r="F495" s="9" t="s">
        <v>116</v>
      </c>
      <c r="G495" s="23" t="b">
        <f t="shared" ref="G495" si="404">MOD(B489,2)=0</f>
        <v>0</v>
      </c>
      <c r="H495" s="23">
        <v>-90</v>
      </c>
      <c r="I495" s="23" t="s">
        <v>241</v>
      </c>
      <c r="L495" s="9" t="s">
        <v>137</v>
      </c>
      <c r="O495" s="23" t="str">
        <f t="shared" ref="O495" si="405">IF(G495,$H$15,$I$15)</f>
        <v>90</v>
      </c>
    </row>
    <row r="496" spans="1:15">
      <c r="E496" s="4">
        <f t="shared" si="392"/>
        <v>496</v>
      </c>
      <c r="F496" s="9" t="s">
        <v>101</v>
      </c>
      <c r="G496" s="23">
        <f t="shared" ref="G496" si="406">MOD(D489-1,4)+1</f>
        <v>1</v>
      </c>
      <c r="K496" s="9" t="s">
        <v>139</v>
      </c>
      <c r="O496" s="23" t="str" cm="1">
        <f t="array" aca="1" ref="O496" ca="1">_xlfn.SWITCH(G496, 1, G498, 2, H498, 3, I498, 4, J498)</f>
        <v>6,0.4</v>
      </c>
    </row>
    <row r="497" spans="5:15">
      <c r="E497" s="4"/>
      <c r="G497" s="23" t="s">
        <v>32</v>
      </c>
      <c r="H497" s="23" t="s">
        <v>242</v>
      </c>
      <c r="I497" s="23">
        <v>4.8</v>
      </c>
      <c r="J497" s="23" t="s">
        <v>243</v>
      </c>
    </row>
    <row r="498" spans="5:15">
      <c r="E498" s="4"/>
      <c r="G498" s="23" t="str">
        <f t="shared" ref="G498" ca="1" si="407">CONCATENATE($G$17,",",RANDBETWEEN($J$17*10,$I$17*10)/10)</f>
        <v>6,0.4</v>
      </c>
      <c r="H498" s="23" t="str">
        <f t="shared" ref="H498" ca="1" si="408">CONCATENATE($H$17,",",RANDBETWEEN($J$17*10,$I$17*10)/10)</f>
        <v>-6,2.2</v>
      </c>
      <c r="I498" s="23" t="str">
        <f t="shared" ref="I498" ca="1" si="409">CONCATENATE(RANDBETWEEN($J$17*10,$I$17*10)/10,",",$H$17)</f>
        <v>0,-6</v>
      </c>
      <c r="J498" s="23" t="str">
        <f t="shared" ref="J498" ca="1" si="410">CONCATENATE(RANDBETWEEN($J$17*10,$I$17*10)/10,",",$G$17)</f>
        <v>-0.9,6</v>
      </c>
    </row>
    <row r="499" spans="5:15">
      <c r="E499" s="4">
        <f t="shared" ref="E499:E500" si="411">ROW(E499)</f>
        <v>499</v>
      </c>
      <c r="F499" s="9" t="s">
        <v>30</v>
      </c>
      <c r="O499" s="23">
        <v>1.4</v>
      </c>
    </row>
    <row r="500" spans="5:15">
      <c r="E500" s="4">
        <f t="shared" si="411"/>
        <v>500</v>
      </c>
      <c r="F500" s="9" t="s">
        <v>31</v>
      </c>
      <c r="G500" s="23">
        <f t="shared" ref="G500" si="412">MOD(D489-1,4)+1</f>
        <v>1</v>
      </c>
      <c r="L500" s="9" t="s">
        <v>137</v>
      </c>
      <c r="O500" s="23" t="str" cm="1">
        <f t="array" ref="O500">_xlfn.SWITCH(G500, 1, $G$21, 2, $H$21, 3, $I$21, 4, $J$21)</f>
        <v>180</v>
      </c>
    </row>
    <row r="501" spans="5:15">
      <c r="E501" s="4"/>
      <c r="G501" s="23" t="s">
        <v>244</v>
      </c>
      <c r="H501" s="23">
        <v>0</v>
      </c>
      <c r="I501" s="23" t="s">
        <v>241</v>
      </c>
      <c r="J501" s="23" t="s">
        <v>245</v>
      </c>
    </row>
    <row r="502" spans="5:15">
      <c r="E502" s="4">
        <f t="shared" ref="E502:E520" si="413">ROW(E502)</f>
        <v>502</v>
      </c>
      <c r="F502" s="9" t="s">
        <v>104</v>
      </c>
      <c r="H502" s="9"/>
      <c r="J502" s="9"/>
      <c r="O502" s="23">
        <f t="shared" ref="O502" si="414">O490*10+1</f>
        <v>110211</v>
      </c>
    </row>
    <row r="503" spans="5:15">
      <c r="E503" s="4">
        <f t="shared" si="413"/>
        <v>503</v>
      </c>
      <c r="F503" s="9" t="s">
        <v>146</v>
      </c>
      <c r="H503" s="9"/>
      <c r="J503" s="9"/>
      <c r="O503" s="23">
        <f t="shared" ref="O503" si="415">O490</f>
        <v>11021</v>
      </c>
    </row>
    <row r="504" spans="5:15">
      <c r="E504" s="4">
        <f t="shared" si="413"/>
        <v>504</v>
      </c>
      <c r="F504" s="9" t="s">
        <v>130</v>
      </c>
      <c r="O504" s="23">
        <v>0</v>
      </c>
    </row>
    <row r="505" spans="5:15">
      <c r="E505" s="4">
        <f t="shared" si="413"/>
        <v>505</v>
      </c>
      <c r="F505" s="9" t="s">
        <v>35</v>
      </c>
      <c r="G505" s="23">
        <v>0</v>
      </c>
      <c r="H505" s="23">
        <v>90</v>
      </c>
      <c r="I505" s="23" t="s">
        <v>239</v>
      </c>
      <c r="J505" s="23">
        <v>0</v>
      </c>
      <c r="O505" s="23">
        <f t="shared" ref="O505" si="416">$H$25+IF(G505,$I$25,$J$25)</f>
        <v>90</v>
      </c>
    </row>
    <row r="506" spans="5:15">
      <c r="E506" s="4">
        <f t="shared" si="413"/>
        <v>506</v>
      </c>
      <c r="F506" s="9" t="s">
        <v>30</v>
      </c>
      <c r="G506" s="9"/>
      <c r="H506" s="9"/>
      <c r="I506" s="9"/>
      <c r="J506" s="9"/>
      <c r="O506" s="23">
        <v>0</v>
      </c>
    </row>
    <row r="507" spans="5:15">
      <c r="E507" s="4">
        <f t="shared" si="413"/>
        <v>507</v>
      </c>
      <c r="F507" s="9" t="s">
        <v>116</v>
      </c>
      <c r="L507" s="9" t="s">
        <v>137</v>
      </c>
      <c r="O507" s="23" t="str">
        <f t="shared" ref="O507" si="417">O495</f>
        <v>90</v>
      </c>
    </row>
    <row r="508" spans="5:15">
      <c r="E508" s="4">
        <f t="shared" si="413"/>
        <v>508</v>
      </c>
      <c r="F508" s="9" t="s">
        <v>104</v>
      </c>
      <c r="O508" s="23">
        <f t="shared" ref="O508" si="418">O502+1</f>
        <v>110212</v>
      </c>
    </row>
    <row r="509" spans="5:15">
      <c r="E509" s="4">
        <f t="shared" si="413"/>
        <v>509</v>
      </c>
      <c r="F509" s="9" t="s">
        <v>146</v>
      </c>
      <c r="O509" s="23">
        <f t="shared" ref="O509" si="419">O502</f>
        <v>110211</v>
      </c>
    </row>
    <row r="510" spans="5:15">
      <c r="E510" s="4">
        <f t="shared" si="413"/>
        <v>510</v>
      </c>
      <c r="F510" s="9" t="s">
        <v>130</v>
      </c>
      <c r="O510" s="23">
        <v>0</v>
      </c>
    </row>
    <row r="511" spans="5:15">
      <c r="E511" s="4">
        <f t="shared" si="413"/>
        <v>511</v>
      </c>
      <c r="F511" s="9" t="s">
        <v>30</v>
      </c>
      <c r="O511" s="23">
        <v>3</v>
      </c>
    </row>
    <row r="512" spans="5:15">
      <c r="E512" s="4">
        <f t="shared" si="413"/>
        <v>512</v>
      </c>
      <c r="F512" s="9" t="s">
        <v>116</v>
      </c>
      <c r="L512" s="9" t="s">
        <v>137</v>
      </c>
      <c r="O512" s="23" t="str">
        <f t="shared" ref="O512" si="420">O507</f>
        <v>90</v>
      </c>
    </row>
    <row r="513" spans="1:15">
      <c r="A513" s="22" t="s">
        <v>238</v>
      </c>
      <c r="B513" s="22">
        <f t="shared" ref="B513" si="421">QUOTIENT( D513-1,G514)+1</f>
        <v>3</v>
      </c>
      <c r="C513" s="22">
        <f t="shared" ref="C513" si="422">D513-(B513-1)*G514</f>
        <v>6</v>
      </c>
      <c r="D513" s="22">
        <f>COUNT($D$8:$D512)+1</f>
        <v>22</v>
      </c>
      <c r="E513" s="4"/>
    </row>
    <row r="514" spans="1:15">
      <c r="E514" s="4">
        <f t="shared" si="413"/>
        <v>514</v>
      </c>
      <c r="F514" s="9" t="s">
        <v>96</v>
      </c>
      <c r="G514" s="23">
        <v>8</v>
      </c>
      <c r="H514" s="23">
        <v>5</v>
      </c>
      <c r="J514" s="23">
        <v>11000</v>
      </c>
      <c r="O514" s="23">
        <f t="shared" ref="O514" si="423">$J$10+D513</f>
        <v>11022</v>
      </c>
    </row>
    <row r="515" spans="1:15">
      <c r="E515" s="4">
        <f t="shared" si="413"/>
        <v>515</v>
      </c>
      <c r="F515" s="9" t="s">
        <v>155</v>
      </c>
      <c r="G515" s="23">
        <v>2650</v>
      </c>
      <c r="H515" s="23" t="s">
        <v>241</v>
      </c>
      <c r="O515" s="23">
        <f t="shared" ref="O515" si="424">G515+H515*(B513-1)</f>
        <v>2830</v>
      </c>
    </row>
    <row r="516" spans="1:15">
      <c r="E516" s="4">
        <f t="shared" si="413"/>
        <v>516</v>
      </c>
      <c r="F516" s="9" t="s">
        <v>35</v>
      </c>
      <c r="O516" s="23">
        <v>60</v>
      </c>
    </row>
    <row r="517" spans="1:15">
      <c r="E517" s="4">
        <f t="shared" si="413"/>
        <v>517</v>
      </c>
      <c r="F517" s="9" t="s">
        <v>29</v>
      </c>
      <c r="O517" s="23" t="s">
        <v>148</v>
      </c>
    </row>
    <row r="518" spans="1:15">
      <c r="E518" s="4">
        <f t="shared" si="413"/>
        <v>518</v>
      </c>
      <c r="F518" s="9" t="s">
        <v>121</v>
      </c>
      <c r="O518" s="23" t="s">
        <v>147</v>
      </c>
    </row>
    <row r="519" spans="1:15">
      <c r="E519" s="4">
        <f t="shared" si="413"/>
        <v>519</v>
      </c>
      <c r="F519" s="9" t="s">
        <v>116</v>
      </c>
      <c r="G519" s="23" t="b">
        <f t="shared" ref="G519" si="425">MOD(B513,2)=0</f>
        <v>0</v>
      </c>
      <c r="H519" s="23">
        <v>-90</v>
      </c>
      <c r="I519" s="23" t="s">
        <v>241</v>
      </c>
      <c r="L519" s="9" t="s">
        <v>137</v>
      </c>
      <c r="O519" s="23" t="str">
        <f t="shared" ref="O519" si="426">IF(G519,$H$15,$I$15)</f>
        <v>90</v>
      </c>
    </row>
    <row r="520" spans="1:15">
      <c r="E520" s="4">
        <f t="shared" si="413"/>
        <v>520</v>
      </c>
      <c r="F520" s="9" t="s">
        <v>101</v>
      </c>
      <c r="G520" s="23">
        <f t="shared" ref="G520" si="427">MOD(D513-1,4)+1</f>
        <v>2</v>
      </c>
      <c r="K520" s="9" t="s">
        <v>139</v>
      </c>
      <c r="O520" s="23" t="str" cm="1">
        <f t="array" aca="1" ref="O520" ca="1">_xlfn.SWITCH(G520, 1, G522, 2, H522, 3, I522, 4, J522)</f>
        <v>-6,0</v>
      </c>
    </row>
    <row r="521" spans="1:15">
      <c r="E521" s="4"/>
      <c r="G521" s="23" t="s">
        <v>32</v>
      </c>
      <c r="H521" s="23" t="s">
        <v>242</v>
      </c>
      <c r="I521" s="23">
        <v>4.8</v>
      </c>
      <c r="J521" s="23" t="s">
        <v>243</v>
      </c>
    </row>
    <row r="522" spans="1:15">
      <c r="E522" s="4"/>
      <c r="G522" s="23" t="str">
        <f t="shared" ref="G522" ca="1" si="428">CONCATENATE($G$17,",",RANDBETWEEN($J$17*10,$I$17*10)/10)</f>
        <v>6,3.4</v>
      </c>
      <c r="H522" s="23" t="str">
        <f t="shared" ref="H522" ca="1" si="429">CONCATENATE($H$17,",",RANDBETWEEN($J$17*10,$I$17*10)/10)</f>
        <v>-6,0</v>
      </c>
      <c r="I522" s="23" t="str">
        <f t="shared" ref="I522" ca="1" si="430">CONCATENATE(RANDBETWEEN($J$17*10,$I$17*10)/10,",",$H$17)</f>
        <v>-2.7,-6</v>
      </c>
      <c r="J522" s="23" t="str">
        <f t="shared" ref="J522" ca="1" si="431">CONCATENATE(RANDBETWEEN($J$17*10,$I$17*10)/10,",",$G$17)</f>
        <v>-4.7,6</v>
      </c>
    </row>
    <row r="523" spans="1:15">
      <c r="E523" s="4">
        <f t="shared" ref="E523:E524" si="432">ROW(E523)</f>
        <v>523</v>
      </c>
      <c r="F523" s="9" t="s">
        <v>30</v>
      </c>
      <c r="O523" s="23">
        <v>1.4</v>
      </c>
    </row>
    <row r="524" spans="1:15">
      <c r="E524" s="4">
        <f t="shared" si="432"/>
        <v>524</v>
      </c>
      <c r="F524" s="9" t="s">
        <v>31</v>
      </c>
      <c r="G524" s="23">
        <f t="shared" ref="G524" si="433">MOD(D513-1,4)+1</f>
        <v>2</v>
      </c>
      <c r="L524" s="9" t="s">
        <v>137</v>
      </c>
      <c r="O524" s="23" cm="1">
        <f t="array" ref="O524">_xlfn.SWITCH(G524, 1, $G$21, 2, $H$21, 3, $I$21, 4, $J$21)</f>
        <v>0</v>
      </c>
    </row>
    <row r="525" spans="1:15">
      <c r="E525" s="4"/>
      <c r="G525" s="23" t="s">
        <v>244</v>
      </c>
      <c r="H525" s="9">
        <v>0</v>
      </c>
      <c r="I525" s="23" t="s">
        <v>241</v>
      </c>
      <c r="J525" s="9" t="s">
        <v>245</v>
      </c>
    </row>
    <row r="526" spans="1:15">
      <c r="E526" s="4">
        <f t="shared" ref="E526:E544" si="434">ROW(E526)</f>
        <v>526</v>
      </c>
      <c r="F526" s="9" t="s">
        <v>104</v>
      </c>
      <c r="H526" s="9"/>
      <c r="J526" s="9"/>
      <c r="O526" s="23">
        <f t="shared" ref="O526" si="435">O514*10+1</f>
        <v>110221</v>
      </c>
    </row>
    <row r="527" spans="1:15">
      <c r="E527" s="4">
        <f t="shared" si="434"/>
        <v>527</v>
      </c>
      <c r="F527" s="9" t="s">
        <v>146</v>
      </c>
      <c r="O527" s="23">
        <f t="shared" ref="O527" si="436">O514</f>
        <v>11022</v>
      </c>
    </row>
    <row r="528" spans="1:15">
      <c r="E528" s="4">
        <f t="shared" si="434"/>
        <v>528</v>
      </c>
      <c r="F528" s="9" t="s">
        <v>130</v>
      </c>
      <c r="O528" s="23">
        <v>0</v>
      </c>
    </row>
    <row r="529" spans="1:15">
      <c r="E529" s="4">
        <f t="shared" si="434"/>
        <v>529</v>
      </c>
      <c r="F529" s="9" t="s">
        <v>35</v>
      </c>
      <c r="G529" s="9">
        <v>0</v>
      </c>
      <c r="H529" s="9">
        <v>90</v>
      </c>
      <c r="I529" s="9" t="s">
        <v>239</v>
      </c>
      <c r="J529" s="9">
        <v>0</v>
      </c>
      <c r="O529" s="23">
        <f t="shared" ref="O529" si="437">$H$25+IF(G529,$I$25,$J$25)</f>
        <v>90</v>
      </c>
    </row>
    <row r="530" spans="1:15">
      <c r="E530" s="4">
        <f t="shared" si="434"/>
        <v>530</v>
      </c>
      <c r="F530" s="9" t="s">
        <v>30</v>
      </c>
      <c r="O530" s="23">
        <v>0</v>
      </c>
    </row>
    <row r="531" spans="1:15">
      <c r="E531" s="4">
        <f t="shared" si="434"/>
        <v>531</v>
      </c>
      <c r="F531" s="9" t="s">
        <v>116</v>
      </c>
      <c r="L531" s="9" t="s">
        <v>137</v>
      </c>
      <c r="O531" s="23" t="str">
        <f t="shared" ref="O531" si="438">O519</f>
        <v>90</v>
      </c>
    </row>
    <row r="532" spans="1:15">
      <c r="E532" s="4">
        <f t="shared" si="434"/>
        <v>532</v>
      </c>
      <c r="F532" s="9" t="s">
        <v>104</v>
      </c>
      <c r="O532" s="23">
        <f t="shared" ref="O532" si="439">O526+1</f>
        <v>110222</v>
      </c>
    </row>
    <row r="533" spans="1:15">
      <c r="E533" s="4">
        <f t="shared" si="434"/>
        <v>533</v>
      </c>
      <c r="F533" s="9" t="s">
        <v>146</v>
      </c>
      <c r="O533" s="23">
        <f t="shared" ref="O533" si="440">O526</f>
        <v>110221</v>
      </c>
    </row>
    <row r="534" spans="1:15">
      <c r="E534" s="4">
        <f t="shared" si="434"/>
        <v>534</v>
      </c>
      <c r="F534" s="9" t="s">
        <v>130</v>
      </c>
      <c r="O534" s="23">
        <v>0</v>
      </c>
    </row>
    <row r="535" spans="1:15">
      <c r="E535" s="4">
        <f t="shared" si="434"/>
        <v>535</v>
      </c>
      <c r="F535" s="9" t="s">
        <v>30</v>
      </c>
      <c r="O535" s="23">
        <v>3</v>
      </c>
    </row>
    <row r="536" spans="1:15">
      <c r="E536" s="4">
        <f t="shared" si="434"/>
        <v>536</v>
      </c>
      <c r="F536" s="9" t="s">
        <v>116</v>
      </c>
      <c r="L536" s="9" t="s">
        <v>137</v>
      </c>
      <c r="O536" s="23" t="str">
        <f t="shared" ref="O536" si="441">O531</f>
        <v>90</v>
      </c>
    </row>
    <row r="537" spans="1:15">
      <c r="A537" s="22" t="s">
        <v>238</v>
      </c>
      <c r="B537" s="22">
        <f t="shared" ref="B537" si="442">QUOTIENT( D537-1,G538)+1</f>
        <v>3</v>
      </c>
      <c r="C537" s="22">
        <f t="shared" ref="C537" si="443">D537-(B537-1)*G538</f>
        <v>7</v>
      </c>
      <c r="D537" s="22">
        <f>COUNT($D$8:$D536)+1</f>
        <v>23</v>
      </c>
      <c r="E537" s="4"/>
    </row>
    <row r="538" spans="1:15">
      <c r="E538" s="4">
        <f t="shared" si="434"/>
        <v>538</v>
      </c>
      <c r="F538" s="9" t="s">
        <v>96</v>
      </c>
      <c r="G538" s="23">
        <v>8</v>
      </c>
      <c r="H538" s="23">
        <v>5</v>
      </c>
      <c r="J538" s="23">
        <v>11000</v>
      </c>
      <c r="O538" s="23">
        <f t="shared" ref="O538" si="444">$J$10+D537</f>
        <v>11023</v>
      </c>
    </row>
    <row r="539" spans="1:15">
      <c r="E539" s="4">
        <f t="shared" si="434"/>
        <v>539</v>
      </c>
      <c r="F539" s="9" t="s">
        <v>155</v>
      </c>
      <c r="G539" s="23">
        <v>2650</v>
      </c>
      <c r="H539" s="23" t="s">
        <v>241</v>
      </c>
      <c r="O539" s="23">
        <f t="shared" ref="O539" si="445">G539+H539*(B537-1)</f>
        <v>2830</v>
      </c>
    </row>
    <row r="540" spans="1:15">
      <c r="E540" s="4">
        <f t="shared" si="434"/>
        <v>540</v>
      </c>
      <c r="F540" s="9" t="s">
        <v>35</v>
      </c>
      <c r="O540" s="23">
        <v>60</v>
      </c>
    </row>
    <row r="541" spans="1:15">
      <c r="E541" s="4">
        <f t="shared" si="434"/>
        <v>541</v>
      </c>
      <c r="F541" s="9" t="s">
        <v>29</v>
      </c>
      <c r="O541" s="23" t="s">
        <v>148</v>
      </c>
    </row>
    <row r="542" spans="1:15">
      <c r="E542" s="4">
        <f t="shared" si="434"/>
        <v>542</v>
      </c>
      <c r="F542" s="9" t="s">
        <v>121</v>
      </c>
      <c r="O542" s="23" t="s">
        <v>147</v>
      </c>
    </row>
    <row r="543" spans="1:15">
      <c r="E543" s="4">
        <f t="shared" si="434"/>
        <v>543</v>
      </c>
      <c r="F543" s="9" t="s">
        <v>116</v>
      </c>
      <c r="G543" s="23" t="b">
        <f t="shared" ref="G543" si="446">MOD(B537,2)=0</f>
        <v>0</v>
      </c>
      <c r="H543" s="23">
        <v>-90</v>
      </c>
      <c r="I543" s="23" t="s">
        <v>241</v>
      </c>
      <c r="L543" s="9" t="s">
        <v>137</v>
      </c>
      <c r="O543" s="23" t="str">
        <f t="shared" ref="O543" si="447">IF(G543,$H$15,$I$15)</f>
        <v>90</v>
      </c>
    </row>
    <row r="544" spans="1:15">
      <c r="E544" s="4">
        <f t="shared" si="434"/>
        <v>544</v>
      </c>
      <c r="F544" s="9" t="s">
        <v>101</v>
      </c>
      <c r="G544" s="23">
        <f t="shared" ref="G544" si="448">MOD(D537-1,4)+1</f>
        <v>3</v>
      </c>
      <c r="K544" s="9" t="s">
        <v>139</v>
      </c>
      <c r="O544" s="23" t="str" cm="1">
        <f t="array" aca="1" ref="O544" ca="1">_xlfn.SWITCH(G544, 1, G546, 2, H546, 3, I546, 4, J546)</f>
        <v>-1.8,-6</v>
      </c>
    </row>
    <row r="545" spans="5:15">
      <c r="E545" s="4"/>
      <c r="G545" s="23" t="s">
        <v>32</v>
      </c>
      <c r="H545" s="23" t="s">
        <v>242</v>
      </c>
      <c r="I545" s="23">
        <v>4.8</v>
      </c>
      <c r="J545" s="23" t="s">
        <v>243</v>
      </c>
    </row>
    <row r="546" spans="5:15">
      <c r="E546" s="4"/>
      <c r="G546" s="23" t="str">
        <f t="shared" ref="G546" ca="1" si="449">CONCATENATE($G$17,",",RANDBETWEEN($J$17*10,$I$17*10)/10)</f>
        <v>6,2</v>
      </c>
      <c r="H546" s="23" t="str">
        <f t="shared" ref="H546" ca="1" si="450">CONCATENATE($H$17,",",RANDBETWEEN($J$17*10,$I$17*10)/10)</f>
        <v>-6,-1.5</v>
      </c>
      <c r="I546" s="23" t="str">
        <f t="shared" ref="I546" ca="1" si="451">CONCATENATE(RANDBETWEEN($J$17*10,$I$17*10)/10,",",$H$17)</f>
        <v>-1.8,-6</v>
      </c>
      <c r="J546" s="23" t="str">
        <f t="shared" ref="J546" ca="1" si="452">CONCATENATE(RANDBETWEEN($J$17*10,$I$17*10)/10,",",$G$17)</f>
        <v>3.1,6</v>
      </c>
    </row>
    <row r="547" spans="5:15">
      <c r="E547" s="4">
        <f t="shared" ref="E547:E548" si="453">ROW(E547)</f>
        <v>547</v>
      </c>
      <c r="F547" s="9" t="s">
        <v>30</v>
      </c>
      <c r="O547" s="23">
        <v>1.4</v>
      </c>
    </row>
    <row r="548" spans="5:15">
      <c r="E548" s="4">
        <f t="shared" si="453"/>
        <v>548</v>
      </c>
      <c r="F548" s="9" t="s">
        <v>31</v>
      </c>
      <c r="G548" s="23">
        <f t="shared" ref="G548" si="454">MOD(D537-1,4)+1</f>
        <v>3</v>
      </c>
      <c r="H548" s="9"/>
      <c r="J548" s="9"/>
      <c r="L548" s="9" t="s">
        <v>137</v>
      </c>
      <c r="O548" s="23" t="str" cm="1">
        <f t="array" ref="O548">_xlfn.SWITCH(G548, 1, $G$21, 2, $H$21, 3, $I$21, 4, $J$21)</f>
        <v>90</v>
      </c>
    </row>
    <row r="549" spans="5:15">
      <c r="E549" s="4"/>
      <c r="G549" s="23" t="s">
        <v>244</v>
      </c>
      <c r="H549" s="9">
        <v>0</v>
      </c>
      <c r="I549" s="23" t="s">
        <v>241</v>
      </c>
      <c r="J549" s="9" t="s">
        <v>245</v>
      </c>
    </row>
    <row r="550" spans="5:15">
      <c r="E550" s="4">
        <f t="shared" ref="E550:E568" si="455">ROW(E550)</f>
        <v>550</v>
      </c>
      <c r="F550" s="9" t="s">
        <v>104</v>
      </c>
      <c r="O550" s="23">
        <f t="shared" ref="O550" si="456">O538*10+1</f>
        <v>110231</v>
      </c>
    </row>
    <row r="551" spans="5:15">
      <c r="E551" s="4">
        <f t="shared" si="455"/>
        <v>551</v>
      </c>
      <c r="F551" s="9" t="s">
        <v>146</v>
      </c>
      <c r="O551" s="23">
        <f t="shared" ref="O551" si="457">O538</f>
        <v>11023</v>
      </c>
    </row>
    <row r="552" spans="5:15">
      <c r="E552" s="4">
        <f t="shared" si="455"/>
        <v>552</v>
      </c>
      <c r="F552" s="9" t="s">
        <v>130</v>
      </c>
      <c r="G552" s="9"/>
      <c r="H552" s="9"/>
      <c r="I552" s="9"/>
      <c r="J552" s="9"/>
      <c r="O552" s="23">
        <v>0</v>
      </c>
    </row>
    <row r="553" spans="5:15">
      <c r="E553" s="4">
        <f t="shared" si="455"/>
        <v>553</v>
      </c>
      <c r="F553" s="9" t="s">
        <v>35</v>
      </c>
      <c r="G553" s="23">
        <v>0</v>
      </c>
      <c r="H553" s="23">
        <v>90</v>
      </c>
      <c r="I553" s="23" t="s">
        <v>239</v>
      </c>
      <c r="J553" s="23">
        <v>0</v>
      </c>
      <c r="O553" s="23">
        <f t="shared" ref="O553" si="458">$H$25+IF(G553,$I$25,$J$25)</f>
        <v>90</v>
      </c>
    </row>
    <row r="554" spans="5:15">
      <c r="E554" s="4">
        <f t="shared" si="455"/>
        <v>554</v>
      </c>
      <c r="F554" s="9" t="s">
        <v>30</v>
      </c>
      <c r="O554" s="23">
        <v>0</v>
      </c>
    </row>
    <row r="555" spans="5:15">
      <c r="E555" s="4">
        <f t="shared" si="455"/>
        <v>555</v>
      </c>
      <c r="F555" s="9" t="s">
        <v>116</v>
      </c>
      <c r="L555" s="9" t="s">
        <v>137</v>
      </c>
      <c r="O555" s="23" t="str">
        <f t="shared" ref="O555" si="459">O543</f>
        <v>90</v>
      </c>
    </row>
    <row r="556" spans="5:15">
      <c r="E556" s="4">
        <f t="shared" si="455"/>
        <v>556</v>
      </c>
      <c r="F556" s="9" t="s">
        <v>104</v>
      </c>
      <c r="O556" s="23">
        <f t="shared" ref="O556" si="460">O550+1</f>
        <v>110232</v>
      </c>
    </row>
    <row r="557" spans="5:15">
      <c r="E557" s="4">
        <f t="shared" si="455"/>
        <v>557</v>
      </c>
      <c r="F557" s="9" t="s">
        <v>146</v>
      </c>
      <c r="O557" s="23">
        <f t="shared" ref="O557" si="461">O550</f>
        <v>110231</v>
      </c>
    </row>
    <row r="558" spans="5:15">
      <c r="E558" s="4">
        <f t="shared" si="455"/>
        <v>558</v>
      </c>
      <c r="F558" s="9" t="s">
        <v>130</v>
      </c>
      <c r="O558" s="23">
        <v>0</v>
      </c>
    </row>
    <row r="559" spans="5:15">
      <c r="E559" s="4">
        <f t="shared" si="455"/>
        <v>559</v>
      </c>
      <c r="F559" s="9" t="s">
        <v>30</v>
      </c>
      <c r="O559" s="23">
        <v>3</v>
      </c>
    </row>
    <row r="560" spans="5:15">
      <c r="E560" s="4">
        <f t="shared" si="455"/>
        <v>560</v>
      </c>
      <c r="F560" s="9" t="s">
        <v>116</v>
      </c>
      <c r="L560" s="9" t="s">
        <v>137</v>
      </c>
      <c r="O560" s="23" t="str">
        <f t="shared" ref="O560" si="462">O555</f>
        <v>90</v>
      </c>
    </row>
    <row r="561" spans="1:15">
      <c r="A561" s="22" t="s">
        <v>238</v>
      </c>
      <c r="B561" s="22">
        <f t="shared" ref="B561" si="463">QUOTIENT( D561-1,G562)+1</f>
        <v>3</v>
      </c>
      <c r="C561" s="22">
        <f t="shared" ref="C561" si="464">D561-(B561-1)*G562</f>
        <v>8</v>
      </c>
      <c r="D561" s="22">
        <f>COUNT($D$8:$D560)+1</f>
        <v>24</v>
      </c>
      <c r="E561" s="4"/>
    </row>
    <row r="562" spans="1:15">
      <c r="E562" s="4">
        <f t="shared" si="455"/>
        <v>562</v>
      </c>
      <c r="F562" s="9" t="s">
        <v>96</v>
      </c>
      <c r="G562" s="23">
        <v>8</v>
      </c>
      <c r="H562" s="23">
        <v>5</v>
      </c>
      <c r="J562" s="23">
        <v>11000</v>
      </c>
      <c r="O562" s="23">
        <f t="shared" ref="O562" si="465">$J$10+D561</f>
        <v>11024</v>
      </c>
    </row>
    <row r="563" spans="1:15">
      <c r="E563" s="4">
        <f t="shared" si="455"/>
        <v>563</v>
      </c>
      <c r="F563" s="9" t="s">
        <v>155</v>
      </c>
      <c r="G563" s="23">
        <v>2650</v>
      </c>
      <c r="H563" s="23" t="s">
        <v>241</v>
      </c>
      <c r="O563" s="23">
        <f t="shared" ref="O563" si="466">G563+H563*(B561-1)</f>
        <v>2830</v>
      </c>
    </row>
    <row r="564" spans="1:15">
      <c r="E564" s="4">
        <f t="shared" si="455"/>
        <v>564</v>
      </c>
      <c r="F564" s="9" t="s">
        <v>35</v>
      </c>
      <c r="O564" s="23">
        <v>60</v>
      </c>
    </row>
    <row r="565" spans="1:15">
      <c r="E565" s="4">
        <f t="shared" si="455"/>
        <v>565</v>
      </c>
      <c r="F565" s="9" t="s">
        <v>29</v>
      </c>
      <c r="O565" s="23" t="s">
        <v>148</v>
      </c>
    </row>
    <row r="566" spans="1:15">
      <c r="E566" s="4">
        <f t="shared" si="455"/>
        <v>566</v>
      </c>
      <c r="F566" s="9" t="s">
        <v>121</v>
      </c>
      <c r="O566" s="23" t="s">
        <v>147</v>
      </c>
    </row>
    <row r="567" spans="1:15">
      <c r="E567" s="4">
        <f t="shared" si="455"/>
        <v>567</v>
      </c>
      <c r="F567" s="9" t="s">
        <v>116</v>
      </c>
      <c r="G567" s="23" t="b">
        <f t="shared" ref="G567" si="467">MOD(B561,2)=0</f>
        <v>0</v>
      </c>
      <c r="H567" s="23">
        <v>-90</v>
      </c>
      <c r="I567" s="23" t="s">
        <v>241</v>
      </c>
      <c r="L567" s="9" t="s">
        <v>137</v>
      </c>
      <c r="O567" s="23" t="str">
        <f t="shared" ref="O567" si="468">IF(G567,$H$15,$I$15)</f>
        <v>90</v>
      </c>
    </row>
    <row r="568" spans="1:15">
      <c r="E568" s="4">
        <f t="shared" si="455"/>
        <v>568</v>
      </c>
      <c r="F568" s="9" t="s">
        <v>101</v>
      </c>
      <c r="G568" s="23">
        <f t="shared" ref="G568" si="469">MOD(D561-1,4)+1</f>
        <v>4</v>
      </c>
      <c r="K568" s="9" t="s">
        <v>139</v>
      </c>
      <c r="O568" s="23" t="str" cm="1">
        <f t="array" aca="1" ref="O568" ca="1">_xlfn.SWITCH(G568, 1, G570, 2, H570, 3, I570, 4, J570)</f>
        <v>4.6,6</v>
      </c>
    </row>
    <row r="569" spans="1:15">
      <c r="E569" s="4"/>
      <c r="G569" s="23" t="s">
        <v>32</v>
      </c>
      <c r="H569" s="23" t="s">
        <v>242</v>
      </c>
      <c r="I569" s="23">
        <v>4.8</v>
      </c>
      <c r="J569" s="23" t="s">
        <v>243</v>
      </c>
    </row>
    <row r="570" spans="1:15">
      <c r="E570" s="4"/>
      <c r="G570" s="23" t="str">
        <f t="shared" ref="G570" ca="1" si="470">CONCATENATE($G$17,",",RANDBETWEEN($J$17*10,$I$17*10)/10)</f>
        <v>6,0.1</v>
      </c>
      <c r="H570" s="23" t="str">
        <f t="shared" ref="H570" ca="1" si="471">CONCATENATE($H$17,",",RANDBETWEEN($J$17*10,$I$17*10)/10)</f>
        <v>-6,1.9</v>
      </c>
      <c r="I570" s="23" t="str">
        <f t="shared" ref="I570" ca="1" si="472">CONCATENATE(RANDBETWEEN($J$17*10,$I$17*10)/10,",",$H$17)</f>
        <v>-4.5,-6</v>
      </c>
      <c r="J570" s="23" t="str">
        <f t="shared" ref="J570" ca="1" si="473">CONCATENATE(RANDBETWEEN($J$17*10,$I$17*10)/10,",",$G$17)</f>
        <v>4.6,6</v>
      </c>
    </row>
    <row r="571" spans="1:15">
      <c r="E571" s="4">
        <f t="shared" ref="E571:E572" si="474">ROW(E571)</f>
        <v>571</v>
      </c>
      <c r="F571" s="9" t="s">
        <v>30</v>
      </c>
      <c r="H571" s="9"/>
      <c r="J571" s="9"/>
      <c r="O571" s="23">
        <v>1.4</v>
      </c>
    </row>
    <row r="572" spans="1:15">
      <c r="E572" s="4">
        <f t="shared" si="474"/>
        <v>572</v>
      </c>
      <c r="F572" s="9" t="s">
        <v>31</v>
      </c>
      <c r="G572" s="23">
        <f t="shared" ref="G572" si="475">MOD(D561-1,4)+1</f>
        <v>4</v>
      </c>
      <c r="H572" s="9"/>
      <c r="J572" s="9"/>
      <c r="L572" s="9" t="s">
        <v>137</v>
      </c>
      <c r="O572" s="23" t="str" cm="1">
        <f t="array" ref="O572">_xlfn.SWITCH(G572, 1, $G$21, 2, $H$21, 3, $I$21, 4, $J$21)</f>
        <v>270</v>
      </c>
    </row>
    <row r="573" spans="1:15">
      <c r="E573" s="4"/>
      <c r="G573" s="23" t="s">
        <v>244</v>
      </c>
      <c r="H573" s="23">
        <v>0</v>
      </c>
      <c r="I573" s="23" t="s">
        <v>241</v>
      </c>
      <c r="J573" s="23" t="s">
        <v>245</v>
      </c>
    </row>
    <row r="574" spans="1:15">
      <c r="E574" s="4">
        <f t="shared" ref="E574:E592" si="476">ROW(E574)</f>
        <v>574</v>
      </c>
      <c r="F574" s="9" t="s">
        <v>104</v>
      </c>
      <c r="O574" s="23">
        <f t="shared" ref="O574" si="477">O562*10+1</f>
        <v>110241</v>
      </c>
    </row>
    <row r="575" spans="1:15">
      <c r="E575" s="4">
        <f t="shared" si="476"/>
        <v>575</v>
      </c>
      <c r="F575" s="9" t="s">
        <v>146</v>
      </c>
      <c r="G575" s="9"/>
      <c r="H575" s="9"/>
      <c r="I575" s="9"/>
      <c r="J575" s="9"/>
      <c r="O575" s="23">
        <f t="shared" ref="O575" si="478">O562</f>
        <v>11024</v>
      </c>
    </row>
    <row r="576" spans="1:15">
      <c r="E576" s="4">
        <f t="shared" si="476"/>
        <v>576</v>
      </c>
      <c r="F576" s="9" t="s">
        <v>130</v>
      </c>
      <c r="O576" s="23">
        <v>0</v>
      </c>
    </row>
    <row r="577" spans="1:15">
      <c r="E577" s="4">
        <f t="shared" si="476"/>
        <v>577</v>
      </c>
      <c r="F577" s="9" t="s">
        <v>35</v>
      </c>
      <c r="G577" s="23">
        <v>0</v>
      </c>
      <c r="H577" s="23">
        <v>90</v>
      </c>
      <c r="I577" s="23" t="s">
        <v>239</v>
      </c>
      <c r="J577" s="23">
        <v>0</v>
      </c>
      <c r="O577" s="23">
        <f t="shared" ref="O577" si="479">$H$25+IF(G577,$I$25,$J$25)</f>
        <v>90</v>
      </c>
    </row>
    <row r="578" spans="1:15">
      <c r="E578" s="4">
        <f t="shared" si="476"/>
        <v>578</v>
      </c>
      <c r="F578" s="9" t="s">
        <v>30</v>
      </c>
      <c r="O578" s="23">
        <v>0</v>
      </c>
    </row>
    <row r="579" spans="1:15">
      <c r="E579" s="4">
        <f t="shared" si="476"/>
        <v>579</v>
      </c>
      <c r="F579" s="9" t="s">
        <v>116</v>
      </c>
      <c r="L579" s="9" t="s">
        <v>137</v>
      </c>
      <c r="O579" s="23" t="str">
        <f t="shared" ref="O579" si="480">O567</f>
        <v>90</v>
      </c>
    </row>
    <row r="580" spans="1:15">
      <c r="E580" s="4">
        <f t="shared" si="476"/>
        <v>580</v>
      </c>
      <c r="F580" s="9" t="s">
        <v>104</v>
      </c>
      <c r="O580" s="23">
        <f t="shared" ref="O580" si="481">O574+1</f>
        <v>110242</v>
      </c>
    </row>
    <row r="581" spans="1:15">
      <c r="E581" s="4">
        <f t="shared" si="476"/>
        <v>581</v>
      </c>
      <c r="F581" s="9" t="s">
        <v>146</v>
      </c>
      <c r="O581" s="23">
        <f t="shared" ref="O581" si="482">O574</f>
        <v>110241</v>
      </c>
    </row>
    <row r="582" spans="1:15">
      <c r="E582" s="4">
        <f t="shared" si="476"/>
        <v>582</v>
      </c>
      <c r="F582" s="9" t="s">
        <v>130</v>
      </c>
      <c r="O582" s="23">
        <v>0</v>
      </c>
    </row>
    <row r="583" spans="1:15">
      <c r="E583" s="4">
        <f t="shared" si="476"/>
        <v>583</v>
      </c>
      <c r="F583" s="9" t="s">
        <v>30</v>
      </c>
      <c r="O583" s="23">
        <v>3</v>
      </c>
    </row>
    <row r="584" spans="1:15">
      <c r="E584" s="4">
        <f t="shared" si="476"/>
        <v>584</v>
      </c>
      <c r="F584" s="9" t="s">
        <v>116</v>
      </c>
      <c r="L584" s="9" t="s">
        <v>137</v>
      </c>
      <c r="O584" s="23" t="str">
        <f t="shared" ref="O584" si="483">O579</f>
        <v>90</v>
      </c>
    </row>
    <row r="585" spans="1:15">
      <c r="A585" s="22" t="s">
        <v>238</v>
      </c>
      <c r="B585" s="22">
        <f t="shared" ref="B585" si="484">QUOTIENT( D585-1,G586)+1</f>
        <v>4</v>
      </c>
      <c r="C585" s="22">
        <f t="shared" ref="C585" si="485">D585-(B585-1)*G586</f>
        <v>1</v>
      </c>
      <c r="D585" s="22">
        <f>COUNT($D$8:$D584)+1</f>
        <v>25</v>
      </c>
      <c r="E585" s="4"/>
    </row>
    <row r="586" spans="1:15">
      <c r="E586" s="4">
        <f t="shared" si="476"/>
        <v>586</v>
      </c>
      <c r="F586" s="9" t="s">
        <v>96</v>
      </c>
      <c r="G586" s="23">
        <v>8</v>
      </c>
      <c r="H586" s="23">
        <v>5</v>
      </c>
      <c r="J586" s="23">
        <v>11000</v>
      </c>
      <c r="O586" s="23">
        <f t="shared" ref="O586" si="486">$J$10+D585</f>
        <v>11025</v>
      </c>
    </row>
    <row r="587" spans="1:15">
      <c r="E587" s="4">
        <f t="shared" si="476"/>
        <v>587</v>
      </c>
      <c r="F587" s="9" t="s">
        <v>155</v>
      </c>
      <c r="G587" s="23">
        <v>2650</v>
      </c>
      <c r="H587" s="23" t="s">
        <v>241</v>
      </c>
      <c r="O587" s="23">
        <f t="shared" ref="O587" si="487">G587+H587*(B585-1)</f>
        <v>2920</v>
      </c>
    </row>
    <row r="588" spans="1:15">
      <c r="E588" s="4">
        <f t="shared" si="476"/>
        <v>588</v>
      </c>
      <c r="F588" s="9" t="s">
        <v>35</v>
      </c>
      <c r="O588" s="23">
        <v>60</v>
      </c>
    </row>
    <row r="589" spans="1:15">
      <c r="E589" s="4">
        <f t="shared" si="476"/>
        <v>589</v>
      </c>
      <c r="F589" s="9" t="s">
        <v>29</v>
      </c>
      <c r="O589" s="23" t="s">
        <v>148</v>
      </c>
    </row>
    <row r="590" spans="1:15">
      <c r="E590" s="4">
        <f t="shared" si="476"/>
        <v>590</v>
      </c>
      <c r="F590" s="9" t="s">
        <v>121</v>
      </c>
      <c r="O590" s="23" t="s">
        <v>147</v>
      </c>
    </row>
    <row r="591" spans="1:15">
      <c r="E591" s="4">
        <f t="shared" si="476"/>
        <v>591</v>
      </c>
      <c r="F591" s="9" t="s">
        <v>116</v>
      </c>
      <c r="G591" s="23" t="b">
        <f t="shared" ref="G591" si="488">MOD(B585,2)=0</f>
        <v>1</v>
      </c>
      <c r="H591" s="23">
        <v>-90</v>
      </c>
      <c r="I591" s="23" t="s">
        <v>241</v>
      </c>
      <c r="L591" s="9" t="s">
        <v>137</v>
      </c>
      <c r="O591" s="23">
        <f t="shared" ref="O591" si="489">IF(G591,$H$15,$I$15)</f>
        <v>-90</v>
      </c>
    </row>
    <row r="592" spans="1:15">
      <c r="E592" s="4">
        <f t="shared" si="476"/>
        <v>592</v>
      </c>
      <c r="F592" s="9" t="s">
        <v>101</v>
      </c>
      <c r="G592" s="23">
        <f t="shared" ref="G592" si="490">MOD(D585-1,4)+1</f>
        <v>1</v>
      </c>
      <c r="K592" s="9" t="s">
        <v>139</v>
      </c>
      <c r="O592" s="23" t="str" cm="1">
        <f t="array" aca="1" ref="O592" ca="1">_xlfn.SWITCH(G592, 1, G594, 2, H594, 3, I594, 4, J594)</f>
        <v>6,-1.5</v>
      </c>
    </row>
    <row r="593" spans="5:15">
      <c r="E593" s="4"/>
      <c r="G593" s="23" t="s">
        <v>32</v>
      </c>
      <c r="H593" s="23" t="s">
        <v>242</v>
      </c>
      <c r="I593" s="23">
        <v>4.8</v>
      </c>
      <c r="J593" s="23" t="s">
        <v>243</v>
      </c>
    </row>
    <row r="594" spans="5:15">
      <c r="E594" s="4"/>
      <c r="G594" s="23" t="str">
        <f t="shared" ref="G594" ca="1" si="491">CONCATENATE($G$17,",",RANDBETWEEN($J$17*10,$I$17*10)/10)</f>
        <v>6,-1.5</v>
      </c>
      <c r="H594" s="9" t="str">
        <f t="shared" ref="H594" ca="1" si="492">CONCATENATE($H$17,",",RANDBETWEEN($J$17*10,$I$17*10)/10)</f>
        <v>-6,4.8</v>
      </c>
      <c r="I594" s="23" t="str">
        <f t="shared" ref="I594" ca="1" si="493">CONCATENATE(RANDBETWEEN($J$17*10,$I$17*10)/10,",",$H$17)</f>
        <v>-0.7,-6</v>
      </c>
      <c r="J594" s="9" t="str">
        <f t="shared" ref="J594" ca="1" si="494">CONCATENATE(RANDBETWEEN($J$17*10,$I$17*10)/10,",",$G$17)</f>
        <v>-2.4,6</v>
      </c>
    </row>
    <row r="595" spans="5:15">
      <c r="E595" s="4">
        <f t="shared" ref="E595:E596" si="495">ROW(E595)</f>
        <v>595</v>
      </c>
      <c r="F595" s="9" t="s">
        <v>30</v>
      </c>
      <c r="H595" s="9"/>
      <c r="J595" s="9"/>
      <c r="O595" s="23">
        <v>1.4</v>
      </c>
    </row>
    <row r="596" spans="5:15">
      <c r="E596" s="4">
        <f t="shared" si="495"/>
        <v>596</v>
      </c>
      <c r="F596" s="9" t="s">
        <v>31</v>
      </c>
      <c r="G596" s="23">
        <f t="shared" ref="G596" si="496">MOD(D585-1,4)+1</f>
        <v>1</v>
      </c>
      <c r="L596" s="9" t="s">
        <v>137</v>
      </c>
      <c r="O596" s="23" t="str" cm="1">
        <f t="array" ref="O596">_xlfn.SWITCH(G596, 1, $G$21, 2, $H$21, 3, $I$21, 4, $J$21)</f>
        <v>180</v>
      </c>
    </row>
    <row r="597" spans="5:15">
      <c r="E597" s="4"/>
      <c r="G597" s="23" t="s">
        <v>244</v>
      </c>
      <c r="H597" s="23">
        <v>0</v>
      </c>
      <c r="I597" s="23" t="s">
        <v>241</v>
      </c>
      <c r="J597" s="23" t="s">
        <v>245</v>
      </c>
    </row>
    <row r="598" spans="5:15">
      <c r="E598" s="4">
        <f t="shared" ref="E598:E616" si="497">ROW(E598)</f>
        <v>598</v>
      </c>
      <c r="F598" s="9" t="s">
        <v>104</v>
      </c>
      <c r="G598" s="9"/>
      <c r="H598" s="9"/>
      <c r="I598" s="9"/>
      <c r="J598" s="9"/>
      <c r="O598" s="23">
        <f t="shared" ref="O598" si="498">O586*10+1</f>
        <v>110251</v>
      </c>
    </row>
    <row r="599" spans="5:15">
      <c r="E599" s="4">
        <f t="shared" si="497"/>
        <v>599</v>
      </c>
      <c r="F599" s="9" t="s">
        <v>146</v>
      </c>
      <c r="O599" s="23">
        <f t="shared" ref="O599" si="499">O586</f>
        <v>11025</v>
      </c>
    </row>
    <row r="600" spans="5:15">
      <c r="E600" s="4">
        <f t="shared" si="497"/>
        <v>600</v>
      </c>
      <c r="F600" s="9" t="s">
        <v>130</v>
      </c>
      <c r="O600" s="23">
        <v>0</v>
      </c>
    </row>
    <row r="601" spans="5:15">
      <c r="E601" s="4">
        <f t="shared" si="497"/>
        <v>601</v>
      </c>
      <c r="F601" s="9" t="s">
        <v>35</v>
      </c>
      <c r="G601" s="23">
        <v>0</v>
      </c>
      <c r="H601" s="23">
        <v>90</v>
      </c>
      <c r="I601" s="23" t="s">
        <v>239</v>
      </c>
      <c r="J601" s="23">
        <v>0</v>
      </c>
      <c r="O601" s="23">
        <f t="shared" ref="O601" si="500">$H$25+IF(G601,$I$25,$J$25)</f>
        <v>90</v>
      </c>
    </row>
    <row r="602" spans="5:15">
      <c r="E602" s="4">
        <f t="shared" si="497"/>
        <v>602</v>
      </c>
      <c r="F602" s="9" t="s">
        <v>30</v>
      </c>
      <c r="O602" s="23">
        <v>0</v>
      </c>
    </row>
    <row r="603" spans="5:15">
      <c r="E603" s="4">
        <f t="shared" si="497"/>
        <v>603</v>
      </c>
      <c r="F603" s="9" t="s">
        <v>116</v>
      </c>
      <c r="L603" s="9" t="s">
        <v>137</v>
      </c>
      <c r="O603" s="23">
        <f t="shared" ref="O603" si="501">O591</f>
        <v>-90</v>
      </c>
    </row>
    <row r="604" spans="5:15">
      <c r="E604" s="4">
        <f t="shared" si="497"/>
        <v>604</v>
      </c>
      <c r="F604" s="9" t="s">
        <v>104</v>
      </c>
      <c r="O604" s="23">
        <f t="shared" ref="O604" si="502">O598+1</f>
        <v>110252</v>
      </c>
    </row>
    <row r="605" spans="5:15">
      <c r="E605" s="4">
        <f t="shared" si="497"/>
        <v>605</v>
      </c>
      <c r="F605" s="9" t="s">
        <v>146</v>
      </c>
      <c r="O605" s="23">
        <f t="shared" ref="O605" si="503">O598</f>
        <v>110251</v>
      </c>
    </row>
    <row r="606" spans="5:15">
      <c r="E606" s="4">
        <f t="shared" si="497"/>
        <v>606</v>
      </c>
      <c r="F606" s="9" t="s">
        <v>130</v>
      </c>
      <c r="O606" s="23">
        <v>0</v>
      </c>
    </row>
    <row r="607" spans="5:15">
      <c r="E607" s="4">
        <f t="shared" si="497"/>
        <v>607</v>
      </c>
      <c r="F607" s="9" t="s">
        <v>30</v>
      </c>
      <c r="O607" s="23">
        <v>3</v>
      </c>
    </row>
    <row r="608" spans="5:15">
      <c r="E608" s="4">
        <f t="shared" si="497"/>
        <v>608</v>
      </c>
      <c r="F608" s="9" t="s">
        <v>116</v>
      </c>
      <c r="L608" s="9" t="s">
        <v>137</v>
      </c>
      <c r="O608" s="23">
        <f t="shared" ref="O608" si="504">O603</f>
        <v>-90</v>
      </c>
    </row>
    <row r="609" spans="1:15">
      <c r="A609" s="22" t="s">
        <v>238</v>
      </c>
      <c r="B609" s="22">
        <f t="shared" ref="B609" si="505">QUOTIENT( D609-1,G610)+1</f>
        <v>4</v>
      </c>
      <c r="C609" s="22">
        <f t="shared" ref="C609" si="506">D609-(B609-1)*G610</f>
        <v>2</v>
      </c>
      <c r="D609" s="22">
        <f>COUNT($D$8:$D608)+1</f>
        <v>26</v>
      </c>
      <c r="E609" s="4"/>
    </row>
    <row r="610" spans="1:15">
      <c r="E610" s="4">
        <f t="shared" si="497"/>
        <v>610</v>
      </c>
      <c r="F610" s="9" t="s">
        <v>96</v>
      </c>
      <c r="G610" s="23">
        <v>8</v>
      </c>
      <c r="H610" s="23">
        <v>5</v>
      </c>
      <c r="J610" s="23">
        <v>11000</v>
      </c>
      <c r="O610" s="23">
        <f t="shared" ref="O610" si="507">$J$10+D609</f>
        <v>11026</v>
      </c>
    </row>
    <row r="611" spans="1:15">
      <c r="E611" s="4">
        <f t="shared" si="497"/>
        <v>611</v>
      </c>
      <c r="F611" s="9" t="s">
        <v>155</v>
      </c>
      <c r="G611" s="23">
        <v>2650</v>
      </c>
      <c r="H611" s="23" t="s">
        <v>241</v>
      </c>
      <c r="O611" s="23">
        <f t="shared" ref="O611" si="508">G611+H611*(B609-1)</f>
        <v>2920</v>
      </c>
    </row>
    <row r="612" spans="1:15">
      <c r="E612" s="4">
        <f t="shared" si="497"/>
        <v>612</v>
      </c>
      <c r="F612" s="9" t="s">
        <v>35</v>
      </c>
      <c r="O612" s="23">
        <v>60</v>
      </c>
    </row>
    <row r="613" spans="1:15">
      <c r="E613" s="4">
        <f t="shared" si="497"/>
        <v>613</v>
      </c>
      <c r="F613" s="9" t="s">
        <v>29</v>
      </c>
      <c r="O613" s="23" t="s">
        <v>148</v>
      </c>
    </row>
    <row r="614" spans="1:15">
      <c r="E614" s="4">
        <f t="shared" si="497"/>
        <v>614</v>
      </c>
      <c r="F614" s="9" t="s">
        <v>121</v>
      </c>
      <c r="O614" s="23" t="s">
        <v>147</v>
      </c>
    </row>
    <row r="615" spans="1:15">
      <c r="E615" s="4">
        <f t="shared" si="497"/>
        <v>615</v>
      </c>
      <c r="F615" s="9" t="s">
        <v>116</v>
      </c>
      <c r="G615" s="23" t="b">
        <f t="shared" ref="G615" si="509">MOD(B609,2)=0</f>
        <v>1</v>
      </c>
      <c r="H615" s="23">
        <v>-90</v>
      </c>
      <c r="I615" s="23" t="s">
        <v>241</v>
      </c>
      <c r="L615" s="9" t="s">
        <v>137</v>
      </c>
      <c r="O615" s="23">
        <f t="shared" ref="O615" si="510">IF(G615,$H$15,$I$15)</f>
        <v>-90</v>
      </c>
    </row>
    <row r="616" spans="1:15">
      <c r="E616" s="4">
        <f t="shared" si="497"/>
        <v>616</v>
      </c>
      <c r="F616" s="9" t="s">
        <v>101</v>
      </c>
      <c r="G616" s="23">
        <f t="shared" ref="G616" si="511">MOD(D609-1,4)+1</f>
        <v>2</v>
      </c>
      <c r="K616" s="9" t="s">
        <v>139</v>
      </c>
      <c r="O616" s="23" t="str" cm="1">
        <f t="array" aca="1" ref="O616" ca="1">_xlfn.SWITCH(G616, 1, G618, 2, H618, 3, I618, 4, J618)</f>
        <v>-6,-1.8</v>
      </c>
    </row>
    <row r="617" spans="1:15">
      <c r="E617" s="4"/>
      <c r="G617" s="23" t="s">
        <v>32</v>
      </c>
      <c r="H617" s="9" t="s">
        <v>242</v>
      </c>
      <c r="I617" s="23">
        <v>4.8</v>
      </c>
      <c r="J617" s="9" t="s">
        <v>243</v>
      </c>
    </row>
    <row r="618" spans="1:15">
      <c r="E618" s="4"/>
      <c r="G618" s="23" t="str">
        <f t="shared" ref="G618" ca="1" si="512">CONCATENATE($G$17,",",RANDBETWEEN($J$17*10,$I$17*10)/10)</f>
        <v>6,0.7</v>
      </c>
      <c r="H618" s="9" t="str">
        <f t="shared" ref="H618" ca="1" si="513">CONCATENATE($H$17,",",RANDBETWEEN($J$17*10,$I$17*10)/10)</f>
        <v>-6,-1.8</v>
      </c>
      <c r="I618" s="23" t="str">
        <f t="shared" ref="I618" ca="1" si="514">CONCATENATE(RANDBETWEEN($J$17*10,$I$17*10)/10,",",$H$17)</f>
        <v>-0.4,-6</v>
      </c>
      <c r="J618" s="9" t="str">
        <f t="shared" ref="J618" ca="1" si="515">CONCATENATE(RANDBETWEEN($J$17*10,$I$17*10)/10,",",$G$17)</f>
        <v>-2.1,6</v>
      </c>
    </row>
    <row r="619" spans="1:15">
      <c r="E619" s="4">
        <f t="shared" ref="E619:E620" si="516">ROW(E619)</f>
        <v>619</v>
      </c>
      <c r="F619" s="9" t="s">
        <v>30</v>
      </c>
      <c r="O619" s="23">
        <v>1.4</v>
      </c>
    </row>
    <row r="620" spans="1:15">
      <c r="E620" s="4">
        <f t="shared" si="516"/>
        <v>620</v>
      </c>
      <c r="F620" s="9" t="s">
        <v>31</v>
      </c>
      <c r="G620" s="23">
        <f t="shared" ref="G620" si="517">MOD(D609-1,4)+1</f>
        <v>2</v>
      </c>
      <c r="L620" s="9" t="s">
        <v>137</v>
      </c>
      <c r="O620" s="23" cm="1">
        <f t="array" ref="O620">_xlfn.SWITCH(G620, 1, $G$21, 2, $H$21, 3, $I$21, 4, $J$21)</f>
        <v>0</v>
      </c>
    </row>
    <row r="621" spans="1:15">
      <c r="E621" s="4"/>
      <c r="G621" s="9" t="s">
        <v>244</v>
      </c>
      <c r="H621" s="9">
        <v>0</v>
      </c>
      <c r="I621" s="9" t="s">
        <v>241</v>
      </c>
      <c r="J621" s="9" t="s">
        <v>245</v>
      </c>
    </row>
    <row r="622" spans="1:15">
      <c r="E622" s="4">
        <f t="shared" ref="E622:E640" si="518">ROW(E622)</f>
        <v>622</v>
      </c>
      <c r="F622" s="9" t="s">
        <v>104</v>
      </c>
      <c r="O622" s="23">
        <f t="shared" ref="O622" si="519">O610*10+1</f>
        <v>110261</v>
      </c>
    </row>
    <row r="623" spans="1:15">
      <c r="E623" s="4">
        <f t="shared" si="518"/>
        <v>623</v>
      </c>
      <c r="F623" s="9" t="s">
        <v>146</v>
      </c>
      <c r="O623" s="23">
        <f t="shared" ref="O623" si="520">O610</f>
        <v>11026</v>
      </c>
    </row>
    <row r="624" spans="1:15">
      <c r="E624" s="4">
        <f t="shared" si="518"/>
        <v>624</v>
      </c>
      <c r="F624" s="9" t="s">
        <v>130</v>
      </c>
      <c r="O624" s="23">
        <v>0</v>
      </c>
    </row>
    <row r="625" spans="1:15">
      <c r="E625" s="4">
        <f t="shared" si="518"/>
        <v>625</v>
      </c>
      <c r="F625" s="9" t="s">
        <v>35</v>
      </c>
      <c r="G625" s="23">
        <v>0</v>
      </c>
      <c r="H625" s="23">
        <v>90</v>
      </c>
      <c r="I625" s="23" t="s">
        <v>239</v>
      </c>
      <c r="J625" s="23">
        <v>0</v>
      </c>
      <c r="O625" s="23">
        <f t="shared" ref="O625" si="521">$H$25+IF(G625,$I$25,$J$25)</f>
        <v>90</v>
      </c>
    </row>
    <row r="626" spans="1:15">
      <c r="E626" s="4">
        <f t="shared" si="518"/>
        <v>626</v>
      </c>
      <c r="F626" s="9" t="s">
        <v>30</v>
      </c>
      <c r="O626" s="23">
        <v>0</v>
      </c>
    </row>
    <row r="627" spans="1:15">
      <c r="E627" s="4">
        <f t="shared" si="518"/>
        <v>627</v>
      </c>
      <c r="F627" s="9" t="s">
        <v>116</v>
      </c>
      <c r="L627" s="9" t="s">
        <v>137</v>
      </c>
      <c r="O627" s="23">
        <f t="shared" ref="O627" si="522">O615</f>
        <v>-90</v>
      </c>
    </row>
    <row r="628" spans="1:15">
      <c r="E628" s="4">
        <f t="shared" si="518"/>
        <v>628</v>
      </c>
      <c r="F628" s="9" t="s">
        <v>104</v>
      </c>
      <c r="O628" s="23">
        <f t="shared" ref="O628" si="523">O622+1</f>
        <v>110262</v>
      </c>
    </row>
    <row r="629" spans="1:15">
      <c r="E629" s="4">
        <f t="shared" si="518"/>
        <v>629</v>
      </c>
      <c r="F629" s="9" t="s">
        <v>146</v>
      </c>
      <c r="O629" s="23">
        <f t="shared" ref="O629" si="524">O622</f>
        <v>110261</v>
      </c>
    </row>
    <row r="630" spans="1:15">
      <c r="E630" s="4">
        <f t="shared" si="518"/>
        <v>630</v>
      </c>
      <c r="F630" s="9" t="s">
        <v>130</v>
      </c>
      <c r="O630" s="23">
        <v>0</v>
      </c>
    </row>
    <row r="631" spans="1:15">
      <c r="E631" s="4">
        <f t="shared" si="518"/>
        <v>631</v>
      </c>
      <c r="F631" s="9" t="s">
        <v>30</v>
      </c>
      <c r="O631" s="23">
        <v>3</v>
      </c>
    </row>
    <row r="632" spans="1:15">
      <c r="E632" s="4">
        <f t="shared" si="518"/>
        <v>632</v>
      </c>
      <c r="F632" s="9" t="s">
        <v>116</v>
      </c>
      <c r="L632" s="9" t="s">
        <v>137</v>
      </c>
      <c r="O632" s="23">
        <f t="shared" ref="O632" si="525">O627</f>
        <v>-90</v>
      </c>
    </row>
    <row r="633" spans="1:15">
      <c r="A633" s="22" t="s">
        <v>238</v>
      </c>
      <c r="B633" s="22">
        <f t="shared" ref="B633" si="526">QUOTIENT( D633-1,G634)+1</f>
        <v>4</v>
      </c>
      <c r="C633" s="22">
        <f t="shared" ref="C633" si="527">D633-(B633-1)*G634</f>
        <v>3</v>
      </c>
      <c r="D633" s="22">
        <f>COUNT($D$8:$D632)+1</f>
        <v>27</v>
      </c>
      <c r="E633" s="4"/>
    </row>
    <row r="634" spans="1:15">
      <c r="E634" s="4">
        <f t="shared" si="518"/>
        <v>634</v>
      </c>
      <c r="F634" s="9" t="s">
        <v>96</v>
      </c>
      <c r="G634" s="23">
        <v>8</v>
      </c>
      <c r="H634" s="23">
        <v>5</v>
      </c>
      <c r="J634" s="23">
        <v>11000</v>
      </c>
      <c r="O634" s="23">
        <f t="shared" ref="O634" si="528">$J$10+D633</f>
        <v>11027</v>
      </c>
    </row>
    <row r="635" spans="1:15">
      <c r="E635" s="4">
        <f t="shared" si="518"/>
        <v>635</v>
      </c>
      <c r="F635" s="9" t="s">
        <v>155</v>
      </c>
      <c r="G635" s="23">
        <v>2650</v>
      </c>
      <c r="H635" s="23" t="s">
        <v>241</v>
      </c>
      <c r="O635" s="23">
        <f t="shared" ref="O635" si="529">G635+H635*(B633-1)</f>
        <v>2920</v>
      </c>
    </row>
    <row r="636" spans="1:15">
      <c r="E636" s="4">
        <f t="shared" si="518"/>
        <v>636</v>
      </c>
      <c r="F636" s="9" t="s">
        <v>35</v>
      </c>
      <c r="O636" s="23">
        <v>60</v>
      </c>
    </row>
    <row r="637" spans="1:15">
      <c r="E637" s="4">
        <f t="shared" si="518"/>
        <v>637</v>
      </c>
      <c r="F637" s="9" t="s">
        <v>29</v>
      </c>
      <c r="O637" s="23" t="s">
        <v>148</v>
      </c>
    </row>
    <row r="638" spans="1:15">
      <c r="E638" s="4">
        <f t="shared" si="518"/>
        <v>638</v>
      </c>
      <c r="F638" s="9" t="s">
        <v>121</v>
      </c>
      <c r="O638" s="23" t="s">
        <v>147</v>
      </c>
    </row>
    <row r="639" spans="1:15">
      <c r="E639" s="4">
        <f t="shared" si="518"/>
        <v>639</v>
      </c>
      <c r="F639" s="9" t="s">
        <v>116</v>
      </c>
      <c r="G639" s="23" t="b">
        <f t="shared" ref="G639" si="530">MOD(B633,2)=0</f>
        <v>1</v>
      </c>
      <c r="H639" s="23">
        <v>-90</v>
      </c>
      <c r="I639" s="23" t="s">
        <v>241</v>
      </c>
      <c r="L639" s="9" t="s">
        <v>137</v>
      </c>
      <c r="O639" s="23">
        <f t="shared" ref="O639" si="531">IF(G639,$H$15,$I$15)</f>
        <v>-90</v>
      </c>
    </row>
    <row r="640" spans="1:15">
      <c r="E640" s="4">
        <f t="shared" si="518"/>
        <v>640</v>
      </c>
      <c r="F640" s="9" t="s">
        <v>101</v>
      </c>
      <c r="G640" s="23">
        <f t="shared" ref="G640" si="532">MOD(D633-1,4)+1</f>
        <v>3</v>
      </c>
      <c r="H640" s="9"/>
      <c r="J640" s="9"/>
      <c r="K640" s="9" t="s">
        <v>139</v>
      </c>
      <c r="O640" s="23" t="str" cm="1">
        <f t="array" aca="1" ref="O640" ca="1">_xlfn.SWITCH(G640, 1, G642, 2, H642, 3, I642, 4, J642)</f>
        <v>3.4,-6</v>
      </c>
    </row>
    <row r="641" spans="5:15">
      <c r="E641" s="4"/>
      <c r="G641" s="23" t="s">
        <v>32</v>
      </c>
      <c r="H641" s="9" t="s">
        <v>242</v>
      </c>
      <c r="I641" s="23">
        <v>4.8</v>
      </c>
      <c r="J641" s="9" t="s">
        <v>243</v>
      </c>
    </row>
    <row r="642" spans="5:15">
      <c r="E642" s="4"/>
      <c r="G642" s="23" t="str">
        <f t="shared" ref="G642" ca="1" si="533">CONCATENATE($G$17,",",RANDBETWEEN($J$17*10,$I$17*10)/10)</f>
        <v>6,-0.5</v>
      </c>
      <c r="H642" s="23" t="str">
        <f t="shared" ref="H642" ca="1" si="534">CONCATENATE($H$17,",",RANDBETWEEN($J$17*10,$I$17*10)/10)</f>
        <v>-6,4.1</v>
      </c>
      <c r="I642" s="23" t="str">
        <f t="shared" ref="I642" ca="1" si="535">CONCATENATE(RANDBETWEEN($J$17*10,$I$17*10)/10,",",$H$17)</f>
        <v>3.4,-6</v>
      </c>
      <c r="J642" s="23" t="str">
        <f t="shared" ref="J642" ca="1" si="536">CONCATENATE(RANDBETWEEN($J$17*10,$I$17*10)/10,",",$G$17)</f>
        <v>-3.7,6</v>
      </c>
    </row>
    <row r="643" spans="5:15">
      <c r="E643" s="4">
        <f t="shared" ref="E643:E644" si="537">ROW(E643)</f>
        <v>643</v>
      </c>
      <c r="F643" s="9" t="s">
        <v>30</v>
      </c>
      <c r="O643" s="23">
        <v>1.4</v>
      </c>
    </row>
    <row r="644" spans="5:15">
      <c r="E644" s="4">
        <f t="shared" si="537"/>
        <v>644</v>
      </c>
      <c r="F644" s="9" t="s">
        <v>31</v>
      </c>
      <c r="G644" s="9">
        <f t="shared" ref="G644" si="538">MOD(D633-1,4)+1</f>
        <v>3</v>
      </c>
      <c r="H644" s="9"/>
      <c r="I644" s="9"/>
      <c r="J644" s="9"/>
      <c r="L644" s="9" t="s">
        <v>137</v>
      </c>
      <c r="O644" s="23" t="str" cm="1">
        <f t="array" ref="O644">_xlfn.SWITCH(G644, 1, $G$21, 2, $H$21, 3, $I$21, 4, $J$21)</f>
        <v>90</v>
      </c>
    </row>
    <row r="645" spans="5:15">
      <c r="E645" s="4"/>
      <c r="G645" s="23" t="s">
        <v>244</v>
      </c>
      <c r="H645" s="23">
        <v>0</v>
      </c>
      <c r="I645" s="23" t="s">
        <v>241</v>
      </c>
      <c r="J645" s="23" t="s">
        <v>245</v>
      </c>
    </row>
    <row r="646" spans="5:15">
      <c r="E646" s="4">
        <f t="shared" ref="E646:E664" si="539">ROW(E646)</f>
        <v>646</v>
      </c>
      <c r="F646" s="9" t="s">
        <v>104</v>
      </c>
      <c r="O646" s="23">
        <f t="shared" ref="O646" si="540">O634*10+1</f>
        <v>110271</v>
      </c>
    </row>
    <row r="647" spans="5:15">
      <c r="E647" s="4">
        <f t="shared" si="539"/>
        <v>647</v>
      </c>
      <c r="F647" s="9" t="s">
        <v>146</v>
      </c>
      <c r="O647" s="23">
        <f t="shared" ref="O647" si="541">O634</f>
        <v>11027</v>
      </c>
    </row>
    <row r="648" spans="5:15">
      <c r="E648" s="4">
        <f t="shared" si="539"/>
        <v>648</v>
      </c>
      <c r="F648" s="9" t="s">
        <v>130</v>
      </c>
      <c r="O648" s="23">
        <v>0</v>
      </c>
    </row>
    <row r="649" spans="5:15">
      <c r="E649" s="4">
        <f t="shared" si="539"/>
        <v>649</v>
      </c>
      <c r="F649" s="9" t="s">
        <v>35</v>
      </c>
      <c r="G649" s="23">
        <v>0</v>
      </c>
      <c r="H649" s="23">
        <v>90</v>
      </c>
      <c r="I649" s="23" t="s">
        <v>239</v>
      </c>
      <c r="J649" s="23">
        <v>0</v>
      </c>
      <c r="O649" s="23">
        <f t="shared" ref="O649" si="542">$H$25+IF(G649,$I$25,$J$25)</f>
        <v>90</v>
      </c>
    </row>
    <row r="650" spans="5:15">
      <c r="E650" s="4">
        <f t="shared" si="539"/>
        <v>650</v>
      </c>
      <c r="F650" s="9" t="s">
        <v>30</v>
      </c>
      <c r="O650" s="23">
        <v>0</v>
      </c>
    </row>
    <row r="651" spans="5:15">
      <c r="E651" s="4">
        <f t="shared" si="539"/>
        <v>651</v>
      </c>
      <c r="F651" s="9" t="s">
        <v>116</v>
      </c>
      <c r="L651" s="9" t="s">
        <v>137</v>
      </c>
      <c r="O651" s="23">
        <f t="shared" ref="O651" si="543">O639</f>
        <v>-90</v>
      </c>
    </row>
    <row r="652" spans="5:15">
      <c r="E652" s="4">
        <f t="shared" si="539"/>
        <v>652</v>
      </c>
      <c r="F652" s="9" t="s">
        <v>104</v>
      </c>
      <c r="O652" s="23">
        <f t="shared" ref="O652" si="544">O646+1</f>
        <v>110272</v>
      </c>
    </row>
    <row r="653" spans="5:15">
      <c r="E653" s="4">
        <f t="shared" si="539"/>
        <v>653</v>
      </c>
      <c r="F653" s="9" t="s">
        <v>146</v>
      </c>
      <c r="O653" s="23">
        <f t="shared" ref="O653" si="545">O646</f>
        <v>110271</v>
      </c>
    </row>
    <row r="654" spans="5:15">
      <c r="E654" s="4">
        <f t="shared" si="539"/>
        <v>654</v>
      </c>
      <c r="F654" s="9" t="s">
        <v>130</v>
      </c>
      <c r="O654" s="23">
        <v>0</v>
      </c>
    </row>
    <row r="655" spans="5:15">
      <c r="E655" s="4">
        <f t="shared" si="539"/>
        <v>655</v>
      </c>
      <c r="F655" s="9" t="s">
        <v>30</v>
      </c>
      <c r="O655" s="23">
        <v>3</v>
      </c>
    </row>
    <row r="656" spans="5:15">
      <c r="E656" s="4">
        <f t="shared" si="539"/>
        <v>656</v>
      </c>
      <c r="F656" s="9" t="s">
        <v>116</v>
      </c>
      <c r="L656" s="9" t="s">
        <v>137</v>
      </c>
      <c r="O656" s="23">
        <f t="shared" ref="O656" si="546">O651</f>
        <v>-90</v>
      </c>
    </row>
    <row r="657" spans="1:15">
      <c r="A657" s="22" t="s">
        <v>238</v>
      </c>
      <c r="B657" s="22">
        <f t="shared" ref="B657" si="547">QUOTIENT( D657-1,G658)+1</f>
        <v>4</v>
      </c>
      <c r="C657" s="22">
        <f t="shared" ref="C657" si="548">D657-(B657-1)*G658</f>
        <v>4</v>
      </c>
      <c r="D657" s="22">
        <f>COUNT($D$8:$D656)+1</f>
        <v>28</v>
      </c>
      <c r="E657" s="4"/>
    </row>
    <row r="658" spans="1:15">
      <c r="E658" s="4">
        <f t="shared" si="539"/>
        <v>658</v>
      </c>
      <c r="F658" s="9" t="s">
        <v>96</v>
      </c>
      <c r="G658" s="23">
        <v>8</v>
      </c>
      <c r="H658" s="23">
        <v>5</v>
      </c>
      <c r="J658" s="23">
        <v>11000</v>
      </c>
      <c r="O658" s="23">
        <f t="shared" ref="O658" si="549">$J$10+D657</f>
        <v>11028</v>
      </c>
    </row>
    <row r="659" spans="1:15">
      <c r="E659" s="4">
        <f t="shared" si="539"/>
        <v>659</v>
      </c>
      <c r="F659" s="9" t="s">
        <v>155</v>
      </c>
      <c r="G659" s="23">
        <v>2650</v>
      </c>
      <c r="H659" s="23" t="s">
        <v>241</v>
      </c>
      <c r="O659" s="23">
        <f t="shared" ref="O659" si="550">G659+H659*(B657-1)</f>
        <v>2920</v>
      </c>
    </row>
    <row r="660" spans="1:15">
      <c r="E660" s="4">
        <f t="shared" si="539"/>
        <v>660</v>
      </c>
      <c r="F660" s="9" t="s">
        <v>35</v>
      </c>
      <c r="O660" s="23">
        <v>60</v>
      </c>
    </row>
    <row r="661" spans="1:15">
      <c r="E661" s="4">
        <f t="shared" si="539"/>
        <v>661</v>
      </c>
      <c r="F661" s="9" t="s">
        <v>29</v>
      </c>
      <c r="O661" s="23" t="s">
        <v>148</v>
      </c>
    </row>
    <row r="662" spans="1:15">
      <c r="E662" s="4">
        <f t="shared" si="539"/>
        <v>662</v>
      </c>
      <c r="F662" s="9" t="s">
        <v>121</v>
      </c>
      <c r="O662" s="23" t="s">
        <v>147</v>
      </c>
    </row>
    <row r="663" spans="1:15">
      <c r="E663" s="4">
        <f t="shared" si="539"/>
        <v>663</v>
      </c>
      <c r="F663" s="9" t="s">
        <v>116</v>
      </c>
      <c r="G663" s="23" t="b">
        <f t="shared" ref="G663" si="551">MOD(B657,2)=0</f>
        <v>1</v>
      </c>
      <c r="H663" s="9">
        <v>-90</v>
      </c>
      <c r="I663" s="23" t="s">
        <v>241</v>
      </c>
      <c r="J663" s="9"/>
      <c r="L663" s="9" t="s">
        <v>137</v>
      </c>
      <c r="O663" s="23">
        <f t="shared" ref="O663" si="552">IF(G663,$H$15,$I$15)</f>
        <v>-90</v>
      </c>
    </row>
    <row r="664" spans="1:15">
      <c r="E664" s="4">
        <f t="shared" si="539"/>
        <v>664</v>
      </c>
      <c r="F664" s="9" t="s">
        <v>101</v>
      </c>
      <c r="G664" s="23">
        <f t="shared" ref="G664" si="553">MOD(D657-1,4)+1</f>
        <v>4</v>
      </c>
      <c r="H664" s="9"/>
      <c r="J664" s="9"/>
      <c r="K664" s="9" t="s">
        <v>139</v>
      </c>
      <c r="O664" s="23" t="str" cm="1">
        <f t="array" aca="1" ref="O664" ca="1">_xlfn.SWITCH(G664, 1, G666, 2, H666, 3, I666, 4, J666)</f>
        <v>-2.2,6</v>
      </c>
    </row>
    <row r="665" spans="1:15">
      <c r="E665" s="4"/>
      <c r="G665" s="23" t="s">
        <v>32</v>
      </c>
      <c r="H665" s="23" t="s">
        <v>242</v>
      </c>
      <c r="I665" s="23">
        <v>4.8</v>
      </c>
      <c r="J665" s="23" t="s">
        <v>243</v>
      </c>
    </row>
    <row r="666" spans="1:15">
      <c r="E666" s="4"/>
      <c r="G666" s="23" t="str">
        <f t="shared" ref="G666" ca="1" si="554">CONCATENATE($G$17,",",RANDBETWEEN($J$17*10,$I$17*10)/10)</f>
        <v>6,2.1</v>
      </c>
      <c r="H666" s="23" t="str">
        <f t="shared" ref="H666" ca="1" si="555">CONCATENATE($H$17,",",RANDBETWEEN($J$17*10,$I$17*10)/10)</f>
        <v>-6,-1.2</v>
      </c>
      <c r="I666" s="23" t="str">
        <f t="shared" ref="I666" ca="1" si="556">CONCATENATE(RANDBETWEEN($J$17*10,$I$17*10)/10,",",$H$17)</f>
        <v>-3.4,-6</v>
      </c>
      <c r="J666" s="23" t="str">
        <f t="shared" ref="J666" ca="1" si="557">CONCATENATE(RANDBETWEEN($J$17*10,$I$17*10)/10,",",$G$17)</f>
        <v>-2.2,6</v>
      </c>
    </row>
    <row r="667" spans="1:15">
      <c r="E667" s="4">
        <f t="shared" ref="E667:E668" si="558">ROW(E667)</f>
        <v>667</v>
      </c>
      <c r="F667" s="9" t="s">
        <v>30</v>
      </c>
      <c r="G667" s="9"/>
      <c r="H667" s="9"/>
      <c r="I667" s="9"/>
      <c r="J667" s="9"/>
      <c r="O667" s="23">
        <v>1.4</v>
      </c>
    </row>
    <row r="668" spans="1:15">
      <c r="E668" s="4">
        <f t="shared" si="558"/>
        <v>668</v>
      </c>
      <c r="F668" s="9" t="s">
        <v>31</v>
      </c>
      <c r="G668" s="23">
        <f t="shared" ref="G668" si="559">MOD(D657-1,4)+1</f>
        <v>4</v>
      </c>
      <c r="L668" s="9" t="s">
        <v>137</v>
      </c>
      <c r="O668" s="23" t="str" cm="1">
        <f t="array" ref="O668">_xlfn.SWITCH(G668, 1, $G$21, 2, $H$21, 3, $I$21, 4, $J$21)</f>
        <v>270</v>
      </c>
    </row>
    <row r="669" spans="1:15">
      <c r="E669" s="4"/>
      <c r="G669" s="23" t="s">
        <v>244</v>
      </c>
      <c r="H669" s="23">
        <v>0</v>
      </c>
      <c r="I669" s="23" t="s">
        <v>241</v>
      </c>
      <c r="J669" s="23" t="s">
        <v>245</v>
      </c>
    </row>
    <row r="670" spans="1:15">
      <c r="E670" s="4">
        <f t="shared" ref="E670:E688" si="560">ROW(E670)</f>
        <v>670</v>
      </c>
      <c r="F670" s="9" t="s">
        <v>104</v>
      </c>
      <c r="O670" s="23">
        <f t="shared" ref="O670" si="561">O658*10+1</f>
        <v>110281</v>
      </c>
    </row>
    <row r="671" spans="1:15">
      <c r="E671" s="4">
        <f t="shared" si="560"/>
        <v>671</v>
      </c>
      <c r="F671" s="9" t="s">
        <v>146</v>
      </c>
      <c r="O671" s="23">
        <f t="shared" ref="O671" si="562">O658</f>
        <v>11028</v>
      </c>
    </row>
    <row r="672" spans="1:15">
      <c r="E672" s="4">
        <f t="shared" si="560"/>
        <v>672</v>
      </c>
      <c r="F672" s="9" t="s">
        <v>130</v>
      </c>
      <c r="O672" s="23">
        <v>0</v>
      </c>
    </row>
    <row r="673" spans="1:15">
      <c r="E673" s="4">
        <f t="shared" si="560"/>
        <v>673</v>
      </c>
      <c r="F673" s="9" t="s">
        <v>35</v>
      </c>
      <c r="G673" s="23">
        <v>0</v>
      </c>
      <c r="H673" s="23">
        <v>90</v>
      </c>
      <c r="I673" s="23" t="s">
        <v>239</v>
      </c>
      <c r="J673" s="23">
        <v>0</v>
      </c>
      <c r="O673" s="23">
        <f t="shared" ref="O673" si="563">$H$25+IF(G673,$I$25,$J$25)</f>
        <v>90</v>
      </c>
    </row>
    <row r="674" spans="1:15">
      <c r="E674" s="4">
        <f t="shared" si="560"/>
        <v>674</v>
      </c>
      <c r="F674" s="9" t="s">
        <v>30</v>
      </c>
      <c r="O674" s="23">
        <v>0</v>
      </c>
    </row>
    <row r="675" spans="1:15">
      <c r="E675" s="4">
        <f t="shared" si="560"/>
        <v>675</v>
      </c>
      <c r="F675" s="9" t="s">
        <v>116</v>
      </c>
      <c r="L675" s="9" t="s">
        <v>137</v>
      </c>
      <c r="O675" s="23">
        <f t="shared" ref="O675" si="564">O663</f>
        <v>-90</v>
      </c>
    </row>
    <row r="676" spans="1:15">
      <c r="E676" s="4">
        <f t="shared" si="560"/>
        <v>676</v>
      </c>
      <c r="F676" s="9" t="s">
        <v>104</v>
      </c>
      <c r="O676" s="23">
        <f t="shared" ref="O676" si="565">O670+1</f>
        <v>110282</v>
      </c>
    </row>
    <row r="677" spans="1:15">
      <c r="E677" s="4">
        <f t="shared" si="560"/>
        <v>677</v>
      </c>
      <c r="F677" s="9" t="s">
        <v>146</v>
      </c>
      <c r="O677" s="23">
        <f t="shared" ref="O677" si="566">O670</f>
        <v>110281</v>
      </c>
    </row>
    <row r="678" spans="1:15">
      <c r="E678" s="4">
        <f t="shared" si="560"/>
        <v>678</v>
      </c>
      <c r="F678" s="9" t="s">
        <v>130</v>
      </c>
      <c r="O678" s="23">
        <v>0</v>
      </c>
    </row>
    <row r="679" spans="1:15">
      <c r="E679" s="4">
        <f t="shared" si="560"/>
        <v>679</v>
      </c>
      <c r="F679" s="9" t="s">
        <v>30</v>
      </c>
      <c r="O679" s="23">
        <v>3</v>
      </c>
    </row>
    <row r="680" spans="1:15">
      <c r="E680" s="4">
        <f t="shared" si="560"/>
        <v>680</v>
      </c>
      <c r="F680" s="9" t="s">
        <v>116</v>
      </c>
      <c r="L680" s="9" t="s">
        <v>137</v>
      </c>
      <c r="O680" s="23">
        <f t="shared" ref="O680" si="567">O675</f>
        <v>-90</v>
      </c>
    </row>
    <row r="681" spans="1:15">
      <c r="A681" s="22" t="s">
        <v>238</v>
      </c>
      <c r="B681" s="22">
        <f t="shared" ref="B681" si="568">QUOTIENT( D681-1,G682)+1</f>
        <v>4</v>
      </c>
      <c r="C681" s="22">
        <f t="shared" ref="C681" si="569">D681-(B681-1)*G682</f>
        <v>5</v>
      </c>
      <c r="D681" s="22">
        <f>COUNT($D$8:$D680)+1</f>
        <v>29</v>
      </c>
      <c r="E681" s="4"/>
    </row>
    <row r="682" spans="1:15">
      <c r="E682" s="4">
        <f t="shared" si="560"/>
        <v>682</v>
      </c>
      <c r="F682" s="9" t="s">
        <v>96</v>
      </c>
      <c r="G682" s="23">
        <v>8</v>
      </c>
      <c r="H682" s="23">
        <v>5</v>
      </c>
      <c r="J682" s="23">
        <v>11000</v>
      </c>
      <c r="O682" s="23">
        <f t="shared" ref="O682" si="570">$J$10+D681</f>
        <v>11029</v>
      </c>
    </row>
    <row r="683" spans="1:15">
      <c r="E683" s="4">
        <f t="shared" si="560"/>
        <v>683</v>
      </c>
      <c r="F683" s="9" t="s">
        <v>155</v>
      </c>
      <c r="G683" s="23">
        <v>2650</v>
      </c>
      <c r="H683" s="23" t="s">
        <v>241</v>
      </c>
      <c r="O683" s="23">
        <f t="shared" ref="O683" si="571">G683+H683*(B681-1)</f>
        <v>2920</v>
      </c>
    </row>
    <row r="684" spans="1:15">
      <c r="E684" s="4">
        <f t="shared" si="560"/>
        <v>684</v>
      </c>
      <c r="F684" s="9" t="s">
        <v>35</v>
      </c>
      <c r="O684" s="23">
        <v>60</v>
      </c>
    </row>
    <row r="685" spans="1:15">
      <c r="E685" s="4">
        <f t="shared" si="560"/>
        <v>685</v>
      </c>
      <c r="F685" s="9" t="s">
        <v>29</v>
      </c>
      <c r="O685" s="23" t="s">
        <v>148</v>
      </c>
    </row>
    <row r="686" spans="1:15">
      <c r="E686" s="4">
        <f t="shared" si="560"/>
        <v>686</v>
      </c>
      <c r="F686" s="9" t="s">
        <v>121</v>
      </c>
      <c r="H686" s="9"/>
      <c r="J686" s="9"/>
      <c r="O686" s="23" t="s">
        <v>147</v>
      </c>
    </row>
    <row r="687" spans="1:15">
      <c r="E687" s="4">
        <f t="shared" si="560"/>
        <v>687</v>
      </c>
      <c r="F687" s="9" t="s">
        <v>116</v>
      </c>
      <c r="G687" s="23" t="b">
        <f t="shared" ref="G687" si="572">MOD(B681,2)=0</f>
        <v>1</v>
      </c>
      <c r="H687" s="9">
        <v>-90</v>
      </c>
      <c r="I687" s="23" t="s">
        <v>241</v>
      </c>
      <c r="J687" s="9"/>
      <c r="L687" s="9" t="s">
        <v>137</v>
      </c>
      <c r="O687" s="23">
        <f t="shared" ref="O687" si="573">IF(G687,$H$15,$I$15)</f>
        <v>-90</v>
      </c>
    </row>
    <row r="688" spans="1:15">
      <c r="E688" s="4">
        <f t="shared" si="560"/>
        <v>688</v>
      </c>
      <c r="F688" s="9" t="s">
        <v>101</v>
      </c>
      <c r="G688" s="23">
        <f t="shared" ref="G688" si="574">MOD(D681-1,4)+1</f>
        <v>1</v>
      </c>
      <c r="K688" s="9" t="s">
        <v>139</v>
      </c>
      <c r="O688" s="23" t="str" cm="1">
        <f t="array" aca="1" ref="O688" ca="1">_xlfn.SWITCH(G688, 1, G690, 2, H690, 3, I690, 4, J690)</f>
        <v>6,2.4</v>
      </c>
    </row>
    <row r="689" spans="5:15">
      <c r="E689" s="4"/>
      <c r="G689" s="23" t="s">
        <v>32</v>
      </c>
      <c r="H689" s="23" t="s">
        <v>242</v>
      </c>
      <c r="I689" s="23">
        <v>4.8</v>
      </c>
      <c r="J689" s="23" t="s">
        <v>243</v>
      </c>
    </row>
    <row r="690" spans="5:15">
      <c r="E690" s="4"/>
      <c r="G690" s="9" t="str">
        <f t="shared" ref="G690" ca="1" si="575">CONCATENATE($G$17,",",RANDBETWEEN($J$17*10,$I$17*10)/10)</f>
        <v>6,2.4</v>
      </c>
      <c r="H690" s="9" t="str">
        <f t="shared" ref="H690" ca="1" si="576">CONCATENATE($H$17,",",RANDBETWEEN($J$17*10,$I$17*10)/10)</f>
        <v>-6,1.6</v>
      </c>
      <c r="I690" s="9" t="str">
        <f t="shared" ref="I690" ca="1" si="577">CONCATENATE(RANDBETWEEN($J$17*10,$I$17*10)/10,",",$H$17)</f>
        <v>-0.3,-6</v>
      </c>
      <c r="J690" s="9" t="str">
        <f t="shared" ref="J690" ca="1" si="578">CONCATENATE(RANDBETWEEN($J$17*10,$I$17*10)/10,",",$G$17)</f>
        <v>1.6,6</v>
      </c>
    </row>
    <row r="691" spans="5:15">
      <c r="E691" s="4">
        <f t="shared" ref="E691:E692" si="579">ROW(E691)</f>
        <v>691</v>
      </c>
      <c r="F691" s="9" t="s">
        <v>30</v>
      </c>
      <c r="O691" s="23">
        <v>1.4</v>
      </c>
    </row>
    <row r="692" spans="5:15">
      <c r="E692" s="4">
        <f t="shared" si="579"/>
        <v>692</v>
      </c>
      <c r="F692" s="9" t="s">
        <v>31</v>
      </c>
      <c r="G692" s="23">
        <f t="shared" ref="G692" si="580">MOD(D681-1,4)+1</f>
        <v>1</v>
      </c>
      <c r="L692" s="9" t="s">
        <v>137</v>
      </c>
      <c r="O692" s="23" t="str" cm="1">
        <f t="array" ref="O692">_xlfn.SWITCH(G692, 1, $G$21, 2, $H$21, 3, $I$21, 4, $J$21)</f>
        <v>180</v>
      </c>
    </row>
    <row r="693" spans="5:15">
      <c r="E693" s="4"/>
      <c r="G693" s="23" t="s">
        <v>244</v>
      </c>
      <c r="H693" s="23">
        <v>0</v>
      </c>
      <c r="I693" s="23" t="s">
        <v>241</v>
      </c>
      <c r="J693" s="23" t="s">
        <v>245</v>
      </c>
    </row>
    <row r="694" spans="5:15">
      <c r="E694" s="4">
        <f t="shared" ref="E694:E712" si="581">ROW(E694)</f>
        <v>694</v>
      </c>
      <c r="F694" s="9" t="s">
        <v>104</v>
      </c>
      <c r="O694" s="23">
        <f t="shared" ref="O694" si="582">O682*10+1</f>
        <v>110291</v>
      </c>
    </row>
    <row r="695" spans="5:15">
      <c r="E695" s="4">
        <f t="shared" si="581"/>
        <v>695</v>
      </c>
      <c r="F695" s="9" t="s">
        <v>146</v>
      </c>
      <c r="O695" s="23">
        <f t="shared" ref="O695" si="583">O682</f>
        <v>11029</v>
      </c>
    </row>
    <row r="696" spans="5:15">
      <c r="E696" s="4">
        <f t="shared" si="581"/>
        <v>696</v>
      </c>
      <c r="F696" s="9" t="s">
        <v>130</v>
      </c>
      <c r="O696" s="23">
        <v>0</v>
      </c>
    </row>
    <row r="697" spans="5:15">
      <c r="E697" s="4">
        <f t="shared" si="581"/>
        <v>697</v>
      </c>
      <c r="F697" s="9" t="s">
        <v>35</v>
      </c>
      <c r="G697" s="23">
        <v>0</v>
      </c>
      <c r="H697" s="23">
        <v>90</v>
      </c>
      <c r="I697" s="23" t="s">
        <v>239</v>
      </c>
      <c r="J697" s="23">
        <v>0</v>
      </c>
      <c r="O697" s="23">
        <f t="shared" ref="O697" si="584">$H$25+IF(G697,$I$25,$J$25)</f>
        <v>90</v>
      </c>
    </row>
    <row r="698" spans="5:15">
      <c r="E698" s="4">
        <f t="shared" si="581"/>
        <v>698</v>
      </c>
      <c r="F698" s="9" t="s">
        <v>30</v>
      </c>
      <c r="O698" s="23">
        <v>0</v>
      </c>
    </row>
    <row r="699" spans="5:15">
      <c r="E699" s="4">
        <f t="shared" si="581"/>
        <v>699</v>
      </c>
      <c r="F699" s="9" t="s">
        <v>116</v>
      </c>
      <c r="L699" s="9" t="s">
        <v>137</v>
      </c>
      <c r="O699" s="23">
        <f t="shared" ref="O699" si="585">O687</f>
        <v>-90</v>
      </c>
    </row>
    <row r="700" spans="5:15">
      <c r="E700" s="4">
        <f t="shared" si="581"/>
        <v>700</v>
      </c>
      <c r="F700" s="9" t="s">
        <v>104</v>
      </c>
      <c r="O700" s="23">
        <f t="shared" ref="O700" si="586">O694+1</f>
        <v>110292</v>
      </c>
    </row>
    <row r="701" spans="5:15">
      <c r="E701" s="4">
        <f t="shared" si="581"/>
        <v>701</v>
      </c>
      <c r="F701" s="9" t="s">
        <v>146</v>
      </c>
      <c r="O701" s="23">
        <f t="shared" ref="O701" si="587">O694</f>
        <v>110291</v>
      </c>
    </row>
    <row r="702" spans="5:15">
      <c r="E702" s="4">
        <f t="shared" si="581"/>
        <v>702</v>
      </c>
      <c r="F702" s="9" t="s">
        <v>130</v>
      </c>
      <c r="O702" s="23">
        <v>0</v>
      </c>
    </row>
    <row r="703" spans="5:15">
      <c r="E703" s="4">
        <f t="shared" si="581"/>
        <v>703</v>
      </c>
      <c r="F703" s="9" t="s">
        <v>30</v>
      </c>
      <c r="O703" s="23">
        <v>3</v>
      </c>
    </row>
    <row r="704" spans="5:15">
      <c r="E704" s="4">
        <f t="shared" si="581"/>
        <v>704</v>
      </c>
      <c r="F704" s="9" t="s">
        <v>116</v>
      </c>
      <c r="L704" s="9" t="s">
        <v>137</v>
      </c>
      <c r="O704" s="23">
        <f t="shared" ref="O704" si="588">O699</f>
        <v>-90</v>
      </c>
    </row>
    <row r="705" spans="1:15">
      <c r="A705" s="22" t="s">
        <v>238</v>
      </c>
      <c r="B705" s="22">
        <f t="shared" ref="B705" si="589">QUOTIENT( D705-1,G706)+1</f>
        <v>4</v>
      </c>
      <c r="C705" s="22">
        <f t="shared" ref="C705" si="590">D705-(B705-1)*G706</f>
        <v>6</v>
      </c>
      <c r="D705" s="22">
        <f>COUNT($D$8:$D704)+1</f>
        <v>30</v>
      </c>
      <c r="E705" s="4"/>
    </row>
    <row r="706" spans="1:15">
      <c r="E706" s="4">
        <f t="shared" si="581"/>
        <v>706</v>
      </c>
      <c r="F706" s="9" t="s">
        <v>96</v>
      </c>
      <c r="G706" s="23">
        <v>8</v>
      </c>
      <c r="H706" s="23">
        <v>5</v>
      </c>
      <c r="J706" s="23">
        <v>11000</v>
      </c>
      <c r="O706" s="23">
        <f t="shared" ref="O706" si="591">$J$10+D705</f>
        <v>11030</v>
      </c>
    </row>
    <row r="707" spans="1:15">
      <c r="E707" s="4">
        <f t="shared" si="581"/>
        <v>707</v>
      </c>
      <c r="F707" s="9" t="s">
        <v>155</v>
      </c>
      <c r="G707" s="23">
        <v>2650</v>
      </c>
      <c r="H707" s="23" t="s">
        <v>241</v>
      </c>
      <c r="O707" s="23">
        <f t="shared" ref="O707" si="592">G707+H707*(B705-1)</f>
        <v>2920</v>
      </c>
    </row>
    <row r="708" spans="1:15">
      <c r="E708" s="4">
        <f t="shared" si="581"/>
        <v>708</v>
      </c>
      <c r="F708" s="9" t="s">
        <v>35</v>
      </c>
      <c r="O708" s="23">
        <v>60</v>
      </c>
    </row>
    <row r="709" spans="1:15">
      <c r="E709" s="4">
        <f t="shared" si="581"/>
        <v>709</v>
      </c>
      <c r="F709" s="9" t="s">
        <v>29</v>
      </c>
      <c r="H709" s="9"/>
      <c r="J709" s="9"/>
      <c r="O709" s="23" t="s">
        <v>148</v>
      </c>
    </row>
    <row r="710" spans="1:15">
      <c r="E710" s="4">
        <f t="shared" si="581"/>
        <v>710</v>
      </c>
      <c r="F710" s="9" t="s">
        <v>121</v>
      </c>
      <c r="H710" s="9"/>
      <c r="J710" s="9"/>
      <c r="O710" s="23" t="s">
        <v>147</v>
      </c>
    </row>
    <row r="711" spans="1:15">
      <c r="E711" s="4">
        <f t="shared" si="581"/>
        <v>711</v>
      </c>
      <c r="F711" s="9" t="s">
        <v>116</v>
      </c>
      <c r="G711" s="23" t="b">
        <f t="shared" ref="G711" si="593">MOD(B705,2)=0</f>
        <v>1</v>
      </c>
      <c r="H711" s="23">
        <v>-90</v>
      </c>
      <c r="I711" s="23" t="s">
        <v>241</v>
      </c>
      <c r="L711" s="9" t="s">
        <v>137</v>
      </c>
      <c r="O711" s="23">
        <f t="shared" ref="O711" si="594">IF(G711,$H$15,$I$15)</f>
        <v>-90</v>
      </c>
    </row>
    <row r="712" spans="1:15">
      <c r="E712" s="4">
        <f t="shared" si="581"/>
        <v>712</v>
      </c>
      <c r="F712" s="9" t="s">
        <v>101</v>
      </c>
      <c r="G712" s="23">
        <f t="shared" ref="G712" si="595">MOD(D705-1,4)+1</f>
        <v>2</v>
      </c>
      <c r="K712" s="9" t="s">
        <v>139</v>
      </c>
      <c r="O712" s="23" t="str" cm="1">
        <f t="array" aca="1" ref="O712" ca="1">_xlfn.SWITCH(G712, 1, G714, 2, H714, 3, I714, 4, J714)</f>
        <v>-6,-1</v>
      </c>
    </row>
    <row r="713" spans="1:15">
      <c r="E713" s="4"/>
      <c r="G713" s="9" t="s">
        <v>32</v>
      </c>
      <c r="H713" s="9" t="s">
        <v>242</v>
      </c>
      <c r="I713" s="9">
        <v>4.8</v>
      </c>
      <c r="J713" s="9" t="s">
        <v>243</v>
      </c>
    </row>
    <row r="714" spans="1:15">
      <c r="E714" s="4"/>
      <c r="G714" s="23" t="str">
        <f t="shared" ref="G714" ca="1" si="596">CONCATENATE($G$17,",",RANDBETWEEN($J$17*10,$I$17*10)/10)</f>
        <v>6,2.8</v>
      </c>
      <c r="H714" s="23" t="str">
        <f t="shared" ref="H714" ca="1" si="597">CONCATENATE($H$17,",",RANDBETWEEN($J$17*10,$I$17*10)/10)</f>
        <v>-6,-1</v>
      </c>
      <c r="I714" s="23" t="str">
        <f t="shared" ref="I714" ca="1" si="598">CONCATENATE(RANDBETWEEN($J$17*10,$I$17*10)/10,",",$H$17)</f>
        <v>0.2,-6</v>
      </c>
      <c r="J714" s="23" t="str">
        <f t="shared" ref="J714" ca="1" si="599">CONCATENATE(RANDBETWEEN($J$17*10,$I$17*10)/10,",",$G$17)</f>
        <v>-1.8,6</v>
      </c>
    </row>
    <row r="715" spans="1:15">
      <c r="E715" s="4">
        <f t="shared" ref="E715:E716" si="600">ROW(E715)</f>
        <v>715</v>
      </c>
      <c r="F715" s="9" t="s">
        <v>30</v>
      </c>
      <c r="O715" s="23">
        <v>1.4</v>
      </c>
    </row>
    <row r="716" spans="1:15">
      <c r="E716" s="4">
        <f t="shared" si="600"/>
        <v>716</v>
      </c>
      <c r="F716" s="9" t="s">
        <v>31</v>
      </c>
      <c r="G716" s="23">
        <f t="shared" ref="G716" si="601">MOD(D705-1,4)+1</f>
        <v>2</v>
      </c>
      <c r="L716" s="9" t="s">
        <v>137</v>
      </c>
      <c r="O716" s="23" cm="1">
        <f t="array" ref="O716">_xlfn.SWITCH(G716, 1, $G$21, 2, $H$21, 3, $I$21, 4, $J$21)</f>
        <v>0</v>
      </c>
    </row>
    <row r="717" spans="1:15">
      <c r="E717" s="4"/>
      <c r="G717" s="23" t="s">
        <v>244</v>
      </c>
      <c r="H717" s="23">
        <v>0</v>
      </c>
      <c r="I717" s="23" t="s">
        <v>241</v>
      </c>
      <c r="J717" s="23" t="s">
        <v>245</v>
      </c>
    </row>
    <row r="718" spans="1:15">
      <c r="E718" s="4">
        <f t="shared" ref="E718:E736" si="602">ROW(E718)</f>
        <v>718</v>
      </c>
      <c r="F718" s="9" t="s">
        <v>104</v>
      </c>
      <c r="O718" s="23">
        <f t="shared" ref="O718" si="603">O706*10+1</f>
        <v>110301</v>
      </c>
    </row>
    <row r="719" spans="1:15">
      <c r="E719" s="4">
        <f t="shared" si="602"/>
        <v>719</v>
      </c>
      <c r="F719" s="9" t="s">
        <v>146</v>
      </c>
      <c r="O719" s="23">
        <f t="shared" ref="O719" si="604">O706</f>
        <v>11030</v>
      </c>
    </row>
    <row r="720" spans="1:15">
      <c r="E720" s="4">
        <f t="shared" si="602"/>
        <v>720</v>
      </c>
      <c r="F720" s="9" t="s">
        <v>130</v>
      </c>
      <c r="O720" s="23">
        <v>0</v>
      </c>
    </row>
    <row r="721" spans="1:15">
      <c r="E721" s="4">
        <f t="shared" si="602"/>
        <v>721</v>
      </c>
      <c r="F721" s="9" t="s">
        <v>35</v>
      </c>
      <c r="G721" s="23">
        <v>0</v>
      </c>
      <c r="H721" s="23">
        <v>90</v>
      </c>
      <c r="I721" s="23" t="s">
        <v>239</v>
      </c>
      <c r="J721" s="23">
        <v>0</v>
      </c>
      <c r="O721" s="23">
        <f t="shared" ref="O721" si="605">$H$25+IF(G721,$I$25,$J$25)</f>
        <v>90</v>
      </c>
    </row>
    <row r="722" spans="1:15">
      <c r="E722" s="4">
        <f t="shared" si="602"/>
        <v>722</v>
      </c>
      <c r="F722" s="9" t="s">
        <v>30</v>
      </c>
      <c r="O722" s="23">
        <v>0</v>
      </c>
    </row>
    <row r="723" spans="1:15">
      <c r="E723" s="4">
        <f t="shared" si="602"/>
        <v>723</v>
      </c>
      <c r="F723" s="9" t="s">
        <v>116</v>
      </c>
      <c r="L723" s="9" t="s">
        <v>137</v>
      </c>
      <c r="O723" s="23">
        <f t="shared" ref="O723" si="606">O711</f>
        <v>-90</v>
      </c>
    </row>
    <row r="724" spans="1:15">
      <c r="E724" s="4">
        <f t="shared" si="602"/>
        <v>724</v>
      </c>
      <c r="F724" s="9" t="s">
        <v>104</v>
      </c>
      <c r="O724" s="23">
        <f t="shared" ref="O724" si="607">O718+1</f>
        <v>110302</v>
      </c>
    </row>
    <row r="725" spans="1:15">
      <c r="E725" s="4">
        <f t="shared" si="602"/>
        <v>725</v>
      </c>
      <c r="F725" s="9" t="s">
        <v>146</v>
      </c>
      <c r="O725" s="23">
        <f t="shared" ref="O725" si="608">O718</f>
        <v>110301</v>
      </c>
    </row>
    <row r="726" spans="1:15">
      <c r="E726" s="4">
        <f t="shared" si="602"/>
        <v>726</v>
      </c>
      <c r="F726" s="9" t="s">
        <v>130</v>
      </c>
      <c r="O726" s="23">
        <v>0</v>
      </c>
    </row>
    <row r="727" spans="1:15">
      <c r="E727" s="4">
        <f t="shared" si="602"/>
        <v>727</v>
      </c>
      <c r="F727" s="9" t="s">
        <v>30</v>
      </c>
      <c r="O727" s="23">
        <v>3</v>
      </c>
    </row>
    <row r="728" spans="1:15">
      <c r="E728" s="4">
        <f t="shared" si="602"/>
        <v>728</v>
      </c>
      <c r="F728" s="9" t="s">
        <v>116</v>
      </c>
      <c r="L728" s="9" t="s">
        <v>137</v>
      </c>
      <c r="O728" s="23">
        <f t="shared" ref="O728" si="609">O723</f>
        <v>-90</v>
      </c>
    </row>
    <row r="729" spans="1:15">
      <c r="A729" s="22" t="s">
        <v>238</v>
      </c>
      <c r="B729" s="22">
        <f t="shared" ref="B729" si="610">QUOTIENT( D729-1,G730)+1</f>
        <v>4</v>
      </c>
      <c r="C729" s="22">
        <f t="shared" ref="C729" si="611">D729-(B729-1)*G730</f>
        <v>7</v>
      </c>
      <c r="D729" s="22">
        <f>COUNT($D$8:$D728)+1</f>
        <v>31</v>
      </c>
      <c r="E729" s="4"/>
    </row>
    <row r="730" spans="1:15">
      <c r="E730" s="4">
        <f t="shared" si="602"/>
        <v>730</v>
      </c>
      <c r="F730" s="9" t="s">
        <v>96</v>
      </c>
      <c r="G730" s="23">
        <v>8</v>
      </c>
      <c r="H730" s="23">
        <v>5</v>
      </c>
      <c r="J730" s="23">
        <v>11000</v>
      </c>
      <c r="O730" s="23">
        <f t="shared" ref="O730" si="612">$J$10+D729</f>
        <v>11031</v>
      </c>
    </row>
    <row r="731" spans="1:15">
      <c r="E731" s="4">
        <f t="shared" si="602"/>
        <v>731</v>
      </c>
      <c r="F731" s="9" t="s">
        <v>155</v>
      </c>
      <c r="G731" s="23">
        <v>2650</v>
      </c>
      <c r="H731" s="23" t="s">
        <v>241</v>
      </c>
      <c r="O731" s="23">
        <f t="shared" ref="O731" si="613">G731+H731*(B729-1)</f>
        <v>2920</v>
      </c>
    </row>
    <row r="732" spans="1:15">
      <c r="E732" s="4">
        <f t="shared" si="602"/>
        <v>732</v>
      </c>
      <c r="F732" s="9" t="s">
        <v>35</v>
      </c>
      <c r="H732" s="9"/>
      <c r="J732" s="9"/>
      <c r="O732" s="23">
        <v>60</v>
      </c>
    </row>
    <row r="733" spans="1:15">
      <c r="E733" s="4">
        <f t="shared" si="602"/>
        <v>733</v>
      </c>
      <c r="F733" s="9" t="s">
        <v>29</v>
      </c>
      <c r="H733" s="9"/>
      <c r="J733" s="9"/>
      <c r="O733" s="23" t="s">
        <v>148</v>
      </c>
    </row>
    <row r="734" spans="1:15">
      <c r="E734" s="4">
        <f t="shared" si="602"/>
        <v>734</v>
      </c>
      <c r="F734" s="9" t="s">
        <v>121</v>
      </c>
      <c r="O734" s="23" t="s">
        <v>147</v>
      </c>
    </row>
    <row r="735" spans="1:15">
      <c r="E735" s="4">
        <f t="shared" si="602"/>
        <v>735</v>
      </c>
      <c r="F735" s="9" t="s">
        <v>116</v>
      </c>
      <c r="G735" s="23" t="b">
        <f t="shared" ref="G735" si="614">MOD(B729,2)=0</f>
        <v>1</v>
      </c>
      <c r="H735" s="23">
        <v>-90</v>
      </c>
      <c r="I735" s="23" t="s">
        <v>241</v>
      </c>
      <c r="L735" s="9" t="s">
        <v>137</v>
      </c>
      <c r="O735" s="23">
        <f t="shared" ref="O735" si="615">IF(G735,$H$15,$I$15)</f>
        <v>-90</v>
      </c>
    </row>
    <row r="736" spans="1:15">
      <c r="E736" s="4">
        <f t="shared" si="602"/>
        <v>736</v>
      </c>
      <c r="F736" s="9" t="s">
        <v>101</v>
      </c>
      <c r="G736" s="9">
        <f t="shared" ref="G736" si="616">MOD(D729-1,4)+1</f>
        <v>3</v>
      </c>
      <c r="H736" s="9"/>
      <c r="I736" s="9"/>
      <c r="J736" s="9"/>
      <c r="K736" s="9" t="s">
        <v>139</v>
      </c>
      <c r="O736" s="23" t="str" cm="1">
        <f t="array" aca="1" ref="O736" ca="1">_xlfn.SWITCH(G736, 1, G738, 2, H738, 3, I738, 4, J738)</f>
        <v>-4.7,-6</v>
      </c>
    </row>
    <row r="737" spans="5:15">
      <c r="E737" s="4"/>
      <c r="G737" s="23" t="s">
        <v>32</v>
      </c>
      <c r="H737" s="23" t="s">
        <v>242</v>
      </c>
      <c r="I737" s="23">
        <v>4.8</v>
      </c>
      <c r="J737" s="23" t="s">
        <v>243</v>
      </c>
    </row>
    <row r="738" spans="5:15">
      <c r="E738" s="4"/>
      <c r="G738" s="23" t="str">
        <f t="shared" ref="G738" ca="1" si="617">CONCATENATE($G$17,",",RANDBETWEEN($J$17*10,$I$17*10)/10)</f>
        <v>6,1.5</v>
      </c>
      <c r="H738" s="23" t="str">
        <f t="shared" ref="H738" ca="1" si="618">CONCATENATE($H$17,",",RANDBETWEEN($J$17*10,$I$17*10)/10)</f>
        <v>-6,0.8</v>
      </c>
      <c r="I738" s="23" t="str">
        <f t="shared" ref="I738" ca="1" si="619">CONCATENATE(RANDBETWEEN($J$17*10,$I$17*10)/10,",",$H$17)</f>
        <v>-4.7,-6</v>
      </c>
      <c r="J738" s="23" t="str">
        <f t="shared" ref="J738" ca="1" si="620">CONCATENATE(RANDBETWEEN($J$17*10,$I$17*10)/10,",",$G$17)</f>
        <v>-3.4,6</v>
      </c>
    </row>
    <row r="739" spans="5:15">
      <c r="E739" s="4">
        <f t="shared" ref="E739:E740" si="621">ROW(E739)</f>
        <v>739</v>
      </c>
      <c r="F739" s="9" t="s">
        <v>30</v>
      </c>
      <c r="O739" s="23">
        <v>1.4</v>
      </c>
    </row>
    <row r="740" spans="5:15">
      <c r="E740" s="4">
        <f t="shared" si="621"/>
        <v>740</v>
      </c>
      <c r="F740" s="9" t="s">
        <v>31</v>
      </c>
      <c r="G740" s="23">
        <f t="shared" ref="G740" si="622">MOD(D729-1,4)+1</f>
        <v>3</v>
      </c>
      <c r="L740" s="9" t="s">
        <v>137</v>
      </c>
      <c r="O740" s="23" t="str" cm="1">
        <f t="array" ref="O740">_xlfn.SWITCH(G740, 1, $G$21, 2, $H$21, 3, $I$21, 4, $J$21)</f>
        <v>90</v>
      </c>
    </row>
    <row r="741" spans="5:15">
      <c r="E741" s="4"/>
      <c r="G741" s="23" t="s">
        <v>244</v>
      </c>
      <c r="H741" s="23">
        <v>0</v>
      </c>
      <c r="I741" s="23" t="s">
        <v>241</v>
      </c>
      <c r="J741" s="23" t="s">
        <v>245</v>
      </c>
    </row>
    <row r="742" spans="5:15">
      <c r="E742" s="4">
        <f t="shared" ref="E742:E760" si="623">ROW(E742)</f>
        <v>742</v>
      </c>
      <c r="F742" s="9" t="s">
        <v>104</v>
      </c>
      <c r="O742" s="23">
        <f t="shared" ref="O742" si="624">O730*10+1</f>
        <v>110311</v>
      </c>
    </row>
    <row r="743" spans="5:15">
      <c r="E743" s="4">
        <f t="shared" si="623"/>
        <v>743</v>
      </c>
      <c r="F743" s="9" t="s">
        <v>146</v>
      </c>
      <c r="O743" s="23">
        <f t="shared" ref="O743" si="625">O730</f>
        <v>11031</v>
      </c>
    </row>
    <row r="744" spans="5:15">
      <c r="E744" s="4">
        <f t="shared" si="623"/>
        <v>744</v>
      </c>
      <c r="F744" s="9" t="s">
        <v>130</v>
      </c>
      <c r="O744" s="23">
        <v>0</v>
      </c>
    </row>
    <row r="745" spans="5:15">
      <c r="E745" s="4">
        <f t="shared" si="623"/>
        <v>745</v>
      </c>
      <c r="F745" s="9" t="s">
        <v>35</v>
      </c>
      <c r="G745" s="23">
        <v>0</v>
      </c>
      <c r="H745" s="23">
        <v>90</v>
      </c>
      <c r="I745" s="23" t="s">
        <v>239</v>
      </c>
      <c r="J745" s="23">
        <v>0</v>
      </c>
      <c r="O745" s="23">
        <f t="shared" ref="O745" si="626">$H$25+IF(G745,$I$25,$J$25)</f>
        <v>90</v>
      </c>
    </row>
    <row r="746" spans="5:15">
      <c r="E746" s="4">
        <f t="shared" si="623"/>
        <v>746</v>
      </c>
      <c r="F746" s="9" t="s">
        <v>30</v>
      </c>
      <c r="O746" s="23">
        <v>0</v>
      </c>
    </row>
    <row r="747" spans="5:15">
      <c r="E747" s="4">
        <f t="shared" si="623"/>
        <v>747</v>
      </c>
      <c r="F747" s="9" t="s">
        <v>116</v>
      </c>
      <c r="L747" s="9" t="s">
        <v>137</v>
      </c>
      <c r="O747" s="23">
        <f t="shared" ref="O747" si="627">O735</f>
        <v>-90</v>
      </c>
    </row>
    <row r="748" spans="5:15">
      <c r="E748" s="4">
        <f t="shared" si="623"/>
        <v>748</v>
      </c>
      <c r="F748" s="9" t="s">
        <v>104</v>
      </c>
      <c r="O748" s="23">
        <f t="shared" ref="O748" si="628">O742+1</f>
        <v>110312</v>
      </c>
    </row>
    <row r="749" spans="5:15">
      <c r="E749" s="4">
        <f t="shared" si="623"/>
        <v>749</v>
      </c>
      <c r="F749" s="9" t="s">
        <v>146</v>
      </c>
      <c r="O749" s="23">
        <f t="shared" ref="O749" si="629">O742</f>
        <v>110311</v>
      </c>
    </row>
    <row r="750" spans="5:15">
      <c r="E750" s="4">
        <f t="shared" si="623"/>
        <v>750</v>
      </c>
      <c r="F750" s="9" t="s">
        <v>130</v>
      </c>
      <c r="O750" s="23">
        <v>0</v>
      </c>
    </row>
    <row r="751" spans="5:15">
      <c r="E751" s="4">
        <f t="shared" si="623"/>
        <v>751</v>
      </c>
      <c r="F751" s="9" t="s">
        <v>30</v>
      </c>
      <c r="O751" s="23">
        <v>3</v>
      </c>
    </row>
    <row r="752" spans="5:15">
      <c r="E752" s="4">
        <f t="shared" si="623"/>
        <v>752</v>
      </c>
      <c r="F752" s="9" t="s">
        <v>116</v>
      </c>
      <c r="L752" s="9" t="s">
        <v>137</v>
      </c>
      <c r="O752" s="23">
        <f t="shared" ref="O752" si="630">O747</f>
        <v>-90</v>
      </c>
    </row>
    <row r="753" spans="1:15">
      <c r="A753" s="22" t="s">
        <v>238</v>
      </c>
      <c r="B753" s="22">
        <f t="shared" ref="B753" si="631">QUOTIENT( D753-1,G754)+1</f>
        <v>4</v>
      </c>
      <c r="C753" s="22">
        <f t="shared" ref="C753" si="632">D753-(B753-1)*G754</f>
        <v>8</v>
      </c>
      <c r="D753" s="22">
        <f>COUNT($D$8:$D752)+1</f>
        <v>32</v>
      </c>
      <c r="E753" s="4"/>
    </row>
    <row r="754" spans="1:15">
      <c r="E754" s="4">
        <f t="shared" si="623"/>
        <v>754</v>
      </c>
      <c r="F754" s="9" t="s">
        <v>96</v>
      </c>
      <c r="G754" s="23">
        <v>8</v>
      </c>
      <c r="H754" s="23">
        <v>5</v>
      </c>
      <c r="J754" s="23">
        <v>11000</v>
      </c>
      <c r="O754" s="23">
        <f t="shared" ref="O754" si="633">$J$10+D753</f>
        <v>11032</v>
      </c>
    </row>
    <row r="755" spans="1:15">
      <c r="E755" s="4">
        <f t="shared" si="623"/>
        <v>755</v>
      </c>
      <c r="F755" s="9" t="s">
        <v>155</v>
      </c>
      <c r="G755" s="23">
        <v>2650</v>
      </c>
      <c r="H755" s="9" t="s">
        <v>241</v>
      </c>
      <c r="J755" s="9"/>
      <c r="O755" s="23">
        <f t="shared" ref="O755" si="634">G755+H755*(B753-1)</f>
        <v>2920</v>
      </c>
    </row>
    <row r="756" spans="1:15">
      <c r="E756" s="4">
        <f t="shared" si="623"/>
        <v>756</v>
      </c>
      <c r="F756" s="9" t="s">
        <v>35</v>
      </c>
      <c r="H756" s="9"/>
      <c r="J756" s="9"/>
      <c r="O756" s="23">
        <v>60</v>
      </c>
    </row>
    <row r="757" spans="1:15">
      <c r="E757" s="4">
        <f t="shared" si="623"/>
        <v>757</v>
      </c>
      <c r="F757" s="9" t="s">
        <v>29</v>
      </c>
      <c r="O757" s="23" t="s">
        <v>148</v>
      </c>
    </row>
    <row r="758" spans="1:15">
      <c r="E758" s="4">
        <f t="shared" si="623"/>
        <v>758</v>
      </c>
      <c r="F758" s="9" t="s">
        <v>121</v>
      </c>
      <c r="O758" s="23" t="s">
        <v>147</v>
      </c>
    </row>
    <row r="759" spans="1:15">
      <c r="E759" s="4">
        <f t="shared" si="623"/>
        <v>759</v>
      </c>
      <c r="F759" s="9" t="s">
        <v>116</v>
      </c>
      <c r="G759" s="9" t="b">
        <f t="shared" ref="G759" si="635">MOD(B753,2)=0</f>
        <v>1</v>
      </c>
      <c r="H759" s="9">
        <v>-90</v>
      </c>
      <c r="I759" s="9" t="s">
        <v>241</v>
      </c>
      <c r="J759" s="9"/>
      <c r="L759" s="9" t="s">
        <v>137</v>
      </c>
      <c r="O759" s="23">
        <f t="shared" ref="O759" si="636">IF(G759,$H$15,$I$15)</f>
        <v>-90</v>
      </c>
    </row>
    <row r="760" spans="1:15">
      <c r="E760" s="4">
        <f t="shared" si="623"/>
        <v>760</v>
      </c>
      <c r="F760" s="9" t="s">
        <v>101</v>
      </c>
      <c r="G760" s="23">
        <f t="shared" ref="G760" si="637">MOD(D753-1,4)+1</f>
        <v>4</v>
      </c>
      <c r="K760" s="9" t="s">
        <v>139</v>
      </c>
      <c r="O760" s="23" t="str" cm="1">
        <f t="array" aca="1" ref="O760" ca="1">_xlfn.SWITCH(G760, 1, G762, 2, H762, 3, I762, 4, J762)</f>
        <v>3.1,6</v>
      </c>
    </row>
    <row r="761" spans="1:15">
      <c r="E761" s="4"/>
      <c r="G761" s="23" t="s">
        <v>32</v>
      </c>
      <c r="H761" s="23" t="s">
        <v>242</v>
      </c>
      <c r="I761" s="23">
        <v>4.8</v>
      </c>
      <c r="J761" s="23" t="s">
        <v>243</v>
      </c>
    </row>
    <row r="762" spans="1:15">
      <c r="E762" s="4"/>
      <c r="G762" s="23" t="str">
        <f t="shared" ref="G762" ca="1" si="638">CONCATENATE($G$17,",",RANDBETWEEN($J$17*10,$I$17*10)/10)</f>
        <v>6,-1.1</v>
      </c>
      <c r="H762" s="23" t="str">
        <f t="shared" ref="H762" ca="1" si="639">CONCATENATE($H$17,",",RANDBETWEEN($J$17*10,$I$17*10)/10)</f>
        <v>-6,4.4</v>
      </c>
      <c r="I762" s="23" t="str">
        <f t="shared" ref="I762" ca="1" si="640">CONCATENATE(RANDBETWEEN($J$17*10,$I$17*10)/10,",",$H$17)</f>
        <v>0.6,-6</v>
      </c>
      <c r="J762" s="23" t="str">
        <f t="shared" ref="J762" ca="1" si="641">CONCATENATE(RANDBETWEEN($J$17*10,$I$17*10)/10,",",$G$17)</f>
        <v>3.1,6</v>
      </c>
    </row>
    <row r="763" spans="1:15">
      <c r="E763" s="4">
        <f t="shared" ref="E763:E764" si="642">ROW(E763)</f>
        <v>763</v>
      </c>
      <c r="F763" s="9" t="s">
        <v>30</v>
      </c>
      <c r="O763" s="23">
        <v>1.4</v>
      </c>
    </row>
    <row r="764" spans="1:15">
      <c r="E764" s="4">
        <f t="shared" si="642"/>
        <v>764</v>
      </c>
      <c r="F764" s="9" t="s">
        <v>31</v>
      </c>
      <c r="G764" s="23">
        <f t="shared" ref="G764" si="643">MOD(D753-1,4)+1</f>
        <v>4</v>
      </c>
      <c r="L764" s="9" t="s">
        <v>137</v>
      </c>
      <c r="O764" s="23" t="str" cm="1">
        <f t="array" ref="O764">_xlfn.SWITCH(G764, 1, $G$21, 2, $H$21, 3, $I$21, 4, $J$21)</f>
        <v>270</v>
      </c>
    </row>
    <row r="765" spans="1:15">
      <c r="E765" s="4"/>
      <c r="G765" s="23" t="s">
        <v>244</v>
      </c>
      <c r="H765" s="23">
        <v>0</v>
      </c>
      <c r="I765" s="23" t="s">
        <v>241</v>
      </c>
      <c r="J765" s="23" t="s">
        <v>245</v>
      </c>
    </row>
    <row r="766" spans="1:15">
      <c r="E766" s="4">
        <f t="shared" ref="E766:E784" si="644">ROW(E766)</f>
        <v>766</v>
      </c>
      <c r="F766" s="9" t="s">
        <v>104</v>
      </c>
      <c r="O766" s="23">
        <f t="shared" ref="O766" si="645">O754*10+1</f>
        <v>110321</v>
      </c>
    </row>
    <row r="767" spans="1:15">
      <c r="E767" s="4">
        <f t="shared" si="644"/>
        <v>767</v>
      </c>
      <c r="F767" s="9" t="s">
        <v>146</v>
      </c>
      <c r="O767" s="23">
        <f t="shared" ref="O767" si="646">O754</f>
        <v>11032</v>
      </c>
    </row>
    <row r="768" spans="1:15">
      <c r="E768" s="4">
        <f t="shared" si="644"/>
        <v>768</v>
      </c>
      <c r="F768" s="9" t="s">
        <v>130</v>
      </c>
      <c r="O768" s="23">
        <v>0</v>
      </c>
    </row>
    <row r="769" spans="1:15">
      <c r="E769" s="4">
        <f t="shared" si="644"/>
        <v>769</v>
      </c>
      <c r="F769" s="9" t="s">
        <v>35</v>
      </c>
      <c r="G769" s="23">
        <v>0</v>
      </c>
      <c r="H769" s="23">
        <v>90</v>
      </c>
      <c r="I769" s="23" t="s">
        <v>239</v>
      </c>
      <c r="J769" s="23">
        <v>0</v>
      </c>
      <c r="O769" s="23">
        <f t="shared" ref="O769" si="647">$H$25+IF(G769,$I$25,$J$25)</f>
        <v>90</v>
      </c>
    </row>
    <row r="770" spans="1:15">
      <c r="E770" s="4">
        <f t="shared" si="644"/>
        <v>770</v>
      </c>
      <c r="F770" s="9" t="s">
        <v>30</v>
      </c>
      <c r="O770" s="23">
        <v>0</v>
      </c>
    </row>
    <row r="771" spans="1:15">
      <c r="E771" s="4">
        <f t="shared" si="644"/>
        <v>771</v>
      </c>
      <c r="F771" s="9" t="s">
        <v>116</v>
      </c>
      <c r="L771" s="9" t="s">
        <v>137</v>
      </c>
      <c r="O771" s="23">
        <f t="shared" ref="O771" si="648">O759</f>
        <v>-90</v>
      </c>
    </row>
    <row r="772" spans="1:15">
      <c r="E772" s="4">
        <f t="shared" si="644"/>
        <v>772</v>
      </c>
      <c r="F772" s="9" t="s">
        <v>104</v>
      </c>
      <c r="O772" s="23">
        <f t="shared" ref="O772" si="649">O766+1</f>
        <v>110322</v>
      </c>
    </row>
    <row r="773" spans="1:15">
      <c r="E773" s="4">
        <f t="shared" si="644"/>
        <v>773</v>
      </c>
      <c r="F773" s="9" t="s">
        <v>146</v>
      </c>
      <c r="O773" s="23">
        <f t="shared" ref="O773" si="650">O766</f>
        <v>110321</v>
      </c>
    </row>
    <row r="774" spans="1:15">
      <c r="E774" s="4">
        <f t="shared" si="644"/>
        <v>774</v>
      </c>
      <c r="F774" s="9" t="s">
        <v>130</v>
      </c>
      <c r="O774" s="23">
        <v>0</v>
      </c>
    </row>
    <row r="775" spans="1:15">
      <c r="E775" s="4">
        <f t="shared" si="644"/>
        <v>775</v>
      </c>
      <c r="F775" s="9" t="s">
        <v>30</v>
      </c>
      <c r="O775" s="23">
        <v>3</v>
      </c>
    </row>
    <row r="776" spans="1:15">
      <c r="E776" s="4">
        <f t="shared" si="644"/>
        <v>776</v>
      </c>
      <c r="F776" s="9" t="s">
        <v>116</v>
      </c>
      <c r="L776" s="9" t="s">
        <v>137</v>
      </c>
      <c r="O776" s="23">
        <f t="shared" ref="O776" si="651">O771</f>
        <v>-90</v>
      </c>
    </row>
    <row r="777" spans="1:15">
      <c r="A777" s="22" t="s">
        <v>238</v>
      </c>
      <c r="B777" s="22">
        <f t="shared" ref="B777" si="652">QUOTIENT( D777-1,G778)+1</f>
        <v>5</v>
      </c>
      <c r="C777" s="22">
        <f t="shared" ref="C777" si="653">D777-(B777-1)*G778</f>
        <v>1</v>
      </c>
      <c r="D777" s="22">
        <f>COUNT($D$8:$D776)+1</f>
        <v>33</v>
      </c>
      <c r="E777" s="4"/>
    </row>
    <row r="778" spans="1:15">
      <c r="E778" s="4">
        <f t="shared" si="644"/>
        <v>778</v>
      </c>
      <c r="F778" s="9" t="s">
        <v>96</v>
      </c>
      <c r="G778" s="23">
        <v>8</v>
      </c>
      <c r="H778" s="9">
        <v>5</v>
      </c>
      <c r="J778" s="9">
        <v>11000</v>
      </c>
      <c r="O778" s="23">
        <f t="shared" ref="O778" si="654">$J$10+D777</f>
        <v>11033</v>
      </c>
    </row>
    <row r="779" spans="1:15">
      <c r="E779" s="4">
        <f t="shared" si="644"/>
        <v>779</v>
      </c>
      <c r="F779" s="9" t="s">
        <v>155</v>
      </c>
      <c r="G779" s="23">
        <v>2650</v>
      </c>
      <c r="H779" s="9" t="s">
        <v>241</v>
      </c>
      <c r="J779" s="9"/>
      <c r="O779" s="23">
        <f t="shared" ref="O779" si="655">G779+H779*(B777-1)</f>
        <v>3010</v>
      </c>
    </row>
    <row r="780" spans="1:15">
      <c r="E780" s="4">
        <f t="shared" si="644"/>
        <v>780</v>
      </c>
      <c r="F780" s="9" t="s">
        <v>35</v>
      </c>
      <c r="O780" s="23">
        <v>60</v>
      </c>
    </row>
    <row r="781" spans="1:15">
      <c r="E781" s="4">
        <f t="shared" si="644"/>
        <v>781</v>
      </c>
      <c r="F781" s="9" t="s">
        <v>29</v>
      </c>
      <c r="O781" s="23" t="s">
        <v>148</v>
      </c>
    </row>
    <row r="782" spans="1:15">
      <c r="E782" s="4">
        <f t="shared" si="644"/>
        <v>782</v>
      </c>
      <c r="F782" s="9" t="s">
        <v>121</v>
      </c>
      <c r="G782" s="9"/>
      <c r="H782" s="9"/>
      <c r="I782" s="9"/>
      <c r="J782" s="9"/>
      <c r="O782" s="23" t="s">
        <v>147</v>
      </c>
    </row>
    <row r="783" spans="1:15">
      <c r="E783" s="4">
        <f t="shared" si="644"/>
        <v>783</v>
      </c>
      <c r="F783" s="9" t="s">
        <v>116</v>
      </c>
      <c r="G783" s="23" t="b">
        <f t="shared" ref="G783" si="656">MOD(B777,2)=0</f>
        <v>0</v>
      </c>
      <c r="H783" s="23">
        <v>-90</v>
      </c>
      <c r="I783" s="23" t="s">
        <v>241</v>
      </c>
      <c r="L783" s="9" t="s">
        <v>137</v>
      </c>
      <c r="O783" s="23" t="str">
        <f t="shared" ref="O783" si="657">IF(G783,$H$15,$I$15)</f>
        <v>90</v>
      </c>
    </row>
    <row r="784" spans="1:15">
      <c r="E784" s="4">
        <f t="shared" si="644"/>
        <v>784</v>
      </c>
      <c r="F784" s="9" t="s">
        <v>101</v>
      </c>
      <c r="G784" s="23">
        <f t="shared" ref="G784" si="658">MOD(D777-1,4)+1</f>
        <v>1</v>
      </c>
      <c r="K784" s="9" t="s">
        <v>139</v>
      </c>
      <c r="O784" s="23" t="str" cm="1">
        <f t="array" aca="1" ref="O784" ca="1">_xlfn.SWITCH(G784, 1, G786, 2, H786, 3, I786, 4, J786)</f>
        <v>6,-3.1</v>
      </c>
    </row>
    <row r="785" spans="5:15">
      <c r="E785" s="4"/>
      <c r="G785" s="23" t="s">
        <v>32</v>
      </c>
      <c r="H785" s="23" t="s">
        <v>242</v>
      </c>
      <c r="I785" s="23">
        <v>4.8</v>
      </c>
      <c r="J785" s="23" t="s">
        <v>243</v>
      </c>
    </row>
    <row r="786" spans="5:15">
      <c r="E786" s="4"/>
      <c r="G786" s="23" t="str">
        <f t="shared" ref="G786" ca="1" si="659">CONCATENATE($G$17,",",RANDBETWEEN($J$17*10,$I$17*10)/10)</f>
        <v>6,-3.1</v>
      </c>
      <c r="H786" s="23" t="str">
        <f t="shared" ref="H786" ca="1" si="660">CONCATENATE($H$17,",",RANDBETWEEN($J$17*10,$I$17*10)/10)</f>
        <v>-6,-1.9</v>
      </c>
      <c r="I786" s="23" t="str">
        <f t="shared" ref="I786" ca="1" si="661">CONCATENATE(RANDBETWEEN($J$17*10,$I$17*10)/10,",",$H$17)</f>
        <v>0.9,-6</v>
      </c>
      <c r="J786" s="23" t="str">
        <f t="shared" ref="J786" ca="1" si="662">CONCATENATE(RANDBETWEEN($J$17*10,$I$17*10)/10,",",$G$17)</f>
        <v>-2.7,6</v>
      </c>
    </row>
    <row r="787" spans="5:15">
      <c r="E787" s="4">
        <f t="shared" ref="E787:E788" si="663">ROW(E787)</f>
        <v>787</v>
      </c>
      <c r="F787" s="9" t="s">
        <v>30</v>
      </c>
      <c r="O787" s="23">
        <v>1.4</v>
      </c>
    </row>
    <row r="788" spans="5:15">
      <c r="E788" s="4">
        <f t="shared" si="663"/>
        <v>788</v>
      </c>
      <c r="F788" s="9" t="s">
        <v>31</v>
      </c>
      <c r="G788" s="23">
        <f t="shared" ref="G788" si="664">MOD(D777-1,4)+1</f>
        <v>1</v>
      </c>
      <c r="L788" s="9" t="s">
        <v>137</v>
      </c>
      <c r="O788" s="23" t="str" cm="1">
        <f t="array" ref="O788">_xlfn.SWITCH(G788, 1, $G$21, 2, $H$21, 3, $I$21, 4, $J$21)</f>
        <v>180</v>
      </c>
    </row>
    <row r="789" spans="5:15">
      <c r="E789" s="4"/>
      <c r="G789" s="23" t="s">
        <v>244</v>
      </c>
      <c r="H789" s="23">
        <v>0</v>
      </c>
      <c r="I789" s="23" t="s">
        <v>241</v>
      </c>
      <c r="J789" s="23" t="s">
        <v>245</v>
      </c>
    </row>
    <row r="790" spans="5:15">
      <c r="E790" s="4">
        <f t="shared" ref="E790:E808" si="665">ROW(E790)</f>
        <v>790</v>
      </c>
      <c r="F790" s="9" t="s">
        <v>104</v>
      </c>
      <c r="O790" s="23">
        <f t="shared" ref="O790" si="666">O778*10+1</f>
        <v>110331</v>
      </c>
    </row>
    <row r="791" spans="5:15">
      <c r="E791" s="4">
        <f t="shared" si="665"/>
        <v>791</v>
      </c>
      <c r="F791" s="9" t="s">
        <v>146</v>
      </c>
      <c r="O791" s="23">
        <f t="shared" ref="O791" si="667">O778</f>
        <v>11033</v>
      </c>
    </row>
    <row r="792" spans="5:15">
      <c r="E792" s="4">
        <f t="shared" si="665"/>
        <v>792</v>
      </c>
      <c r="F792" s="9" t="s">
        <v>130</v>
      </c>
      <c r="O792" s="23">
        <v>0</v>
      </c>
    </row>
    <row r="793" spans="5:15">
      <c r="E793" s="4">
        <f t="shared" si="665"/>
        <v>793</v>
      </c>
      <c r="F793" s="9" t="s">
        <v>35</v>
      </c>
      <c r="G793" s="23">
        <v>0</v>
      </c>
      <c r="H793" s="23">
        <v>90</v>
      </c>
      <c r="I793" s="23" t="s">
        <v>239</v>
      </c>
      <c r="J793" s="23">
        <v>0</v>
      </c>
      <c r="O793" s="23">
        <f t="shared" ref="O793" si="668">$H$25+IF(G793,$I$25,$J$25)</f>
        <v>90</v>
      </c>
    </row>
    <row r="794" spans="5:15">
      <c r="E794" s="4">
        <f t="shared" si="665"/>
        <v>794</v>
      </c>
      <c r="F794" s="9" t="s">
        <v>30</v>
      </c>
      <c r="O794" s="23">
        <v>0</v>
      </c>
    </row>
    <row r="795" spans="5:15">
      <c r="E795" s="4">
        <f t="shared" si="665"/>
        <v>795</v>
      </c>
      <c r="F795" s="9" t="s">
        <v>116</v>
      </c>
      <c r="L795" s="9" t="s">
        <v>137</v>
      </c>
      <c r="O795" s="23" t="str">
        <f t="shared" ref="O795" si="669">O783</f>
        <v>90</v>
      </c>
    </row>
    <row r="796" spans="5:15">
      <c r="E796" s="4">
        <f t="shared" si="665"/>
        <v>796</v>
      </c>
      <c r="F796" s="9" t="s">
        <v>104</v>
      </c>
      <c r="O796" s="23">
        <f t="shared" ref="O796" si="670">O790+1</f>
        <v>110332</v>
      </c>
    </row>
    <row r="797" spans="5:15">
      <c r="E797" s="4">
        <f t="shared" si="665"/>
        <v>797</v>
      </c>
      <c r="F797" s="9" t="s">
        <v>146</v>
      </c>
      <c r="O797" s="23">
        <f t="shared" ref="O797" si="671">O790</f>
        <v>110331</v>
      </c>
    </row>
    <row r="798" spans="5:15">
      <c r="E798" s="4">
        <f t="shared" si="665"/>
        <v>798</v>
      </c>
      <c r="F798" s="9" t="s">
        <v>130</v>
      </c>
      <c r="O798" s="23">
        <v>0</v>
      </c>
    </row>
    <row r="799" spans="5:15">
      <c r="E799" s="4">
        <f t="shared" si="665"/>
        <v>799</v>
      </c>
      <c r="F799" s="9" t="s">
        <v>30</v>
      </c>
      <c r="O799" s="23">
        <v>3</v>
      </c>
    </row>
    <row r="800" spans="5:15">
      <c r="E800" s="4">
        <f t="shared" si="665"/>
        <v>800</v>
      </c>
      <c r="F800" s="9" t="s">
        <v>116</v>
      </c>
      <c r="L800" s="9" t="s">
        <v>137</v>
      </c>
      <c r="O800" s="23" t="str">
        <f t="shared" ref="O800" si="672">O795</f>
        <v>90</v>
      </c>
    </row>
    <row r="801" spans="1:15">
      <c r="A801" s="22" t="s">
        <v>238</v>
      </c>
      <c r="B801" s="22">
        <f t="shared" ref="B801" si="673">QUOTIENT( D801-1,G802)+1</f>
        <v>5</v>
      </c>
      <c r="C801" s="22">
        <f t="shared" ref="C801" si="674">D801-(B801-1)*G802</f>
        <v>2</v>
      </c>
      <c r="D801" s="22">
        <f>COUNT($D$8:$D800)+1</f>
        <v>34</v>
      </c>
      <c r="E801" s="4"/>
      <c r="H801" s="9"/>
      <c r="J801" s="9"/>
    </row>
    <row r="802" spans="1:15">
      <c r="E802" s="4">
        <f t="shared" si="665"/>
        <v>802</v>
      </c>
      <c r="F802" s="9" t="s">
        <v>96</v>
      </c>
      <c r="G802" s="23">
        <v>8</v>
      </c>
      <c r="H802" s="9">
        <v>5</v>
      </c>
      <c r="J802" s="9">
        <v>11000</v>
      </c>
      <c r="O802" s="23">
        <f t="shared" ref="O802" si="675">$J$10+D801</f>
        <v>11034</v>
      </c>
    </row>
    <row r="803" spans="1:15">
      <c r="E803" s="4">
        <f t="shared" si="665"/>
        <v>803</v>
      </c>
      <c r="F803" s="9" t="s">
        <v>155</v>
      </c>
      <c r="G803" s="23">
        <v>2650</v>
      </c>
      <c r="H803" s="23" t="s">
        <v>241</v>
      </c>
      <c r="O803" s="23">
        <f t="shared" ref="O803" si="676">G803+H803*(B801-1)</f>
        <v>3010</v>
      </c>
    </row>
    <row r="804" spans="1:15">
      <c r="E804" s="4">
        <f t="shared" si="665"/>
        <v>804</v>
      </c>
      <c r="F804" s="9" t="s">
        <v>35</v>
      </c>
      <c r="O804" s="23">
        <v>60</v>
      </c>
    </row>
    <row r="805" spans="1:15">
      <c r="E805" s="4">
        <f t="shared" si="665"/>
        <v>805</v>
      </c>
      <c r="F805" s="9" t="s">
        <v>29</v>
      </c>
      <c r="G805" s="9"/>
      <c r="H805" s="9"/>
      <c r="I805" s="9"/>
      <c r="J805" s="9"/>
      <c r="O805" s="23" t="s">
        <v>148</v>
      </c>
    </row>
    <row r="806" spans="1:15">
      <c r="E806" s="4">
        <f t="shared" si="665"/>
        <v>806</v>
      </c>
      <c r="F806" s="9" t="s">
        <v>121</v>
      </c>
      <c r="O806" s="23" t="s">
        <v>147</v>
      </c>
    </row>
    <row r="807" spans="1:15">
      <c r="E807" s="4">
        <f t="shared" si="665"/>
        <v>807</v>
      </c>
      <c r="F807" s="9" t="s">
        <v>116</v>
      </c>
      <c r="G807" s="23" t="b">
        <f t="shared" ref="G807" si="677">MOD(B801,2)=0</f>
        <v>0</v>
      </c>
      <c r="H807" s="23">
        <v>-90</v>
      </c>
      <c r="I807" s="23" t="s">
        <v>241</v>
      </c>
      <c r="L807" s="9" t="s">
        <v>137</v>
      </c>
      <c r="O807" s="23" t="str">
        <f t="shared" ref="O807" si="678">IF(G807,$H$15,$I$15)</f>
        <v>90</v>
      </c>
    </row>
    <row r="808" spans="1:15">
      <c r="E808" s="4">
        <f t="shared" si="665"/>
        <v>808</v>
      </c>
      <c r="F808" s="9" t="s">
        <v>101</v>
      </c>
      <c r="G808" s="23">
        <f t="shared" ref="G808" si="679">MOD(D801-1,4)+1</f>
        <v>2</v>
      </c>
      <c r="K808" s="9" t="s">
        <v>139</v>
      </c>
      <c r="O808" s="23" t="str" cm="1">
        <f t="array" aca="1" ref="O808" ca="1">_xlfn.SWITCH(G808, 1, G810, 2, H810, 3, I810, 4, J810)</f>
        <v>-6,-3.2</v>
      </c>
    </row>
    <row r="809" spans="1:15">
      <c r="E809" s="4"/>
      <c r="G809" s="23" t="s">
        <v>32</v>
      </c>
      <c r="H809" s="23" t="s">
        <v>242</v>
      </c>
      <c r="I809" s="23">
        <v>4.8</v>
      </c>
      <c r="J809" s="23" t="s">
        <v>243</v>
      </c>
    </row>
    <row r="810" spans="1:15">
      <c r="E810" s="4"/>
      <c r="G810" s="23" t="str">
        <f t="shared" ref="G810" ca="1" si="680">CONCATENATE($G$17,",",RANDBETWEEN($J$17*10,$I$17*10)/10)</f>
        <v>6,-0.5</v>
      </c>
      <c r="H810" s="23" t="str">
        <f t="shared" ref="H810" ca="1" si="681">CONCATENATE($H$17,",",RANDBETWEEN($J$17*10,$I$17*10)/10)</f>
        <v>-6,-3.2</v>
      </c>
      <c r="I810" s="23" t="str">
        <f t="shared" ref="I810" ca="1" si="682">CONCATENATE(RANDBETWEEN($J$17*10,$I$17*10)/10,",",$H$17)</f>
        <v>-3.2,-6</v>
      </c>
      <c r="J810" s="23" t="str">
        <f t="shared" ref="J810" ca="1" si="683">CONCATENATE(RANDBETWEEN($J$17*10,$I$17*10)/10,",",$G$17)</f>
        <v>4.2,6</v>
      </c>
    </row>
    <row r="811" spans="1:15">
      <c r="E811" s="4">
        <f t="shared" ref="E811:E812" si="684">ROW(E811)</f>
        <v>811</v>
      </c>
      <c r="F811" s="9" t="s">
        <v>30</v>
      </c>
      <c r="O811" s="23">
        <v>1.4</v>
      </c>
    </row>
    <row r="812" spans="1:15">
      <c r="E812" s="4">
        <f t="shared" si="684"/>
        <v>812</v>
      </c>
      <c r="F812" s="9" t="s">
        <v>31</v>
      </c>
      <c r="G812" s="23">
        <f t="shared" ref="G812" si="685">MOD(D801-1,4)+1</f>
        <v>2</v>
      </c>
      <c r="L812" s="9" t="s">
        <v>137</v>
      </c>
      <c r="O812" s="23" cm="1">
        <f t="array" ref="O812">_xlfn.SWITCH(G812, 1, $G$21, 2, $H$21, 3, $I$21, 4, $J$21)</f>
        <v>0</v>
      </c>
    </row>
    <row r="813" spans="1:15">
      <c r="E813" s="4"/>
      <c r="G813" s="23" t="s">
        <v>244</v>
      </c>
      <c r="H813" s="23">
        <v>0</v>
      </c>
      <c r="I813" s="23" t="s">
        <v>241</v>
      </c>
      <c r="J813" s="23" t="s">
        <v>245</v>
      </c>
    </row>
    <row r="814" spans="1:15">
      <c r="E814" s="4">
        <f t="shared" ref="E814:E832" si="686">ROW(E814)</f>
        <v>814</v>
      </c>
      <c r="F814" s="9" t="s">
        <v>104</v>
      </c>
      <c r="O814" s="23">
        <f t="shared" ref="O814" si="687">O802*10+1</f>
        <v>110341</v>
      </c>
    </row>
    <row r="815" spans="1:15">
      <c r="E815" s="4">
        <f t="shared" si="686"/>
        <v>815</v>
      </c>
      <c r="F815" s="9" t="s">
        <v>146</v>
      </c>
      <c r="O815" s="23">
        <f t="shared" ref="O815" si="688">O802</f>
        <v>11034</v>
      </c>
    </row>
    <row r="816" spans="1:15">
      <c r="E816" s="4">
        <f t="shared" si="686"/>
        <v>816</v>
      </c>
      <c r="F816" s="9" t="s">
        <v>130</v>
      </c>
      <c r="O816" s="23">
        <v>0</v>
      </c>
    </row>
    <row r="817" spans="1:15">
      <c r="E817" s="4">
        <f t="shared" si="686"/>
        <v>817</v>
      </c>
      <c r="F817" s="9" t="s">
        <v>35</v>
      </c>
      <c r="G817" s="23">
        <v>0</v>
      </c>
      <c r="H817" s="23">
        <v>90</v>
      </c>
      <c r="I817" s="23" t="s">
        <v>239</v>
      </c>
      <c r="J817" s="23">
        <v>0</v>
      </c>
      <c r="O817" s="23">
        <f t="shared" ref="O817" si="689">$H$25+IF(G817,$I$25,$J$25)</f>
        <v>90</v>
      </c>
    </row>
    <row r="818" spans="1:15">
      <c r="E818" s="4">
        <f t="shared" si="686"/>
        <v>818</v>
      </c>
      <c r="F818" s="9" t="s">
        <v>30</v>
      </c>
      <c r="O818" s="23">
        <v>0</v>
      </c>
    </row>
    <row r="819" spans="1:15">
      <c r="E819" s="4">
        <f t="shared" si="686"/>
        <v>819</v>
      </c>
      <c r="F819" s="9" t="s">
        <v>116</v>
      </c>
      <c r="L819" s="9" t="s">
        <v>137</v>
      </c>
      <c r="O819" s="23" t="str">
        <f t="shared" ref="O819" si="690">O807</f>
        <v>90</v>
      </c>
    </row>
    <row r="820" spans="1:15">
      <c r="E820" s="4">
        <f t="shared" si="686"/>
        <v>820</v>
      </c>
      <c r="F820" s="9" t="s">
        <v>104</v>
      </c>
      <c r="O820" s="23">
        <f t="shared" ref="O820" si="691">O814+1</f>
        <v>110342</v>
      </c>
    </row>
    <row r="821" spans="1:15">
      <c r="E821" s="4">
        <f t="shared" si="686"/>
        <v>821</v>
      </c>
      <c r="F821" s="9" t="s">
        <v>146</v>
      </c>
      <c r="O821" s="23">
        <f t="shared" ref="O821" si="692">O814</f>
        <v>110341</v>
      </c>
    </row>
    <row r="822" spans="1:15">
      <c r="E822" s="4">
        <f t="shared" si="686"/>
        <v>822</v>
      </c>
      <c r="F822" s="9" t="s">
        <v>130</v>
      </c>
      <c r="O822" s="23">
        <v>0</v>
      </c>
    </row>
    <row r="823" spans="1:15">
      <c r="E823" s="4">
        <f t="shared" si="686"/>
        <v>823</v>
      </c>
      <c r="F823" s="9" t="s">
        <v>30</v>
      </c>
      <c r="O823" s="23">
        <v>3</v>
      </c>
    </row>
    <row r="824" spans="1:15">
      <c r="E824" s="4">
        <f t="shared" si="686"/>
        <v>824</v>
      </c>
      <c r="F824" s="9" t="s">
        <v>116</v>
      </c>
      <c r="H824" s="9"/>
      <c r="J824" s="9"/>
      <c r="L824" s="9" t="s">
        <v>137</v>
      </c>
      <c r="O824" s="23" t="str">
        <f t="shared" ref="O824" si="693">O819</f>
        <v>90</v>
      </c>
    </row>
    <row r="825" spans="1:15">
      <c r="A825" s="22" t="s">
        <v>238</v>
      </c>
      <c r="B825" s="22">
        <f t="shared" ref="B825" si="694">QUOTIENT( D825-1,G826)+1</f>
        <v>5</v>
      </c>
      <c r="C825" s="22">
        <f t="shared" ref="C825" si="695">D825-(B825-1)*G826</f>
        <v>3</v>
      </c>
      <c r="D825" s="22">
        <f>COUNT($D$8:$D824)+1</f>
        <v>35</v>
      </c>
      <c r="E825" s="4"/>
      <c r="H825" s="9"/>
      <c r="J825" s="9"/>
    </row>
    <row r="826" spans="1:15">
      <c r="E826" s="4">
        <f t="shared" si="686"/>
        <v>826</v>
      </c>
      <c r="F826" s="9" t="s">
        <v>96</v>
      </c>
      <c r="G826" s="23">
        <v>8</v>
      </c>
      <c r="H826" s="23">
        <v>5</v>
      </c>
      <c r="J826" s="23">
        <v>11000</v>
      </c>
      <c r="O826" s="23">
        <f t="shared" ref="O826" si="696">$J$10+D825</f>
        <v>11035</v>
      </c>
    </row>
    <row r="827" spans="1:15">
      <c r="E827" s="4">
        <f t="shared" si="686"/>
        <v>827</v>
      </c>
      <c r="F827" s="9" t="s">
        <v>155</v>
      </c>
      <c r="G827" s="23">
        <v>2650</v>
      </c>
      <c r="H827" s="23" t="s">
        <v>241</v>
      </c>
      <c r="O827" s="23">
        <f t="shared" ref="O827" si="697">G827+H827*(B825-1)</f>
        <v>3010</v>
      </c>
    </row>
    <row r="828" spans="1:15">
      <c r="E828" s="4">
        <f t="shared" si="686"/>
        <v>828</v>
      </c>
      <c r="F828" s="9" t="s">
        <v>35</v>
      </c>
      <c r="G828" s="9"/>
      <c r="H828" s="9"/>
      <c r="I828" s="9"/>
      <c r="J828" s="9"/>
      <c r="O828" s="23">
        <v>60</v>
      </c>
    </row>
    <row r="829" spans="1:15">
      <c r="E829" s="4">
        <f t="shared" si="686"/>
        <v>829</v>
      </c>
      <c r="F829" s="9" t="s">
        <v>29</v>
      </c>
      <c r="O829" s="23" t="s">
        <v>148</v>
      </c>
    </row>
    <row r="830" spans="1:15">
      <c r="E830" s="4">
        <f t="shared" si="686"/>
        <v>830</v>
      </c>
      <c r="F830" s="9" t="s">
        <v>121</v>
      </c>
      <c r="O830" s="23" t="s">
        <v>147</v>
      </c>
    </row>
    <row r="831" spans="1:15">
      <c r="E831" s="4">
        <f t="shared" si="686"/>
        <v>831</v>
      </c>
      <c r="F831" s="9" t="s">
        <v>116</v>
      </c>
      <c r="G831" s="23" t="b">
        <f t="shared" ref="G831" si="698">MOD(B825,2)=0</f>
        <v>0</v>
      </c>
      <c r="H831" s="23">
        <v>-90</v>
      </c>
      <c r="I831" s="23" t="s">
        <v>241</v>
      </c>
      <c r="L831" s="9" t="s">
        <v>137</v>
      </c>
      <c r="O831" s="23" t="str">
        <f t="shared" ref="O831" si="699">IF(G831,$H$15,$I$15)</f>
        <v>90</v>
      </c>
    </row>
    <row r="832" spans="1:15">
      <c r="E832" s="4">
        <f t="shared" si="686"/>
        <v>832</v>
      </c>
      <c r="F832" s="9" t="s">
        <v>101</v>
      </c>
      <c r="G832" s="23">
        <f t="shared" ref="G832" si="700">MOD(D825-1,4)+1</f>
        <v>3</v>
      </c>
      <c r="K832" s="9" t="s">
        <v>139</v>
      </c>
      <c r="O832" s="23" t="str" cm="1">
        <f t="array" aca="1" ref="O832" ca="1">_xlfn.SWITCH(G832, 1, G834, 2, H834, 3, I834, 4, J834)</f>
        <v>-4.1,-6</v>
      </c>
    </row>
    <row r="833" spans="5:15">
      <c r="E833" s="4"/>
      <c r="G833" s="23" t="s">
        <v>32</v>
      </c>
      <c r="H833" s="23" t="s">
        <v>242</v>
      </c>
      <c r="I833" s="23">
        <v>4.8</v>
      </c>
      <c r="J833" s="23" t="s">
        <v>243</v>
      </c>
    </row>
    <row r="834" spans="5:15">
      <c r="E834" s="4"/>
      <c r="G834" s="23" t="str">
        <f t="shared" ref="G834" ca="1" si="701">CONCATENATE($G$17,",",RANDBETWEEN($J$17*10,$I$17*10)/10)</f>
        <v>6,-4</v>
      </c>
      <c r="H834" s="23" t="str">
        <f t="shared" ref="H834" ca="1" si="702">CONCATENATE($H$17,",",RANDBETWEEN($J$17*10,$I$17*10)/10)</f>
        <v>-6,1.3</v>
      </c>
      <c r="I834" s="23" t="str">
        <f t="shared" ref="I834" ca="1" si="703">CONCATENATE(RANDBETWEEN($J$17*10,$I$17*10)/10,",",$H$17)</f>
        <v>-4.1,-6</v>
      </c>
      <c r="J834" s="23" t="str">
        <f t="shared" ref="J834" ca="1" si="704">CONCATENATE(RANDBETWEEN($J$17*10,$I$17*10)/10,",",$G$17)</f>
        <v>0.2,6</v>
      </c>
    </row>
    <row r="835" spans="5:15">
      <c r="E835" s="4">
        <f t="shared" ref="E835:E836" si="705">ROW(E835)</f>
        <v>835</v>
      </c>
      <c r="F835" s="9" t="s">
        <v>30</v>
      </c>
      <c r="O835" s="23">
        <v>1.4</v>
      </c>
    </row>
    <row r="836" spans="5:15">
      <c r="E836" s="4">
        <f t="shared" si="705"/>
        <v>836</v>
      </c>
      <c r="F836" s="9" t="s">
        <v>31</v>
      </c>
      <c r="G836" s="23">
        <f t="shared" ref="G836" si="706">MOD(D825-1,4)+1</f>
        <v>3</v>
      </c>
      <c r="L836" s="9" t="s">
        <v>137</v>
      </c>
      <c r="O836" s="23" t="str" cm="1">
        <f t="array" ref="O836">_xlfn.SWITCH(G836, 1, $G$21, 2, $H$21, 3, $I$21, 4, $J$21)</f>
        <v>90</v>
      </c>
    </row>
    <row r="837" spans="5:15">
      <c r="E837" s="4"/>
      <c r="G837" s="23" t="s">
        <v>244</v>
      </c>
      <c r="H837" s="23">
        <v>0</v>
      </c>
      <c r="I837" s="23" t="s">
        <v>241</v>
      </c>
      <c r="J837" s="23" t="s">
        <v>245</v>
      </c>
    </row>
    <row r="838" spans="5:15">
      <c r="E838" s="4">
        <f t="shared" ref="E838:E856" si="707">ROW(E838)</f>
        <v>838</v>
      </c>
      <c r="F838" s="9" t="s">
        <v>104</v>
      </c>
      <c r="O838" s="23">
        <f t="shared" ref="O838" si="708">O826*10+1</f>
        <v>110351</v>
      </c>
    </row>
    <row r="839" spans="5:15">
      <c r="E839" s="4">
        <f t="shared" si="707"/>
        <v>839</v>
      </c>
      <c r="F839" s="9" t="s">
        <v>146</v>
      </c>
      <c r="O839" s="23">
        <f t="shared" ref="O839" si="709">O826</f>
        <v>11035</v>
      </c>
    </row>
    <row r="840" spans="5:15">
      <c r="E840" s="4">
        <f t="shared" si="707"/>
        <v>840</v>
      </c>
      <c r="F840" s="9" t="s">
        <v>130</v>
      </c>
      <c r="O840" s="23">
        <v>0</v>
      </c>
    </row>
    <row r="841" spans="5:15">
      <c r="E841" s="4">
        <f t="shared" si="707"/>
        <v>841</v>
      </c>
      <c r="F841" s="9" t="s">
        <v>35</v>
      </c>
      <c r="G841" s="23">
        <v>0</v>
      </c>
      <c r="H841" s="23">
        <v>90</v>
      </c>
      <c r="I841" s="23" t="s">
        <v>239</v>
      </c>
      <c r="J841" s="23">
        <v>0</v>
      </c>
      <c r="O841" s="23">
        <f t="shared" ref="O841" si="710">$H$25+IF(G841,$I$25,$J$25)</f>
        <v>90</v>
      </c>
    </row>
    <row r="842" spans="5:15">
      <c r="E842" s="4">
        <f t="shared" si="707"/>
        <v>842</v>
      </c>
      <c r="F842" s="9" t="s">
        <v>30</v>
      </c>
      <c r="O842" s="23">
        <v>0</v>
      </c>
    </row>
    <row r="843" spans="5:15">
      <c r="E843" s="4">
        <f t="shared" si="707"/>
        <v>843</v>
      </c>
      <c r="F843" s="9" t="s">
        <v>116</v>
      </c>
      <c r="L843" s="9" t="s">
        <v>137</v>
      </c>
      <c r="O843" s="23" t="str">
        <f t="shared" ref="O843" si="711">O831</f>
        <v>90</v>
      </c>
    </row>
    <row r="844" spans="5:15">
      <c r="E844" s="4">
        <f t="shared" si="707"/>
        <v>844</v>
      </c>
      <c r="F844" s="9" t="s">
        <v>104</v>
      </c>
      <c r="O844" s="23">
        <f t="shared" ref="O844" si="712">O838+1</f>
        <v>110352</v>
      </c>
    </row>
    <row r="845" spans="5:15">
      <c r="E845" s="4">
        <f t="shared" si="707"/>
        <v>845</v>
      </c>
      <c r="F845" s="9" t="s">
        <v>146</v>
      </c>
      <c r="O845" s="23">
        <f t="shared" ref="O845" si="713">O838</f>
        <v>110351</v>
      </c>
    </row>
    <row r="846" spans="5:15">
      <c r="E846" s="4">
        <f t="shared" si="707"/>
        <v>846</v>
      </c>
      <c r="F846" s="9" t="s">
        <v>130</v>
      </c>
      <c r="O846" s="23">
        <v>0</v>
      </c>
    </row>
    <row r="847" spans="5:15">
      <c r="E847" s="4">
        <f t="shared" si="707"/>
        <v>847</v>
      </c>
      <c r="F847" s="9" t="s">
        <v>30</v>
      </c>
      <c r="H847" s="9"/>
      <c r="J847" s="9"/>
      <c r="O847" s="23">
        <v>3</v>
      </c>
    </row>
    <row r="848" spans="5:15">
      <c r="E848" s="4">
        <f t="shared" si="707"/>
        <v>848</v>
      </c>
      <c r="F848" s="9" t="s">
        <v>116</v>
      </c>
      <c r="H848" s="9"/>
      <c r="J848" s="9"/>
      <c r="L848" s="9" t="s">
        <v>137</v>
      </c>
      <c r="O848" s="23" t="str">
        <f t="shared" ref="O848" si="714">O843</f>
        <v>90</v>
      </c>
    </row>
    <row r="849" spans="1:15">
      <c r="A849" s="22" t="s">
        <v>238</v>
      </c>
      <c r="B849" s="22">
        <f t="shared" ref="B849" si="715">QUOTIENT( D849-1,G850)+1</f>
        <v>5</v>
      </c>
      <c r="C849" s="22">
        <f t="shared" ref="C849" si="716">D849-(B849-1)*G850</f>
        <v>4</v>
      </c>
      <c r="D849" s="22">
        <f>COUNT($D$8:$D848)+1</f>
        <v>36</v>
      </c>
      <c r="E849" s="4"/>
    </row>
    <row r="850" spans="1:15">
      <c r="E850" s="4">
        <f t="shared" si="707"/>
        <v>850</v>
      </c>
      <c r="F850" s="9" t="s">
        <v>96</v>
      </c>
      <c r="G850" s="23">
        <v>8</v>
      </c>
      <c r="H850" s="23">
        <v>5</v>
      </c>
      <c r="J850" s="23">
        <v>11000</v>
      </c>
      <c r="O850" s="23">
        <f t="shared" ref="O850" si="717">$J$10+D849</f>
        <v>11036</v>
      </c>
    </row>
    <row r="851" spans="1:15">
      <c r="E851" s="4">
        <f t="shared" si="707"/>
        <v>851</v>
      </c>
      <c r="F851" s="9" t="s">
        <v>155</v>
      </c>
      <c r="G851" s="9">
        <v>2650</v>
      </c>
      <c r="H851" s="9" t="s">
        <v>241</v>
      </c>
      <c r="I851" s="9"/>
      <c r="J851" s="9"/>
      <c r="O851" s="23">
        <f t="shared" ref="O851" si="718">G851+H851*(B849-1)</f>
        <v>3010</v>
      </c>
    </row>
    <row r="852" spans="1:15">
      <c r="E852" s="4">
        <f t="shared" si="707"/>
        <v>852</v>
      </c>
      <c r="F852" s="9" t="s">
        <v>35</v>
      </c>
      <c r="O852" s="23">
        <v>60</v>
      </c>
    </row>
    <row r="853" spans="1:15">
      <c r="E853" s="4">
        <f t="shared" si="707"/>
        <v>853</v>
      </c>
      <c r="F853" s="9" t="s">
        <v>29</v>
      </c>
      <c r="O853" s="23" t="s">
        <v>148</v>
      </c>
    </row>
    <row r="854" spans="1:15">
      <c r="E854" s="4">
        <f t="shared" si="707"/>
        <v>854</v>
      </c>
      <c r="F854" s="9" t="s">
        <v>121</v>
      </c>
      <c r="O854" s="23" t="s">
        <v>147</v>
      </c>
    </row>
    <row r="855" spans="1:15">
      <c r="E855" s="4">
        <f t="shared" si="707"/>
        <v>855</v>
      </c>
      <c r="F855" s="9" t="s">
        <v>116</v>
      </c>
      <c r="G855" s="23" t="b">
        <f t="shared" ref="G855" si="719">MOD(B849,2)=0</f>
        <v>0</v>
      </c>
      <c r="H855" s="23">
        <v>-90</v>
      </c>
      <c r="I855" s="23" t="s">
        <v>241</v>
      </c>
      <c r="L855" s="9" t="s">
        <v>137</v>
      </c>
      <c r="O855" s="23" t="str">
        <f t="shared" ref="O855" si="720">IF(G855,$H$15,$I$15)</f>
        <v>90</v>
      </c>
    </row>
    <row r="856" spans="1:15">
      <c r="E856" s="4">
        <f t="shared" si="707"/>
        <v>856</v>
      </c>
      <c r="F856" s="9" t="s">
        <v>101</v>
      </c>
      <c r="G856" s="23">
        <f t="shared" ref="G856" si="721">MOD(D849-1,4)+1</f>
        <v>4</v>
      </c>
      <c r="K856" s="9" t="s">
        <v>139</v>
      </c>
      <c r="O856" s="23" t="str" cm="1">
        <f t="array" aca="1" ref="O856" ca="1">_xlfn.SWITCH(G856, 1, G858, 2, H858, 3, I858, 4, J858)</f>
        <v>-4.7,6</v>
      </c>
    </row>
    <row r="857" spans="1:15">
      <c r="E857" s="4"/>
      <c r="G857" s="23" t="s">
        <v>32</v>
      </c>
      <c r="H857" s="23" t="s">
        <v>242</v>
      </c>
      <c r="I857" s="23">
        <v>4.8</v>
      </c>
      <c r="J857" s="23" t="s">
        <v>243</v>
      </c>
    </row>
    <row r="858" spans="1:15">
      <c r="E858" s="4"/>
      <c r="G858" s="23" t="str">
        <f t="shared" ref="G858" ca="1" si="722">CONCATENATE($G$17,",",RANDBETWEEN($J$17*10,$I$17*10)/10)</f>
        <v>6,-4</v>
      </c>
      <c r="H858" s="23" t="str">
        <f t="shared" ref="H858" ca="1" si="723">CONCATENATE($H$17,",",RANDBETWEEN($J$17*10,$I$17*10)/10)</f>
        <v>-6,-1.8</v>
      </c>
      <c r="I858" s="23" t="str">
        <f t="shared" ref="I858" ca="1" si="724">CONCATENATE(RANDBETWEEN($J$17*10,$I$17*10)/10,",",$H$17)</f>
        <v>3.7,-6</v>
      </c>
      <c r="J858" s="23" t="str">
        <f t="shared" ref="J858" ca="1" si="725">CONCATENATE(RANDBETWEEN($J$17*10,$I$17*10)/10,",",$G$17)</f>
        <v>-4.7,6</v>
      </c>
    </row>
    <row r="859" spans="1:15">
      <c r="E859" s="4">
        <f t="shared" ref="E859:E860" si="726">ROW(E859)</f>
        <v>859</v>
      </c>
      <c r="F859" s="9" t="s">
        <v>30</v>
      </c>
      <c r="O859" s="23">
        <v>1.4</v>
      </c>
    </row>
    <row r="860" spans="1:15">
      <c r="E860" s="4">
        <f t="shared" si="726"/>
        <v>860</v>
      </c>
      <c r="F860" s="9" t="s">
        <v>31</v>
      </c>
      <c r="G860" s="23">
        <f t="shared" ref="G860" si="727">MOD(D849-1,4)+1</f>
        <v>4</v>
      </c>
      <c r="L860" s="9" t="s">
        <v>137</v>
      </c>
      <c r="O860" s="23" t="str" cm="1">
        <f t="array" ref="O860">_xlfn.SWITCH(G860, 1, $G$21, 2, $H$21, 3, $I$21, 4, $J$21)</f>
        <v>270</v>
      </c>
    </row>
    <row r="861" spans="1:15">
      <c r="E861" s="4"/>
      <c r="G861" s="23" t="s">
        <v>244</v>
      </c>
      <c r="H861" s="23">
        <v>0</v>
      </c>
      <c r="I861" s="23" t="s">
        <v>241</v>
      </c>
      <c r="J861" s="23" t="s">
        <v>245</v>
      </c>
    </row>
    <row r="862" spans="1:15">
      <c r="E862" s="4">
        <f t="shared" ref="E862:E880" si="728">ROW(E862)</f>
        <v>862</v>
      </c>
      <c r="F862" s="9" t="s">
        <v>104</v>
      </c>
      <c r="O862" s="23">
        <f t="shared" ref="O862" si="729">O850*10+1</f>
        <v>110361</v>
      </c>
    </row>
    <row r="863" spans="1:15">
      <c r="E863" s="4">
        <f t="shared" si="728"/>
        <v>863</v>
      </c>
      <c r="F863" s="9" t="s">
        <v>146</v>
      </c>
      <c r="O863" s="23">
        <f t="shared" ref="O863" si="730">O850</f>
        <v>11036</v>
      </c>
    </row>
    <row r="864" spans="1:15">
      <c r="E864" s="4">
        <f t="shared" si="728"/>
        <v>864</v>
      </c>
      <c r="F864" s="9" t="s">
        <v>130</v>
      </c>
      <c r="O864" s="23">
        <v>0</v>
      </c>
    </row>
    <row r="865" spans="1:15">
      <c r="E865" s="4">
        <f t="shared" si="728"/>
        <v>865</v>
      </c>
      <c r="F865" s="9" t="s">
        <v>35</v>
      </c>
      <c r="G865" s="23">
        <v>0</v>
      </c>
      <c r="H865" s="23">
        <v>90</v>
      </c>
      <c r="I865" s="23" t="s">
        <v>239</v>
      </c>
      <c r="J865" s="23">
        <v>0</v>
      </c>
      <c r="O865" s="23">
        <f t="shared" ref="O865" si="731">$H$25+IF(G865,$I$25,$J$25)</f>
        <v>90</v>
      </c>
    </row>
    <row r="866" spans="1:15">
      <c r="E866" s="4">
        <f t="shared" si="728"/>
        <v>866</v>
      </c>
      <c r="F866" s="9" t="s">
        <v>30</v>
      </c>
      <c r="O866" s="23">
        <v>0</v>
      </c>
    </row>
    <row r="867" spans="1:15">
      <c r="E867" s="4">
        <f t="shared" si="728"/>
        <v>867</v>
      </c>
      <c r="F867" s="9" t="s">
        <v>116</v>
      </c>
      <c r="L867" s="9" t="s">
        <v>137</v>
      </c>
      <c r="O867" s="23" t="str">
        <f t="shared" ref="O867" si="732">O855</f>
        <v>90</v>
      </c>
    </row>
    <row r="868" spans="1:15">
      <c r="E868" s="4">
        <f t="shared" si="728"/>
        <v>868</v>
      </c>
      <c r="F868" s="9" t="s">
        <v>104</v>
      </c>
      <c r="O868" s="23">
        <f t="shared" ref="O868" si="733">O862+1</f>
        <v>110362</v>
      </c>
    </row>
    <row r="869" spans="1:15">
      <c r="E869" s="4">
        <f t="shared" si="728"/>
        <v>869</v>
      </c>
      <c r="F869" s="9" t="s">
        <v>146</v>
      </c>
      <c r="O869" s="23">
        <f t="shared" ref="O869" si="734">O862</f>
        <v>110361</v>
      </c>
    </row>
    <row r="870" spans="1:15">
      <c r="E870" s="4">
        <f t="shared" si="728"/>
        <v>870</v>
      </c>
      <c r="F870" s="9" t="s">
        <v>130</v>
      </c>
      <c r="H870" s="9"/>
      <c r="J870" s="9"/>
      <c r="O870" s="23">
        <v>0</v>
      </c>
    </row>
    <row r="871" spans="1:15">
      <c r="E871" s="4">
        <f t="shared" si="728"/>
        <v>871</v>
      </c>
      <c r="F871" s="9" t="s">
        <v>30</v>
      </c>
      <c r="H871" s="9"/>
      <c r="J871" s="9"/>
      <c r="O871" s="23">
        <v>3</v>
      </c>
    </row>
    <row r="872" spans="1:15">
      <c r="E872" s="4">
        <f t="shared" si="728"/>
        <v>872</v>
      </c>
      <c r="F872" s="9" t="s">
        <v>116</v>
      </c>
      <c r="L872" s="9" t="s">
        <v>137</v>
      </c>
      <c r="O872" s="23" t="str">
        <f t="shared" ref="O872" si="735">O867</f>
        <v>90</v>
      </c>
    </row>
    <row r="873" spans="1:15">
      <c r="A873" s="22" t="s">
        <v>238</v>
      </c>
      <c r="B873" s="22">
        <f t="shared" ref="B873" si="736">QUOTIENT( D873-1,G874)+1</f>
        <v>5</v>
      </c>
      <c r="C873" s="22">
        <f t="shared" ref="C873" si="737">D873-(B873-1)*G874</f>
        <v>5</v>
      </c>
      <c r="D873" s="22">
        <f>COUNT($D$8:$D872)+1</f>
        <v>37</v>
      </c>
      <c r="E873" s="4"/>
    </row>
    <row r="874" spans="1:15">
      <c r="E874" s="4">
        <f t="shared" si="728"/>
        <v>874</v>
      </c>
      <c r="F874" s="9" t="s">
        <v>96</v>
      </c>
      <c r="G874" s="9">
        <v>8</v>
      </c>
      <c r="H874" s="9">
        <v>5</v>
      </c>
      <c r="I874" s="9"/>
      <c r="J874" s="9">
        <v>11000</v>
      </c>
      <c r="O874" s="23">
        <f t="shared" ref="O874" si="738">$J$10+D873</f>
        <v>11037</v>
      </c>
    </row>
    <row r="875" spans="1:15">
      <c r="E875" s="4">
        <f t="shared" si="728"/>
        <v>875</v>
      </c>
      <c r="F875" s="9" t="s">
        <v>155</v>
      </c>
      <c r="G875" s="23">
        <v>2650</v>
      </c>
      <c r="H875" s="23" t="s">
        <v>241</v>
      </c>
      <c r="O875" s="23">
        <f t="shared" ref="O875" si="739">G875+H875*(B873-1)</f>
        <v>3010</v>
      </c>
    </row>
    <row r="876" spans="1:15">
      <c r="E876" s="4">
        <f t="shared" si="728"/>
        <v>876</v>
      </c>
      <c r="F876" s="9" t="s">
        <v>35</v>
      </c>
      <c r="O876" s="23">
        <v>60</v>
      </c>
    </row>
    <row r="877" spans="1:15">
      <c r="E877" s="4">
        <f t="shared" si="728"/>
        <v>877</v>
      </c>
      <c r="F877" s="9" t="s">
        <v>29</v>
      </c>
      <c r="O877" s="23" t="s">
        <v>148</v>
      </c>
    </row>
    <row r="878" spans="1:15">
      <c r="E878" s="4">
        <f t="shared" si="728"/>
        <v>878</v>
      </c>
      <c r="F878" s="9" t="s">
        <v>121</v>
      </c>
      <c r="O878" s="23" t="s">
        <v>147</v>
      </c>
    </row>
    <row r="879" spans="1:15">
      <c r="E879" s="4">
        <f t="shared" si="728"/>
        <v>879</v>
      </c>
      <c r="F879" s="9" t="s">
        <v>116</v>
      </c>
      <c r="G879" s="23" t="b">
        <f t="shared" ref="G879" si="740">MOD(B873,2)=0</f>
        <v>0</v>
      </c>
      <c r="H879" s="23">
        <v>-90</v>
      </c>
      <c r="I879" s="23" t="s">
        <v>241</v>
      </c>
      <c r="L879" s="9" t="s">
        <v>137</v>
      </c>
      <c r="O879" s="23" t="str">
        <f t="shared" ref="O879" si="741">IF(G879,$H$15,$I$15)</f>
        <v>90</v>
      </c>
    </row>
    <row r="880" spans="1:15">
      <c r="E880" s="4">
        <f t="shared" si="728"/>
        <v>880</v>
      </c>
      <c r="F880" s="9" t="s">
        <v>101</v>
      </c>
      <c r="G880" s="23">
        <f t="shared" ref="G880" si="742">MOD(D873-1,4)+1</f>
        <v>1</v>
      </c>
      <c r="K880" s="9" t="s">
        <v>139</v>
      </c>
      <c r="O880" s="23" t="str" cm="1">
        <f t="array" aca="1" ref="O880" ca="1">_xlfn.SWITCH(G880, 1, G882, 2, H882, 3, I882, 4, J882)</f>
        <v>6,-3.3</v>
      </c>
    </row>
    <row r="881" spans="5:15">
      <c r="E881" s="4"/>
      <c r="G881" s="23" t="s">
        <v>32</v>
      </c>
      <c r="H881" s="23" t="s">
        <v>242</v>
      </c>
      <c r="I881" s="23">
        <v>4.8</v>
      </c>
      <c r="J881" s="23" t="s">
        <v>243</v>
      </c>
    </row>
    <row r="882" spans="5:15">
      <c r="E882" s="4"/>
      <c r="G882" s="23" t="str">
        <f t="shared" ref="G882" ca="1" si="743">CONCATENATE($G$17,",",RANDBETWEEN($J$17*10,$I$17*10)/10)</f>
        <v>6,-3.3</v>
      </c>
      <c r="H882" s="23" t="str">
        <f t="shared" ref="H882" ca="1" si="744">CONCATENATE($H$17,",",RANDBETWEEN($J$17*10,$I$17*10)/10)</f>
        <v>-6,3.5</v>
      </c>
      <c r="I882" s="23" t="str">
        <f t="shared" ref="I882" ca="1" si="745">CONCATENATE(RANDBETWEEN($J$17*10,$I$17*10)/10,",",$H$17)</f>
        <v>2.6,-6</v>
      </c>
      <c r="J882" s="23" t="str">
        <f t="shared" ref="J882" ca="1" si="746">CONCATENATE(RANDBETWEEN($J$17*10,$I$17*10)/10,",",$G$17)</f>
        <v>2.8,6</v>
      </c>
    </row>
    <row r="883" spans="5:15">
      <c r="E883" s="4">
        <f t="shared" ref="E883:E884" si="747">ROW(E883)</f>
        <v>883</v>
      </c>
      <c r="F883" s="9" t="s">
        <v>30</v>
      </c>
      <c r="O883" s="23">
        <v>1.4</v>
      </c>
    </row>
    <row r="884" spans="5:15">
      <c r="E884" s="4">
        <f t="shared" si="747"/>
        <v>884</v>
      </c>
      <c r="F884" s="9" t="s">
        <v>31</v>
      </c>
      <c r="G884" s="23">
        <f t="shared" ref="G884" si="748">MOD(D873-1,4)+1</f>
        <v>1</v>
      </c>
      <c r="L884" s="9" t="s">
        <v>137</v>
      </c>
      <c r="O884" s="23" t="str" cm="1">
        <f t="array" ref="O884">_xlfn.SWITCH(G884, 1, $G$21, 2, $H$21, 3, $I$21, 4, $J$21)</f>
        <v>180</v>
      </c>
    </row>
    <row r="885" spans="5:15">
      <c r="E885" s="4"/>
      <c r="G885" s="23" t="s">
        <v>244</v>
      </c>
      <c r="H885" s="23">
        <v>0</v>
      </c>
      <c r="I885" s="23" t="s">
        <v>241</v>
      </c>
      <c r="J885" s="23" t="s">
        <v>245</v>
      </c>
    </row>
    <row r="886" spans="5:15">
      <c r="E886" s="4">
        <f t="shared" ref="E886:E904" si="749">ROW(E886)</f>
        <v>886</v>
      </c>
      <c r="F886" s="9" t="s">
        <v>104</v>
      </c>
      <c r="O886" s="23">
        <f t="shared" ref="O886" si="750">O874*10+1</f>
        <v>110371</v>
      </c>
    </row>
    <row r="887" spans="5:15">
      <c r="E887" s="4">
        <f t="shared" si="749"/>
        <v>887</v>
      </c>
      <c r="F887" s="9" t="s">
        <v>146</v>
      </c>
      <c r="O887" s="23">
        <f t="shared" ref="O887" si="751">O874</f>
        <v>11037</v>
      </c>
    </row>
    <row r="888" spans="5:15">
      <c r="E888" s="4">
        <f t="shared" si="749"/>
        <v>888</v>
      </c>
      <c r="F888" s="9" t="s">
        <v>130</v>
      </c>
      <c r="O888" s="23">
        <v>0</v>
      </c>
    </row>
    <row r="889" spans="5:15">
      <c r="E889" s="4">
        <f t="shared" si="749"/>
        <v>889</v>
      </c>
      <c r="F889" s="9" t="s">
        <v>35</v>
      </c>
      <c r="G889" s="23">
        <v>0</v>
      </c>
      <c r="H889" s="23">
        <v>90</v>
      </c>
      <c r="I889" s="23" t="s">
        <v>239</v>
      </c>
      <c r="J889" s="23">
        <v>0</v>
      </c>
      <c r="O889" s="23">
        <f t="shared" ref="O889" si="752">$H$25+IF(G889,$I$25,$J$25)</f>
        <v>90</v>
      </c>
    </row>
    <row r="890" spans="5:15">
      <c r="E890" s="4">
        <f t="shared" si="749"/>
        <v>890</v>
      </c>
      <c r="F890" s="9" t="s">
        <v>30</v>
      </c>
      <c r="O890" s="23">
        <v>0</v>
      </c>
    </row>
    <row r="891" spans="5:15">
      <c r="E891" s="4">
        <f t="shared" si="749"/>
        <v>891</v>
      </c>
      <c r="F891" s="9" t="s">
        <v>116</v>
      </c>
      <c r="L891" s="9" t="s">
        <v>137</v>
      </c>
      <c r="O891" s="23" t="str">
        <f t="shared" ref="O891" si="753">O879</f>
        <v>90</v>
      </c>
    </row>
    <row r="892" spans="5:15">
      <c r="E892" s="4">
        <f t="shared" si="749"/>
        <v>892</v>
      </c>
      <c r="F892" s="9" t="s">
        <v>104</v>
      </c>
      <c r="O892" s="23">
        <f t="shared" ref="O892" si="754">O886+1</f>
        <v>110372</v>
      </c>
    </row>
    <row r="893" spans="5:15">
      <c r="E893" s="4">
        <f t="shared" si="749"/>
        <v>893</v>
      </c>
      <c r="F893" s="9" t="s">
        <v>146</v>
      </c>
      <c r="H893" s="9"/>
      <c r="J893" s="9"/>
      <c r="O893" s="23">
        <f t="shared" ref="O893" si="755">O886</f>
        <v>110371</v>
      </c>
    </row>
    <row r="894" spans="5:15">
      <c r="E894" s="4">
        <f t="shared" si="749"/>
        <v>894</v>
      </c>
      <c r="F894" s="9" t="s">
        <v>130</v>
      </c>
      <c r="H894" s="9"/>
      <c r="J894" s="9"/>
      <c r="O894" s="23">
        <v>0</v>
      </c>
    </row>
    <row r="895" spans="5:15">
      <c r="E895" s="4">
        <f t="shared" si="749"/>
        <v>895</v>
      </c>
      <c r="F895" s="9" t="s">
        <v>30</v>
      </c>
      <c r="O895" s="23">
        <v>3</v>
      </c>
    </row>
    <row r="896" spans="5:15">
      <c r="E896" s="4">
        <f t="shared" si="749"/>
        <v>896</v>
      </c>
      <c r="F896" s="9" t="s">
        <v>116</v>
      </c>
      <c r="L896" s="9" t="s">
        <v>137</v>
      </c>
      <c r="O896" s="23" t="str">
        <f t="shared" ref="O896" si="756">O891</f>
        <v>90</v>
      </c>
    </row>
    <row r="897" spans="1:15">
      <c r="A897" s="22" t="s">
        <v>238</v>
      </c>
      <c r="B897" s="22">
        <f t="shared" ref="B897" si="757">QUOTIENT( D897-1,G898)+1</f>
        <v>5</v>
      </c>
      <c r="C897" s="22">
        <f t="shared" ref="C897" si="758">D897-(B897-1)*G898</f>
        <v>6</v>
      </c>
      <c r="D897" s="22">
        <f>COUNT($D$8:$D896)+1</f>
        <v>38</v>
      </c>
      <c r="E897" s="4"/>
      <c r="G897" s="9"/>
      <c r="H897" s="9"/>
      <c r="I897" s="9"/>
      <c r="J897" s="9"/>
    </row>
    <row r="898" spans="1:15">
      <c r="E898" s="4">
        <f t="shared" si="749"/>
        <v>898</v>
      </c>
      <c r="F898" s="9" t="s">
        <v>96</v>
      </c>
      <c r="G898" s="23">
        <v>8</v>
      </c>
      <c r="H898" s="23">
        <v>5</v>
      </c>
      <c r="J898" s="23">
        <v>11000</v>
      </c>
      <c r="O898" s="23">
        <f t="shared" ref="O898" si="759">$J$10+D897</f>
        <v>11038</v>
      </c>
    </row>
    <row r="899" spans="1:15">
      <c r="E899" s="4">
        <f t="shared" si="749"/>
        <v>899</v>
      </c>
      <c r="F899" s="9" t="s">
        <v>155</v>
      </c>
      <c r="G899" s="23">
        <v>2650</v>
      </c>
      <c r="H899" s="23" t="s">
        <v>241</v>
      </c>
      <c r="O899" s="23">
        <f t="shared" ref="O899" si="760">G899+H899*(B897-1)</f>
        <v>3010</v>
      </c>
    </row>
    <row r="900" spans="1:15">
      <c r="E900" s="4">
        <f t="shared" si="749"/>
        <v>900</v>
      </c>
      <c r="F900" s="9" t="s">
        <v>35</v>
      </c>
      <c r="O900" s="23">
        <v>60</v>
      </c>
    </row>
    <row r="901" spans="1:15">
      <c r="E901" s="4">
        <f t="shared" si="749"/>
        <v>901</v>
      </c>
      <c r="F901" s="9" t="s">
        <v>29</v>
      </c>
      <c r="O901" s="23" t="s">
        <v>148</v>
      </c>
    </row>
    <row r="902" spans="1:15">
      <c r="E902" s="4">
        <f t="shared" si="749"/>
        <v>902</v>
      </c>
      <c r="F902" s="9" t="s">
        <v>121</v>
      </c>
      <c r="O902" s="23" t="s">
        <v>147</v>
      </c>
    </row>
    <row r="903" spans="1:15">
      <c r="E903" s="4">
        <f t="shared" si="749"/>
        <v>903</v>
      </c>
      <c r="F903" s="9" t="s">
        <v>116</v>
      </c>
      <c r="G903" s="23" t="b">
        <f t="shared" ref="G903" si="761">MOD(B897,2)=0</f>
        <v>0</v>
      </c>
      <c r="H903" s="23">
        <v>-90</v>
      </c>
      <c r="I903" s="23" t="s">
        <v>241</v>
      </c>
      <c r="L903" s="9" t="s">
        <v>137</v>
      </c>
      <c r="O903" s="23" t="str">
        <f t="shared" ref="O903" si="762">IF(G903,$H$15,$I$15)</f>
        <v>90</v>
      </c>
    </row>
    <row r="904" spans="1:15">
      <c r="E904" s="4">
        <f t="shared" si="749"/>
        <v>904</v>
      </c>
      <c r="F904" s="9" t="s">
        <v>101</v>
      </c>
      <c r="G904" s="23">
        <f t="shared" ref="G904" si="763">MOD(D897-1,4)+1</f>
        <v>2</v>
      </c>
      <c r="K904" s="9" t="s">
        <v>139</v>
      </c>
      <c r="O904" s="23" t="str" cm="1">
        <f t="array" aca="1" ref="O904" ca="1">_xlfn.SWITCH(G904, 1, G906, 2, H906, 3, I906, 4, J906)</f>
        <v>-6,-1.3</v>
      </c>
    </row>
    <row r="905" spans="1:15">
      <c r="E905" s="4"/>
      <c r="G905" s="23" t="s">
        <v>32</v>
      </c>
      <c r="H905" s="23" t="s">
        <v>242</v>
      </c>
      <c r="I905" s="23">
        <v>4.8</v>
      </c>
      <c r="J905" s="23" t="s">
        <v>243</v>
      </c>
    </row>
    <row r="906" spans="1:15">
      <c r="E906" s="4"/>
      <c r="G906" s="23" t="str">
        <f t="shared" ref="G906" ca="1" si="764">CONCATENATE($G$17,",",RANDBETWEEN($J$17*10,$I$17*10)/10)</f>
        <v>6,1.3</v>
      </c>
      <c r="H906" s="23" t="str">
        <f t="shared" ref="H906" ca="1" si="765">CONCATENATE($H$17,",",RANDBETWEEN($J$17*10,$I$17*10)/10)</f>
        <v>-6,-1.3</v>
      </c>
      <c r="I906" s="23" t="str">
        <f t="shared" ref="I906" ca="1" si="766">CONCATENATE(RANDBETWEEN($J$17*10,$I$17*10)/10,",",$H$17)</f>
        <v>1.2,-6</v>
      </c>
      <c r="J906" s="23" t="str">
        <f t="shared" ref="J906" ca="1" si="767">CONCATENATE(RANDBETWEEN($J$17*10,$I$17*10)/10,",",$G$17)</f>
        <v>1.1,6</v>
      </c>
    </row>
    <row r="907" spans="1:15">
      <c r="E907" s="4">
        <f t="shared" ref="E907:E908" si="768">ROW(E907)</f>
        <v>907</v>
      </c>
      <c r="F907" s="9" t="s">
        <v>30</v>
      </c>
      <c r="O907" s="23">
        <v>1.4</v>
      </c>
    </row>
    <row r="908" spans="1:15">
      <c r="E908" s="4">
        <f t="shared" si="768"/>
        <v>908</v>
      </c>
      <c r="F908" s="9" t="s">
        <v>31</v>
      </c>
      <c r="G908" s="23">
        <f t="shared" ref="G908" si="769">MOD(D897-1,4)+1</f>
        <v>2</v>
      </c>
      <c r="L908" s="9" t="s">
        <v>137</v>
      </c>
      <c r="O908" s="23" cm="1">
        <f t="array" ref="O908">_xlfn.SWITCH(G908, 1, $G$21, 2, $H$21, 3, $I$21, 4, $J$21)</f>
        <v>0</v>
      </c>
    </row>
    <row r="909" spans="1:15">
      <c r="E909" s="4"/>
      <c r="G909" s="23" t="s">
        <v>244</v>
      </c>
      <c r="H909" s="23">
        <v>0</v>
      </c>
      <c r="I909" s="23" t="s">
        <v>241</v>
      </c>
      <c r="J909" s="23" t="s">
        <v>245</v>
      </c>
    </row>
    <row r="910" spans="1:15">
      <c r="E910" s="4">
        <f t="shared" ref="E910:E928" si="770">ROW(E910)</f>
        <v>910</v>
      </c>
      <c r="F910" s="9" t="s">
        <v>104</v>
      </c>
      <c r="O910" s="23">
        <f t="shared" ref="O910" si="771">O898*10+1</f>
        <v>110381</v>
      </c>
    </row>
    <row r="911" spans="1:15">
      <c r="E911" s="4">
        <f t="shared" si="770"/>
        <v>911</v>
      </c>
      <c r="F911" s="9" t="s">
        <v>146</v>
      </c>
      <c r="O911" s="23">
        <f t="shared" ref="O911" si="772">O898</f>
        <v>11038</v>
      </c>
    </row>
    <row r="912" spans="1:15">
      <c r="E912" s="4">
        <f t="shared" si="770"/>
        <v>912</v>
      </c>
      <c r="F912" s="9" t="s">
        <v>130</v>
      </c>
      <c r="O912" s="23">
        <v>0</v>
      </c>
    </row>
    <row r="913" spans="1:15">
      <c r="E913" s="4">
        <f t="shared" si="770"/>
        <v>913</v>
      </c>
      <c r="F913" s="9" t="s">
        <v>35</v>
      </c>
      <c r="G913" s="23">
        <v>0</v>
      </c>
      <c r="H913" s="23">
        <v>90</v>
      </c>
      <c r="I913" s="23" t="s">
        <v>239</v>
      </c>
      <c r="J913" s="23">
        <v>0</v>
      </c>
      <c r="O913" s="23">
        <f t="shared" ref="O913" si="773">$H$25+IF(G913,$I$25,$J$25)</f>
        <v>90</v>
      </c>
    </row>
    <row r="914" spans="1:15">
      <c r="E914" s="4">
        <f t="shared" si="770"/>
        <v>914</v>
      </c>
      <c r="F914" s="9" t="s">
        <v>30</v>
      </c>
      <c r="O914" s="23">
        <v>0</v>
      </c>
    </row>
    <row r="915" spans="1:15">
      <c r="E915" s="4">
        <f t="shared" si="770"/>
        <v>915</v>
      </c>
      <c r="F915" s="9" t="s">
        <v>116</v>
      </c>
      <c r="L915" s="9" t="s">
        <v>137</v>
      </c>
      <c r="O915" s="23" t="str">
        <f t="shared" ref="O915" si="774">O903</f>
        <v>90</v>
      </c>
    </row>
    <row r="916" spans="1:15">
      <c r="E916" s="4">
        <f t="shared" si="770"/>
        <v>916</v>
      </c>
      <c r="F916" s="9" t="s">
        <v>104</v>
      </c>
      <c r="H916" s="9"/>
      <c r="J916" s="9"/>
      <c r="O916" s="23">
        <f t="shared" ref="O916" si="775">O910+1</f>
        <v>110382</v>
      </c>
    </row>
    <row r="917" spans="1:15">
      <c r="E917" s="4">
        <f t="shared" si="770"/>
        <v>917</v>
      </c>
      <c r="F917" s="9" t="s">
        <v>146</v>
      </c>
      <c r="H917" s="9"/>
      <c r="J917" s="9"/>
      <c r="O917" s="23">
        <f t="shared" ref="O917" si="776">O910</f>
        <v>110381</v>
      </c>
    </row>
    <row r="918" spans="1:15">
      <c r="E918" s="4">
        <f t="shared" si="770"/>
        <v>918</v>
      </c>
      <c r="F918" s="9" t="s">
        <v>130</v>
      </c>
      <c r="O918" s="23">
        <v>0</v>
      </c>
    </row>
    <row r="919" spans="1:15">
      <c r="E919" s="4">
        <f t="shared" si="770"/>
        <v>919</v>
      </c>
      <c r="F919" s="9" t="s">
        <v>30</v>
      </c>
      <c r="O919" s="23">
        <v>3</v>
      </c>
    </row>
    <row r="920" spans="1:15">
      <c r="E920" s="4">
        <f t="shared" si="770"/>
        <v>920</v>
      </c>
      <c r="F920" s="9" t="s">
        <v>116</v>
      </c>
      <c r="G920" s="9"/>
      <c r="H920" s="9"/>
      <c r="I920" s="9"/>
      <c r="J920" s="9"/>
      <c r="L920" s="9" t="s">
        <v>137</v>
      </c>
      <c r="O920" s="23" t="str">
        <f t="shared" ref="O920" si="777">O915</f>
        <v>90</v>
      </c>
    </row>
    <row r="921" spans="1:15">
      <c r="A921" s="22" t="s">
        <v>238</v>
      </c>
      <c r="B921" s="22">
        <f t="shared" ref="B921" si="778">QUOTIENT( D921-1,G922)+1</f>
        <v>5</v>
      </c>
      <c r="C921" s="22">
        <f t="shared" ref="C921" si="779">D921-(B921-1)*G922</f>
        <v>7</v>
      </c>
      <c r="D921" s="22">
        <f>COUNT($D$8:$D920)+1</f>
        <v>39</v>
      </c>
      <c r="E921" s="4"/>
    </row>
    <row r="922" spans="1:15">
      <c r="E922" s="4">
        <f t="shared" si="770"/>
        <v>922</v>
      </c>
      <c r="F922" s="9" t="s">
        <v>96</v>
      </c>
      <c r="G922" s="23">
        <v>8</v>
      </c>
      <c r="H922" s="23">
        <v>5</v>
      </c>
      <c r="J922" s="23">
        <v>11000</v>
      </c>
      <c r="O922" s="23">
        <f t="shared" ref="O922" si="780">$J$10+D921</f>
        <v>11039</v>
      </c>
    </row>
    <row r="923" spans="1:15">
      <c r="E923" s="4">
        <f t="shared" si="770"/>
        <v>923</v>
      </c>
      <c r="F923" s="9" t="s">
        <v>155</v>
      </c>
      <c r="G923" s="23">
        <v>2650</v>
      </c>
      <c r="H923" s="23" t="s">
        <v>241</v>
      </c>
      <c r="O923" s="23">
        <f t="shared" ref="O923" si="781">G923+H923*(B921-1)</f>
        <v>3010</v>
      </c>
    </row>
    <row r="924" spans="1:15">
      <c r="E924" s="4">
        <f t="shared" si="770"/>
        <v>924</v>
      </c>
      <c r="F924" s="9" t="s">
        <v>35</v>
      </c>
      <c r="O924" s="23">
        <v>60</v>
      </c>
    </row>
    <row r="925" spans="1:15">
      <c r="E925" s="4">
        <f t="shared" si="770"/>
        <v>925</v>
      </c>
      <c r="F925" s="9" t="s">
        <v>29</v>
      </c>
      <c r="O925" s="23" t="s">
        <v>148</v>
      </c>
    </row>
    <row r="926" spans="1:15">
      <c r="E926" s="4">
        <f t="shared" si="770"/>
        <v>926</v>
      </c>
      <c r="F926" s="9" t="s">
        <v>121</v>
      </c>
      <c r="O926" s="23" t="s">
        <v>147</v>
      </c>
    </row>
    <row r="927" spans="1:15">
      <c r="E927" s="4">
        <f t="shared" si="770"/>
        <v>927</v>
      </c>
      <c r="F927" s="9" t="s">
        <v>116</v>
      </c>
      <c r="G927" s="23" t="b">
        <f t="shared" ref="G927" si="782">MOD(B921,2)=0</f>
        <v>0</v>
      </c>
      <c r="H927" s="23">
        <v>-90</v>
      </c>
      <c r="I927" s="23" t="s">
        <v>241</v>
      </c>
      <c r="L927" s="9" t="s">
        <v>137</v>
      </c>
      <c r="O927" s="23" t="str">
        <f t="shared" ref="O927" si="783">IF(G927,$H$15,$I$15)</f>
        <v>90</v>
      </c>
    </row>
    <row r="928" spans="1:15">
      <c r="E928" s="4">
        <f t="shared" si="770"/>
        <v>928</v>
      </c>
      <c r="F928" s="9" t="s">
        <v>101</v>
      </c>
      <c r="G928" s="23">
        <f t="shared" ref="G928" si="784">MOD(D921-1,4)+1</f>
        <v>3</v>
      </c>
      <c r="K928" s="9" t="s">
        <v>139</v>
      </c>
      <c r="O928" s="23" t="str" cm="1">
        <f t="array" aca="1" ref="O928" ca="1">_xlfn.SWITCH(G928, 1, G930, 2, H930, 3, I930, 4, J930)</f>
        <v>3.4,-6</v>
      </c>
    </row>
    <row r="929" spans="5:15">
      <c r="E929" s="4"/>
      <c r="G929" s="23" t="s">
        <v>32</v>
      </c>
      <c r="H929" s="23" t="s">
        <v>242</v>
      </c>
      <c r="I929" s="23">
        <v>4.8</v>
      </c>
      <c r="J929" s="23" t="s">
        <v>243</v>
      </c>
    </row>
    <row r="930" spans="5:15">
      <c r="G930" s="23" t="str">
        <f t="shared" ref="G930" ca="1" si="785">CONCATENATE($G$17,",",RANDBETWEEN($J$17*10,$I$17*10)/10)</f>
        <v>6,-0.9</v>
      </c>
      <c r="H930" s="23" t="str">
        <f t="shared" ref="H930" ca="1" si="786">CONCATENATE($H$17,",",RANDBETWEEN($J$17*10,$I$17*10)/10)</f>
        <v>-6,-1.7</v>
      </c>
      <c r="I930" s="23" t="str">
        <f t="shared" ref="I930" ca="1" si="787">CONCATENATE(RANDBETWEEN($J$17*10,$I$17*10)/10,",",$H$17)</f>
        <v>3.4,-6</v>
      </c>
      <c r="J930" s="23" t="str">
        <f t="shared" ref="J930" ca="1" si="788">CONCATENATE(RANDBETWEEN($J$17*10,$I$17*10)/10,",",$G$17)</f>
        <v>2.2,6</v>
      </c>
    </row>
    <row r="931" spans="5:15">
      <c r="E931" s="9">
        <f t="shared" ref="E931:E932" si="789">ROW(E931)</f>
        <v>931</v>
      </c>
      <c r="F931" s="9" t="s">
        <v>30</v>
      </c>
      <c r="O931" s="23">
        <v>1.4</v>
      </c>
    </row>
    <row r="932" spans="5:15">
      <c r="E932" s="9">
        <f t="shared" si="789"/>
        <v>932</v>
      </c>
      <c r="F932" s="9" t="s">
        <v>31</v>
      </c>
      <c r="G932" s="23">
        <f t="shared" ref="G932" si="790">MOD(D921-1,4)+1</f>
        <v>3</v>
      </c>
      <c r="L932" s="9" t="s">
        <v>137</v>
      </c>
      <c r="O932" s="23" t="str" cm="1">
        <f t="array" ref="O932">_xlfn.SWITCH(G932, 1, $G$21, 2, $H$21, 3, $I$21, 4, $J$21)</f>
        <v>90</v>
      </c>
    </row>
    <row r="933" spans="5:15">
      <c r="G933" s="23" t="s">
        <v>244</v>
      </c>
      <c r="H933" s="23">
        <v>0</v>
      </c>
      <c r="I933" s="23" t="s">
        <v>241</v>
      </c>
      <c r="J933" s="23" t="s">
        <v>245</v>
      </c>
    </row>
    <row r="934" spans="5:15">
      <c r="E934" s="9">
        <f t="shared" ref="E934:E952" si="791">ROW(E934)</f>
        <v>934</v>
      </c>
      <c r="F934" s="9" t="s">
        <v>104</v>
      </c>
      <c r="O934" s="23">
        <f t="shared" ref="O934" si="792">O922*10+1</f>
        <v>110391</v>
      </c>
    </row>
    <row r="935" spans="5:15">
      <c r="E935" s="9">
        <f t="shared" si="791"/>
        <v>935</v>
      </c>
      <c r="F935" s="9" t="s">
        <v>146</v>
      </c>
      <c r="O935" s="23">
        <f t="shared" ref="O935" si="793">O922</f>
        <v>11039</v>
      </c>
    </row>
    <row r="936" spans="5:15">
      <c r="E936" s="9">
        <f t="shared" si="791"/>
        <v>936</v>
      </c>
      <c r="F936" s="9" t="s">
        <v>130</v>
      </c>
      <c r="O936" s="23">
        <v>0</v>
      </c>
    </row>
    <row r="937" spans="5:15">
      <c r="E937" s="9">
        <f t="shared" si="791"/>
        <v>937</v>
      </c>
      <c r="F937" s="9" t="s">
        <v>35</v>
      </c>
      <c r="G937" s="23">
        <v>0</v>
      </c>
      <c r="H937" s="23">
        <v>90</v>
      </c>
      <c r="I937" s="23" t="s">
        <v>239</v>
      </c>
      <c r="J937" s="23">
        <v>0</v>
      </c>
      <c r="O937" s="23">
        <f t="shared" ref="O937" si="794">$H$25+IF(G937,$I$25,$J$25)</f>
        <v>90</v>
      </c>
    </row>
    <row r="938" spans="5:15">
      <c r="E938" s="9">
        <f t="shared" si="791"/>
        <v>938</v>
      </c>
      <c r="F938" s="9" t="s">
        <v>30</v>
      </c>
      <c r="O938" s="23">
        <v>0</v>
      </c>
    </row>
    <row r="939" spans="5:15">
      <c r="E939" s="9">
        <f t="shared" si="791"/>
        <v>939</v>
      </c>
      <c r="F939" s="9" t="s">
        <v>116</v>
      </c>
      <c r="L939" s="9" t="s">
        <v>137</v>
      </c>
      <c r="O939" s="23" t="str">
        <f t="shared" ref="O939" si="795">O927</f>
        <v>90</v>
      </c>
    </row>
    <row r="940" spans="5:15">
      <c r="E940" s="9">
        <f t="shared" si="791"/>
        <v>940</v>
      </c>
      <c r="F940" s="9" t="s">
        <v>104</v>
      </c>
      <c r="O940" s="23">
        <f t="shared" ref="O940" si="796">O934+1</f>
        <v>110392</v>
      </c>
    </row>
    <row r="941" spans="5:15">
      <c r="E941" s="9">
        <f t="shared" si="791"/>
        <v>941</v>
      </c>
      <c r="F941" s="9" t="s">
        <v>146</v>
      </c>
      <c r="O941" s="23">
        <f t="shared" ref="O941" si="797">O934</f>
        <v>110391</v>
      </c>
    </row>
    <row r="942" spans="5:15">
      <c r="E942" s="9">
        <f t="shared" si="791"/>
        <v>942</v>
      </c>
      <c r="F942" s="9" t="s">
        <v>130</v>
      </c>
      <c r="O942" s="23">
        <v>0</v>
      </c>
    </row>
    <row r="943" spans="5:15">
      <c r="E943" s="9">
        <f t="shared" si="791"/>
        <v>943</v>
      </c>
      <c r="F943" s="9" t="s">
        <v>30</v>
      </c>
      <c r="O943" s="23">
        <v>3</v>
      </c>
    </row>
    <row r="944" spans="5:15">
      <c r="E944" s="9">
        <f t="shared" si="791"/>
        <v>944</v>
      </c>
      <c r="F944" s="9" t="s">
        <v>116</v>
      </c>
      <c r="L944" s="9" t="s">
        <v>137</v>
      </c>
      <c r="O944" s="23" t="str">
        <f t="shared" ref="O944" si="798">O939</f>
        <v>90</v>
      </c>
    </row>
    <row r="945" spans="1:15">
      <c r="A945" s="22" t="s">
        <v>238</v>
      </c>
      <c r="B945" s="22">
        <f t="shared" ref="B945" si="799">QUOTIENT( D945-1,G946)+1</f>
        <v>5</v>
      </c>
      <c r="C945" s="22">
        <f t="shared" ref="C945" si="800">D945-(B945-1)*G946</f>
        <v>8</v>
      </c>
      <c r="D945" s="22">
        <f>COUNT($D$8:$D944)+1</f>
        <v>40</v>
      </c>
    </row>
    <row r="946" spans="1:15">
      <c r="E946" s="9">
        <f t="shared" si="791"/>
        <v>946</v>
      </c>
      <c r="F946" s="9" t="s">
        <v>96</v>
      </c>
      <c r="G946" s="23">
        <v>8</v>
      </c>
      <c r="H946" s="23">
        <v>5</v>
      </c>
      <c r="J946" s="23">
        <v>11000</v>
      </c>
      <c r="O946" s="23">
        <f t="shared" ref="O946" si="801">$J$10+D945</f>
        <v>11040</v>
      </c>
    </row>
    <row r="947" spans="1:15">
      <c r="E947" s="9">
        <f t="shared" si="791"/>
        <v>947</v>
      </c>
      <c r="F947" s="9" t="s">
        <v>155</v>
      </c>
      <c r="G947" s="23">
        <v>2650</v>
      </c>
      <c r="H947" s="23" t="s">
        <v>241</v>
      </c>
      <c r="O947" s="23">
        <f t="shared" ref="O947" si="802">G947+H947*(B945-1)</f>
        <v>3010</v>
      </c>
    </row>
    <row r="948" spans="1:15">
      <c r="E948" s="9">
        <f t="shared" si="791"/>
        <v>948</v>
      </c>
      <c r="F948" s="9" t="s">
        <v>35</v>
      </c>
      <c r="O948" s="23">
        <v>60</v>
      </c>
    </row>
    <row r="949" spans="1:15">
      <c r="E949" s="9">
        <f t="shared" si="791"/>
        <v>949</v>
      </c>
      <c r="F949" s="9" t="s">
        <v>29</v>
      </c>
      <c r="O949" s="23" t="s">
        <v>148</v>
      </c>
    </row>
    <row r="950" spans="1:15">
      <c r="E950" s="9">
        <f t="shared" si="791"/>
        <v>950</v>
      </c>
      <c r="F950" s="9" t="s">
        <v>121</v>
      </c>
      <c r="O950" s="23" t="s">
        <v>147</v>
      </c>
    </row>
    <row r="951" spans="1:15">
      <c r="E951" s="9">
        <f t="shared" si="791"/>
        <v>951</v>
      </c>
      <c r="F951" s="9" t="s">
        <v>116</v>
      </c>
      <c r="G951" s="23" t="b">
        <f t="shared" ref="G951" si="803">MOD(B945,2)=0</f>
        <v>0</v>
      </c>
      <c r="H951" s="23">
        <v>-90</v>
      </c>
      <c r="I951" s="23" t="s">
        <v>241</v>
      </c>
      <c r="L951" s="9" t="s">
        <v>137</v>
      </c>
      <c r="O951" s="23" t="str">
        <f t="shared" ref="O951" si="804">IF(G951,$H$15,$I$15)</f>
        <v>90</v>
      </c>
    </row>
    <row r="952" spans="1:15">
      <c r="E952" s="9">
        <f t="shared" si="791"/>
        <v>952</v>
      </c>
      <c r="F952" s="9" t="s">
        <v>101</v>
      </c>
      <c r="G952" s="23">
        <f t="shared" ref="G952" si="805">MOD(D945-1,4)+1</f>
        <v>4</v>
      </c>
      <c r="K952" s="9" t="s">
        <v>139</v>
      </c>
      <c r="O952" s="23" t="str" cm="1">
        <f t="array" aca="1" ref="O952" ca="1">_xlfn.SWITCH(G952, 1, G954, 2, H954, 3, I954, 4, J954)</f>
        <v>1.1,6</v>
      </c>
    </row>
    <row r="953" spans="1:15">
      <c r="G953" s="23" t="s">
        <v>32</v>
      </c>
      <c r="H953" s="23" t="s">
        <v>242</v>
      </c>
      <c r="I953" s="23">
        <v>4.8</v>
      </c>
      <c r="J953" s="23" t="s">
        <v>243</v>
      </c>
    </row>
    <row r="954" spans="1:15">
      <c r="G954" s="23" t="str">
        <f t="shared" ref="G954" ca="1" si="806">CONCATENATE($G$17,",",RANDBETWEEN($J$17*10,$I$17*10)/10)</f>
        <v>6,3.4</v>
      </c>
      <c r="H954" s="23" t="str">
        <f t="shared" ref="H954" ca="1" si="807">CONCATENATE($H$17,",",RANDBETWEEN($J$17*10,$I$17*10)/10)</f>
        <v>-6,2.1</v>
      </c>
      <c r="I954" s="23" t="str">
        <f t="shared" ref="I954" ca="1" si="808">CONCATENATE(RANDBETWEEN($J$17*10,$I$17*10)/10,",",$H$17)</f>
        <v>1.1,-6</v>
      </c>
      <c r="J954" s="23" t="str">
        <f t="shared" ref="J954" ca="1" si="809">CONCATENATE(RANDBETWEEN($J$17*10,$I$17*10)/10,",",$G$17)</f>
        <v>1.1,6</v>
      </c>
    </row>
    <row r="955" spans="1:15">
      <c r="E955" s="9">
        <f t="shared" ref="E955:E956" si="810">ROW(E955)</f>
        <v>955</v>
      </c>
      <c r="F955" s="9" t="s">
        <v>30</v>
      </c>
      <c r="O955" s="23">
        <v>1.4</v>
      </c>
    </row>
    <row r="956" spans="1:15">
      <c r="E956" s="9">
        <f t="shared" si="810"/>
        <v>956</v>
      </c>
      <c r="F956" s="9" t="s">
        <v>31</v>
      </c>
      <c r="G956" s="23">
        <f t="shared" ref="G956" si="811">MOD(D945-1,4)+1</f>
        <v>4</v>
      </c>
      <c r="L956" s="9" t="s">
        <v>137</v>
      </c>
      <c r="O956" s="23" t="str" cm="1">
        <f t="array" ref="O956">_xlfn.SWITCH(G956, 1, $G$21, 2, $H$21, 3, $I$21, 4, $J$21)</f>
        <v>270</v>
      </c>
    </row>
    <row r="957" spans="1:15">
      <c r="G957" s="23" t="s">
        <v>244</v>
      </c>
      <c r="H957" s="23">
        <v>0</v>
      </c>
      <c r="I957" s="23" t="s">
        <v>241</v>
      </c>
      <c r="J957" s="23" t="s">
        <v>245</v>
      </c>
    </row>
    <row r="958" spans="1:15">
      <c r="E958" s="9">
        <f t="shared" ref="E958:E968" si="812">ROW(E958)</f>
        <v>958</v>
      </c>
      <c r="F958" s="9" t="s">
        <v>104</v>
      </c>
      <c r="O958" s="23">
        <f t="shared" ref="O958" si="813">O946*10+1</f>
        <v>110401</v>
      </c>
    </row>
    <row r="959" spans="1:15">
      <c r="E959" s="9">
        <f t="shared" si="812"/>
        <v>959</v>
      </c>
      <c r="F959" s="9" t="s">
        <v>146</v>
      </c>
      <c r="O959" s="23">
        <f t="shared" ref="O959" si="814">O946</f>
        <v>11040</v>
      </c>
    </row>
    <row r="960" spans="1:15">
      <c r="E960" s="9">
        <f t="shared" si="812"/>
        <v>960</v>
      </c>
      <c r="F960" s="9" t="s">
        <v>130</v>
      </c>
      <c r="O960" s="23">
        <v>0</v>
      </c>
    </row>
    <row r="961" spans="5:15">
      <c r="E961" s="9">
        <f t="shared" si="812"/>
        <v>961</v>
      </c>
      <c r="F961" s="9" t="s">
        <v>35</v>
      </c>
      <c r="G961" s="23">
        <v>0</v>
      </c>
      <c r="H961" s="23">
        <v>90</v>
      </c>
      <c r="I961" s="23" t="s">
        <v>239</v>
      </c>
      <c r="J961" s="23">
        <v>0</v>
      </c>
      <c r="O961" s="23">
        <f t="shared" ref="O961" si="815">$H$25+IF(G961,$I$25,$J$25)</f>
        <v>90</v>
      </c>
    </row>
    <row r="962" spans="5:15">
      <c r="E962" s="9">
        <f t="shared" si="812"/>
        <v>962</v>
      </c>
      <c r="F962" s="9" t="s">
        <v>30</v>
      </c>
      <c r="O962" s="23">
        <v>0</v>
      </c>
    </row>
    <row r="963" spans="5:15">
      <c r="E963" s="9">
        <f t="shared" si="812"/>
        <v>963</v>
      </c>
      <c r="F963" s="9" t="s">
        <v>116</v>
      </c>
      <c r="L963" s="9" t="s">
        <v>137</v>
      </c>
      <c r="O963" s="23" t="str">
        <f t="shared" ref="O963" si="816">O951</f>
        <v>90</v>
      </c>
    </row>
    <row r="964" spans="5:15">
      <c r="E964" s="9">
        <f t="shared" si="812"/>
        <v>964</v>
      </c>
      <c r="F964" s="9" t="s">
        <v>104</v>
      </c>
      <c r="O964" s="23">
        <f t="shared" ref="O964" si="817">O958+1</f>
        <v>110402</v>
      </c>
    </row>
    <row r="965" spans="5:15">
      <c r="E965" s="9">
        <f t="shared" si="812"/>
        <v>965</v>
      </c>
      <c r="F965" s="9" t="s">
        <v>146</v>
      </c>
      <c r="O965" s="23">
        <f t="shared" ref="O965" si="818">O958</f>
        <v>110401</v>
      </c>
    </row>
    <row r="966" spans="5:15">
      <c r="E966" s="9">
        <f t="shared" si="812"/>
        <v>966</v>
      </c>
      <c r="F966" s="9" t="s">
        <v>130</v>
      </c>
      <c r="O966" s="23">
        <v>0</v>
      </c>
    </row>
    <row r="967" spans="5:15">
      <c r="E967" s="9">
        <f t="shared" si="812"/>
        <v>967</v>
      </c>
      <c r="F967" s="9" t="s">
        <v>30</v>
      </c>
      <c r="O967" s="23">
        <v>3</v>
      </c>
    </row>
    <row r="968" spans="5:15">
      <c r="E968" s="9">
        <f t="shared" si="812"/>
        <v>968</v>
      </c>
      <c r="F968" s="9" t="s">
        <v>116</v>
      </c>
      <c r="L968" s="9" t="s">
        <v>137</v>
      </c>
      <c r="O968" s="23" t="str">
        <f t="shared" ref="O968" si="819">O963</f>
        <v>90</v>
      </c>
    </row>
  </sheetData>
  <phoneticPr fontId="2" type="noConversion"/>
  <conditionalFormatting sqref="N1">
    <cfRule type="duplicateValues" dxfId="64" priority="600"/>
  </conditionalFormatting>
  <conditionalFormatting sqref="P1:BF1">
    <cfRule type="duplicateValues" dxfId="63" priority="599"/>
  </conditionalFormatting>
  <conditionalFormatting sqref="BG1:XFD1 E1:M1">
    <cfRule type="duplicateValues" dxfId="62" priority="679"/>
  </conditionalFormatting>
  <conditionalFormatting sqref="G17 F1:F1048576">
    <cfRule type="cellIs" dxfId="61" priority="172" operator="equal">
      <formula>"行動ID"</formula>
    </cfRule>
    <cfRule type="cellIs" dxfId="60" priority="180" operator="equal">
      <formula>"ID"</formula>
    </cfRule>
    <cfRule type="cellIs" dxfId="59" priority="595" operator="equal">
      <formula>"行動序號"</formula>
    </cfRule>
  </conditionalFormatting>
  <conditionalFormatting sqref="G17 F1:F1048576">
    <cfRule type="cellIs" dxfId="58" priority="42" operator="equal">
      <formula>"行動ID"</formula>
    </cfRule>
  </conditionalFormatting>
  <conditionalFormatting sqref="F1:F5 F9 F34 F57 F80 F103 F126 F149 F172 F195 F379 F563 F747 F218 F402 F586 F770 F241 F425 F609 F793 F264 F448 F632 F816 F287 F471 F655 F839 F310 F494 F678 F862 F333 F517 F701 F885 F356 F540 F724 F908">
    <cfRule type="cellIs" dxfId="57" priority="38" operator="equal">
      <formula>"行動ID"</formula>
    </cfRule>
  </conditionalFormatting>
  <conditionalFormatting sqref="F16:F21 F41:F43 F64:F66 F87:F89 F110:F112 F133:F135 F156:F158 F179:F181 F202:F204 F386:F388 F570:F572 F754:F756 F225:F227 F409:F411 F593:F595 F777:F779 F248:F250 F432:F434 F616:F618 F800:F802 F271:F273 F455:F457 F639:F641 F823:F825 F294:F296 F478:F480 F662:F664 F846:F848 F317:F319 F501:F503 F685:F687 F869:F871 F340:F342 F524:F526 F708:F710 F892:F894 F363:F365 F547:F549 F731:F733 F915:F917">
    <cfRule type="cellIs" dxfId="56" priority="31" operator="equal">
      <formula>"行動ID"</formula>
    </cfRule>
  </conditionalFormatting>
  <conditionalFormatting sqref="F14 F39 F62 F85 F108 F131 F154 F177 F200 F384 F568 F752 F223 F407 F591 F775 F246 F430 F614 F798 F269 F453 F637 F821 F292 F476 F660 F844 F315 F499 F683 F867 F338 F522 F706 F890 F361 F545 F729 F913">
    <cfRule type="cellIs" dxfId="55" priority="19" operator="equal">
      <formula>"行動ID"</formula>
    </cfRule>
  </conditionalFormatting>
  <conditionalFormatting sqref="I15">
    <cfRule type="cellIs" dxfId="54" priority="16" operator="equal">
      <formula>"行動ID"</formula>
    </cfRule>
  </conditionalFormatting>
  <conditionalFormatting sqref="F15 F40 F63 F86 F109 F132 F155 F178 F201 F385 F569 F753 F224 F408 F592 F776 F247 F431 F615 F799 F270 F454 F638 F822 F293 F477 F661 F845 F316 F500 F684 F868 F339 F523 F707 F891 F362 F546 F730 F914">
    <cfRule type="cellIs" dxfId="53" priority="15" operator="equal">
      <formula>"行動ID"</formula>
    </cfRule>
  </conditionalFormatting>
  <conditionalFormatting sqref="F15 F40 F63 F86 F109 F132 F155 F178 F201 F385 F569 F753 F224 F408 F592 F776 F247 F431 F615 F799 F270 F454 F638 F822 F293 F477 F661 F845 F316 F500 F684 F868 F339 F523 F707 F891 F362 F546 F730 F914">
    <cfRule type="cellIs" dxfId="52" priority="14" operator="equal">
      <formula>"行動ID"</formula>
    </cfRule>
  </conditionalFormatting>
  <conditionalFormatting sqref="F26 F48 F71 F94 F117 F140 F163 F186 F209 F393 F577 F761 F232 F416 F600 F784 F255 F439 F623 F807 F278 F462 F646 F830 F301 F485 F669 F853 F324 F508 F692 F876 F347 F531 F715 F899 F370 F554 F738 F922">
    <cfRule type="cellIs" dxfId="51" priority="9" operator="equal">
      <formula>"行動ID"</formula>
    </cfRule>
  </conditionalFormatting>
  <conditionalFormatting sqref="F27 F49 F72 F95 F118 F141 F164 F187 F210 F394 F578 F762 F233 F417 F601 F785 F256 F440 F624 F808 F279 F463 F647 F831 F302 F486 F670 F854 F325 F509 F693 F877 F348 F532 F716 F900 F371 F555 F739 F923">
    <cfRule type="cellIs" dxfId="50" priority="8" operator="equal">
      <formula>"行動ID"</formula>
    </cfRule>
  </conditionalFormatting>
  <conditionalFormatting sqref="F27 F49 F72 F95 F118 F141 F164 F187 F210 F394 F578 F762 F233 F417 F601 F785 F256 F440 F624 F808 F279 F463 F647 F831 F302 F486 F670 F854 F325 F509 F693 F877 F348 F532 F716 F900 F371 F555 F739 F923">
    <cfRule type="cellIs" dxfId="49" priority="7" operator="equal">
      <formula>"行動ID"</formula>
    </cfRule>
  </conditionalFormatting>
  <conditionalFormatting sqref="F31 F54 F77 F100 F123 F146 F169 F192 F215 F399 F583 F767 F238 F422 F606 F790 F261 F445 F629 F813 F284 F468 F652 F836 F307 F491 F675 F859 F330 F514 F698 F882 F353 F537 F721 F905 F376 F560 F744 F928">
    <cfRule type="cellIs" dxfId="48" priority="6" operator="equal">
      <formula>"行動ID"</formula>
    </cfRule>
  </conditionalFormatting>
  <conditionalFormatting sqref="F32 F55 F78 F101 F124 F147 F170 F193 F216 F400 F584 F768 F239 F423 F607 F791 F262 F446 F630 F814 F285 F469 F653 F837 F308 F492 F676 F860 F331 F515 F699 F883 F354 F538 F722 F906 F377 F561 F745 F929">
    <cfRule type="cellIs" dxfId="47" priority="5" operator="equal">
      <formula>"行動ID"</formula>
    </cfRule>
  </conditionalFormatting>
  <conditionalFormatting sqref="F32 F55 F78 F101 F124 F147 F170 F193 F216 F400 F584 F768 F239 F423 F607 F791 F262 F446 F630 F814 F285 F469 F653 F837 F308 F492 F676 F860 F331 F515 F699 F883 F354 F538 F722 F906 F377 F561 F745 F929">
    <cfRule type="cellIs" dxfId="46" priority="4" operator="equal">
      <formula>"行動ID"</formula>
    </cfRule>
  </conditionalFormatting>
  <conditionalFormatting sqref="H15 O1:O1048576">
    <cfRule type="expression" dxfId="45" priority="3">
      <formula>OR(#REF!="行動序號",#REF!="ID")</formula>
    </cfRule>
  </conditionalFormatting>
  <conditionalFormatting sqref="G11 H15 H25 O1:O1048576">
    <cfRule type="expression" dxfId="44" priority="2">
      <formula>_xlfn.ISFORMULA(G1)</formula>
    </cfRule>
  </conditionalFormatting>
  <conditionalFormatting sqref="H15 O1:O1048576">
    <cfRule type="expression" dxfId="43" priority="1">
      <formula>#REF!="行動ID"</formula>
    </cfRule>
  </conditionalFormatting>
  <conditionalFormatting sqref="G11">
    <cfRule type="expression" dxfId="42" priority="912">
      <formula>OR(#REF!="行動序號",#REF!="ID")</formula>
    </cfRule>
  </conditionalFormatting>
  <conditionalFormatting sqref="G11">
    <cfRule type="expression" dxfId="41" priority="916">
      <formula>#REF!="行動ID"</formula>
    </cfRule>
  </conditionalFormatting>
  <conditionalFormatting sqref="H25">
    <cfRule type="expression" dxfId="40" priority="921">
      <formula>OR(#REF!="行動序號",#REF!="ID")</formula>
    </cfRule>
  </conditionalFormatting>
  <conditionalFormatting sqref="H25">
    <cfRule type="expression" dxfId="39" priority="925">
      <formula>#REF!="行動ID"</formula>
    </cfRule>
  </conditionalFormatting>
  <dataValidations count="1">
    <dataValidation type="list" allowBlank="1" showInputMessage="1" showErrorMessage="1" sqref="K2:K5 G5:J5 G2:J3 F2:F5 M2:M4" xr:uid="{D2EB83DA-2EB8-4809-B92F-F98BD28CE7C1}">
      <formula1>_OPTION_</formula1>
    </dataValidation>
  </dataValidations>
  <pageMargins left="0.75" right="0.75" top="1" bottom="1" header="0.5" footer="0.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28C5C-927B-4183-BB4B-D376EBBBD4F3}">
  <sheetPr codeName="AliasSheet"/>
  <dimension ref="A1:E84"/>
  <sheetViews>
    <sheetView workbookViewId="0">
      <selection activeCell="F12" sqref="F12"/>
    </sheetView>
  </sheetViews>
  <sheetFormatPr defaultRowHeight="16.5"/>
  <cols>
    <col min="1" max="1" width="9" style="9"/>
    <col min="2" max="2" width="13.25" style="9" bestFit="1" customWidth="1"/>
    <col min="3" max="3" width="13.875" style="9" bestFit="1" customWidth="1"/>
    <col min="4" max="4" width="13.875" style="9" customWidth="1"/>
    <col min="5" max="5" width="13" bestFit="1" customWidth="1"/>
  </cols>
  <sheetData>
    <row r="1" spans="1:5" s="6" customFormat="1" ht="19.5">
      <c r="A1" s="17" t="s">
        <v>51</v>
      </c>
      <c r="B1" s="17" t="s">
        <v>27</v>
      </c>
      <c r="C1" s="17" t="s">
        <v>144</v>
      </c>
      <c r="D1" s="17" t="s">
        <v>143</v>
      </c>
      <c r="E1" s="6" t="s">
        <v>37</v>
      </c>
    </row>
    <row r="2" spans="1:5">
      <c r="A2" s="9" t="s">
        <v>53</v>
      </c>
      <c r="B2" s="9" t="s">
        <v>28</v>
      </c>
      <c r="C2" s="9" t="s">
        <v>144</v>
      </c>
      <c r="D2" s="9" t="s">
        <v>142</v>
      </c>
      <c r="E2" s="9" t="s">
        <v>37</v>
      </c>
    </row>
    <row r="56" spans="1:4">
      <c r="A56" s="14"/>
      <c r="B56" s="14"/>
      <c r="C56" s="14"/>
      <c r="D56" s="14"/>
    </row>
    <row r="63" spans="1:4">
      <c r="A63" s="14"/>
      <c r="B63" s="14"/>
      <c r="C63" s="14"/>
      <c r="D63" s="14"/>
    </row>
    <row r="73" spans="1:4">
      <c r="A73" s="14"/>
      <c r="B73" s="14"/>
      <c r="C73" s="14"/>
      <c r="D73" s="14"/>
    </row>
    <row r="84" spans="1:4">
      <c r="A84" s="13"/>
      <c r="B84" s="13"/>
      <c r="C84" s="13"/>
      <c r="D84" s="13"/>
    </row>
  </sheetData>
  <phoneticPr fontId="2" type="noConversion"/>
  <conditionalFormatting sqref="E1:XFD1">
    <cfRule type="duplicateValues" dxfId="38" priority="1"/>
  </conditionalFormatting>
  <conditionalFormatting sqref="A1:D1">
    <cfRule type="duplicateValues" dxfId="37" priority="2"/>
  </conditionalFormatting>
  <dataValidations count="1">
    <dataValidation type="list" allowBlank="1" showInputMessage="1" showErrorMessage="1" sqref="B2" xr:uid="{31D1E947-8688-4AEB-80D9-EC5CB70AE295}">
      <formula1>_OPTION_</formula1>
    </dataValidation>
  </dataValidations>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2D92-5709-4477-B81F-AF1EBC503F2D}">
  <sheetPr codeName="DefineSheet"/>
  <dimension ref="A1:L116"/>
  <sheetViews>
    <sheetView topLeftCell="A94" workbookViewId="0">
      <selection activeCell="B116" sqref="B116"/>
    </sheetView>
  </sheetViews>
  <sheetFormatPr defaultRowHeight="16.5"/>
  <cols>
    <col min="1" max="1" width="19.75" style="7" bestFit="1" customWidth="1"/>
    <col min="2" max="2" width="20.625" style="7" customWidth="1"/>
    <col min="3" max="3" width="24.625" style="7" bestFit="1" customWidth="1"/>
    <col min="4" max="4" width="9" style="7"/>
    <col min="6" max="16384" width="9" style="7"/>
  </cols>
  <sheetData>
    <row r="1" spans="1:12" s="6" customFormat="1">
      <c r="A1" s="6" t="s">
        <v>1</v>
      </c>
      <c r="B1" s="6" t="s">
        <v>18</v>
      </c>
      <c r="C1" s="6" t="s">
        <v>17</v>
      </c>
      <c r="E1" s="5"/>
      <c r="L1" s="7"/>
    </row>
    <row r="3" spans="1:12">
      <c r="A3" s="7" t="s">
        <v>27</v>
      </c>
      <c r="B3" t="s">
        <v>156</v>
      </c>
      <c r="C3" s="7" t="s">
        <v>21</v>
      </c>
      <c r="E3" t="str">
        <f t="shared" ref="E3:E88" si="0">B3&amp;","</f>
        <v>ID,</v>
      </c>
      <c r="H3"/>
      <c r="J3"/>
    </row>
    <row r="4" spans="1:12">
      <c r="A4" s="7" t="s">
        <v>27</v>
      </c>
      <c r="B4" s="7" t="s">
        <v>104</v>
      </c>
      <c r="C4" s="7" t="s">
        <v>38</v>
      </c>
      <c r="E4" t="str">
        <f t="shared" si="0"/>
        <v>行動ID,</v>
      </c>
      <c r="H4"/>
    </row>
    <row r="5" spans="1:12">
      <c r="A5" s="7" t="s">
        <v>27</v>
      </c>
      <c r="B5" s="7" t="s">
        <v>102</v>
      </c>
      <c r="C5" s="7" t="s">
        <v>39</v>
      </c>
      <c r="E5" t="str">
        <f t="shared" si="0"/>
        <v>玩家,</v>
      </c>
      <c r="H5"/>
    </row>
    <row r="6" spans="1:12">
      <c r="A6" s="7" t="s">
        <v>27</v>
      </c>
      <c r="B6" s="7" t="s">
        <v>105</v>
      </c>
      <c r="C6" s="7" t="s">
        <v>22</v>
      </c>
      <c r="E6" t="str">
        <f t="shared" si="0"/>
        <v>玩家子彈,</v>
      </c>
      <c r="H6"/>
    </row>
    <row r="7" spans="1:12">
      <c r="A7" s="7" t="s">
        <v>27</v>
      </c>
      <c r="B7" s="7" t="s">
        <v>50</v>
      </c>
      <c r="C7" s="7" t="s">
        <v>23</v>
      </c>
      <c r="E7" t="str">
        <f t="shared" si="0"/>
        <v>BOSS,</v>
      </c>
      <c r="H7"/>
      <c r="I7" s="10"/>
    </row>
    <row r="8" spans="1:12">
      <c r="A8" s="7" t="s">
        <v>27</v>
      </c>
      <c r="B8" s="7" t="s">
        <v>157</v>
      </c>
      <c r="C8" s="7" t="s">
        <v>32</v>
      </c>
      <c r="E8" t="str">
        <f t="shared" si="0"/>
        <v>復位,</v>
      </c>
      <c r="H8"/>
      <c r="I8" s="11"/>
    </row>
    <row r="9" spans="1:12">
      <c r="A9" s="7" t="s">
        <v>27</v>
      </c>
      <c r="B9" s="7" t="s">
        <v>113</v>
      </c>
      <c r="C9" s="7" t="s">
        <v>40</v>
      </c>
      <c r="E9" t="str">
        <f t="shared" si="0"/>
        <v>BOSSDEAD,</v>
      </c>
      <c r="H9"/>
      <c r="I9" s="11"/>
    </row>
    <row r="10" spans="1:12">
      <c r="A10" s="7" t="s">
        <v>27</v>
      </c>
      <c r="B10" s="7" t="s">
        <v>246</v>
      </c>
      <c r="C10" s="7" t="s">
        <v>33</v>
      </c>
      <c r="E10" t="str">
        <f t="shared" si="0"/>
        <v>BOSSLEAVE,</v>
      </c>
      <c r="H10"/>
      <c r="I10" s="11"/>
    </row>
    <row r="11" spans="1:12">
      <c r="A11" s="7" t="s">
        <v>27</v>
      </c>
      <c r="B11" s="7" t="s">
        <v>158</v>
      </c>
      <c r="C11" s="7" t="s">
        <v>41</v>
      </c>
      <c r="E11" t="str">
        <f t="shared" si="0"/>
        <v>Power,</v>
      </c>
      <c r="H11"/>
      <c r="I11" s="11"/>
    </row>
    <row r="12" spans="1:12">
      <c r="A12" s="7" t="s">
        <v>27</v>
      </c>
      <c r="B12" s="7" t="s">
        <v>46</v>
      </c>
      <c r="C12" s="7" t="s">
        <v>34</v>
      </c>
      <c r="E12" t="str">
        <f t="shared" si="0"/>
        <v>符卡,</v>
      </c>
      <c r="H12"/>
      <c r="I12" s="11"/>
    </row>
    <row r="13" spans="1:12">
      <c r="A13" s="7" t="s">
        <v>27</v>
      </c>
      <c r="B13" s="7" t="s">
        <v>106</v>
      </c>
      <c r="C13" s="7" t="s">
        <v>42</v>
      </c>
      <c r="E13" t="str">
        <f t="shared" si="0"/>
        <v>標題,</v>
      </c>
      <c r="H13"/>
      <c r="I13" s="11"/>
    </row>
    <row r="14" spans="1:12">
      <c r="A14" s="7" t="s">
        <v>27</v>
      </c>
      <c r="B14" s="7" t="s">
        <v>107</v>
      </c>
      <c r="C14" s="7" t="s">
        <v>43</v>
      </c>
      <c r="E14" t="str">
        <f t="shared" si="0"/>
        <v>對話,</v>
      </c>
      <c r="H14"/>
    </row>
    <row r="15" spans="1:12">
      <c r="A15" s="7" t="s">
        <v>27</v>
      </c>
      <c r="B15" s="7" t="s">
        <v>133</v>
      </c>
      <c r="C15" s="7" t="s">
        <v>44</v>
      </c>
      <c r="E15" t="str">
        <f t="shared" si="0"/>
        <v>播放音樂,</v>
      </c>
      <c r="H15"/>
    </row>
    <row r="16" spans="1:12">
      <c r="A16" s="7" t="s">
        <v>27</v>
      </c>
      <c r="B16" s="7" t="s">
        <v>134</v>
      </c>
      <c r="C16" s="7" t="s">
        <v>45</v>
      </c>
      <c r="E16" t="str">
        <f t="shared" si="0"/>
        <v>關卡結束,</v>
      </c>
      <c r="H16"/>
    </row>
    <row r="17" spans="1:8">
      <c r="A17" s="7" t="s">
        <v>27</v>
      </c>
      <c r="B17" s="7" t="s">
        <v>159</v>
      </c>
      <c r="C17" s="7" t="s">
        <v>247</v>
      </c>
      <c r="E17" t="str">
        <f t="shared" si="0"/>
        <v>下一關,</v>
      </c>
      <c r="H17"/>
    </row>
    <row r="18" spans="1:8">
      <c r="H18"/>
    </row>
    <row r="19" spans="1:8">
      <c r="H19"/>
    </row>
    <row r="20" spans="1:8">
      <c r="A20" s="7" t="s">
        <v>27</v>
      </c>
      <c r="B20" s="7" t="s">
        <v>146</v>
      </c>
      <c r="C20" s="7" t="s">
        <v>160</v>
      </c>
      <c r="E20" t="str">
        <f t="shared" si="0"/>
        <v>啟動依ID,</v>
      </c>
      <c r="H20"/>
    </row>
    <row r="21" spans="1:8">
      <c r="A21" s="7" t="s">
        <v>27</v>
      </c>
      <c r="B21" s="7" t="s">
        <v>155</v>
      </c>
      <c r="C21" s="7" t="s">
        <v>161</v>
      </c>
      <c r="E21" t="str">
        <f t="shared" si="0"/>
        <v>啟動依遊戲時間,</v>
      </c>
      <c r="H21"/>
    </row>
    <row r="22" spans="1:8">
      <c r="A22" s="7" t="s">
        <v>27</v>
      </c>
      <c r="B22" s="7" t="s">
        <v>129</v>
      </c>
      <c r="C22" s="7" t="s">
        <v>162</v>
      </c>
      <c r="E22" t="str">
        <f t="shared" si="0"/>
        <v>啟動依開始時間後,</v>
      </c>
      <c r="H22"/>
    </row>
    <row r="23" spans="1:8">
      <c r="A23" s="7" t="s">
        <v>27</v>
      </c>
      <c r="B23" s="7" t="s">
        <v>130</v>
      </c>
      <c r="C23" s="7" t="s">
        <v>163</v>
      </c>
      <c r="E23" t="str">
        <f t="shared" si="0"/>
        <v>啟動依結束時間前,</v>
      </c>
      <c r="H23"/>
    </row>
    <row r="24" spans="1:8">
      <c r="A24" s="7" t="s">
        <v>27</v>
      </c>
      <c r="B24" s="7" t="s">
        <v>131</v>
      </c>
      <c r="C24" s="7" t="s">
        <v>164</v>
      </c>
      <c r="E24" t="str">
        <f t="shared" si="0"/>
        <v>啟動依位置,</v>
      </c>
      <c r="H24"/>
    </row>
    <row r="25" spans="1:8">
      <c r="A25" s="7" t="s">
        <v>27</v>
      </c>
      <c r="B25" s="7" t="s">
        <v>132</v>
      </c>
      <c r="C25" s="7" t="s">
        <v>165</v>
      </c>
      <c r="E25" t="str">
        <f t="shared" si="0"/>
        <v>啟動依位置距離,</v>
      </c>
      <c r="H25"/>
    </row>
    <row r="26" spans="1:8">
      <c r="A26" s="7" t="s">
        <v>27</v>
      </c>
      <c r="B26" s="7" t="s">
        <v>166</v>
      </c>
      <c r="C26" s="7" t="s">
        <v>167</v>
      </c>
      <c r="E26" t="str">
        <f t="shared" si="0"/>
        <v>啟動依玩家死亡,</v>
      </c>
      <c r="H26"/>
    </row>
    <row r="27" spans="1:8">
      <c r="A27" s="7" t="s">
        <v>27</v>
      </c>
      <c r="B27" s="7" t="s">
        <v>168</v>
      </c>
      <c r="C27" s="7" t="s">
        <v>169</v>
      </c>
      <c r="E27" t="str">
        <f t="shared" si="0"/>
        <v>啟動位置是活動,</v>
      </c>
      <c r="H27"/>
    </row>
    <row r="28" spans="1:8">
      <c r="H28"/>
    </row>
    <row r="29" spans="1:8">
      <c r="H29"/>
    </row>
    <row r="30" spans="1:8">
      <c r="A30" s="7" t="s">
        <v>27</v>
      </c>
      <c r="B30" s="7" t="s">
        <v>29</v>
      </c>
      <c r="C30" s="7" t="s">
        <v>170</v>
      </c>
      <c r="E30" t="str">
        <f t="shared" si="0"/>
        <v>物件,</v>
      </c>
      <c r="H30"/>
    </row>
    <row r="31" spans="1:8">
      <c r="A31" s="7" t="s">
        <v>27</v>
      </c>
      <c r="B31" s="7" t="s">
        <v>121</v>
      </c>
      <c r="C31" s="7" t="s">
        <v>171</v>
      </c>
      <c r="E31" t="str">
        <f t="shared" si="0"/>
        <v>Sprite,</v>
      </c>
      <c r="H31"/>
    </row>
    <row r="32" spans="1:8">
      <c r="A32" s="7" t="s">
        <v>27</v>
      </c>
      <c r="B32" s="7" t="s">
        <v>103</v>
      </c>
      <c r="C32" s="7" t="s">
        <v>172</v>
      </c>
      <c r="E32" t="str">
        <f t="shared" si="0"/>
        <v>動畫,</v>
      </c>
      <c r="H32"/>
    </row>
    <row r="33" spans="1:8">
      <c r="A33" s="7" t="s">
        <v>27</v>
      </c>
      <c r="B33" s="7" t="s">
        <v>109</v>
      </c>
      <c r="C33" s="7" t="s">
        <v>173</v>
      </c>
      <c r="E33" t="str">
        <f t="shared" si="0"/>
        <v>Name,</v>
      </c>
      <c r="F33" s="4"/>
      <c r="H33"/>
    </row>
    <row r="34" spans="1:8">
      <c r="A34" s="7" t="s">
        <v>27</v>
      </c>
      <c r="B34" s="7" t="s">
        <v>108</v>
      </c>
      <c r="C34" s="7" t="s">
        <v>174</v>
      </c>
      <c r="E34" t="str">
        <f t="shared" si="0"/>
        <v>傷害,</v>
      </c>
      <c r="F34" s="4"/>
      <c r="H34"/>
    </row>
    <row r="35" spans="1:8">
      <c r="A35" s="7" t="s">
        <v>27</v>
      </c>
      <c r="B35" s="7" t="s">
        <v>48</v>
      </c>
      <c r="C35" s="7" t="s">
        <v>175</v>
      </c>
      <c r="E35" t="str">
        <f t="shared" si="0"/>
        <v>HP,</v>
      </c>
      <c r="F35" s="4"/>
      <c r="H35"/>
    </row>
    <row r="36" spans="1:8">
      <c r="A36" s="7" t="s">
        <v>27</v>
      </c>
      <c r="B36" s="7" t="s">
        <v>176</v>
      </c>
      <c r="C36" s="7" t="s">
        <v>177</v>
      </c>
      <c r="E36" t="str">
        <f t="shared" si="0"/>
        <v>Power掉落,</v>
      </c>
      <c r="F36" s="4"/>
      <c r="H36"/>
    </row>
    <row r="37" spans="1:8">
      <c r="A37" s="7" t="s">
        <v>27</v>
      </c>
      <c r="B37" s="7" t="s">
        <v>178</v>
      </c>
      <c r="C37" s="7" t="s">
        <v>179</v>
      </c>
      <c r="E37" t="str">
        <f t="shared" si="0"/>
        <v>加ID,</v>
      </c>
      <c r="F37" s="4"/>
      <c r="H37"/>
    </row>
    <row r="38" spans="1:8">
      <c r="F38" s="4"/>
      <c r="H38"/>
    </row>
    <row r="39" spans="1:8">
      <c r="F39" s="4"/>
      <c r="H39"/>
    </row>
    <row r="40" spans="1:8">
      <c r="A40" s="7" t="s">
        <v>27</v>
      </c>
      <c r="B40" s="7" t="s">
        <v>35</v>
      </c>
      <c r="C40" s="7" t="s">
        <v>180</v>
      </c>
      <c r="E40" t="str">
        <f t="shared" si="0"/>
        <v>行動時間,</v>
      </c>
      <c r="F40" s="4"/>
      <c r="H40"/>
    </row>
    <row r="41" spans="1:8">
      <c r="A41" s="7" t="s">
        <v>27</v>
      </c>
      <c r="B41" s="7" t="s">
        <v>100</v>
      </c>
      <c r="C41" s="7" t="s">
        <v>181</v>
      </c>
      <c r="E41" t="str">
        <f t="shared" si="0"/>
        <v>回收時間,</v>
      </c>
      <c r="H41"/>
    </row>
    <row r="42" spans="1:8">
      <c r="A42" s="7" t="s">
        <v>27</v>
      </c>
      <c r="B42" s="7" t="s">
        <v>110</v>
      </c>
      <c r="C42" s="7" t="s">
        <v>182</v>
      </c>
      <c r="E42" t="str">
        <f t="shared" si="0"/>
        <v>死亡時間,</v>
      </c>
      <c r="H42"/>
    </row>
    <row r="43" spans="1:8">
      <c r="A43" s="7" t="s">
        <v>27</v>
      </c>
      <c r="B43" s="7" t="s">
        <v>236</v>
      </c>
      <c r="C43" s="7" t="s">
        <v>237</v>
      </c>
      <c r="E43" t="str">
        <f t="shared" si="0"/>
        <v>符卡時間,</v>
      </c>
      <c r="H43"/>
    </row>
    <row r="44" spans="1:8">
      <c r="B44" s="26"/>
      <c r="H44"/>
    </row>
    <row r="45" spans="1:8">
      <c r="H45"/>
    </row>
    <row r="46" spans="1:8">
      <c r="A46" s="7" t="s">
        <v>27</v>
      </c>
      <c r="B46" s="7" t="s">
        <v>101</v>
      </c>
      <c r="C46" s="7" t="s">
        <v>183</v>
      </c>
      <c r="E46" t="str">
        <f t="shared" si="0"/>
        <v>移位置,</v>
      </c>
      <c r="H46"/>
    </row>
    <row r="47" spans="1:8">
      <c r="A47" s="7" t="s">
        <v>27</v>
      </c>
      <c r="B47" s="7" t="s">
        <v>119</v>
      </c>
      <c r="C47" s="7" t="s">
        <v>184</v>
      </c>
      <c r="E47" t="str">
        <f t="shared" si="0"/>
        <v>相對位置,</v>
      </c>
      <c r="H47"/>
    </row>
    <row r="48" spans="1:8">
      <c r="A48" s="7" t="s">
        <v>27</v>
      </c>
      <c r="B48" s="7" t="s">
        <v>136</v>
      </c>
      <c r="C48" s="7" t="s">
        <v>185</v>
      </c>
      <c r="E48" t="str">
        <f t="shared" si="0"/>
        <v>位置參數,</v>
      </c>
      <c r="H48"/>
    </row>
    <row r="49" spans="1:8">
      <c r="A49" s="7" t="s">
        <v>27</v>
      </c>
      <c r="B49" s="7" t="s">
        <v>186</v>
      </c>
      <c r="C49" s="7" t="s">
        <v>187</v>
      </c>
      <c r="E49" t="str">
        <f t="shared" si="0"/>
        <v>加位置,</v>
      </c>
      <c r="H49"/>
    </row>
    <row r="50" spans="1:8">
      <c r="A50" s="7" t="s">
        <v>27</v>
      </c>
      <c r="B50" s="7" t="s">
        <v>253</v>
      </c>
      <c r="C50" s="7" t="s">
        <v>254</v>
      </c>
      <c r="E50" t="str">
        <f t="shared" si="0"/>
        <v>記錄位置,</v>
      </c>
      <c r="H50"/>
    </row>
    <row r="51" spans="1:8">
      <c r="A51" s="7" t="s">
        <v>27</v>
      </c>
      <c r="B51" s="7" t="s">
        <v>255</v>
      </c>
      <c r="C51" s="7" t="s">
        <v>256</v>
      </c>
      <c r="E51" t="str">
        <f t="shared" si="0"/>
        <v>記錄位置序號,</v>
      </c>
      <c r="H51"/>
    </row>
    <row r="52" spans="1:8">
      <c r="H52"/>
    </row>
    <row r="53" spans="1:8">
      <c r="H53"/>
    </row>
    <row r="54" spans="1:8">
      <c r="A54" s="7" t="s">
        <v>27</v>
      </c>
      <c r="B54" s="7" t="s">
        <v>31</v>
      </c>
      <c r="C54" s="7" t="s">
        <v>188</v>
      </c>
      <c r="E54" t="str">
        <f t="shared" si="0"/>
        <v>移動角度,</v>
      </c>
      <c r="H54"/>
    </row>
    <row r="55" spans="1:8">
      <c r="A55" s="7" t="s">
        <v>27</v>
      </c>
      <c r="B55" s="7" t="s">
        <v>114</v>
      </c>
      <c r="C55" s="7" t="s">
        <v>189</v>
      </c>
      <c r="E55" t="str">
        <f t="shared" si="0"/>
        <v>加移動角度,</v>
      </c>
      <c r="F55" s="9"/>
      <c r="H55"/>
    </row>
    <row r="56" spans="1:8">
      <c r="A56" s="7" t="s">
        <v>27</v>
      </c>
      <c r="B56" s="7" t="s">
        <v>115</v>
      </c>
      <c r="C56" s="7" t="s">
        <v>190</v>
      </c>
      <c r="E56" t="str">
        <f t="shared" si="0"/>
        <v>旋轉角度,</v>
      </c>
      <c r="F56" s="9"/>
      <c r="H56"/>
    </row>
    <row r="57" spans="1:8">
      <c r="A57" s="7" t="s">
        <v>27</v>
      </c>
      <c r="B57" s="7" t="s">
        <v>116</v>
      </c>
      <c r="C57" s="7" t="s">
        <v>191</v>
      </c>
      <c r="E57" t="str">
        <f t="shared" si="0"/>
        <v>加旋轉角度,</v>
      </c>
      <c r="F57" s="9"/>
      <c r="H57"/>
    </row>
    <row r="58" spans="1:8">
      <c r="A58" s="7" t="s">
        <v>27</v>
      </c>
      <c r="B58" s="7" t="s">
        <v>135</v>
      </c>
      <c r="C58" s="7" t="s">
        <v>192</v>
      </c>
      <c r="E58" t="str">
        <f t="shared" si="0"/>
        <v>角度參數,</v>
      </c>
      <c r="F58" s="9"/>
      <c r="H58"/>
    </row>
    <row r="59" spans="1:8">
      <c r="A59" s="7" t="s">
        <v>27</v>
      </c>
      <c r="B59" s="7" t="s">
        <v>193</v>
      </c>
      <c r="C59" s="7" t="s">
        <v>194</v>
      </c>
      <c r="E59" t="str">
        <f t="shared" si="0"/>
        <v>加角度,</v>
      </c>
      <c r="F59" s="9"/>
      <c r="H59"/>
    </row>
    <row r="60" spans="1:8">
      <c r="A60" s="7" t="s">
        <v>27</v>
      </c>
      <c r="B60" s="7" t="s">
        <v>117</v>
      </c>
      <c r="C60" s="7" t="s">
        <v>195</v>
      </c>
      <c r="E60" t="str">
        <f t="shared" si="0"/>
        <v>旋轉是移動角度,</v>
      </c>
      <c r="H60"/>
    </row>
    <row r="61" spans="1:8">
      <c r="A61" s="7" t="s">
        <v>27</v>
      </c>
      <c r="B61" s="27" t="s">
        <v>248</v>
      </c>
      <c r="C61" s="7" t="s">
        <v>249</v>
      </c>
      <c r="E61" t="str">
        <f t="shared" si="0"/>
        <v>子旋轉角度,</v>
      </c>
      <c r="H61"/>
    </row>
    <row r="62" spans="1:8">
      <c r="A62" s="7" t="s">
        <v>27</v>
      </c>
      <c r="B62" s="27" t="s">
        <v>250</v>
      </c>
      <c r="C62" s="7" t="s">
        <v>251</v>
      </c>
      <c r="E62" t="str">
        <f t="shared" si="0"/>
        <v>子加旋轉角度,</v>
      </c>
      <c r="H62"/>
    </row>
    <row r="63" spans="1:8">
      <c r="A63" s="7" t="s">
        <v>27</v>
      </c>
      <c r="B63" s="7" t="s">
        <v>257</v>
      </c>
      <c r="C63" s="7" t="s">
        <v>258</v>
      </c>
      <c r="E63" t="str">
        <f t="shared" si="0"/>
        <v>記錄角度,</v>
      </c>
      <c r="H63"/>
    </row>
    <row r="64" spans="1:8">
      <c r="A64" s="7" t="s">
        <v>27</v>
      </c>
      <c r="B64" s="7" t="s">
        <v>260</v>
      </c>
      <c r="C64" s="7" t="s">
        <v>259</v>
      </c>
      <c r="E64" t="str">
        <f t="shared" si="0"/>
        <v>記錄角度ID,</v>
      </c>
      <c r="H64"/>
    </row>
    <row r="65" spans="1:11">
      <c r="B65" s="27"/>
      <c r="H65"/>
    </row>
    <row r="66" spans="1:11">
      <c r="H66"/>
    </row>
    <row r="67" spans="1:11">
      <c r="A67" s="7" t="s">
        <v>27</v>
      </c>
      <c r="B67" s="7" t="s">
        <v>30</v>
      </c>
      <c r="C67" s="7" t="s">
        <v>196</v>
      </c>
      <c r="E67" t="str">
        <f t="shared" si="0"/>
        <v>速度,</v>
      </c>
      <c r="H67"/>
    </row>
    <row r="68" spans="1:11">
      <c r="A68" s="7" t="s">
        <v>27</v>
      </c>
      <c r="B68" s="7" t="s">
        <v>118</v>
      </c>
      <c r="C68" s="7" t="s">
        <v>197</v>
      </c>
      <c r="E68" t="str">
        <f t="shared" si="0"/>
        <v>加速度,</v>
      </c>
      <c r="H68"/>
    </row>
    <row r="69" spans="1:11">
      <c r="A69" s="7" t="s">
        <v>27</v>
      </c>
      <c r="B69" s="7" t="s">
        <v>111</v>
      </c>
      <c r="C69" s="7" t="s">
        <v>198</v>
      </c>
      <c r="E69" t="str">
        <f t="shared" si="0"/>
        <v>最小速度,</v>
      </c>
      <c r="H69"/>
    </row>
    <row r="70" spans="1:11">
      <c r="A70" s="7" t="s">
        <v>27</v>
      </c>
      <c r="B70" s="7" t="s">
        <v>112</v>
      </c>
      <c r="C70" s="7" t="s">
        <v>199</v>
      </c>
      <c r="E70" t="str">
        <f t="shared" si="0"/>
        <v>最大速度,</v>
      </c>
      <c r="H70"/>
    </row>
    <row r="71" spans="1:11">
      <c r="H71"/>
    </row>
    <row r="72" spans="1:11">
      <c r="H72"/>
    </row>
    <row r="73" spans="1:11">
      <c r="A73" s="7" t="s">
        <v>27</v>
      </c>
      <c r="B73" s="7" t="s">
        <v>200</v>
      </c>
      <c r="C73" s="7" t="s">
        <v>201</v>
      </c>
      <c r="E73" t="str">
        <f t="shared" si="0"/>
        <v>是界內,</v>
      </c>
      <c r="H73"/>
    </row>
    <row r="74" spans="1:11">
      <c r="A74" s="7" t="s">
        <v>27</v>
      </c>
      <c r="B74" s="7" t="s">
        <v>49</v>
      </c>
      <c r="C74" s="7" t="s">
        <v>202</v>
      </c>
      <c r="E74" t="str">
        <f t="shared" si="0"/>
        <v>無敵,</v>
      </c>
      <c r="H74"/>
    </row>
    <row r="75" spans="1:11">
      <c r="A75" s="7" t="s">
        <v>27</v>
      </c>
      <c r="B75" s="7" t="s">
        <v>120</v>
      </c>
      <c r="C75" s="7" t="s">
        <v>203</v>
      </c>
      <c r="E75" t="str">
        <f t="shared" si="0"/>
        <v>貫穿,</v>
      </c>
      <c r="H75"/>
    </row>
    <row r="76" spans="1:11">
      <c r="A76" s="7" t="s">
        <v>27</v>
      </c>
      <c r="B76" s="7" t="s">
        <v>128</v>
      </c>
      <c r="C76" s="7" t="s">
        <v>204</v>
      </c>
      <c r="E76" t="str">
        <f t="shared" si="0"/>
        <v>回收距離,</v>
      </c>
      <c r="H76"/>
    </row>
    <row r="77" spans="1:11">
      <c r="A77" s="7" t="s">
        <v>27</v>
      </c>
      <c r="B77" s="7" t="s">
        <v>205</v>
      </c>
      <c r="C77" s="7" t="s">
        <v>206</v>
      </c>
      <c r="E77" t="str">
        <f t="shared" si="0"/>
        <v>出生動畫速率,</v>
      </c>
      <c r="H77"/>
    </row>
    <row r="78" spans="1:11">
      <c r="A78" s="7" t="s">
        <v>27</v>
      </c>
      <c r="B78" s="7" t="s">
        <v>207</v>
      </c>
      <c r="C78" s="7" t="s">
        <v>208</v>
      </c>
      <c r="E78" t="str">
        <f t="shared" si="0"/>
        <v>出生動畫時間,</v>
      </c>
      <c r="H78"/>
    </row>
    <row r="79" spans="1:11">
      <c r="A79" s="7" t="s">
        <v>27</v>
      </c>
      <c r="B79" s="7" t="s">
        <v>209</v>
      </c>
      <c r="C79" s="7" t="s">
        <v>210</v>
      </c>
      <c r="E79" t="str">
        <f t="shared" si="0"/>
        <v>出生動畫開始,</v>
      </c>
      <c r="H79"/>
    </row>
    <row r="80" spans="1:11">
      <c r="A80" s="7" t="s">
        <v>27</v>
      </c>
      <c r="B80" s="7" t="s">
        <v>211</v>
      </c>
      <c r="C80" s="7" t="s">
        <v>212</v>
      </c>
      <c r="E80" t="str">
        <f t="shared" si="0"/>
        <v>行動ID結束,</v>
      </c>
      <c r="H80"/>
      <c r="K80" s="4"/>
    </row>
    <row r="81" spans="1:11">
      <c r="H81"/>
      <c r="K81" s="4"/>
    </row>
    <row r="82" spans="1:11">
      <c r="H82"/>
      <c r="K82" s="4"/>
    </row>
    <row r="83" spans="1:11">
      <c r="A83" s="7" t="s">
        <v>27</v>
      </c>
      <c r="B83" s="7" t="s">
        <v>122</v>
      </c>
      <c r="C83" s="7" t="s">
        <v>213</v>
      </c>
      <c r="E83" t="str">
        <f t="shared" si="0"/>
        <v>時位時間,</v>
      </c>
      <c r="H83"/>
      <c r="K83" s="4"/>
    </row>
    <row r="84" spans="1:11">
      <c r="A84" s="7" t="s">
        <v>27</v>
      </c>
      <c r="B84" s="7" t="s">
        <v>123</v>
      </c>
      <c r="C84" s="7" t="s">
        <v>214</v>
      </c>
      <c r="E84" t="str">
        <f t="shared" si="0"/>
        <v>時位位置,</v>
      </c>
      <c r="H84"/>
      <c r="K84" s="4"/>
    </row>
    <row r="85" spans="1:11">
      <c r="A85" s="7" t="s">
        <v>27</v>
      </c>
      <c r="B85" s="7" t="s">
        <v>124</v>
      </c>
      <c r="C85" s="7" t="s">
        <v>215</v>
      </c>
      <c r="E85" t="str">
        <f t="shared" si="0"/>
        <v>時位變速點,</v>
      </c>
      <c r="H85"/>
      <c r="K85" s="9"/>
    </row>
    <row r="86" spans="1:11">
      <c r="A86" s="7" t="s">
        <v>27</v>
      </c>
      <c r="B86" s="7" t="s">
        <v>125</v>
      </c>
      <c r="C86" s="7" t="s">
        <v>216</v>
      </c>
      <c r="E86" t="str">
        <f t="shared" si="0"/>
        <v>時位開始速度,</v>
      </c>
      <c r="H86"/>
      <c r="K86" s="9"/>
    </row>
    <row r="87" spans="1:11">
      <c r="A87" s="7" t="s">
        <v>27</v>
      </c>
      <c r="B87" s="7" t="s">
        <v>126</v>
      </c>
      <c r="C87" s="7" t="s">
        <v>217</v>
      </c>
      <c r="E87" t="str">
        <f t="shared" si="0"/>
        <v>時位結束速度,</v>
      </c>
      <c r="H87"/>
      <c r="K87" s="9"/>
    </row>
    <row r="88" spans="1:11">
      <c r="A88" s="7" t="s">
        <v>27</v>
      </c>
      <c r="B88" s="7" t="s">
        <v>127</v>
      </c>
      <c r="C88" s="7" t="s">
        <v>218</v>
      </c>
      <c r="E88" t="str">
        <f t="shared" si="0"/>
        <v>時位移動角度,</v>
      </c>
      <c r="H88"/>
    </row>
    <row r="89" spans="1:11">
      <c r="H89"/>
    </row>
    <row r="90" spans="1:11">
      <c r="H90"/>
    </row>
    <row r="91" spans="1:11">
      <c r="A91" s="7" t="s">
        <v>27</v>
      </c>
      <c r="B91" s="7" t="s">
        <v>219</v>
      </c>
      <c r="C91" s="7" t="s">
        <v>220</v>
      </c>
      <c r="E91" t="str">
        <f t="shared" ref="E91:E95" si="1">B91&amp;","</f>
        <v>玩家遊戲時間,</v>
      </c>
      <c r="H91"/>
    </row>
    <row r="92" spans="1:11">
      <c r="A92" s="7" t="s">
        <v>27</v>
      </c>
      <c r="B92" s="7" t="s">
        <v>221</v>
      </c>
      <c r="C92" s="7" t="s">
        <v>222</v>
      </c>
      <c r="E92" t="str">
        <f t="shared" si="1"/>
        <v>玩家子彈間隔,</v>
      </c>
      <c r="H92"/>
    </row>
    <row r="93" spans="1:11">
      <c r="A93" s="7" t="s">
        <v>27</v>
      </c>
      <c r="B93" s="7" t="s">
        <v>223</v>
      </c>
      <c r="C93" s="7" t="s">
        <v>224</v>
      </c>
      <c r="E93" t="str">
        <f t="shared" si="1"/>
        <v>玩家Power需求,</v>
      </c>
      <c r="H93"/>
    </row>
    <row r="94" spans="1:11">
      <c r="A94" s="7" t="s">
        <v>27</v>
      </c>
      <c r="B94" s="7" t="s">
        <v>225</v>
      </c>
      <c r="C94" s="7" t="s">
        <v>226</v>
      </c>
      <c r="E94" t="str">
        <f t="shared" si="1"/>
        <v>玩家Shift,</v>
      </c>
      <c r="H94"/>
    </row>
    <row r="95" spans="1:11">
      <c r="A95" s="7" t="s">
        <v>27</v>
      </c>
      <c r="B95" s="7" t="s">
        <v>227</v>
      </c>
      <c r="C95" s="7" t="s">
        <v>228</v>
      </c>
      <c r="E95" t="str">
        <f t="shared" si="1"/>
        <v>玩家子彈延遲,</v>
      </c>
      <c r="H95"/>
    </row>
    <row r="96" spans="1:11">
      <c r="H96"/>
    </row>
    <row r="97" spans="1:12">
      <c r="H97"/>
    </row>
    <row r="98" spans="1:12">
      <c r="H98"/>
    </row>
    <row r="99" spans="1:12">
      <c r="H99"/>
    </row>
    <row r="100" spans="1:12">
      <c r="H100"/>
    </row>
    <row r="101" spans="1:12">
      <c r="H101"/>
    </row>
    <row r="102" spans="1:12">
      <c r="H102"/>
    </row>
    <row r="103" spans="1:12">
      <c r="A103" s="7" t="s">
        <v>143</v>
      </c>
      <c r="B103" s="7" t="s">
        <v>139</v>
      </c>
      <c r="C103" s="7" t="s">
        <v>21</v>
      </c>
      <c r="H103"/>
    </row>
    <row r="104" spans="1:12" customFormat="1">
      <c r="A104" s="7" t="s">
        <v>143</v>
      </c>
      <c r="B104" t="s">
        <v>140</v>
      </c>
      <c r="C104" s="7" t="s">
        <v>25</v>
      </c>
      <c r="D104" s="7"/>
      <c r="L104" s="7"/>
    </row>
    <row r="105" spans="1:12" customFormat="1">
      <c r="A105" s="7" t="s">
        <v>143</v>
      </c>
      <c r="B105" t="s">
        <v>141</v>
      </c>
      <c r="C105" s="7" t="s">
        <v>26</v>
      </c>
      <c r="D105" s="7"/>
      <c r="L105" s="7"/>
    </row>
    <row r="106" spans="1:12" customFormat="1">
      <c r="A106" s="7" t="s">
        <v>143</v>
      </c>
      <c r="B106" t="s">
        <v>229</v>
      </c>
      <c r="C106" s="7" t="s">
        <v>99</v>
      </c>
      <c r="D106" s="7"/>
      <c r="L106" s="7"/>
    </row>
    <row r="107" spans="1:12" customFormat="1">
      <c r="A107" s="7" t="s">
        <v>143</v>
      </c>
      <c r="B107" t="s">
        <v>230</v>
      </c>
      <c r="C107" s="7" t="s">
        <v>23</v>
      </c>
      <c r="D107" s="7"/>
      <c r="L107" s="7"/>
    </row>
    <row r="108" spans="1:12" customFormat="1">
      <c r="A108" s="7" t="s">
        <v>143</v>
      </c>
      <c r="B108" t="s">
        <v>231</v>
      </c>
      <c r="C108" s="7" t="s">
        <v>24</v>
      </c>
      <c r="D108" s="7"/>
      <c r="L108" s="7"/>
    </row>
    <row r="109" spans="1:12" customFormat="1">
      <c r="A109" s="7"/>
      <c r="C109" s="7"/>
      <c r="D109" s="7"/>
      <c r="L109" s="7"/>
    </row>
    <row r="110" spans="1:12" customFormat="1">
      <c r="A110" s="7"/>
      <c r="C110" s="7"/>
      <c r="D110" s="7"/>
      <c r="L110" s="7"/>
    </row>
    <row r="111" spans="1:12" customFormat="1">
      <c r="A111" s="7" t="s">
        <v>144</v>
      </c>
      <c r="B111" t="s">
        <v>137</v>
      </c>
      <c r="C111" s="7" t="s">
        <v>21</v>
      </c>
      <c r="D111" s="4"/>
      <c r="L111" s="7"/>
    </row>
    <row r="112" spans="1:12" customFormat="1">
      <c r="A112" s="7" t="s">
        <v>144</v>
      </c>
      <c r="B112" t="s">
        <v>138</v>
      </c>
      <c r="C112" s="7" t="s">
        <v>38</v>
      </c>
      <c r="D112" s="7"/>
      <c r="L112" s="7"/>
    </row>
    <row r="113" spans="1:12" customFormat="1">
      <c r="A113" s="7" t="s">
        <v>144</v>
      </c>
      <c r="B113" t="s">
        <v>145</v>
      </c>
      <c r="C113" s="7" t="s">
        <v>39</v>
      </c>
      <c r="D113" s="7"/>
      <c r="L113" s="7"/>
    </row>
    <row r="114" spans="1:12" customFormat="1">
      <c r="A114" s="7" t="s">
        <v>144</v>
      </c>
      <c r="B114" t="s">
        <v>232</v>
      </c>
      <c r="C114" s="7" t="s">
        <v>22</v>
      </c>
      <c r="D114" s="7"/>
      <c r="L114" s="7"/>
    </row>
    <row r="115" spans="1:12">
      <c r="A115" s="7" t="s">
        <v>144</v>
      </c>
      <c r="B115" s="7" t="s">
        <v>233</v>
      </c>
      <c r="C115" s="7" t="s">
        <v>23</v>
      </c>
      <c r="H115"/>
    </row>
    <row r="116" spans="1:12">
      <c r="A116" s="7" t="s">
        <v>144</v>
      </c>
      <c r="B116" s="7" t="s">
        <v>261</v>
      </c>
      <c r="C116" s="7" t="s">
        <v>24</v>
      </c>
      <c r="H116"/>
    </row>
  </sheetData>
  <phoneticPr fontId="2" type="noConversion"/>
  <conditionalFormatting sqref="K85:K87">
    <cfRule type="cellIs" dxfId="36" priority="1" operator="equal">
      <formula>"行動序號"</formula>
    </cfRule>
  </conditionalFormatting>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06D74-02A6-481B-A624-FEC72286A906}">
  <sheetPr codeName="OptionSheet"/>
  <dimension ref="A1:J112"/>
  <sheetViews>
    <sheetView topLeftCell="A40" zoomScale="115" zoomScaleNormal="115" workbookViewId="0">
      <selection activeCell="A52" sqref="A52"/>
    </sheetView>
  </sheetViews>
  <sheetFormatPr defaultRowHeight="16.5"/>
  <cols>
    <col min="1" max="1" width="20.5" style="20" bestFit="1" customWidth="1"/>
    <col min="2" max="2" width="18.375" style="4" customWidth="1"/>
    <col min="3" max="3" width="16.5" style="4" customWidth="1"/>
    <col min="4" max="4" width="20.875" style="4" bestFit="1" customWidth="1"/>
    <col min="5" max="5" width="20.875" style="4" customWidth="1"/>
    <col min="6" max="6" width="20.875" style="4" bestFit="1" customWidth="1"/>
    <col min="7" max="7" width="13.875" style="4" bestFit="1" customWidth="1"/>
    <col min="8" max="10" width="18.625" style="4" bestFit="1" customWidth="1"/>
    <col min="11" max="16384" width="9" style="4"/>
  </cols>
  <sheetData>
    <row r="1" spans="1:10" s="5" customFormat="1" ht="19.5">
      <c r="A1" s="17" t="s">
        <v>27</v>
      </c>
      <c r="B1" s="6" t="s">
        <v>143</v>
      </c>
      <c r="C1" s="6" t="s">
        <v>144</v>
      </c>
      <c r="D1" s="8"/>
      <c r="E1" s="8"/>
      <c r="F1" s="8"/>
      <c r="G1" s="6"/>
      <c r="H1" s="8"/>
      <c r="I1" s="8"/>
      <c r="J1" s="8"/>
    </row>
    <row r="2" spans="1:10" ht="85.5">
      <c r="B2" s="20" t="s">
        <v>139</v>
      </c>
      <c r="C2" s="20" t="s">
        <v>137</v>
      </c>
      <c r="D2" s="20"/>
      <c r="G2" s="24" t="s">
        <v>234</v>
      </c>
    </row>
    <row r="3" spans="1:10">
      <c r="A3" s="20" t="s">
        <v>96</v>
      </c>
      <c r="B3" s="20" t="s">
        <v>140</v>
      </c>
      <c r="C3" s="20" t="s">
        <v>138</v>
      </c>
      <c r="D3" s="20"/>
      <c r="G3" s="9"/>
    </row>
    <row r="4" spans="1:10">
      <c r="A4" s="20" t="s">
        <v>104</v>
      </c>
      <c r="B4" s="20" t="s">
        <v>141</v>
      </c>
      <c r="C4" s="20" t="s">
        <v>235</v>
      </c>
      <c r="D4" s="20"/>
      <c r="G4" s="9"/>
      <c r="H4" s="18"/>
    </row>
    <row r="5" spans="1:10" ht="17.25" customHeight="1">
      <c r="A5" s="20" t="s">
        <v>102</v>
      </c>
      <c r="B5" s="20" t="s">
        <v>229</v>
      </c>
      <c r="C5" s="20" t="s">
        <v>232</v>
      </c>
      <c r="D5" s="20"/>
      <c r="G5" s="9"/>
    </row>
    <row r="6" spans="1:10">
      <c r="A6" s="20" t="s">
        <v>105</v>
      </c>
      <c r="B6" s="20" t="s">
        <v>230</v>
      </c>
      <c r="C6" s="20" t="s">
        <v>233</v>
      </c>
      <c r="D6" s="20"/>
      <c r="G6" s="9"/>
    </row>
    <row r="7" spans="1:10">
      <c r="A7" s="20" t="s">
        <v>50</v>
      </c>
      <c r="B7" s="20" t="s">
        <v>231</v>
      </c>
      <c r="C7" s="26" t="s">
        <v>261</v>
      </c>
      <c r="D7" s="20"/>
      <c r="G7" s="9"/>
    </row>
    <row r="8" spans="1:10">
      <c r="A8" s="20" t="s">
        <v>157</v>
      </c>
      <c r="B8" s="26"/>
      <c r="C8" s="20"/>
      <c r="D8" s="20"/>
      <c r="G8" s="9"/>
    </row>
    <row r="9" spans="1:10">
      <c r="A9" s="20" t="s">
        <v>113</v>
      </c>
      <c r="B9" s="20"/>
      <c r="C9" s="20"/>
      <c r="D9" s="20"/>
      <c r="G9" s="9"/>
    </row>
    <row r="10" spans="1:10">
      <c r="A10" s="20" t="s">
        <v>246</v>
      </c>
      <c r="B10" s="20"/>
      <c r="C10" s="20"/>
      <c r="D10" s="20"/>
      <c r="G10" s="9"/>
    </row>
    <row r="11" spans="1:10">
      <c r="A11" s="20" t="s">
        <v>158</v>
      </c>
      <c r="G11" s="9"/>
    </row>
    <row r="12" spans="1:10">
      <c r="A12" s="20" t="s">
        <v>46</v>
      </c>
      <c r="G12" s="9"/>
    </row>
    <row r="13" spans="1:10">
      <c r="A13" s="20" t="s">
        <v>106</v>
      </c>
      <c r="G13" s="9"/>
    </row>
    <row r="14" spans="1:10">
      <c r="A14" s="20" t="s">
        <v>107</v>
      </c>
      <c r="C14" s="9"/>
      <c r="G14" s="9"/>
    </row>
    <row r="15" spans="1:10">
      <c r="A15" s="20" t="s">
        <v>133</v>
      </c>
      <c r="G15" s="9"/>
    </row>
    <row r="16" spans="1:10">
      <c r="A16" s="20" t="s">
        <v>134</v>
      </c>
      <c r="C16"/>
      <c r="G16" s="9"/>
    </row>
    <row r="17" spans="1:7">
      <c r="A17" s="20" t="s">
        <v>159</v>
      </c>
      <c r="C17"/>
      <c r="G17" s="9"/>
    </row>
    <row r="18" spans="1:7">
      <c r="C18"/>
      <c r="G18" s="9"/>
    </row>
    <row r="19" spans="1:7">
      <c r="C19"/>
      <c r="G19" s="9"/>
    </row>
    <row r="20" spans="1:7">
      <c r="A20" s="20" t="s">
        <v>146</v>
      </c>
      <c r="C20"/>
      <c r="G20" s="9"/>
    </row>
    <row r="21" spans="1:7">
      <c r="A21" s="20" t="s">
        <v>155</v>
      </c>
      <c r="C21"/>
      <c r="G21" s="9"/>
    </row>
    <row r="22" spans="1:7">
      <c r="A22" s="20" t="s">
        <v>129</v>
      </c>
      <c r="C22"/>
      <c r="G22" s="9"/>
    </row>
    <row r="23" spans="1:7">
      <c r="A23" s="20" t="s">
        <v>130</v>
      </c>
      <c r="C23"/>
      <c r="G23" s="9"/>
    </row>
    <row r="24" spans="1:7">
      <c r="A24" s="20" t="s">
        <v>131</v>
      </c>
      <c r="C24"/>
      <c r="G24" s="9"/>
    </row>
    <row r="25" spans="1:7" s="9" customFormat="1">
      <c r="A25" s="20" t="s">
        <v>132</v>
      </c>
      <c r="C25"/>
      <c r="F25" s="4"/>
    </row>
    <row r="26" spans="1:7">
      <c r="A26" s="20" t="s">
        <v>166</v>
      </c>
      <c r="C26"/>
      <c r="G26" s="9"/>
    </row>
    <row r="27" spans="1:7">
      <c r="A27" s="20" t="s">
        <v>168</v>
      </c>
      <c r="B27" s="9"/>
      <c r="C27"/>
      <c r="G27" s="9"/>
    </row>
    <row r="28" spans="1:7">
      <c r="C28"/>
      <c r="G28" s="9"/>
    </row>
    <row r="29" spans="1:7">
      <c r="C29"/>
      <c r="G29" s="9"/>
    </row>
    <row r="30" spans="1:7">
      <c r="A30" s="20" t="s">
        <v>29</v>
      </c>
      <c r="C30"/>
      <c r="G30" s="9"/>
    </row>
    <row r="31" spans="1:7">
      <c r="A31" s="20" t="s">
        <v>121</v>
      </c>
      <c r="C31"/>
      <c r="G31" s="9"/>
    </row>
    <row r="32" spans="1:7">
      <c r="A32" s="20" t="s">
        <v>103</v>
      </c>
      <c r="C32"/>
      <c r="G32" s="9"/>
    </row>
    <row r="33" spans="1:7">
      <c r="A33" s="20" t="s">
        <v>109</v>
      </c>
      <c r="C33"/>
      <c r="G33" s="9"/>
    </row>
    <row r="34" spans="1:7">
      <c r="A34" s="20" t="s">
        <v>108</v>
      </c>
      <c r="C34"/>
      <c r="G34" s="9"/>
    </row>
    <row r="35" spans="1:7">
      <c r="A35" s="20" t="s">
        <v>48</v>
      </c>
      <c r="C35"/>
      <c r="G35" s="9"/>
    </row>
    <row r="36" spans="1:7">
      <c r="A36" s="20" t="s">
        <v>176</v>
      </c>
      <c r="C36"/>
    </row>
    <row r="37" spans="1:7">
      <c r="A37" s="20" t="s">
        <v>178</v>
      </c>
      <c r="C37"/>
      <c r="G37" s="9"/>
    </row>
    <row r="38" spans="1:7">
      <c r="C38"/>
      <c r="G38" s="9"/>
    </row>
    <row r="39" spans="1:7">
      <c r="C39"/>
      <c r="G39" s="9"/>
    </row>
    <row r="40" spans="1:7">
      <c r="A40" s="20" t="s">
        <v>35</v>
      </c>
      <c r="C40"/>
      <c r="G40" s="9"/>
    </row>
    <row r="41" spans="1:7">
      <c r="A41" s="20" t="s">
        <v>100</v>
      </c>
      <c r="C41"/>
      <c r="G41" s="9"/>
    </row>
    <row r="42" spans="1:7">
      <c r="A42" s="20" t="s">
        <v>110</v>
      </c>
      <c r="C42"/>
      <c r="G42" s="9"/>
    </row>
    <row r="43" spans="1:7">
      <c r="A43" s="26" t="s">
        <v>236</v>
      </c>
      <c r="C43"/>
      <c r="G43" s="9"/>
    </row>
    <row r="44" spans="1:7">
      <c r="C44"/>
      <c r="G44" s="9"/>
    </row>
    <row r="45" spans="1:7">
      <c r="C45"/>
      <c r="G45" s="9"/>
    </row>
    <row r="46" spans="1:7">
      <c r="A46" s="20" t="s">
        <v>101</v>
      </c>
      <c r="C46"/>
      <c r="G46" s="9"/>
    </row>
    <row r="47" spans="1:7">
      <c r="A47" s="20" t="s">
        <v>119</v>
      </c>
      <c r="C47"/>
      <c r="G47" s="9"/>
    </row>
    <row r="48" spans="1:7">
      <c r="A48" s="20" t="s">
        <v>136</v>
      </c>
      <c r="C48"/>
      <c r="G48" s="9"/>
    </row>
    <row r="49" spans="1:8">
      <c r="A49" s="20" t="s">
        <v>186</v>
      </c>
      <c r="C49"/>
      <c r="G49" s="9"/>
    </row>
    <row r="50" spans="1:8">
      <c r="A50" s="27" t="s">
        <v>257</v>
      </c>
      <c r="C50"/>
      <c r="G50" s="9"/>
    </row>
    <row r="51" spans="1:8">
      <c r="A51" s="27" t="s">
        <v>262</v>
      </c>
      <c r="C51"/>
      <c r="G51" s="9"/>
    </row>
    <row r="52" spans="1:8">
      <c r="A52" s="27"/>
      <c r="C52"/>
      <c r="G52" s="9"/>
    </row>
    <row r="53" spans="1:8">
      <c r="C53"/>
      <c r="G53" s="9"/>
    </row>
    <row r="54" spans="1:8">
      <c r="A54" s="20" t="s">
        <v>31</v>
      </c>
      <c r="C54"/>
      <c r="G54" s="9"/>
      <c r="H54" s="10"/>
    </row>
    <row r="55" spans="1:8">
      <c r="A55" s="20" t="s">
        <v>114</v>
      </c>
      <c r="C55"/>
      <c r="G55" s="9"/>
      <c r="H55" s="11"/>
    </row>
    <row r="56" spans="1:8">
      <c r="A56" s="20" t="s">
        <v>115</v>
      </c>
      <c r="C56"/>
      <c r="G56" s="9"/>
      <c r="H56" s="11"/>
    </row>
    <row r="57" spans="1:8">
      <c r="A57" s="28" t="s">
        <v>252</v>
      </c>
      <c r="C57"/>
      <c r="G57" s="9"/>
    </row>
    <row r="58" spans="1:8">
      <c r="A58" s="20" t="s">
        <v>135</v>
      </c>
      <c r="G58" s="9"/>
    </row>
    <row r="59" spans="1:8">
      <c r="A59" s="20" t="s">
        <v>193</v>
      </c>
      <c r="G59" s="9"/>
    </row>
    <row r="60" spans="1:8">
      <c r="A60" s="20" t="s">
        <v>117</v>
      </c>
      <c r="G60" s="9"/>
    </row>
    <row r="61" spans="1:8">
      <c r="A61" s="27" t="s">
        <v>248</v>
      </c>
      <c r="G61" s="9"/>
    </row>
    <row r="62" spans="1:8">
      <c r="A62" s="27" t="s">
        <v>250</v>
      </c>
      <c r="G62" s="9"/>
    </row>
    <row r="63" spans="1:8">
      <c r="A63" s="27" t="s">
        <v>257</v>
      </c>
      <c r="G63" s="9"/>
    </row>
    <row r="64" spans="1:8">
      <c r="A64" s="27" t="s">
        <v>260</v>
      </c>
      <c r="G64" s="9"/>
    </row>
    <row r="65" spans="1:7">
      <c r="A65" s="27"/>
      <c r="G65" s="9"/>
    </row>
    <row r="66" spans="1:7">
      <c r="G66" s="9"/>
    </row>
    <row r="67" spans="1:7">
      <c r="A67" s="20" t="s">
        <v>30</v>
      </c>
      <c r="G67" s="9"/>
    </row>
    <row r="68" spans="1:7">
      <c r="A68" s="20" t="s">
        <v>118</v>
      </c>
      <c r="C68"/>
      <c r="G68" s="9"/>
    </row>
    <row r="69" spans="1:7">
      <c r="A69" s="20" t="s">
        <v>111</v>
      </c>
      <c r="C69"/>
      <c r="G69" s="9"/>
    </row>
    <row r="70" spans="1:7">
      <c r="A70" s="20" t="s">
        <v>112</v>
      </c>
      <c r="G70" s="9"/>
    </row>
    <row r="71" spans="1:7">
      <c r="G71" s="9"/>
    </row>
    <row r="72" spans="1:7">
      <c r="G72" s="9"/>
    </row>
    <row r="73" spans="1:7">
      <c r="A73" s="20" t="s">
        <v>200</v>
      </c>
    </row>
    <row r="74" spans="1:7">
      <c r="A74" s="20" t="s">
        <v>49</v>
      </c>
    </row>
    <row r="75" spans="1:7">
      <c r="A75" s="20" t="s">
        <v>120</v>
      </c>
    </row>
    <row r="76" spans="1:7">
      <c r="A76" s="20" t="s">
        <v>128</v>
      </c>
      <c r="G76" s="9"/>
    </row>
    <row r="77" spans="1:7">
      <c r="A77" s="20" t="s">
        <v>205</v>
      </c>
      <c r="G77" s="9"/>
    </row>
    <row r="78" spans="1:7">
      <c r="A78" s="20" t="s">
        <v>207</v>
      </c>
      <c r="G78" s="9"/>
    </row>
    <row r="79" spans="1:7">
      <c r="A79" s="20" t="s">
        <v>209</v>
      </c>
    </row>
    <row r="80" spans="1:7">
      <c r="A80" s="20" t="s">
        <v>211</v>
      </c>
    </row>
    <row r="83" spans="1:1">
      <c r="A83" s="20" t="s">
        <v>122</v>
      </c>
    </row>
    <row r="84" spans="1:1">
      <c r="A84" s="20" t="s">
        <v>123</v>
      </c>
    </row>
    <row r="85" spans="1:1">
      <c r="A85" s="20" t="s">
        <v>124</v>
      </c>
    </row>
    <row r="86" spans="1:1">
      <c r="A86" s="20" t="s">
        <v>125</v>
      </c>
    </row>
    <row r="87" spans="1:1">
      <c r="A87" s="20" t="s">
        <v>126</v>
      </c>
    </row>
    <row r="88" spans="1:1">
      <c r="A88" s="20" t="s">
        <v>127</v>
      </c>
    </row>
    <row r="91" spans="1:1">
      <c r="A91" s="20" t="s">
        <v>219</v>
      </c>
    </row>
    <row r="92" spans="1:1">
      <c r="A92" s="20" t="s">
        <v>221</v>
      </c>
    </row>
    <row r="93" spans="1:1">
      <c r="A93" s="20" t="s">
        <v>223</v>
      </c>
    </row>
    <row r="94" spans="1:1">
      <c r="A94" s="20" t="s">
        <v>225</v>
      </c>
    </row>
    <row r="95" spans="1:1">
      <c r="A95" s="20" t="s">
        <v>227</v>
      </c>
    </row>
    <row r="112" spans="2:2">
      <c r="B112" s="9"/>
    </row>
  </sheetData>
  <phoneticPr fontId="2" type="noConversion"/>
  <conditionalFormatting sqref="D1:F1">
    <cfRule type="duplicateValues" dxfId="35" priority="32"/>
  </conditionalFormatting>
  <conditionalFormatting sqref="G1">
    <cfRule type="duplicateValues" dxfId="34" priority="31"/>
  </conditionalFormatting>
  <conditionalFormatting sqref="H1:J1">
    <cfRule type="duplicateValues" dxfId="33" priority="30"/>
  </conditionalFormatting>
  <conditionalFormatting sqref="F1">
    <cfRule type="duplicateValues" dxfId="32" priority="29"/>
  </conditionalFormatting>
  <conditionalFormatting sqref="D1:E1">
    <cfRule type="duplicateValues" dxfId="31" priority="28"/>
  </conditionalFormatting>
  <conditionalFormatting sqref="G28">
    <cfRule type="cellIs" dxfId="30" priority="27" operator="equal">
      <formula>"行動序號"</formula>
    </cfRule>
  </conditionalFormatting>
  <conditionalFormatting sqref="G29">
    <cfRule type="cellIs" dxfId="29" priority="26" operator="equal">
      <formula>"行動序號"</formula>
    </cfRule>
  </conditionalFormatting>
  <conditionalFormatting sqref="G46">
    <cfRule type="cellIs" dxfId="28" priority="25" operator="equal">
      <formula>"行動序號"</formula>
    </cfRule>
  </conditionalFormatting>
  <conditionalFormatting sqref="G47">
    <cfRule type="cellIs" dxfId="27" priority="24" operator="equal">
      <formula>"行動序號"</formula>
    </cfRule>
  </conditionalFormatting>
  <conditionalFormatting sqref="G30:G31">
    <cfRule type="cellIs" dxfId="26" priority="23" operator="equal">
      <formula>"行動序號"</formula>
    </cfRule>
  </conditionalFormatting>
  <conditionalFormatting sqref="G32">
    <cfRule type="cellIs" dxfId="25" priority="22" operator="equal">
      <formula>"行動序號"</formula>
    </cfRule>
  </conditionalFormatting>
  <conditionalFormatting sqref="G58:G59">
    <cfRule type="cellIs" dxfId="24" priority="21" operator="equal">
      <formula>"行動序號"</formula>
    </cfRule>
  </conditionalFormatting>
  <conditionalFormatting sqref="G54:G57">
    <cfRule type="cellIs" dxfId="23" priority="20" operator="equal">
      <formula>"行動序號"</formula>
    </cfRule>
  </conditionalFormatting>
  <conditionalFormatting sqref="G17">
    <cfRule type="cellIs" dxfId="22" priority="19" operator="equal">
      <formula>"行動序號"</formula>
    </cfRule>
  </conditionalFormatting>
  <conditionalFormatting sqref="G60:G65">
    <cfRule type="cellIs" dxfId="21" priority="18" operator="equal">
      <formula>"行動序號"</formula>
    </cfRule>
  </conditionalFormatting>
  <conditionalFormatting sqref="G66:G67">
    <cfRule type="cellIs" dxfId="20" priority="17" operator="equal">
      <formula>"行動序號"</formula>
    </cfRule>
  </conditionalFormatting>
  <conditionalFormatting sqref="G76:G78">
    <cfRule type="cellIs" dxfId="19" priority="16" operator="equal">
      <formula>"行動序號"</formula>
    </cfRule>
  </conditionalFormatting>
  <conditionalFormatting sqref="A99">
    <cfRule type="cellIs" dxfId="18" priority="15" operator="equal">
      <formula>"行動序號"</formula>
    </cfRule>
  </conditionalFormatting>
  <conditionalFormatting sqref="A100">
    <cfRule type="cellIs" dxfId="17" priority="14" operator="equal">
      <formula>"行動序號"</formula>
    </cfRule>
  </conditionalFormatting>
  <conditionalFormatting sqref="A117">
    <cfRule type="cellIs" dxfId="16" priority="13" operator="equal">
      <formula>"行動序號"</formula>
    </cfRule>
  </conditionalFormatting>
  <conditionalFormatting sqref="A118">
    <cfRule type="cellIs" dxfId="15" priority="12" operator="equal">
      <formula>"行動序號"</formula>
    </cfRule>
  </conditionalFormatting>
  <conditionalFormatting sqref="A101:A102">
    <cfRule type="cellIs" dxfId="14" priority="11" operator="equal">
      <formula>"行動序號"</formula>
    </cfRule>
  </conditionalFormatting>
  <conditionalFormatting sqref="A103">
    <cfRule type="cellIs" dxfId="13" priority="10" operator="equal">
      <formula>"行動序號"</formula>
    </cfRule>
  </conditionalFormatting>
  <conditionalFormatting sqref="A127:A128">
    <cfRule type="cellIs" dxfId="12" priority="9" operator="equal">
      <formula>"行動序號"</formula>
    </cfRule>
  </conditionalFormatting>
  <conditionalFormatting sqref="A123:A126">
    <cfRule type="cellIs" dxfId="11" priority="8" operator="equal">
      <formula>"行動序號"</formula>
    </cfRule>
  </conditionalFormatting>
  <conditionalFormatting sqref="A129:A130">
    <cfRule type="cellIs" dxfId="10" priority="7" operator="equal">
      <formula>"行動序號"</formula>
    </cfRule>
  </conditionalFormatting>
  <conditionalFormatting sqref="A131:A132">
    <cfRule type="cellIs" dxfId="9" priority="6" operator="equal">
      <formula>"行動序號"</formula>
    </cfRule>
  </conditionalFormatting>
  <conditionalFormatting sqref="A141:A143">
    <cfRule type="cellIs" dxfId="8" priority="5" operator="equal">
      <formula>"行動序號"</formula>
    </cfRule>
  </conditionalFormatting>
  <conditionalFormatting sqref="A112:A1048576 A86:A87 A89:A95 A99:A110">
    <cfRule type="duplicateValues" dxfId="7" priority="4"/>
  </conditionalFormatting>
  <conditionalFormatting sqref="A111">
    <cfRule type="duplicateValues" dxfId="6" priority="3"/>
  </conditionalFormatting>
  <conditionalFormatting sqref="A72:A73">
    <cfRule type="cellIs" dxfId="5" priority="2" operator="equal">
      <formula>"行動序號"</formula>
    </cfRule>
  </conditionalFormatting>
  <conditionalFormatting sqref="A96:A97">
    <cfRule type="cellIs" dxfId="4" priority="1" operator="equal">
      <formula>"行動序號"</formula>
    </cfRule>
  </conditionalFormatting>
  <conditionalFormatting sqref="A1">
    <cfRule type="duplicateValues" dxfId="3" priority="33"/>
  </conditionalFormatting>
  <conditionalFormatting sqref="B112">
    <cfRule type="duplicateValues" dxfId="2" priority="34"/>
  </conditionalFormatting>
  <conditionalFormatting sqref="A99:A1048576 A86:A87 A89:A95">
    <cfRule type="duplicateValues" dxfId="1" priority="35"/>
  </conditionalFormatting>
  <conditionalFormatting sqref="A98">
    <cfRule type="duplicateValues" dxfId="0" priority="36"/>
  </conditionalFormatting>
  <dataValidations count="1">
    <dataValidation type="list" allowBlank="1" showInputMessage="1" showErrorMessage="1" sqref="A99 D25:E25 J25:XFD25 G50:G52 G28 A121 B25 B27" xr:uid="{5823A0BE-9A68-456F-B0C8-4A4785F09E27}">
      <formula1>_OPTION_</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D357D-37E1-4CDD-8F5B-FB36DC7811AF}">
  <sheetPr codeName="ParamTitleSheet"/>
  <dimension ref="A1:C15"/>
  <sheetViews>
    <sheetView workbookViewId="0">
      <selection activeCell="G19" sqref="G19"/>
    </sheetView>
  </sheetViews>
  <sheetFormatPr defaultRowHeight="16.5"/>
  <cols>
    <col min="1" max="2" width="18.375" bestFit="1" customWidth="1"/>
    <col min="3" max="3" width="27.25" bestFit="1" customWidth="1"/>
    <col min="4" max="4" width="16.125" bestFit="1" customWidth="1"/>
    <col min="5" max="5" width="11.625" bestFit="1" customWidth="1"/>
  </cols>
  <sheetData>
    <row r="1" spans="1:3" s="5" customFormat="1">
      <c r="A1" s="5" t="s">
        <v>1</v>
      </c>
      <c r="B1" s="5" t="s">
        <v>2</v>
      </c>
      <c r="C1" s="5" t="s">
        <v>3</v>
      </c>
    </row>
    <row r="2" spans="1:3">
      <c r="B2" s="4"/>
    </row>
    <row r="3" spans="1:3">
      <c r="B3" s="4"/>
    </row>
    <row r="4" spans="1:3">
      <c r="B4" s="4"/>
    </row>
    <row r="5" spans="1:3">
      <c r="B5" s="4"/>
    </row>
    <row r="6" spans="1:3">
      <c r="B6" s="4"/>
    </row>
    <row r="7" spans="1:3">
      <c r="B7" s="4"/>
    </row>
    <row r="8" spans="1:3">
      <c r="B8" s="4"/>
    </row>
    <row r="9" spans="1:3">
      <c r="B9" s="4"/>
    </row>
    <row r="10" spans="1:3">
      <c r="B10" s="4"/>
    </row>
    <row r="11" spans="1:3">
      <c r="B11" s="4"/>
    </row>
    <row r="12" spans="1:3">
      <c r="B12" s="4"/>
    </row>
    <row r="13" spans="1:3">
      <c r="B13" s="4"/>
    </row>
    <row r="14" spans="1:3">
      <c r="B14" s="4"/>
    </row>
    <row r="15" spans="1:3">
      <c r="B15" s="4"/>
    </row>
  </sheetData>
  <phoneticPr fontId="2" type="noConversion"/>
  <pageMargins left="0.75" right="0.75" top="1" bottom="1" header="0.5" footer="0.5"/>
  <pageSetup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1E4DC-7CC2-4422-BB89-4322610BD5D4}">
  <sheetPr codeName="OutputSheet"/>
  <dimension ref="A1:A2"/>
  <sheetViews>
    <sheetView workbookViewId="0">
      <selection activeCell="G19" sqref="G19"/>
    </sheetView>
  </sheetViews>
  <sheetFormatPr defaultRowHeight="16.5"/>
  <cols>
    <col min="1" max="1" width="64.625" customWidth="1"/>
  </cols>
  <sheetData>
    <row r="1" spans="1:1">
      <c r="A1" s="1" t="s">
        <v>11</v>
      </c>
    </row>
    <row r="2" spans="1:1">
      <c r="A2" t="s">
        <v>20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4F3D5-A538-4773-9B07-DA8670496FBD}">
  <sheetPr codeName="HelpSheet"/>
  <dimension ref="A1:A15"/>
  <sheetViews>
    <sheetView tabSelected="1" topLeftCell="A4" workbookViewId="0">
      <selection activeCell="G19" sqref="G19"/>
    </sheetView>
  </sheetViews>
  <sheetFormatPr defaultRowHeight="16.5"/>
  <cols>
    <col min="1" max="1" width="146.25" customWidth="1"/>
  </cols>
  <sheetData>
    <row r="1" spans="1:1" ht="66">
      <c r="A1" s="3" t="s">
        <v>4</v>
      </c>
    </row>
    <row r="2" spans="1:1" ht="99">
      <c r="A2" s="3" t="s">
        <v>6</v>
      </c>
    </row>
    <row r="3" spans="1:1" ht="49.5">
      <c r="A3" s="3" t="s">
        <v>5</v>
      </c>
    </row>
    <row r="4" spans="1:1" ht="82.5">
      <c r="A4" s="3" t="s">
        <v>14</v>
      </c>
    </row>
    <row r="5" spans="1:1" ht="82.5">
      <c r="A5" s="3" t="s">
        <v>7</v>
      </c>
    </row>
    <row r="6" spans="1:1" ht="66">
      <c r="A6" s="3" t="s">
        <v>12</v>
      </c>
    </row>
    <row r="7" spans="1:1">
      <c r="A7" s="2"/>
    </row>
    <row r="8" spans="1:1">
      <c r="A8" t="s">
        <v>0</v>
      </c>
    </row>
    <row r="9" spans="1:1">
      <c r="A9" t="s">
        <v>16</v>
      </c>
    </row>
    <row r="10" spans="1:1">
      <c r="A10" s="2" t="s">
        <v>8</v>
      </c>
    </row>
    <row r="11" spans="1:1" ht="82.5">
      <c r="A11" s="2" t="s">
        <v>19</v>
      </c>
    </row>
    <row r="12" spans="1:1">
      <c r="A12" s="2" t="s">
        <v>15</v>
      </c>
    </row>
    <row r="13" spans="1:1" ht="82.5">
      <c r="A13" s="2" t="s">
        <v>13</v>
      </c>
    </row>
    <row r="14" spans="1:1">
      <c r="A14" s="2" t="s">
        <v>10</v>
      </c>
    </row>
    <row r="15" spans="1:1">
      <c r="A15" t="s">
        <v>9</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1</vt:i4>
      </vt:variant>
    </vt:vector>
  </HeadingPairs>
  <TitlesOfParts>
    <vt:vector size="8" baseType="lpstr">
      <vt:lpstr>stage7_5</vt:lpstr>
      <vt:lpstr>#ALIAS</vt:lpstr>
      <vt:lpstr>#DEFINE</vt:lpstr>
      <vt:lpstr>#OPTION</vt:lpstr>
      <vt:lpstr>#PARAM</vt:lpstr>
      <vt:lpstr>#OUTPUT</vt:lpstr>
      <vt:lpstr>#使用說明</vt:lpstr>
      <vt:lpstr>'#OPTION'!_OPTION_</vt:lpstr>
    </vt:vector>
  </TitlesOfParts>
  <Company>CMT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WORK00</dc:creator>
  <cp:lastModifiedBy>霆豫 韓</cp:lastModifiedBy>
  <dcterms:created xsi:type="dcterms:W3CDTF">2015-05-05T13:05:01Z</dcterms:created>
  <dcterms:modified xsi:type="dcterms:W3CDTF">2025-04-16T06:38:24Z</dcterms:modified>
</cp:coreProperties>
</file>