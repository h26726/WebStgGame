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D285394A-5B97-4BBD-B495-D5A1D1BE5C5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9shot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37" i="1" l="1"/>
  <c r="E436" i="1"/>
  <c r="E435" i="1"/>
  <c r="E434" i="1"/>
  <c r="E433" i="1"/>
  <c r="E432" i="1"/>
  <c r="E431" i="1"/>
  <c r="E430" i="1"/>
  <c r="E429" i="1"/>
  <c r="E428" i="1"/>
  <c r="E426" i="1"/>
  <c r="E425" i="1"/>
  <c r="E424" i="1"/>
  <c r="E423" i="1"/>
  <c r="E422" i="1"/>
  <c r="E421" i="1"/>
  <c r="E420" i="1"/>
  <c r="E419" i="1"/>
  <c r="E418" i="1"/>
  <c r="E417" i="1"/>
  <c r="E415" i="1"/>
  <c r="E414" i="1"/>
  <c r="E413" i="1"/>
  <c r="E412" i="1"/>
  <c r="E411" i="1"/>
  <c r="E410" i="1"/>
  <c r="E409" i="1"/>
  <c r="E408" i="1"/>
  <c r="E407" i="1"/>
  <c r="E406" i="1"/>
  <c r="E404" i="1"/>
  <c r="E403" i="1"/>
  <c r="E402" i="1"/>
  <c r="E401" i="1"/>
  <c r="E400" i="1"/>
  <c r="E399" i="1"/>
  <c r="E398" i="1"/>
  <c r="E397" i="1"/>
  <c r="E396" i="1"/>
  <c r="E395" i="1"/>
  <c r="E393" i="1"/>
  <c r="E392" i="1"/>
  <c r="E391" i="1"/>
  <c r="E390" i="1"/>
  <c r="E389" i="1"/>
  <c r="E388" i="1"/>
  <c r="E387" i="1"/>
  <c r="E386" i="1"/>
  <c r="E385" i="1"/>
  <c r="E384" i="1"/>
  <c r="E382" i="1"/>
  <c r="E381" i="1"/>
  <c r="E380" i="1"/>
  <c r="E379" i="1"/>
  <c r="E378" i="1"/>
  <c r="E377" i="1"/>
  <c r="E376" i="1"/>
  <c r="E375" i="1"/>
  <c r="E374" i="1"/>
  <c r="E373" i="1"/>
  <c r="E371" i="1"/>
  <c r="E370" i="1"/>
  <c r="E369" i="1"/>
  <c r="E368" i="1"/>
  <c r="E367" i="1"/>
  <c r="E366" i="1"/>
  <c r="E365" i="1"/>
  <c r="E364" i="1"/>
  <c r="E363" i="1"/>
  <c r="E362" i="1"/>
  <c r="E360" i="1"/>
  <c r="E359" i="1"/>
  <c r="E358" i="1"/>
  <c r="E357" i="1"/>
  <c r="E356" i="1"/>
  <c r="E355" i="1"/>
  <c r="E354" i="1"/>
  <c r="E353" i="1"/>
  <c r="E352" i="1"/>
  <c r="E351" i="1"/>
  <c r="E349" i="1"/>
  <c r="E348" i="1"/>
  <c r="E347" i="1"/>
  <c r="E346" i="1"/>
  <c r="E345" i="1"/>
  <c r="E344" i="1"/>
  <c r="E343" i="1"/>
  <c r="E342" i="1"/>
  <c r="E341" i="1"/>
  <c r="E340" i="1"/>
  <c r="E338" i="1"/>
  <c r="E337" i="1"/>
  <c r="E336" i="1"/>
  <c r="E335" i="1"/>
  <c r="E334" i="1"/>
  <c r="E333" i="1"/>
  <c r="E332" i="1"/>
  <c r="E331" i="1"/>
  <c r="E330" i="1"/>
  <c r="E329" i="1"/>
  <c r="E327" i="1"/>
  <c r="E326" i="1"/>
  <c r="E325" i="1"/>
  <c r="E324" i="1"/>
  <c r="E323" i="1"/>
  <c r="E322" i="1"/>
  <c r="E321" i="1"/>
  <c r="E320" i="1"/>
  <c r="E319" i="1"/>
  <c r="E318" i="1"/>
  <c r="E316" i="1"/>
  <c r="E315" i="1"/>
  <c r="E314" i="1"/>
  <c r="E313" i="1"/>
  <c r="E312" i="1"/>
  <c r="E311" i="1"/>
  <c r="E310" i="1"/>
  <c r="E309" i="1"/>
  <c r="E308" i="1"/>
  <c r="E307" i="1"/>
  <c r="E305" i="1"/>
  <c r="E304" i="1"/>
  <c r="E303" i="1"/>
  <c r="E302" i="1"/>
  <c r="E301" i="1"/>
  <c r="E300" i="1"/>
  <c r="E299" i="1"/>
  <c r="E298" i="1"/>
  <c r="E297" i="1"/>
  <c r="E296" i="1"/>
  <c r="E294" i="1"/>
  <c r="E293" i="1"/>
  <c r="E292" i="1"/>
  <c r="E291" i="1"/>
  <c r="E290" i="1"/>
  <c r="E289" i="1"/>
  <c r="E288" i="1"/>
  <c r="E287" i="1"/>
  <c r="E286" i="1"/>
  <c r="E285" i="1"/>
  <c r="E283" i="1"/>
  <c r="E282" i="1"/>
  <c r="E281" i="1"/>
  <c r="E280" i="1"/>
  <c r="E279" i="1"/>
  <c r="E278" i="1"/>
  <c r="E277" i="1"/>
  <c r="E276" i="1"/>
  <c r="E275" i="1"/>
  <c r="E274" i="1"/>
  <c r="E272" i="1"/>
  <c r="E271" i="1"/>
  <c r="E270" i="1"/>
  <c r="E269" i="1"/>
  <c r="E268" i="1"/>
  <c r="E267" i="1"/>
  <c r="E266" i="1"/>
  <c r="E265" i="1"/>
  <c r="E264" i="1"/>
  <c r="E263" i="1"/>
  <c r="E261" i="1"/>
  <c r="E260" i="1"/>
  <c r="E259" i="1"/>
  <c r="E258" i="1"/>
  <c r="E257" i="1"/>
  <c r="E256" i="1"/>
  <c r="E255" i="1"/>
  <c r="E254" i="1"/>
  <c r="E253" i="1"/>
  <c r="E252" i="1"/>
  <c r="E250" i="1"/>
  <c r="E249" i="1"/>
  <c r="E248" i="1"/>
  <c r="E247" i="1"/>
  <c r="E246" i="1"/>
  <c r="E245" i="1"/>
  <c r="E244" i="1"/>
  <c r="E243" i="1"/>
  <c r="E242" i="1"/>
  <c r="E241" i="1"/>
  <c r="E239" i="1"/>
  <c r="E238" i="1"/>
  <c r="E237" i="1"/>
  <c r="E236" i="1"/>
  <c r="E235" i="1"/>
  <c r="E234" i="1"/>
  <c r="E233" i="1"/>
  <c r="E232" i="1"/>
  <c r="E231" i="1"/>
  <c r="E230" i="1"/>
  <c r="E228" i="1"/>
  <c r="E227" i="1"/>
  <c r="E226" i="1"/>
  <c r="E225" i="1"/>
  <c r="E224" i="1"/>
  <c r="E223" i="1"/>
  <c r="E222" i="1"/>
  <c r="E221" i="1"/>
  <c r="E220" i="1"/>
  <c r="E219" i="1"/>
  <c r="E217" i="1"/>
  <c r="E216" i="1"/>
  <c r="E215" i="1"/>
  <c r="E214" i="1"/>
  <c r="E213" i="1"/>
  <c r="E212" i="1"/>
  <c r="E211" i="1"/>
  <c r="E210" i="1"/>
  <c r="E209" i="1"/>
  <c r="E208" i="1"/>
  <c r="E206" i="1"/>
  <c r="E205" i="1"/>
  <c r="E204" i="1"/>
  <c r="E203" i="1"/>
  <c r="E202" i="1"/>
  <c r="E201" i="1"/>
  <c r="E200" i="1"/>
  <c r="E199" i="1"/>
  <c r="E198" i="1"/>
  <c r="E197" i="1"/>
  <c r="E195" i="1"/>
  <c r="E194" i="1"/>
  <c r="E193" i="1"/>
  <c r="E192" i="1"/>
  <c r="E191" i="1"/>
  <c r="E190" i="1"/>
  <c r="E189" i="1"/>
  <c r="E188" i="1"/>
  <c r="E187" i="1"/>
  <c r="E186" i="1"/>
  <c r="E184" i="1"/>
  <c r="E183" i="1"/>
  <c r="E182" i="1"/>
  <c r="E181" i="1"/>
  <c r="E180" i="1"/>
  <c r="E179" i="1"/>
  <c r="E178" i="1"/>
  <c r="E177" i="1"/>
  <c r="E176" i="1"/>
  <c r="E175" i="1"/>
  <c r="E173" i="1"/>
  <c r="E172" i="1"/>
  <c r="E171" i="1"/>
  <c r="E170" i="1"/>
  <c r="E169" i="1"/>
  <c r="E168" i="1"/>
  <c r="E167" i="1"/>
  <c r="E166" i="1"/>
  <c r="E165" i="1"/>
  <c r="E164" i="1"/>
  <c r="E162" i="1"/>
  <c r="E161" i="1"/>
  <c r="E160" i="1"/>
  <c r="E159" i="1"/>
  <c r="E158" i="1"/>
  <c r="E157" i="1"/>
  <c r="E156" i="1"/>
  <c r="E155" i="1"/>
  <c r="E154" i="1"/>
  <c r="E153" i="1"/>
  <c r="E151" i="1"/>
  <c r="E150" i="1"/>
  <c r="E149" i="1"/>
  <c r="E148" i="1"/>
  <c r="E147" i="1"/>
  <c r="E146" i="1"/>
  <c r="E145" i="1"/>
  <c r="E144" i="1"/>
  <c r="E143" i="1"/>
  <c r="E142" i="1"/>
  <c r="E140" i="1"/>
  <c r="E139" i="1"/>
  <c r="E138" i="1"/>
  <c r="E137" i="1"/>
  <c r="E136" i="1"/>
  <c r="E135" i="1"/>
  <c r="E134" i="1"/>
  <c r="E133" i="1"/>
  <c r="E132" i="1"/>
  <c r="E131" i="1"/>
  <c r="E129" i="1"/>
  <c r="E128" i="1"/>
  <c r="E127" i="1"/>
  <c r="E126" i="1"/>
  <c r="E125" i="1"/>
  <c r="E124" i="1"/>
  <c r="E123" i="1"/>
  <c r="E122" i="1"/>
  <c r="E121" i="1"/>
  <c r="E120" i="1"/>
  <c r="E118" i="1"/>
  <c r="E117" i="1"/>
  <c r="E116" i="1"/>
  <c r="E115" i="1"/>
  <c r="E114" i="1"/>
  <c r="E113" i="1"/>
  <c r="E112" i="1"/>
  <c r="E111" i="1"/>
  <c r="E110" i="1"/>
  <c r="E109" i="1"/>
  <c r="E107" i="1"/>
  <c r="E106" i="1"/>
  <c r="E105" i="1"/>
  <c r="E104" i="1"/>
  <c r="E103" i="1"/>
  <c r="E102" i="1"/>
  <c r="E101" i="1"/>
  <c r="E100" i="1"/>
  <c r="E99" i="1"/>
  <c r="E98" i="1"/>
  <c r="E96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8" i="1"/>
  <c r="E77" i="1"/>
  <c r="E76" i="1"/>
  <c r="E74" i="1"/>
  <c r="E73" i="1"/>
  <c r="E72" i="1"/>
  <c r="E71" i="1"/>
  <c r="E70" i="1"/>
  <c r="E69" i="1"/>
  <c r="E68" i="1"/>
  <c r="E67" i="1"/>
  <c r="E66" i="1"/>
  <c r="E65" i="1"/>
  <c r="D64" i="1"/>
  <c r="B64" i="1"/>
  <c r="E63" i="1"/>
  <c r="E62" i="1"/>
  <c r="E61" i="1"/>
  <c r="E60" i="1"/>
  <c r="E59" i="1"/>
  <c r="E58" i="1"/>
  <c r="E57" i="1"/>
  <c r="E56" i="1"/>
  <c r="E55" i="1"/>
  <c r="M54" i="1"/>
  <c r="E54" i="1"/>
  <c r="D53" i="1"/>
  <c r="B53" i="1"/>
  <c r="E51" i="1"/>
  <c r="E49" i="1"/>
  <c r="C64" i="1" l="1"/>
  <c r="M72" i="1" s="1"/>
  <c r="C53" i="1"/>
  <c r="M61" i="1" s="1"/>
  <c r="M65" i="1"/>
  <c r="D75" i="1"/>
  <c r="E52" i="1"/>
  <c r="E50" i="1"/>
  <c r="D86" i="1" l="1"/>
  <c r="B75" i="1"/>
  <c r="C75" i="1" s="1"/>
  <c r="M83" i="1" s="1"/>
  <c r="M76" i="1"/>
  <c r="E48" i="1"/>
  <c r="E47" i="1"/>
  <c r="E46" i="1"/>
  <c r="E45" i="1"/>
  <c r="E44" i="1"/>
  <c r="E43" i="1"/>
  <c r="D42" i="1"/>
  <c r="M87" i="1" l="1"/>
  <c r="B86" i="1"/>
  <c r="C86" i="1"/>
  <c r="M94" i="1" s="1"/>
  <c r="D97" i="1"/>
  <c r="B42" i="1"/>
  <c r="M43" i="1"/>
  <c r="A41" i="1"/>
  <c r="D119" i="1" l="1"/>
  <c r="D108" i="1"/>
  <c r="C97" i="1"/>
  <c r="M105" i="1" s="1"/>
  <c r="B97" i="1"/>
  <c r="M98" i="1"/>
  <c r="D130" i="1"/>
  <c r="C42" i="1"/>
  <c r="M50" i="1" s="1"/>
  <c r="M131" i="1" l="1"/>
  <c r="B130" i="1"/>
  <c r="C130" i="1" s="1"/>
  <c r="M138" i="1" s="1"/>
  <c r="B119" i="1"/>
  <c r="C119" i="1" s="1"/>
  <c r="M127" i="1" s="1"/>
  <c r="M120" i="1"/>
  <c r="M109" i="1"/>
  <c r="B108" i="1"/>
  <c r="C108" i="1"/>
  <c r="M116" i="1" s="1"/>
  <c r="D141" i="1"/>
  <c r="C141" i="1" l="1"/>
  <c r="M149" i="1" s="1"/>
  <c r="B141" i="1"/>
  <c r="M142" i="1"/>
  <c r="D152" i="1"/>
  <c r="D163" i="1" s="1"/>
  <c r="B163" i="1" l="1"/>
  <c r="C163" i="1" s="1"/>
  <c r="M171" i="1" s="1"/>
  <c r="M164" i="1"/>
  <c r="M153" i="1"/>
  <c r="B152" i="1"/>
  <c r="C152" i="1" s="1"/>
  <c r="M160" i="1" s="1"/>
  <c r="D174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75" i="1" l="1"/>
  <c r="B174" i="1"/>
  <c r="C174" i="1" s="1"/>
  <c r="M182" i="1" s="1"/>
  <c r="D185" i="1"/>
  <c r="B185" i="1" l="1"/>
  <c r="C185" i="1" s="1"/>
  <c r="M193" i="1" s="1"/>
  <c r="M186" i="1"/>
  <c r="D196" i="1"/>
  <c r="M197" i="1" l="1"/>
  <c r="B196" i="1"/>
  <c r="C196" i="1" s="1"/>
  <c r="M204" i="1" s="1"/>
  <c r="D207" i="1"/>
  <c r="B207" i="1" l="1"/>
  <c r="C207" i="1" s="1"/>
  <c r="M215" i="1" s="1"/>
  <c r="M208" i="1"/>
  <c r="D218" i="1"/>
  <c r="M219" i="1" l="1"/>
  <c r="B218" i="1"/>
  <c r="C218" i="1" s="1"/>
  <c r="M226" i="1" s="1"/>
  <c r="D229" i="1"/>
  <c r="B229" i="1" l="1"/>
  <c r="C229" i="1" s="1"/>
  <c r="M237" i="1" s="1"/>
  <c r="M230" i="1"/>
  <c r="D240" i="1"/>
  <c r="M241" i="1" l="1"/>
  <c r="B240" i="1"/>
  <c r="C240" i="1" s="1"/>
  <c r="M248" i="1" s="1"/>
  <c r="D251" i="1"/>
  <c r="B251" i="1" l="1"/>
  <c r="C251" i="1" s="1"/>
  <c r="M259" i="1" s="1"/>
  <c r="M252" i="1"/>
  <c r="D262" i="1"/>
  <c r="M263" i="1" l="1"/>
  <c r="C262" i="1"/>
  <c r="M270" i="1" s="1"/>
  <c r="B262" i="1"/>
  <c r="D273" i="1"/>
  <c r="B273" i="1" l="1"/>
  <c r="C273" i="1" s="1"/>
  <c r="M281" i="1" s="1"/>
  <c r="M274" i="1"/>
  <c r="D284" i="1"/>
  <c r="M285" i="1" l="1"/>
  <c r="B284" i="1"/>
  <c r="C284" i="1" s="1"/>
  <c r="M292" i="1" s="1"/>
  <c r="D295" i="1"/>
  <c r="C295" i="1" l="1"/>
  <c r="M303" i="1" s="1"/>
  <c r="B295" i="1"/>
  <c r="M296" i="1"/>
  <c r="D306" i="1"/>
  <c r="M307" i="1" l="1"/>
  <c r="B306" i="1"/>
  <c r="C306" i="1" s="1"/>
  <c r="M314" i="1" s="1"/>
  <c r="D317" i="1"/>
  <c r="B317" i="1" l="1"/>
  <c r="C317" i="1" s="1"/>
  <c r="M325" i="1" s="1"/>
  <c r="M318" i="1"/>
  <c r="D328" i="1"/>
  <c r="M329" i="1" l="1"/>
  <c r="B328" i="1"/>
  <c r="C328" i="1" s="1"/>
  <c r="M336" i="1" s="1"/>
  <c r="D339" i="1"/>
  <c r="B339" i="1" l="1"/>
  <c r="C339" i="1" s="1"/>
  <c r="M347" i="1" s="1"/>
  <c r="M340" i="1"/>
  <c r="D350" i="1"/>
  <c r="M351" i="1" l="1"/>
  <c r="C350" i="1"/>
  <c r="M358" i="1" s="1"/>
  <c r="B350" i="1"/>
  <c r="D361" i="1"/>
  <c r="B361" i="1" l="1"/>
  <c r="C361" i="1" s="1"/>
  <c r="M369" i="1" s="1"/>
  <c r="M362" i="1"/>
  <c r="D372" i="1"/>
  <c r="M373" i="1" l="1"/>
  <c r="C372" i="1"/>
  <c r="M380" i="1" s="1"/>
  <c r="B372" i="1"/>
  <c r="D383" i="1"/>
  <c r="B383" i="1" l="1"/>
  <c r="C383" i="1" s="1"/>
  <c r="M391" i="1" s="1"/>
  <c r="M384" i="1"/>
  <c r="D394" i="1"/>
  <c r="M395" i="1" l="1"/>
  <c r="B394" i="1"/>
  <c r="C394" i="1" s="1"/>
  <c r="M402" i="1" s="1"/>
  <c r="D405" i="1"/>
  <c r="B405" i="1" l="1"/>
  <c r="C405" i="1" s="1"/>
  <c r="M413" i="1" s="1"/>
  <c r="M406" i="1"/>
  <c r="D416" i="1"/>
  <c r="M417" i="1" l="1"/>
  <c r="B416" i="1"/>
  <c r="C416" i="1" s="1"/>
  <c r="M424" i="1" s="1"/>
  <c r="D427" i="1"/>
  <c r="B427" i="1" l="1"/>
  <c r="C427" i="1" s="1"/>
  <c r="M435" i="1" s="1"/>
  <c r="M428" i="1"/>
</calcChain>
</file>

<file path=xl/sharedStrings.xml><?xml version="1.0" encoding="utf-8"?>
<sst xmlns="http://schemas.openxmlformats.org/spreadsheetml/2006/main" count="1084" uniqueCount="255">
  <si>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</si>
  <si>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</si>
  <si>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</si>
  <si>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</si>
  <si>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</si>
  <si>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</si>
  <si>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</si>
  <si>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</si>
  <si>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</si>
  <si>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</si>
  <si>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</si>
  <si>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</si>
  <si>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</si>
  <si>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</si>
  <si>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</si>
  <si>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</si>
  <si>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</si>
  <si>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</si>
  <si>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</si>
  <si>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</si>
  <si>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</si>
  <si>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</si>
  <si>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</si>
  <si>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</si>
  <si>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</si>
  <si>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</si>
  <si>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</si>
  <si>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</si>
  <si>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</si>
  <si>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</si>
  <si>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</si>
  <si>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</si>
  <si>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</si>
  <si>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</si>
  <si>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</si>
  <si>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</si>
  <si>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</si>
  <si>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</si>
  <si>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</si>
  <si>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</si>
  <si>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</si>
  <si>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</si>
  <si>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</si>
  <si>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</si>
  <si>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</si>
  <si>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</si>
  <si>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</si>
  <si>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</si>
  <si>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</si>
  <si>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</si>
  <si>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</si>
  <si>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</si>
  <si>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</si>
  <si>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</si>
  <si>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</si>
  <si>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</si>
  <si>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</si>
  <si>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</si>
  <si>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</si>
  <si>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</si>
  <si>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</si>
  <si>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</si>
  <si>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</si>
  <si>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</si>
  <si>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</si>
  <si>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</si>
  <si>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</si>
  <si>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</si>
  <si>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</si>
  <si>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</si>
  <si>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</si>
  <si>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</si>
  <si>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</si>
  <si>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</si>
  <si>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</si>
  <si>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</si>
  <si>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</si>
  <si>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</si>
  <si>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</si>
  <si>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</si>
  <si>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</si>
  <si>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</si>
  <si>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</si>
  <si>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</si>
  <si>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</si>
  <si>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</si>
  <si>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</si>
  <si>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</si>
  <si>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</si>
  <si>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</si>
  <si>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</si>
  <si>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</si>
  <si>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</si>
  <si>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</si>
  <si>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</si>
  <si>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</si>
  <si>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</si>
  <si>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</si>
  <si>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</si>
  <si>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</si>
  <si>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</si>
  <si>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</si>
  <si>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</si>
  <si>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</si>
  <si>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</si>
  <si>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</si>
  <si>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</si>
  <si>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</si>
  <si>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</si>
  <si>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</si>
  <si>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</si>
  <si>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</si>
  <si>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</si>
  <si>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</si>
  <si>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</si>
  <si>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</si>
  <si>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</si>
  <si>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</si>
  <si>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</si>
  <si>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</si>
  <si>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</si>
  <si>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</si>
  <si>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</si>
  <si>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</si>
  <si>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</si>
  <si>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</si>
  <si>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</si>
  <si>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</si>
  <si>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</si>
  <si>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</si>
  <si>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</si>
  <si>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</si>
  <si>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</si>
  <si>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</si>
  <si>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</si>
  <si>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</si>
  <si>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</si>
  <si>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</si>
  <si>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</si>
  <si>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</si>
  <si>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</si>
  <si>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</si>
  <si>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</si>
  <si>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</si>
  <si>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</si>
  <si>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</si>
  <si>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</si>
  <si>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</si>
  <si>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</si>
  <si>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</si>
  <si>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</si>
  <si>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</si>
  <si>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</si>
  <si>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</si>
  <si>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</si>
  <si>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</si>
  <si>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</si>
  <si>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</si>
  <si>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</si>
  <si>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</si>
  <si>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</si>
  <si>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</si>
  <si>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</si>
  <si>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</si>
  <si>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</si>
  <si>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</si>
  <si>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</si>
  <si>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</si>
  <si>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</si>
  <si>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</si>
  <si>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</si>
  <si>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</si>
  <si>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</si>
  <si>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</si>
  <si>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</si>
  <si>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</si>
  <si>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</si>
  <si>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</si>
  <si>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</si>
  <si>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</si>
  <si>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</si>
  <si>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</si>
  <si>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</si>
  <si>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</si>
  <si>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</si>
  <si>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</si>
  <si>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</si>
  <si>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</si>
  <si>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</si>
  <si>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</si>
  <si>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</si>
  <si>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</si>
  <si>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</si>
  <si>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</si>
  <si>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</si>
  <si>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</si>
  <si>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</si>
  <si>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</si>
  <si>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</si>
  <si>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</si>
  <si>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</si>
  <si>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</si>
  <si>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</si>
  <si>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</si>
  <si>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</si>
  <si>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</si>
  <si>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</si>
  <si>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</si>
  <si>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</si>
  <si>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</si>
  <si>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</si>
  <si>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</si>
  <si>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</si>
  <si>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</si>
  <si>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</si>
  <si>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</si>
  <si>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</si>
  <si>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</si>
  <si>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</si>
  <si>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</si>
  <si>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</si>
  <si>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</si>
  <si>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</si>
  <si>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</si>
  <si>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</si>
  <si>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</si>
  <si>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</si>
  <si>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</si>
  <si>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</si>
  <si>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</si>
  <si>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</si>
  <si>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</si>
  <si>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</si>
  <si>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</si>
  <si>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</si>
  <si>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</si>
  <si>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</si>
  <si>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</si>
  <si>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</si>
  <si>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</si>
  <si>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</si>
  <si>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</si>
  <si>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</si>
  <si>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</si>
  <si>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</si>
  <si>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</si>
  <si>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</si>
  <si>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EnemyShot2</t>
  </si>
  <si>
    <t>EnemyShot2</t>
    <phoneticPr fontId="2" type="noConversion"/>
  </si>
  <si>
    <t>Shot2_red</t>
  </si>
  <si>
    <t>Shot2_red</t>
    <phoneticPr fontId="2" type="noConversion"/>
  </si>
  <si>
    <t>2,3</t>
  </si>
  <si>
    <t>2,3</t>
    <phoneticPr fontId="2" type="noConversion"/>
  </si>
  <si>
    <t>18500</t>
  </si>
  <si>
    <t>18500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</si>
</sst>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437"/>
  <sheetViews>
    <sheetView tabSelected="1" zoomScale="115" zoomScaleNormal="115" workbookViewId="0">
      <pane ySplit="1" topLeftCell="A197" activePane="bottomLeft" state="frozen"/>
      <selection pane="bottomLeft" activeCell="M41" sqref="M41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41" spans="1:60">
      <c r="A41" s="21">
        <f>G43*H43</f>
        <v>36</v>
      </c>
      <c r="B41" s="9"/>
      <c r="C41" s="9"/>
      <c r="D41" s="9"/>
      <c r="R41" s="12"/>
      <c r="S41" s="9"/>
      <c r="U41" s="12"/>
      <c r="X41" s="15"/>
      <c r="AE41" s="16"/>
      <c r="BH41" s="9"/>
    </row>
    <row r="42" spans="1:60">
      <c r="A42" s="21" t="s">
        <v>227</v>
      </c>
      <c r="B42" s="21">
        <f t="shared" ref="B42" si="0">QUOTIENT( D42-1,G43)+1</f>
        <v>1</v>
      </c>
      <c r="C42" s="21">
        <f t="shared" ref="C42" si="1">D42-(B42-1)*G43</f>
        <v>1</v>
      </c>
      <c r="D42" s="21">
        <f>COUNT($D$41:$D41)+1</f>
        <v>1</v>
      </c>
      <c r="R42" s="12"/>
      <c r="S42" s="9"/>
      <c r="U42" s="12"/>
      <c r="X42" s="15"/>
      <c r="AE42" s="16"/>
      <c r="BH42" s="9"/>
    </row>
    <row r="43" spans="1:60">
      <c r="E43" s="21">
        <f t="shared" ref="E43:E106" si="2">ROW(E43)</f>
        <v>43</v>
      </c>
      <c r="F43" s="9" t="s">
        <v>93</v>
      </c>
      <c r="G43" s="21">
        <v>36</v>
      </c>
      <c r="H43" s="21">
        <v>1</v>
      </c>
      <c r="J43" s="9" t="s">
        <v>254</v>
      </c>
      <c r="M43" s="21">
        <f t="shared" ref="M43" si="3">J43+D42</f>
        <v>18501</v>
      </c>
      <c r="R43" s="12"/>
      <c r="S43" s="9"/>
      <c r="U43" s="12"/>
      <c r="X43" s="15"/>
      <c r="AE43" s="16"/>
      <c r="BH43" s="9"/>
    </row>
    <row r="44" spans="1:60">
      <c r="E44" s="21">
        <f t="shared" si="2"/>
        <v>44</v>
      </c>
      <c r="F44" s="9" t="s">
        <v>142</v>
      </c>
      <c r="M44" s="21">
        <v>182108</v>
      </c>
      <c r="R44" s="12"/>
      <c r="S44" s="9"/>
      <c r="U44" s="12"/>
      <c r="X44" s="15"/>
      <c r="AE44" s="16"/>
      <c r="BH44" s="9"/>
    </row>
    <row r="45" spans="1:60">
      <c r="E45" s="21">
        <f t="shared" si="2"/>
        <v>45</v>
      </c>
      <c r="F45" s="9" t="s">
        <v>126</v>
      </c>
      <c r="M45" s="27">
        <v>0</v>
      </c>
      <c r="R45" s="12"/>
      <c r="S45" s="9"/>
      <c r="U45" s="12"/>
      <c r="X45" s="15"/>
      <c r="AE45" s="16"/>
      <c r="BH45" s="9"/>
    </row>
    <row r="46" spans="1:60">
      <c r="E46" s="21">
        <f t="shared" si="2"/>
        <v>46</v>
      </c>
      <c r="F46" s="9" t="s">
        <v>29</v>
      </c>
      <c r="M46" s="21" t="s">
        <v>248</v>
      </c>
      <c r="R46" s="12"/>
      <c r="S46" s="9"/>
      <c r="U46" s="12"/>
      <c r="X46" s="15"/>
      <c r="AE46" s="16"/>
      <c r="BH46" s="9"/>
    </row>
    <row r="47" spans="1:60">
      <c r="E47" s="21">
        <f t="shared" si="2"/>
        <v>47</v>
      </c>
      <c r="F47" s="9" t="s">
        <v>118</v>
      </c>
      <c r="M47" s="21" t="s">
        <v>250</v>
      </c>
      <c r="R47" s="12"/>
      <c r="S47" s="9"/>
      <c r="U47" s="12"/>
      <c r="X47" s="15"/>
      <c r="AE47" s="16"/>
      <c r="BH47" s="9"/>
    </row>
    <row r="48" spans="1:60">
      <c r="E48" s="21">
        <f t="shared" si="2"/>
        <v>48</v>
      </c>
      <c r="F48" s="9" t="s">
        <v>98</v>
      </c>
      <c r="K48" s="9" t="s">
        <v>137</v>
      </c>
      <c r="M48" s="21">
        <v>2</v>
      </c>
      <c r="R48" s="12"/>
      <c r="S48" s="9"/>
      <c r="U48" s="12"/>
      <c r="X48" s="15"/>
      <c r="AE48" s="16"/>
      <c r="BH48" s="9"/>
    </row>
    <row r="49" spans="1:60">
      <c r="E49" s="21">
        <f>ROW(E49)</f>
        <v>49</v>
      </c>
      <c r="F49" s="9" t="s">
        <v>31</v>
      </c>
      <c r="L49" s="9" t="s">
        <v>135</v>
      </c>
      <c r="M49" s="26" t="s">
        <v>252</v>
      </c>
      <c r="R49" s="12"/>
      <c r="S49" s="9"/>
      <c r="U49" s="12"/>
      <c r="X49" s="15"/>
      <c r="AE49" s="16"/>
      <c r="BH49" s="9"/>
    </row>
    <row r="50" spans="1:60">
      <c r="E50" s="21">
        <f t="shared" si="2"/>
        <v>50</v>
      </c>
      <c r="F50" s="9" t="s">
        <v>182</v>
      </c>
      <c r="G50" s="21">
        <v>360</v>
      </c>
      <c r="L50" s="9" t="s">
        <v>134</v>
      </c>
      <c r="M50" s="26">
        <f>G50/G43*C42</f>
        <v>10</v>
      </c>
      <c r="R50" s="12"/>
      <c r="S50" s="9"/>
      <c r="U50" s="12"/>
      <c r="X50" s="15"/>
      <c r="AE50" s="16"/>
      <c r="BH50" s="9"/>
    </row>
    <row r="51" spans="1:60">
      <c r="E51" s="21">
        <f>ROW(E51)</f>
        <v>51</v>
      </c>
      <c r="F51" s="9" t="s">
        <v>114</v>
      </c>
      <c r="M51" s="26" t="b">
        <v>1</v>
      </c>
      <c r="R51" s="12"/>
      <c r="S51" s="9"/>
      <c r="U51" s="12"/>
      <c r="X51" s="15"/>
      <c r="AE51" s="16"/>
      <c r="BH51" s="9"/>
    </row>
    <row r="52" spans="1:60">
      <c r="E52" s="21">
        <f t="shared" si="2"/>
        <v>52</v>
      </c>
      <c r="F52" s="9" t="s">
        <v>115</v>
      </c>
      <c r="M52" s="26">
        <v>2</v>
      </c>
      <c r="R52" s="12"/>
      <c r="S52" s="9"/>
      <c r="U52" s="12"/>
      <c r="X52" s="15"/>
      <c r="AE52" s="16"/>
      <c r="BH52" s="9"/>
    </row>
    <row r="53" spans="1:60">
      <c r="A53" s="21" t="s">
        <v>227</v>
      </c>
      <c r="B53" s="21">
        <f t="shared" ref="B53:B116" si="4">QUOTIENT( D53-1,G54)+1</f>
        <v>1</v>
      </c>
      <c r="C53" s="21">
        <f t="shared" ref="C53:C116" si="5">D53-(B53-1)*G54</f>
        <v>2</v>
      </c>
      <c r="D53" s="21">
        <f>COUNT($D$41:$D52)+1</f>
        <v>2</v>
      </c>
    </row>
    <row r="54" spans="1:60">
      <c r="E54" s="21">
        <f t="shared" si="2"/>
        <v>54</v>
      </c>
      <c r="F54" s="9" t="s">
        <v>93</v>
      </c>
      <c r="G54" s="21">
        <v>36</v>
      </c>
      <c r="H54" s="21">
        <v>1</v>
      </c>
      <c r="J54" s="9" t="s">
        <v>253</v>
      </c>
      <c r="M54" s="21">
        <f t="shared" ref="M54:M117" si="6">J54+D53</f>
        <v>18502</v>
      </c>
    </row>
    <row r="55" spans="1:60">
      <c r="E55" s="21">
        <f t="shared" si="2"/>
        <v>55</v>
      </c>
      <c r="F55" s="9" t="s">
        <v>142</v>
      </c>
      <c r="M55" s="21">
        <v>182108</v>
      </c>
    </row>
    <row r="56" spans="1:60">
      <c r="E56" s="21">
        <f t="shared" si="2"/>
        <v>56</v>
      </c>
      <c r="F56" s="9" t="s">
        <v>126</v>
      </c>
      <c r="M56" s="21">
        <v>0</v>
      </c>
    </row>
    <row r="57" spans="1:60">
      <c r="E57" s="21">
        <f t="shared" si="2"/>
        <v>57</v>
      </c>
      <c r="F57" s="9" t="s">
        <v>29</v>
      </c>
      <c r="M57" s="21" t="s">
        <v>247</v>
      </c>
    </row>
    <row r="58" spans="1:60">
      <c r="E58" s="21">
        <f t="shared" si="2"/>
        <v>58</v>
      </c>
      <c r="F58" s="9" t="s">
        <v>118</v>
      </c>
      <c r="M58" s="21" t="s">
        <v>249</v>
      </c>
    </row>
    <row r="59" spans="1:60">
      <c r="E59" s="21">
        <f t="shared" si="2"/>
        <v>59</v>
      </c>
      <c r="F59" s="9" t="s">
        <v>98</v>
      </c>
      <c r="K59" s="9" t="s">
        <v>137</v>
      </c>
      <c r="M59" s="21">
        <v>2</v>
      </c>
    </row>
    <row r="60" spans="1:60">
      <c r="E60" s="21">
        <f t="shared" si="2"/>
        <v>60</v>
      </c>
      <c r="F60" s="9" t="s">
        <v>31</v>
      </c>
      <c r="L60" s="9" t="s">
        <v>135</v>
      </c>
      <c r="M60" s="21" t="s">
        <v>251</v>
      </c>
    </row>
    <row r="61" spans="1:60">
      <c r="E61" s="21">
        <f t="shared" si="2"/>
        <v>61</v>
      </c>
      <c r="F61" s="9" t="s">
        <v>182</v>
      </c>
      <c r="G61" s="21">
        <v>360</v>
      </c>
      <c r="L61" s="9" t="s">
        <v>134</v>
      </c>
      <c r="M61" s="21">
        <f t="shared" ref="M61" si="7">G61/G54*C53</f>
        <v>20</v>
      </c>
    </row>
    <row r="62" spans="1:60">
      <c r="E62" s="21">
        <f t="shared" si="2"/>
        <v>62</v>
      </c>
      <c r="F62" s="9" t="s">
        <v>114</v>
      </c>
      <c r="M62" s="21" t="b">
        <v>1</v>
      </c>
    </row>
    <row r="63" spans="1:60">
      <c r="E63" s="21">
        <f t="shared" si="2"/>
        <v>63</v>
      </c>
      <c r="F63" s="9" t="s">
        <v>115</v>
      </c>
      <c r="M63" s="21">
        <v>2</v>
      </c>
    </row>
    <row r="64" spans="1:60">
      <c r="A64" s="21" t="s">
        <v>227</v>
      </c>
      <c r="B64" s="21">
        <f t="shared" ref="B64:B127" si="8">QUOTIENT( D64-1,G65)+1</f>
        <v>1</v>
      </c>
      <c r="C64" s="21">
        <f t="shared" ref="C64:C127" si="9">D64-(B64-1)*G65</f>
        <v>3</v>
      </c>
      <c r="D64" s="21">
        <f>COUNT($D$41:$D63)+1</f>
        <v>3</v>
      </c>
    </row>
    <row r="65" spans="1:13">
      <c r="E65" s="21">
        <f t="shared" si="2"/>
        <v>65</v>
      </c>
      <c r="F65" s="9" t="s">
        <v>93</v>
      </c>
      <c r="G65" s="21">
        <v>36</v>
      </c>
      <c r="H65" s="21">
        <v>1</v>
      </c>
      <c r="J65" s="9" t="s">
        <v>253</v>
      </c>
      <c r="M65" s="21">
        <f t="shared" ref="M65:M128" si="10">J65+D64</f>
        <v>18503</v>
      </c>
    </row>
    <row r="66" spans="1:13">
      <c r="E66" s="21">
        <f t="shared" si="2"/>
        <v>66</v>
      </c>
      <c r="F66" s="9" t="s">
        <v>142</v>
      </c>
      <c r="M66" s="21">
        <v>182108</v>
      </c>
    </row>
    <row r="67" spans="1:13">
      <c r="E67" s="21">
        <f t="shared" si="2"/>
        <v>67</v>
      </c>
      <c r="F67" s="9" t="s">
        <v>126</v>
      </c>
      <c r="M67" s="21">
        <v>0</v>
      </c>
    </row>
    <row r="68" spans="1:13">
      <c r="E68" s="21">
        <f t="shared" si="2"/>
        <v>68</v>
      </c>
      <c r="F68" s="9" t="s">
        <v>29</v>
      </c>
      <c r="M68" s="21" t="s">
        <v>247</v>
      </c>
    </row>
    <row r="69" spans="1:13">
      <c r="E69" s="21">
        <f t="shared" si="2"/>
        <v>69</v>
      </c>
      <c r="F69" s="9" t="s">
        <v>118</v>
      </c>
      <c r="M69" s="21" t="s">
        <v>249</v>
      </c>
    </row>
    <row r="70" spans="1:13">
      <c r="E70" s="21">
        <f t="shared" si="2"/>
        <v>70</v>
      </c>
      <c r="F70" s="9" t="s">
        <v>98</v>
      </c>
      <c r="K70" s="9" t="s">
        <v>137</v>
      </c>
      <c r="M70" s="21">
        <v>2</v>
      </c>
    </row>
    <row r="71" spans="1:13">
      <c r="E71" s="21">
        <f t="shared" si="2"/>
        <v>71</v>
      </c>
      <c r="F71" s="9" t="s">
        <v>31</v>
      </c>
      <c r="L71" s="9" t="s">
        <v>135</v>
      </c>
      <c r="M71" s="21" t="s">
        <v>251</v>
      </c>
    </row>
    <row r="72" spans="1:13">
      <c r="E72" s="21">
        <f t="shared" si="2"/>
        <v>72</v>
      </c>
      <c r="F72" s="9" t="s">
        <v>182</v>
      </c>
      <c r="G72" s="21">
        <v>360</v>
      </c>
      <c r="L72" s="9" t="s">
        <v>134</v>
      </c>
      <c r="M72" s="21">
        <f t="shared" ref="M72" si="11">G72/G65*C64</f>
        <v>30</v>
      </c>
    </row>
    <row r="73" spans="1:13">
      <c r="E73" s="21">
        <f t="shared" si="2"/>
        <v>73</v>
      </c>
      <c r="F73" s="9" t="s">
        <v>114</v>
      </c>
      <c r="G73" s="27"/>
      <c r="H73" s="28"/>
      <c r="M73" s="21" t="b">
        <v>1</v>
      </c>
    </row>
    <row r="74" spans="1:13">
      <c r="E74" s="21">
        <f t="shared" si="2"/>
        <v>74</v>
      </c>
      <c r="F74" s="9" t="s">
        <v>115</v>
      </c>
      <c r="M74" s="21">
        <v>2</v>
      </c>
    </row>
    <row r="75" spans="1:13">
      <c r="A75" s="21" t="s">
        <v>227</v>
      </c>
      <c r="B75" s="21">
        <f t="shared" ref="B75:B138" si="12">QUOTIENT( D75-1,G76)+1</f>
        <v>1</v>
      </c>
      <c r="C75" s="21">
        <f t="shared" ref="C75:C138" si="13">D75-(B75-1)*G76</f>
        <v>4</v>
      </c>
      <c r="D75" s="21">
        <f>COUNT($D$41:$D74)+1</f>
        <v>4</v>
      </c>
    </row>
    <row r="76" spans="1:13">
      <c r="E76" s="21">
        <f t="shared" si="2"/>
        <v>76</v>
      </c>
      <c r="F76" s="9" t="s">
        <v>93</v>
      </c>
      <c r="G76" s="21">
        <v>36</v>
      </c>
      <c r="H76" s="21">
        <v>1</v>
      </c>
      <c r="J76" s="9" t="s">
        <v>253</v>
      </c>
      <c r="M76" s="21">
        <f t="shared" ref="M76:M139" si="14">J76+D75</f>
        <v>18504</v>
      </c>
    </row>
    <row r="77" spans="1:13">
      <c r="E77" s="21">
        <f t="shared" si="2"/>
        <v>77</v>
      </c>
      <c r="F77" s="9" t="s">
        <v>142</v>
      </c>
      <c r="M77" s="21">
        <v>182108</v>
      </c>
    </row>
    <row r="78" spans="1:13">
      <c r="E78" s="21">
        <f t="shared" si="2"/>
        <v>78</v>
      </c>
      <c r="F78" s="9" t="s">
        <v>126</v>
      </c>
      <c r="M78" s="21">
        <v>0</v>
      </c>
    </row>
    <row r="79" spans="1:13">
      <c r="E79" s="21">
        <f t="shared" si="2"/>
        <v>79</v>
      </c>
      <c r="F79" s="9" t="s">
        <v>29</v>
      </c>
      <c r="M79" s="21" t="s">
        <v>247</v>
      </c>
    </row>
    <row r="80" spans="1:13">
      <c r="E80" s="21">
        <f t="shared" si="2"/>
        <v>80</v>
      </c>
      <c r="F80" s="9" t="s">
        <v>118</v>
      </c>
      <c r="M80" s="21" t="s">
        <v>249</v>
      </c>
    </row>
    <row r="81" spans="1:13">
      <c r="E81" s="21">
        <f t="shared" si="2"/>
        <v>81</v>
      </c>
      <c r="F81" s="9" t="s">
        <v>98</v>
      </c>
      <c r="K81" s="9" t="s">
        <v>137</v>
      </c>
      <c r="M81" s="21">
        <v>2</v>
      </c>
    </row>
    <row r="82" spans="1:13">
      <c r="E82" s="21">
        <f t="shared" si="2"/>
        <v>82</v>
      </c>
      <c r="F82" s="9" t="s">
        <v>31</v>
      </c>
      <c r="L82" s="9" t="s">
        <v>135</v>
      </c>
      <c r="M82" s="21" t="s">
        <v>251</v>
      </c>
    </row>
    <row r="83" spans="1:13">
      <c r="E83" s="21">
        <f t="shared" si="2"/>
        <v>83</v>
      </c>
      <c r="F83" s="9" t="s">
        <v>182</v>
      </c>
      <c r="G83" s="21">
        <v>360</v>
      </c>
      <c r="L83" s="9" t="s">
        <v>134</v>
      </c>
      <c r="M83" s="21">
        <f t="shared" ref="M83" si="15">G83/G76*C75</f>
        <v>40</v>
      </c>
    </row>
    <row r="84" spans="1:13">
      <c r="E84" s="21">
        <f t="shared" si="2"/>
        <v>84</v>
      </c>
      <c r="F84" s="9" t="s">
        <v>114</v>
      </c>
      <c r="M84" s="21" t="b">
        <v>1</v>
      </c>
    </row>
    <row r="85" spans="1:13">
      <c r="E85" s="21">
        <f t="shared" si="2"/>
        <v>85</v>
      </c>
      <c r="F85" s="9" t="s">
        <v>115</v>
      </c>
      <c r="M85" s="21">
        <v>2</v>
      </c>
    </row>
    <row r="86" spans="1:13">
      <c r="A86" s="21" t="s">
        <v>227</v>
      </c>
      <c r="B86" s="21">
        <f t="shared" ref="B86:B149" si="16">QUOTIENT( D86-1,G87)+1</f>
        <v>1</v>
      </c>
      <c r="C86" s="21">
        <f t="shared" ref="C86:C149" si="17">D86-(B86-1)*G87</f>
        <v>5</v>
      </c>
      <c r="D86" s="21">
        <f>COUNT($D$41:$D85)+1</f>
        <v>5</v>
      </c>
    </row>
    <row r="87" spans="1:13">
      <c r="E87" s="21">
        <f t="shared" si="2"/>
        <v>87</v>
      </c>
      <c r="F87" s="9" t="s">
        <v>93</v>
      </c>
      <c r="G87" s="21">
        <v>36</v>
      </c>
      <c r="H87" s="21">
        <v>1</v>
      </c>
      <c r="J87" s="9" t="s">
        <v>253</v>
      </c>
      <c r="M87" s="21">
        <f t="shared" ref="M87:M150" si="18">J87+D86</f>
        <v>18505</v>
      </c>
    </row>
    <row r="88" spans="1:13">
      <c r="E88" s="21">
        <f t="shared" si="2"/>
        <v>88</v>
      </c>
      <c r="F88" s="9" t="s">
        <v>142</v>
      </c>
      <c r="M88" s="21">
        <v>182108</v>
      </c>
    </row>
    <row r="89" spans="1:13">
      <c r="E89" s="21">
        <f t="shared" si="2"/>
        <v>89</v>
      </c>
      <c r="F89" s="9" t="s">
        <v>126</v>
      </c>
      <c r="M89" s="21">
        <v>0</v>
      </c>
    </row>
    <row r="90" spans="1:13">
      <c r="E90" s="21">
        <f t="shared" si="2"/>
        <v>90</v>
      </c>
      <c r="F90" s="9" t="s">
        <v>29</v>
      </c>
      <c r="M90" s="21" t="s">
        <v>247</v>
      </c>
    </row>
    <row r="91" spans="1:13">
      <c r="E91" s="21">
        <f t="shared" si="2"/>
        <v>91</v>
      </c>
      <c r="F91" s="9" t="s">
        <v>118</v>
      </c>
      <c r="M91" s="21" t="s">
        <v>249</v>
      </c>
    </row>
    <row r="92" spans="1:13">
      <c r="E92" s="21">
        <f t="shared" si="2"/>
        <v>92</v>
      </c>
      <c r="F92" s="9" t="s">
        <v>98</v>
      </c>
      <c r="K92" s="9" t="s">
        <v>137</v>
      </c>
      <c r="M92" s="21">
        <v>2</v>
      </c>
    </row>
    <row r="93" spans="1:13">
      <c r="E93" s="21">
        <f t="shared" si="2"/>
        <v>93</v>
      </c>
      <c r="F93" s="9" t="s">
        <v>31</v>
      </c>
      <c r="L93" s="9" t="s">
        <v>135</v>
      </c>
      <c r="M93" s="21" t="s">
        <v>251</v>
      </c>
    </row>
    <row r="94" spans="1:13">
      <c r="E94" s="21">
        <f t="shared" si="2"/>
        <v>94</v>
      </c>
      <c r="F94" s="9" t="s">
        <v>182</v>
      </c>
      <c r="G94" s="21">
        <v>360</v>
      </c>
      <c r="L94" s="9" t="s">
        <v>134</v>
      </c>
      <c r="M94" s="21">
        <f t="shared" ref="M94" si="19">G94/G87*C86</f>
        <v>50</v>
      </c>
    </row>
    <row r="95" spans="1:13">
      <c r="E95" s="21">
        <f t="shared" si="2"/>
        <v>95</v>
      </c>
      <c r="F95" s="9" t="s">
        <v>114</v>
      </c>
      <c r="M95" s="21" t="b">
        <v>1</v>
      </c>
    </row>
    <row r="96" spans="1:13">
      <c r="E96" s="21">
        <f t="shared" si="2"/>
        <v>96</v>
      </c>
      <c r="F96" s="9" t="s">
        <v>115</v>
      </c>
      <c r="M96" s="21">
        <v>2</v>
      </c>
    </row>
    <row r="97" spans="1:13">
      <c r="A97" s="21" t="s">
        <v>227</v>
      </c>
      <c r="B97" s="21">
        <f t="shared" ref="B97:B160" si="20">QUOTIENT( D97-1,G98)+1</f>
        <v>1</v>
      </c>
      <c r="C97" s="21">
        <f t="shared" ref="C97:C160" si="21">D97-(B97-1)*G98</f>
        <v>6</v>
      </c>
      <c r="D97" s="21">
        <f>COUNT($D$41:$D96)+1</f>
        <v>6</v>
      </c>
    </row>
    <row r="98" spans="1:13">
      <c r="E98" s="21">
        <f t="shared" si="2"/>
        <v>98</v>
      </c>
      <c r="F98" s="9" t="s">
        <v>93</v>
      </c>
      <c r="G98" s="21">
        <v>36</v>
      </c>
      <c r="H98" s="21">
        <v>1</v>
      </c>
      <c r="J98" s="9" t="s">
        <v>253</v>
      </c>
      <c r="M98" s="21">
        <f t="shared" ref="M98:M161" si="22">J98+D97</f>
        <v>18506</v>
      </c>
    </row>
    <row r="99" spans="1:13">
      <c r="E99" s="21">
        <f t="shared" si="2"/>
        <v>99</v>
      </c>
      <c r="F99" s="9" t="s">
        <v>142</v>
      </c>
      <c r="M99" s="21">
        <v>182108</v>
      </c>
    </row>
    <row r="100" spans="1:13">
      <c r="E100" s="21">
        <f t="shared" si="2"/>
        <v>100</v>
      </c>
      <c r="F100" s="9" t="s">
        <v>126</v>
      </c>
      <c r="M100" s="21">
        <v>0</v>
      </c>
    </row>
    <row r="101" spans="1:13">
      <c r="E101" s="21">
        <f t="shared" si="2"/>
        <v>101</v>
      </c>
      <c r="F101" s="9" t="s">
        <v>29</v>
      </c>
      <c r="M101" s="21" t="s">
        <v>247</v>
      </c>
    </row>
    <row r="102" spans="1:13">
      <c r="E102" s="21">
        <f t="shared" si="2"/>
        <v>102</v>
      </c>
      <c r="F102" s="9" t="s">
        <v>118</v>
      </c>
      <c r="M102" s="21" t="s">
        <v>249</v>
      </c>
    </row>
    <row r="103" spans="1:13">
      <c r="E103" s="21">
        <f t="shared" si="2"/>
        <v>103</v>
      </c>
      <c r="F103" s="9" t="s">
        <v>98</v>
      </c>
      <c r="K103" s="9" t="s">
        <v>137</v>
      </c>
      <c r="M103" s="21">
        <v>2</v>
      </c>
    </row>
    <row r="104" spans="1:13">
      <c r="E104" s="21">
        <f t="shared" si="2"/>
        <v>104</v>
      </c>
      <c r="F104" s="9" t="s">
        <v>31</v>
      </c>
      <c r="L104" s="9" t="s">
        <v>135</v>
      </c>
      <c r="M104" s="21" t="s">
        <v>251</v>
      </c>
    </row>
    <row r="105" spans="1:13">
      <c r="E105" s="21">
        <f t="shared" si="2"/>
        <v>105</v>
      </c>
      <c r="F105" s="9" t="s">
        <v>182</v>
      </c>
      <c r="G105" s="21">
        <v>360</v>
      </c>
      <c r="L105" s="9" t="s">
        <v>134</v>
      </c>
      <c r="M105" s="21">
        <f t="shared" ref="M105" si="23">G105/G98*C97</f>
        <v>60</v>
      </c>
    </row>
    <row r="106" spans="1:13">
      <c r="E106" s="21">
        <f t="shared" si="2"/>
        <v>106</v>
      </c>
      <c r="F106" s="9" t="s">
        <v>114</v>
      </c>
      <c r="M106" s="21" t="b">
        <v>1</v>
      </c>
    </row>
    <row r="107" spans="1:13">
      <c r="E107" s="21">
        <f t="shared" ref="E107:E170" si="24">ROW(E107)</f>
        <v>107</v>
      </c>
      <c r="F107" s="9" t="s">
        <v>115</v>
      </c>
      <c r="M107" s="21">
        <v>2</v>
      </c>
    </row>
    <row r="108" spans="1:13">
      <c r="A108" s="21" t="s">
        <v>227</v>
      </c>
      <c r="B108" s="21">
        <f t="shared" ref="B108:B171" si="25">QUOTIENT( D108-1,G109)+1</f>
        <v>1</v>
      </c>
      <c r="C108" s="21">
        <f t="shared" ref="C108:C171" si="26">D108-(B108-1)*G109</f>
        <v>7</v>
      </c>
      <c r="D108" s="21">
        <f>COUNT($D$41:$D107)+1</f>
        <v>7</v>
      </c>
    </row>
    <row r="109" spans="1:13">
      <c r="E109" s="21">
        <f t="shared" si="24"/>
        <v>109</v>
      </c>
      <c r="F109" s="9" t="s">
        <v>93</v>
      </c>
      <c r="G109" s="21">
        <v>36</v>
      </c>
      <c r="H109" s="21">
        <v>1</v>
      </c>
      <c r="J109" s="9" t="s">
        <v>253</v>
      </c>
      <c r="M109" s="21">
        <f t="shared" ref="M109:M172" si="27">J109+D108</f>
        <v>18507</v>
      </c>
    </row>
    <row r="110" spans="1:13">
      <c r="E110" s="21">
        <f t="shared" si="24"/>
        <v>110</v>
      </c>
      <c r="F110" s="9" t="s">
        <v>142</v>
      </c>
      <c r="M110" s="21">
        <v>182108</v>
      </c>
    </row>
    <row r="111" spans="1:13">
      <c r="E111" s="21">
        <f t="shared" si="24"/>
        <v>111</v>
      </c>
      <c r="F111" s="9" t="s">
        <v>126</v>
      </c>
      <c r="M111" s="21">
        <v>0</v>
      </c>
    </row>
    <row r="112" spans="1:13">
      <c r="E112" s="21">
        <f t="shared" si="24"/>
        <v>112</v>
      </c>
      <c r="F112" s="9" t="s">
        <v>29</v>
      </c>
      <c r="M112" s="21" t="s">
        <v>247</v>
      </c>
    </row>
    <row r="113" spans="1:13">
      <c r="E113" s="21">
        <f t="shared" si="24"/>
        <v>113</v>
      </c>
      <c r="F113" s="9" t="s">
        <v>118</v>
      </c>
      <c r="M113" s="21" t="s">
        <v>249</v>
      </c>
    </row>
    <row r="114" spans="1:13">
      <c r="E114" s="21">
        <f t="shared" si="24"/>
        <v>114</v>
      </c>
      <c r="F114" s="9" t="s">
        <v>98</v>
      </c>
      <c r="K114" s="9" t="s">
        <v>137</v>
      </c>
      <c r="M114" s="21">
        <v>2</v>
      </c>
    </row>
    <row r="115" spans="1:13">
      <c r="E115" s="21">
        <f t="shared" si="24"/>
        <v>115</v>
      </c>
      <c r="F115" s="9" t="s">
        <v>31</v>
      </c>
      <c r="L115" s="9" t="s">
        <v>135</v>
      </c>
      <c r="M115" s="21" t="s">
        <v>251</v>
      </c>
    </row>
    <row r="116" spans="1:13">
      <c r="E116" s="21">
        <f t="shared" si="24"/>
        <v>116</v>
      </c>
      <c r="F116" s="9" t="s">
        <v>182</v>
      </c>
      <c r="G116" s="21">
        <v>360</v>
      </c>
      <c r="L116" s="9" t="s">
        <v>134</v>
      </c>
      <c r="M116" s="21">
        <f t="shared" ref="M116" si="28">G116/G109*C108</f>
        <v>70</v>
      </c>
    </row>
    <row r="117" spans="1:13">
      <c r="E117" s="21">
        <f t="shared" si="24"/>
        <v>117</v>
      </c>
      <c r="F117" s="9" t="s">
        <v>114</v>
      </c>
      <c r="M117" s="21" t="b">
        <v>1</v>
      </c>
    </row>
    <row r="118" spans="1:13">
      <c r="E118" s="21">
        <f t="shared" si="24"/>
        <v>118</v>
      </c>
      <c r="F118" s="9" t="s">
        <v>115</v>
      </c>
      <c r="M118" s="21">
        <v>2</v>
      </c>
    </row>
    <row r="119" spans="1:13">
      <c r="A119" s="21" t="s">
        <v>227</v>
      </c>
      <c r="B119" s="21">
        <f t="shared" ref="B119:B182" si="29">QUOTIENT( D119-1,G120)+1</f>
        <v>1</v>
      </c>
      <c r="C119" s="21">
        <f t="shared" ref="C119:C182" si="30">D119-(B119-1)*G120</f>
        <v>8</v>
      </c>
      <c r="D119" s="21">
        <f>COUNT($D$41:$D118)+1</f>
        <v>8</v>
      </c>
    </row>
    <row r="120" spans="1:13">
      <c r="E120" s="21">
        <f t="shared" si="24"/>
        <v>120</v>
      </c>
      <c r="F120" s="9" t="s">
        <v>93</v>
      </c>
      <c r="G120" s="21">
        <v>36</v>
      </c>
      <c r="H120" s="21">
        <v>1</v>
      </c>
      <c r="J120" s="9" t="s">
        <v>253</v>
      </c>
      <c r="M120" s="21">
        <f t="shared" ref="M120:M183" si="31">J120+D119</f>
        <v>18508</v>
      </c>
    </row>
    <row r="121" spans="1:13">
      <c r="E121" s="21">
        <f t="shared" si="24"/>
        <v>121</v>
      </c>
      <c r="F121" s="9" t="s">
        <v>142</v>
      </c>
      <c r="M121" s="21">
        <v>182108</v>
      </c>
    </row>
    <row r="122" spans="1:13">
      <c r="E122" s="21">
        <f t="shared" si="24"/>
        <v>122</v>
      </c>
      <c r="F122" s="9" t="s">
        <v>126</v>
      </c>
      <c r="M122" s="21">
        <v>0</v>
      </c>
    </row>
    <row r="123" spans="1:13">
      <c r="E123" s="21">
        <f t="shared" si="24"/>
        <v>123</v>
      </c>
      <c r="F123" s="9" t="s">
        <v>29</v>
      </c>
      <c r="M123" s="21" t="s">
        <v>247</v>
      </c>
    </row>
    <row r="124" spans="1:13">
      <c r="E124" s="21">
        <f t="shared" si="24"/>
        <v>124</v>
      </c>
      <c r="F124" s="9" t="s">
        <v>118</v>
      </c>
      <c r="M124" s="21" t="s">
        <v>249</v>
      </c>
    </row>
    <row r="125" spans="1:13">
      <c r="E125" s="21">
        <f t="shared" si="24"/>
        <v>125</v>
      </c>
      <c r="F125" s="9" t="s">
        <v>98</v>
      </c>
      <c r="K125" s="9" t="s">
        <v>137</v>
      </c>
      <c r="M125" s="21">
        <v>2</v>
      </c>
    </row>
    <row r="126" spans="1:13">
      <c r="E126" s="21">
        <f t="shared" si="24"/>
        <v>126</v>
      </c>
      <c r="F126" s="9" t="s">
        <v>31</v>
      </c>
      <c r="L126" s="9" t="s">
        <v>135</v>
      </c>
      <c r="M126" s="21" t="s">
        <v>251</v>
      </c>
    </row>
    <row r="127" spans="1:13">
      <c r="E127" s="21">
        <f t="shared" si="24"/>
        <v>127</v>
      </c>
      <c r="F127" s="9" t="s">
        <v>182</v>
      </c>
      <c r="G127" s="21">
        <v>360</v>
      </c>
      <c r="L127" s="9" t="s">
        <v>134</v>
      </c>
      <c r="M127" s="21">
        <f t="shared" ref="M127" si="32">G127/G120*C119</f>
        <v>80</v>
      </c>
    </row>
    <row r="128" spans="1:13">
      <c r="E128" s="21">
        <f t="shared" si="24"/>
        <v>128</v>
      </c>
      <c r="F128" s="9" t="s">
        <v>114</v>
      </c>
      <c r="M128" s="21" t="b">
        <v>1</v>
      </c>
    </row>
    <row r="129" spans="1:13">
      <c r="E129" s="21">
        <f t="shared" si="24"/>
        <v>129</v>
      </c>
      <c r="F129" s="9" t="s">
        <v>115</v>
      </c>
      <c r="M129" s="21">
        <v>2</v>
      </c>
    </row>
    <row r="130" spans="1:13">
      <c r="A130" s="21" t="s">
        <v>227</v>
      </c>
      <c r="B130" s="21">
        <f t="shared" ref="B130:B193" si="33">QUOTIENT( D130-1,G131)+1</f>
        <v>1</v>
      </c>
      <c r="C130" s="21">
        <f t="shared" ref="C130:C193" si="34">D130-(B130-1)*G131</f>
        <v>9</v>
      </c>
      <c r="D130" s="21">
        <f>COUNT($D$41:$D129)+1</f>
        <v>9</v>
      </c>
    </row>
    <row r="131" spans="1:13">
      <c r="E131" s="21">
        <f t="shared" si="24"/>
        <v>131</v>
      </c>
      <c r="F131" s="9" t="s">
        <v>93</v>
      </c>
      <c r="G131" s="21">
        <v>36</v>
      </c>
      <c r="H131" s="21">
        <v>1</v>
      </c>
      <c r="J131" s="9" t="s">
        <v>253</v>
      </c>
      <c r="M131" s="21">
        <f t="shared" ref="M131:M194" si="35">J131+D130</f>
        <v>18509</v>
      </c>
    </row>
    <row r="132" spans="1:13">
      <c r="E132" s="21">
        <f t="shared" si="24"/>
        <v>132</v>
      </c>
      <c r="F132" s="9" t="s">
        <v>142</v>
      </c>
      <c r="M132" s="21">
        <v>182108</v>
      </c>
    </row>
    <row r="133" spans="1:13">
      <c r="E133" s="21">
        <f t="shared" si="24"/>
        <v>133</v>
      </c>
      <c r="F133" s="9" t="s">
        <v>126</v>
      </c>
      <c r="M133" s="21">
        <v>0</v>
      </c>
    </row>
    <row r="134" spans="1:13">
      <c r="E134" s="21">
        <f t="shared" si="24"/>
        <v>134</v>
      </c>
      <c r="F134" s="9" t="s">
        <v>29</v>
      </c>
      <c r="M134" s="21" t="s">
        <v>247</v>
      </c>
    </row>
    <row r="135" spans="1:13">
      <c r="E135" s="21">
        <f t="shared" si="24"/>
        <v>135</v>
      </c>
      <c r="F135" s="9" t="s">
        <v>118</v>
      </c>
      <c r="M135" s="21" t="s">
        <v>249</v>
      </c>
    </row>
    <row r="136" spans="1:13">
      <c r="E136" s="21">
        <f t="shared" si="24"/>
        <v>136</v>
      </c>
      <c r="F136" s="9" t="s">
        <v>98</v>
      </c>
      <c r="K136" s="9" t="s">
        <v>137</v>
      </c>
      <c r="M136" s="21">
        <v>2</v>
      </c>
    </row>
    <row r="137" spans="1:13">
      <c r="E137" s="21">
        <f t="shared" si="24"/>
        <v>137</v>
      </c>
      <c r="F137" s="9" t="s">
        <v>31</v>
      </c>
      <c r="L137" s="9" t="s">
        <v>135</v>
      </c>
      <c r="M137" s="21" t="s">
        <v>251</v>
      </c>
    </row>
    <row r="138" spans="1:13">
      <c r="E138" s="21">
        <f t="shared" si="24"/>
        <v>138</v>
      </c>
      <c r="F138" s="9" t="s">
        <v>182</v>
      </c>
      <c r="G138" s="21">
        <v>360</v>
      </c>
      <c r="L138" s="9" t="s">
        <v>134</v>
      </c>
      <c r="M138" s="21">
        <f t="shared" ref="M138" si="36">G138/G131*C130</f>
        <v>90</v>
      </c>
    </row>
    <row r="139" spans="1:13">
      <c r="E139" s="21">
        <f t="shared" si="24"/>
        <v>139</v>
      </c>
      <c r="F139" s="9" t="s">
        <v>114</v>
      </c>
      <c r="M139" s="21" t="b">
        <v>1</v>
      </c>
    </row>
    <row r="140" spans="1:13">
      <c r="E140" s="21">
        <f t="shared" si="24"/>
        <v>140</v>
      </c>
      <c r="F140" s="9" t="s">
        <v>115</v>
      </c>
      <c r="M140" s="21">
        <v>2</v>
      </c>
    </row>
    <row r="141" spans="1:13">
      <c r="A141" s="21" t="s">
        <v>227</v>
      </c>
      <c r="B141" s="21">
        <f t="shared" ref="B141:B204" si="37">QUOTIENT( D141-1,G142)+1</f>
        <v>1</v>
      </c>
      <c r="C141" s="21">
        <f t="shared" ref="C141:C204" si="38">D141-(B141-1)*G142</f>
        <v>10</v>
      </c>
      <c r="D141" s="21">
        <f>COUNT($D$41:$D140)+1</f>
        <v>10</v>
      </c>
    </row>
    <row r="142" spans="1:13">
      <c r="E142" s="21">
        <f t="shared" si="24"/>
        <v>142</v>
      </c>
      <c r="F142" s="9" t="s">
        <v>93</v>
      </c>
      <c r="G142" s="21">
        <v>36</v>
      </c>
      <c r="H142" s="21">
        <v>1</v>
      </c>
      <c r="J142" s="9" t="s">
        <v>253</v>
      </c>
      <c r="M142" s="21">
        <f t="shared" ref="M142:M205" si="39">J142+D141</f>
        <v>18510</v>
      </c>
    </row>
    <row r="143" spans="1:13">
      <c r="E143" s="21">
        <f t="shared" si="24"/>
        <v>143</v>
      </c>
      <c r="F143" s="9" t="s">
        <v>142</v>
      </c>
      <c r="M143" s="21">
        <v>182108</v>
      </c>
    </row>
    <row r="144" spans="1:13">
      <c r="E144" s="21">
        <f t="shared" si="24"/>
        <v>144</v>
      </c>
      <c r="F144" s="9" t="s">
        <v>126</v>
      </c>
      <c r="M144" s="21">
        <v>0</v>
      </c>
    </row>
    <row r="145" spans="1:13">
      <c r="E145" s="21">
        <f t="shared" si="24"/>
        <v>145</v>
      </c>
      <c r="F145" s="9" t="s">
        <v>29</v>
      </c>
      <c r="M145" s="21" t="s">
        <v>247</v>
      </c>
    </row>
    <row r="146" spans="1:13">
      <c r="E146" s="21">
        <f t="shared" si="24"/>
        <v>146</v>
      </c>
      <c r="F146" s="9" t="s">
        <v>118</v>
      </c>
      <c r="M146" s="21" t="s">
        <v>249</v>
      </c>
    </row>
    <row r="147" spans="1:13">
      <c r="E147" s="21">
        <f t="shared" si="24"/>
        <v>147</v>
      </c>
      <c r="F147" s="9" t="s">
        <v>98</v>
      </c>
      <c r="K147" s="9" t="s">
        <v>137</v>
      </c>
      <c r="M147" s="21">
        <v>2</v>
      </c>
    </row>
    <row r="148" spans="1:13">
      <c r="E148" s="21">
        <f t="shared" si="24"/>
        <v>148</v>
      </c>
      <c r="F148" s="9" t="s">
        <v>31</v>
      </c>
      <c r="L148" s="9" t="s">
        <v>135</v>
      </c>
      <c r="M148" s="21" t="s">
        <v>251</v>
      </c>
    </row>
    <row r="149" spans="1:13">
      <c r="E149" s="21">
        <f t="shared" si="24"/>
        <v>149</v>
      </c>
      <c r="F149" s="9" t="s">
        <v>182</v>
      </c>
      <c r="G149" s="21">
        <v>360</v>
      </c>
      <c r="L149" s="9" t="s">
        <v>134</v>
      </c>
      <c r="M149" s="21">
        <f t="shared" ref="M149" si="40">G149/G142*C141</f>
        <v>100</v>
      </c>
    </row>
    <row r="150" spans="1:13">
      <c r="E150" s="21">
        <f t="shared" si="24"/>
        <v>150</v>
      </c>
      <c r="F150" s="9" t="s">
        <v>114</v>
      </c>
      <c r="M150" s="21" t="b">
        <v>1</v>
      </c>
    </row>
    <row r="151" spans="1:13">
      <c r="E151" s="21">
        <f t="shared" si="24"/>
        <v>151</v>
      </c>
      <c r="F151" s="9" t="s">
        <v>115</v>
      </c>
      <c r="M151" s="21">
        <v>2</v>
      </c>
    </row>
    <row r="152" spans="1:13">
      <c r="A152" s="21" t="s">
        <v>227</v>
      </c>
      <c r="B152" s="21">
        <f t="shared" ref="B152:B215" si="41">QUOTIENT( D152-1,G153)+1</f>
        <v>1</v>
      </c>
      <c r="C152" s="21">
        <f t="shared" ref="C152:C215" si="42">D152-(B152-1)*G153</f>
        <v>11</v>
      </c>
      <c r="D152" s="21">
        <f>COUNT($D$41:$D151)+1</f>
        <v>11</v>
      </c>
    </row>
    <row r="153" spans="1:13">
      <c r="E153" s="21">
        <f t="shared" si="24"/>
        <v>153</v>
      </c>
      <c r="F153" s="9" t="s">
        <v>93</v>
      </c>
      <c r="G153" s="21">
        <v>36</v>
      </c>
      <c r="H153" s="21">
        <v>1</v>
      </c>
      <c r="J153" s="9" t="s">
        <v>253</v>
      </c>
      <c r="M153" s="21">
        <f t="shared" ref="M153:M216" si="43">J153+D152</f>
        <v>18511</v>
      </c>
    </row>
    <row r="154" spans="1:13">
      <c r="E154" s="21">
        <f t="shared" si="24"/>
        <v>154</v>
      </c>
      <c r="F154" s="9" t="s">
        <v>142</v>
      </c>
      <c r="M154" s="21">
        <v>182108</v>
      </c>
    </row>
    <row r="155" spans="1:13">
      <c r="E155" s="21">
        <f t="shared" si="24"/>
        <v>155</v>
      </c>
      <c r="F155" s="9" t="s">
        <v>126</v>
      </c>
      <c r="M155" s="21">
        <v>0</v>
      </c>
    </row>
    <row r="156" spans="1:13">
      <c r="E156" s="21">
        <f t="shared" si="24"/>
        <v>156</v>
      </c>
      <c r="F156" s="9" t="s">
        <v>29</v>
      </c>
      <c r="M156" s="21" t="s">
        <v>247</v>
      </c>
    </row>
    <row r="157" spans="1:13">
      <c r="E157" s="21">
        <f t="shared" si="24"/>
        <v>157</v>
      </c>
      <c r="F157" s="9" t="s">
        <v>118</v>
      </c>
      <c r="M157" s="21" t="s">
        <v>249</v>
      </c>
    </row>
    <row r="158" spans="1:13">
      <c r="E158" s="21">
        <f t="shared" si="24"/>
        <v>158</v>
      </c>
      <c r="F158" s="9" t="s">
        <v>98</v>
      </c>
      <c r="K158" s="9" t="s">
        <v>137</v>
      </c>
      <c r="M158" s="21">
        <v>2</v>
      </c>
    </row>
    <row r="159" spans="1:13">
      <c r="E159" s="21">
        <f t="shared" si="24"/>
        <v>159</v>
      </c>
      <c r="F159" s="9" t="s">
        <v>31</v>
      </c>
      <c r="L159" s="9" t="s">
        <v>135</v>
      </c>
      <c r="M159" s="21" t="s">
        <v>251</v>
      </c>
    </row>
    <row r="160" spans="1:13">
      <c r="E160" s="21">
        <f t="shared" si="24"/>
        <v>160</v>
      </c>
      <c r="F160" s="9" t="s">
        <v>182</v>
      </c>
      <c r="G160" s="21">
        <v>360</v>
      </c>
      <c r="L160" s="9" t="s">
        <v>134</v>
      </c>
      <c r="M160" s="21">
        <f t="shared" ref="M160" si="44">G160/G153*C152</f>
        <v>110</v>
      </c>
    </row>
    <row r="161" spans="1:13">
      <c r="E161" s="21">
        <f t="shared" si="24"/>
        <v>161</v>
      </c>
      <c r="F161" s="9" t="s">
        <v>114</v>
      </c>
      <c r="M161" s="21" t="b">
        <v>1</v>
      </c>
    </row>
    <row r="162" spans="1:13">
      <c r="E162" s="21">
        <f t="shared" si="24"/>
        <v>162</v>
      </c>
      <c r="F162" s="9" t="s">
        <v>115</v>
      </c>
      <c r="M162" s="21">
        <v>2</v>
      </c>
    </row>
    <row r="163" spans="1:13">
      <c r="A163" s="21" t="s">
        <v>227</v>
      </c>
      <c r="B163" s="21">
        <f t="shared" ref="B163:B226" si="45">QUOTIENT( D163-1,G164)+1</f>
        <v>1</v>
      </c>
      <c r="C163" s="21">
        <f t="shared" ref="C163:C226" si="46">D163-(B163-1)*G164</f>
        <v>12</v>
      </c>
      <c r="D163" s="21">
        <f>COUNT($D$41:$D162)+1</f>
        <v>12</v>
      </c>
    </row>
    <row r="164" spans="1:13">
      <c r="E164" s="21">
        <f t="shared" si="24"/>
        <v>164</v>
      </c>
      <c r="F164" s="9" t="s">
        <v>93</v>
      </c>
      <c r="G164" s="21">
        <v>36</v>
      </c>
      <c r="H164" s="21">
        <v>1</v>
      </c>
      <c r="J164" s="9" t="s">
        <v>253</v>
      </c>
      <c r="M164" s="21">
        <f t="shared" ref="M164:M227" si="47">J164+D163</f>
        <v>18512</v>
      </c>
    </row>
    <row r="165" spans="1:13">
      <c r="E165" s="21">
        <f t="shared" si="24"/>
        <v>165</v>
      </c>
      <c r="F165" s="9" t="s">
        <v>142</v>
      </c>
      <c r="M165" s="21">
        <v>182108</v>
      </c>
    </row>
    <row r="166" spans="1:13">
      <c r="E166" s="21">
        <f t="shared" si="24"/>
        <v>166</v>
      </c>
      <c r="F166" s="9" t="s">
        <v>126</v>
      </c>
      <c r="M166" s="21">
        <v>0</v>
      </c>
    </row>
    <row r="167" spans="1:13">
      <c r="E167" s="21">
        <f t="shared" si="24"/>
        <v>167</v>
      </c>
      <c r="F167" s="9" t="s">
        <v>29</v>
      </c>
      <c r="M167" s="21" t="s">
        <v>247</v>
      </c>
    </row>
    <row r="168" spans="1:13">
      <c r="E168" s="21">
        <f t="shared" si="24"/>
        <v>168</v>
      </c>
      <c r="F168" s="9" t="s">
        <v>118</v>
      </c>
      <c r="M168" s="21" t="s">
        <v>249</v>
      </c>
    </row>
    <row r="169" spans="1:13">
      <c r="E169" s="21">
        <f t="shared" si="24"/>
        <v>169</v>
      </c>
      <c r="F169" s="9" t="s">
        <v>98</v>
      </c>
      <c r="K169" s="9" t="s">
        <v>137</v>
      </c>
      <c r="M169" s="21">
        <v>2</v>
      </c>
    </row>
    <row r="170" spans="1:13">
      <c r="E170" s="21">
        <f t="shared" si="24"/>
        <v>170</v>
      </c>
      <c r="F170" s="9" t="s">
        <v>31</v>
      </c>
      <c r="L170" s="9" t="s">
        <v>135</v>
      </c>
      <c r="M170" s="21" t="s">
        <v>251</v>
      </c>
    </row>
    <row r="171" spans="1:13">
      <c r="E171" s="21">
        <f t="shared" ref="E171:E234" si="48">ROW(E171)</f>
        <v>171</v>
      </c>
      <c r="F171" s="9" t="s">
        <v>182</v>
      </c>
      <c r="G171" s="21">
        <v>360</v>
      </c>
      <c r="L171" s="9" t="s">
        <v>134</v>
      </c>
      <c r="M171" s="21">
        <f t="shared" ref="M171" si="49">G171/G164*C163</f>
        <v>120</v>
      </c>
    </row>
    <row r="172" spans="1:13">
      <c r="E172" s="21">
        <f t="shared" si="48"/>
        <v>172</v>
      </c>
      <c r="F172" s="9" t="s">
        <v>114</v>
      </c>
      <c r="M172" s="21" t="b">
        <v>1</v>
      </c>
    </row>
    <row r="173" spans="1:13">
      <c r="E173" s="21">
        <f t="shared" si="48"/>
        <v>173</v>
      </c>
      <c r="F173" s="9" t="s">
        <v>115</v>
      </c>
      <c r="M173" s="21">
        <v>2</v>
      </c>
    </row>
    <row r="174" spans="1:13">
      <c r="A174" s="21" t="s">
        <v>227</v>
      </c>
      <c r="B174" s="21">
        <f t="shared" ref="B174:B237" si="50">QUOTIENT( D174-1,G175)+1</f>
        <v>1</v>
      </c>
      <c r="C174" s="21">
        <f t="shared" ref="C174:C237" si="51">D174-(B174-1)*G175</f>
        <v>13</v>
      </c>
      <c r="D174" s="21">
        <f>COUNT($D$41:$D173)+1</f>
        <v>13</v>
      </c>
    </row>
    <row r="175" spans="1:13">
      <c r="E175" s="21">
        <f t="shared" si="48"/>
        <v>175</v>
      </c>
      <c r="F175" s="9" t="s">
        <v>93</v>
      </c>
      <c r="G175" s="21">
        <v>36</v>
      </c>
      <c r="H175" s="21">
        <v>1</v>
      </c>
      <c r="J175" s="9" t="s">
        <v>253</v>
      </c>
      <c r="M175" s="21">
        <f t="shared" ref="M175:M238" si="52">J175+D174</f>
        <v>18513</v>
      </c>
    </row>
    <row r="176" spans="1:13">
      <c r="E176" s="21">
        <f t="shared" si="48"/>
        <v>176</v>
      </c>
      <c r="F176" s="9" t="s">
        <v>142</v>
      </c>
      <c r="M176" s="21">
        <v>182108</v>
      </c>
    </row>
    <row r="177" spans="1:13">
      <c r="E177" s="21">
        <f t="shared" si="48"/>
        <v>177</v>
      </c>
      <c r="F177" s="9" t="s">
        <v>126</v>
      </c>
      <c r="M177" s="21">
        <v>0</v>
      </c>
    </row>
    <row r="178" spans="1:13">
      <c r="E178" s="21">
        <f t="shared" si="48"/>
        <v>178</v>
      </c>
      <c r="F178" s="9" t="s">
        <v>29</v>
      </c>
      <c r="M178" s="21" t="s">
        <v>247</v>
      </c>
    </row>
    <row r="179" spans="1:13">
      <c r="E179" s="21">
        <f t="shared" si="48"/>
        <v>179</v>
      </c>
      <c r="F179" s="9" t="s">
        <v>118</v>
      </c>
      <c r="M179" s="21" t="s">
        <v>249</v>
      </c>
    </row>
    <row r="180" spans="1:13">
      <c r="E180" s="21">
        <f t="shared" si="48"/>
        <v>180</v>
      </c>
      <c r="F180" s="9" t="s">
        <v>98</v>
      </c>
      <c r="K180" s="9" t="s">
        <v>137</v>
      </c>
      <c r="M180" s="21">
        <v>2</v>
      </c>
    </row>
    <row r="181" spans="1:13">
      <c r="E181" s="21">
        <f t="shared" si="48"/>
        <v>181</v>
      </c>
      <c r="F181" s="9" t="s">
        <v>31</v>
      </c>
      <c r="L181" s="9" t="s">
        <v>135</v>
      </c>
      <c r="M181" s="21" t="s">
        <v>251</v>
      </c>
    </row>
    <row r="182" spans="1:13">
      <c r="E182" s="21">
        <f t="shared" si="48"/>
        <v>182</v>
      </c>
      <c r="F182" s="9" t="s">
        <v>182</v>
      </c>
      <c r="G182" s="21">
        <v>360</v>
      </c>
      <c r="L182" s="9" t="s">
        <v>134</v>
      </c>
      <c r="M182" s="21">
        <f t="shared" ref="M182" si="53">G182/G175*C174</f>
        <v>130</v>
      </c>
    </row>
    <row r="183" spans="1:13">
      <c r="E183" s="21">
        <f t="shared" si="48"/>
        <v>183</v>
      </c>
      <c r="F183" s="9" t="s">
        <v>114</v>
      </c>
      <c r="M183" s="21" t="b">
        <v>1</v>
      </c>
    </row>
    <row r="184" spans="1:13">
      <c r="E184" s="21">
        <f t="shared" si="48"/>
        <v>184</v>
      </c>
      <c r="F184" s="9" t="s">
        <v>115</v>
      </c>
      <c r="M184" s="21">
        <v>2</v>
      </c>
    </row>
    <row r="185" spans="1:13">
      <c r="A185" s="21" t="s">
        <v>227</v>
      </c>
      <c r="B185" s="21">
        <f t="shared" ref="B185:B248" si="54">QUOTIENT( D185-1,G186)+1</f>
        <v>1</v>
      </c>
      <c r="C185" s="21">
        <f t="shared" ref="C185:C248" si="55">D185-(B185-1)*G186</f>
        <v>14</v>
      </c>
      <c r="D185" s="21">
        <f>COUNT($D$41:$D184)+1</f>
        <v>14</v>
      </c>
    </row>
    <row r="186" spans="1:13">
      <c r="E186" s="21">
        <f t="shared" si="48"/>
        <v>186</v>
      </c>
      <c r="F186" s="9" t="s">
        <v>93</v>
      </c>
      <c r="G186" s="21">
        <v>36</v>
      </c>
      <c r="H186" s="21">
        <v>1</v>
      </c>
      <c r="J186" s="9" t="s">
        <v>253</v>
      </c>
      <c r="M186" s="21">
        <f t="shared" ref="M186:M249" si="56">J186+D185</f>
        <v>18514</v>
      </c>
    </row>
    <row r="187" spans="1:13">
      <c r="E187" s="21">
        <f t="shared" si="48"/>
        <v>187</v>
      </c>
      <c r="F187" s="9" t="s">
        <v>142</v>
      </c>
      <c r="M187" s="21">
        <v>182108</v>
      </c>
    </row>
    <row r="188" spans="1:13">
      <c r="E188" s="21">
        <f t="shared" si="48"/>
        <v>188</v>
      </c>
      <c r="F188" s="9" t="s">
        <v>126</v>
      </c>
      <c r="M188" s="21">
        <v>0</v>
      </c>
    </row>
    <row r="189" spans="1:13">
      <c r="E189" s="21">
        <f t="shared" si="48"/>
        <v>189</v>
      </c>
      <c r="F189" s="9" t="s">
        <v>29</v>
      </c>
      <c r="M189" s="21" t="s">
        <v>247</v>
      </c>
    </row>
    <row r="190" spans="1:13">
      <c r="E190" s="21">
        <f t="shared" si="48"/>
        <v>190</v>
      </c>
      <c r="F190" s="9" t="s">
        <v>118</v>
      </c>
      <c r="M190" s="21" t="s">
        <v>249</v>
      </c>
    </row>
    <row r="191" spans="1:13">
      <c r="E191" s="21">
        <f t="shared" si="48"/>
        <v>191</v>
      </c>
      <c r="F191" s="9" t="s">
        <v>98</v>
      </c>
      <c r="K191" s="9" t="s">
        <v>137</v>
      </c>
      <c r="M191" s="21">
        <v>2</v>
      </c>
    </row>
    <row r="192" spans="1:13">
      <c r="E192" s="21">
        <f t="shared" si="48"/>
        <v>192</v>
      </c>
      <c r="F192" s="9" t="s">
        <v>31</v>
      </c>
      <c r="L192" s="9" t="s">
        <v>135</v>
      </c>
      <c r="M192" s="21" t="s">
        <v>251</v>
      </c>
    </row>
    <row r="193" spans="1:13">
      <c r="E193" s="21">
        <f t="shared" si="48"/>
        <v>193</v>
      </c>
      <c r="F193" s="9" t="s">
        <v>182</v>
      </c>
      <c r="G193" s="21">
        <v>360</v>
      </c>
      <c r="L193" s="9" t="s">
        <v>134</v>
      </c>
      <c r="M193" s="21">
        <f t="shared" ref="M193" si="57">G193/G186*C185</f>
        <v>140</v>
      </c>
    </row>
    <row r="194" spans="1:13">
      <c r="E194" s="21">
        <f t="shared" si="48"/>
        <v>194</v>
      </c>
      <c r="F194" s="9" t="s">
        <v>114</v>
      </c>
      <c r="M194" s="21" t="b">
        <v>1</v>
      </c>
    </row>
    <row r="195" spans="1:13">
      <c r="E195" s="21">
        <f t="shared" si="48"/>
        <v>195</v>
      </c>
      <c r="F195" s="9" t="s">
        <v>115</v>
      </c>
      <c r="M195" s="21">
        <v>2</v>
      </c>
    </row>
    <row r="196" spans="1:13">
      <c r="A196" s="21" t="s">
        <v>227</v>
      </c>
      <c r="B196" s="21">
        <f t="shared" ref="B196:B259" si="58">QUOTIENT( D196-1,G197)+1</f>
        <v>1</v>
      </c>
      <c r="C196" s="21">
        <f t="shared" ref="C196:C259" si="59">D196-(B196-1)*G197</f>
        <v>15</v>
      </c>
      <c r="D196" s="21">
        <f>COUNT($D$41:$D195)+1</f>
        <v>15</v>
      </c>
    </row>
    <row r="197" spans="1:13">
      <c r="E197" s="21">
        <f t="shared" si="48"/>
        <v>197</v>
      </c>
      <c r="F197" s="9" t="s">
        <v>93</v>
      </c>
      <c r="G197" s="21">
        <v>36</v>
      </c>
      <c r="H197" s="21">
        <v>1</v>
      </c>
      <c r="J197" s="9" t="s">
        <v>253</v>
      </c>
      <c r="M197" s="21">
        <f t="shared" ref="M197:M260" si="60">J197+D196</f>
        <v>18515</v>
      </c>
    </row>
    <row r="198" spans="1:13">
      <c r="E198" s="21">
        <f t="shared" si="48"/>
        <v>198</v>
      </c>
      <c r="F198" s="9" t="s">
        <v>142</v>
      </c>
      <c r="M198" s="21">
        <v>182108</v>
      </c>
    </row>
    <row r="199" spans="1:13">
      <c r="E199" s="21">
        <f t="shared" si="48"/>
        <v>199</v>
      </c>
      <c r="F199" s="9" t="s">
        <v>126</v>
      </c>
      <c r="M199" s="21">
        <v>0</v>
      </c>
    </row>
    <row r="200" spans="1:13">
      <c r="E200" s="21">
        <f t="shared" si="48"/>
        <v>200</v>
      </c>
      <c r="F200" s="9" t="s">
        <v>29</v>
      </c>
      <c r="M200" s="21" t="s">
        <v>247</v>
      </c>
    </row>
    <row r="201" spans="1:13">
      <c r="E201" s="21">
        <f t="shared" si="48"/>
        <v>201</v>
      </c>
      <c r="F201" s="9" t="s">
        <v>118</v>
      </c>
      <c r="M201" s="21" t="s">
        <v>249</v>
      </c>
    </row>
    <row r="202" spans="1:13">
      <c r="E202" s="21">
        <f t="shared" si="48"/>
        <v>202</v>
      </c>
      <c r="F202" s="9" t="s">
        <v>98</v>
      </c>
      <c r="K202" s="9" t="s">
        <v>137</v>
      </c>
      <c r="M202" s="21">
        <v>2</v>
      </c>
    </row>
    <row r="203" spans="1:13">
      <c r="E203" s="21">
        <f t="shared" si="48"/>
        <v>203</v>
      </c>
      <c r="F203" s="9" t="s">
        <v>31</v>
      </c>
      <c r="L203" s="9" t="s">
        <v>135</v>
      </c>
      <c r="M203" s="21" t="s">
        <v>251</v>
      </c>
    </row>
    <row r="204" spans="1:13">
      <c r="E204" s="21">
        <f t="shared" si="48"/>
        <v>204</v>
      </c>
      <c r="F204" s="9" t="s">
        <v>182</v>
      </c>
      <c r="G204" s="21">
        <v>360</v>
      </c>
      <c r="L204" s="9" t="s">
        <v>134</v>
      </c>
      <c r="M204" s="21">
        <f t="shared" ref="M204" si="61">G204/G197*C196</f>
        <v>150</v>
      </c>
    </row>
    <row r="205" spans="1:13">
      <c r="E205" s="21">
        <f t="shared" si="48"/>
        <v>205</v>
      </c>
      <c r="F205" s="9" t="s">
        <v>114</v>
      </c>
      <c r="M205" s="21" t="b">
        <v>1</v>
      </c>
    </row>
    <row r="206" spans="1:13">
      <c r="E206" s="21">
        <f t="shared" si="48"/>
        <v>206</v>
      </c>
      <c r="F206" s="9" t="s">
        <v>115</v>
      </c>
      <c r="M206" s="21">
        <v>2</v>
      </c>
    </row>
    <row r="207" spans="1:13">
      <c r="A207" s="21" t="s">
        <v>227</v>
      </c>
      <c r="B207" s="21">
        <f t="shared" ref="B207:B270" si="62">QUOTIENT( D207-1,G208)+1</f>
        <v>1</v>
      </c>
      <c r="C207" s="21">
        <f t="shared" ref="C207:C270" si="63">D207-(B207-1)*G208</f>
        <v>16</v>
      </c>
      <c r="D207" s="21">
        <f>COUNT($D$41:$D206)+1</f>
        <v>16</v>
      </c>
    </row>
    <row r="208" spans="1:13">
      <c r="E208" s="21">
        <f t="shared" si="48"/>
        <v>208</v>
      </c>
      <c r="F208" s="9" t="s">
        <v>93</v>
      </c>
      <c r="G208" s="21">
        <v>36</v>
      </c>
      <c r="H208" s="21">
        <v>1</v>
      </c>
      <c r="J208" s="9" t="s">
        <v>253</v>
      </c>
      <c r="M208" s="21">
        <f t="shared" ref="M208:M271" si="64">J208+D207</f>
        <v>18516</v>
      </c>
    </row>
    <row r="209" spans="1:13">
      <c r="E209" s="21">
        <f t="shared" si="48"/>
        <v>209</v>
      </c>
      <c r="F209" s="9" t="s">
        <v>142</v>
      </c>
      <c r="M209" s="21">
        <v>182108</v>
      </c>
    </row>
    <row r="210" spans="1:13">
      <c r="E210" s="21">
        <f t="shared" si="48"/>
        <v>210</v>
      </c>
      <c r="F210" s="9" t="s">
        <v>126</v>
      </c>
      <c r="M210" s="21">
        <v>0</v>
      </c>
    </row>
    <row r="211" spans="1:13">
      <c r="E211" s="21">
        <f t="shared" si="48"/>
        <v>211</v>
      </c>
      <c r="F211" s="9" t="s">
        <v>29</v>
      </c>
      <c r="M211" s="21" t="s">
        <v>247</v>
      </c>
    </row>
    <row r="212" spans="1:13">
      <c r="E212" s="21">
        <f t="shared" si="48"/>
        <v>212</v>
      </c>
      <c r="F212" s="9" t="s">
        <v>118</v>
      </c>
      <c r="M212" s="21" t="s">
        <v>249</v>
      </c>
    </row>
    <row r="213" spans="1:13">
      <c r="E213" s="21">
        <f t="shared" si="48"/>
        <v>213</v>
      </c>
      <c r="F213" s="9" t="s">
        <v>98</v>
      </c>
      <c r="K213" s="9" t="s">
        <v>137</v>
      </c>
      <c r="M213" s="21">
        <v>2</v>
      </c>
    </row>
    <row r="214" spans="1:13">
      <c r="E214" s="21">
        <f t="shared" si="48"/>
        <v>214</v>
      </c>
      <c r="F214" s="9" t="s">
        <v>31</v>
      </c>
      <c r="L214" s="9" t="s">
        <v>135</v>
      </c>
      <c r="M214" s="21" t="s">
        <v>251</v>
      </c>
    </row>
    <row r="215" spans="1:13">
      <c r="E215" s="21">
        <f t="shared" si="48"/>
        <v>215</v>
      </c>
      <c r="F215" s="9" t="s">
        <v>182</v>
      </c>
      <c r="G215" s="21">
        <v>360</v>
      </c>
      <c r="L215" s="9" t="s">
        <v>134</v>
      </c>
      <c r="M215" s="21">
        <f t="shared" ref="M215" si="65">G215/G208*C207</f>
        <v>160</v>
      </c>
    </row>
    <row r="216" spans="1:13">
      <c r="E216" s="21">
        <f t="shared" si="48"/>
        <v>216</v>
      </c>
      <c r="F216" s="9" t="s">
        <v>114</v>
      </c>
      <c r="M216" s="21" t="b">
        <v>1</v>
      </c>
    </row>
    <row r="217" spans="1:13">
      <c r="E217" s="21">
        <f t="shared" si="48"/>
        <v>217</v>
      </c>
      <c r="F217" s="9" t="s">
        <v>115</v>
      </c>
      <c r="M217" s="21">
        <v>2</v>
      </c>
    </row>
    <row r="218" spans="1:13">
      <c r="A218" s="21" t="s">
        <v>227</v>
      </c>
      <c r="B218" s="21">
        <f t="shared" ref="B218:B281" si="66">QUOTIENT( D218-1,G219)+1</f>
        <v>1</v>
      </c>
      <c r="C218" s="21">
        <f t="shared" ref="C218:C281" si="67">D218-(B218-1)*G219</f>
        <v>17</v>
      </c>
      <c r="D218" s="21">
        <f>COUNT($D$41:$D217)+1</f>
        <v>17</v>
      </c>
    </row>
    <row r="219" spans="1:13">
      <c r="E219" s="21">
        <f t="shared" si="48"/>
        <v>219</v>
      </c>
      <c r="F219" s="9" t="s">
        <v>93</v>
      </c>
      <c r="G219" s="21">
        <v>36</v>
      </c>
      <c r="H219" s="21">
        <v>1</v>
      </c>
      <c r="J219" s="9" t="s">
        <v>253</v>
      </c>
      <c r="M219" s="21">
        <f t="shared" ref="M219:M282" si="68">J219+D218</f>
        <v>18517</v>
      </c>
    </row>
    <row r="220" spans="1:13">
      <c r="E220" s="21">
        <f t="shared" si="48"/>
        <v>220</v>
      </c>
      <c r="F220" s="9" t="s">
        <v>142</v>
      </c>
      <c r="M220" s="21">
        <v>182108</v>
      </c>
    </row>
    <row r="221" spans="1:13">
      <c r="E221" s="21">
        <f t="shared" si="48"/>
        <v>221</v>
      </c>
      <c r="F221" s="9" t="s">
        <v>126</v>
      </c>
      <c r="M221" s="21">
        <v>0</v>
      </c>
    </row>
    <row r="222" spans="1:13">
      <c r="E222" s="21">
        <f t="shared" si="48"/>
        <v>222</v>
      </c>
      <c r="F222" s="9" t="s">
        <v>29</v>
      </c>
      <c r="M222" s="21" t="s">
        <v>247</v>
      </c>
    </row>
    <row r="223" spans="1:13">
      <c r="E223" s="21">
        <f t="shared" si="48"/>
        <v>223</v>
      </c>
      <c r="F223" s="9" t="s">
        <v>118</v>
      </c>
      <c r="M223" s="21" t="s">
        <v>249</v>
      </c>
    </row>
    <row r="224" spans="1:13">
      <c r="E224" s="21">
        <f t="shared" si="48"/>
        <v>224</v>
      </c>
      <c r="F224" s="9" t="s">
        <v>98</v>
      </c>
      <c r="K224" s="9" t="s">
        <v>137</v>
      </c>
      <c r="M224" s="21">
        <v>2</v>
      </c>
    </row>
    <row r="225" spans="1:13">
      <c r="E225" s="21">
        <f t="shared" si="48"/>
        <v>225</v>
      </c>
      <c r="F225" s="9" t="s">
        <v>31</v>
      </c>
      <c r="L225" s="9" t="s">
        <v>135</v>
      </c>
      <c r="M225" s="21" t="s">
        <v>251</v>
      </c>
    </row>
    <row r="226" spans="1:13">
      <c r="E226" s="21">
        <f t="shared" si="48"/>
        <v>226</v>
      </c>
      <c r="F226" s="9" t="s">
        <v>182</v>
      </c>
      <c r="G226" s="21">
        <v>360</v>
      </c>
      <c r="L226" s="9" t="s">
        <v>134</v>
      </c>
      <c r="M226" s="21">
        <f t="shared" ref="M226" si="69">G226/G219*C218</f>
        <v>170</v>
      </c>
    </row>
    <row r="227" spans="1:13">
      <c r="E227" s="21">
        <f t="shared" si="48"/>
        <v>227</v>
      </c>
      <c r="F227" s="9" t="s">
        <v>114</v>
      </c>
      <c r="M227" s="21" t="b">
        <v>1</v>
      </c>
    </row>
    <row r="228" spans="1:13">
      <c r="E228" s="21">
        <f t="shared" si="48"/>
        <v>228</v>
      </c>
      <c r="F228" s="9" t="s">
        <v>115</v>
      </c>
      <c r="M228" s="21">
        <v>2</v>
      </c>
    </row>
    <row r="229" spans="1:13">
      <c r="A229" s="21" t="s">
        <v>227</v>
      </c>
      <c r="B229" s="21">
        <f t="shared" ref="B229:B292" si="70">QUOTIENT( D229-1,G230)+1</f>
        <v>1</v>
      </c>
      <c r="C229" s="21">
        <f t="shared" ref="C229:C292" si="71">D229-(B229-1)*G230</f>
        <v>18</v>
      </c>
      <c r="D229" s="21">
        <f>COUNT($D$41:$D228)+1</f>
        <v>18</v>
      </c>
    </row>
    <row r="230" spans="1:13">
      <c r="E230" s="21">
        <f t="shared" si="48"/>
        <v>230</v>
      </c>
      <c r="F230" s="9" t="s">
        <v>93</v>
      </c>
      <c r="G230" s="21">
        <v>36</v>
      </c>
      <c r="H230" s="21">
        <v>1</v>
      </c>
      <c r="J230" s="9" t="s">
        <v>253</v>
      </c>
      <c r="M230" s="21">
        <f t="shared" ref="M230:M293" si="72">J230+D229</f>
        <v>18518</v>
      </c>
    </row>
    <row r="231" spans="1:13">
      <c r="E231" s="21">
        <f t="shared" si="48"/>
        <v>231</v>
      </c>
      <c r="F231" s="9" t="s">
        <v>142</v>
      </c>
      <c r="M231" s="21">
        <v>182108</v>
      </c>
    </row>
    <row r="232" spans="1:13">
      <c r="E232" s="21">
        <f t="shared" si="48"/>
        <v>232</v>
      </c>
      <c r="F232" s="9" t="s">
        <v>126</v>
      </c>
      <c r="M232" s="21">
        <v>0</v>
      </c>
    </row>
    <row r="233" spans="1:13">
      <c r="E233" s="21">
        <f t="shared" si="48"/>
        <v>233</v>
      </c>
      <c r="F233" s="9" t="s">
        <v>29</v>
      </c>
      <c r="M233" s="21" t="s">
        <v>247</v>
      </c>
    </row>
    <row r="234" spans="1:13">
      <c r="E234" s="21">
        <f t="shared" si="48"/>
        <v>234</v>
      </c>
      <c r="F234" s="9" t="s">
        <v>118</v>
      </c>
      <c r="M234" s="21" t="s">
        <v>249</v>
      </c>
    </row>
    <row r="235" spans="1:13">
      <c r="E235" s="21">
        <f t="shared" ref="E235:E298" si="73">ROW(E235)</f>
        <v>235</v>
      </c>
      <c r="F235" s="9" t="s">
        <v>98</v>
      </c>
      <c r="K235" s="9" t="s">
        <v>137</v>
      </c>
      <c r="M235" s="21">
        <v>2</v>
      </c>
    </row>
    <row r="236" spans="1:13">
      <c r="E236" s="21">
        <f t="shared" si="73"/>
        <v>236</v>
      </c>
      <c r="F236" s="9" t="s">
        <v>31</v>
      </c>
      <c r="L236" s="9" t="s">
        <v>135</v>
      </c>
      <c r="M236" s="21" t="s">
        <v>251</v>
      </c>
    </row>
    <row r="237" spans="1:13">
      <c r="E237" s="21">
        <f t="shared" si="73"/>
        <v>237</v>
      </c>
      <c r="F237" s="9" t="s">
        <v>182</v>
      </c>
      <c r="G237" s="21">
        <v>360</v>
      </c>
      <c r="L237" s="9" t="s">
        <v>134</v>
      </c>
      <c r="M237" s="21">
        <f t="shared" ref="M237" si="74">G237/G230*C229</f>
        <v>180</v>
      </c>
    </row>
    <row r="238" spans="1:13">
      <c r="E238" s="21">
        <f t="shared" si="73"/>
        <v>238</v>
      </c>
      <c r="F238" s="9" t="s">
        <v>114</v>
      </c>
      <c r="M238" s="21" t="b">
        <v>1</v>
      </c>
    </row>
    <row r="239" spans="1:13">
      <c r="E239" s="21">
        <f t="shared" si="73"/>
        <v>239</v>
      </c>
      <c r="F239" s="9" t="s">
        <v>115</v>
      </c>
      <c r="M239" s="21">
        <v>2</v>
      </c>
    </row>
    <row r="240" spans="1:13">
      <c r="A240" s="21" t="s">
        <v>227</v>
      </c>
      <c r="B240" s="21">
        <f t="shared" ref="B240:B303" si="75">QUOTIENT( D240-1,G241)+1</f>
        <v>1</v>
      </c>
      <c r="C240" s="21">
        <f t="shared" ref="C240:C303" si="76">D240-(B240-1)*G241</f>
        <v>19</v>
      </c>
      <c r="D240" s="21">
        <f>COUNT($D$41:$D239)+1</f>
        <v>19</v>
      </c>
    </row>
    <row r="241" spans="1:13">
      <c r="E241" s="21">
        <f t="shared" si="73"/>
        <v>241</v>
      </c>
      <c r="F241" s="9" t="s">
        <v>93</v>
      </c>
      <c r="G241" s="21">
        <v>36</v>
      </c>
      <c r="H241" s="21">
        <v>1</v>
      </c>
      <c r="J241" s="9" t="s">
        <v>253</v>
      </c>
      <c r="M241" s="21">
        <f t="shared" ref="M241:M304" si="77">J241+D240</f>
        <v>18519</v>
      </c>
    </row>
    <row r="242" spans="1:13">
      <c r="E242" s="21">
        <f t="shared" si="73"/>
        <v>242</v>
      </c>
      <c r="F242" s="9" t="s">
        <v>142</v>
      </c>
      <c r="M242" s="21">
        <v>182108</v>
      </c>
    </row>
    <row r="243" spans="1:13">
      <c r="E243" s="21">
        <f t="shared" si="73"/>
        <v>243</v>
      </c>
      <c r="F243" s="9" t="s">
        <v>126</v>
      </c>
      <c r="M243" s="21">
        <v>0</v>
      </c>
    </row>
    <row r="244" spans="1:13">
      <c r="E244" s="21">
        <f t="shared" si="73"/>
        <v>244</v>
      </c>
      <c r="F244" s="9" t="s">
        <v>29</v>
      </c>
      <c r="M244" s="21" t="s">
        <v>247</v>
      </c>
    </row>
    <row r="245" spans="1:13">
      <c r="E245" s="21">
        <f t="shared" si="73"/>
        <v>245</v>
      </c>
      <c r="F245" s="9" t="s">
        <v>118</v>
      </c>
      <c r="M245" s="21" t="s">
        <v>249</v>
      </c>
    </row>
    <row r="246" spans="1:13">
      <c r="E246" s="21">
        <f t="shared" si="73"/>
        <v>246</v>
      </c>
      <c r="F246" s="9" t="s">
        <v>98</v>
      </c>
      <c r="K246" s="9" t="s">
        <v>137</v>
      </c>
      <c r="M246" s="21">
        <v>2</v>
      </c>
    </row>
    <row r="247" spans="1:13">
      <c r="E247" s="21">
        <f t="shared" si="73"/>
        <v>247</v>
      </c>
      <c r="F247" s="9" t="s">
        <v>31</v>
      </c>
      <c r="L247" s="9" t="s">
        <v>135</v>
      </c>
      <c r="M247" s="21" t="s">
        <v>251</v>
      </c>
    </row>
    <row r="248" spans="1:13">
      <c r="E248" s="21">
        <f t="shared" si="73"/>
        <v>248</v>
      </c>
      <c r="F248" s="9" t="s">
        <v>182</v>
      </c>
      <c r="G248" s="21">
        <v>360</v>
      </c>
      <c r="L248" s="9" t="s">
        <v>134</v>
      </c>
      <c r="M248" s="21">
        <f t="shared" ref="M248" si="78">G248/G241*C240</f>
        <v>190</v>
      </c>
    </row>
    <row r="249" spans="1:13">
      <c r="E249" s="21">
        <f t="shared" si="73"/>
        <v>249</v>
      </c>
      <c r="F249" s="9" t="s">
        <v>114</v>
      </c>
      <c r="M249" s="21" t="b">
        <v>1</v>
      </c>
    </row>
    <row r="250" spans="1:13">
      <c r="E250" s="21">
        <f t="shared" si="73"/>
        <v>250</v>
      </c>
      <c r="F250" s="9" t="s">
        <v>115</v>
      </c>
      <c r="M250" s="21">
        <v>2</v>
      </c>
    </row>
    <row r="251" spans="1:13">
      <c r="A251" s="21" t="s">
        <v>227</v>
      </c>
      <c r="B251" s="21">
        <f t="shared" ref="B251:B314" si="79">QUOTIENT( D251-1,G252)+1</f>
        <v>1</v>
      </c>
      <c r="C251" s="21">
        <f t="shared" ref="C251:C314" si="80">D251-(B251-1)*G252</f>
        <v>20</v>
      </c>
      <c r="D251" s="21">
        <f>COUNT($D$41:$D250)+1</f>
        <v>20</v>
      </c>
    </row>
    <row r="252" spans="1:13">
      <c r="E252" s="21">
        <f t="shared" si="73"/>
        <v>252</v>
      </c>
      <c r="F252" s="9" t="s">
        <v>93</v>
      </c>
      <c r="G252" s="21">
        <v>36</v>
      </c>
      <c r="H252" s="21">
        <v>1</v>
      </c>
      <c r="J252" s="9" t="s">
        <v>253</v>
      </c>
      <c r="M252" s="21">
        <f t="shared" ref="M252:M315" si="81">J252+D251</f>
        <v>18520</v>
      </c>
    </row>
    <row r="253" spans="1:13">
      <c r="E253" s="21">
        <f t="shared" si="73"/>
        <v>253</v>
      </c>
      <c r="F253" s="9" t="s">
        <v>142</v>
      </c>
      <c r="M253" s="21">
        <v>182108</v>
      </c>
    </row>
    <row r="254" spans="1:13">
      <c r="E254" s="21">
        <f t="shared" si="73"/>
        <v>254</v>
      </c>
      <c r="F254" s="9" t="s">
        <v>126</v>
      </c>
      <c r="M254" s="21">
        <v>0</v>
      </c>
    </row>
    <row r="255" spans="1:13">
      <c r="E255" s="21">
        <f t="shared" si="73"/>
        <v>255</v>
      </c>
      <c r="F255" s="9" t="s">
        <v>29</v>
      </c>
      <c r="M255" s="21" t="s">
        <v>247</v>
      </c>
    </row>
    <row r="256" spans="1:13">
      <c r="E256" s="21">
        <f t="shared" si="73"/>
        <v>256</v>
      </c>
      <c r="F256" s="9" t="s">
        <v>118</v>
      </c>
      <c r="M256" s="21" t="s">
        <v>249</v>
      </c>
    </row>
    <row r="257" spans="1:13">
      <c r="E257" s="21">
        <f t="shared" si="73"/>
        <v>257</v>
      </c>
      <c r="F257" s="9" t="s">
        <v>98</v>
      </c>
      <c r="K257" s="9" t="s">
        <v>137</v>
      </c>
      <c r="M257" s="21">
        <v>2</v>
      </c>
    </row>
    <row r="258" spans="1:13">
      <c r="E258" s="21">
        <f t="shared" si="73"/>
        <v>258</v>
      </c>
      <c r="F258" s="9" t="s">
        <v>31</v>
      </c>
      <c r="L258" s="9" t="s">
        <v>135</v>
      </c>
      <c r="M258" s="21" t="s">
        <v>251</v>
      </c>
    </row>
    <row r="259" spans="1:13">
      <c r="E259" s="21">
        <f t="shared" si="73"/>
        <v>259</v>
      </c>
      <c r="F259" s="9" t="s">
        <v>182</v>
      </c>
      <c r="G259" s="21">
        <v>360</v>
      </c>
      <c r="L259" s="9" t="s">
        <v>134</v>
      </c>
      <c r="M259" s="21">
        <f t="shared" ref="M259" si="82">G259/G252*C251</f>
        <v>200</v>
      </c>
    </row>
    <row r="260" spans="1:13">
      <c r="E260" s="21">
        <f t="shared" si="73"/>
        <v>260</v>
      </c>
      <c r="F260" s="9" t="s">
        <v>114</v>
      </c>
      <c r="M260" s="21" t="b">
        <v>1</v>
      </c>
    </row>
    <row r="261" spans="1:13">
      <c r="E261" s="21">
        <f t="shared" si="73"/>
        <v>261</v>
      </c>
      <c r="F261" s="9" t="s">
        <v>115</v>
      </c>
      <c r="M261" s="21">
        <v>2</v>
      </c>
    </row>
    <row r="262" spans="1:13">
      <c r="A262" s="21" t="s">
        <v>227</v>
      </c>
      <c r="B262" s="21">
        <f t="shared" ref="B262:B325" si="83">QUOTIENT( D262-1,G263)+1</f>
        <v>1</v>
      </c>
      <c r="C262" s="21">
        <f t="shared" ref="C262:C325" si="84">D262-(B262-1)*G263</f>
        <v>21</v>
      </c>
      <c r="D262" s="21">
        <f>COUNT($D$41:$D261)+1</f>
        <v>21</v>
      </c>
    </row>
    <row r="263" spans="1:13">
      <c r="E263" s="21">
        <f t="shared" si="73"/>
        <v>263</v>
      </c>
      <c r="F263" s="9" t="s">
        <v>93</v>
      </c>
      <c r="G263" s="21">
        <v>36</v>
      </c>
      <c r="H263" s="21">
        <v>1</v>
      </c>
      <c r="J263" s="9" t="s">
        <v>253</v>
      </c>
      <c r="M263" s="21">
        <f t="shared" ref="M263:M326" si="85">J263+D262</f>
        <v>18521</v>
      </c>
    </row>
    <row r="264" spans="1:13">
      <c r="E264" s="21">
        <f t="shared" si="73"/>
        <v>264</v>
      </c>
      <c r="F264" s="9" t="s">
        <v>142</v>
      </c>
      <c r="M264" s="21">
        <v>182108</v>
      </c>
    </row>
    <row r="265" spans="1:13">
      <c r="E265" s="21">
        <f t="shared" si="73"/>
        <v>265</v>
      </c>
      <c r="F265" s="9" t="s">
        <v>126</v>
      </c>
      <c r="M265" s="21">
        <v>0</v>
      </c>
    </row>
    <row r="266" spans="1:13">
      <c r="E266" s="21">
        <f t="shared" si="73"/>
        <v>266</v>
      </c>
      <c r="F266" s="9" t="s">
        <v>29</v>
      </c>
      <c r="M266" s="21" t="s">
        <v>247</v>
      </c>
    </row>
    <row r="267" spans="1:13">
      <c r="E267" s="21">
        <f t="shared" si="73"/>
        <v>267</v>
      </c>
      <c r="F267" s="9" t="s">
        <v>118</v>
      </c>
      <c r="M267" s="21" t="s">
        <v>249</v>
      </c>
    </row>
    <row r="268" spans="1:13">
      <c r="E268" s="21">
        <f t="shared" si="73"/>
        <v>268</v>
      </c>
      <c r="F268" s="9" t="s">
        <v>98</v>
      </c>
      <c r="K268" s="9" t="s">
        <v>137</v>
      </c>
      <c r="M268" s="21">
        <v>2</v>
      </c>
    </row>
    <row r="269" spans="1:13">
      <c r="E269" s="21">
        <f t="shared" si="73"/>
        <v>269</v>
      </c>
      <c r="F269" s="9" t="s">
        <v>31</v>
      </c>
      <c r="L269" s="9" t="s">
        <v>135</v>
      </c>
      <c r="M269" s="21" t="s">
        <v>251</v>
      </c>
    </row>
    <row r="270" spans="1:13">
      <c r="E270" s="21">
        <f t="shared" si="73"/>
        <v>270</v>
      </c>
      <c r="F270" s="9" t="s">
        <v>182</v>
      </c>
      <c r="G270" s="21">
        <v>360</v>
      </c>
      <c r="L270" s="9" t="s">
        <v>134</v>
      </c>
      <c r="M270" s="21">
        <f t="shared" ref="M270" si="86">G270/G263*C262</f>
        <v>210</v>
      </c>
    </row>
    <row r="271" spans="1:13">
      <c r="E271" s="21">
        <f t="shared" si="73"/>
        <v>271</v>
      </c>
      <c r="F271" s="9" t="s">
        <v>114</v>
      </c>
      <c r="M271" s="21" t="b">
        <v>1</v>
      </c>
    </row>
    <row r="272" spans="1:13">
      <c r="E272" s="21">
        <f t="shared" si="73"/>
        <v>272</v>
      </c>
      <c r="F272" s="9" t="s">
        <v>115</v>
      </c>
      <c r="M272" s="21">
        <v>2</v>
      </c>
    </row>
    <row r="273" spans="1:13">
      <c r="A273" s="21" t="s">
        <v>227</v>
      </c>
      <c r="B273" s="21">
        <f t="shared" ref="B273:B336" si="87">QUOTIENT( D273-1,G274)+1</f>
        <v>1</v>
      </c>
      <c r="C273" s="21">
        <f t="shared" ref="C273:C336" si="88">D273-(B273-1)*G274</f>
        <v>22</v>
      </c>
      <c r="D273" s="21">
        <f>COUNT($D$41:$D272)+1</f>
        <v>22</v>
      </c>
    </row>
    <row r="274" spans="1:13">
      <c r="E274" s="21">
        <f t="shared" si="73"/>
        <v>274</v>
      </c>
      <c r="F274" s="9" t="s">
        <v>93</v>
      </c>
      <c r="G274" s="21">
        <v>36</v>
      </c>
      <c r="H274" s="21">
        <v>1</v>
      </c>
      <c r="J274" s="9" t="s">
        <v>253</v>
      </c>
      <c r="M274" s="21">
        <f t="shared" ref="M274:M337" si="89">J274+D273</f>
        <v>18522</v>
      </c>
    </row>
    <row r="275" spans="1:13">
      <c r="E275" s="21">
        <f t="shared" si="73"/>
        <v>275</v>
      </c>
      <c r="F275" s="9" t="s">
        <v>142</v>
      </c>
      <c r="M275" s="21">
        <v>182108</v>
      </c>
    </row>
    <row r="276" spans="1:13">
      <c r="E276" s="21">
        <f t="shared" si="73"/>
        <v>276</v>
      </c>
      <c r="F276" s="9" t="s">
        <v>126</v>
      </c>
      <c r="M276" s="21">
        <v>0</v>
      </c>
    </row>
    <row r="277" spans="1:13">
      <c r="E277" s="21">
        <f t="shared" si="73"/>
        <v>277</v>
      </c>
      <c r="F277" s="9" t="s">
        <v>29</v>
      </c>
      <c r="M277" s="21" t="s">
        <v>247</v>
      </c>
    </row>
    <row r="278" spans="1:13">
      <c r="E278" s="21">
        <f t="shared" si="73"/>
        <v>278</v>
      </c>
      <c r="F278" s="9" t="s">
        <v>118</v>
      </c>
      <c r="M278" s="21" t="s">
        <v>249</v>
      </c>
    </row>
    <row r="279" spans="1:13">
      <c r="E279" s="21">
        <f t="shared" si="73"/>
        <v>279</v>
      </c>
      <c r="F279" s="9" t="s">
        <v>98</v>
      </c>
      <c r="K279" s="9" t="s">
        <v>137</v>
      </c>
      <c r="M279" s="21">
        <v>2</v>
      </c>
    </row>
    <row r="280" spans="1:13">
      <c r="E280" s="21">
        <f t="shared" si="73"/>
        <v>280</v>
      </c>
      <c r="F280" s="9" t="s">
        <v>31</v>
      </c>
      <c r="L280" s="9" t="s">
        <v>135</v>
      </c>
      <c r="M280" s="21" t="s">
        <v>251</v>
      </c>
    </row>
    <row r="281" spans="1:13">
      <c r="E281" s="21">
        <f t="shared" si="73"/>
        <v>281</v>
      </c>
      <c r="F281" s="9" t="s">
        <v>182</v>
      </c>
      <c r="G281" s="21">
        <v>360</v>
      </c>
      <c r="L281" s="9" t="s">
        <v>134</v>
      </c>
      <c r="M281" s="21">
        <f t="shared" ref="M281" si="90">G281/G274*C273</f>
        <v>220</v>
      </c>
    </row>
    <row r="282" spans="1:13">
      <c r="E282" s="21">
        <f t="shared" si="73"/>
        <v>282</v>
      </c>
      <c r="F282" s="9" t="s">
        <v>114</v>
      </c>
      <c r="M282" s="21" t="b">
        <v>1</v>
      </c>
    </row>
    <row r="283" spans="1:13">
      <c r="E283" s="21">
        <f t="shared" si="73"/>
        <v>283</v>
      </c>
      <c r="F283" s="9" t="s">
        <v>115</v>
      </c>
      <c r="M283" s="21">
        <v>2</v>
      </c>
    </row>
    <row r="284" spans="1:13">
      <c r="A284" s="21" t="s">
        <v>227</v>
      </c>
      <c r="B284" s="21">
        <f t="shared" ref="B284:B347" si="91">QUOTIENT( D284-1,G285)+1</f>
        <v>1</v>
      </c>
      <c r="C284" s="21">
        <f t="shared" ref="C284:C347" si="92">D284-(B284-1)*G285</f>
        <v>23</v>
      </c>
      <c r="D284" s="21">
        <f>COUNT($D$41:$D283)+1</f>
        <v>23</v>
      </c>
    </row>
    <row r="285" spans="1:13">
      <c r="E285" s="21">
        <f t="shared" si="73"/>
        <v>285</v>
      </c>
      <c r="F285" s="9" t="s">
        <v>93</v>
      </c>
      <c r="G285" s="21">
        <v>36</v>
      </c>
      <c r="H285" s="21">
        <v>1</v>
      </c>
      <c r="J285" s="9" t="s">
        <v>253</v>
      </c>
      <c r="M285" s="21">
        <f t="shared" ref="M285:M348" si="93">J285+D284</f>
        <v>18523</v>
      </c>
    </row>
    <row r="286" spans="1:13">
      <c r="E286" s="21">
        <f t="shared" si="73"/>
        <v>286</v>
      </c>
      <c r="F286" s="9" t="s">
        <v>142</v>
      </c>
      <c r="M286" s="21">
        <v>182108</v>
      </c>
    </row>
    <row r="287" spans="1:13">
      <c r="E287" s="21">
        <f t="shared" si="73"/>
        <v>287</v>
      </c>
      <c r="F287" s="9" t="s">
        <v>126</v>
      </c>
      <c r="M287" s="21">
        <v>0</v>
      </c>
    </row>
    <row r="288" spans="1:13">
      <c r="E288" s="21">
        <f t="shared" si="73"/>
        <v>288</v>
      </c>
      <c r="F288" s="9" t="s">
        <v>29</v>
      </c>
      <c r="M288" s="21" t="s">
        <v>247</v>
      </c>
    </row>
    <row r="289" spans="1:13">
      <c r="E289" s="21">
        <f t="shared" si="73"/>
        <v>289</v>
      </c>
      <c r="F289" s="9" t="s">
        <v>118</v>
      </c>
      <c r="M289" s="21" t="s">
        <v>249</v>
      </c>
    </row>
    <row r="290" spans="1:13">
      <c r="E290" s="21">
        <f t="shared" si="73"/>
        <v>290</v>
      </c>
      <c r="F290" s="9" t="s">
        <v>98</v>
      </c>
      <c r="K290" s="9" t="s">
        <v>137</v>
      </c>
      <c r="M290" s="21">
        <v>2</v>
      </c>
    </row>
    <row r="291" spans="1:13">
      <c r="E291" s="21">
        <f t="shared" si="73"/>
        <v>291</v>
      </c>
      <c r="F291" s="9" t="s">
        <v>31</v>
      </c>
      <c r="L291" s="9" t="s">
        <v>135</v>
      </c>
      <c r="M291" s="21" t="s">
        <v>251</v>
      </c>
    </row>
    <row r="292" spans="1:13">
      <c r="E292" s="21">
        <f t="shared" si="73"/>
        <v>292</v>
      </c>
      <c r="F292" s="9" t="s">
        <v>182</v>
      </c>
      <c r="G292" s="21">
        <v>360</v>
      </c>
      <c r="L292" s="9" t="s">
        <v>134</v>
      </c>
      <c r="M292" s="21">
        <f t="shared" ref="M292" si="94">G292/G285*C284</f>
        <v>230</v>
      </c>
    </row>
    <row r="293" spans="1:13">
      <c r="E293" s="21">
        <f t="shared" si="73"/>
        <v>293</v>
      </c>
      <c r="F293" s="9" t="s">
        <v>114</v>
      </c>
      <c r="M293" s="21" t="b">
        <v>1</v>
      </c>
    </row>
    <row r="294" spans="1:13">
      <c r="E294" s="21">
        <f t="shared" si="73"/>
        <v>294</v>
      </c>
      <c r="F294" s="9" t="s">
        <v>115</v>
      </c>
      <c r="M294" s="21">
        <v>2</v>
      </c>
    </row>
    <row r="295" spans="1:13">
      <c r="A295" s="21" t="s">
        <v>227</v>
      </c>
      <c r="B295" s="21">
        <f t="shared" ref="B295:B358" si="95">QUOTIENT( D295-1,G296)+1</f>
        <v>1</v>
      </c>
      <c r="C295" s="21">
        <f t="shared" ref="C295:C358" si="96">D295-(B295-1)*G296</f>
        <v>24</v>
      </c>
      <c r="D295" s="21">
        <f>COUNT($D$41:$D294)+1</f>
        <v>24</v>
      </c>
    </row>
    <row r="296" spans="1:13">
      <c r="E296" s="21">
        <f t="shared" si="73"/>
        <v>296</v>
      </c>
      <c r="F296" s="9" t="s">
        <v>93</v>
      </c>
      <c r="G296" s="21">
        <v>36</v>
      </c>
      <c r="H296" s="21">
        <v>1</v>
      </c>
      <c r="J296" s="9" t="s">
        <v>253</v>
      </c>
      <c r="M296" s="21">
        <f t="shared" ref="M296:M359" si="97">J296+D295</f>
        <v>18524</v>
      </c>
    </row>
    <row r="297" spans="1:13">
      <c r="E297" s="21">
        <f t="shared" si="73"/>
        <v>297</v>
      </c>
      <c r="F297" s="9" t="s">
        <v>142</v>
      </c>
      <c r="M297" s="21">
        <v>182108</v>
      </c>
    </row>
    <row r="298" spans="1:13">
      <c r="E298" s="21">
        <f t="shared" si="73"/>
        <v>298</v>
      </c>
      <c r="F298" s="9" t="s">
        <v>126</v>
      </c>
      <c r="M298" s="21">
        <v>0</v>
      </c>
    </row>
    <row r="299" spans="1:13">
      <c r="E299" s="21">
        <f t="shared" ref="E299:E362" si="98">ROW(E299)</f>
        <v>299</v>
      </c>
      <c r="F299" s="9" t="s">
        <v>29</v>
      </c>
      <c r="M299" s="21" t="s">
        <v>247</v>
      </c>
    </row>
    <row r="300" spans="1:13">
      <c r="E300" s="21">
        <f t="shared" si="98"/>
        <v>300</v>
      </c>
      <c r="F300" s="9" t="s">
        <v>118</v>
      </c>
      <c r="M300" s="21" t="s">
        <v>249</v>
      </c>
    </row>
    <row r="301" spans="1:13">
      <c r="E301" s="21">
        <f t="shared" si="98"/>
        <v>301</v>
      </c>
      <c r="F301" s="9" t="s">
        <v>98</v>
      </c>
      <c r="K301" s="9" t="s">
        <v>137</v>
      </c>
      <c r="M301" s="21">
        <v>2</v>
      </c>
    </row>
    <row r="302" spans="1:13">
      <c r="E302" s="21">
        <f t="shared" si="98"/>
        <v>302</v>
      </c>
      <c r="F302" s="9" t="s">
        <v>31</v>
      </c>
      <c r="L302" s="9" t="s">
        <v>135</v>
      </c>
      <c r="M302" s="21" t="s">
        <v>251</v>
      </c>
    </row>
    <row r="303" spans="1:13">
      <c r="E303" s="21">
        <f t="shared" si="98"/>
        <v>303</v>
      </c>
      <c r="F303" s="9" t="s">
        <v>182</v>
      </c>
      <c r="G303" s="21">
        <v>360</v>
      </c>
      <c r="L303" s="9" t="s">
        <v>134</v>
      </c>
      <c r="M303" s="21">
        <f t="shared" ref="M303" si="99">G303/G296*C295</f>
        <v>240</v>
      </c>
    </row>
    <row r="304" spans="1:13">
      <c r="E304" s="21">
        <f t="shared" si="98"/>
        <v>304</v>
      </c>
      <c r="F304" s="9" t="s">
        <v>114</v>
      </c>
      <c r="M304" s="21" t="b">
        <v>1</v>
      </c>
    </row>
    <row r="305" spans="1:13">
      <c r="E305" s="21">
        <f t="shared" si="98"/>
        <v>305</v>
      </c>
      <c r="F305" s="9" t="s">
        <v>115</v>
      </c>
      <c r="M305" s="21">
        <v>2</v>
      </c>
    </row>
    <row r="306" spans="1:13">
      <c r="A306" s="21" t="s">
        <v>227</v>
      </c>
      <c r="B306" s="21">
        <f t="shared" ref="B306:B369" si="100">QUOTIENT( D306-1,G307)+1</f>
        <v>1</v>
      </c>
      <c r="C306" s="21">
        <f t="shared" ref="C306:C369" si="101">D306-(B306-1)*G307</f>
        <v>25</v>
      </c>
      <c r="D306" s="21">
        <f>COUNT($D$41:$D305)+1</f>
        <v>25</v>
      </c>
    </row>
    <row r="307" spans="1:13">
      <c r="E307" s="21">
        <f t="shared" si="98"/>
        <v>307</v>
      </c>
      <c r="F307" s="9" t="s">
        <v>93</v>
      </c>
      <c r="G307" s="21">
        <v>36</v>
      </c>
      <c r="H307" s="21">
        <v>1</v>
      </c>
      <c r="J307" s="9" t="s">
        <v>253</v>
      </c>
      <c r="M307" s="21">
        <f t="shared" ref="M307:M370" si="102">J307+D306</f>
        <v>18525</v>
      </c>
    </row>
    <row r="308" spans="1:13">
      <c r="E308" s="21">
        <f t="shared" si="98"/>
        <v>308</v>
      </c>
      <c r="F308" s="9" t="s">
        <v>142</v>
      </c>
      <c r="M308" s="21">
        <v>182108</v>
      </c>
    </row>
    <row r="309" spans="1:13">
      <c r="E309" s="21">
        <f t="shared" si="98"/>
        <v>309</v>
      </c>
      <c r="F309" s="9" t="s">
        <v>126</v>
      </c>
      <c r="M309" s="21">
        <v>0</v>
      </c>
    </row>
    <row r="310" spans="1:13">
      <c r="E310" s="21">
        <f t="shared" si="98"/>
        <v>310</v>
      </c>
      <c r="F310" s="9" t="s">
        <v>29</v>
      </c>
      <c r="M310" s="21" t="s">
        <v>247</v>
      </c>
    </row>
    <row r="311" spans="1:13">
      <c r="E311" s="21">
        <f t="shared" si="98"/>
        <v>311</v>
      </c>
      <c r="F311" s="9" t="s">
        <v>118</v>
      </c>
      <c r="M311" s="21" t="s">
        <v>249</v>
      </c>
    </row>
    <row r="312" spans="1:13">
      <c r="E312" s="21">
        <f t="shared" si="98"/>
        <v>312</v>
      </c>
      <c r="F312" s="9" t="s">
        <v>98</v>
      </c>
      <c r="K312" s="9" t="s">
        <v>137</v>
      </c>
      <c r="M312" s="21">
        <v>2</v>
      </c>
    </row>
    <row r="313" spans="1:13">
      <c r="E313" s="21">
        <f t="shared" si="98"/>
        <v>313</v>
      </c>
      <c r="F313" s="9" t="s">
        <v>31</v>
      </c>
      <c r="L313" s="9" t="s">
        <v>135</v>
      </c>
      <c r="M313" s="21" t="s">
        <v>251</v>
      </c>
    </row>
    <row r="314" spans="1:13">
      <c r="E314" s="21">
        <f t="shared" si="98"/>
        <v>314</v>
      </c>
      <c r="F314" s="9" t="s">
        <v>182</v>
      </c>
      <c r="G314" s="21">
        <v>360</v>
      </c>
      <c r="L314" s="9" t="s">
        <v>134</v>
      </c>
      <c r="M314" s="21">
        <f t="shared" ref="M314" si="103">G314/G307*C306</f>
        <v>250</v>
      </c>
    </row>
    <row r="315" spans="1:13">
      <c r="E315" s="21">
        <f t="shared" si="98"/>
        <v>315</v>
      </c>
      <c r="F315" s="9" t="s">
        <v>114</v>
      </c>
      <c r="M315" s="21" t="b">
        <v>1</v>
      </c>
    </row>
    <row r="316" spans="1:13">
      <c r="E316" s="21">
        <f t="shared" si="98"/>
        <v>316</v>
      </c>
      <c r="F316" s="9" t="s">
        <v>115</v>
      </c>
      <c r="M316" s="21">
        <v>2</v>
      </c>
    </row>
    <row r="317" spans="1:13">
      <c r="A317" s="21" t="s">
        <v>227</v>
      </c>
      <c r="B317" s="21">
        <f t="shared" ref="B317:B380" si="104">QUOTIENT( D317-1,G318)+1</f>
        <v>1</v>
      </c>
      <c r="C317" s="21">
        <f t="shared" ref="C317:C380" si="105">D317-(B317-1)*G318</f>
        <v>26</v>
      </c>
      <c r="D317" s="21">
        <f>COUNT($D$41:$D316)+1</f>
        <v>26</v>
      </c>
    </row>
    <row r="318" spans="1:13">
      <c r="E318" s="21">
        <f t="shared" si="98"/>
        <v>318</v>
      </c>
      <c r="F318" s="9" t="s">
        <v>93</v>
      </c>
      <c r="G318" s="21">
        <v>36</v>
      </c>
      <c r="H318" s="21">
        <v>1</v>
      </c>
      <c r="J318" s="9" t="s">
        <v>253</v>
      </c>
      <c r="M318" s="21">
        <f t="shared" ref="M318:M381" si="106">J318+D317</f>
        <v>18526</v>
      </c>
    </row>
    <row r="319" spans="1:13">
      <c r="E319" s="21">
        <f t="shared" si="98"/>
        <v>319</v>
      </c>
      <c r="F319" s="9" t="s">
        <v>142</v>
      </c>
      <c r="M319" s="21">
        <v>182108</v>
      </c>
    </row>
    <row r="320" spans="1:13">
      <c r="E320" s="21">
        <f t="shared" si="98"/>
        <v>320</v>
      </c>
      <c r="F320" s="9" t="s">
        <v>126</v>
      </c>
      <c r="M320" s="21">
        <v>0</v>
      </c>
    </row>
    <row r="321" spans="1:13">
      <c r="E321" s="21">
        <f t="shared" si="98"/>
        <v>321</v>
      </c>
      <c r="F321" s="9" t="s">
        <v>29</v>
      </c>
      <c r="M321" s="21" t="s">
        <v>247</v>
      </c>
    </row>
    <row r="322" spans="1:13">
      <c r="E322" s="21">
        <f t="shared" si="98"/>
        <v>322</v>
      </c>
      <c r="F322" s="9" t="s">
        <v>118</v>
      </c>
      <c r="M322" s="21" t="s">
        <v>249</v>
      </c>
    </row>
    <row r="323" spans="1:13">
      <c r="E323" s="21">
        <f t="shared" si="98"/>
        <v>323</v>
      </c>
      <c r="F323" s="9" t="s">
        <v>98</v>
      </c>
      <c r="K323" s="9" t="s">
        <v>137</v>
      </c>
      <c r="M323" s="21">
        <v>2</v>
      </c>
    </row>
    <row r="324" spans="1:13">
      <c r="E324" s="21">
        <f t="shared" si="98"/>
        <v>324</v>
      </c>
      <c r="F324" s="9" t="s">
        <v>31</v>
      </c>
      <c r="L324" s="9" t="s">
        <v>135</v>
      </c>
      <c r="M324" s="21" t="s">
        <v>251</v>
      </c>
    </row>
    <row r="325" spans="1:13">
      <c r="E325" s="21">
        <f t="shared" si="98"/>
        <v>325</v>
      </c>
      <c r="F325" s="9" t="s">
        <v>182</v>
      </c>
      <c r="G325" s="21">
        <v>360</v>
      </c>
      <c r="L325" s="9" t="s">
        <v>134</v>
      </c>
      <c r="M325" s="21">
        <f t="shared" ref="M325" si="107">G325/G318*C317</f>
        <v>260</v>
      </c>
    </row>
    <row r="326" spans="1:13">
      <c r="E326" s="21">
        <f t="shared" si="98"/>
        <v>326</v>
      </c>
      <c r="F326" s="9" t="s">
        <v>114</v>
      </c>
      <c r="M326" s="21" t="b">
        <v>1</v>
      </c>
    </row>
    <row r="327" spans="1:13">
      <c r="E327" s="21">
        <f t="shared" si="98"/>
        <v>327</v>
      </c>
      <c r="F327" s="9" t="s">
        <v>115</v>
      </c>
      <c r="M327" s="21">
        <v>2</v>
      </c>
    </row>
    <row r="328" spans="1:13">
      <c r="A328" s="21" t="s">
        <v>227</v>
      </c>
      <c r="B328" s="21">
        <f t="shared" ref="B328:B391" si="108">QUOTIENT( D328-1,G329)+1</f>
        <v>1</v>
      </c>
      <c r="C328" s="21">
        <f t="shared" ref="C328:C391" si="109">D328-(B328-1)*G329</f>
        <v>27</v>
      </c>
      <c r="D328" s="21">
        <f>COUNT($D$41:$D327)+1</f>
        <v>27</v>
      </c>
    </row>
    <row r="329" spans="1:13">
      <c r="E329" s="21">
        <f t="shared" si="98"/>
        <v>329</v>
      </c>
      <c r="F329" s="9" t="s">
        <v>93</v>
      </c>
      <c r="G329" s="21">
        <v>36</v>
      </c>
      <c r="H329" s="21">
        <v>1</v>
      </c>
      <c r="J329" s="9" t="s">
        <v>253</v>
      </c>
      <c r="M329" s="21">
        <f t="shared" ref="M329:M392" si="110">J329+D328</f>
        <v>18527</v>
      </c>
    </row>
    <row r="330" spans="1:13">
      <c r="E330" s="21">
        <f t="shared" si="98"/>
        <v>330</v>
      </c>
      <c r="F330" s="9" t="s">
        <v>142</v>
      </c>
      <c r="M330" s="21">
        <v>182108</v>
      </c>
    </row>
    <row r="331" spans="1:13">
      <c r="E331" s="21">
        <f t="shared" si="98"/>
        <v>331</v>
      </c>
      <c r="F331" s="9" t="s">
        <v>126</v>
      </c>
      <c r="M331" s="21">
        <v>0</v>
      </c>
    </row>
    <row r="332" spans="1:13">
      <c r="E332" s="21">
        <f t="shared" si="98"/>
        <v>332</v>
      </c>
      <c r="F332" s="9" t="s">
        <v>29</v>
      </c>
      <c r="M332" s="21" t="s">
        <v>247</v>
      </c>
    </row>
    <row r="333" spans="1:13">
      <c r="E333" s="21">
        <f t="shared" si="98"/>
        <v>333</v>
      </c>
      <c r="F333" s="9" t="s">
        <v>118</v>
      </c>
      <c r="M333" s="21" t="s">
        <v>249</v>
      </c>
    </row>
    <row r="334" spans="1:13">
      <c r="E334" s="21">
        <f t="shared" si="98"/>
        <v>334</v>
      </c>
      <c r="F334" s="9" t="s">
        <v>98</v>
      </c>
      <c r="K334" s="9" t="s">
        <v>137</v>
      </c>
      <c r="M334" s="21">
        <v>2</v>
      </c>
    </row>
    <row r="335" spans="1:13">
      <c r="E335" s="21">
        <f t="shared" si="98"/>
        <v>335</v>
      </c>
      <c r="F335" s="9" t="s">
        <v>31</v>
      </c>
      <c r="L335" s="9" t="s">
        <v>135</v>
      </c>
      <c r="M335" s="21" t="s">
        <v>251</v>
      </c>
    </row>
    <row r="336" spans="1:13">
      <c r="E336" s="21">
        <f t="shared" si="98"/>
        <v>336</v>
      </c>
      <c r="F336" s="9" t="s">
        <v>182</v>
      </c>
      <c r="G336" s="21">
        <v>360</v>
      </c>
      <c r="L336" s="9" t="s">
        <v>134</v>
      </c>
      <c r="M336" s="21">
        <f t="shared" ref="M336" si="111">G336/G329*C328</f>
        <v>270</v>
      </c>
    </row>
    <row r="337" spans="1:13">
      <c r="E337" s="21">
        <f t="shared" si="98"/>
        <v>337</v>
      </c>
      <c r="F337" s="9" t="s">
        <v>114</v>
      </c>
      <c r="M337" s="21" t="b">
        <v>1</v>
      </c>
    </row>
    <row r="338" spans="1:13">
      <c r="E338" s="21">
        <f t="shared" si="98"/>
        <v>338</v>
      </c>
      <c r="F338" s="9" t="s">
        <v>115</v>
      </c>
      <c r="M338" s="21">
        <v>2</v>
      </c>
    </row>
    <row r="339" spans="1:13">
      <c r="A339" s="21" t="s">
        <v>227</v>
      </c>
      <c r="B339" s="21">
        <f t="shared" ref="B339:B402" si="112">QUOTIENT( D339-1,G340)+1</f>
        <v>1</v>
      </c>
      <c r="C339" s="21">
        <f t="shared" ref="C339:C402" si="113">D339-(B339-1)*G340</f>
        <v>28</v>
      </c>
      <c r="D339" s="21">
        <f>COUNT($D$41:$D338)+1</f>
        <v>28</v>
      </c>
    </row>
    <row r="340" spans="1:13">
      <c r="E340" s="21">
        <f t="shared" si="98"/>
        <v>340</v>
      </c>
      <c r="F340" s="9" t="s">
        <v>93</v>
      </c>
      <c r="G340" s="21">
        <v>36</v>
      </c>
      <c r="H340" s="21">
        <v>1</v>
      </c>
      <c r="J340" s="9" t="s">
        <v>253</v>
      </c>
      <c r="M340" s="21">
        <f t="shared" ref="M340:M403" si="114">J340+D339</f>
        <v>18528</v>
      </c>
    </row>
    <row r="341" spans="1:13">
      <c r="E341" s="21">
        <f t="shared" si="98"/>
        <v>341</v>
      </c>
      <c r="F341" s="9" t="s">
        <v>142</v>
      </c>
      <c r="M341" s="21">
        <v>182108</v>
      </c>
    </row>
    <row r="342" spans="1:13">
      <c r="E342" s="21">
        <f t="shared" si="98"/>
        <v>342</v>
      </c>
      <c r="F342" s="9" t="s">
        <v>126</v>
      </c>
      <c r="M342" s="21">
        <v>0</v>
      </c>
    </row>
    <row r="343" spans="1:13">
      <c r="E343" s="21">
        <f t="shared" si="98"/>
        <v>343</v>
      </c>
      <c r="F343" s="9" t="s">
        <v>29</v>
      </c>
      <c r="M343" s="21" t="s">
        <v>247</v>
      </c>
    </row>
    <row r="344" spans="1:13">
      <c r="E344" s="21">
        <f t="shared" si="98"/>
        <v>344</v>
      </c>
      <c r="F344" s="9" t="s">
        <v>118</v>
      </c>
      <c r="M344" s="21" t="s">
        <v>249</v>
      </c>
    </row>
    <row r="345" spans="1:13">
      <c r="E345" s="21">
        <f t="shared" si="98"/>
        <v>345</v>
      </c>
      <c r="F345" s="9" t="s">
        <v>98</v>
      </c>
      <c r="K345" s="9" t="s">
        <v>137</v>
      </c>
      <c r="M345" s="21">
        <v>2</v>
      </c>
    </row>
    <row r="346" spans="1:13">
      <c r="E346" s="21">
        <f t="shared" si="98"/>
        <v>346</v>
      </c>
      <c r="F346" s="9" t="s">
        <v>31</v>
      </c>
      <c r="L346" s="9" t="s">
        <v>135</v>
      </c>
      <c r="M346" s="21" t="s">
        <v>251</v>
      </c>
    </row>
    <row r="347" spans="1:13">
      <c r="E347" s="21">
        <f t="shared" si="98"/>
        <v>347</v>
      </c>
      <c r="F347" s="9" t="s">
        <v>182</v>
      </c>
      <c r="G347" s="21">
        <v>360</v>
      </c>
      <c r="L347" s="9" t="s">
        <v>134</v>
      </c>
      <c r="M347" s="21">
        <f t="shared" ref="M347" si="115">G347/G340*C339</f>
        <v>280</v>
      </c>
    </row>
    <row r="348" spans="1:13">
      <c r="E348" s="21">
        <f t="shared" si="98"/>
        <v>348</v>
      </c>
      <c r="F348" s="9" t="s">
        <v>114</v>
      </c>
      <c r="M348" s="21" t="b">
        <v>1</v>
      </c>
    </row>
    <row r="349" spans="1:13">
      <c r="E349" s="21">
        <f t="shared" si="98"/>
        <v>349</v>
      </c>
      <c r="F349" s="9" t="s">
        <v>115</v>
      </c>
      <c r="M349" s="21">
        <v>2</v>
      </c>
    </row>
    <row r="350" spans="1:13">
      <c r="A350" s="21" t="s">
        <v>227</v>
      </c>
      <c r="B350" s="21">
        <f t="shared" ref="B350:B413" si="116">QUOTIENT( D350-1,G351)+1</f>
        <v>1</v>
      </c>
      <c r="C350" s="21">
        <f t="shared" ref="C350:C413" si="117">D350-(B350-1)*G351</f>
        <v>29</v>
      </c>
      <c r="D350" s="21">
        <f>COUNT($D$41:$D349)+1</f>
        <v>29</v>
      </c>
    </row>
    <row r="351" spans="1:13">
      <c r="E351" s="21">
        <f t="shared" si="98"/>
        <v>351</v>
      </c>
      <c r="F351" s="9" t="s">
        <v>93</v>
      </c>
      <c r="G351" s="21">
        <v>36</v>
      </c>
      <c r="H351" s="21">
        <v>1</v>
      </c>
      <c r="J351" s="9" t="s">
        <v>253</v>
      </c>
      <c r="M351" s="21">
        <f t="shared" ref="M351:M414" si="118">J351+D350</f>
        <v>18529</v>
      </c>
    </row>
    <row r="352" spans="1:13">
      <c r="E352" s="21">
        <f t="shared" si="98"/>
        <v>352</v>
      </c>
      <c r="F352" s="9" t="s">
        <v>142</v>
      </c>
      <c r="M352" s="21">
        <v>182108</v>
      </c>
    </row>
    <row r="353" spans="1:13">
      <c r="E353" s="21">
        <f t="shared" si="98"/>
        <v>353</v>
      </c>
      <c r="F353" s="9" t="s">
        <v>126</v>
      </c>
      <c r="M353" s="21">
        <v>0</v>
      </c>
    </row>
    <row r="354" spans="1:13">
      <c r="E354" s="21">
        <f t="shared" si="98"/>
        <v>354</v>
      </c>
      <c r="F354" s="9" t="s">
        <v>29</v>
      </c>
      <c r="M354" s="21" t="s">
        <v>247</v>
      </c>
    </row>
    <row r="355" spans="1:13">
      <c r="E355" s="21">
        <f t="shared" si="98"/>
        <v>355</v>
      </c>
      <c r="F355" s="9" t="s">
        <v>118</v>
      </c>
      <c r="M355" s="21" t="s">
        <v>249</v>
      </c>
    </row>
    <row r="356" spans="1:13">
      <c r="E356" s="21">
        <f t="shared" si="98"/>
        <v>356</v>
      </c>
      <c r="F356" s="9" t="s">
        <v>98</v>
      </c>
      <c r="K356" s="9" t="s">
        <v>137</v>
      </c>
      <c r="M356" s="21">
        <v>2</v>
      </c>
    </row>
    <row r="357" spans="1:13">
      <c r="E357" s="21">
        <f t="shared" si="98"/>
        <v>357</v>
      </c>
      <c r="F357" s="9" t="s">
        <v>31</v>
      </c>
      <c r="L357" s="9" t="s">
        <v>135</v>
      </c>
      <c r="M357" s="21" t="s">
        <v>251</v>
      </c>
    </row>
    <row r="358" spans="1:13">
      <c r="E358" s="21">
        <f t="shared" si="98"/>
        <v>358</v>
      </c>
      <c r="F358" s="9" t="s">
        <v>182</v>
      </c>
      <c r="G358" s="21">
        <v>360</v>
      </c>
      <c r="L358" s="9" t="s">
        <v>134</v>
      </c>
      <c r="M358" s="21">
        <f t="shared" ref="M358" si="119">G358/G351*C350</f>
        <v>290</v>
      </c>
    </row>
    <row r="359" spans="1:13">
      <c r="E359" s="21">
        <f t="shared" si="98"/>
        <v>359</v>
      </c>
      <c r="F359" s="9" t="s">
        <v>114</v>
      </c>
      <c r="M359" s="21" t="b">
        <v>1</v>
      </c>
    </row>
    <row r="360" spans="1:13">
      <c r="E360" s="21">
        <f t="shared" si="98"/>
        <v>360</v>
      </c>
      <c r="F360" s="9" t="s">
        <v>115</v>
      </c>
      <c r="M360" s="21">
        <v>2</v>
      </c>
    </row>
    <row r="361" spans="1:13">
      <c r="A361" s="21" t="s">
        <v>227</v>
      </c>
      <c r="B361" s="21">
        <f t="shared" ref="B361:B424" si="120">QUOTIENT( D361-1,G362)+1</f>
        <v>1</v>
      </c>
      <c r="C361" s="21">
        <f t="shared" ref="C361:C424" si="121">D361-(B361-1)*G362</f>
        <v>30</v>
      </c>
      <c r="D361" s="21">
        <f>COUNT($D$41:$D360)+1</f>
        <v>30</v>
      </c>
    </row>
    <row r="362" spans="1:13">
      <c r="E362" s="21">
        <f t="shared" si="98"/>
        <v>362</v>
      </c>
      <c r="F362" s="9" t="s">
        <v>93</v>
      </c>
      <c r="G362" s="21">
        <v>36</v>
      </c>
      <c r="H362" s="21">
        <v>1</v>
      </c>
      <c r="J362" s="9" t="s">
        <v>253</v>
      </c>
      <c r="M362" s="21">
        <f t="shared" ref="M362:M425" si="122">J362+D361</f>
        <v>18530</v>
      </c>
    </row>
    <row r="363" spans="1:13">
      <c r="E363" s="21">
        <f t="shared" ref="E363:E426" si="123">ROW(E363)</f>
        <v>363</v>
      </c>
      <c r="F363" s="9" t="s">
        <v>142</v>
      </c>
      <c r="M363" s="21">
        <v>182108</v>
      </c>
    </row>
    <row r="364" spans="1:13">
      <c r="E364" s="21">
        <f t="shared" si="123"/>
        <v>364</v>
      </c>
      <c r="F364" s="9" t="s">
        <v>126</v>
      </c>
      <c r="M364" s="21">
        <v>0</v>
      </c>
    </row>
    <row r="365" spans="1:13">
      <c r="E365" s="21">
        <f t="shared" si="123"/>
        <v>365</v>
      </c>
      <c r="F365" s="9" t="s">
        <v>29</v>
      </c>
      <c r="M365" s="21" t="s">
        <v>247</v>
      </c>
    </row>
    <row r="366" spans="1:13">
      <c r="E366" s="21">
        <f t="shared" si="123"/>
        <v>366</v>
      </c>
      <c r="F366" s="9" t="s">
        <v>118</v>
      </c>
      <c r="M366" s="21" t="s">
        <v>249</v>
      </c>
    </row>
    <row r="367" spans="1:13">
      <c r="E367" s="21">
        <f t="shared" si="123"/>
        <v>367</v>
      </c>
      <c r="F367" s="9" t="s">
        <v>98</v>
      </c>
      <c r="K367" s="9" t="s">
        <v>137</v>
      </c>
      <c r="M367" s="21">
        <v>2</v>
      </c>
    </row>
    <row r="368" spans="1:13">
      <c r="E368" s="21">
        <f t="shared" si="123"/>
        <v>368</v>
      </c>
      <c r="F368" s="9" t="s">
        <v>31</v>
      </c>
      <c r="L368" s="9" t="s">
        <v>135</v>
      </c>
      <c r="M368" s="21" t="s">
        <v>251</v>
      </c>
    </row>
    <row r="369" spans="1:13">
      <c r="E369" s="21">
        <f t="shared" si="123"/>
        <v>369</v>
      </c>
      <c r="F369" s="9" t="s">
        <v>182</v>
      </c>
      <c r="G369" s="21">
        <v>360</v>
      </c>
      <c r="L369" s="9" t="s">
        <v>134</v>
      </c>
      <c r="M369" s="21">
        <f t="shared" ref="M369" si="124">G369/G362*C361</f>
        <v>300</v>
      </c>
    </row>
    <row r="370" spans="1:13">
      <c r="E370" s="21">
        <f t="shared" si="123"/>
        <v>370</v>
      </c>
      <c r="F370" s="9" t="s">
        <v>114</v>
      </c>
      <c r="M370" s="21" t="b">
        <v>1</v>
      </c>
    </row>
    <row r="371" spans="1:13">
      <c r="E371" s="21">
        <f t="shared" si="123"/>
        <v>371</v>
      </c>
      <c r="F371" s="9" t="s">
        <v>115</v>
      </c>
      <c r="M371" s="21">
        <v>2</v>
      </c>
    </row>
    <row r="372" spans="1:13">
      <c r="A372" s="21" t="s">
        <v>227</v>
      </c>
      <c r="B372" s="21">
        <f t="shared" ref="B372:B435" si="125">QUOTIENT( D372-1,G373)+1</f>
        <v>1</v>
      </c>
      <c r="C372" s="21">
        <f t="shared" ref="C372:C435" si="126">D372-(B372-1)*G373</f>
        <v>31</v>
      </c>
      <c r="D372" s="21">
        <f>COUNT($D$41:$D371)+1</f>
        <v>31</v>
      </c>
    </row>
    <row r="373" spans="1:13">
      <c r="E373" s="21">
        <f t="shared" si="123"/>
        <v>373</v>
      </c>
      <c r="F373" s="9" t="s">
        <v>93</v>
      </c>
      <c r="G373" s="21">
        <v>36</v>
      </c>
      <c r="H373" s="21">
        <v>1</v>
      </c>
      <c r="J373" s="9" t="s">
        <v>253</v>
      </c>
      <c r="M373" s="21">
        <f t="shared" ref="M373:M436" si="127">J373+D372</f>
        <v>18531</v>
      </c>
    </row>
    <row r="374" spans="1:13">
      <c r="E374" s="21">
        <f t="shared" si="123"/>
        <v>374</v>
      </c>
      <c r="F374" s="9" t="s">
        <v>142</v>
      </c>
      <c r="M374" s="21">
        <v>182108</v>
      </c>
    </row>
    <row r="375" spans="1:13">
      <c r="E375" s="21">
        <f t="shared" si="123"/>
        <v>375</v>
      </c>
      <c r="F375" s="9" t="s">
        <v>126</v>
      </c>
      <c r="M375" s="21">
        <v>0</v>
      </c>
    </row>
    <row r="376" spans="1:13">
      <c r="E376" s="21">
        <f t="shared" si="123"/>
        <v>376</v>
      </c>
      <c r="F376" s="9" t="s">
        <v>29</v>
      </c>
      <c r="M376" s="21" t="s">
        <v>247</v>
      </c>
    </row>
    <row r="377" spans="1:13">
      <c r="E377" s="21">
        <f t="shared" si="123"/>
        <v>377</v>
      </c>
      <c r="F377" s="9" t="s">
        <v>118</v>
      </c>
      <c r="M377" s="21" t="s">
        <v>249</v>
      </c>
    </row>
    <row r="378" spans="1:13">
      <c r="E378" s="21">
        <f t="shared" si="123"/>
        <v>378</v>
      </c>
      <c r="F378" s="9" t="s">
        <v>98</v>
      </c>
      <c r="K378" s="9" t="s">
        <v>137</v>
      </c>
      <c r="M378" s="21">
        <v>2</v>
      </c>
    </row>
    <row r="379" spans="1:13">
      <c r="E379" s="21">
        <f t="shared" si="123"/>
        <v>379</v>
      </c>
      <c r="F379" s="9" t="s">
        <v>31</v>
      </c>
      <c r="L379" s="9" t="s">
        <v>135</v>
      </c>
      <c r="M379" s="21" t="s">
        <v>251</v>
      </c>
    </row>
    <row r="380" spans="1:13">
      <c r="E380" s="21">
        <f t="shared" si="123"/>
        <v>380</v>
      </c>
      <c r="F380" s="9" t="s">
        <v>182</v>
      </c>
      <c r="G380" s="21">
        <v>360</v>
      </c>
      <c r="L380" s="9" t="s">
        <v>134</v>
      </c>
      <c r="M380" s="21">
        <f t="shared" ref="M380" si="128">G380/G373*C372</f>
        <v>310</v>
      </c>
    </row>
    <row r="381" spans="1:13">
      <c r="E381" s="21">
        <f t="shared" si="123"/>
        <v>381</v>
      </c>
      <c r="F381" s="9" t="s">
        <v>114</v>
      </c>
      <c r="M381" s="21" t="b">
        <v>1</v>
      </c>
    </row>
    <row r="382" spans="1:13">
      <c r="E382" s="21">
        <f t="shared" si="123"/>
        <v>382</v>
      </c>
      <c r="F382" s="9" t="s">
        <v>115</v>
      </c>
      <c r="M382" s="21">
        <v>2</v>
      </c>
    </row>
    <row r="383" spans="1:13">
      <c r="A383" s="21" t="s">
        <v>227</v>
      </c>
      <c r="B383" s="21">
        <f t="shared" ref="B383:B437" si="129">QUOTIENT( D383-1,G384)+1</f>
        <v>1</v>
      </c>
      <c r="C383" s="21">
        <f t="shared" ref="C383:C437" si="130">D383-(B383-1)*G384</f>
        <v>32</v>
      </c>
      <c r="D383" s="21">
        <f>COUNT($D$41:$D382)+1</f>
        <v>32</v>
      </c>
    </row>
    <row r="384" spans="1:13">
      <c r="E384" s="21">
        <f t="shared" si="123"/>
        <v>384</v>
      </c>
      <c r="F384" s="9" t="s">
        <v>93</v>
      </c>
      <c r="G384" s="21">
        <v>36</v>
      </c>
      <c r="H384" s="21">
        <v>1</v>
      </c>
      <c r="J384" s="9" t="s">
        <v>253</v>
      </c>
      <c r="M384" s="21">
        <f t="shared" ref="M384:M437" si="131">J384+D383</f>
        <v>18532</v>
      </c>
    </row>
    <row r="385" spans="1:13">
      <c r="E385" s="21">
        <f t="shared" si="123"/>
        <v>385</v>
      </c>
      <c r="F385" s="9" t="s">
        <v>142</v>
      </c>
      <c r="M385" s="21">
        <v>182108</v>
      </c>
    </row>
    <row r="386" spans="1:13">
      <c r="E386" s="21">
        <f t="shared" si="123"/>
        <v>386</v>
      </c>
      <c r="F386" s="9" t="s">
        <v>126</v>
      </c>
      <c r="M386" s="21">
        <v>0</v>
      </c>
    </row>
    <row r="387" spans="1:13">
      <c r="E387" s="21">
        <f t="shared" si="123"/>
        <v>387</v>
      </c>
      <c r="F387" s="9" t="s">
        <v>29</v>
      </c>
      <c r="M387" s="21" t="s">
        <v>247</v>
      </c>
    </row>
    <row r="388" spans="1:13">
      <c r="E388" s="21">
        <f t="shared" si="123"/>
        <v>388</v>
      </c>
      <c r="F388" s="9" t="s">
        <v>118</v>
      </c>
      <c r="M388" s="21" t="s">
        <v>249</v>
      </c>
    </row>
    <row r="389" spans="1:13">
      <c r="E389" s="21">
        <f t="shared" si="123"/>
        <v>389</v>
      </c>
      <c r="F389" s="9" t="s">
        <v>98</v>
      </c>
      <c r="K389" s="9" t="s">
        <v>137</v>
      </c>
      <c r="M389" s="21">
        <v>2</v>
      </c>
    </row>
    <row r="390" spans="1:13">
      <c r="E390" s="21">
        <f t="shared" si="123"/>
        <v>390</v>
      </c>
      <c r="F390" s="9" t="s">
        <v>31</v>
      </c>
      <c r="L390" s="9" t="s">
        <v>135</v>
      </c>
      <c r="M390" s="21" t="s">
        <v>251</v>
      </c>
    </row>
    <row r="391" spans="1:13">
      <c r="E391" s="21">
        <f t="shared" si="123"/>
        <v>391</v>
      </c>
      <c r="F391" s="9" t="s">
        <v>182</v>
      </c>
      <c r="G391" s="21">
        <v>360</v>
      </c>
      <c r="L391" s="9" t="s">
        <v>134</v>
      </c>
      <c r="M391" s="21">
        <f t="shared" ref="M391" si="132">G391/G384*C383</f>
        <v>320</v>
      </c>
    </row>
    <row r="392" spans="1:13">
      <c r="E392" s="21">
        <f t="shared" si="123"/>
        <v>392</v>
      </c>
      <c r="F392" s="9" t="s">
        <v>114</v>
      </c>
      <c r="M392" s="21" t="b">
        <v>1</v>
      </c>
    </row>
    <row r="393" spans="1:13">
      <c r="E393" s="21">
        <f t="shared" si="123"/>
        <v>393</v>
      </c>
      <c r="F393" s="9" t="s">
        <v>115</v>
      </c>
      <c r="M393" s="21">
        <v>2</v>
      </c>
    </row>
    <row r="394" spans="1:13">
      <c r="A394" s="21" t="s">
        <v>227</v>
      </c>
      <c r="B394" s="21">
        <f t="shared" ref="B394:B437" si="133">QUOTIENT( D394-1,G395)+1</f>
        <v>1</v>
      </c>
      <c r="C394" s="21">
        <f t="shared" ref="C394:C437" si="134">D394-(B394-1)*G395</f>
        <v>33</v>
      </c>
      <c r="D394" s="21">
        <f>COUNT($D$41:$D393)+1</f>
        <v>33</v>
      </c>
    </row>
    <row r="395" spans="1:13">
      <c r="E395" s="21">
        <f t="shared" si="123"/>
        <v>395</v>
      </c>
      <c r="F395" s="9" t="s">
        <v>93</v>
      </c>
      <c r="G395" s="21">
        <v>36</v>
      </c>
      <c r="H395" s="21">
        <v>1</v>
      </c>
      <c r="J395" s="9" t="s">
        <v>253</v>
      </c>
      <c r="M395" s="21">
        <f t="shared" ref="M395:M437" si="135">J395+D394</f>
        <v>18533</v>
      </c>
    </row>
    <row r="396" spans="1:13">
      <c r="E396" s="21">
        <f t="shared" si="123"/>
        <v>396</v>
      </c>
      <c r="F396" s="9" t="s">
        <v>142</v>
      </c>
      <c r="M396" s="21">
        <v>182108</v>
      </c>
    </row>
    <row r="397" spans="1:13">
      <c r="E397" s="21">
        <f t="shared" si="123"/>
        <v>397</v>
      </c>
      <c r="F397" s="9" t="s">
        <v>126</v>
      </c>
      <c r="M397" s="21">
        <v>0</v>
      </c>
    </row>
    <row r="398" spans="1:13">
      <c r="E398" s="21">
        <f t="shared" si="123"/>
        <v>398</v>
      </c>
      <c r="F398" s="9" t="s">
        <v>29</v>
      </c>
      <c r="M398" s="21" t="s">
        <v>247</v>
      </c>
    </row>
    <row r="399" spans="1:13">
      <c r="E399" s="21">
        <f t="shared" si="123"/>
        <v>399</v>
      </c>
      <c r="F399" s="9" t="s">
        <v>118</v>
      </c>
      <c r="M399" s="21" t="s">
        <v>249</v>
      </c>
    </row>
    <row r="400" spans="1:13">
      <c r="E400" s="21">
        <f t="shared" si="123"/>
        <v>400</v>
      </c>
      <c r="F400" s="9" t="s">
        <v>98</v>
      </c>
      <c r="K400" s="9" t="s">
        <v>137</v>
      </c>
      <c r="M400" s="21">
        <v>2</v>
      </c>
    </row>
    <row r="401" spans="1:13">
      <c r="E401" s="21">
        <f t="shared" si="123"/>
        <v>401</v>
      </c>
      <c r="F401" s="9" t="s">
        <v>31</v>
      </c>
      <c r="L401" s="9" t="s">
        <v>135</v>
      </c>
      <c r="M401" s="21" t="s">
        <v>251</v>
      </c>
    </row>
    <row r="402" spans="1:13">
      <c r="E402" s="21">
        <f t="shared" si="123"/>
        <v>402</v>
      </c>
      <c r="F402" s="9" t="s">
        <v>182</v>
      </c>
      <c r="G402" s="21">
        <v>360</v>
      </c>
      <c r="L402" s="9" t="s">
        <v>134</v>
      </c>
      <c r="M402" s="21">
        <f t="shared" ref="M402" si="136">G402/G395*C394</f>
        <v>330</v>
      </c>
    </row>
    <row r="403" spans="1:13">
      <c r="E403" s="21">
        <f t="shared" si="123"/>
        <v>403</v>
      </c>
      <c r="F403" s="9" t="s">
        <v>114</v>
      </c>
      <c r="M403" s="21" t="b">
        <v>1</v>
      </c>
    </row>
    <row r="404" spans="1:13">
      <c r="E404" s="21">
        <f t="shared" si="123"/>
        <v>404</v>
      </c>
      <c r="F404" s="9" t="s">
        <v>115</v>
      </c>
      <c r="M404" s="21">
        <v>2</v>
      </c>
    </row>
    <row r="405" spans="1:13">
      <c r="A405" s="21" t="s">
        <v>227</v>
      </c>
      <c r="B405" s="21">
        <f t="shared" ref="B405:B437" si="137">QUOTIENT( D405-1,G406)+1</f>
        <v>1</v>
      </c>
      <c r="C405" s="21">
        <f t="shared" ref="C405:C437" si="138">D405-(B405-1)*G406</f>
        <v>34</v>
      </c>
      <c r="D405" s="21">
        <f>COUNT($D$41:$D404)+1</f>
        <v>34</v>
      </c>
    </row>
    <row r="406" spans="1:13">
      <c r="E406" s="21">
        <f t="shared" si="123"/>
        <v>406</v>
      </c>
      <c r="F406" s="9" t="s">
        <v>93</v>
      </c>
      <c r="G406" s="21">
        <v>36</v>
      </c>
      <c r="H406" s="21">
        <v>1</v>
      </c>
      <c r="J406" s="9" t="s">
        <v>253</v>
      </c>
      <c r="M406" s="21">
        <f t="shared" ref="M406:M437" si="139">J406+D405</f>
        <v>18534</v>
      </c>
    </row>
    <row r="407" spans="1:13">
      <c r="E407" s="21">
        <f t="shared" si="123"/>
        <v>407</v>
      </c>
      <c r="F407" s="9" t="s">
        <v>142</v>
      </c>
      <c r="M407" s="21">
        <v>182108</v>
      </c>
    </row>
    <row r="408" spans="1:13">
      <c r="E408" s="21">
        <f t="shared" si="123"/>
        <v>408</v>
      </c>
      <c r="F408" s="9" t="s">
        <v>126</v>
      </c>
      <c r="M408" s="21">
        <v>0</v>
      </c>
    </row>
    <row r="409" spans="1:13">
      <c r="E409" s="21">
        <f t="shared" si="123"/>
        <v>409</v>
      </c>
      <c r="F409" s="9" t="s">
        <v>29</v>
      </c>
      <c r="M409" s="21" t="s">
        <v>247</v>
      </c>
    </row>
    <row r="410" spans="1:13">
      <c r="E410" s="21">
        <f t="shared" si="123"/>
        <v>410</v>
      </c>
      <c r="F410" s="9" t="s">
        <v>118</v>
      </c>
      <c r="M410" s="21" t="s">
        <v>249</v>
      </c>
    </row>
    <row r="411" spans="1:13">
      <c r="E411" s="21">
        <f t="shared" si="123"/>
        <v>411</v>
      </c>
      <c r="F411" s="9" t="s">
        <v>98</v>
      </c>
      <c r="K411" s="9" t="s">
        <v>137</v>
      </c>
      <c r="M411" s="21">
        <v>2</v>
      </c>
    </row>
    <row r="412" spans="1:13">
      <c r="E412" s="21">
        <f t="shared" si="123"/>
        <v>412</v>
      </c>
      <c r="F412" s="9" t="s">
        <v>31</v>
      </c>
      <c r="L412" s="9" t="s">
        <v>135</v>
      </c>
      <c r="M412" s="21" t="s">
        <v>251</v>
      </c>
    </row>
    <row r="413" spans="1:13">
      <c r="E413" s="21">
        <f t="shared" si="123"/>
        <v>413</v>
      </c>
      <c r="F413" s="9" t="s">
        <v>182</v>
      </c>
      <c r="G413" s="21">
        <v>360</v>
      </c>
      <c r="L413" s="9" t="s">
        <v>134</v>
      </c>
      <c r="M413" s="21">
        <f t="shared" ref="M413" si="140">G413/G406*C405</f>
        <v>340</v>
      </c>
    </row>
    <row r="414" spans="1:13">
      <c r="E414" s="21">
        <f t="shared" si="123"/>
        <v>414</v>
      </c>
      <c r="F414" s="9" t="s">
        <v>114</v>
      </c>
      <c r="M414" s="21" t="b">
        <v>1</v>
      </c>
    </row>
    <row r="415" spans="1:13">
      <c r="E415" s="21">
        <f t="shared" si="123"/>
        <v>415</v>
      </c>
      <c r="F415" s="9" t="s">
        <v>115</v>
      </c>
      <c r="M415" s="21">
        <v>2</v>
      </c>
    </row>
    <row r="416" spans="1:13">
      <c r="A416" s="21" t="s">
        <v>227</v>
      </c>
      <c r="B416" s="21">
        <f t="shared" ref="B416:B437" si="141">QUOTIENT( D416-1,G417)+1</f>
        <v>1</v>
      </c>
      <c r="C416" s="21">
        <f t="shared" ref="C416:C437" si="142">D416-(B416-1)*G417</f>
        <v>35</v>
      </c>
      <c r="D416" s="21">
        <f>COUNT($D$41:$D415)+1</f>
        <v>35</v>
      </c>
    </row>
    <row r="417" spans="1:13">
      <c r="E417" s="21">
        <f t="shared" si="123"/>
        <v>417</v>
      </c>
      <c r="F417" s="9" t="s">
        <v>93</v>
      </c>
      <c r="G417" s="21">
        <v>36</v>
      </c>
      <c r="H417" s="21">
        <v>1</v>
      </c>
      <c r="J417" s="9" t="s">
        <v>253</v>
      </c>
      <c r="M417" s="21">
        <f t="shared" ref="M417:M437" si="143">J417+D416</f>
        <v>18535</v>
      </c>
    </row>
    <row r="418" spans="1:13">
      <c r="E418" s="21">
        <f t="shared" si="123"/>
        <v>418</v>
      </c>
      <c r="F418" s="9" t="s">
        <v>142</v>
      </c>
      <c r="M418" s="21">
        <v>182108</v>
      </c>
    </row>
    <row r="419" spans="1:13">
      <c r="E419" s="21">
        <f t="shared" si="123"/>
        <v>419</v>
      </c>
      <c r="F419" s="9" t="s">
        <v>126</v>
      </c>
      <c r="M419" s="21">
        <v>0</v>
      </c>
    </row>
    <row r="420" spans="1:13">
      <c r="E420" s="21">
        <f t="shared" si="123"/>
        <v>420</v>
      </c>
      <c r="F420" s="9" t="s">
        <v>29</v>
      </c>
      <c r="M420" s="21" t="s">
        <v>247</v>
      </c>
    </row>
    <row r="421" spans="1:13">
      <c r="E421" s="21">
        <f t="shared" si="123"/>
        <v>421</v>
      </c>
      <c r="F421" s="9" t="s">
        <v>118</v>
      </c>
      <c r="M421" s="21" t="s">
        <v>249</v>
      </c>
    </row>
    <row r="422" spans="1:13">
      <c r="E422" s="21">
        <f t="shared" si="123"/>
        <v>422</v>
      </c>
      <c r="F422" s="9" t="s">
        <v>98</v>
      </c>
      <c r="K422" s="9" t="s">
        <v>137</v>
      </c>
      <c r="M422" s="21">
        <v>2</v>
      </c>
    </row>
    <row r="423" spans="1:13">
      <c r="E423" s="21">
        <f t="shared" si="123"/>
        <v>423</v>
      </c>
      <c r="F423" s="9" t="s">
        <v>31</v>
      </c>
      <c r="L423" s="9" t="s">
        <v>135</v>
      </c>
      <c r="M423" s="21" t="s">
        <v>251</v>
      </c>
    </row>
    <row r="424" spans="1:13">
      <c r="E424" s="21">
        <f t="shared" si="123"/>
        <v>424</v>
      </c>
      <c r="F424" s="9" t="s">
        <v>182</v>
      </c>
      <c r="G424" s="21">
        <v>360</v>
      </c>
      <c r="L424" s="9" t="s">
        <v>134</v>
      </c>
      <c r="M424" s="21">
        <f t="shared" ref="M424" si="144">G424/G417*C416</f>
        <v>350</v>
      </c>
    </row>
    <row r="425" spans="1:13">
      <c r="E425" s="21">
        <f t="shared" si="123"/>
        <v>425</v>
      </c>
      <c r="F425" s="9" t="s">
        <v>114</v>
      </c>
      <c r="M425" s="21" t="b">
        <v>1</v>
      </c>
    </row>
    <row r="426" spans="1:13">
      <c r="E426" s="21">
        <f t="shared" si="123"/>
        <v>426</v>
      </c>
      <c r="F426" s="9" t="s">
        <v>115</v>
      </c>
      <c r="M426" s="21">
        <v>2</v>
      </c>
    </row>
    <row r="427" spans="1:13">
      <c r="A427" s="21" t="s">
        <v>227</v>
      </c>
      <c r="B427" s="21">
        <f t="shared" ref="B427:B437" si="145">QUOTIENT( D427-1,G428)+1</f>
        <v>1</v>
      </c>
      <c r="C427" s="21">
        <f t="shared" ref="C427:C437" si="146">D427-(B427-1)*G428</f>
        <v>36</v>
      </c>
      <c r="D427" s="21">
        <f>COUNT($D$41:$D426)+1</f>
        <v>36</v>
      </c>
    </row>
    <row r="428" spans="1:13">
      <c r="E428" s="21">
        <f t="shared" ref="E428:E437" si="147">ROW(E428)</f>
        <v>428</v>
      </c>
      <c r="F428" s="9" t="s">
        <v>93</v>
      </c>
      <c r="G428" s="21">
        <v>36</v>
      </c>
      <c r="H428" s="21">
        <v>1</v>
      </c>
      <c r="J428" s="9" t="s">
        <v>253</v>
      </c>
      <c r="M428" s="21">
        <f t="shared" ref="M428:M437" si="148">J428+D427</f>
        <v>18536</v>
      </c>
    </row>
    <row r="429" spans="1:13">
      <c r="E429" s="21">
        <f t="shared" si="147"/>
        <v>429</v>
      </c>
      <c r="F429" s="9" t="s">
        <v>142</v>
      </c>
      <c r="M429" s="21">
        <v>182108</v>
      </c>
    </row>
    <row r="430" spans="1:13">
      <c r="E430" s="21">
        <f t="shared" si="147"/>
        <v>430</v>
      </c>
      <c r="F430" s="9" t="s">
        <v>126</v>
      </c>
      <c r="M430" s="21">
        <v>0</v>
      </c>
    </row>
    <row r="431" spans="1:13">
      <c r="E431" s="21">
        <f t="shared" si="147"/>
        <v>431</v>
      </c>
      <c r="F431" s="9" t="s">
        <v>29</v>
      </c>
      <c r="M431" s="21" t="s">
        <v>247</v>
      </c>
    </row>
    <row r="432" spans="1:13">
      <c r="E432" s="21">
        <f t="shared" si="147"/>
        <v>432</v>
      </c>
      <c r="F432" s="9" t="s">
        <v>118</v>
      </c>
      <c r="M432" s="21" t="s">
        <v>249</v>
      </c>
    </row>
    <row r="433" spans="5:13">
      <c r="E433" s="21">
        <f t="shared" si="147"/>
        <v>433</v>
      </c>
      <c r="F433" s="9" t="s">
        <v>98</v>
      </c>
      <c r="K433" s="9" t="s">
        <v>137</v>
      </c>
      <c r="M433" s="21">
        <v>2</v>
      </c>
    </row>
    <row r="434" spans="5:13">
      <c r="E434" s="21">
        <f t="shared" si="147"/>
        <v>434</v>
      </c>
      <c r="F434" s="9" t="s">
        <v>31</v>
      </c>
      <c r="L434" s="9" t="s">
        <v>135</v>
      </c>
      <c r="M434" s="21" t="s">
        <v>251</v>
      </c>
    </row>
    <row r="435" spans="5:13">
      <c r="E435" s="21">
        <f t="shared" si="147"/>
        <v>435</v>
      </c>
      <c r="F435" s="9" t="s">
        <v>182</v>
      </c>
      <c r="G435" s="21">
        <v>360</v>
      </c>
      <c r="L435" s="9" t="s">
        <v>134</v>
      </c>
      <c r="M435" s="21">
        <f t="shared" ref="M435" si="149">G435/G428*C427</f>
        <v>360</v>
      </c>
    </row>
    <row r="436" spans="5:13">
      <c r="E436" s="21">
        <f t="shared" si="147"/>
        <v>436</v>
      </c>
      <c r="F436" s="9" t="s">
        <v>114</v>
      </c>
      <c r="M436" s="21" t="b">
        <v>1</v>
      </c>
    </row>
    <row r="437" spans="5:13">
      <c r="E437" s="21">
        <f t="shared" si="147"/>
        <v>437</v>
      </c>
      <c r="F437" s="9" t="s">
        <v>115</v>
      </c>
      <c r="M437" s="21">
        <v>2</v>
      </c>
    </row>
  </sheetData>
  <phoneticPr fontId="2" type="noConversion"/>
  <conditionalFormatting sqref="BE1:XFD1 E1:I1">
    <cfRule type="duplicateValues" dxfId="51" priority="1879"/>
  </conditionalFormatting>
  <conditionalFormatting sqref="F1:F10 F13">
    <cfRule type="cellIs" dxfId="50" priority="1380" operator="equal">
      <formula>"ID"</formula>
    </cfRule>
    <cfRule type="cellIs" dxfId="49" priority="1795" operator="equal">
      <formula>"行動序號"</formula>
    </cfRule>
  </conditionalFormatting>
  <conditionalFormatting sqref="J1">
    <cfRule type="duplicateValues" dxfId="48" priority="1378"/>
  </conditionalFormatting>
  <conditionalFormatting sqref="K1:L1">
    <cfRule type="duplicateValues" dxfId="47" priority="1375"/>
  </conditionalFormatting>
  <conditionalFormatting sqref="M1:M18 M22:M1048576">
    <cfRule type="expression" dxfId="46" priority="990">
      <formula>_xlfn.ISFORMULA(M1)</formula>
    </cfRule>
  </conditionalFormatting>
  <conditionalFormatting sqref="N1:BD1">
    <cfRule type="duplicateValues" dxfId="45" priority="1895"/>
  </conditionalFormatting>
  <conditionalFormatting sqref="F14 F11:F12">
    <cfRule type="cellIs" dxfId="44" priority="100" operator="equal">
      <formula>"ID"</formula>
    </cfRule>
    <cfRule type="cellIs" dxfId="43" priority="101" operator="equal">
      <formula>"行動序號"</formula>
    </cfRule>
  </conditionalFormatting>
  <conditionalFormatting sqref="F1:F18 F22:F1048576">
    <cfRule type="cellIs" dxfId="42" priority="93" operator="equal">
      <formula>"ID"</formula>
    </cfRule>
    <cfRule type="cellIs" dxfId="41" priority="94" operator="equal">
      <formula>"行動ID"</formula>
    </cfRule>
  </conditionalFormatting>
  <conditionalFormatting sqref="M1:M18 M22:M1048576">
    <cfRule type="expression" dxfId="40" priority="54">
      <formula>AND(_xlfn.ISFORMULA(M1),OR($F1="行動ID", $F1="ID"))</formula>
    </cfRule>
    <cfRule type="expression" dxfId="39" priority="56">
      <formula>OR($F1="行動ID", $F1="ID")</formula>
    </cfRule>
  </conditionalFormatting>
  <dataValidations count="1">
    <dataValidation type="list" allowBlank="1" showInputMessage="1" showErrorMessage="1" sqref="K8 L5:L6 F10 K4 L14:L15 K15 L21 L41 K19 L37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stage7_card9shot2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2025-04-23T10:30:12Z</dcterms:modified>
</cp:coreProperties>
</file>