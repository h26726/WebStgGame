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defaultThemeVersion="124226"/>
  <mc:AlternateContent xmlns:mc="http://schemas.openxmlformats.org/markup-compatibility/2006">
    <mc:Choice Requires="x15">
      <x15ac:absPath xmlns:x15ac="http://schemas.microsoft.com/office/spreadsheetml/2010/11/ac" url="C:\Users\hcook-win\STG project\Assets\StreamingAssets\Setting\Stage7_Normal\"/>
    </mc:Choice>
  </mc:AlternateContent>
  <xr:revisionPtr revIDLastSave="0" documentId="13_ncr:1_{3B19B418-461D-4935-95A2-B9D12F9CDE89}" xr6:coauthVersionLast="47" xr6:coauthVersionMax="47" xr10:uidLastSave="{00000000-0000-0000-0000-000000000000}"/>
  <bookViews>
    <workbookView xWindow="-120" yWindow="-120" windowWidth="29040" windowHeight="15840" xr2:uid="{00000000-000D-0000-FFFF-FFFF00000000}"/>
  </bookViews>
  <sheets>
    <sheet name="stage7_1" sheetId="1" r:id="rId1"/>
    <sheet name="#ALIAS" sheetId="60" r:id="rId2"/>
    <sheet name="#DEFINE" sheetId="61" r:id="rId3"/>
    <sheet name="#OPTION" sheetId="62" r:id="rId4"/>
    <sheet name="#PARAM" sheetId="63" r:id="rId5"/>
    <sheet name="#OUTPUT" sheetId="64" r:id="rId6"/>
    <sheet name="#使用說明" sheetId="65" r:id="rId7"/>
  </sheets>
  <functionGroups builtInGroupCount="19"/>
  <definedNames>
    <definedName name="_OPTION_" localSheetId="1">#REF!</definedName>
    <definedName name="_OPTION_" localSheetId="2">#REF!</definedName>
    <definedName name="_OPTION_" localSheetId="3">'#OPTION'!$A$2:$A$98</definedName>
    <definedName name="_OPTION_" localSheetId="5">#REF!</definedName>
    <definedName name="_OPTION_" localSheetId="4">#REF!</definedName>
    <definedName name="_OPTION_" localSheetId="6">#REF!</definedName>
    <definedName name="一般物品">#REF!</definedName>
    <definedName name="無償商城幣">#REF!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217" i="1" l="1"/>
  <c r="E2216" i="1"/>
  <c r="E2215" i="1"/>
  <c r="E2214" i="1"/>
  <c r="E2213" i="1"/>
  <c r="E2212" i="1"/>
  <c r="O2211" i="1"/>
  <c r="E2211" i="1"/>
  <c r="E2210" i="1"/>
  <c r="E2209" i="1"/>
  <c r="E2208" i="1"/>
  <c r="O2207" i="1"/>
  <c r="E2207" i="1"/>
  <c r="E2206" i="1"/>
  <c r="O2205" i="1"/>
  <c r="E2205" i="1"/>
  <c r="E2204" i="1"/>
  <c r="E2203" i="1"/>
  <c r="E2202" i="1"/>
  <c r="E2201" i="1"/>
  <c r="E2200" i="1"/>
  <c r="E2199" i="1"/>
  <c r="E2198" i="1"/>
  <c r="E2196" i="1"/>
  <c r="E2195" i="1"/>
  <c r="E2194" i="1"/>
  <c r="E2193" i="1"/>
  <c r="E2192" i="1"/>
  <c r="E2191" i="1"/>
  <c r="O2190" i="1"/>
  <c r="E2190" i="1"/>
  <c r="E2189" i="1"/>
  <c r="E2188" i="1"/>
  <c r="E2187" i="1"/>
  <c r="O2186" i="1"/>
  <c r="E2186" i="1"/>
  <c r="E2185" i="1"/>
  <c r="O2184" i="1"/>
  <c r="E2184" i="1"/>
  <c r="E2183" i="1"/>
  <c r="E2182" i="1"/>
  <c r="E2181" i="1"/>
  <c r="E2180" i="1"/>
  <c r="E2179" i="1"/>
  <c r="E2178" i="1"/>
  <c r="E2177" i="1"/>
  <c r="E2175" i="1"/>
  <c r="E2174" i="1"/>
  <c r="E2173" i="1"/>
  <c r="E2172" i="1"/>
  <c r="E2171" i="1"/>
  <c r="E2170" i="1"/>
  <c r="O2169" i="1"/>
  <c r="E2169" i="1"/>
  <c r="E2168" i="1"/>
  <c r="E2167" i="1"/>
  <c r="E2166" i="1"/>
  <c r="O2165" i="1"/>
  <c r="E2165" i="1"/>
  <c r="E2164" i="1"/>
  <c r="O2163" i="1"/>
  <c r="E2163" i="1"/>
  <c r="E2162" i="1"/>
  <c r="E2161" i="1"/>
  <c r="E2160" i="1"/>
  <c r="E2159" i="1"/>
  <c r="E2158" i="1"/>
  <c r="E2157" i="1"/>
  <c r="E2156" i="1"/>
  <c r="E2154" i="1"/>
  <c r="E2153" i="1"/>
  <c r="E2152" i="1"/>
  <c r="E2151" i="1"/>
  <c r="E2150" i="1"/>
  <c r="E2149" i="1"/>
  <c r="O2148" i="1"/>
  <c r="E2148" i="1"/>
  <c r="E2147" i="1"/>
  <c r="E2146" i="1"/>
  <c r="E2145" i="1"/>
  <c r="O2144" i="1"/>
  <c r="E2144" i="1"/>
  <c r="E2143" i="1"/>
  <c r="O2142" i="1"/>
  <c r="E2142" i="1"/>
  <c r="E2141" i="1"/>
  <c r="E2140" i="1"/>
  <c r="E2139" i="1"/>
  <c r="E2138" i="1"/>
  <c r="E2137" i="1"/>
  <c r="E2136" i="1"/>
  <c r="E2135" i="1"/>
  <c r="E2133" i="1"/>
  <c r="E2132" i="1"/>
  <c r="E2131" i="1"/>
  <c r="E2130" i="1"/>
  <c r="E2129" i="1"/>
  <c r="E2128" i="1"/>
  <c r="O2127" i="1"/>
  <c r="E2127" i="1"/>
  <c r="E2126" i="1"/>
  <c r="E2125" i="1"/>
  <c r="E2124" i="1"/>
  <c r="O2123" i="1"/>
  <c r="E2123" i="1"/>
  <c r="E2122" i="1"/>
  <c r="O2121" i="1"/>
  <c r="E2121" i="1"/>
  <c r="E2120" i="1"/>
  <c r="E2119" i="1"/>
  <c r="E2118" i="1"/>
  <c r="E2117" i="1"/>
  <c r="E2116" i="1"/>
  <c r="E2115" i="1"/>
  <c r="E2114" i="1"/>
  <c r="E2112" i="1"/>
  <c r="E2111" i="1"/>
  <c r="E2110" i="1"/>
  <c r="E2109" i="1"/>
  <c r="E2108" i="1"/>
  <c r="E2107" i="1"/>
  <c r="O2106" i="1"/>
  <c r="E2106" i="1"/>
  <c r="E2105" i="1"/>
  <c r="E2104" i="1"/>
  <c r="E2103" i="1"/>
  <c r="O2102" i="1"/>
  <c r="E2102" i="1"/>
  <c r="E2101" i="1"/>
  <c r="O2100" i="1"/>
  <c r="E2100" i="1"/>
  <c r="E2099" i="1"/>
  <c r="E2098" i="1"/>
  <c r="E2097" i="1"/>
  <c r="E2096" i="1"/>
  <c r="E2095" i="1"/>
  <c r="E2094" i="1"/>
  <c r="E2093" i="1"/>
  <c r="E2091" i="1"/>
  <c r="E2090" i="1"/>
  <c r="E2089" i="1"/>
  <c r="E2088" i="1"/>
  <c r="E2087" i="1"/>
  <c r="E2086" i="1"/>
  <c r="O2085" i="1"/>
  <c r="E2085" i="1"/>
  <c r="E2084" i="1"/>
  <c r="E2083" i="1"/>
  <c r="E2082" i="1"/>
  <c r="O2081" i="1"/>
  <c r="E2081" i="1"/>
  <c r="E2080" i="1"/>
  <c r="O2079" i="1"/>
  <c r="E2079" i="1"/>
  <c r="E2078" i="1"/>
  <c r="E2077" i="1"/>
  <c r="E2076" i="1"/>
  <c r="E2075" i="1"/>
  <c r="E2074" i="1"/>
  <c r="E2073" i="1"/>
  <c r="E2072" i="1"/>
  <c r="E2070" i="1"/>
  <c r="E2069" i="1"/>
  <c r="E2068" i="1"/>
  <c r="E2067" i="1"/>
  <c r="E2066" i="1"/>
  <c r="E2065" i="1"/>
  <c r="O2064" i="1"/>
  <c r="E2064" i="1"/>
  <c r="E2063" i="1"/>
  <c r="E2062" i="1"/>
  <c r="E2061" i="1"/>
  <c r="O2060" i="1"/>
  <c r="E2060" i="1"/>
  <c r="E2059" i="1"/>
  <c r="O2058" i="1"/>
  <c r="E2058" i="1"/>
  <c r="E2057" i="1"/>
  <c r="E2056" i="1"/>
  <c r="E2055" i="1"/>
  <c r="E2054" i="1"/>
  <c r="E2053" i="1"/>
  <c r="E2052" i="1"/>
  <c r="E2051" i="1"/>
  <c r="E2049" i="1"/>
  <c r="E2048" i="1"/>
  <c r="E2047" i="1"/>
  <c r="E2046" i="1"/>
  <c r="E2045" i="1"/>
  <c r="E2044" i="1"/>
  <c r="O2043" i="1"/>
  <c r="E2043" i="1"/>
  <c r="E2042" i="1"/>
  <c r="E2041" i="1"/>
  <c r="E2040" i="1"/>
  <c r="O2039" i="1"/>
  <c r="E2039" i="1"/>
  <c r="E2038" i="1"/>
  <c r="O2037" i="1"/>
  <c r="E2037" i="1"/>
  <c r="E2036" i="1"/>
  <c r="E2035" i="1"/>
  <c r="E2034" i="1"/>
  <c r="E2033" i="1"/>
  <c r="E2032" i="1"/>
  <c r="E2031" i="1"/>
  <c r="E2030" i="1"/>
  <c r="E2028" i="1"/>
  <c r="E2027" i="1"/>
  <c r="E2026" i="1"/>
  <c r="E2025" i="1"/>
  <c r="E2024" i="1"/>
  <c r="E2023" i="1"/>
  <c r="O2022" i="1"/>
  <c r="E2022" i="1"/>
  <c r="E2021" i="1"/>
  <c r="E2020" i="1"/>
  <c r="E2019" i="1"/>
  <c r="O2018" i="1"/>
  <c r="E2018" i="1"/>
  <c r="E2017" i="1"/>
  <c r="O2016" i="1"/>
  <c r="E2016" i="1"/>
  <c r="E2015" i="1"/>
  <c r="E2014" i="1"/>
  <c r="E2013" i="1"/>
  <c r="E2012" i="1"/>
  <c r="E2011" i="1"/>
  <c r="E2010" i="1"/>
  <c r="E2009" i="1"/>
  <c r="E2007" i="1"/>
  <c r="E2006" i="1"/>
  <c r="E2005" i="1"/>
  <c r="E2004" i="1"/>
  <c r="E2003" i="1"/>
  <c r="E2002" i="1"/>
  <c r="O2001" i="1"/>
  <c r="E2001" i="1"/>
  <c r="E2000" i="1"/>
  <c r="E1999" i="1"/>
  <c r="E1998" i="1"/>
  <c r="O1997" i="1"/>
  <c r="E1997" i="1"/>
  <c r="E1996" i="1"/>
  <c r="O1995" i="1"/>
  <c r="E1995" i="1"/>
  <c r="E1994" i="1"/>
  <c r="E1993" i="1"/>
  <c r="E1992" i="1"/>
  <c r="E1991" i="1"/>
  <c r="E1990" i="1"/>
  <c r="E1989" i="1"/>
  <c r="E1988" i="1"/>
  <c r="E1986" i="1"/>
  <c r="E1985" i="1"/>
  <c r="E1984" i="1"/>
  <c r="E1983" i="1"/>
  <c r="E1982" i="1"/>
  <c r="E1981" i="1"/>
  <c r="O1980" i="1"/>
  <c r="E1980" i="1"/>
  <c r="E1979" i="1"/>
  <c r="E1978" i="1"/>
  <c r="E1977" i="1"/>
  <c r="O1976" i="1"/>
  <c r="E1976" i="1"/>
  <c r="E1975" i="1"/>
  <c r="O1974" i="1"/>
  <c r="E1974" i="1"/>
  <c r="E1973" i="1"/>
  <c r="E1972" i="1"/>
  <c r="E1971" i="1"/>
  <c r="E1970" i="1"/>
  <c r="E1969" i="1"/>
  <c r="E1968" i="1"/>
  <c r="E1967" i="1"/>
  <c r="E1965" i="1"/>
  <c r="E1964" i="1"/>
  <c r="E1963" i="1"/>
  <c r="E1962" i="1"/>
  <c r="E1961" i="1"/>
  <c r="E1960" i="1"/>
  <c r="O1959" i="1"/>
  <c r="E1959" i="1"/>
  <c r="E1958" i="1"/>
  <c r="E1957" i="1"/>
  <c r="E1956" i="1"/>
  <c r="O1955" i="1"/>
  <c r="E1955" i="1"/>
  <c r="E1954" i="1"/>
  <c r="O1953" i="1"/>
  <c r="E1953" i="1"/>
  <c r="E1952" i="1"/>
  <c r="E1951" i="1"/>
  <c r="E1950" i="1"/>
  <c r="E1949" i="1"/>
  <c r="E1948" i="1"/>
  <c r="E1947" i="1"/>
  <c r="E1946" i="1"/>
  <c r="E1944" i="1"/>
  <c r="E1943" i="1"/>
  <c r="E1942" i="1"/>
  <c r="E1941" i="1"/>
  <c r="E1940" i="1"/>
  <c r="E1939" i="1"/>
  <c r="O1938" i="1"/>
  <c r="E1938" i="1"/>
  <c r="E1937" i="1"/>
  <c r="E1936" i="1"/>
  <c r="E1935" i="1"/>
  <c r="O1934" i="1"/>
  <c r="E1934" i="1"/>
  <c r="E1933" i="1"/>
  <c r="O1932" i="1"/>
  <c r="E1932" i="1"/>
  <c r="E1931" i="1"/>
  <c r="E1930" i="1"/>
  <c r="E1929" i="1"/>
  <c r="E1928" i="1"/>
  <c r="E1927" i="1"/>
  <c r="E1926" i="1"/>
  <c r="E1925" i="1"/>
  <c r="E1923" i="1"/>
  <c r="E1922" i="1"/>
  <c r="E1921" i="1"/>
  <c r="E1920" i="1"/>
  <c r="E1919" i="1"/>
  <c r="E1918" i="1"/>
  <c r="O1917" i="1"/>
  <c r="E1917" i="1"/>
  <c r="E1916" i="1"/>
  <c r="E1915" i="1"/>
  <c r="E1914" i="1"/>
  <c r="O1913" i="1"/>
  <c r="E1913" i="1"/>
  <c r="E1912" i="1"/>
  <c r="O1911" i="1"/>
  <c r="E1911" i="1"/>
  <c r="E1910" i="1"/>
  <c r="E1909" i="1"/>
  <c r="E1908" i="1"/>
  <c r="E1907" i="1"/>
  <c r="E1906" i="1"/>
  <c r="E1905" i="1"/>
  <c r="E1904" i="1"/>
  <c r="E1902" i="1"/>
  <c r="E1901" i="1"/>
  <c r="E1900" i="1"/>
  <c r="E1899" i="1"/>
  <c r="E1898" i="1"/>
  <c r="E1897" i="1"/>
  <c r="O1896" i="1"/>
  <c r="E1896" i="1"/>
  <c r="E1895" i="1"/>
  <c r="E1894" i="1"/>
  <c r="E1893" i="1"/>
  <c r="O1892" i="1"/>
  <c r="E1892" i="1"/>
  <c r="E1891" i="1"/>
  <c r="O1890" i="1"/>
  <c r="E1890" i="1"/>
  <c r="E1889" i="1"/>
  <c r="E1888" i="1"/>
  <c r="E1887" i="1"/>
  <c r="E1886" i="1"/>
  <c r="E1885" i="1"/>
  <c r="E1884" i="1"/>
  <c r="E1883" i="1"/>
  <c r="E1881" i="1"/>
  <c r="E1880" i="1"/>
  <c r="E1879" i="1"/>
  <c r="E1878" i="1"/>
  <c r="E1877" i="1"/>
  <c r="E1876" i="1"/>
  <c r="O1875" i="1"/>
  <c r="E1875" i="1"/>
  <c r="E1874" i="1"/>
  <c r="E1873" i="1"/>
  <c r="E1872" i="1"/>
  <c r="O1871" i="1"/>
  <c r="E1871" i="1"/>
  <c r="E1870" i="1"/>
  <c r="O1869" i="1"/>
  <c r="E1869" i="1"/>
  <c r="E1868" i="1"/>
  <c r="E1867" i="1"/>
  <c r="E1866" i="1"/>
  <c r="E1865" i="1"/>
  <c r="E1864" i="1"/>
  <c r="E1863" i="1"/>
  <c r="E1862" i="1"/>
  <c r="E1860" i="1"/>
  <c r="E1859" i="1"/>
  <c r="E1858" i="1"/>
  <c r="E1857" i="1"/>
  <c r="E1856" i="1"/>
  <c r="E1855" i="1"/>
  <c r="O1854" i="1"/>
  <c r="E1854" i="1"/>
  <c r="E1853" i="1"/>
  <c r="E1852" i="1"/>
  <c r="E1851" i="1"/>
  <c r="O1850" i="1"/>
  <c r="E1850" i="1"/>
  <c r="E1849" i="1"/>
  <c r="O1848" i="1"/>
  <c r="E1848" i="1"/>
  <c r="E1847" i="1"/>
  <c r="E1846" i="1"/>
  <c r="E1845" i="1"/>
  <c r="E1844" i="1"/>
  <c r="E1843" i="1"/>
  <c r="E1842" i="1"/>
  <c r="E1841" i="1"/>
  <c r="E1839" i="1"/>
  <c r="E1838" i="1"/>
  <c r="E1837" i="1"/>
  <c r="E1836" i="1"/>
  <c r="E1835" i="1"/>
  <c r="E1834" i="1"/>
  <c r="O1833" i="1"/>
  <c r="E1833" i="1"/>
  <c r="E1832" i="1"/>
  <c r="E1831" i="1"/>
  <c r="E1830" i="1"/>
  <c r="O1829" i="1"/>
  <c r="E1829" i="1"/>
  <c r="E1828" i="1"/>
  <c r="O1827" i="1"/>
  <c r="E1827" i="1"/>
  <c r="E1826" i="1"/>
  <c r="E1825" i="1"/>
  <c r="E1824" i="1"/>
  <c r="E1823" i="1"/>
  <c r="E1822" i="1"/>
  <c r="E1821" i="1"/>
  <c r="E1820" i="1"/>
  <c r="E1818" i="1"/>
  <c r="E1817" i="1"/>
  <c r="E1816" i="1"/>
  <c r="E1815" i="1"/>
  <c r="E1814" i="1"/>
  <c r="E1813" i="1"/>
  <c r="O1812" i="1"/>
  <c r="E1812" i="1"/>
  <c r="E1811" i="1"/>
  <c r="E1810" i="1"/>
  <c r="E1809" i="1"/>
  <c r="O1808" i="1"/>
  <c r="E1808" i="1"/>
  <c r="E1807" i="1"/>
  <c r="O1806" i="1"/>
  <c r="E1806" i="1"/>
  <c r="E1805" i="1"/>
  <c r="E1804" i="1"/>
  <c r="E1803" i="1"/>
  <c r="E1802" i="1"/>
  <c r="E1801" i="1"/>
  <c r="E1800" i="1"/>
  <c r="E1799" i="1"/>
  <c r="E1797" i="1"/>
  <c r="E1796" i="1"/>
  <c r="E1795" i="1"/>
  <c r="E1794" i="1"/>
  <c r="E1793" i="1"/>
  <c r="E1792" i="1"/>
  <c r="O1791" i="1"/>
  <c r="E1791" i="1"/>
  <c r="E1790" i="1"/>
  <c r="E1789" i="1"/>
  <c r="E1788" i="1"/>
  <c r="O1787" i="1"/>
  <c r="E1787" i="1"/>
  <c r="E1786" i="1"/>
  <c r="O1785" i="1"/>
  <c r="E1785" i="1"/>
  <c r="E1784" i="1"/>
  <c r="E1783" i="1"/>
  <c r="E1782" i="1"/>
  <c r="E1781" i="1"/>
  <c r="E1780" i="1"/>
  <c r="E1779" i="1"/>
  <c r="E1778" i="1"/>
  <c r="E1776" i="1"/>
  <c r="E1775" i="1"/>
  <c r="E1774" i="1"/>
  <c r="E1773" i="1"/>
  <c r="E1772" i="1"/>
  <c r="E1771" i="1"/>
  <c r="O1770" i="1"/>
  <c r="E1770" i="1"/>
  <c r="E1769" i="1"/>
  <c r="E1768" i="1"/>
  <c r="E1767" i="1"/>
  <c r="O1766" i="1"/>
  <c r="E1766" i="1"/>
  <c r="E1765" i="1"/>
  <c r="O1764" i="1"/>
  <c r="E1764" i="1"/>
  <c r="E1763" i="1"/>
  <c r="E1762" i="1"/>
  <c r="E1761" i="1"/>
  <c r="E1760" i="1"/>
  <c r="E1759" i="1"/>
  <c r="E1758" i="1"/>
  <c r="E1757" i="1"/>
  <c r="E1755" i="1"/>
  <c r="E1754" i="1"/>
  <c r="E1753" i="1"/>
  <c r="E1752" i="1"/>
  <c r="E1751" i="1"/>
  <c r="E1750" i="1"/>
  <c r="O1749" i="1"/>
  <c r="E1749" i="1"/>
  <c r="E1748" i="1"/>
  <c r="E1747" i="1"/>
  <c r="E1746" i="1"/>
  <c r="O1745" i="1"/>
  <c r="E1745" i="1"/>
  <c r="E1744" i="1"/>
  <c r="O1743" i="1"/>
  <c r="E1743" i="1"/>
  <c r="E1742" i="1"/>
  <c r="E1741" i="1"/>
  <c r="E1740" i="1"/>
  <c r="E1739" i="1"/>
  <c r="E1738" i="1"/>
  <c r="E1737" i="1"/>
  <c r="E1736" i="1"/>
  <c r="E1734" i="1"/>
  <c r="E1733" i="1"/>
  <c r="E1732" i="1"/>
  <c r="E1731" i="1"/>
  <c r="E1730" i="1"/>
  <c r="E1729" i="1"/>
  <c r="O1728" i="1"/>
  <c r="E1728" i="1"/>
  <c r="E1727" i="1"/>
  <c r="E1726" i="1"/>
  <c r="E1725" i="1"/>
  <c r="O1724" i="1"/>
  <c r="E1724" i="1"/>
  <c r="E1723" i="1"/>
  <c r="O1722" i="1"/>
  <c r="E1722" i="1"/>
  <c r="E1721" i="1"/>
  <c r="E1720" i="1"/>
  <c r="E1719" i="1"/>
  <c r="E1718" i="1"/>
  <c r="E1717" i="1"/>
  <c r="E1716" i="1"/>
  <c r="E1715" i="1"/>
  <c r="E1713" i="1"/>
  <c r="E1712" i="1"/>
  <c r="E1711" i="1"/>
  <c r="E1710" i="1"/>
  <c r="E1709" i="1"/>
  <c r="E1708" i="1"/>
  <c r="O1707" i="1"/>
  <c r="E1707" i="1"/>
  <c r="E1706" i="1"/>
  <c r="E1705" i="1"/>
  <c r="E1704" i="1"/>
  <c r="O1703" i="1"/>
  <c r="E1703" i="1"/>
  <c r="E1702" i="1"/>
  <c r="O1701" i="1"/>
  <c r="E1701" i="1"/>
  <c r="E1700" i="1"/>
  <c r="E1699" i="1"/>
  <c r="E1698" i="1"/>
  <c r="E1697" i="1"/>
  <c r="E1696" i="1"/>
  <c r="E1695" i="1"/>
  <c r="E1694" i="1"/>
  <c r="E1692" i="1"/>
  <c r="E1691" i="1"/>
  <c r="E1690" i="1"/>
  <c r="E1689" i="1"/>
  <c r="E1688" i="1"/>
  <c r="E1687" i="1"/>
  <c r="O1686" i="1"/>
  <c r="E1686" i="1"/>
  <c r="E1685" i="1"/>
  <c r="E1684" i="1"/>
  <c r="E1683" i="1"/>
  <c r="O1682" i="1"/>
  <c r="E1682" i="1"/>
  <c r="E1681" i="1"/>
  <c r="O1680" i="1"/>
  <c r="E1680" i="1"/>
  <c r="E1679" i="1"/>
  <c r="E1678" i="1"/>
  <c r="E1677" i="1"/>
  <c r="E1676" i="1"/>
  <c r="E1675" i="1"/>
  <c r="E1674" i="1"/>
  <c r="E1673" i="1"/>
  <c r="E1671" i="1"/>
  <c r="E1670" i="1"/>
  <c r="E1669" i="1"/>
  <c r="E1668" i="1"/>
  <c r="E1667" i="1"/>
  <c r="E1666" i="1"/>
  <c r="O1665" i="1"/>
  <c r="E1665" i="1"/>
  <c r="E1664" i="1"/>
  <c r="E1663" i="1"/>
  <c r="E1662" i="1"/>
  <c r="O1661" i="1"/>
  <c r="E1661" i="1"/>
  <c r="E1660" i="1"/>
  <c r="O1659" i="1"/>
  <c r="E1659" i="1"/>
  <c r="E1658" i="1"/>
  <c r="E1657" i="1"/>
  <c r="E1656" i="1"/>
  <c r="E1655" i="1"/>
  <c r="E1654" i="1"/>
  <c r="E1653" i="1"/>
  <c r="E1652" i="1"/>
  <c r="E1650" i="1"/>
  <c r="E1649" i="1"/>
  <c r="E1648" i="1"/>
  <c r="E1647" i="1"/>
  <c r="E1646" i="1"/>
  <c r="E1645" i="1"/>
  <c r="O1644" i="1"/>
  <c r="E1644" i="1"/>
  <c r="E1643" i="1"/>
  <c r="E1642" i="1"/>
  <c r="E1641" i="1"/>
  <c r="O1640" i="1"/>
  <c r="E1640" i="1"/>
  <c r="E1639" i="1"/>
  <c r="O1638" i="1"/>
  <c r="E1638" i="1"/>
  <c r="E1637" i="1"/>
  <c r="E1636" i="1"/>
  <c r="E1635" i="1"/>
  <c r="E1634" i="1"/>
  <c r="E1633" i="1"/>
  <c r="E1632" i="1"/>
  <c r="E1631" i="1"/>
  <c r="E1629" i="1"/>
  <c r="E1628" i="1"/>
  <c r="E1627" i="1"/>
  <c r="E1626" i="1"/>
  <c r="E1625" i="1"/>
  <c r="E1624" i="1"/>
  <c r="O1623" i="1"/>
  <c r="E1623" i="1"/>
  <c r="E1622" i="1"/>
  <c r="E1621" i="1"/>
  <c r="E1620" i="1"/>
  <c r="O1619" i="1"/>
  <c r="E1619" i="1"/>
  <c r="E1618" i="1"/>
  <c r="O1617" i="1"/>
  <c r="E1617" i="1"/>
  <c r="E1616" i="1"/>
  <c r="E1615" i="1"/>
  <c r="E1614" i="1"/>
  <c r="E1613" i="1"/>
  <c r="E1612" i="1"/>
  <c r="E1611" i="1"/>
  <c r="E1610" i="1"/>
  <c r="E1608" i="1"/>
  <c r="E1607" i="1"/>
  <c r="E1606" i="1"/>
  <c r="E1605" i="1"/>
  <c r="E1604" i="1"/>
  <c r="E1603" i="1"/>
  <c r="O1602" i="1"/>
  <c r="E1602" i="1"/>
  <c r="E1601" i="1"/>
  <c r="E1600" i="1"/>
  <c r="E1599" i="1"/>
  <c r="O1598" i="1"/>
  <c r="E1598" i="1"/>
  <c r="E1597" i="1"/>
  <c r="O1596" i="1"/>
  <c r="E1596" i="1"/>
  <c r="E1595" i="1"/>
  <c r="E1594" i="1"/>
  <c r="E1593" i="1"/>
  <c r="E1592" i="1"/>
  <c r="E1591" i="1"/>
  <c r="E1590" i="1"/>
  <c r="E1589" i="1"/>
  <c r="E1587" i="1"/>
  <c r="E1586" i="1"/>
  <c r="E1585" i="1"/>
  <c r="E1584" i="1"/>
  <c r="E1583" i="1"/>
  <c r="E1582" i="1"/>
  <c r="O1581" i="1"/>
  <c r="E1581" i="1"/>
  <c r="E1580" i="1"/>
  <c r="E1579" i="1"/>
  <c r="E1578" i="1"/>
  <c r="O1577" i="1"/>
  <c r="E1577" i="1"/>
  <c r="E1576" i="1"/>
  <c r="O1575" i="1"/>
  <c r="E1575" i="1"/>
  <c r="E1574" i="1"/>
  <c r="E1573" i="1"/>
  <c r="E1572" i="1"/>
  <c r="E1571" i="1"/>
  <c r="E1570" i="1"/>
  <c r="E1569" i="1"/>
  <c r="E1568" i="1"/>
  <c r="E1566" i="1"/>
  <c r="E1565" i="1"/>
  <c r="E1564" i="1"/>
  <c r="E1563" i="1"/>
  <c r="E1562" i="1"/>
  <c r="E1561" i="1"/>
  <c r="O1560" i="1"/>
  <c r="E1560" i="1"/>
  <c r="E1559" i="1"/>
  <c r="E1558" i="1"/>
  <c r="E1557" i="1"/>
  <c r="O1556" i="1"/>
  <c r="E1556" i="1"/>
  <c r="E1555" i="1"/>
  <c r="O1554" i="1"/>
  <c r="E1554" i="1"/>
  <c r="E1553" i="1"/>
  <c r="E1552" i="1"/>
  <c r="E1551" i="1"/>
  <c r="E1550" i="1"/>
  <c r="E1549" i="1"/>
  <c r="E1548" i="1"/>
  <c r="E1547" i="1"/>
  <c r="E1545" i="1"/>
  <c r="E1544" i="1"/>
  <c r="E1543" i="1"/>
  <c r="E1542" i="1"/>
  <c r="E1541" i="1"/>
  <c r="E1540" i="1"/>
  <c r="O1539" i="1"/>
  <c r="E1539" i="1"/>
  <c r="E1538" i="1"/>
  <c r="E1537" i="1"/>
  <c r="E1536" i="1"/>
  <c r="O1535" i="1"/>
  <c r="E1535" i="1"/>
  <c r="E1534" i="1"/>
  <c r="O1533" i="1"/>
  <c r="E1533" i="1"/>
  <c r="E1532" i="1"/>
  <c r="E1531" i="1"/>
  <c r="E1530" i="1"/>
  <c r="E1529" i="1"/>
  <c r="E1528" i="1"/>
  <c r="E1527" i="1"/>
  <c r="E1526" i="1"/>
  <c r="E1524" i="1"/>
  <c r="E1523" i="1"/>
  <c r="E1522" i="1"/>
  <c r="E1521" i="1"/>
  <c r="E1520" i="1"/>
  <c r="E1519" i="1"/>
  <c r="O1518" i="1"/>
  <c r="E1518" i="1"/>
  <c r="E1517" i="1"/>
  <c r="E1516" i="1"/>
  <c r="E1515" i="1"/>
  <c r="O1514" i="1"/>
  <c r="E1514" i="1"/>
  <c r="E1513" i="1"/>
  <c r="O1512" i="1"/>
  <c r="E1512" i="1"/>
  <c r="E1511" i="1"/>
  <c r="E1510" i="1"/>
  <c r="E1509" i="1"/>
  <c r="E1508" i="1"/>
  <c r="E1507" i="1"/>
  <c r="E1506" i="1"/>
  <c r="E1505" i="1"/>
  <c r="E1503" i="1"/>
  <c r="E1502" i="1"/>
  <c r="E1501" i="1"/>
  <c r="E1500" i="1"/>
  <c r="E1499" i="1"/>
  <c r="E1498" i="1"/>
  <c r="O1497" i="1"/>
  <c r="E1497" i="1"/>
  <c r="E1496" i="1"/>
  <c r="E1495" i="1"/>
  <c r="E1494" i="1"/>
  <c r="O1493" i="1"/>
  <c r="E1493" i="1"/>
  <c r="E1492" i="1"/>
  <c r="O1491" i="1"/>
  <c r="E1491" i="1"/>
  <c r="E1490" i="1"/>
  <c r="E1489" i="1"/>
  <c r="E1488" i="1"/>
  <c r="E1487" i="1"/>
  <c r="E1486" i="1"/>
  <c r="E1485" i="1"/>
  <c r="E1484" i="1"/>
  <c r="E1482" i="1"/>
  <c r="E1481" i="1"/>
  <c r="E1480" i="1"/>
  <c r="E1479" i="1"/>
  <c r="E1478" i="1"/>
  <c r="E1477" i="1"/>
  <c r="O1476" i="1"/>
  <c r="E1476" i="1"/>
  <c r="E1475" i="1"/>
  <c r="E1474" i="1"/>
  <c r="E1473" i="1"/>
  <c r="O1472" i="1"/>
  <c r="E1472" i="1"/>
  <c r="E1471" i="1"/>
  <c r="O1470" i="1"/>
  <c r="E1470" i="1"/>
  <c r="E1469" i="1"/>
  <c r="E1468" i="1"/>
  <c r="E1467" i="1"/>
  <c r="E1466" i="1"/>
  <c r="E1465" i="1"/>
  <c r="E1464" i="1"/>
  <c r="E1463" i="1"/>
  <c r="E1461" i="1"/>
  <c r="E1460" i="1"/>
  <c r="E1459" i="1"/>
  <c r="E1458" i="1"/>
  <c r="E1457" i="1"/>
  <c r="E1456" i="1"/>
  <c r="O1455" i="1"/>
  <c r="E1455" i="1"/>
  <c r="E1454" i="1"/>
  <c r="E1453" i="1"/>
  <c r="E1452" i="1"/>
  <c r="O1451" i="1"/>
  <c r="E1451" i="1"/>
  <c r="E1450" i="1"/>
  <c r="O1449" i="1"/>
  <c r="E1449" i="1"/>
  <c r="E1448" i="1"/>
  <c r="E1447" i="1"/>
  <c r="E1446" i="1"/>
  <c r="E1445" i="1"/>
  <c r="E1444" i="1"/>
  <c r="E1443" i="1"/>
  <c r="E1442" i="1"/>
  <c r="E1440" i="1"/>
  <c r="E1439" i="1"/>
  <c r="E1438" i="1"/>
  <c r="E1437" i="1"/>
  <c r="E1436" i="1"/>
  <c r="E1435" i="1"/>
  <c r="O1434" i="1"/>
  <c r="E1434" i="1"/>
  <c r="E1433" i="1"/>
  <c r="E1432" i="1"/>
  <c r="E1431" i="1"/>
  <c r="O1430" i="1"/>
  <c r="E1430" i="1"/>
  <c r="E1429" i="1"/>
  <c r="O1428" i="1"/>
  <c r="E1428" i="1"/>
  <c r="E1427" i="1"/>
  <c r="E1426" i="1"/>
  <c r="E1425" i="1"/>
  <c r="E1424" i="1"/>
  <c r="E1423" i="1"/>
  <c r="E1422" i="1"/>
  <c r="E1421" i="1"/>
  <c r="E1419" i="1"/>
  <c r="E1418" i="1"/>
  <c r="E1417" i="1"/>
  <c r="E1416" i="1"/>
  <c r="E1415" i="1"/>
  <c r="E1414" i="1"/>
  <c r="O1413" i="1"/>
  <c r="E1413" i="1"/>
  <c r="E1412" i="1"/>
  <c r="E1411" i="1"/>
  <c r="E1410" i="1"/>
  <c r="O1409" i="1"/>
  <c r="E1409" i="1"/>
  <c r="E1408" i="1"/>
  <c r="O1407" i="1"/>
  <c r="E1407" i="1"/>
  <c r="E1406" i="1"/>
  <c r="E1405" i="1"/>
  <c r="E1404" i="1"/>
  <c r="E1403" i="1"/>
  <c r="E1402" i="1"/>
  <c r="E1401" i="1"/>
  <c r="E1400" i="1"/>
  <c r="E1398" i="1"/>
  <c r="E1397" i="1"/>
  <c r="E1396" i="1"/>
  <c r="E1395" i="1"/>
  <c r="E1394" i="1"/>
  <c r="E1393" i="1"/>
  <c r="O1392" i="1"/>
  <c r="E1392" i="1"/>
  <c r="E1391" i="1"/>
  <c r="E1390" i="1"/>
  <c r="E1389" i="1"/>
  <c r="O1388" i="1"/>
  <c r="E1388" i="1"/>
  <c r="E1387" i="1"/>
  <c r="O1386" i="1"/>
  <c r="E1386" i="1"/>
  <c r="E1385" i="1"/>
  <c r="E1384" i="1"/>
  <c r="E1383" i="1"/>
  <c r="E1382" i="1"/>
  <c r="E1381" i="1"/>
  <c r="E1380" i="1"/>
  <c r="E1379" i="1"/>
  <c r="E1377" i="1"/>
  <c r="E1376" i="1"/>
  <c r="E1375" i="1"/>
  <c r="E1374" i="1"/>
  <c r="E1373" i="1"/>
  <c r="E1372" i="1"/>
  <c r="O1371" i="1"/>
  <c r="E1371" i="1"/>
  <c r="E1370" i="1"/>
  <c r="E1369" i="1"/>
  <c r="E1368" i="1"/>
  <c r="O1367" i="1"/>
  <c r="E1367" i="1"/>
  <c r="E1366" i="1"/>
  <c r="O1365" i="1"/>
  <c r="E1365" i="1"/>
  <c r="E1364" i="1"/>
  <c r="E1363" i="1"/>
  <c r="E1362" i="1"/>
  <c r="E1361" i="1"/>
  <c r="E1360" i="1"/>
  <c r="E1359" i="1"/>
  <c r="E1358" i="1"/>
  <c r="E1356" i="1"/>
  <c r="E1355" i="1"/>
  <c r="E1354" i="1"/>
  <c r="E1353" i="1"/>
  <c r="E1352" i="1"/>
  <c r="E1351" i="1"/>
  <c r="O1350" i="1"/>
  <c r="E1350" i="1"/>
  <c r="E1349" i="1"/>
  <c r="E1348" i="1"/>
  <c r="E1347" i="1"/>
  <c r="O1346" i="1"/>
  <c r="E1346" i="1"/>
  <c r="E1345" i="1"/>
  <c r="O1344" i="1"/>
  <c r="E1344" i="1"/>
  <c r="E1343" i="1"/>
  <c r="E1342" i="1"/>
  <c r="E1341" i="1"/>
  <c r="E1340" i="1"/>
  <c r="E1339" i="1"/>
  <c r="E1338" i="1"/>
  <c r="E1337" i="1"/>
  <c r="E1335" i="1"/>
  <c r="E1334" i="1"/>
  <c r="E1333" i="1"/>
  <c r="E1332" i="1"/>
  <c r="E1331" i="1"/>
  <c r="E1330" i="1"/>
  <c r="O1329" i="1"/>
  <c r="E1329" i="1"/>
  <c r="E1328" i="1"/>
  <c r="E1327" i="1"/>
  <c r="E1326" i="1"/>
  <c r="O1325" i="1"/>
  <c r="E1325" i="1"/>
  <c r="E1324" i="1"/>
  <c r="O1323" i="1"/>
  <c r="E1323" i="1"/>
  <c r="E1322" i="1"/>
  <c r="E1321" i="1"/>
  <c r="E1320" i="1"/>
  <c r="E1319" i="1"/>
  <c r="E1318" i="1"/>
  <c r="E1317" i="1"/>
  <c r="E1316" i="1"/>
  <c r="E1314" i="1"/>
  <c r="E1313" i="1"/>
  <c r="E1312" i="1"/>
  <c r="E1311" i="1"/>
  <c r="E1310" i="1"/>
  <c r="E1309" i="1"/>
  <c r="O1308" i="1"/>
  <c r="E1308" i="1"/>
  <c r="E1307" i="1"/>
  <c r="E1306" i="1"/>
  <c r="E1305" i="1"/>
  <c r="O1304" i="1"/>
  <c r="E1304" i="1"/>
  <c r="E1303" i="1"/>
  <c r="O1302" i="1"/>
  <c r="E1302" i="1"/>
  <c r="E1301" i="1"/>
  <c r="E1300" i="1"/>
  <c r="E1299" i="1"/>
  <c r="E1298" i="1"/>
  <c r="E1297" i="1"/>
  <c r="E1296" i="1"/>
  <c r="E1295" i="1"/>
  <c r="E1293" i="1"/>
  <c r="E1292" i="1"/>
  <c r="E1291" i="1"/>
  <c r="E1290" i="1"/>
  <c r="E1289" i="1"/>
  <c r="E1288" i="1"/>
  <c r="O1287" i="1"/>
  <c r="E1287" i="1"/>
  <c r="E1286" i="1"/>
  <c r="E1285" i="1"/>
  <c r="E1284" i="1"/>
  <c r="O1283" i="1"/>
  <c r="E1283" i="1"/>
  <c r="E1282" i="1"/>
  <c r="O1281" i="1"/>
  <c r="E1281" i="1"/>
  <c r="E1280" i="1"/>
  <c r="E1279" i="1"/>
  <c r="E1278" i="1"/>
  <c r="E1277" i="1"/>
  <c r="E1276" i="1"/>
  <c r="E1275" i="1"/>
  <c r="E1274" i="1"/>
  <c r="E1272" i="1"/>
  <c r="E1271" i="1"/>
  <c r="E1270" i="1"/>
  <c r="E1269" i="1"/>
  <c r="E1268" i="1"/>
  <c r="E1267" i="1"/>
  <c r="O1266" i="1"/>
  <c r="E1266" i="1"/>
  <c r="E1265" i="1"/>
  <c r="E1264" i="1"/>
  <c r="E1263" i="1"/>
  <c r="O1262" i="1"/>
  <c r="E1262" i="1"/>
  <c r="E1261" i="1"/>
  <c r="O1260" i="1"/>
  <c r="E1260" i="1"/>
  <c r="E1259" i="1"/>
  <c r="E1258" i="1"/>
  <c r="E1257" i="1"/>
  <c r="E1256" i="1"/>
  <c r="E1255" i="1"/>
  <c r="E1254" i="1"/>
  <c r="E1253" i="1"/>
  <c r="E1251" i="1"/>
  <c r="E1250" i="1"/>
  <c r="E1249" i="1"/>
  <c r="E1248" i="1"/>
  <c r="E1247" i="1"/>
  <c r="E1246" i="1"/>
  <c r="O1245" i="1"/>
  <c r="E1245" i="1"/>
  <c r="E1244" i="1"/>
  <c r="E1243" i="1"/>
  <c r="E1242" i="1"/>
  <c r="O1241" i="1"/>
  <c r="E1241" i="1"/>
  <c r="E1240" i="1"/>
  <c r="O1239" i="1"/>
  <c r="E1239" i="1"/>
  <c r="E1238" i="1"/>
  <c r="E1237" i="1"/>
  <c r="E1236" i="1"/>
  <c r="E1235" i="1"/>
  <c r="E1234" i="1"/>
  <c r="E1233" i="1"/>
  <c r="E1232" i="1"/>
  <c r="E1230" i="1"/>
  <c r="E1229" i="1"/>
  <c r="E1228" i="1"/>
  <c r="E1227" i="1"/>
  <c r="E1226" i="1"/>
  <c r="E1225" i="1"/>
  <c r="O1224" i="1"/>
  <c r="E1224" i="1"/>
  <c r="E1223" i="1"/>
  <c r="E1222" i="1"/>
  <c r="E1221" i="1"/>
  <c r="O1220" i="1"/>
  <c r="E1220" i="1"/>
  <c r="E1219" i="1"/>
  <c r="O1218" i="1"/>
  <c r="E1218" i="1"/>
  <c r="E1217" i="1"/>
  <c r="E1216" i="1"/>
  <c r="E1215" i="1"/>
  <c r="E1214" i="1"/>
  <c r="E1213" i="1"/>
  <c r="E1212" i="1"/>
  <c r="E1211" i="1"/>
  <c r="E1209" i="1"/>
  <c r="E1208" i="1"/>
  <c r="E1207" i="1"/>
  <c r="E1206" i="1"/>
  <c r="E1205" i="1"/>
  <c r="E1204" i="1"/>
  <c r="O1203" i="1"/>
  <c r="E1203" i="1"/>
  <c r="E1202" i="1"/>
  <c r="E1201" i="1"/>
  <c r="E1200" i="1"/>
  <c r="O1199" i="1"/>
  <c r="E1199" i="1"/>
  <c r="E1198" i="1"/>
  <c r="O1197" i="1"/>
  <c r="E1197" i="1"/>
  <c r="E1196" i="1"/>
  <c r="E1195" i="1"/>
  <c r="E1194" i="1"/>
  <c r="E1193" i="1"/>
  <c r="E1192" i="1"/>
  <c r="E1191" i="1"/>
  <c r="E1190" i="1"/>
  <c r="E1188" i="1"/>
  <c r="E1187" i="1"/>
  <c r="E1186" i="1"/>
  <c r="E1185" i="1"/>
  <c r="E1184" i="1"/>
  <c r="E1183" i="1"/>
  <c r="O1182" i="1"/>
  <c r="E1182" i="1"/>
  <c r="E1181" i="1"/>
  <c r="E1180" i="1"/>
  <c r="E1179" i="1"/>
  <c r="O1178" i="1"/>
  <c r="E1178" i="1"/>
  <c r="E1177" i="1"/>
  <c r="O1176" i="1"/>
  <c r="E1176" i="1"/>
  <c r="E1175" i="1"/>
  <c r="E1174" i="1"/>
  <c r="E1173" i="1"/>
  <c r="E1172" i="1"/>
  <c r="E1171" i="1"/>
  <c r="E1170" i="1"/>
  <c r="E1169" i="1"/>
  <c r="E1167" i="1"/>
  <c r="E1166" i="1"/>
  <c r="E1165" i="1"/>
  <c r="E1164" i="1"/>
  <c r="E1163" i="1"/>
  <c r="E1162" i="1"/>
  <c r="O1161" i="1"/>
  <c r="E1161" i="1"/>
  <c r="E1160" i="1"/>
  <c r="E1159" i="1"/>
  <c r="E1158" i="1"/>
  <c r="O1157" i="1"/>
  <c r="E1157" i="1"/>
  <c r="E1156" i="1"/>
  <c r="O1155" i="1"/>
  <c r="E1155" i="1"/>
  <c r="E1154" i="1"/>
  <c r="E1153" i="1"/>
  <c r="E1152" i="1"/>
  <c r="E1151" i="1"/>
  <c r="E1150" i="1"/>
  <c r="E1149" i="1"/>
  <c r="E1148" i="1"/>
  <c r="E1146" i="1"/>
  <c r="E1145" i="1"/>
  <c r="E1144" i="1"/>
  <c r="E1143" i="1"/>
  <c r="E1142" i="1"/>
  <c r="E1141" i="1"/>
  <c r="O1140" i="1"/>
  <c r="E1140" i="1"/>
  <c r="E1139" i="1"/>
  <c r="E1138" i="1"/>
  <c r="E1137" i="1"/>
  <c r="O1136" i="1"/>
  <c r="E1136" i="1"/>
  <c r="E1135" i="1"/>
  <c r="O1134" i="1"/>
  <c r="E1134" i="1"/>
  <c r="E1133" i="1"/>
  <c r="E1132" i="1"/>
  <c r="E1131" i="1"/>
  <c r="E1130" i="1"/>
  <c r="E1129" i="1"/>
  <c r="E1128" i="1"/>
  <c r="E1127" i="1"/>
  <c r="E1125" i="1"/>
  <c r="E1124" i="1"/>
  <c r="E1123" i="1"/>
  <c r="E1122" i="1"/>
  <c r="E1121" i="1"/>
  <c r="E1120" i="1"/>
  <c r="O1119" i="1"/>
  <c r="E1119" i="1"/>
  <c r="E1118" i="1"/>
  <c r="E1117" i="1"/>
  <c r="E1116" i="1"/>
  <c r="O1115" i="1"/>
  <c r="E1115" i="1"/>
  <c r="E1114" i="1"/>
  <c r="O1113" i="1"/>
  <c r="E1113" i="1"/>
  <c r="E1112" i="1"/>
  <c r="E1111" i="1"/>
  <c r="E1110" i="1"/>
  <c r="E1109" i="1"/>
  <c r="E1108" i="1"/>
  <c r="E1107" i="1"/>
  <c r="E1106" i="1"/>
  <c r="E1104" i="1"/>
  <c r="E1103" i="1"/>
  <c r="E1102" i="1"/>
  <c r="E1101" i="1"/>
  <c r="E1100" i="1"/>
  <c r="E1099" i="1"/>
  <c r="O1098" i="1"/>
  <c r="E1098" i="1"/>
  <c r="E1097" i="1"/>
  <c r="E1096" i="1"/>
  <c r="E1095" i="1"/>
  <c r="O1094" i="1"/>
  <c r="E1094" i="1"/>
  <c r="E1093" i="1"/>
  <c r="O1092" i="1"/>
  <c r="E1092" i="1"/>
  <c r="E1091" i="1"/>
  <c r="E1090" i="1"/>
  <c r="E1089" i="1"/>
  <c r="E1088" i="1"/>
  <c r="E1087" i="1"/>
  <c r="E1086" i="1"/>
  <c r="E1085" i="1"/>
  <c r="E1083" i="1"/>
  <c r="E1082" i="1"/>
  <c r="E1081" i="1"/>
  <c r="E1080" i="1"/>
  <c r="E1079" i="1"/>
  <c r="E1078" i="1"/>
  <c r="O1077" i="1"/>
  <c r="E1077" i="1"/>
  <c r="E1076" i="1"/>
  <c r="E1075" i="1"/>
  <c r="E1074" i="1"/>
  <c r="O1073" i="1"/>
  <c r="E1073" i="1"/>
  <c r="E1072" i="1"/>
  <c r="O1071" i="1"/>
  <c r="E1071" i="1"/>
  <c r="E1070" i="1"/>
  <c r="E1069" i="1"/>
  <c r="E1068" i="1"/>
  <c r="E1067" i="1"/>
  <c r="E1066" i="1"/>
  <c r="E1065" i="1"/>
  <c r="E1064" i="1"/>
  <c r="E1062" i="1"/>
  <c r="E1061" i="1"/>
  <c r="E1060" i="1"/>
  <c r="E1059" i="1"/>
  <c r="E1058" i="1"/>
  <c r="E1057" i="1"/>
  <c r="O1056" i="1"/>
  <c r="E1056" i="1"/>
  <c r="E1055" i="1"/>
  <c r="E1054" i="1"/>
  <c r="E1053" i="1"/>
  <c r="O1052" i="1"/>
  <c r="E1052" i="1"/>
  <c r="E1051" i="1"/>
  <c r="O1050" i="1"/>
  <c r="E1050" i="1"/>
  <c r="E1049" i="1"/>
  <c r="E1048" i="1"/>
  <c r="E1047" i="1"/>
  <c r="E1046" i="1"/>
  <c r="E1045" i="1"/>
  <c r="E1044" i="1"/>
  <c r="E1043" i="1"/>
  <c r="E1041" i="1"/>
  <c r="E1040" i="1"/>
  <c r="E1039" i="1"/>
  <c r="E1038" i="1"/>
  <c r="E1037" i="1"/>
  <c r="E1036" i="1"/>
  <c r="O1035" i="1"/>
  <c r="E1035" i="1"/>
  <c r="E1034" i="1"/>
  <c r="E1033" i="1"/>
  <c r="E1032" i="1"/>
  <c r="O1031" i="1"/>
  <c r="E1031" i="1"/>
  <c r="E1030" i="1"/>
  <c r="O1029" i="1"/>
  <c r="E1029" i="1"/>
  <c r="E1028" i="1"/>
  <c r="E1027" i="1"/>
  <c r="E1026" i="1"/>
  <c r="E1025" i="1"/>
  <c r="E1024" i="1"/>
  <c r="E1023" i="1"/>
  <c r="E1022" i="1"/>
  <c r="E1020" i="1"/>
  <c r="E1019" i="1"/>
  <c r="E1018" i="1"/>
  <c r="E1017" i="1"/>
  <c r="E1016" i="1"/>
  <c r="E1015" i="1"/>
  <c r="O1014" i="1"/>
  <c r="E1014" i="1"/>
  <c r="E1013" i="1"/>
  <c r="E1012" i="1"/>
  <c r="E1011" i="1"/>
  <c r="O1010" i="1"/>
  <c r="E1010" i="1"/>
  <c r="E1009" i="1"/>
  <c r="O1008" i="1"/>
  <c r="E1008" i="1"/>
  <c r="E1007" i="1"/>
  <c r="E1006" i="1"/>
  <c r="E1005" i="1"/>
  <c r="E1004" i="1"/>
  <c r="E1003" i="1"/>
  <c r="E1002" i="1"/>
  <c r="E1001" i="1"/>
  <c r="E999" i="1"/>
  <c r="E998" i="1"/>
  <c r="E997" i="1"/>
  <c r="E996" i="1"/>
  <c r="E995" i="1"/>
  <c r="E994" i="1"/>
  <c r="O993" i="1"/>
  <c r="E993" i="1"/>
  <c r="E992" i="1"/>
  <c r="E991" i="1"/>
  <c r="E990" i="1"/>
  <c r="O989" i="1"/>
  <c r="E989" i="1"/>
  <c r="E988" i="1"/>
  <c r="O987" i="1"/>
  <c r="E987" i="1"/>
  <c r="E986" i="1"/>
  <c r="E985" i="1"/>
  <c r="E984" i="1"/>
  <c r="E983" i="1"/>
  <c r="E982" i="1"/>
  <c r="E981" i="1"/>
  <c r="E980" i="1"/>
  <c r="E978" i="1"/>
  <c r="E977" i="1"/>
  <c r="E976" i="1"/>
  <c r="E975" i="1"/>
  <c r="E974" i="1"/>
  <c r="E973" i="1"/>
  <c r="O972" i="1"/>
  <c r="E972" i="1"/>
  <c r="E971" i="1"/>
  <c r="E970" i="1"/>
  <c r="E969" i="1"/>
  <c r="O968" i="1"/>
  <c r="E968" i="1"/>
  <c r="E967" i="1"/>
  <c r="O966" i="1"/>
  <c r="E966" i="1"/>
  <c r="E965" i="1"/>
  <c r="E964" i="1"/>
  <c r="E963" i="1"/>
  <c r="E962" i="1"/>
  <c r="E961" i="1"/>
  <c r="E960" i="1"/>
  <c r="E959" i="1"/>
  <c r="E957" i="1"/>
  <c r="E956" i="1"/>
  <c r="E955" i="1"/>
  <c r="E954" i="1"/>
  <c r="E953" i="1"/>
  <c r="E952" i="1"/>
  <c r="O951" i="1"/>
  <c r="E951" i="1"/>
  <c r="E950" i="1"/>
  <c r="E949" i="1"/>
  <c r="E948" i="1"/>
  <c r="O947" i="1"/>
  <c r="E947" i="1"/>
  <c r="E946" i="1"/>
  <c r="O945" i="1"/>
  <c r="E945" i="1"/>
  <c r="E944" i="1"/>
  <c r="E943" i="1"/>
  <c r="E942" i="1"/>
  <c r="E941" i="1"/>
  <c r="E940" i="1"/>
  <c r="E939" i="1"/>
  <c r="E938" i="1"/>
  <c r="E936" i="1"/>
  <c r="E935" i="1"/>
  <c r="E934" i="1"/>
  <c r="E933" i="1"/>
  <c r="E932" i="1"/>
  <c r="E931" i="1"/>
  <c r="O930" i="1"/>
  <c r="E930" i="1"/>
  <c r="E929" i="1"/>
  <c r="E928" i="1"/>
  <c r="E927" i="1"/>
  <c r="O926" i="1"/>
  <c r="E926" i="1"/>
  <c r="E925" i="1"/>
  <c r="O924" i="1"/>
  <c r="E924" i="1"/>
  <c r="E923" i="1"/>
  <c r="E922" i="1"/>
  <c r="E921" i="1"/>
  <c r="E920" i="1"/>
  <c r="E919" i="1"/>
  <c r="E918" i="1"/>
  <c r="E917" i="1"/>
  <c r="E915" i="1"/>
  <c r="E914" i="1"/>
  <c r="E913" i="1"/>
  <c r="E912" i="1"/>
  <c r="E911" i="1"/>
  <c r="E910" i="1"/>
  <c r="O909" i="1"/>
  <c r="E909" i="1"/>
  <c r="E908" i="1"/>
  <c r="E907" i="1"/>
  <c r="E906" i="1"/>
  <c r="O905" i="1"/>
  <c r="E905" i="1"/>
  <c r="E904" i="1"/>
  <c r="O903" i="1"/>
  <c r="E903" i="1"/>
  <c r="E902" i="1"/>
  <c r="E901" i="1"/>
  <c r="E900" i="1"/>
  <c r="E899" i="1"/>
  <c r="E898" i="1"/>
  <c r="E897" i="1"/>
  <c r="E896" i="1"/>
  <c r="E894" i="1"/>
  <c r="E893" i="1"/>
  <c r="E892" i="1"/>
  <c r="E891" i="1"/>
  <c r="E890" i="1"/>
  <c r="E889" i="1"/>
  <c r="O888" i="1"/>
  <c r="E888" i="1"/>
  <c r="E887" i="1"/>
  <c r="E886" i="1"/>
  <c r="E885" i="1"/>
  <c r="O884" i="1"/>
  <c r="E884" i="1"/>
  <c r="E883" i="1"/>
  <c r="O882" i="1"/>
  <c r="E882" i="1"/>
  <c r="E881" i="1"/>
  <c r="E880" i="1"/>
  <c r="E879" i="1"/>
  <c r="E878" i="1"/>
  <c r="E877" i="1"/>
  <c r="E876" i="1"/>
  <c r="E875" i="1"/>
  <c r="E873" i="1"/>
  <c r="E872" i="1"/>
  <c r="E871" i="1"/>
  <c r="E870" i="1"/>
  <c r="E869" i="1"/>
  <c r="E868" i="1"/>
  <c r="O867" i="1"/>
  <c r="E867" i="1"/>
  <c r="E866" i="1"/>
  <c r="E865" i="1"/>
  <c r="E864" i="1"/>
  <c r="O863" i="1"/>
  <c r="E863" i="1"/>
  <c r="E862" i="1"/>
  <c r="O861" i="1"/>
  <c r="E861" i="1"/>
  <c r="E860" i="1"/>
  <c r="E859" i="1"/>
  <c r="E858" i="1"/>
  <c r="E857" i="1"/>
  <c r="E856" i="1"/>
  <c r="E855" i="1"/>
  <c r="E854" i="1"/>
  <c r="E852" i="1"/>
  <c r="E851" i="1"/>
  <c r="E850" i="1"/>
  <c r="E849" i="1"/>
  <c r="E848" i="1"/>
  <c r="E847" i="1"/>
  <c r="O846" i="1"/>
  <c r="E846" i="1"/>
  <c r="E845" i="1"/>
  <c r="E844" i="1"/>
  <c r="E843" i="1"/>
  <c r="O842" i="1"/>
  <c r="E842" i="1"/>
  <c r="E841" i="1"/>
  <c r="O840" i="1"/>
  <c r="E840" i="1"/>
  <c r="E839" i="1"/>
  <c r="E838" i="1"/>
  <c r="E837" i="1"/>
  <c r="E836" i="1"/>
  <c r="E835" i="1"/>
  <c r="E834" i="1"/>
  <c r="E833" i="1"/>
  <c r="E831" i="1"/>
  <c r="E830" i="1"/>
  <c r="E829" i="1"/>
  <c r="E828" i="1"/>
  <c r="E827" i="1"/>
  <c r="E826" i="1"/>
  <c r="O825" i="1"/>
  <c r="E825" i="1"/>
  <c r="E824" i="1"/>
  <c r="E823" i="1"/>
  <c r="E822" i="1"/>
  <c r="O821" i="1"/>
  <c r="E821" i="1"/>
  <c r="E820" i="1"/>
  <c r="O819" i="1"/>
  <c r="E819" i="1"/>
  <c r="E818" i="1"/>
  <c r="E817" i="1"/>
  <c r="E816" i="1"/>
  <c r="E815" i="1"/>
  <c r="E814" i="1"/>
  <c r="E813" i="1"/>
  <c r="E812" i="1"/>
  <c r="E810" i="1"/>
  <c r="E809" i="1"/>
  <c r="E808" i="1"/>
  <c r="E807" i="1"/>
  <c r="E806" i="1"/>
  <c r="E805" i="1"/>
  <c r="O804" i="1"/>
  <c r="E804" i="1"/>
  <c r="E803" i="1"/>
  <c r="E802" i="1"/>
  <c r="E801" i="1"/>
  <c r="O800" i="1"/>
  <c r="E800" i="1"/>
  <c r="E799" i="1"/>
  <c r="O798" i="1"/>
  <c r="E798" i="1"/>
  <c r="E797" i="1"/>
  <c r="E796" i="1"/>
  <c r="E795" i="1"/>
  <c r="E794" i="1"/>
  <c r="E793" i="1"/>
  <c r="E792" i="1"/>
  <c r="E791" i="1"/>
  <c r="E789" i="1"/>
  <c r="E788" i="1"/>
  <c r="E787" i="1"/>
  <c r="E786" i="1"/>
  <c r="E785" i="1"/>
  <c r="E784" i="1"/>
  <c r="O783" i="1"/>
  <c r="E783" i="1"/>
  <c r="E782" i="1"/>
  <c r="E781" i="1"/>
  <c r="E780" i="1"/>
  <c r="O779" i="1"/>
  <c r="E779" i="1"/>
  <c r="E778" i="1"/>
  <c r="O777" i="1"/>
  <c r="E777" i="1"/>
  <c r="E776" i="1"/>
  <c r="E775" i="1"/>
  <c r="E774" i="1"/>
  <c r="E773" i="1"/>
  <c r="E772" i="1"/>
  <c r="E771" i="1"/>
  <c r="E770" i="1"/>
  <c r="E768" i="1"/>
  <c r="E767" i="1"/>
  <c r="E766" i="1"/>
  <c r="E765" i="1"/>
  <c r="E764" i="1"/>
  <c r="E763" i="1"/>
  <c r="O762" i="1"/>
  <c r="E762" i="1"/>
  <c r="E761" i="1"/>
  <c r="E760" i="1"/>
  <c r="E759" i="1"/>
  <c r="O758" i="1"/>
  <c r="E758" i="1"/>
  <c r="E757" i="1"/>
  <c r="O756" i="1"/>
  <c r="E756" i="1"/>
  <c r="E755" i="1"/>
  <c r="E754" i="1"/>
  <c r="E753" i="1"/>
  <c r="E752" i="1"/>
  <c r="E751" i="1"/>
  <c r="E750" i="1"/>
  <c r="E749" i="1"/>
  <c r="E747" i="1"/>
  <c r="E746" i="1"/>
  <c r="E745" i="1"/>
  <c r="E744" i="1"/>
  <c r="E743" i="1"/>
  <c r="E742" i="1"/>
  <c r="O741" i="1"/>
  <c r="E741" i="1"/>
  <c r="E740" i="1"/>
  <c r="E739" i="1"/>
  <c r="E738" i="1"/>
  <c r="O737" i="1"/>
  <c r="E737" i="1"/>
  <c r="E736" i="1"/>
  <c r="O735" i="1"/>
  <c r="E735" i="1"/>
  <c r="E734" i="1"/>
  <c r="E733" i="1"/>
  <c r="E732" i="1"/>
  <c r="E731" i="1"/>
  <c r="E730" i="1"/>
  <c r="E729" i="1"/>
  <c r="E728" i="1"/>
  <c r="E726" i="1"/>
  <c r="E725" i="1"/>
  <c r="E724" i="1"/>
  <c r="E723" i="1"/>
  <c r="E722" i="1"/>
  <c r="E721" i="1"/>
  <c r="O720" i="1"/>
  <c r="E720" i="1"/>
  <c r="E719" i="1"/>
  <c r="E718" i="1"/>
  <c r="E717" i="1"/>
  <c r="O716" i="1"/>
  <c r="E716" i="1"/>
  <c r="E715" i="1"/>
  <c r="O714" i="1"/>
  <c r="E714" i="1"/>
  <c r="E713" i="1"/>
  <c r="E712" i="1"/>
  <c r="E711" i="1"/>
  <c r="E710" i="1"/>
  <c r="E709" i="1"/>
  <c r="E708" i="1"/>
  <c r="E707" i="1"/>
  <c r="E705" i="1"/>
  <c r="E704" i="1"/>
  <c r="E703" i="1"/>
  <c r="E702" i="1"/>
  <c r="E701" i="1"/>
  <c r="E700" i="1"/>
  <c r="O699" i="1"/>
  <c r="E699" i="1"/>
  <c r="E698" i="1"/>
  <c r="E697" i="1"/>
  <c r="E696" i="1"/>
  <c r="O695" i="1"/>
  <c r="E695" i="1"/>
  <c r="E694" i="1"/>
  <c r="O693" i="1"/>
  <c r="E693" i="1"/>
  <c r="E692" i="1"/>
  <c r="E691" i="1"/>
  <c r="E690" i="1"/>
  <c r="E689" i="1"/>
  <c r="E688" i="1"/>
  <c r="E687" i="1"/>
  <c r="E686" i="1"/>
  <c r="E684" i="1"/>
  <c r="E683" i="1"/>
  <c r="E682" i="1"/>
  <c r="E681" i="1"/>
  <c r="E680" i="1"/>
  <c r="E679" i="1"/>
  <c r="O678" i="1"/>
  <c r="E678" i="1"/>
  <c r="E677" i="1"/>
  <c r="E676" i="1"/>
  <c r="E675" i="1"/>
  <c r="O674" i="1"/>
  <c r="E674" i="1"/>
  <c r="E673" i="1"/>
  <c r="O672" i="1"/>
  <c r="E672" i="1"/>
  <c r="E671" i="1"/>
  <c r="E670" i="1"/>
  <c r="E669" i="1"/>
  <c r="E668" i="1"/>
  <c r="E667" i="1"/>
  <c r="E666" i="1"/>
  <c r="E665" i="1"/>
  <c r="E663" i="1"/>
  <c r="E662" i="1"/>
  <c r="E661" i="1"/>
  <c r="E660" i="1"/>
  <c r="E659" i="1"/>
  <c r="E658" i="1"/>
  <c r="O657" i="1"/>
  <c r="E657" i="1"/>
  <c r="E656" i="1"/>
  <c r="E655" i="1"/>
  <c r="E654" i="1"/>
  <c r="O653" i="1"/>
  <c r="E653" i="1"/>
  <c r="E652" i="1"/>
  <c r="O651" i="1"/>
  <c r="E651" i="1"/>
  <c r="E650" i="1"/>
  <c r="E649" i="1"/>
  <c r="E648" i="1"/>
  <c r="E647" i="1"/>
  <c r="E646" i="1"/>
  <c r="E645" i="1"/>
  <c r="E644" i="1"/>
  <c r="E642" i="1"/>
  <c r="E641" i="1"/>
  <c r="E640" i="1"/>
  <c r="E639" i="1"/>
  <c r="E638" i="1"/>
  <c r="E637" i="1"/>
  <c r="O636" i="1"/>
  <c r="E636" i="1"/>
  <c r="E635" i="1"/>
  <c r="E634" i="1"/>
  <c r="E633" i="1"/>
  <c r="O632" i="1"/>
  <c r="E632" i="1"/>
  <c r="E631" i="1"/>
  <c r="O630" i="1"/>
  <c r="E630" i="1"/>
  <c r="E629" i="1"/>
  <c r="E628" i="1"/>
  <c r="E627" i="1"/>
  <c r="E626" i="1"/>
  <c r="E625" i="1"/>
  <c r="E624" i="1"/>
  <c r="E623" i="1"/>
  <c r="E621" i="1"/>
  <c r="E620" i="1"/>
  <c r="E619" i="1"/>
  <c r="E618" i="1"/>
  <c r="E617" i="1"/>
  <c r="E616" i="1"/>
  <c r="O615" i="1"/>
  <c r="E615" i="1"/>
  <c r="E614" i="1"/>
  <c r="E613" i="1"/>
  <c r="E612" i="1"/>
  <c r="O611" i="1"/>
  <c r="E611" i="1"/>
  <c r="E610" i="1"/>
  <c r="O609" i="1"/>
  <c r="E609" i="1"/>
  <c r="E608" i="1"/>
  <c r="E607" i="1"/>
  <c r="E606" i="1"/>
  <c r="E605" i="1"/>
  <c r="E604" i="1"/>
  <c r="E603" i="1"/>
  <c r="E602" i="1"/>
  <c r="E600" i="1"/>
  <c r="E599" i="1"/>
  <c r="E598" i="1"/>
  <c r="E597" i="1"/>
  <c r="E596" i="1"/>
  <c r="E595" i="1"/>
  <c r="O594" i="1"/>
  <c r="E594" i="1"/>
  <c r="E593" i="1"/>
  <c r="E592" i="1"/>
  <c r="E591" i="1"/>
  <c r="O590" i="1"/>
  <c r="E590" i="1"/>
  <c r="E589" i="1"/>
  <c r="O588" i="1"/>
  <c r="E588" i="1"/>
  <c r="E587" i="1"/>
  <c r="E586" i="1"/>
  <c r="E585" i="1"/>
  <c r="E584" i="1"/>
  <c r="E583" i="1"/>
  <c r="E582" i="1"/>
  <c r="E581" i="1"/>
  <c r="E579" i="1"/>
  <c r="E578" i="1"/>
  <c r="E577" i="1"/>
  <c r="E576" i="1"/>
  <c r="E575" i="1"/>
  <c r="E574" i="1"/>
  <c r="O573" i="1"/>
  <c r="E573" i="1"/>
  <c r="E572" i="1"/>
  <c r="E571" i="1"/>
  <c r="E570" i="1"/>
  <c r="O569" i="1"/>
  <c r="E569" i="1"/>
  <c r="E568" i="1"/>
  <c r="O567" i="1"/>
  <c r="E567" i="1"/>
  <c r="E566" i="1"/>
  <c r="E565" i="1"/>
  <c r="E564" i="1"/>
  <c r="E563" i="1"/>
  <c r="E562" i="1"/>
  <c r="E561" i="1"/>
  <c r="E560" i="1"/>
  <c r="E558" i="1"/>
  <c r="E557" i="1"/>
  <c r="E556" i="1"/>
  <c r="E555" i="1"/>
  <c r="E554" i="1"/>
  <c r="E553" i="1"/>
  <c r="O552" i="1"/>
  <c r="E552" i="1"/>
  <c r="E551" i="1"/>
  <c r="E550" i="1"/>
  <c r="E549" i="1"/>
  <c r="O548" i="1"/>
  <c r="E548" i="1"/>
  <c r="E547" i="1"/>
  <c r="O546" i="1"/>
  <c r="E546" i="1"/>
  <c r="E545" i="1"/>
  <c r="E544" i="1"/>
  <c r="E543" i="1"/>
  <c r="E542" i="1"/>
  <c r="E541" i="1"/>
  <c r="E540" i="1"/>
  <c r="E539" i="1"/>
  <c r="E537" i="1"/>
  <c r="E536" i="1"/>
  <c r="E535" i="1"/>
  <c r="E534" i="1"/>
  <c r="E533" i="1"/>
  <c r="E532" i="1"/>
  <c r="O531" i="1"/>
  <c r="E531" i="1"/>
  <c r="E530" i="1"/>
  <c r="E529" i="1"/>
  <c r="E528" i="1"/>
  <c r="O527" i="1"/>
  <c r="E527" i="1"/>
  <c r="E526" i="1"/>
  <c r="O525" i="1"/>
  <c r="E525" i="1"/>
  <c r="E524" i="1"/>
  <c r="E523" i="1"/>
  <c r="E522" i="1"/>
  <c r="E521" i="1"/>
  <c r="E520" i="1"/>
  <c r="E519" i="1"/>
  <c r="E518" i="1"/>
  <c r="E516" i="1"/>
  <c r="E515" i="1"/>
  <c r="E514" i="1"/>
  <c r="E513" i="1"/>
  <c r="E512" i="1"/>
  <c r="E511" i="1"/>
  <c r="O510" i="1"/>
  <c r="E510" i="1"/>
  <c r="E509" i="1"/>
  <c r="E508" i="1"/>
  <c r="E507" i="1"/>
  <c r="O506" i="1"/>
  <c r="E506" i="1"/>
  <c r="E505" i="1"/>
  <c r="O504" i="1"/>
  <c r="E504" i="1"/>
  <c r="E503" i="1"/>
  <c r="E502" i="1"/>
  <c r="E501" i="1"/>
  <c r="E500" i="1"/>
  <c r="E499" i="1"/>
  <c r="E498" i="1"/>
  <c r="E497" i="1"/>
  <c r="E495" i="1"/>
  <c r="E494" i="1"/>
  <c r="E493" i="1"/>
  <c r="E492" i="1"/>
  <c r="E491" i="1"/>
  <c r="E490" i="1"/>
  <c r="O489" i="1"/>
  <c r="E489" i="1"/>
  <c r="E488" i="1"/>
  <c r="E487" i="1"/>
  <c r="E486" i="1"/>
  <c r="O485" i="1"/>
  <c r="E485" i="1"/>
  <c r="E484" i="1"/>
  <c r="O483" i="1"/>
  <c r="E483" i="1"/>
  <c r="E482" i="1"/>
  <c r="E481" i="1"/>
  <c r="E480" i="1"/>
  <c r="E479" i="1"/>
  <c r="E478" i="1"/>
  <c r="E477" i="1"/>
  <c r="E476" i="1"/>
  <c r="E474" i="1"/>
  <c r="E473" i="1"/>
  <c r="E472" i="1"/>
  <c r="E471" i="1"/>
  <c r="E470" i="1"/>
  <c r="E469" i="1"/>
  <c r="O468" i="1"/>
  <c r="E468" i="1"/>
  <c r="E467" i="1"/>
  <c r="E466" i="1"/>
  <c r="E465" i="1"/>
  <c r="O464" i="1"/>
  <c r="E464" i="1"/>
  <c r="E463" i="1"/>
  <c r="O462" i="1"/>
  <c r="E462" i="1"/>
  <c r="E461" i="1"/>
  <c r="E460" i="1"/>
  <c r="E459" i="1"/>
  <c r="E458" i="1"/>
  <c r="E457" i="1"/>
  <c r="E456" i="1"/>
  <c r="E455" i="1"/>
  <c r="E453" i="1"/>
  <c r="E452" i="1"/>
  <c r="E451" i="1"/>
  <c r="E450" i="1"/>
  <c r="E449" i="1"/>
  <c r="E448" i="1"/>
  <c r="O447" i="1"/>
  <c r="E447" i="1"/>
  <c r="E446" i="1"/>
  <c r="E445" i="1"/>
  <c r="E444" i="1"/>
  <c r="O443" i="1"/>
  <c r="E443" i="1"/>
  <c r="E442" i="1"/>
  <c r="O441" i="1"/>
  <c r="E441" i="1"/>
  <c r="E440" i="1"/>
  <c r="E439" i="1"/>
  <c r="E438" i="1"/>
  <c r="E437" i="1"/>
  <c r="E436" i="1"/>
  <c r="E435" i="1"/>
  <c r="E434" i="1"/>
  <c r="E432" i="1"/>
  <c r="E431" i="1"/>
  <c r="E430" i="1"/>
  <c r="E429" i="1"/>
  <c r="E428" i="1"/>
  <c r="E427" i="1"/>
  <c r="O426" i="1"/>
  <c r="E426" i="1"/>
  <c r="E425" i="1"/>
  <c r="E424" i="1"/>
  <c r="E423" i="1"/>
  <c r="O422" i="1"/>
  <c r="E422" i="1"/>
  <c r="E421" i="1"/>
  <c r="O420" i="1"/>
  <c r="E420" i="1"/>
  <c r="E419" i="1"/>
  <c r="E418" i="1"/>
  <c r="E417" i="1"/>
  <c r="E416" i="1"/>
  <c r="E415" i="1"/>
  <c r="E414" i="1"/>
  <c r="E413" i="1"/>
  <c r="E411" i="1"/>
  <c r="E410" i="1"/>
  <c r="E409" i="1"/>
  <c r="E408" i="1"/>
  <c r="E407" i="1"/>
  <c r="E406" i="1"/>
  <c r="O405" i="1"/>
  <c r="E405" i="1"/>
  <c r="E404" i="1"/>
  <c r="E403" i="1"/>
  <c r="E402" i="1"/>
  <c r="O401" i="1"/>
  <c r="E401" i="1"/>
  <c r="E400" i="1"/>
  <c r="O399" i="1"/>
  <c r="E399" i="1"/>
  <c r="E398" i="1"/>
  <c r="E397" i="1"/>
  <c r="E396" i="1"/>
  <c r="E395" i="1"/>
  <c r="E394" i="1"/>
  <c r="E393" i="1"/>
  <c r="E392" i="1"/>
  <c r="E390" i="1"/>
  <c r="E389" i="1"/>
  <c r="E388" i="1"/>
  <c r="E387" i="1"/>
  <c r="E386" i="1"/>
  <c r="E385" i="1"/>
  <c r="O384" i="1"/>
  <c r="E384" i="1"/>
  <c r="E383" i="1"/>
  <c r="E382" i="1"/>
  <c r="E381" i="1"/>
  <c r="O380" i="1"/>
  <c r="E380" i="1"/>
  <c r="E379" i="1"/>
  <c r="O378" i="1"/>
  <c r="E378" i="1"/>
  <c r="E377" i="1"/>
  <c r="E376" i="1"/>
  <c r="E375" i="1"/>
  <c r="E374" i="1"/>
  <c r="E373" i="1"/>
  <c r="E372" i="1"/>
  <c r="E371" i="1"/>
  <c r="E369" i="1"/>
  <c r="E368" i="1"/>
  <c r="E367" i="1"/>
  <c r="E366" i="1"/>
  <c r="E365" i="1"/>
  <c r="E364" i="1"/>
  <c r="O363" i="1"/>
  <c r="E363" i="1"/>
  <c r="E362" i="1"/>
  <c r="E361" i="1"/>
  <c r="E360" i="1"/>
  <c r="O359" i="1"/>
  <c r="E359" i="1"/>
  <c r="E358" i="1"/>
  <c r="O357" i="1"/>
  <c r="E357" i="1"/>
  <c r="E356" i="1"/>
  <c r="E355" i="1"/>
  <c r="E354" i="1"/>
  <c r="E353" i="1"/>
  <c r="E352" i="1"/>
  <c r="E351" i="1"/>
  <c r="E350" i="1"/>
  <c r="E348" i="1"/>
  <c r="E347" i="1"/>
  <c r="E346" i="1"/>
  <c r="E345" i="1"/>
  <c r="E344" i="1"/>
  <c r="E343" i="1"/>
  <c r="O342" i="1"/>
  <c r="E342" i="1"/>
  <c r="E341" i="1"/>
  <c r="E340" i="1"/>
  <c r="E339" i="1"/>
  <c r="O338" i="1"/>
  <c r="E338" i="1"/>
  <c r="E337" i="1"/>
  <c r="O336" i="1"/>
  <c r="E336" i="1"/>
  <c r="E335" i="1"/>
  <c r="E334" i="1"/>
  <c r="E333" i="1"/>
  <c r="E332" i="1"/>
  <c r="E331" i="1"/>
  <c r="E330" i="1"/>
  <c r="E329" i="1"/>
  <c r="E327" i="1"/>
  <c r="E326" i="1"/>
  <c r="E325" i="1"/>
  <c r="E324" i="1"/>
  <c r="E323" i="1"/>
  <c r="E322" i="1"/>
  <c r="O321" i="1"/>
  <c r="E321" i="1"/>
  <c r="E320" i="1"/>
  <c r="E319" i="1"/>
  <c r="E318" i="1"/>
  <c r="O317" i="1"/>
  <c r="E317" i="1"/>
  <c r="E316" i="1"/>
  <c r="O315" i="1"/>
  <c r="E315" i="1"/>
  <c r="E314" i="1"/>
  <c r="E313" i="1"/>
  <c r="E312" i="1"/>
  <c r="E311" i="1"/>
  <c r="E310" i="1"/>
  <c r="E309" i="1"/>
  <c r="E308" i="1"/>
  <c r="E306" i="1"/>
  <c r="E305" i="1"/>
  <c r="E304" i="1"/>
  <c r="E303" i="1"/>
  <c r="E302" i="1"/>
  <c r="E301" i="1"/>
  <c r="O300" i="1"/>
  <c r="E300" i="1"/>
  <c r="E299" i="1"/>
  <c r="E298" i="1"/>
  <c r="E297" i="1"/>
  <c r="O296" i="1"/>
  <c r="E296" i="1"/>
  <c r="E295" i="1"/>
  <c r="O294" i="1"/>
  <c r="E294" i="1"/>
  <c r="E293" i="1"/>
  <c r="E292" i="1"/>
  <c r="E291" i="1"/>
  <c r="E290" i="1"/>
  <c r="E289" i="1"/>
  <c r="E288" i="1"/>
  <c r="E287" i="1"/>
  <c r="E285" i="1"/>
  <c r="E284" i="1"/>
  <c r="E283" i="1"/>
  <c r="E282" i="1"/>
  <c r="E281" i="1"/>
  <c r="E280" i="1"/>
  <c r="O279" i="1"/>
  <c r="E279" i="1"/>
  <c r="E278" i="1"/>
  <c r="E277" i="1"/>
  <c r="E276" i="1"/>
  <c r="O275" i="1"/>
  <c r="E275" i="1"/>
  <c r="E274" i="1"/>
  <c r="O273" i="1"/>
  <c r="E273" i="1"/>
  <c r="E272" i="1"/>
  <c r="E271" i="1"/>
  <c r="E270" i="1"/>
  <c r="E269" i="1"/>
  <c r="E268" i="1"/>
  <c r="E267" i="1"/>
  <c r="E266" i="1"/>
  <c r="E264" i="1"/>
  <c r="E263" i="1"/>
  <c r="E262" i="1"/>
  <c r="E261" i="1"/>
  <c r="E260" i="1"/>
  <c r="E259" i="1"/>
  <c r="O258" i="1"/>
  <c r="E258" i="1"/>
  <c r="E257" i="1"/>
  <c r="E256" i="1"/>
  <c r="E255" i="1"/>
  <c r="O254" i="1"/>
  <c r="E254" i="1"/>
  <c r="E253" i="1"/>
  <c r="O252" i="1"/>
  <c r="E252" i="1"/>
  <c r="E251" i="1"/>
  <c r="E250" i="1"/>
  <c r="E249" i="1"/>
  <c r="E248" i="1"/>
  <c r="E247" i="1"/>
  <c r="E246" i="1"/>
  <c r="E245" i="1"/>
  <c r="E243" i="1"/>
  <c r="E242" i="1"/>
  <c r="E241" i="1"/>
  <c r="E240" i="1"/>
  <c r="E239" i="1"/>
  <c r="E238" i="1"/>
  <c r="O237" i="1"/>
  <c r="E237" i="1"/>
  <c r="E236" i="1"/>
  <c r="E235" i="1"/>
  <c r="E234" i="1"/>
  <c r="O233" i="1"/>
  <c r="E233" i="1"/>
  <c r="E232" i="1"/>
  <c r="O231" i="1"/>
  <c r="E231" i="1"/>
  <c r="E230" i="1"/>
  <c r="E229" i="1"/>
  <c r="E228" i="1"/>
  <c r="E227" i="1"/>
  <c r="E226" i="1"/>
  <c r="E225" i="1"/>
  <c r="E224" i="1"/>
  <c r="E222" i="1"/>
  <c r="E221" i="1"/>
  <c r="E220" i="1"/>
  <c r="E219" i="1"/>
  <c r="E218" i="1"/>
  <c r="E217" i="1"/>
  <c r="O216" i="1"/>
  <c r="E216" i="1"/>
  <c r="E215" i="1"/>
  <c r="E214" i="1"/>
  <c r="E213" i="1"/>
  <c r="O212" i="1"/>
  <c r="E212" i="1"/>
  <c r="E211" i="1"/>
  <c r="O210" i="1"/>
  <c r="E210" i="1"/>
  <c r="E209" i="1"/>
  <c r="E208" i="1"/>
  <c r="E207" i="1"/>
  <c r="E206" i="1"/>
  <c r="E205" i="1"/>
  <c r="E204" i="1"/>
  <c r="E203" i="1"/>
  <c r="E201" i="1"/>
  <c r="E200" i="1"/>
  <c r="E199" i="1"/>
  <c r="E198" i="1"/>
  <c r="E197" i="1"/>
  <c r="E196" i="1"/>
  <c r="O195" i="1"/>
  <c r="E195" i="1"/>
  <c r="E194" i="1"/>
  <c r="E193" i="1"/>
  <c r="E192" i="1"/>
  <c r="O191" i="1"/>
  <c r="E191" i="1"/>
  <c r="E190" i="1"/>
  <c r="O189" i="1"/>
  <c r="E189" i="1"/>
  <c r="E188" i="1"/>
  <c r="E187" i="1"/>
  <c r="E186" i="1"/>
  <c r="E185" i="1"/>
  <c r="E184" i="1"/>
  <c r="E183" i="1"/>
  <c r="E182" i="1"/>
  <c r="E180" i="1"/>
  <c r="E179" i="1"/>
  <c r="E178" i="1"/>
  <c r="E177" i="1"/>
  <c r="E176" i="1"/>
  <c r="E175" i="1"/>
  <c r="O174" i="1"/>
  <c r="E174" i="1"/>
  <c r="E173" i="1"/>
  <c r="E172" i="1"/>
  <c r="E171" i="1"/>
  <c r="O170" i="1"/>
  <c r="E170" i="1"/>
  <c r="E169" i="1"/>
  <c r="O168" i="1"/>
  <c r="E168" i="1"/>
  <c r="E167" i="1"/>
  <c r="E166" i="1"/>
  <c r="E165" i="1"/>
  <c r="E164" i="1"/>
  <c r="E163" i="1"/>
  <c r="E162" i="1"/>
  <c r="E161" i="1"/>
  <c r="E159" i="1"/>
  <c r="E158" i="1"/>
  <c r="E157" i="1"/>
  <c r="E156" i="1"/>
  <c r="E155" i="1"/>
  <c r="E154" i="1"/>
  <c r="O153" i="1"/>
  <c r="E153" i="1"/>
  <c r="E152" i="1"/>
  <c r="E151" i="1"/>
  <c r="E150" i="1"/>
  <c r="O149" i="1"/>
  <c r="E149" i="1"/>
  <c r="E148" i="1"/>
  <c r="O147" i="1"/>
  <c r="E147" i="1"/>
  <c r="E146" i="1"/>
  <c r="E145" i="1"/>
  <c r="E144" i="1"/>
  <c r="E143" i="1"/>
  <c r="E142" i="1"/>
  <c r="E141" i="1"/>
  <c r="E140" i="1"/>
  <c r="E138" i="1"/>
  <c r="E137" i="1"/>
  <c r="E136" i="1"/>
  <c r="E135" i="1"/>
  <c r="E134" i="1"/>
  <c r="E133" i="1"/>
  <c r="O132" i="1"/>
  <c r="E132" i="1"/>
  <c r="E131" i="1"/>
  <c r="E130" i="1"/>
  <c r="E129" i="1"/>
  <c r="O128" i="1"/>
  <c r="E128" i="1"/>
  <c r="E127" i="1"/>
  <c r="O126" i="1"/>
  <c r="E126" i="1"/>
  <c r="E125" i="1"/>
  <c r="E124" i="1"/>
  <c r="E123" i="1"/>
  <c r="E122" i="1"/>
  <c r="E121" i="1"/>
  <c r="E120" i="1"/>
  <c r="E119" i="1"/>
  <c r="E117" i="1"/>
  <c r="E116" i="1"/>
  <c r="E115" i="1"/>
  <c r="E114" i="1"/>
  <c r="E113" i="1"/>
  <c r="E112" i="1"/>
  <c r="O111" i="1"/>
  <c r="E111" i="1"/>
  <c r="E110" i="1"/>
  <c r="E109" i="1"/>
  <c r="E108" i="1"/>
  <c r="O107" i="1"/>
  <c r="E107" i="1"/>
  <c r="E106" i="1"/>
  <c r="O105" i="1"/>
  <c r="E105" i="1"/>
  <c r="E104" i="1"/>
  <c r="E103" i="1"/>
  <c r="E102" i="1"/>
  <c r="E101" i="1"/>
  <c r="E100" i="1"/>
  <c r="E99" i="1"/>
  <c r="E98" i="1"/>
  <c r="E96" i="1"/>
  <c r="E95" i="1"/>
  <c r="E94" i="1"/>
  <c r="E93" i="1"/>
  <c r="E92" i="1"/>
  <c r="E91" i="1"/>
  <c r="O90" i="1"/>
  <c r="E90" i="1"/>
  <c r="E89" i="1"/>
  <c r="E88" i="1"/>
  <c r="E87" i="1"/>
  <c r="O86" i="1"/>
  <c r="E86" i="1"/>
  <c r="E85" i="1"/>
  <c r="O84" i="1"/>
  <c r="E84" i="1"/>
  <c r="E83" i="1"/>
  <c r="E82" i="1"/>
  <c r="E81" i="1"/>
  <c r="E80" i="1"/>
  <c r="E79" i="1"/>
  <c r="E78" i="1"/>
  <c r="E77" i="1"/>
  <c r="E75" i="1"/>
  <c r="E74" i="1"/>
  <c r="E73" i="1"/>
  <c r="E72" i="1"/>
  <c r="E71" i="1"/>
  <c r="E70" i="1"/>
  <c r="O69" i="1"/>
  <c r="E69" i="1"/>
  <c r="E68" i="1"/>
  <c r="E67" i="1"/>
  <c r="E66" i="1"/>
  <c r="O65" i="1"/>
  <c r="E65" i="1"/>
  <c r="E64" i="1"/>
  <c r="O63" i="1"/>
  <c r="E63" i="1"/>
  <c r="E62" i="1"/>
  <c r="E61" i="1"/>
  <c r="E60" i="1"/>
  <c r="E59" i="1"/>
  <c r="E58" i="1"/>
  <c r="E57" i="1"/>
  <c r="E56" i="1"/>
  <c r="E54" i="1"/>
  <c r="E53" i="1"/>
  <c r="E52" i="1"/>
  <c r="E51" i="1"/>
  <c r="E50" i="1"/>
  <c r="E49" i="1"/>
  <c r="O48" i="1"/>
  <c r="E48" i="1"/>
  <c r="E47" i="1"/>
  <c r="E46" i="1"/>
  <c r="E45" i="1"/>
  <c r="O44" i="1"/>
  <c r="E44" i="1"/>
  <c r="E43" i="1"/>
  <c r="O42" i="1"/>
  <c r="E42" i="1"/>
  <c r="E41" i="1"/>
  <c r="E40" i="1"/>
  <c r="E39" i="1"/>
  <c r="E38" i="1"/>
  <c r="E37" i="1"/>
  <c r="E36" i="1"/>
  <c r="E35" i="1"/>
  <c r="D34" i="1"/>
  <c r="B34" i="1" l="1"/>
  <c r="O35" i="1"/>
  <c r="D55" i="1"/>
  <c r="O40" i="1"/>
  <c r="O54" i="1" s="1"/>
  <c r="D97" i="1" l="1"/>
  <c r="O50" i="1"/>
  <c r="O49" i="1"/>
  <c r="B55" i="1"/>
  <c r="O57" i="1" s="1"/>
  <c r="O61" i="1"/>
  <c r="O75" i="1" s="1"/>
  <c r="O56" i="1"/>
  <c r="C55" i="1"/>
  <c r="D76" i="1"/>
  <c r="C34" i="1"/>
  <c r="O36" i="1"/>
  <c r="O70" i="1" l="1"/>
  <c r="O71" i="1"/>
  <c r="B76" i="1"/>
  <c r="O78" i="1" s="1"/>
  <c r="O82" i="1"/>
  <c r="O96" i="1" s="1"/>
  <c r="O77" i="1"/>
  <c r="O103" i="1"/>
  <c r="O117" i="1" s="1"/>
  <c r="C97" i="1"/>
  <c r="B97" i="1"/>
  <c r="O99" i="1" s="1"/>
  <c r="O98" i="1"/>
  <c r="D139" i="1"/>
  <c r="D118" i="1"/>
  <c r="C118" i="1" l="1"/>
  <c r="B118" i="1"/>
  <c r="O120" i="1" s="1"/>
  <c r="O124" i="1"/>
  <c r="O138" i="1" s="1"/>
  <c r="O119" i="1"/>
  <c r="D160" i="1"/>
  <c r="C139" i="1"/>
  <c r="O145" i="1"/>
  <c r="O159" i="1" s="1"/>
  <c r="O140" i="1"/>
  <c r="B139" i="1"/>
  <c r="O141" i="1" s="1"/>
  <c r="C76" i="1"/>
  <c r="O113" i="1"/>
  <c r="O112" i="1"/>
  <c r="O92" i="1"/>
  <c r="O91" i="1"/>
  <c r="O133" i="1" l="1"/>
  <c r="O134" i="1"/>
  <c r="O154" i="1"/>
  <c r="O155" i="1"/>
  <c r="O166" i="1"/>
  <c r="O180" i="1" s="1"/>
  <c r="O161" i="1"/>
  <c r="B160" i="1"/>
  <c r="O162" i="1" s="1"/>
  <c r="D202" i="1"/>
  <c r="D181" i="1"/>
  <c r="C202" i="1" l="1"/>
  <c r="B202" i="1"/>
  <c r="O204" i="1" s="1"/>
  <c r="O208" i="1"/>
  <c r="O222" i="1" s="1"/>
  <c r="O203" i="1"/>
  <c r="C181" i="1"/>
  <c r="B181" i="1"/>
  <c r="O183" i="1" s="1"/>
  <c r="O187" i="1"/>
  <c r="O201" i="1" s="1"/>
  <c r="O182" i="1"/>
  <c r="C160" i="1"/>
  <c r="O176" i="1"/>
  <c r="O175" i="1"/>
  <c r="D223" i="1"/>
  <c r="E95" i="61"/>
  <c r="E94" i="61"/>
  <c r="E93" i="61"/>
  <c r="E92" i="61"/>
  <c r="E91" i="61"/>
  <c r="E88" i="61"/>
  <c r="E87" i="61"/>
  <c r="E86" i="61"/>
  <c r="E85" i="61"/>
  <c r="E84" i="61"/>
  <c r="E83" i="61"/>
  <c r="E80" i="61"/>
  <c r="E79" i="61"/>
  <c r="E78" i="61"/>
  <c r="E77" i="61"/>
  <c r="E76" i="61"/>
  <c r="E75" i="61"/>
  <c r="E74" i="61"/>
  <c r="E73" i="61"/>
  <c r="E70" i="61"/>
  <c r="E69" i="61"/>
  <c r="E68" i="61"/>
  <c r="E67" i="61"/>
  <c r="E64" i="61"/>
  <c r="E63" i="61"/>
  <c r="E62" i="61"/>
  <c r="E61" i="61"/>
  <c r="E60" i="61"/>
  <c r="E59" i="61"/>
  <c r="E58" i="61"/>
  <c r="E57" i="61"/>
  <c r="E56" i="61"/>
  <c r="E55" i="61"/>
  <c r="E54" i="61"/>
  <c r="E51" i="61"/>
  <c r="E50" i="61"/>
  <c r="E49" i="61"/>
  <c r="E48" i="61"/>
  <c r="E47" i="61"/>
  <c r="E46" i="61"/>
  <c r="E43" i="61"/>
  <c r="E42" i="61"/>
  <c r="E41" i="61"/>
  <c r="E40" i="61"/>
  <c r="E37" i="61"/>
  <c r="E36" i="61"/>
  <c r="E35" i="61"/>
  <c r="E34" i="61"/>
  <c r="E33" i="61"/>
  <c r="E32" i="61"/>
  <c r="E31" i="61"/>
  <c r="E30" i="61"/>
  <c r="E27" i="61"/>
  <c r="E26" i="61"/>
  <c r="E25" i="61"/>
  <c r="E24" i="61"/>
  <c r="E23" i="61"/>
  <c r="E22" i="61"/>
  <c r="E21" i="61"/>
  <c r="E20" i="61"/>
  <c r="E17" i="61"/>
  <c r="E16" i="61"/>
  <c r="E15" i="61"/>
  <c r="E14" i="61"/>
  <c r="E13" i="61"/>
  <c r="E12" i="61"/>
  <c r="E11" i="61"/>
  <c r="E10" i="61"/>
  <c r="E9" i="61"/>
  <c r="E8" i="61"/>
  <c r="E7" i="61"/>
  <c r="E6" i="61"/>
  <c r="E5" i="61"/>
  <c r="E4" i="61"/>
  <c r="E3" i="61"/>
  <c r="O197" i="1" l="1"/>
  <c r="O196" i="1"/>
  <c r="O217" i="1"/>
  <c r="O218" i="1"/>
  <c r="O229" i="1"/>
  <c r="O243" i="1" s="1"/>
  <c r="O224" i="1"/>
  <c r="B223" i="1"/>
  <c r="O225" i="1" s="1"/>
  <c r="D244" i="1"/>
  <c r="D13" i="1"/>
  <c r="O27" i="1"/>
  <c r="O23" i="1"/>
  <c r="O21" i="1"/>
  <c r="A12" i="1"/>
  <c r="C244" i="1" l="1"/>
  <c r="B244" i="1"/>
  <c r="O246" i="1" s="1"/>
  <c r="O250" i="1"/>
  <c r="O264" i="1" s="1"/>
  <c r="O245" i="1"/>
  <c r="D265" i="1"/>
  <c r="C223" i="1"/>
  <c r="O239" i="1"/>
  <c r="O238" i="1"/>
  <c r="E31" i="1"/>
  <c r="E16" i="1"/>
  <c r="E28" i="1"/>
  <c r="E29" i="1"/>
  <c r="E30" i="1"/>
  <c r="E32" i="1"/>
  <c r="E33" i="1"/>
  <c r="E21" i="1"/>
  <c r="E27" i="1"/>
  <c r="E15" i="1"/>
  <c r="E17" i="1"/>
  <c r="E18" i="1"/>
  <c r="E19" i="1"/>
  <c r="E20" i="1"/>
  <c r="E22" i="1"/>
  <c r="E23" i="1"/>
  <c r="E24" i="1"/>
  <c r="E25" i="1"/>
  <c r="E26" i="1"/>
  <c r="E14" i="1"/>
  <c r="O271" i="1" l="1"/>
  <c r="O285" i="1" s="1"/>
  <c r="B265" i="1"/>
  <c r="O267" i="1" s="1"/>
  <c r="O266" i="1"/>
  <c r="C265" i="1"/>
  <c r="D286" i="1"/>
  <c r="O260" i="1"/>
  <c r="O259" i="1"/>
  <c r="O14" i="1"/>
  <c r="O29" i="1" s="1"/>
  <c r="B13" i="1"/>
  <c r="O15" i="1" s="1"/>
  <c r="O19" i="1"/>
  <c r="O33" i="1" s="1"/>
  <c r="B286" i="1" l="1"/>
  <c r="O288" i="1" s="1"/>
  <c r="O292" i="1"/>
  <c r="O306" i="1" s="1"/>
  <c r="O287" i="1"/>
  <c r="D307" i="1"/>
  <c r="O281" i="1"/>
  <c r="O280" i="1"/>
  <c r="C13" i="1"/>
  <c r="O28" i="1"/>
  <c r="C286" i="1" l="1"/>
  <c r="O313" i="1"/>
  <c r="O327" i="1" s="1"/>
  <c r="O308" i="1"/>
  <c r="B307" i="1"/>
  <c r="O309" i="1" s="1"/>
  <c r="D328" i="1"/>
  <c r="O301" i="1"/>
  <c r="O302" i="1"/>
  <c r="O334" i="1" l="1"/>
  <c r="O348" i="1" s="1"/>
  <c r="B328" i="1"/>
  <c r="O330" i="1" s="1"/>
  <c r="O329" i="1"/>
  <c r="D349" i="1"/>
  <c r="O323" i="1"/>
  <c r="O322" i="1"/>
  <c r="C307" i="1"/>
  <c r="O344" i="1" l="1"/>
  <c r="O343" i="1"/>
  <c r="B349" i="1"/>
  <c r="O351" i="1" s="1"/>
  <c r="O355" i="1"/>
  <c r="O369" i="1" s="1"/>
  <c r="O350" i="1"/>
  <c r="D370" i="1"/>
  <c r="C328" i="1"/>
  <c r="C349" i="1" l="1"/>
  <c r="O365" i="1"/>
  <c r="O364" i="1"/>
  <c r="B370" i="1"/>
  <c r="O372" i="1" s="1"/>
  <c r="O376" i="1"/>
  <c r="O390" i="1" s="1"/>
  <c r="O371" i="1"/>
  <c r="D391" i="1"/>
  <c r="O397" i="1" l="1"/>
  <c r="O411" i="1" s="1"/>
  <c r="B391" i="1"/>
  <c r="O393" i="1" s="1"/>
  <c r="O392" i="1"/>
  <c r="D412" i="1"/>
  <c r="C370" i="1"/>
  <c r="O385" i="1"/>
  <c r="O386" i="1"/>
  <c r="B412" i="1" l="1"/>
  <c r="O414" i="1" s="1"/>
  <c r="O418" i="1"/>
  <c r="O432" i="1" s="1"/>
  <c r="O413" i="1"/>
  <c r="C412" i="1"/>
  <c r="D433" i="1"/>
  <c r="O407" i="1"/>
  <c r="O406" i="1"/>
  <c r="C391" i="1"/>
  <c r="O434" i="1" l="1"/>
  <c r="B433" i="1"/>
  <c r="O435" i="1" s="1"/>
  <c r="O439" i="1"/>
  <c r="O453" i="1" s="1"/>
  <c r="D454" i="1"/>
  <c r="O427" i="1"/>
  <c r="O428" i="1"/>
  <c r="O460" i="1" l="1"/>
  <c r="O474" i="1" s="1"/>
  <c r="O455" i="1"/>
  <c r="B454" i="1"/>
  <c r="O456" i="1" s="1"/>
  <c r="D475" i="1"/>
  <c r="O449" i="1"/>
  <c r="O448" i="1"/>
  <c r="C433" i="1"/>
  <c r="B475" i="1" l="1"/>
  <c r="O477" i="1" s="1"/>
  <c r="O481" i="1"/>
  <c r="O495" i="1" s="1"/>
  <c r="O476" i="1"/>
  <c r="D496" i="1"/>
  <c r="C454" i="1"/>
  <c r="O470" i="1"/>
  <c r="O469" i="1"/>
  <c r="B496" i="1" l="1"/>
  <c r="O498" i="1" s="1"/>
  <c r="O502" i="1"/>
  <c r="O516" i="1" s="1"/>
  <c r="O497" i="1"/>
  <c r="D517" i="1"/>
  <c r="O491" i="1"/>
  <c r="O490" i="1"/>
  <c r="C475" i="1"/>
  <c r="O523" i="1" l="1"/>
  <c r="O537" i="1" s="1"/>
  <c r="B517" i="1"/>
  <c r="O519" i="1" s="1"/>
  <c r="O518" i="1"/>
  <c r="D538" i="1"/>
  <c r="O512" i="1"/>
  <c r="O511" i="1"/>
  <c r="C496" i="1"/>
  <c r="O533" i="1" l="1"/>
  <c r="O532" i="1"/>
  <c r="B538" i="1"/>
  <c r="O540" i="1" s="1"/>
  <c r="O544" i="1"/>
  <c r="O558" i="1" s="1"/>
  <c r="O539" i="1"/>
  <c r="C538" i="1"/>
  <c r="D559" i="1"/>
  <c r="C517" i="1"/>
  <c r="O553" i="1" l="1"/>
  <c r="O554" i="1"/>
  <c r="O565" i="1"/>
  <c r="O579" i="1" s="1"/>
  <c r="O560" i="1"/>
  <c r="B559" i="1"/>
  <c r="O561" i="1" s="1"/>
  <c r="D580" i="1"/>
  <c r="O574" i="1" l="1"/>
  <c r="O575" i="1"/>
  <c r="C559" i="1"/>
  <c r="O586" i="1"/>
  <c r="O600" i="1" s="1"/>
  <c r="B580" i="1"/>
  <c r="O582" i="1" s="1"/>
  <c r="O581" i="1"/>
  <c r="D601" i="1"/>
  <c r="O595" i="1" l="1"/>
  <c r="O596" i="1"/>
  <c r="O607" i="1"/>
  <c r="O621" i="1" s="1"/>
  <c r="O602" i="1"/>
  <c r="B601" i="1"/>
  <c r="O603" i="1" s="1"/>
  <c r="D622" i="1"/>
  <c r="C580" i="1"/>
  <c r="C601" i="1" l="1"/>
  <c r="O617" i="1"/>
  <c r="O616" i="1"/>
  <c r="B622" i="1"/>
  <c r="O624" i="1" s="1"/>
  <c r="O628" i="1"/>
  <c r="O642" i="1" s="1"/>
  <c r="O623" i="1"/>
  <c r="D643" i="1"/>
  <c r="C622" i="1" l="1"/>
  <c r="O644" i="1"/>
  <c r="O649" i="1"/>
  <c r="O663" i="1" s="1"/>
  <c r="B643" i="1"/>
  <c r="O645" i="1" s="1"/>
  <c r="D664" i="1"/>
  <c r="O637" i="1"/>
  <c r="O638" i="1"/>
  <c r="O670" i="1" l="1"/>
  <c r="O684" i="1" s="1"/>
  <c r="O665" i="1"/>
  <c r="B664" i="1"/>
  <c r="O666" i="1" s="1"/>
  <c r="D685" i="1"/>
  <c r="C643" i="1"/>
  <c r="O658" i="1"/>
  <c r="O659" i="1"/>
  <c r="B685" i="1" l="1"/>
  <c r="O687" i="1" s="1"/>
  <c r="O691" i="1"/>
  <c r="O705" i="1" s="1"/>
  <c r="O686" i="1"/>
  <c r="C685" i="1"/>
  <c r="D706" i="1"/>
  <c r="O680" i="1"/>
  <c r="O679" i="1"/>
  <c r="C664" i="1"/>
  <c r="O707" i="1" l="1"/>
  <c r="O712" i="1"/>
  <c r="O726" i="1" s="1"/>
  <c r="B706" i="1"/>
  <c r="O708" i="1" s="1"/>
  <c r="D727" i="1"/>
  <c r="O700" i="1"/>
  <c r="O701" i="1"/>
  <c r="B727" i="1" l="1"/>
  <c r="O729" i="1" s="1"/>
  <c r="O733" i="1"/>
  <c r="O747" i="1" s="1"/>
  <c r="O728" i="1"/>
  <c r="D748" i="1"/>
  <c r="C706" i="1"/>
  <c r="O722" i="1"/>
  <c r="O721" i="1"/>
  <c r="B748" i="1" l="1"/>
  <c r="O750" i="1" s="1"/>
  <c r="O754" i="1"/>
  <c r="O768" i="1" s="1"/>
  <c r="O749" i="1"/>
  <c r="C748" i="1"/>
  <c r="D769" i="1"/>
  <c r="O743" i="1"/>
  <c r="O742" i="1"/>
  <c r="C727" i="1"/>
  <c r="O770" i="1" l="1"/>
  <c r="O775" i="1"/>
  <c r="O789" i="1" s="1"/>
  <c r="B769" i="1"/>
  <c r="O771" i="1" s="1"/>
  <c r="D790" i="1"/>
  <c r="O763" i="1"/>
  <c r="O764" i="1"/>
  <c r="B790" i="1" l="1"/>
  <c r="O792" i="1" s="1"/>
  <c r="O796" i="1"/>
  <c r="O810" i="1" s="1"/>
  <c r="O791" i="1"/>
  <c r="D811" i="1"/>
  <c r="C769" i="1"/>
  <c r="O785" i="1"/>
  <c r="O784" i="1"/>
  <c r="B811" i="1" l="1"/>
  <c r="O813" i="1" s="1"/>
  <c r="O817" i="1"/>
  <c r="O831" i="1" s="1"/>
  <c r="O812" i="1"/>
  <c r="C811" i="1"/>
  <c r="D832" i="1"/>
  <c r="O806" i="1"/>
  <c r="O805" i="1"/>
  <c r="C790" i="1"/>
  <c r="O833" i="1" l="1"/>
  <c r="O838" i="1"/>
  <c r="O852" i="1" s="1"/>
  <c r="B832" i="1"/>
  <c r="O834" i="1" s="1"/>
  <c r="D853" i="1"/>
  <c r="O826" i="1"/>
  <c r="O827" i="1"/>
  <c r="B853" i="1" l="1"/>
  <c r="O855" i="1" s="1"/>
  <c r="O859" i="1"/>
  <c r="O873" i="1" s="1"/>
  <c r="O854" i="1"/>
  <c r="D874" i="1"/>
  <c r="C832" i="1"/>
  <c r="O848" i="1"/>
  <c r="O847" i="1"/>
  <c r="B874" i="1" l="1"/>
  <c r="O876" i="1" s="1"/>
  <c r="O880" i="1"/>
  <c r="O894" i="1" s="1"/>
  <c r="O875" i="1"/>
  <c r="C874" i="1"/>
  <c r="D895" i="1"/>
  <c r="O869" i="1"/>
  <c r="O868" i="1"/>
  <c r="C853" i="1"/>
  <c r="O896" i="1" l="1"/>
  <c r="O901" i="1"/>
  <c r="O915" i="1" s="1"/>
  <c r="B895" i="1"/>
  <c r="O897" i="1" s="1"/>
  <c r="D916" i="1"/>
  <c r="O889" i="1"/>
  <c r="O890" i="1"/>
  <c r="B916" i="1" l="1"/>
  <c r="O918" i="1" s="1"/>
  <c r="O922" i="1"/>
  <c r="O936" i="1" s="1"/>
  <c r="O917" i="1"/>
  <c r="D937" i="1"/>
  <c r="C895" i="1"/>
  <c r="O911" i="1"/>
  <c r="O910" i="1"/>
  <c r="O932" i="1" l="1"/>
  <c r="O931" i="1"/>
  <c r="B937" i="1"/>
  <c r="O939" i="1" s="1"/>
  <c r="O943" i="1"/>
  <c r="O957" i="1" s="1"/>
  <c r="O938" i="1"/>
  <c r="C937" i="1"/>
  <c r="D958" i="1"/>
  <c r="C916" i="1"/>
  <c r="O952" i="1" l="1"/>
  <c r="O953" i="1"/>
  <c r="O959" i="1"/>
  <c r="O964" i="1"/>
  <c r="O978" i="1" s="1"/>
  <c r="B958" i="1"/>
  <c r="O960" i="1" s="1"/>
  <c r="D979" i="1"/>
  <c r="C958" i="1" l="1"/>
  <c r="O974" i="1"/>
  <c r="O973" i="1"/>
  <c r="B979" i="1"/>
  <c r="O981" i="1" s="1"/>
  <c r="O985" i="1"/>
  <c r="O999" i="1" s="1"/>
  <c r="O980" i="1"/>
  <c r="D1000" i="1"/>
  <c r="B1000" i="1" l="1"/>
  <c r="O1002" i="1" s="1"/>
  <c r="O1006" i="1"/>
  <c r="O1020" i="1" s="1"/>
  <c r="O1001" i="1"/>
  <c r="C1000" i="1"/>
  <c r="D1021" i="1"/>
  <c r="C979" i="1"/>
  <c r="O995" i="1"/>
  <c r="O994" i="1"/>
  <c r="O1022" i="1" l="1"/>
  <c r="O1027" i="1"/>
  <c r="O1041" i="1" s="1"/>
  <c r="B1021" i="1"/>
  <c r="O1023" i="1" s="1"/>
  <c r="D1042" i="1"/>
  <c r="O1015" i="1"/>
  <c r="O1016" i="1"/>
  <c r="B1042" i="1" l="1"/>
  <c r="O1044" i="1" s="1"/>
  <c r="O1048" i="1"/>
  <c r="O1062" i="1" s="1"/>
  <c r="O1043" i="1"/>
  <c r="D1063" i="1"/>
  <c r="C1021" i="1"/>
  <c r="O1037" i="1"/>
  <c r="O1036" i="1"/>
  <c r="B1063" i="1" l="1"/>
  <c r="O1065" i="1" s="1"/>
  <c r="O1069" i="1"/>
  <c r="O1083" i="1" s="1"/>
  <c r="O1064" i="1"/>
  <c r="C1063" i="1"/>
  <c r="D1084" i="1"/>
  <c r="O1058" i="1"/>
  <c r="O1057" i="1"/>
  <c r="C1042" i="1"/>
  <c r="O1085" i="1" l="1"/>
  <c r="O1090" i="1"/>
  <c r="O1104" i="1" s="1"/>
  <c r="B1084" i="1"/>
  <c r="O1086" i="1" s="1"/>
  <c r="D1105" i="1"/>
  <c r="O1078" i="1"/>
  <c r="O1079" i="1"/>
  <c r="B1105" i="1" l="1"/>
  <c r="O1107" i="1" s="1"/>
  <c r="O1111" i="1"/>
  <c r="O1125" i="1" s="1"/>
  <c r="O1106" i="1"/>
  <c r="D1126" i="1"/>
  <c r="C1084" i="1"/>
  <c r="O1100" i="1"/>
  <c r="O1099" i="1"/>
  <c r="B1126" i="1" l="1"/>
  <c r="O1128" i="1" s="1"/>
  <c r="O1132" i="1"/>
  <c r="O1146" i="1" s="1"/>
  <c r="O1127" i="1"/>
  <c r="C1126" i="1"/>
  <c r="D1147" i="1"/>
  <c r="O1121" i="1"/>
  <c r="O1120" i="1"/>
  <c r="C1105" i="1"/>
  <c r="O1148" i="1" l="1"/>
  <c r="O1153" i="1"/>
  <c r="O1167" i="1" s="1"/>
  <c r="B1147" i="1"/>
  <c r="O1149" i="1" s="1"/>
  <c r="D1168" i="1"/>
  <c r="O1141" i="1"/>
  <c r="O1142" i="1"/>
  <c r="B1168" i="1" l="1"/>
  <c r="O1170" i="1" s="1"/>
  <c r="O1174" i="1"/>
  <c r="O1188" i="1" s="1"/>
  <c r="O1169" i="1"/>
  <c r="D1189" i="1"/>
  <c r="C1147" i="1"/>
  <c r="O1163" i="1"/>
  <c r="O1162" i="1"/>
  <c r="B1189" i="1" l="1"/>
  <c r="O1191" i="1" s="1"/>
  <c r="O1195" i="1"/>
  <c r="O1209" i="1" s="1"/>
  <c r="O1190" i="1"/>
  <c r="C1189" i="1"/>
  <c r="D1210" i="1"/>
  <c r="O1184" i="1"/>
  <c r="O1183" i="1"/>
  <c r="C1168" i="1"/>
  <c r="O1211" i="1" l="1"/>
  <c r="O1216" i="1"/>
  <c r="O1230" i="1" s="1"/>
  <c r="B1210" i="1"/>
  <c r="O1212" i="1" s="1"/>
  <c r="D1231" i="1"/>
  <c r="O1204" i="1"/>
  <c r="O1205" i="1"/>
  <c r="B1231" i="1" l="1"/>
  <c r="O1233" i="1" s="1"/>
  <c r="O1237" i="1"/>
  <c r="O1251" i="1" s="1"/>
  <c r="O1232" i="1"/>
  <c r="D1252" i="1"/>
  <c r="C1210" i="1"/>
  <c r="O1226" i="1"/>
  <c r="O1225" i="1"/>
  <c r="B1252" i="1" l="1"/>
  <c r="O1254" i="1" s="1"/>
  <c r="O1258" i="1"/>
  <c r="O1272" i="1" s="1"/>
  <c r="O1253" i="1"/>
  <c r="C1252" i="1"/>
  <c r="D1273" i="1"/>
  <c r="O1247" i="1"/>
  <c r="O1246" i="1"/>
  <c r="C1231" i="1"/>
  <c r="O1274" i="1" l="1"/>
  <c r="O1279" i="1"/>
  <c r="O1293" i="1" s="1"/>
  <c r="B1273" i="1"/>
  <c r="O1275" i="1" s="1"/>
  <c r="D1294" i="1"/>
  <c r="O1267" i="1"/>
  <c r="O1268" i="1"/>
  <c r="B1294" i="1" l="1"/>
  <c r="O1296" i="1" s="1"/>
  <c r="O1300" i="1"/>
  <c r="O1314" i="1" s="1"/>
  <c r="O1295" i="1"/>
  <c r="D1315" i="1"/>
  <c r="C1273" i="1"/>
  <c r="O1289" i="1"/>
  <c r="O1288" i="1"/>
  <c r="B1315" i="1" l="1"/>
  <c r="O1317" i="1" s="1"/>
  <c r="O1321" i="1"/>
  <c r="O1335" i="1" s="1"/>
  <c r="O1316" i="1"/>
  <c r="C1315" i="1"/>
  <c r="D1336" i="1"/>
  <c r="O1310" i="1"/>
  <c r="O1309" i="1"/>
  <c r="C1294" i="1"/>
  <c r="B1336" i="1" l="1"/>
  <c r="O1338" i="1" s="1"/>
  <c r="O1342" i="1"/>
  <c r="O1356" i="1" s="1"/>
  <c r="O1337" i="1"/>
  <c r="C1336" i="1"/>
  <c r="D1357" i="1"/>
  <c r="O1331" i="1"/>
  <c r="O1330" i="1"/>
  <c r="O1351" i="1" l="1"/>
  <c r="O1352" i="1"/>
  <c r="O1358" i="1"/>
  <c r="B1357" i="1"/>
  <c r="O1359" i="1" s="1"/>
  <c r="O1363" i="1"/>
  <c r="O1377" i="1" s="1"/>
  <c r="D1378" i="1"/>
  <c r="C1357" i="1" l="1"/>
  <c r="O1372" i="1"/>
  <c r="O1373" i="1"/>
  <c r="O1384" i="1"/>
  <c r="O1398" i="1" s="1"/>
  <c r="O1379" i="1"/>
  <c r="B1378" i="1"/>
  <c r="O1380" i="1" s="1"/>
  <c r="D1399" i="1"/>
  <c r="O1394" i="1" l="1"/>
  <c r="O1393" i="1"/>
  <c r="O1405" i="1"/>
  <c r="O1419" i="1" s="1"/>
  <c r="B1399" i="1"/>
  <c r="O1401" i="1" s="1"/>
  <c r="O1400" i="1"/>
  <c r="D1420" i="1"/>
  <c r="C1378" i="1"/>
  <c r="O1414" i="1" l="1"/>
  <c r="O1415" i="1"/>
  <c r="C1399" i="1"/>
  <c r="O1421" i="1"/>
  <c r="B1420" i="1"/>
  <c r="O1422" i="1" s="1"/>
  <c r="O1426" i="1"/>
  <c r="O1440" i="1" s="1"/>
  <c r="D1441" i="1"/>
  <c r="C1420" i="1" l="1"/>
  <c r="O1436" i="1"/>
  <c r="O1435" i="1"/>
  <c r="C1441" i="1"/>
  <c r="O1447" i="1"/>
  <c r="O1461" i="1" s="1"/>
  <c r="O1442" i="1"/>
  <c r="B1441" i="1"/>
  <c r="O1443" i="1" s="1"/>
  <c r="D1462" i="1"/>
  <c r="O1468" i="1" l="1"/>
  <c r="O1482" i="1" s="1"/>
  <c r="B1462" i="1"/>
  <c r="O1464" i="1" s="1"/>
  <c r="O1463" i="1"/>
  <c r="D1483" i="1"/>
  <c r="O1457" i="1"/>
  <c r="O1456" i="1"/>
  <c r="O1484" i="1" l="1"/>
  <c r="B1483" i="1"/>
  <c r="O1485" i="1" s="1"/>
  <c r="O1489" i="1"/>
  <c r="O1503" i="1" s="1"/>
  <c r="D1504" i="1"/>
  <c r="O1477" i="1"/>
  <c r="O1478" i="1"/>
  <c r="C1462" i="1"/>
  <c r="O1510" i="1" l="1"/>
  <c r="O1524" i="1" s="1"/>
  <c r="O1505" i="1"/>
  <c r="B1504" i="1"/>
  <c r="O1506" i="1" s="1"/>
  <c r="D1525" i="1"/>
  <c r="O1499" i="1"/>
  <c r="O1498" i="1"/>
  <c r="C1483" i="1"/>
  <c r="O1520" i="1" l="1"/>
  <c r="O1519" i="1"/>
  <c r="O1531" i="1"/>
  <c r="O1545" i="1" s="1"/>
  <c r="B1525" i="1"/>
  <c r="O1527" i="1" s="1"/>
  <c r="O1526" i="1"/>
  <c r="D1546" i="1"/>
  <c r="C1504" i="1"/>
  <c r="O1540" i="1" l="1"/>
  <c r="O1541" i="1"/>
  <c r="C1525" i="1"/>
  <c r="O1547" i="1"/>
  <c r="B1546" i="1"/>
  <c r="O1548" i="1" s="1"/>
  <c r="O1552" i="1"/>
  <c r="O1566" i="1" s="1"/>
  <c r="D1567" i="1"/>
  <c r="C1546" i="1" l="1"/>
  <c r="O1562" i="1"/>
  <c r="O1561" i="1"/>
  <c r="C1567" i="1"/>
  <c r="O1573" i="1"/>
  <c r="O1587" i="1" s="1"/>
  <c r="O1568" i="1"/>
  <c r="B1567" i="1"/>
  <c r="O1569" i="1" s="1"/>
  <c r="D1588" i="1"/>
  <c r="O1594" i="1" l="1"/>
  <c r="O1608" i="1" s="1"/>
  <c r="B1588" i="1"/>
  <c r="O1590" i="1" s="1"/>
  <c r="O1589" i="1"/>
  <c r="D1609" i="1"/>
  <c r="O1583" i="1"/>
  <c r="O1582" i="1"/>
  <c r="O1610" i="1" l="1"/>
  <c r="O1615" i="1"/>
  <c r="O1629" i="1" s="1"/>
  <c r="B1609" i="1"/>
  <c r="O1611" i="1" s="1"/>
  <c r="D1630" i="1"/>
  <c r="O1603" i="1"/>
  <c r="O1604" i="1"/>
  <c r="C1588" i="1"/>
  <c r="B1630" i="1" l="1"/>
  <c r="O1632" i="1" s="1"/>
  <c r="O1636" i="1"/>
  <c r="O1650" i="1" s="1"/>
  <c r="O1631" i="1"/>
  <c r="D1651" i="1"/>
  <c r="O1625" i="1"/>
  <c r="O1624" i="1"/>
  <c r="C1609" i="1"/>
  <c r="O1657" i="1" l="1"/>
  <c r="O1671" i="1" s="1"/>
  <c r="O1652" i="1"/>
  <c r="B1651" i="1"/>
  <c r="O1653" i="1" s="1"/>
  <c r="D1672" i="1"/>
  <c r="O1645" i="1"/>
  <c r="O1646" i="1"/>
  <c r="C1630" i="1"/>
  <c r="C1651" i="1" l="1"/>
  <c r="B1672" i="1"/>
  <c r="O1674" i="1" s="1"/>
  <c r="O1673" i="1"/>
  <c r="O1678" i="1"/>
  <c r="O1692" i="1" s="1"/>
  <c r="D1693" i="1"/>
  <c r="O1667" i="1"/>
  <c r="O1666" i="1"/>
  <c r="B1693" i="1" l="1"/>
  <c r="O1695" i="1" s="1"/>
  <c r="O1699" i="1"/>
  <c r="O1713" i="1" s="1"/>
  <c r="O1694" i="1"/>
  <c r="D1714" i="1"/>
  <c r="O1688" i="1"/>
  <c r="O1687" i="1"/>
  <c r="C1672" i="1"/>
  <c r="O1720" i="1" l="1"/>
  <c r="O1734" i="1" s="1"/>
  <c r="O1715" i="1"/>
  <c r="B1714" i="1"/>
  <c r="O1716" i="1" s="1"/>
  <c r="D1735" i="1"/>
  <c r="O1708" i="1"/>
  <c r="O1709" i="1"/>
  <c r="C1693" i="1"/>
  <c r="C1714" i="1" l="1"/>
  <c r="B1735" i="1"/>
  <c r="O1737" i="1" s="1"/>
  <c r="O1736" i="1"/>
  <c r="O1741" i="1"/>
  <c r="O1755" i="1" s="1"/>
  <c r="D1756" i="1"/>
  <c r="O1730" i="1"/>
  <c r="O1729" i="1"/>
  <c r="B1756" i="1" l="1"/>
  <c r="O1758" i="1" s="1"/>
  <c r="O1762" i="1"/>
  <c r="O1776" i="1" s="1"/>
  <c r="O1757" i="1"/>
  <c r="D1777" i="1"/>
  <c r="O1751" i="1"/>
  <c r="O1750" i="1"/>
  <c r="C1735" i="1"/>
  <c r="O1783" i="1" l="1"/>
  <c r="O1797" i="1" s="1"/>
  <c r="O1778" i="1"/>
  <c r="B1777" i="1"/>
  <c r="O1779" i="1" s="1"/>
  <c r="D1798" i="1"/>
  <c r="O1771" i="1"/>
  <c r="O1772" i="1"/>
  <c r="C1756" i="1"/>
  <c r="C1777" i="1" l="1"/>
  <c r="B1798" i="1"/>
  <c r="O1800" i="1" s="1"/>
  <c r="O1799" i="1"/>
  <c r="O1804" i="1"/>
  <c r="O1818" i="1" s="1"/>
  <c r="D1819" i="1"/>
  <c r="O1793" i="1"/>
  <c r="O1792" i="1"/>
  <c r="B1819" i="1" l="1"/>
  <c r="O1821" i="1" s="1"/>
  <c r="O1825" i="1"/>
  <c r="O1839" i="1" s="1"/>
  <c r="O1820" i="1"/>
  <c r="D1840" i="1"/>
  <c r="O1814" i="1"/>
  <c r="O1813" i="1"/>
  <c r="C1798" i="1"/>
  <c r="O1846" i="1" l="1"/>
  <c r="O1860" i="1" s="1"/>
  <c r="O1841" i="1"/>
  <c r="B1840" i="1"/>
  <c r="O1842" i="1" s="1"/>
  <c r="D1861" i="1"/>
  <c r="O1834" i="1"/>
  <c r="O1835" i="1"/>
  <c r="C1819" i="1"/>
  <c r="C1840" i="1" l="1"/>
  <c r="B1861" i="1"/>
  <c r="O1863" i="1" s="1"/>
  <c r="O1862" i="1"/>
  <c r="O1867" i="1"/>
  <c r="O1881" i="1" s="1"/>
  <c r="D1882" i="1"/>
  <c r="O1856" i="1"/>
  <c r="O1855" i="1"/>
  <c r="C1861" i="1" l="1"/>
  <c r="B1882" i="1"/>
  <c r="O1884" i="1" s="1"/>
  <c r="O1888" i="1"/>
  <c r="O1902" i="1" s="1"/>
  <c r="O1883" i="1"/>
  <c r="D1903" i="1"/>
  <c r="O1877" i="1"/>
  <c r="O1876" i="1"/>
  <c r="O1909" i="1" l="1"/>
  <c r="O1923" i="1" s="1"/>
  <c r="O1904" i="1"/>
  <c r="B1903" i="1"/>
  <c r="O1905" i="1" s="1"/>
  <c r="D1924" i="1"/>
  <c r="O1897" i="1"/>
  <c r="O1898" i="1"/>
  <c r="C1882" i="1"/>
  <c r="B1924" i="1" l="1"/>
  <c r="O1926" i="1" s="1"/>
  <c r="O1925" i="1"/>
  <c r="O1930" i="1"/>
  <c r="O1944" i="1" s="1"/>
  <c r="D1945" i="1"/>
  <c r="C1903" i="1"/>
  <c r="O1919" i="1"/>
  <c r="O1918" i="1"/>
  <c r="B1945" i="1" l="1"/>
  <c r="O1947" i="1" s="1"/>
  <c r="O1951" i="1"/>
  <c r="O1965" i="1" s="1"/>
  <c r="O1946" i="1"/>
  <c r="D1966" i="1"/>
  <c r="O1940" i="1"/>
  <c r="O1939" i="1"/>
  <c r="C1924" i="1"/>
  <c r="O1972" i="1" l="1"/>
  <c r="O1986" i="1" s="1"/>
  <c r="O1967" i="1"/>
  <c r="B1966" i="1"/>
  <c r="O1968" i="1" s="1"/>
  <c r="D1987" i="1"/>
  <c r="O1960" i="1"/>
  <c r="O1961" i="1"/>
  <c r="C1945" i="1"/>
  <c r="C1966" i="1" l="1"/>
  <c r="B1987" i="1"/>
  <c r="O1989" i="1" s="1"/>
  <c r="O1988" i="1"/>
  <c r="O1993" i="1"/>
  <c r="O2007" i="1" s="1"/>
  <c r="D2008" i="1"/>
  <c r="O1982" i="1"/>
  <c r="O1981" i="1"/>
  <c r="B2008" i="1" l="1"/>
  <c r="O2010" i="1" s="1"/>
  <c r="O2014" i="1"/>
  <c r="O2028" i="1" s="1"/>
  <c r="O2009" i="1"/>
  <c r="D2029" i="1"/>
  <c r="O2003" i="1"/>
  <c r="O2002" i="1"/>
  <c r="C1987" i="1"/>
  <c r="O2035" i="1" l="1"/>
  <c r="O2049" i="1" s="1"/>
  <c r="O2030" i="1"/>
  <c r="B2029" i="1"/>
  <c r="O2031" i="1" s="1"/>
  <c r="D2050" i="1"/>
  <c r="O2023" i="1"/>
  <c r="O2024" i="1"/>
  <c r="C2008" i="1"/>
  <c r="C2029" i="1" l="1"/>
  <c r="B2050" i="1"/>
  <c r="O2052" i="1" s="1"/>
  <c r="O2051" i="1"/>
  <c r="O2056" i="1"/>
  <c r="O2070" i="1" s="1"/>
  <c r="D2071" i="1"/>
  <c r="O2045" i="1"/>
  <c r="O2044" i="1"/>
  <c r="B2071" i="1" l="1"/>
  <c r="O2073" i="1" s="1"/>
  <c r="O2077" i="1"/>
  <c r="O2091" i="1" s="1"/>
  <c r="O2072" i="1"/>
  <c r="D2092" i="1"/>
  <c r="O2066" i="1"/>
  <c r="O2065" i="1"/>
  <c r="C2050" i="1"/>
  <c r="O2098" i="1" l="1"/>
  <c r="O2112" i="1" s="1"/>
  <c r="O2093" i="1"/>
  <c r="B2092" i="1"/>
  <c r="O2094" i="1" s="1"/>
  <c r="D2113" i="1"/>
  <c r="O2086" i="1"/>
  <c r="O2087" i="1"/>
  <c r="C2071" i="1"/>
  <c r="C2092" i="1" l="1"/>
  <c r="B2113" i="1"/>
  <c r="O2115" i="1" s="1"/>
  <c r="O2114" i="1"/>
  <c r="O2119" i="1"/>
  <c r="O2133" i="1" s="1"/>
  <c r="D2134" i="1"/>
  <c r="O2108" i="1"/>
  <c r="O2107" i="1"/>
  <c r="B2134" i="1" l="1"/>
  <c r="O2136" i="1" s="1"/>
  <c r="O2140" i="1"/>
  <c r="O2154" i="1" s="1"/>
  <c r="O2135" i="1"/>
  <c r="D2155" i="1"/>
  <c r="O2129" i="1"/>
  <c r="O2128" i="1"/>
  <c r="C2113" i="1"/>
  <c r="O2161" i="1" l="1"/>
  <c r="O2175" i="1" s="1"/>
  <c r="O2156" i="1"/>
  <c r="B2155" i="1"/>
  <c r="O2157" i="1" s="1"/>
  <c r="D2176" i="1"/>
  <c r="O2149" i="1"/>
  <c r="O2150" i="1"/>
  <c r="C2134" i="1"/>
  <c r="C2155" i="1" l="1"/>
  <c r="B2176" i="1"/>
  <c r="O2178" i="1" s="1"/>
  <c r="O2177" i="1"/>
  <c r="O2182" i="1"/>
  <c r="O2196" i="1" s="1"/>
  <c r="D2197" i="1"/>
  <c r="O2171" i="1"/>
  <c r="O2170" i="1"/>
  <c r="C2176" i="1" l="1"/>
  <c r="B2197" i="1"/>
  <c r="O2199" i="1" s="1"/>
  <c r="O2203" i="1"/>
  <c r="O2217" i="1" s="1"/>
  <c r="O2198" i="1"/>
  <c r="O2192" i="1"/>
  <c r="O2191" i="1"/>
  <c r="C2197" i="1" l="1"/>
  <c r="O2212" i="1"/>
  <c r="O2213" i="1"/>
</calcChain>
</file>

<file path=xl/sharedStrings.xml><?xml version="1.0" encoding="utf-8"?>
<sst xmlns="http://schemas.openxmlformats.org/spreadsheetml/2006/main" count="5999" uniqueCount="284">
  <si>
    <t>Author: Overing</t>
    <phoneticPr fontId="2" type="noConversion"/>
  </si>
  <si>
    <t>當標題是</t>
    <phoneticPr fontId="2" type="noConversion"/>
  </si>
  <si>
    <t>且選項值為</t>
    <phoneticPr fontId="2" type="noConversion"/>
  </si>
  <si>
    <t>把後面的標題設定成…</t>
    <phoneticPr fontId="2" type="noConversion"/>
  </si>
  <si>
    <r>
      <t>沒有 '#' 開頭的 Sheet 會被當作輸出 XML 的主要資料來源</t>
    </r>
    <r>
      <rPr>
        <sz val="12"/>
        <rFont val="新細明體"/>
        <family val="1"/>
        <charset val="136"/>
      </rPr>
      <t xml:space="preserve">
Sheet name 會被做為輸出的 Node name           請依需求修改
如果需要自己開空的 Sheet 整理資料使用
請在最前方加上 '#' 符號避開輸出功能</t>
    </r>
    <phoneticPr fontId="2" type="noConversion"/>
  </si>
  <si>
    <r>
      <t>#DEFINE</t>
    </r>
    <r>
      <rPr>
        <sz val="12"/>
        <rFont val="新細明體"/>
        <family val="1"/>
        <charset val="136"/>
      </rPr>
      <t xml:space="preserve"> Sheet 功能
輸出 DEFINE Node 的資料列
Head 列要有值 且 下方任一 Row 有值才會被輸出</t>
    </r>
    <phoneticPr fontId="2" type="noConversion"/>
  </si>
  <si>
    <r>
      <t>#ALIAS</t>
    </r>
    <r>
      <rPr>
        <sz val="12"/>
        <rFont val="新細明體"/>
        <family val="1"/>
        <charset val="136"/>
      </rPr>
      <t xml:space="preserve"> Sheet 功能
輸出後 主要設定 Node 的 Attribute name 對照
主要設定 Sheet 的 Head 只要能在 ALIAS Sheet 的 Row1 被找到
就會輸出 ALIAS Sheet 的 Row2 名稱到 XML
反之 有在主要設定 Sheet 裡但是 ALIAS Sheet 找不到的 Column 就不會被輸出
可以拿來做為只有在表格上看得到的註解列使用</t>
    </r>
    <phoneticPr fontId="2" type="noConversion"/>
  </si>
  <si>
    <r>
      <t>#OPTION</t>
    </r>
    <r>
      <rPr>
        <sz val="12"/>
        <rFont val="新細明體"/>
        <family val="1"/>
        <charset val="136"/>
      </rPr>
      <t xml:space="preserve"> Sheet 功能
主要 Sheet 中需要被做成選項的項目參照
Head 為有選項的選項標題
後續值就是可以選項項目列舉
(被 #PARAM Sheet 設定變更過的 Head 也有用)</t>
    </r>
    <phoneticPr fontId="2" type="noConversion"/>
  </si>
  <si>
    <t>Update Note</t>
    <phoneticPr fontId="2" type="noConversion"/>
  </si>
  <si>
    <t>2015/09/07: 調整載入 Option 方式為設定定義名稱 (解決選項不能超過 255 字 bug)</t>
    <phoneticPr fontId="2" type="noConversion"/>
  </si>
  <si>
    <t>2015/09/10: 調整輸出巨集，改善輸出耗費時間 (減半)</t>
    <phoneticPr fontId="2" type="noConversion"/>
  </si>
  <si>
    <t>輸出路徑或參考檔案</t>
    <phoneticPr fontId="2" type="noConversion"/>
  </si>
  <si>
    <r>
      <t>#OUTPUT</t>
    </r>
    <r>
      <rPr>
        <sz val="12"/>
        <rFont val="新細明體"/>
        <family val="1"/>
        <charset val="136"/>
      </rPr>
      <t xml:space="preserve"> Sheet 功能
與前一版表格功能類似 不過改成可以讀檔或路徑兩者皆可
如果是檔案 就把他開起來讀取裡面的行當 </t>
    </r>
    <r>
      <rPr>
        <sz val="12"/>
        <rFont val="新細明體"/>
        <family val="1"/>
        <charset val="136"/>
      </rPr>
      <t xml:space="preserve">xml </t>
    </r>
    <r>
      <rPr>
        <sz val="12"/>
        <rFont val="新細明體"/>
        <family val="1"/>
        <charset val="136"/>
      </rPr>
      <t>輸出路徑
如果是路徑 就直接往該路徑輸出</t>
    </r>
    <r>
      <rPr>
        <sz val="12"/>
        <rFont val="新細明體"/>
        <family val="1"/>
        <charset val="136"/>
      </rPr>
      <t xml:space="preserve"> xml</t>
    </r>
    <phoneticPr fontId="2" type="noConversion"/>
  </si>
  <si>
    <t>2015/11/03: 調整巨集
 * 輸出再加速 (已經可以跟原本的 xml scheam 版比了)
 * 輸出超過 1000 筆資料量時 Call DoEvents (解決UI卡死 讓人以為當掉的問題)
 * 縮小無法 Undo 的影響範圍
 * 註解掉 HttpPost ReloadSetting 動作</t>
    <phoneticPr fontId="2" type="noConversion"/>
  </si>
  <si>
    <r>
      <t>#PARAM</t>
    </r>
    <r>
      <rPr>
        <sz val="12"/>
        <rFont val="新細明體"/>
        <family val="1"/>
        <charset val="136"/>
      </rPr>
      <t xml:space="preserve"> Sheet 功能
主要 Sheet 中 Head 需要根據選項變化的項目
當 標題 與 其下 Cell 值符合時會替換之後的標題
</t>
    </r>
    <r>
      <rPr>
        <sz val="12"/>
        <color indexed="10"/>
        <rFont val="新細明體"/>
        <family val="1"/>
        <charset val="136"/>
      </rPr>
      <t>需要留下一列 "當沒有選值的時候要指定的標題" 復原原始的標題才能正常輸出</t>
    </r>
    <r>
      <rPr>
        <sz val="12"/>
        <rFont val="新細明體"/>
        <family val="1"/>
        <charset val="136"/>
      </rPr>
      <t xml:space="preserve">
(需要注意重疊問題 請慎用 不然會無限迴圈XD)</t>
    </r>
    <phoneticPr fontId="2" type="noConversion"/>
  </si>
  <si>
    <t>2015/11/04: 修改說明注意事項</t>
    <phoneticPr fontId="2" type="noConversion"/>
  </si>
  <si>
    <t>Version: 2019/09/17</t>
    <phoneticPr fontId="2" type="noConversion"/>
  </si>
  <si>
    <t>輸出到XML時取代成…</t>
    <phoneticPr fontId="2" type="noConversion"/>
  </si>
  <si>
    <t>且值為</t>
    <phoneticPr fontId="2" type="noConversion"/>
  </si>
  <si>
    <t>2019/09/17:
* 支援複數同前綴欄位使用 "[]" 尾綴定義 #ALIAS Sheet 將值輸出到子節點 (方便程式碼使用陣列載入)
* 支援複數同前綴欄位使用 "[]" 尾綴定義 #OPTION Sheet 一次定義所有選項下拉選單
* 支援複數同前綴欄位使用 "[]" 尾綴定義 #PARAM Sheet 一次定義所有標題置換規則
* 新增 #DEFINE Sheet 做輸出值轉換</t>
    <phoneticPr fontId="2" type="noConversion"/>
  </si>
  <si>
    <t>/</t>
    <phoneticPr fontId="2" type="noConversion"/>
  </si>
  <si>
    <t>1</t>
    <phoneticPr fontId="2" type="noConversion"/>
  </si>
  <si>
    <t>4</t>
  </si>
  <si>
    <t>5</t>
  </si>
  <si>
    <t>6</t>
    <phoneticPr fontId="2" type="noConversion"/>
  </si>
  <si>
    <t>2</t>
    <phoneticPr fontId="2" type="noConversion"/>
  </si>
  <si>
    <t>3</t>
    <phoneticPr fontId="2" type="noConversion"/>
  </si>
  <si>
    <t>類型</t>
    <phoneticPr fontId="2" type="noConversion"/>
  </si>
  <si>
    <t>Type</t>
    <phoneticPr fontId="2" type="noConversion"/>
  </si>
  <si>
    <t>物件</t>
  </si>
  <si>
    <t>速度</t>
  </si>
  <si>
    <t>移動角度</t>
  </si>
  <si>
    <t>6</t>
  </si>
  <si>
    <t>8</t>
  </si>
  <si>
    <t>10</t>
  </si>
  <si>
    <t>行動時間</t>
  </si>
  <si>
    <t>ParamVals[]</t>
    <phoneticPr fontId="2" type="noConversion"/>
  </si>
  <si>
    <t>2</t>
  </si>
  <si>
    <t>3</t>
  </si>
  <si>
    <t>7</t>
  </si>
  <si>
    <t>9</t>
  </si>
  <si>
    <t>11</t>
  </si>
  <si>
    <t>12</t>
  </si>
  <si>
    <t>13</t>
  </si>
  <si>
    <t>14</t>
  </si>
  <si>
    <t>10</t>
    <phoneticPr fontId="2" type="noConversion"/>
  </si>
  <si>
    <t>符卡</t>
  </si>
  <si>
    <t>PreLayerNo</t>
    <phoneticPr fontId="2" type="noConversion"/>
  </si>
  <si>
    <t>HP</t>
  </si>
  <si>
    <t>無敵</t>
  </si>
  <si>
    <t>BOSS</t>
  </si>
  <si>
    <t>順序</t>
    <phoneticPr fontId="2" type="noConversion"/>
  </si>
  <si>
    <t>ParamFormat</t>
    <phoneticPr fontId="2" type="noConversion"/>
  </si>
  <si>
    <t>Order</t>
    <phoneticPr fontId="2" type="noConversion"/>
  </si>
  <si>
    <t>ParamVals2</t>
  </si>
  <si>
    <t>ParamVals3</t>
  </si>
  <si>
    <t>ParamVals4</t>
  </si>
  <si>
    <t>ParamVals5</t>
  </si>
  <si>
    <t>ParamVals6</t>
  </si>
  <si>
    <t>ParamVals7</t>
  </si>
  <si>
    <t>ParamVals8</t>
  </si>
  <si>
    <t>ParamVals9</t>
  </si>
  <si>
    <t>ParamVals10</t>
  </si>
  <si>
    <t>ParamVals11</t>
  </si>
  <si>
    <t>ParamVals12</t>
  </si>
  <si>
    <t>ParamVals13</t>
  </si>
  <si>
    <t>ParamVals14</t>
  </si>
  <si>
    <t>ParamVals15</t>
  </si>
  <si>
    <t>ParamVals16</t>
  </si>
  <si>
    <t>ParamVals17</t>
  </si>
  <si>
    <t>ParamVals18</t>
  </si>
  <si>
    <t>ParamVals19</t>
  </si>
  <si>
    <t>ParamVals20</t>
  </si>
  <si>
    <t>ParamVals21</t>
  </si>
  <si>
    <t>ParamVals22</t>
  </si>
  <si>
    <t>ParamVals23</t>
  </si>
  <si>
    <t>ParamVals24</t>
  </si>
  <si>
    <t>ParamVals25</t>
  </si>
  <si>
    <t>ParamVals26</t>
  </si>
  <si>
    <t>ParamVals27</t>
  </si>
  <si>
    <t>ParamVals28</t>
  </si>
  <si>
    <t>ParamVals29</t>
  </si>
  <si>
    <t>ParamVals30</t>
  </si>
  <si>
    <t>ParamVals31</t>
  </si>
  <si>
    <t>ParamVals32</t>
  </si>
  <si>
    <t>ParamVals33</t>
  </si>
  <si>
    <t>ParamVals34</t>
  </si>
  <si>
    <t>ParamVals35</t>
  </si>
  <si>
    <t>ParamVals36</t>
  </si>
  <si>
    <t>ParamVals37</t>
  </si>
  <si>
    <t>ParamVals38</t>
  </si>
  <si>
    <t>ParamVals39</t>
  </si>
  <si>
    <t>ParamVals40</t>
  </si>
  <si>
    <t>ParamVals41</t>
  </si>
  <si>
    <t>ParamVals42</t>
  </si>
  <si>
    <t>ParamVals43</t>
  </si>
  <si>
    <t>ID</t>
  </si>
  <si>
    <t>ParamVals0</t>
    <phoneticPr fontId="2" type="noConversion"/>
  </si>
  <si>
    <t>ParamVals1</t>
  </si>
  <si>
    <t>4</t>
    <phoneticPr fontId="2" type="noConversion"/>
  </si>
  <si>
    <t>-6</t>
    <phoneticPr fontId="2" type="noConversion"/>
  </si>
  <si>
    <t>回收時間</t>
  </si>
  <si>
    <t>移位置</t>
  </si>
  <si>
    <t>玩家</t>
  </si>
  <si>
    <t>動畫</t>
  </si>
  <si>
    <t>行動ID</t>
  </si>
  <si>
    <t>玩家子彈</t>
  </si>
  <si>
    <t>標題</t>
  </si>
  <si>
    <t>對話</t>
  </si>
  <si>
    <t>傷害</t>
  </si>
  <si>
    <t>Name</t>
  </si>
  <si>
    <t>死亡時間</t>
  </si>
  <si>
    <t>最小速度</t>
  </si>
  <si>
    <t>最大速度</t>
  </si>
  <si>
    <t>BOSSDEAD</t>
  </si>
  <si>
    <t>加移動角度</t>
  </si>
  <si>
    <t>旋轉角度</t>
  </si>
  <si>
    <t>加旋轉角度</t>
  </si>
  <si>
    <t>旋轉是移動角度</t>
  </si>
  <si>
    <t>加速度</t>
  </si>
  <si>
    <t>相對位置</t>
  </si>
  <si>
    <t>貫穿</t>
  </si>
  <si>
    <t>Sprite</t>
  </si>
  <si>
    <t>時位時間</t>
  </si>
  <si>
    <t>時位位置</t>
  </si>
  <si>
    <t>時位變速點</t>
  </si>
  <si>
    <t>時位開始速度</t>
  </si>
  <si>
    <t>時位結束速度</t>
  </si>
  <si>
    <t>時位移動角度</t>
  </si>
  <si>
    <t>回收距離</t>
  </si>
  <si>
    <t>啟動依開始時間後</t>
  </si>
  <si>
    <t>啟動依結束時間前</t>
  </si>
  <si>
    <t>啟動依位置</t>
  </si>
  <si>
    <t>啟動依位置距離</t>
  </si>
  <si>
    <t>播放音樂</t>
  </si>
  <si>
    <t>關卡結束</t>
  </si>
  <si>
    <t>角度參數</t>
  </si>
  <si>
    <t>位置參數</t>
  </si>
  <si>
    <t>角度值</t>
  </si>
  <si>
    <t>角度IDs</t>
  </si>
  <si>
    <t>位置xy</t>
  </si>
  <si>
    <t>位置ID</t>
  </si>
  <si>
    <t>位置Gene</t>
  </si>
  <si>
    <t>PosParamType</t>
  </si>
  <si>
    <t>PosParamType</t>
    <phoneticPr fontId="2" type="noConversion"/>
  </si>
  <si>
    <t>AngleParamType</t>
    <phoneticPr fontId="2" type="noConversion"/>
  </si>
  <si>
    <t>,6</t>
    <phoneticPr fontId="2" type="noConversion"/>
  </si>
  <si>
    <t>位置參數</t>
    <phoneticPr fontId="2" type="noConversion"/>
  </si>
  <si>
    <t>新參照角度</t>
  </si>
  <si>
    <t>新參照位置12</t>
  </si>
  <si>
    <t>新參照位置12</t>
    <phoneticPr fontId="2" type="noConversion"/>
  </si>
  <si>
    <t>Sprite</t>
    <phoneticPr fontId="2" type="noConversion"/>
  </si>
  <si>
    <t>-120</t>
    <phoneticPr fontId="2" type="noConversion"/>
  </si>
  <si>
    <t>120</t>
    <phoneticPr fontId="2" type="noConversion"/>
  </si>
  <si>
    <t>-80</t>
    <phoneticPr fontId="2" type="noConversion"/>
  </si>
  <si>
    <t>80</t>
    <phoneticPr fontId="2" type="noConversion"/>
  </si>
  <si>
    <t>啟動依ID</t>
  </si>
  <si>
    <t>EnemyShot5</t>
  </si>
  <si>
    <t>Shot5_yellow</t>
  </si>
  <si>
    <t>10</t>
    <phoneticPr fontId="2" type="noConversion"/>
  </si>
  <si>
    <t>-10</t>
    <phoneticPr fontId="2" type="noConversion"/>
  </si>
  <si>
    <t>-4</t>
    <phoneticPr fontId="2" type="noConversion"/>
  </si>
  <si>
    <t>4.5</t>
    <phoneticPr fontId="2" type="noConversion"/>
  </si>
  <si>
    <t>-4.5</t>
    <phoneticPr fontId="2" type="noConversion"/>
  </si>
  <si>
    <t>,-4.5</t>
    <phoneticPr fontId="2" type="noConversion"/>
  </si>
  <si>
    <t>啟動依遊戲時間</t>
  </si>
  <si>
    <t>ID</t>
    <phoneticPr fontId="2" type="noConversion"/>
  </si>
  <si>
    <t>復位</t>
  </si>
  <si>
    <t>Power</t>
  </si>
  <si>
    <t>下一關</t>
  </si>
  <si>
    <t>101</t>
    <phoneticPr fontId="2" type="noConversion"/>
  </si>
  <si>
    <t>102</t>
  </si>
  <si>
    <t>103</t>
  </si>
  <si>
    <t>104</t>
  </si>
  <si>
    <t>105</t>
  </si>
  <si>
    <t>106</t>
  </si>
  <si>
    <t>啟動依玩家死亡</t>
  </si>
  <si>
    <t>107</t>
  </si>
  <si>
    <t>啟動位置是活動</t>
  </si>
  <si>
    <t>108</t>
  </si>
  <si>
    <t>201</t>
    <phoneticPr fontId="2" type="noConversion"/>
  </si>
  <si>
    <t>202</t>
  </si>
  <si>
    <t>203</t>
  </si>
  <si>
    <t>204</t>
  </si>
  <si>
    <t>205</t>
  </si>
  <si>
    <t>206</t>
  </si>
  <si>
    <t>Power掉落</t>
  </si>
  <si>
    <t>207</t>
  </si>
  <si>
    <t>加ID</t>
  </si>
  <si>
    <t>208</t>
  </si>
  <si>
    <t>301</t>
    <phoneticPr fontId="2" type="noConversion"/>
  </si>
  <si>
    <t>302</t>
  </si>
  <si>
    <t>303</t>
  </si>
  <si>
    <t>401</t>
    <phoneticPr fontId="2" type="noConversion"/>
  </si>
  <si>
    <t>402</t>
  </si>
  <si>
    <t>403</t>
  </si>
  <si>
    <t>加位置</t>
  </si>
  <si>
    <t>404</t>
  </si>
  <si>
    <t>501</t>
    <phoneticPr fontId="2" type="noConversion"/>
  </si>
  <si>
    <t>502</t>
  </si>
  <si>
    <t>503</t>
  </si>
  <si>
    <t>504</t>
  </si>
  <si>
    <t>505</t>
  </si>
  <si>
    <t>加角度</t>
  </si>
  <si>
    <t>506</t>
  </si>
  <si>
    <t>507</t>
  </si>
  <si>
    <t>601</t>
    <phoneticPr fontId="2" type="noConversion"/>
  </si>
  <si>
    <t>602</t>
  </si>
  <si>
    <t>603</t>
  </si>
  <si>
    <t>604</t>
  </si>
  <si>
    <t>是界內</t>
  </si>
  <si>
    <t>701</t>
    <phoneticPr fontId="2" type="noConversion"/>
  </si>
  <si>
    <t>702</t>
  </si>
  <si>
    <t>703</t>
  </si>
  <si>
    <t>704</t>
  </si>
  <si>
    <t>出生動畫速率</t>
  </si>
  <si>
    <t>705</t>
  </si>
  <si>
    <t>出生動畫時間</t>
  </si>
  <si>
    <t>706</t>
  </si>
  <si>
    <t>出生動畫開始</t>
  </si>
  <si>
    <t>707</t>
  </si>
  <si>
    <t>行動ID結束</t>
  </si>
  <si>
    <t>708</t>
  </si>
  <si>
    <t>801</t>
    <phoneticPr fontId="2" type="noConversion"/>
  </si>
  <si>
    <t>802</t>
  </si>
  <si>
    <t>803</t>
  </si>
  <si>
    <t>804</t>
  </si>
  <si>
    <t>805</t>
  </si>
  <si>
    <t>806</t>
  </si>
  <si>
    <t>玩家遊戲時間</t>
  </si>
  <si>
    <t>901</t>
    <phoneticPr fontId="2" type="noConversion"/>
  </si>
  <si>
    <t>玩家子彈間隔</t>
  </si>
  <si>
    <t>902</t>
  </si>
  <si>
    <t>玩家Power需求</t>
  </si>
  <si>
    <t>903</t>
  </si>
  <si>
    <t>玩家Shift</t>
  </si>
  <si>
    <t>904</t>
  </si>
  <si>
    <t>玩家子彈延遲</t>
  </si>
  <si>
    <t>905</t>
  </si>
  <si>
    <t>位置參數角距距離</t>
  </si>
  <si>
    <t>位置參數角距角度</t>
  </si>
  <si>
    <t>新參照位置</t>
  </si>
  <si>
    <t>角度ID旋轉</t>
  </si>
  <si>
    <t>Self = 1,
Parent = 2,
Player = 3,
Boss = 4,
Center=5,
BossHome=6,</t>
    <phoneticPr fontId="2" type="noConversion"/>
  </si>
  <si>
    <t>符卡時間</t>
    <phoneticPr fontId="2" type="noConversion"/>
  </si>
  <si>
    <t>304</t>
  </si>
  <si>
    <t>3</t>
    <phoneticPr fontId="2" type="noConversion"/>
  </si>
  <si>
    <t>10000</t>
  </si>
  <si>
    <t>10000</t>
    <phoneticPr fontId="2" type="noConversion"/>
  </si>
  <si>
    <t>15</t>
  </si>
  <si>
    <t>15</t>
    <phoneticPr fontId="2" type="noConversion"/>
  </si>
  <si>
    <t>100</t>
  </si>
  <si>
    <t>1000</t>
  </si>
  <si>
    <t>-120</t>
  </si>
  <si>
    <t>-80</t>
  </si>
  <si>
    <t>80</t>
  </si>
  <si>
    <t>120</t>
  </si>
  <si>
    <t>-10</t>
  </si>
  <si>
    <t>-4</t>
  </si>
  <si>
    <t>-4.5</t>
  </si>
  <si>
    <t>4.5</t>
  </si>
  <si>
    <t>,6</t>
  </si>
  <si>
    <t>-6</t>
  </si>
  <si>
    <t>,-4.5</t>
  </si>
  <si>
    <t>BOSSLEAVE</t>
    <phoneticPr fontId="2" type="noConversion"/>
  </si>
  <si>
    <t>子旋轉角度</t>
    <phoneticPr fontId="2" type="noConversion"/>
  </si>
  <si>
    <t>508</t>
  </si>
  <si>
    <r>
      <rPr>
        <sz val="11"/>
        <rFont val="Microsoft JhengHei UI"/>
        <family val="3"/>
        <charset val="136"/>
      </rPr>
      <t>子</t>
    </r>
    <r>
      <rPr>
        <sz val="11"/>
        <rFont val="微軟正黑體"/>
        <family val="3"/>
        <charset val="136"/>
      </rPr>
      <t>加旋轉角度</t>
    </r>
    <phoneticPr fontId="2" type="noConversion"/>
  </si>
  <si>
    <t>509</t>
  </si>
  <si>
    <t>加旋轉角度</t>
    <phoneticPr fontId="2" type="noConversion"/>
  </si>
  <si>
    <t>記錄位置</t>
    <phoneticPr fontId="2" type="noConversion"/>
  </si>
  <si>
    <t>405</t>
  </si>
  <si>
    <t>記錄位置序號</t>
    <phoneticPr fontId="2" type="noConversion"/>
  </si>
  <si>
    <t>406</t>
  </si>
  <si>
    <t>記錄角度</t>
    <phoneticPr fontId="2" type="noConversion"/>
  </si>
  <si>
    <t>510</t>
  </si>
  <si>
    <t>511</t>
  </si>
  <si>
    <t>記錄角度ID</t>
    <phoneticPr fontId="2" type="noConversion"/>
  </si>
  <si>
    <t>角度ID記錄</t>
    <phoneticPr fontId="2" type="noConversion"/>
  </si>
  <si>
    <t>記錄位置ID</t>
    <phoneticPr fontId="2" type="noConversion"/>
  </si>
  <si>
    <t>500</t>
  </si>
  <si>
    <t>500</t>
    <phoneticPr fontId="2" type="noConversion"/>
  </si>
  <si>
    <t>35</t>
  </si>
  <si>
    <t>35</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</si>
</sst>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_);[Red]\(0\)"/>
    <numFmt numFmtId="177" formatCode="0.0"/>
  </numFmts>
  <fonts count="37">
    <font>
      <sz val="12"/>
      <name val="新細明體"/>
      <family val="1"/>
      <charset val="136"/>
    </font>
    <font>
      <sz val="12"/>
      <name val="新細明體"/>
      <family val="1"/>
      <charset val="136"/>
    </font>
    <font>
      <sz val="9"/>
      <name val="新細明體"/>
      <family val="1"/>
      <charset val="136"/>
    </font>
    <font>
      <sz val="12"/>
      <color indexed="8"/>
      <name val="新細明體"/>
      <family val="1"/>
      <charset val="136"/>
    </font>
    <font>
      <sz val="12"/>
      <color indexed="9"/>
      <name val="新細明體"/>
      <family val="1"/>
      <charset val="136"/>
    </font>
    <font>
      <sz val="12"/>
      <color indexed="60"/>
      <name val="新細明體"/>
      <family val="1"/>
      <charset val="136"/>
    </font>
    <font>
      <b/>
      <sz val="12"/>
      <color indexed="8"/>
      <name val="新細明體"/>
      <family val="1"/>
      <charset val="136"/>
    </font>
    <font>
      <sz val="12"/>
      <color indexed="17"/>
      <name val="新細明體"/>
      <family val="1"/>
      <charset val="136"/>
    </font>
    <font>
      <b/>
      <sz val="12"/>
      <color indexed="52"/>
      <name val="新細明體"/>
      <family val="1"/>
      <charset val="136"/>
    </font>
    <font>
      <sz val="12"/>
      <color indexed="52"/>
      <name val="新細明體"/>
      <family val="1"/>
      <charset val="136"/>
    </font>
    <font>
      <i/>
      <sz val="12"/>
      <color indexed="23"/>
      <name val="新細明體"/>
      <family val="1"/>
      <charset val="136"/>
    </font>
    <font>
      <sz val="11"/>
      <color indexed="8"/>
      <name val="ＭＳ Ｐゴシック"/>
      <family val="2"/>
      <charset val="128"/>
    </font>
    <font>
      <sz val="11"/>
      <color indexed="8"/>
      <name val="新細明體"/>
      <family val="1"/>
      <charset val="136"/>
    </font>
    <font>
      <sz val="12"/>
      <name val="微軟正黑體"/>
      <family val="2"/>
      <charset val="136"/>
    </font>
    <font>
      <b/>
      <sz val="18"/>
      <color indexed="56"/>
      <name val="新細明體"/>
      <family val="1"/>
      <charset val="136"/>
    </font>
    <font>
      <b/>
      <sz val="15"/>
      <color indexed="56"/>
      <name val="新細明體"/>
      <family val="1"/>
      <charset val="136"/>
    </font>
    <font>
      <b/>
      <sz val="13"/>
      <color indexed="56"/>
      <name val="新細明體"/>
      <family val="1"/>
      <charset val="136"/>
    </font>
    <font>
      <b/>
      <sz val="11"/>
      <color indexed="56"/>
      <name val="新細明體"/>
      <family val="1"/>
      <charset val="136"/>
    </font>
    <font>
      <sz val="12"/>
      <color indexed="62"/>
      <name val="新細明體"/>
      <family val="1"/>
      <charset val="136"/>
    </font>
    <font>
      <b/>
      <sz val="12"/>
      <color indexed="63"/>
      <name val="新細明體"/>
      <family val="1"/>
      <charset val="136"/>
    </font>
    <font>
      <b/>
      <sz val="12"/>
      <color indexed="9"/>
      <name val="新細明體"/>
      <family val="1"/>
      <charset val="136"/>
    </font>
    <font>
      <sz val="12"/>
      <color indexed="20"/>
      <name val="新細明體"/>
      <family val="1"/>
      <charset val="136"/>
    </font>
    <font>
      <sz val="12"/>
      <color indexed="10"/>
      <name val="新細明體"/>
      <family val="1"/>
      <charset val="136"/>
    </font>
    <font>
      <b/>
      <sz val="12"/>
      <name val="新細明體"/>
      <family val="1"/>
      <charset val="136"/>
    </font>
    <font>
      <b/>
      <sz val="12"/>
      <color theme="0"/>
      <name val="新細明體"/>
      <family val="1"/>
      <charset val="136"/>
    </font>
    <font>
      <sz val="14"/>
      <name val="細明體"/>
      <family val="1"/>
      <charset val="136"/>
    </font>
    <font>
      <sz val="12"/>
      <color theme="0"/>
      <name val="新細明體"/>
      <family val="1"/>
      <charset val="136"/>
    </font>
    <font>
      <sz val="11"/>
      <color rgb="FFCCCCCC"/>
      <name val="Consolas"/>
      <family val="3"/>
    </font>
    <font>
      <sz val="11"/>
      <color rgb="FF4FC1FF"/>
      <name val="Consolas"/>
      <family val="3"/>
    </font>
    <font>
      <sz val="14"/>
      <color theme="0"/>
      <name val="細明體"/>
      <family val="1"/>
      <charset val="136"/>
    </font>
    <font>
      <sz val="12"/>
      <name val="Microsoft JhengHei"/>
      <family val="1"/>
      <charset val="136"/>
    </font>
    <font>
      <sz val="11"/>
      <name val="Consolas"/>
      <family val="3"/>
    </font>
    <font>
      <sz val="10"/>
      <name val="新細明體"/>
      <family val="1"/>
      <charset val="136"/>
    </font>
    <font>
      <sz val="11"/>
      <name val="Microsoft JhengHei"/>
      <family val="3"/>
    </font>
    <font>
      <sz val="11"/>
      <name val="微軟正黑體"/>
      <family val="3"/>
      <charset val="136"/>
    </font>
    <font>
      <sz val="11"/>
      <name val="Microsoft JhengHei UI"/>
      <family val="3"/>
      <charset val="136"/>
    </font>
    <font>
      <sz val="11"/>
      <name val="微軟正黑體"/>
      <family val="2"/>
      <charset val="136"/>
    </font>
  </fonts>
  <fills count="27">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43"/>
      </patternFill>
    </fill>
    <fill>
      <patternFill patternType="solid">
        <fgColor indexed="22"/>
      </patternFill>
    </fill>
    <fill>
      <patternFill patternType="solid">
        <fgColor indexed="26"/>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theme="1"/>
        <bgColor indexed="64"/>
      </patternFill>
    </fill>
    <fill>
      <patternFill patternType="solid">
        <fgColor rgb="FF7030A0"/>
        <bgColor indexed="64"/>
      </patternFill>
    </fill>
    <fill>
      <patternFill patternType="solid">
        <fgColor theme="6" tint="0.79998168889431442"/>
        <bgColor indexed="64"/>
      </patternFill>
    </fill>
  </fills>
  <borders count="10">
    <border>
      <left/>
      <right/>
      <top/>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3"/>
      </left>
      <right style="thin">
        <color indexed="63"/>
      </right>
      <top style="thin">
        <color indexed="63"/>
      </top>
      <bottom style="thin">
        <color indexed="63"/>
      </bottom>
      <diagonal/>
    </border>
    <border>
      <left style="double">
        <color indexed="63"/>
      </left>
      <right style="double">
        <color indexed="63"/>
      </right>
      <top style="double">
        <color indexed="63"/>
      </top>
      <bottom style="double">
        <color indexed="63"/>
      </bottom>
      <diagonal/>
    </border>
  </borders>
  <cellStyleXfs count="64">
    <xf numFmtId="0" fontId="0" fillId="0" borderId="0">
      <alignment vertical="center"/>
    </xf>
    <xf numFmtId="0" fontId="3" fillId="2" borderId="0" applyNumberFormat="0" applyBorder="0" applyAlignment="0" applyProtection="0">
      <alignment vertical="center"/>
    </xf>
    <xf numFmtId="0" fontId="3" fillId="3" borderId="0" applyNumberFormat="0" applyBorder="0" applyAlignment="0" applyProtection="0">
      <alignment vertical="center"/>
    </xf>
    <xf numFmtId="0" fontId="3" fillId="4" borderId="0" applyNumberFormat="0" applyBorder="0" applyAlignment="0" applyProtection="0">
      <alignment vertical="center"/>
    </xf>
    <xf numFmtId="0" fontId="3" fillId="5" borderId="0" applyNumberFormat="0" applyBorder="0" applyAlignment="0" applyProtection="0">
      <alignment vertical="center"/>
    </xf>
    <xf numFmtId="0" fontId="3" fillId="6" borderId="0" applyNumberFormat="0" applyBorder="0" applyAlignment="0" applyProtection="0">
      <alignment vertical="center"/>
    </xf>
    <xf numFmtId="0" fontId="3" fillId="7" borderId="0" applyNumberFormat="0" applyBorder="0" applyAlignment="0" applyProtection="0">
      <alignment vertical="center"/>
    </xf>
    <xf numFmtId="0" fontId="3" fillId="8" borderId="0" applyNumberFormat="0" applyBorder="0" applyAlignment="0" applyProtection="0">
      <alignment vertical="center"/>
    </xf>
    <xf numFmtId="0" fontId="3" fillId="9" borderId="0" applyNumberFormat="0" applyBorder="0" applyAlignment="0" applyProtection="0">
      <alignment vertical="center"/>
    </xf>
    <xf numFmtId="0" fontId="3" fillId="10" borderId="0" applyNumberFormat="0" applyBorder="0" applyAlignment="0" applyProtection="0">
      <alignment vertical="center"/>
    </xf>
    <xf numFmtId="0" fontId="3" fillId="5" borderId="0" applyNumberFormat="0" applyBorder="0" applyAlignment="0" applyProtection="0">
      <alignment vertical="center"/>
    </xf>
    <xf numFmtId="0" fontId="3" fillId="8" borderId="0" applyNumberFormat="0" applyBorder="0" applyAlignment="0" applyProtection="0">
      <alignment vertical="center"/>
    </xf>
    <xf numFmtId="0" fontId="3" fillId="11" borderId="0" applyNumberFormat="0" applyBorder="0" applyAlignment="0" applyProtection="0">
      <alignment vertical="center"/>
    </xf>
    <xf numFmtId="0" fontId="4" fillId="12" borderId="0" applyNumberFormat="0" applyBorder="0" applyAlignment="0" applyProtection="0">
      <alignment vertical="center"/>
    </xf>
    <xf numFmtId="0" fontId="4" fillId="9" borderId="0" applyNumberFormat="0" applyBorder="0" applyAlignment="0" applyProtection="0">
      <alignment vertical="center"/>
    </xf>
    <xf numFmtId="0" fontId="4" fillId="10" borderId="0" applyNumberFormat="0" applyBorder="0" applyAlignment="0" applyProtection="0">
      <alignment vertical="center"/>
    </xf>
    <xf numFmtId="0" fontId="4" fillId="13"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5" fillId="16" borderId="0" applyNumberFormat="0" applyBorder="0" applyAlignment="0" applyProtection="0">
      <alignment vertical="center"/>
    </xf>
    <xf numFmtId="0" fontId="6" fillId="0" borderId="1" applyNumberFormat="0" applyFill="0" applyAlignment="0" applyProtection="0">
      <alignment vertical="center"/>
    </xf>
    <xf numFmtId="0" fontId="7" fillId="4" borderId="0" applyNumberFormat="0" applyBorder="0" applyAlignment="0" applyProtection="0">
      <alignment vertical="center"/>
    </xf>
    <xf numFmtId="0" fontId="8" fillId="17" borderId="2" applyNumberFormat="0" applyAlignment="0" applyProtection="0">
      <alignment vertical="center"/>
    </xf>
    <xf numFmtId="0" fontId="9" fillId="0" borderId="3" applyNumberFormat="0" applyFill="0" applyAlignment="0" applyProtection="0">
      <alignment vertical="center"/>
    </xf>
    <xf numFmtId="0" fontId="1" fillId="18" borderId="4" applyNumberFormat="0" applyFont="0" applyAlignment="0" applyProtection="0">
      <alignment vertical="center"/>
    </xf>
    <xf numFmtId="0" fontId="10" fillId="0" borderId="0" applyNumberFormat="0" applyFill="0" applyBorder="0" applyAlignment="0" applyProtection="0">
      <alignment vertical="center"/>
    </xf>
    <xf numFmtId="0" fontId="4" fillId="19" borderId="0" applyNumberFormat="0" applyBorder="0" applyAlignment="0" applyProtection="0">
      <alignment vertical="center"/>
    </xf>
    <xf numFmtId="0" fontId="4" fillId="20" borderId="0" applyNumberFormat="0" applyBorder="0" applyAlignment="0" applyProtection="0">
      <alignment vertical="center"/>
    </xf>
    <xf numFmtId="0" fontId="4" fillId="21" borderId="0" applyNumberFormat="0" applyBorder="0" applyAlignment="0" applyProtection="0">
      <alignment vertical="center"/>
    </xf>
    <xf numFmtId="0" fontId="4" fillId="13" borderId="0" applyNumberFormat="0" applyBorder="0" applyAlignment="0" applyProtection="0">
      <alignment vertical="center"/>
    </xf>
    <xf numFmtId="0" fontId="4" fillId="14" borderId="0" applyNumberFormat="0" applyBorder="0" applyAlignment="0" applyProtection="0">
      <alignment vertical="center"/>
    </xf>
    <xf numFmtId="0" fontId="4" fillId="22" borderId="0" applyNumberFormat="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1" fillId="0" borderId="0">
      <alignment vertical="center"/>
    </xf>
    <xf numFmtId="0" fontId="1" fillId="0" borderId="0">
      <alignment vertical="center"/>
    </xf>
    <xf numFmtId="0" fontId="12" fillId="0" borderId="0">
      <alignment vertical="center"/>
    </xf>
    <xf numFmtId="0" fontId="1" fillId="0" borderId="0">
      <alignment vertical="center"/>
    </xf>
    <xf numFmtId="0" fontId="1" fillId="0" borderId="0">
      <alignment vertical="center"/>
    </xf>
    <xf numFmtId="0" fontId="12" fillId="0" borderId="0">
      <alignment vertical="center"/>
    </xf>
    <xf numFmtId="0" fontId="13" fillId="0" borderId="0">
      <alignment vertical="center"/>
    </xf>
    <xf numFmtId="0" fontId="13" fillId="0" borderId="0">
      <alignment vertical="center"/>
    </xf>
    <xf numFmtId="0" fontId="1" fillId="0" borderId="0">
      <alignment vertical="center"/>
    </xf>
    <xf numFmtId="0" fontId="13" fillId="0" borderId="0">
      <alignment vertical="center"/>
    </xf>
    <xf numFmtId="0" fontId="13"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 fillId="0" borderId="0"/>
    <xf numFmtId="0" fontId="1" fillId="0" borderId="0"/>
    <xf numFmtId="0" fontId="14" fillId="0" borderId="0" applyNumberFormat="0" applyFill="0" applyBorder="0" applyAlignment="0" applyProtection="0">
      <alignment vertical="center"/>
    </xf>
    <xf numFmtId="0" fontId="15" fillId="0" borderId="5" applyNumberFormat="0" applyFill="0" applyAlignment="0" applyProtection="0">
      <alignment vertical="center"/>
    </xf>
    <xf numFmtId="0" fontId="16" fillId="0" borderId="6" applyNumberFormat="0" applyFill="0" applyAlignment="0" applyProtection="0">
      <alignment vertical="center"/>
    </xf>
    <xf numFmtId="0" fontId="17" fillId="0" borderId="7" applyNumberFormat="0" applyFill="0" applyAlignment="0" applyProtection="0">
      <alignment vertical="center"/>
    </xf>
    <xf numFmtId="0" fontId="17" fillId="0" borderId="0" applyNumberFormat="0" applyFill="0" applyBorder="0" applyAlignment="0" applyProtection="0">
      <alignment vertical="center"/>
    </xf>
    <xf numFmtId="0" fontId="18" fillId="7" borderId="2" applyNumberFormat="0" applyAlignment="0" applyProtection="0">
      <alignment vertical="center"/>
    </xf>
    <xf numFmtId="0" fontId="19" fillId="17" borderId="8" applyNumberFormat="0" applyAlignment="0" applyProtection="0">
      <alignment vertical="center"/>
    </xf>
    <xf numFmtId="0" fontId="20" fillId="23" borderId="9" applyNumberFormat="0" applyAlignment="0" applyProtection="0">
      <alignment vertical="center"/>
    </xf>
    <xf numFmtId="0" fontId="21" fillId="3" borderId="0" applyNumberFormat="0" applyBorder="0" applyAlignment="0" applyProtection="0">
      <alignment vertical="center"/>
    </xf>
    <xf numFmtId="0" fontId="22" fillId="0" borderId="0" applyNumberFormat="0" applyFill="0" applyBorder="0" applyAlignment="0" applyProtection="0">
      <alignment vertical="center"/>
    </xf>
  </cellStyleXfs>
  <cellXfs count="29">
    <xf numFmtId="0" fontId="0" fillId="0" borderId="0" xfId="0">
      <alignment vertical="center"/>
    </xf>
    <xf numFmtId="0" fontId="23" fillId="0" borderId="0" xfId="0" applyFont="1">
      <alignment vertical="center"/>
    </xf>
    <xf numFmtId="0" fontId="0" fillId="0" borderId="0" xfId="0" applyAlignment="1">
      <alignment vertical="center" wrapText="1"/>
    </xf>
    <xf numFmtId="0" fontId="23" fillId="0" borderId="0" xfId="0" applyFont="1" applyAlignment="1">
      <alignment vertical="center" wrapText="1"/>
    </xf>
    <xf numFmtId="0" fontId="0" fillId="0" borderId="0" xfId="0" applyAlignment="1">
      <alignment horizontal="center" vertical="center"/>
    </xf>
    <xf numFmtId="0" fontId="24" fillId="24" borderId="0" xfId="0" applyFont="1" applyFill="1" applyAlignment="1">
      <alignment horizontal="center" vertical="center"/>
    </xf>
    <xf numFmtId="49" fontId="24" fillId="24" borderId="0" xfId="0" applyNumberFormat="1" applyFont="1" applyFill="1" applyAlignment="1">
      <alignment horizontal="center" vertical="center"/>
    </xf>
    <xf numFmtId="49" fontId="0" fillId="0" borderId="0" xfId="0" applyNumberFormat="1">
      <alignment vertical="center"/>
    </xf>
    <xf numFmtId="49" fontId="24" fillId="24" borderId="0" xfId="0" applyNumberFormat="1" applyFont="1" applyFill="1">
      <alignment vertical="center"/>
    </xf>
    <xf numFmtId="49" fontId="0" fillId="0" borderId="0" xfId="0" applyNumberFormat="1" applyAlignment="1">
      <alignment horizontal="center" vertical="center"/>
    </xf>
    <xf numFmtId="0" fontId="28" fillId="0" borderId="0" xfId="0" applyFont="1">
      <alignment vertical="center"/>
    </xf>
    <xf numFmtId="0" fontId="27" fillId="0" borderId="0" xfId="0" applyFont="1">
      <alignment vertical="center"/>
    </xf>
    <xf numFmtId="49" fontId="25" fillId="0" borderId="0" xfId="0" applyNumberFormat="1" applyFont="1" applyAlignment="1">
      <alignment horizontal="center" vertical="center"/>
    </xf>
    <xf numFmtId="49" fontId="26" fillId="25" borderId="0" xfId="0" applyNumberFormat="1" applyFont="1" applyFill="1" applyAlignment="1">
      <alignment horizontal="center" vertical="center"/>
    </xf>
    <xf numFmtId="49" fontId="0" fillId="26" borderId="0" xfId="0" applyNumberFormat="1" applyFill="1" applyAlignment="1">
      <alignment horizontal="center" vertical="center"/>
    </xf>
    <xf numFmtId="49" fontId="25" fillId="0" borderId="0" xfId="0" applyNumberFormat="1" applyFont="1" applyAlignment="1">
      <alignment horizontal="left" vertical="center"/>
    </xf>
    <xf numFmtId="49" fontId="0" fillId="0" borderId="0" xfId="0" applyNumberFormat="1" applyAlignment="1">
      <alignment horizontal="left" vertical="center"/>
    </xf>
    <xf numFmtId="49" fontId="29" fillId="24" borderId="0" xfId="0" applyNumberFormat="1" applyFont="1" applyFill="1" applyAlignment="1">
      <alignment horizontal="left" vertical="center"/>
    </xf>
    <xf numFmtId="0" fontId="30" fillId="0" borderId="0" xfId="0" applyFont="1" applyAlignment="1">
      <alignment horizontal="center" vertical="center"/>
    </xf>
    <xf numFmtId="49" fontId="26" fillId="24" borderId="0" xfId="0" applyNumberFormat="1" applyFont="1" applyFill="1" applyAlignment="1">
      <alignment horizontal="center" vertical="center"/>
    </xf>
    <xf numFmtId="0" fontId="31" fillId="0" borderId="0" xfId="0" applyFont="1">
      <alignment vertical="center"/>
    </xf>
    <xf numFmtId="176" fontId="29" fillId="24" borderId="0" xfId="0" applyNumberFormat="1" applyFont="1" applyFill="1" applyAlignment="1">
      <alignment horizontal="left" vertical="center"/>
    </xf>
    <xf numFmtId="176" fontId="0" fillId="0" borderId="0" xfId="0" applyNumberFormat="1" applyAlignment="1">
      <alignment horizontal="center" vertical="center"/>
    </xf>
    <xf numFmtId="1" fontId="0" fillId="0" borderId="0" xfId="0" applyNumberFormat="1" applyAlignment="1">
      <alignment horizontal="center" vertical="center"/>
    </xf>
    <xf numFmtId="177" fontId="0" fillId="0" borderId="0" xfId="0" applyNumberFormat="1" applyAlignment="1">
      <alignment horizontal="center" vertical="center"/>
    </xf>
    <xf numFmtId="0" fontId="32" fillId="0" borderId="0" xfId="0" applyFont="1" applyAlignment="1">
      <alignment horizontal="center" vertical="center" wrapText="1"/>
    </xf>
    <xf numFmtId="0" fontId="33" fillId="0" borderId="0" xfId="0" applyFont="1">
      <alignment vertical="center"/>
    </xf>
    <xf numFmtId="0" fontId="34" fillId="0" borderId="0" xfId="0" applyFont="1">
      <alignment vertical="center"/>
    </xf>
    <xf numFmtId="0" fontId="36" fillId="0" borderId="0" xfId="0" applyFont="1">
      <alignment vertical="center"/>
    </xf>
  </cellXfs>
  <cellStyles count="64">
    <cellStyle name="20% - 輔色1" xfId="1" builtinId="30" customBuiltin="1"/>
    <cellStyle name="20% - 輔色2" xfId="2" builtinId="34" customBuiltin="1"/>
    <cellStyle name="20% - 輔色3" xfId="3" builtinId="38" customBuiltin="1"/>
    <cellStyle name="20% - 輔色4" xfId="4" builtinId="42" customBuiltin="1"/>
    <cellStyle name="20% - 輔色5" xfId="5" builtinId="46" customBuiltin="1"/>
    <cellStyle name="20% - 輔色6" xfId="6" builtinId="50" customBuiltin="1"/>
    <cellStyle name="40% - 輔色1" xfId="7" builtinId="31" customBuiltin="1"/>
    <cellStyle name="40% - 輔色2" xfId="8" builtinId="35" customBuiltin="1"/>
    <cellStyle name="40% - 輔色3" xfId="9" builtinId="39" customBuiltin="1"/>
    <cellStyle name="40% - 輔色4" xfId="10" builtinId="43" customBuiltin="1"/>
    <cellStyle name="40% - 輔色5" xfId="11" builtinId="47" customBuiltin="1"/>
    <cellStyle name="40% - 輔色6" xfId="12" builtinId="51" customBuiltin="1"/>
    <cellStyle name="60% - 輔色1" xfId="13" builtinId="32" customBuiltin="1"/>
    <cellStyle name="60% - 輔色2" xfId="14" builtinId="36" customBuiltin="1"/>
    <cellStyle name="60% - 輔色3" xfId="15" builtinId="40" customBuiltin="1"/>
    <cellStyle name="60% - 輔色4" xfId="16" builtinId="44" customBuiltin="1"/>
    <cellStyle name="60% - 輔色5" xfId="17" builtinId="48" customBuiltin="1"/>
    <cellStyle name="60% - 輔色6" xfId="18" builtinId="52" customBuiltin="1"/>
    <cellStyle name="一般" xfId="0" builtinId="0"/>
    <cellStyle name="中等" xfId="19" builtinId="28" customBuiltin="1"/>
    <cellStyle name="合計" xfId="20" builtinId="25" customBuiltin="1"/>
    <cellStyle name="好" xfId="21" builtinId="26" customBuiltin="1"/>
    <cellStyle name="計算方式" xfId="22" builtinId="22" customBuiltin="1"/>
    <cellStyle name="連結的儲存格" xfId="23" builtinId="24" customBuiltin="1"/>
    <cellStyle name="備註" xfId="24" builtinId="10" customBuiltin="1"/>
    <cellStyle name="說明文字" xfId="25" builtinId="53" customBuiltin="1"/>
    <cellStyle name="輔色1" xfId="26" builtinId="29" customBuiltin="1"/>
    <cellStyle name="輔色2" xfId="27" builtinId="33" customBuiltin="1"/>
    <cellStyle name="輔色3" xfId="28" builtinId="37" customBuiltin="1"/>
    <cellStyle name="輔色4" xfId="29" builtinId="41" customBuiltin="1"/>
    <cellStyle name="輔色5" xfId="30" builtinId="45" customBuiltin="1"/>
    <cellStyle name="輔色6" xfId="31" builtinId="49" customBuiltin="1"/>
    <cellStyle name="標準 10" xfId="32" xr:uid="{00000000-0005-0000-0000-000021000000}"/>
    <cellStyle name="標準 11" xfId="33" xr:uid="{00000000-0005-0000-0000-000022000000}"/>
    <cellStyle name="標準 12" xfId="34" xr:uid="{00000000-0005-0000-0000-000023000000}"/>
    <cellStyle name="標準 13" xfId="35" xr:uid="{00000000-0005-0000-0000-000024000000}"/>
    <cellStyle name="標準 14" xfId="36" xr:uid="{00000000-0005-0000-0000-000025000000}"/>
    <cellStyle name="標準 19" xfId="37" xr:uid="{00000000-0005-0000-0000-000026000000}"/>
    <cellStyle name="標準 2" xfId="38" xr:uid="{00000000-0005-0000-0000-000027000000}"/>
    <cellStyle name="標準 2 2" xfId="39" xr:uid="{00000000-0005-0000-0000-000028000000}"/>
    <cellStyle name="標準 2 3" xfId="40" xr:uid="{00000000-0005-0000-0000-000029000000}"/>
    <cellStyle name="標準 2 4" xfId="41" xr:uid="{00000000-0005-0000-0000-00002A000000}"/>
    <cellStyle name="標準 2 5" xfId="42" xr:uid="{00000000-0005-0000-0000-00002B000000}"/>
    <cellStyle name="標準 2 6" xfId="43" xr:uid="{00000000-0005-0000-0000-00002C000000}"/>
    <cellStyle name="標準 3" xfId="44" xr:uid="{00000000-0005-0000-0000-00002D000000}"/>
    <cellStyle name="標準 3 2" xfId="45" xr:uid="{00000000-0005-0000-0000-00002E000000}"/>
    <cellStyle name="標準 3 3" xfId="46" xr:uid="{00000000-0005-0000-0000-00002F000000}"/>
    <cellStyle name="標準 3 4" xfId="47" xr:uid="{00000000-0005-0000-0000-000030000000}"/>
    <cellStyle name="標準 4" xfId="48" xr:uid="{00000000-0005-0000-0000-000031000000}"/>
    <cellStyle name="標準 5" xfId="49" xr:uid="{00000000-0005-0000-0000-000032000000}"/>
    <cellStyle name="標準 6" xfId="50" xr:uid="{00000000-0005-0000-0000-000033000000}"/>
    <cellStyle name="標準 7" xfId="51" xr:uid="{00000000-0005-0000-0000-000034000000}"/>
    <cellStyle name="標準 8" xfId="52" xr:uid="{00000000-0005-0000-0000-000035000000}"/>
    <cellStyle name="標準 9" xfId="53" xr:uid="{00000000-0005-0000-0000-000036000000}"/>
    <cellStyle name="標題" xfId="54" builtinId="15" customBuiltin="1"/>
    <cellStyle name="標題 1" xfId="55" builtinId="16" customBuiltin="1"/>
    <cellStyle name="標題 2" xfId="56" builtinId="17" customBuiltin="1"/>
    <cellStyle name="標題 3" xfId="57" builtinId="18" customBuiltin="1"/>
    <cellStyle name="標題 4" xfId="58" builtinId="19" customBuiltin="1"/>
    <cellStyle name="輸入" xfId="59" builtinId="20" customBuiltin="1"/>
    <cellStyle name="輸出" xfId="60" builtinId="21" customBuiltin="1"/>
    <cellStyle name="檢查儲存格" xfId="61" builtinId="23" customBuiltin="1"/>
    <cellStyle name="壞" xfId="62" builtinId="27" customBuiltin="1"/>
    <cellStyle name="警告文字" xfId="63" builtinId="11" customBuiltin="1"/>
  </cellStyles>
  <dxfs count="5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ill>
        <patternFill>
          <bgColor theme="7" tint="0.79998168889431442"/>
        </patternFill>
      </fill>
    </dxf>
    <dxf>
      <fill>
        <patternFill>
          <bgColor theme="7" tint="0.79998168889431442"/>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7" tint="0.799981688894314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7" tint="0.79998168889431442"/>
        </patternFill>
      </fill>
    </dxf>
    <dxf>
      <font>
        <color theme="3" tint="0.39994506668294322"/>
      </font>
      <fill>
        <patternFill patternType="none">
          <bgColor auto="1"/>
        </patternFill>
      </fill>
    </dxf>
    <dxf>
      <fill>
        <patternFill>
          <bgColor theme="7" tint="0.79998168889431442"/>
        </patternFill>
      </fill>
    </dxf>
    <dxf>
      <font>
        <color rgb="FF006100"/>
      </font>
      <fill>
        <patternFill>
          <bgColor rgb="FFC6EFCE"/>
        </patternFill>
      </fill>
    </dxf>
    <dxf>
      <fill>
        <patternFill>
          <bgColor theme="7" tint="0.79998168889431442"/>
        </patternFill>
      </fill>
    </dxf>
    <dxf>
      <font>
        <color auto="1"/>
      </font>
      <fill>
        <patternFill>
          <bgColor theme="8" tint="0.59996337778862885"/>
        </patternFill>
      </fill>
    </dxf>
    <dxf>
      <fill>
        <patternFill>
          <bgColor theme="9" tint="0.79998168889431442"/>
        </patternFill>
      </fill>
    </dxf>
    <dxf>
      <fill>
        <patternFill>
          <bgColor theme="7" tint="0.79998168889431442"/>
        </patternFill>
      </fill>
    </dxf>
    <dxf>
      <font>
        <color auto="1"/>
      </font>
      <fill>
        <patternFill>
          <bgColor theme="8" tint="0.59996337778862885"/>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ont>
        <color auto="1"/>
      </font>
      <fill>
        <patternFill>
          <bgColor theme="8" tint="0.59996337778862885"/>
        </patternFill>
      </fill>
    </dxf>
    <dxf>
      <fill>
        <patternFill>
          <bgColor theme="9" tint="0.799981688894314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J2651"/>
  <sheetViews>
    <sheetView tabSelected="1" zoomScaleNormal="100" workbookViewId="0">
      <pane ySplit="1" topLeftCell="A11" activePane="bottomLeft" state="frozen"/>
      <selection pane="bottomLeft" activeCell="A13" sqref="A13:O2217"/>
    </sheetView>
  </sheetViews>
  <sheetFormatPr defaultRowHeight="19.5"/>
  <cols>
    <col min="1" max="1" width="7.875" style="22" customWidth="1"/>
    <col min="2" max="3" width="8" style="22" bestFit="1" customWidth="1"/>
    <col min="4" max="4" width="8.25" style="22" customWidth="1"/>
    <col min="5" max="5" width="9" style="9"/>
    <col min="6" max="6" width="16.125" style="9" bestFit="1" customWidth="1"/>
    <col min="7" max="10" width="9" style="9"/>
    <col min="11" max="11" width="16" style="9" customWidth="1"/>
    <col min="12" max="12" width="22.375" style="9" customWidth="1"/>
    <col min="13" max="13" width="14.625" style="9" bestFit="1" customWidth="1"/>
    <col min="14" max="14" width="12.625" style="9" bestFit="1" customWidth="1"/>
    <col min="15" max="15" width="24.375" style="23" bestFit="1" customWidth="1"/>
    <col min="16" max="16" width="16.125" style="9" bestFit="1" customWidth="1"/>
    <col min="17" max="17" width="12.625" style="9" bestFit="1" customWidth="1"/>
    <col min="18" max="18" width="13.875" style="9" bestFit="1" customWidth="1"/>
    <col min="19" max="19" width="9" style="9"/>
    <col min="20" max="20" width="8" style="9" bestFit="1" customWidth="1"/>
    <col min="21" max="21" width="9.25" style="12" bestFit="1" customWidth="1"/>
    <col min="22" max="22" width="13.875" style="9" bestFit="1" customWidth="1"/>
    <col min="23" max="23" width="13.25" style="9" bestFit="1" customWidth="1"/>
    <col min="24" max="24" width="10.5" style="12" bestFit="1" customWidth="1"/>
    <col min="25" max="25" width="16.125" style="12" bestFit="1" customWidth="1"/>
    <col min="26" max="26" width="16.125" style="12" customWidth="1"/>
    <col min="27" max="28" width="16.125" style="15" bestFit="1" customWidth="1"/>
    <col min="29" max="33" width="13.25" style="15" bestFit="1" customWidth="1"/>
    <col min="34" max="35" width="13.25" style="16" bestFit="1" customWidth="1"/>
    <col min="36" max="62" width="14.625" style="16" bestFit="1" customWidth="1"/>
    <col min="63" max="16384" width="9" style="9"/>
  </cols>
  <sheetData>
    <row r="1" spans="1:58" s="17" customFormat="1">
      <c r="A1" s="21"/>
      <c r="B1" s="21"/>
      <c r="C1" s="21"/>
      <c r="D1" s="21"/>
      <c r="E1" s="17" t="s">
        <v>51</v>
      </c>
      <c r="F1" s="19" t="s">
        <v>27</v>
      </c>
      <c r="K1" s="17" t="s">
        <v>144</v>
      </c>
      <c r="L1" s="17" t="s">
        <v>145</v>
      </c>
      <c r="M1" s="17" t="s">
        <v>52</v>
      </c>
      <c r="N1" s="6" t="s">
        <v>47</v>
      </c>
      <c r="O1" s="23" t="s">
        <v>97</v>
      </c>
      <c r="P1" s="6" t="s">
        <v>98</v>
      </c>
      <c r="Q1" s="6" t="s">
        <v>54</v>
      </c>
      <c r="R1" s="6" t="s">
        <v>55</v>
      </c>
      <c r="S1" s="6" t="s">
        <v>56</v>
      </c>
      <c r="T1" s="6" t="s">
        <v>57</v>
      </c>
      <c r="U1" s="6" t="s">
        <v>58</v>
      </c>
      <c r="V1" s="6" t="s">
        <v>59</v>
      </c>
      <c r="W1" s="6" t="s">
        <v>60</v>
      </c>
      <c r="X1" s="6" t="s">
        <v>61</v>
      </c>
      <c r="Y1" s="6" t="s">
        <v>62</v>
      </c>
      <c r="Z1" s="6" t="s">
        <v>63</v>
      </c>
      <c r="AA1" s="6" t="s">
        <v>64</v>
      </c>
      <c r="AB1" s="6" t="s">
        <v>65</v>
      </c>
      <c r="AC1" s="6" t="s">
        <v>66</v>
      </c>
      <c r="AD1" s="6" t="s">
        <v>67</v>
      </c>
      <c r="AE1" s="6" t="s">
        <v>68</v>
      </c>
      <c r="AF1" s="6" t="s">
        <v>69</v>
      </c>
      <c r="AG1" s="6" t="s">
        <v>70</v>
      </c>
      <c r="AH1" s="6" t="s">
        <v>71</v>
      </c>
      <c r="AI1" s="6" t="s">
        <v>72</v>
      </c>
      <c r="AJ1" s="6" t="s">
        <v>73</v>
      </c>
      <c r="AK1" s="6" t="s">
        <v>74</v>
      </c>
      <c r="AL1" s="6" t="s">
        <v>75</v>
      </c>
      <c r="AM1" s="6" t="s">
        <v>76</v>
      </c>
      <c r="AN1" s="6" t="s">
        <v>77</v>
      </c>
      <c r="AO1" s="6" t="s">
        <v>78</v>
      </c>
      <c r="AP1" s="6" t="s">
        <v>79</v>
      </c>
      <c r="AQ1" s="6" t="s">
        <v>80</v>
      </c>
      <c r="AR1" s="6" t="s">
        <v>81</v>
      </c>
      <c r="AS1" s="6" t="s">
        <v>82</v>
      </c>
      <c r="AT1" s="6" t="s">
        <v>83</v>
      </c>
      <c r="AU1" s="6" t="s">
        <v>84</v>
      </c>
      <c r="AV1" s="6" t="s">
        <v>85</v>
      </c>
      <c r="AW1" s="6" t="s">
        <v>86</v>
      </c>
      <c r="AX1" s="6" t="s">
        <v>87</v>
      </c>
      <c r="AY1" s="6" t="s">
        <v>88</v>
      </c>
      <c r="AZ1" s="6" t="s">
        <v>89</v>
      </c>
      <c r="BA1" s="6" t="s">
        <v>90</v>
      </c>
      <c r="BB1" s="6" t="s">
        <v>91</v>
      </c>
      <c r="BC1" s="6" t="s">
        <v>92</v>
      </c>
      <c r="BD1" s="6" t="s">
        <v>93</v>
      </c>
      <c r="BE1" s="6" t="s">
        <v>94</v>
      </c>
      <c r="BF1" s="6" t="s">
        <v>95</v>
      </c>
    </row>
    <row r="2" spans="1:58">
      <c r="E2" s="4"/>
    </row>
    <row r="3" spans="1:58">
      <c r="E3" s="4"/>
    </row>
    <row r="4" spans="1:58">
      <c r="E4" s="4"/>
    </row>
    <row r="5" spans="1:58">
      <c r="E5" s="4"/>
    </row>
    <row r="6" spans="1:58">
      <c r="E6" s="4"/>
    </row>
    <row r="7" spans="1:58">
      <c r="E7" s="4"/>
    </row>
    <row r="8" spans="1:58">
      <c r="E8" s="4"/>
    </row>
    <row r="9" spans="1:58">
      <c r="E9" s="4"/>
    </row>
    <row r="10" spans="1:58">
      <c r="E10" s="4"/>
    </row>
    <row r="11" spans="1:58">
      <c r="E11" s="4"/>
    </row>
    <row r="12" spans="1:58">
      <c r="A12" s="23">
        <f>G14*H14</f>
        <v>105</v>
      </c>
      <c r="B12" s="23"/>
      <c r="C12" s="23"/>
      <c r="D12" s="9"/>
      <c r="E12" s="4"/>
    </row>
    <row r="13" spans="1:58">
      <c r="A13" s="23"/>
      <c r="B13" s="23">
        <f>QUOTIENT( D13-1,G14)+1</f>
        <v>1</v>
      </c>
      <c r="C13" s="23">
        <f>D13-(B13-1)*G14</f>
        <v>1</v>
      </c>
      <c r="D13" s="23">
        <f>COUNT($D12:$D$12)+1</f>
        <v>1</v>
      </c>
      <c r="E13" s="4"/>
    </row>
    <row r="14" spans="1:58">
      <c r="A14" s="9"/>
      <c r="B14" s="9"/>
      <c r="C14" s="9"/>
      <c r="D14" s="9"/>
      <c r="E14" s="4">
        <f t="shared" ref="E14:E27" si="0">ROW(E14)</f>
        <v>14</v>
      </c>
      <c r="F14" s="9" t="s">
        <v>96</v>
      </c>
      <c r="G14" s="9" t="s">
        <v>246</v>
      </c>
      <c r="H14" s="9" t="s">
        <v>283</v>
      </c>
      <c r="J14" s="9" t="s">
        <v>248</v>
      </c>
      <c r="O14" s="23">
        <f>J14+D13</f>
        <v>10001</v>
      </c>
    </row>
    <row r="15" spans="1:58">
      <c r="E15" s="4">
        <f t="shared" si="0"/>
        <v>15</v>
      </c>
      <c r="F15" s="9" t="s">
        <v>165</v>
      </c>
      <c r="G15" s="9" t="s">
        <v>281</v>
      </c>
      <c r="H15" s="9" t="s">
        <v>250</v>
      </c>
      <c r="O15" s="23">
        <f>G15+B13*H15</f>
        <v>515</v>
      </c>
    </row>
    <row r="16" spans="1:58">
      <c r="E16" s="4">
        <f t="shared" si="0"/>
        <v>16</v>
      </c>
      <c r="F16" s="9" t="s">
        <v>35</v>
      </c>
      <c r="O16" s="23" t="s">
        <v>251</v>
      </c>
    </row>
    <row r="17" spans="5:15">
      <c r="E17" s="4">
        <f t="shared" si="0"/>
        <v>17</v>
      </c>
      <c r="F17" s="9" t="s">
        <v>29</v>
      </c>
      <c r="O17" s="23" t="s">
        <v>157</v>
      </c>
    </row>
    <row r="18" spans="5:15">
      <c r="E18" s="4">
        <f t="shared" si="0"/>
        <v>18</v>
      </c>
      <c r="F18" s="9" t="s">
        <v>151</v>
      </c>
      <c r="O18" s="23" t="s">
        <v>158</v>
      </c>
    </row>
    <row r="19" spans="5:15">
      <c r="E19" s="4">
        <f t="shared" si="0"/>
        <v>19</v>
      </c>
      <c r="F19" s="9" t="s">
        <v>117</v>
      </c>
      <c r="G19" s="9" t="s">
        <v>152</v>
      </c>
      <c r="H19" s="9" t="s">
        <v>154</v>
      </c>
      <c r="I19" s="9" t="s">
        <v>155</v>
      </c>
      <c r="J19" s="9" t="s">
        <v>153</v>
      </c>
      <c r="L19" s="9" t="s">
        <v>138</v>
      </c>
      <c r="O19" s="23">
        <f ca="1">IF(MOD(D13,2)=0,RANDBETWEEN($I$19,$J$19),RANDBETWEEN($G$19,$H$19))</f>
        <v>-103</v>
      </c>
    </row>
    <row r="20" spans="5:15">
      <c r="E20" s="4">
        <f t="shared" si="0"/>
        <v>20</v>
      </c>
      <c r="F20" s="9" t="s">
        <v>30</v>
      </c>
      <c r="O20" s="23" t="s">
        <v>33</v>
      </c>
    </row>
    <row r="21" spans="5:15">
      <c r="E21" s="4">
        <f t="shared" si="0"/>
        <v>21</v>
      </c>
      <c r="F21" s="9" t="s">
        <v>119</v>
      </c>
      <c r="G21" s="9" t="s">
        <v>160</v>
      </c>
      <c r="H21" s="9" t="s">
        <v>161</v>
      </c>
      <c r="I21" s="9" t="s">
        <v>159</v>
      </c>
      <c r="O21" s="24">
        <f ca="1">RANDBETWEEN($G$21*$I$21,$H$21*$I$21)/$I$21</f>
        <v>-7.2</v>
      </c>
    </row>
    <row r="22" spans="5:15">
      <c r="E22" s="4">
        <f t="shared" si="0"/>
        <v>22</v>
      </c>
      <c r="F22" s="9" t="s">
        <v>112</v>
      </c>
      <c r="O22" s="23">
        <v>0</v>
      </c>
    </row>
    <row r="23" spans="5:15">
      <c r="E23" s="4">
        <f t="shared" si="0"/>
        <v>23</v>
      </c>
      <c r="F23" s="9" t="s">
        <v>102</v>
      </c>
      <c r="G23" s="9" t="s">
        <v>163</v>
      </c>
      <c r="H23" s="9" t="s">
        <v>162</v>
      </c>
      <c r="I23" s="9" t="s">
        <v>45</v>
      </c>
      <c r="J23" s="9" t="s">
        <v>146</v>
      </c>
      <c r="K23" s="9" t="s">
        <v>140</v>
      </c>
      <c r="O23" s="23" t="str">
        <f ca="1">CONCATENATE(RANDBETWEEN($G$23*$I$23,$H$23*$I$23)/$I$23,$J$23)</f>
        <v>-1.3,6</v>
      </c>
    </row>
    <row r="24" spans="5:15">
      <c r="E24" s="4">
        <f t="shared" si="0"/>
        <v>24</v>
      </c>
      <c r="F24" s="9" t="s">
        <v>31</v>
      </c>
      <c r="L24" s="9" t="s">
        <v>148</v>
      </c>
    </row>
    <row r="25" spans="5:15">
      <c r="E25" s="4">
        <f t="shared" si="0"/>
        <v>25</v>
      </c>
      <c r="F25" s="9" t="s">
        <v>136</v>
      </c>
      <c r="L25" s="9" t="s">
        <v>149</v>
      </c>
    </row>
    <row r="26" spans="5:15">
      <c r="E26" s="4">
        <f t="shared" si="0"/>
        <v>26</v>
      </c>
      <c r="F26" s="9" t="s">
        <v>147</v>
      </c>
      <c r="K26" s="9" t="s">
        <v>141</v>
      </c>
      <c r="O26" s="23">
        <v>1</v>
      </c>
    </row>
    <row r="27" spans="5:15">
      <c r="E27" s="4">
        <f t="shared" si="0"/>
        <v>27</v>
      </c>
      <c r="F27" s="9" t="s">
        <v>147</v>
      </c>
      <c r="G27" s="9" t="s">
        <v>100</v>
      </c>
      <c r="H27" s="9" t="s">
        <v>24</v>
      </c>
      <c r="I27" s="9" t="s">
        <v>159</v>
      </c>
      <c r="J27" s="9" t="s">
        <v>164</v>
      </c>
      <c r="K27" s="9" t="s">
        <v>140</v>
      </c>
      <c r="O27" s="23" t="str">
        <f ca="1">CONCATENATE(RANDBETWEEN($G$27*$I$27,$H$27*$I$27)/$I$27,$J$27)</f>
        <v>-5.7,-4.5</v>
      </c>
    </row>
    <row r="28" spans="5:15">
      <c r="E28" s="4">
        <f>ROW(E28)</f>
        <v>28</v>
      </c>
      <c r="F28" s="9" t="s">
        <v>105</v>
      </c>
      <c r="O28" s="23">
        <f>O14*10+1</f>
        <v>100011</v>
      </c>
    </row>
    <row r="29" spans="5:15">
      <c r="E29" s="4">
        <f>ROW(E29)</f>
        <v>29</v>
      </c>
      <c r="F29" s="9" t="s">
        <v>156</v>
      </c>
      <c r="O29" s="23">
        <f>O14</f>
        <v>10001</v>
      </c>
    </row>
    <row r="30" spans="5:15">
      <c r="E30" s="4">
        <f>ROW(E30)</f>
        <v>30</v>
      </c>
      <c r="F30" s="9" t="s">
        <v>131</v>
      </c>
      <c r="O30" s="23">
        <v>0</v>
      </c>
    </row>
    <row r="31" spans="5:15">
      <c r="E31" s="4">
        <f t="shared" ref="E31" si="1">ROW(E31)</f>
        <v>31</v>
      </c>
      <c r="F31" s="9" t="s">
        <v>35</v>
      </c>
      <c r="O31" s="23" t="s">
        <v>252</v>
      </c>
    </row>
    <row r="32" spans="5:15">
      <c r="E32" s="4">
        <f>ROW(E32)</f>
        <v>32</v>
      </c>
      <c r="F32" s="9" t="s">
        <v>119</v>
      </c>
      <c r="O32" s="23" t="s">
        <v>22</v>
      </c>
    </row>
    <row r="33" spans="1:15">
      <c r="E33" s="4">
        <f>ROW(E33)</f>
        <v>33</v>
      </c>
      <c r="F33" s="9" t="s">
        <v>117</v>
      </c>
      <c r="L33" s="9" t="s">
        <v>138</v>
      </c>
      <c r="O33" s="23">
        <f ca="1">O19</f>
        <v>-103</v>
      </c>
    </row>
    <row r="34" spans="1:15">
      <c r="B34" s="22">
        <f t="shared" ref="B34:B97" si="2">QUOTIENT( D34-1,G35)+1</f>
        <v>1</v>
      </c>
      <c r="C34" s="22">
        <f t="shared" ref="C34" si="3">D34-(B34-1)*G35</f>
        <v>2</v>
      </c>
      <c r="D34" s="22">
        <f>COUNT($D$12:$D33)+1</f>
        <v>2</v>
      </c>
      <c r="E34" s="4"/>
    </row>
    <row r="35" spans="1:15">
      <c r="E35" s="4">
        <f t="shared" ref="E35:E98" si="4">ROW(E35)</f>
        <v>35</v>
      </c>
      <c r="F35" s="9" t="s">
        <v>96</v>
      </c>
      <c r="G35" s="9" t="s">
        <v>38</v>
      </c>
      <c r="H35" s="9" t="s">
        <v>282</v>
      </c>
      <c r="J35" s="9" t="s">
        <v>247</v>
      </c>
      <c r="O35" s="23">
        <f t="shared" ref="O35:O98" si="5">J35+D34</f>
        <v>10002</v>
      </c>
    </row>
    <row r="36" spans="1:15">
      <c r="A36" s="9"/>
      <c r="B36" s="9"/>
      <c r="C36" s="9"/>
      <c r="D36" s="9"/>
      <c r="E36" s="4">
        <f t="shared" si="4"/>
        <v>36</v>
      </c>
      <c r="F36" s="9" t="s">
        <v>165</v>
      </c>
      <c r="G36" s="9" t="s">
        <v>280</v>
      </c>
      <c r="H36" s="9" t="s">
        <v>249</v>
      </c>
      <c r="O36" s="23">
        <f t="shared" ref="O36" si="6">G36+B34*H36</f>
        <v>515</v>
      </c>
    </row>
    <row r="37" spans="1:15">
      <c r="E37" s="4">
        <f t="shared" si="4"/>
        <v>37</v>
      </c>
      <c r="F37" s="9" t="s">
        <v>35</v>
      </c>
      <c r="O37" s="23" t="s">
        <v>251</v>
      </c>
    </row>
    <row r="38" spans="1:15">
      <c r="E38" s="4">
        <f t="shared" si="4"/>
        <v>38</v>
      </c>
      <c r="F38" s="9" t="s">
        <v>29</v>
      </c>
      <c r="O38" s="23" t="s">
        <v>157</v>
      </c>
    </row>
    <row r="39" spans="1:15">
      <c r="E39" s="4">
        <f t="shared" si="4"/>
        <v>39</v>
      </c>
      <c r="F39" s="9" t="s">
        <v>122</v>
      </c>
      <c r="O39" s="23" t="s">
        <v>158</v>
      </c>
    </row>
    <row r="40" spans="1:15">
      <c r="E40" s="4">
        <f t="shared" si="4"/>
        <v>40</v>
      </c>
      <c r="F40" s="9" t="s">
        <v>117</v>
      </c>
      <c r="G40" s="9" t="s">
        <v>253</v>
      </c>
      <c r="H40" s="9" t="s">
        <v>254</v>
      </c>
      <c r="I40" s="9" t="s">
        <v>255</v>
      </c>
      <c r="J40" s="9" t="s">
        <v>256</v>
      </c>
      <c r="L40" s="9" t="s">
        <v>138</v>
      </c>
      <c r="O40" s="23">
        <f t="shared" ref="O40" ca="1" si="7">IF(MOD(D34,2)=0,RANDBETWEEN($I$19,$J$19),RANDBETWEEN($G$19,$H$19))</f>
        <v>94</v>
      </c>
    </row>
    <row r="41" spans="1:15">
      <c r="E41" s="4">
        <f t="shared" si="4"/>
        <v>41</v>
      </c>
      <c r="F41" s="9" t="s">
        <v>30</v>
      </c>
      <c r="O41" s="23" t="s">
        <v>33</v>
      </c>
    </row>
    <row r="42" spans="1:15">
      <c r="E42" s="4">
        <f t="shared" si="4"/>
        <v>42</v>
      </c>
      <c r="F42" s="9" t="s">
        <v>119</v>
      </c>
      <c r="G42" s="9" t="s">
        <v>257</v>
      </c>
      <c r="H42" s="9" t="s">
        <v>258</v>
      </c>
      <c r="I42" s="9" t="s">
        <v>34</v>
      </c>
      <c r="O42" s="23">
        <f t="shared" ref="O42:O105" ca="1" si="8">RANDBETWEEN($G$21*$I$21,$H$21*$I$21)/$I$21</f>
        <v>-9.4</v>
      </c>
    </row>
    <row r="43" spans="1:15">
      <c r="E43" s="4">
        <f t="shared" si="4"/>
        <v>43</v>
      </c>
      <c r="F43" s="9" t="s">
        <v>112</v>
      </c>
      <c r="O43" s="23">
        <v>0</v>
      </c>
    </row>
    <row r="44" spans="1:15">
      <c r="E44" s="4">
        <f t="shared" si="4"/>
        <v>44</v>
      </c>
      <c r="F44" s="9" t="s">
        <v>102</v>
      </c>
      <c r="G44" s="9" t="s">
        <v>259</v>
      </c>
      <c r="H44" s="9" t="s">
        <v>260</v>
      </c>
      <c r="I44" s="9" t="s">
        <v>34</v>
      </c>
      <c r="J44" s="9" t="s">
        <v>261</v>
      </c>
      <c r="K44" s="9" t="s">
        <v>140</v>
      </c>
      <c r="O44" s="23" t="str">
        <f t="shared" ref="O44:O107" ca="1" si="9">CONCATENATE(RANDBETWEEN($G$23*$I$23,$H$23*$I$23)/$I$23,$J$23)</f>
        <v>-4.1,6</v>
      </c>
    </row>
    <row r="45" spans="1:15">
      <c r="E45" s="4">
        <f t="shared" si="4"/>
        <v>45</v>
      </c>
      <c r="F45" s="9" t="s">
        <v>31</v>
      </c>
      <c r="L45" s="9" t="s">
        <v>148</v>
      </c>
    </row>
    <row r="46" spans="1:15">
      <c r="E46" s="4">
        <f t="shared" si="4"/>
        <v>46</v>
      </c>
      <c r="F46" s="9" t="s">
        <v>136</v>
      </c>
      <c r="L46" s="9" t="s">
        <v>149</v>
      </c>
    </row>
    <row r="47" spans="1:15">
      <c r="E47" s="4">
        <f t="shared" si="4"/>
        <v>47</v>
      </c>
      <c r="F47" s="9" t="s">
        <v>137</v>
      </c>
      <c r="K47" s="9" t="s">
        <v>141</v>
      </c>
      <c r="O47" s="23">
        <v>1</v>
      </c>
    </row>
    <row r="48" spans="1:15">
      <c r="E48" s="4">
        <f t="shared" si="4"/>
        <v>48</v>
      </c>
      <c r="F48" s="9" t="s">
        <v>137</v>
      </c>
      <c r="G48" s="9" t="s">
        <v>262</v>
      </c>
      <c r="H48" s="9" t="s">
        <v>32</v>
      </c>
      <c r="I48" s="9" t="s">
        <v>34</v>
      </c>
      <c r="J48" s="9" t="s">
        <v>263</v>
      </c>
      <c r="K48" s="9" t="s">
        <v>140</v>
      </c>
      <c r="O48" s="23" t="str">
        <f t="shared" ref="O48:O111" ca="1" si="10">CONCATENATE(RANDBETWEEN($G$27*$I$27,$H$27*$I$27)/$I$27,$J$27)</f>
        <v>0.4,-4.5</v>
      </c>
    </row>
    <row r="49" spans="1:15">
      <c r="E49" s="4">
        <f t="shared" si="4"/>
        <v>49</v>
      </c>
      <c r="F49" s="9" t="s">
        <v>105</v>
      </c>
      <c r="O49" s="23">
        <f t="shared" ref="O49" si="11">O35*10+1</f>
        <v>100021</v>
      </c>
    </row>
    <row r="50" spans="1:15">
      <c r="E50" s="4">
        <f t="shared" si="4"/>
        <v>50</v>
      </c>
      <c r="F50" s="9" t="s">
        <v>156</v>
      </c>
      <c r="O50" s="23">
        <f t="shared" ref="O50" si="12">O35</f>
        <v>10002</v>
      </c>
    </row>
    <row r="51" spans="1:15">
      <c r="E51" s="4">
        <f t="shared" si="4"/>
        <v>51</v>
      </c>
      <c r="F51" s="9" t="s">
        <v>131</v>
      </c>
      <c r="O51" s="23">
        <v>0</v>
      </c>
    </row>
    <row r="52" spans="1:15">
      <c r="E52" s="4">
        <f t="shared" si="4"/>
        <v>52</v>
      </c>
      <c r="F52" s="9" t="s">
        <v>35</v>
      </c>
      <c r="O52" s="23" t="s">
        <v>252</v>
      </c>
    </row>
    <row r="53" spans="1:15">
      <c r="E53" s="4">
        <f t="shared" si="4"/>
        <v>53</v>
      </c>
      <c r="F53" s="9" t="s">
        <v>119</v>
      </c>
      <c r="O53" s="23" t="s">
        <v>22</v>
      </c>
    </row>
    <row r="54" spans="1:15">
      <c r="E54" s="4">
        <f t="shared" si="4"/>
        <v>54</v>
      </c>
      <c r="F54" s="9" t="s">
        <v>117</v>
      </c>
      <c r="L54" s="9" t="s">
        <v>138</v>
      </c>
      <c r="O54" s="23">
        <f t="shared" ref="O54" ca="1" si="13">O40</f>
        <v>94</v>
      </c>
    </row>
    <row r="55" spans="1:15">
      <c r="B55" s="22">
        <f t="shared" ref="B55:B118" si="14">QUOTIENT( D55-1,G56)+1</f>
        <v>1</v>
      </c>
      <c r="C55" s="22">
        <f t="shared" ref="C55" si="15">D55-(B55-1)*G56</f>
        <v>3</v>
      </c>
      <c r="D55" s="22">
        <f>COUNT($D$12:$D54)+1</f>
        <v>3</v>
      </c>
      <c r="E55" s="4"/>
    </row>
    <row r="56" spans="1:15">
      <c r="E56" s="4">
        <f t="shared" si="4"/>
        <v>56</v>
      </c>
      <c r="F56" s="9" t="s">
        <v>96</v>
      </c>
      <c r="G56" s="9" t="s">
        <v>38</v>
      </c>
      <c r="H56" s="9" t="s">
        <v>282</v>
      </c>
      <c r="J56" s="9" t="s">
        <v>247</v>
      </c>
      <c r="O56" s="23">
        <f t="shared" ref="O56:O119" si="16">J56+D55</f>
        <v>10003</v>
      </c>
    </row>
    <row r="57" spans="1:15">
      <c r="E57" s="4">
        <f t="shared" si="4"/>
        <v>57</v>
      </c>
      <c r="F57" s="9" t="s">
        <v>165</v>
      </c>
      <c r="G57" s="9" t="s">
        <v>280</v>
      </c>
      <c r="H57" s="9" t="s">
        <v>249</v>
      </c>
      <c r="O57" s="23">
        <f t="shared" ref="O57" si="17">G57+B55*H57</f>
        <v>515</v>
      </c>
    </row>
    <row r="58" spans="1:15">
      <c r="A58" s="9"/>
      <c r="B58" s="9"/>
      <c r="C58" s="9"/>
      <c r="D58" s="9"/>
      <c r="E58" s="4">
        <f t="shared" si="4"/>
        <v>58</v>
      </c>
      <c r="F58" s="9" t="s">
        <v>35</v>
      </c>
      <c r="O58" s="23" t="s">
        <v>251</v>
      </c>
    </row>
    <row r="59" spans="1:15">
      <c r="E59" s="4">
        <f t="shared" si="4"/>
        <v>59</v>
      </c>
      <c r="F59" s="9" t="s">
        <v>29</v>
      </c>
      <c r="O59" s="23" t="s">
        <v>157</v>
      </c>
    </row>
    <row r="60" spans="1:15">
      <c r="E60" s="4">
        <f t="shared" si="4"/>
        <v>60</v>
      </c>
      <c r="F60" s="9" t="s">
        <v>122</v>
      </c>
      <c r="O60" s="23" t="s">
        <v>158</v>
      </c>
    </row>
    <row r="61" spans="1:15">
      <c r="E61" s="4">
        <f t="shared" si="4"/>
        <v>61</v>
      </c>
      <c r="F61" s="9" t="s">
        <v>117</v>
      </c>
      <c r="G61" s="9" t="s">
        <v>253</v>
      </c>
      <c r="H61" s="9" t="s">
        <v>254</v>
      </c>
      <c r="I61" s="9" t="s">
        <v>255</v>
      </c>
      <c r="J61" s="9" t="s">
        <v>256</v>
      </c>
      <c r="L61" s="9" t="s">
        <v>138</v>
      </c>
      <c r="O61" s="23">
        <f t="shared" ref="O61" ca="1" si="18">IF(MOD(D55,2)=0,RANDBETWEEN($I$19,$J$19),RANDBETWEEN($G$19,$H$19))</f>
        <v>-82</v>
      </c>
    </row>
    <row r="62" spans="1:15">
      <c r="E62" s="4">
        <f t="shared" si="4"/>
        <v>62</v>
      </c>
      <c r="F62" s="9" t="s">
        <v>30</v>
      </c>
      <c r="O62" s="23" t="s">
        <v>33</v>
      </c>
    </row>
    <row r="63" spans="1:15">
      <c r="E63" s="4">
        <f t="shared" si="4"/>
        <v>63</v>
      </c>
      <c r="F63" s="9" t="s">
        <v>119</v>
      </c>
      <c r="G63" s="9" t="s">
        <v>257</v>
      </c>
      <c r="H63" s="9" t="s">
        <v>258</v>
      </c>
      <c r="I63" s="9" t="s">
        <v>34</v>
      </c>
      <c r="O63" s="23">
        <f t="shared" ref="O63:O126" ca="1" si="19">RANDBETWEEN($G$21*$I$21,$H$21*$I$21)/$I$21</f>
        <v>-4.9000000000000004</v>
      </c>
    </row>
    <row r="64" spans="1:15">
      <c r="E64" s="4">
        <f t="shared" si="4"/>
        <v>64</v>
      </c>
      <c r="F64" s="9" t="s">
        <v>112</v>
      </c>
      <c r="O64" s="23">
        <v>0</v>
      </c>
    </row>
    <row r="65" spans="1:15">
      <c r="E65" s="4">
        <f t="shared" si="4"/>
        <v>65</v>
      </c>
      <c r="F65" s="9" t="s">
        <v>102</v>
      </c>
      <c r="G65" s="9" t="s">
        <v>259</v>
      </c>
      <c r="H65" s="9" t="s">
        <v>260</v>
      </c>
      <c r="I65" s="9" t="s">
        <v>34</v>
      </c>
      <c r="J65" s="9" t="s">
        <v>261</v>
      </c>
      <c r="K65" s="9" t="s">
        <v>140</v>
      </c>
      <c r="O65" s="23" t="str">
        <f t="shared" ref="O65:O128" ca="1" si="20">CONCATENATE(RANDBETWEEN($G$23*$I$23,$H$23*$I$23)/$I$23,$J$23)</f>
        <v>4.5,6</v>
      </c>
    </row>
    <row r="66" spans="1:15">
      <c r="E66" s="4">
        <f t="shared" si="4"/>
        <v>66</v>
      </c>
      <c r="F66" s="9" t="s">
        <v>31</v>
      </c>
      <c r="L66" s="9" t="s">
        <v>148</v>
      </c>
    </row>
    <row r="67" spans="1:15">
      <c r="E67" s="4">
        <f t="shared" si="4"/>
        <v>67</v>
      </c>
      <c r="F67" s="9" t="s">
        <v>136</v>
      </c>
      <c r="L67" s="9" t="s">
        <v>149</v>
      </c>
    </row>
    <row r="68" spans="1:15">
      <c r="E68" s="4">
        <f t="shared" si="4"/>
        <v>68</v>
      </c>
      <c r="F68" s="9" t="s">
        <v>137</v>
      </c>
      <c r="K68" s="9" t="s">
        <v>141</v>
      </c>
      <c r="O68" s="23">
        <v>1</v>
      </c>
    </row>
    <row r="69" spans="1:15">
      <c r="E69" s="4">
        <f t="shared" si="4"/>
        <v>69</v>
      </c>
      <c r="F69" s="9" t="s">
        <v>137</v>
      </c>
      <c r="G69" s="9" t="s">
        <v>262</v>
      </c>
      <c r="H69" s="9" t="s">
        <v>32</v>
      </c>
      <c r="I69" s="9" t="s">
        <v>34</v>
      </c>
      <c r="J69" s="9" t="s">
        <v>263</v>
      </c>
      <c r="K69" s="9" t="s">
        <v>140</v>
      </c>
      <c r="O69" s="23" t="str">
        <f t="shared" ref="O69:O132" ca="1" si="21">CONCATENATE(RANDBETWEEN($G$27*$I$27,$H$27*$I$27)/$I$27,$J$27)</f>
        <v>5.8,-4.5</v>
      </c>
    </row>
    <row r="70" spans="1:15">
      <c r="E70" s="4">
        <f t="shared" si="4"/>
        <v>70</v>
      </c>
      <c r="F70" s="9" t="s">
        <v>105</v>
      </c>
      <c r="O70" s="23">
        <f t="shared" ref="O70" si="22">O56*10+1</f>
        <v>100031</v>
      </c>
    </row>
    <row r="71" spans="1:15">
      <c r="E71" s="4">
        <f t="shared" si="4"/>
        <v>71</v>
      </c>
      <c r="F71" s="9" t="s">
        <v>156</v>
      </c>
      <c r="O71" s="23">
        <f t="shared" ref="O71" si="23">O56</f>
        <v>10003</v>
      </c>
    </row>
    <row r="72" spans="1:15">
      <c r="E72" s="4">
        <f t="shared" si="4"/>
        <v>72</v>
      </c>
      <c r="F72" s="9" t="s">
        <v>131</v>
      </c>
      <c r="O72" s="23">
        <v>0</v>
      </c>
    </row>
    <row r="73" spans="1:15">
      <c r="E73" s="4">
        <f t="shared" si="4"/>
        <v>73</v>
      </c>
      <c r="F73" s="9" t="s">
        <v>35</v>
      </c>
      <c r="O73" s="23" t="s">
        <v>252</v>
      </c>
    </row>
    <row r="74" spans="1:15">
      <c r="E74" s="4">
        <f t="shared" si="4"/>
        <v>74</v>
      </c>
      <c r="F74" s="9" t="s">
        <v>119</v>
      </c>
      <c r="O74" s="23" t="s">
        <v>22</v>
      </c>
    </row>
    <row r="75" spans="1:15">
      <c r="E75" s="4">
        <f t="shared" si="4"/>
        <v>75</v>
      </c>
      <c r="F75" s="9" t="s">
        <v>117</v>
      </c>
      <c r="L75" s="9" t="s">
        <v>138</v>
      </c>
      <c r="O75" s="23">
        <f t="shared" ref="O75" ca="1" si="24">O61</f>
        <v>-82</v>
      </c>
    </row>
    <row r="76" spans="1:15">
      <c r="B76" s="22">
        <f t="shared" ref="B76:B139" si="25">QUOTIENT( D76-1,G77)+1</f>
        <v>2</v>
      </c>
      <c r="C76" s="22">
        <f t="shared" ref="C76" si="26">D76-(B76-1)*G77</f>
        <v>1</v>
      </c>
      <c r="D76" s="22">
        <f>COUNT($D$12:$D75)+1</f>
        <v>4</v>
      </c>
      <c r="E76" s="4"/>
    </row>
    <row r="77" spans="1:15">
      <c r="E77" s="4">
        <f t="shared" si="4"/>
        <v>77</v>
      </c>
      <c r="F77" s="9" t="s">
        <v>96</v>
      </c>
      <c r="G77" s="9" t="s">
        <v>38</v>
      </c>
      <c r="H77" s="9" t="s">
        <v>282</v>
      </c>
      <c r="J77" s="9" t="s">
        <v>247</v>
      </c>
      <c r="O77" s="23">
        <f t="shared" ref="O77:O140" si="27">J77+D76</f>
        <v>10004</v>
      </c>
    </row>
    <row r="78" spans="1:15">
      <c r="E78" s="4">
        <f t="shared" si="4"/>
        <v>78</v>
      </c>
      <c r="F78" s="9" t="s">
        <v>165</v>
      </c>
      <c r="G78" s="9" t="s">
        <v>280</v>
      </c>
      <c r="H78" s="9" t="s">
        <v>249</v>
      </c>
      <c r="O78" s="23">
        <f t="shared" ref="O78" si="28">G78+B76*H78</f>
        <v>530</v>
      </c>
    </row>
    <row r="79" spans="1:15">
      <c r="E79" s="4">
        <f t="shared" si="4"/>
        <v>79</v>
      </c>
      <c r="F79" s="9" t="s">
        <v>35</v>
      </c>
      <c r="O79" s="23" t="s">
        <v>251</v>
      </c>
    </row>
    <row r="80" spans="1:15">
      <c r="A80" s="9"/>
      <c r="B80" s="9"/>
      <c r="C80" s="9"/>
      <c r="D80" s="9"/>
      <c r="E80" s="4">
        <f t="shared" si="4"/>
        <v>80</v>
      </c>
      <c r="F80" s="9" t="s">
        <v>29</v>
      </c>
      <c r="O80" s="23" t="s">
        <v>157</v>
      </c>
    </row>
    <row r="81" spans="5:15">
      <c r="E81" s="4">
        <f t="shared" si="4"/>
        <v>81</v>
      </c>
      <c r="F81" s="9" t="s">
        <v>122</v>
      </c>
      <c r="O81" s="23" t="s">
        <v>158</v>
      </c>
    </row>
    <row r="82" spans="5:15">
      <c r="E82" s="4">
        <f t="shared" si="4"/>
        <v>82</v>
      </c>
      <c r="F82" s="9" t="s">
        <v>117</v>
      </c>
      <c r="G82" s="9" t="s">
        <v>253</v>
      </c>
      <c r="H82" s="9" t="s">
        <v>254</v>
      </c>
      <c r="I82" s="9" t="s">
        <v>255</v>
      </c>
      <c r="J82" s="9" t="s">
        <v>256</v>
      </c>
      <c r="L82" s="9" t="s">
        <v>138</v>
      </c>
      <c r="O82" s="23">
        <f t="shared" ref="O82" ca="1" si="29">IF(MOD(D76,2)=0,RANDBETWEEN($I$19,$J$19),RANDBETWEEN($G$19,$H$19))</f>
        <v>111</v>
      </c>
    </row>
    <row r="83" spans="5:15">
      <c r="E83" s="4">
        <f t="shared" si="4"/>
        <v>83</v>
      </c>
      <c r="F83" s="9" t="s">
        <v>30</v>
      </c>
      <c r="O83" s="23" t="s">
        <v>33</v>
      </c>
    </row>
    <row r="84" spans="5:15">
      <c r="E84" s="4">
        <f t="shared" si="4"/>
        <v>84</v>
      </c>
      <c r="F84" s="9" t="s">
        <v>119</v>
      </c>
      <c r="G84" s="9" t="s">
        <v>257</v>
      </c>
      <c r="H84" s="9" t="s">
        <v>258</v>
      </c>
      <c r="I84" s="9" t="s">
        <v>34</v>
      </c>
      <c r="O84" s="23">
        <f t="shared" ref="O84:O147" ca="1" si="30">RANDBETWEEN($G$21*$I$21,$H$21*$I$21)/$I$21</f>
        <v>-9.4</v>
      </c>
    </row>
    <row r="85" spans="5:15">
      <c r="E85" s="4">
        <f t="shared" si="4"/>
        <v>85</v>
      </c>
      <c r="F85" s="9" t="s">
        <v>112</v>
      </c>
      <c r="O85" s="23">
        <v>0</v>
      </c>
    </row>
    <row r="86" spans="5:15">
      <c r="E86" s="4">
        <f t="shared" si="4"/>
        <v>86</v>
      </c>
      <c r="F86" s="9" t="s">
        <v>102</v>
      </c>
      <c r="G86" s="9" t="s">
        <v>259</v>
      </c>
      <c r="H86" s="9" t="s">
        <v>260</v>
      </c>
      <c r="I86" s="9" t="s">
        <v>34</v>
      </c>
      <c r="J86" s="9" t="s">
        <v>261</v>
      </c>
      <c r="K86" s="9" t="s">
        <v>140</v>
      </c>
      <c r="O86" s="23" t="str">
        <f t="shared" ref="O86:O149" ca="1" si="31">CONCATENATE(RANDBETWEEN($G$23*$I$23,$H$23*$I$23)/$I$23,$J$23)</f>
        <v>0.9,6</v>
      </c>
    </row>
    <row r="87" spans="5:15">
      <c r="E87" s="4">
        <f t="shared" si="4"/>
        <v>87</v>
      </c>
      <c r="F87" s="9" t="s">
        <v>31</v>
      </c>
      <c r="L87" s="9" t="s">
        <v>148</v>
      </c>
    </row>
    <row r="88" spans="5:15">
      <c r="E88" s="4">
        <f t="shared" si="4"/>
        <v>88</v>
      </c>
      <c r="F88" s="9" t="s">
        <v>136</v>
      </c>
      <c r="L88" s="9" t="s">
        <v>149</v>
      </c>
    </row>
    <row r="89" spans="5:15">
      <c r="E89" s="4">
        <f t="shared" si="4"/>
        <v>89</v>
      </c>
      <c r="F89" s="9" t="s">
        <v>137</v>
      </c>
      <c r="K89" s="9" t="s">
        <v>141</v>
      </c>
      <c r="O89" s="23">
        <v>1</v>
      </c>
    </row>
    <row r="90" spans="5:15">
      <c r="E90" s="4">
        <f t="shared" si="4"/>
        <v>90</v>
      </c>
      <c r="F90" s="9" t="s">
        <v>137</v>
      </c>
      <c r="G90" s="9" t="s">
        <v>262</v>
      </c>
      <c r="H90" s="9" t="s">
        <v>32</v>
      </c>
      <c r="I90" s="9" t="s">
        <v>34</v>
      </c>
      <c r="J90" s="9" t="s">
        <v>263</v>
      </c>
      <c r="K90" s="9" t="s">
        <v>140</v>
      </c>
      <c r="O90" s="23" t="str">
        <f t="shared" ref="O90:O153" ca="1" si="32">CONCATENATE(RANDBETWEEN($G$27*$I$27,$H$27*$I$27)/$I$27,$J$27)</f>
        <v>-3.2,-4.5</v>
      </c>
    </row>
    <row r="91" spans="5:15">
      <c r="E91" s="4">
        <f t="shared" si="4"/>
        <v>91</v>
      </c>
      <c r="F91" s="9" t="s">
        <v>105</v>
      </c>
      <c r="O91" s="23">
        <f t="shared" ref="O91" si="33">O77*10+1</f>
        <v>100041</v>
      </c>
    </row>
    <row r="92" spans="5:15">
      <c r="E92" s="4">
        <f t="shared" si="4"/>
        <v>92</v>
      </c>
      <c r="F92" s="9" t="s">
        <v>156</v>
      </c>
      <c r="O92" s="23">
        <f t="shared" ref="O92" si="34">O77</f>
        <v>10004</v>
      </c>
    </row>
    <row r="93" spans="5:15">
      <c r="E93" s="4">
        <f t="shared" si="4"/>
        <v>93</v>
      </c>
      <c r="F93" s="9" t="s">
        <v>131</v>
      </c>
      <c r="O93" s="23">
        <v>0</v>
      </c>
    </row>
    <row r="94" spans="5:15">
      <c r="E94" s="4">
        <f t="shared" si="4"/>
        <v>94</v>
      </c>
      <c r="F94" s="9" t="s">
        <v>35</v>
      </c>
      <c r="O94" s="23" t="s">
        <v>252</v>
      </c>
    </row>
    <row r="95" spans="5:15">
      <c r="E95" s="4">
        <f t="shared" si="4"/>
        <v>95</v>
      </c>
      <c r="F95" s="9" t="s">
        <v>119</v>
      </c>
      <c r="O95" s="23" t="s">
        <v>22</v>
      </c>
    </row>
    <row r="96" spans="5:15">
      <c r="E96" s="4">
        <f t="shared" si="4"/>
        <v>96</v>
      </c>
      <c r="F96" s="9" t="s">
        <v>117</v>
      </c>
      <c r="L96" s="9" t="s">
        <v>138</v>
      </c>
      <c r="O96" s="23">
        <f t="shared" ref="O96" ca="1" si="35">O82</f>
        <v>111</v>
      </c>
    </row>
    <row r="97" spans="1:15">
      <c r="B97" s="22">
        <f t="shared" ref="B97:B160" si="36">QUOTIENT( D97-1,G98)+1</f>
        <v>2</v>
      </c>
      <c r="C97" s="22">
        <f t="shared" ref="C97" si="37">D97-(B97-1)*G98</f>
        <v>2</v>
      </c>
      <c r="D97" s="22">
        <f>COUNT($D$12:$D96)+1</f>
        <v>5</v>
      </c>
      <c r="E97" s="4"/>
    </row>
    <row r="98" spans="1:15">
      <c r="E98" s="4">
        <f t="shared" si="4"/>
        <v>98</v>
      </c>
      <c r="F98" s="9" t="s">
        <v>96</v>
      </c>
      <c r="G98" s="9" t="s">
        <v>38</v>
      </c>
      <c r="H98" s="9" t="s">
        <v>282</v>
      </c>
      <c r="J98" s="9" t="s">
        <v>247</v>
      </c>
      <c r="O98" s="23">
        <f t="shared" ref="O98:O161" si="38">J98+D97</f>
        <v>10005</v>
      </c>
    </row>
    <row r="99" spans="1:15">
      <c r="E99" s="4">
        <f t="shared" ref="E99:E162" si="39">ROW(E99)</f>
        <v>99</v>
      </c>
      <c r="F99" s="9" t="s">
        <v>165</v>
      </c>
      <c r="G99" s="9" t="s">
        <v>280</v>
      </c>
      <c r="H99" s="9" t="s">
        <v>249</v>
      </c>
      <c r="O99" s="23">
        <f t="shared" ref="O99" si="40">G99+B97*H99</f>
        <v>530</v>
      </c>
    </row>
    <row r="100" spans="1:15">
      <c r="E100" s="4">
        <f t="shared" si="39"/>
        <v>100</v>
      </c>
      <c r="F100" s="9" t="s">
        <v>35</v>
      </c>
      <c r="O100" s="23" t="s">
        <v>251</v>
      </c>
    </row>
    <row r="101" spans="1:15">
      <c r="E101" s="4">
        <f t="shared" si="39"/>
        <v>101</v>
      </c>
      <c r="F101" s="9" t="s">
        <v>29</v>
      </c>
      <c r="O101" s="23" t="s">
        <v>157</v>
      </c>
    </row>
    <row r="102" spans="1:15">
      <c r="A102" s="9"/>
      <c r="B102" s="9"/>
      <c r="C102" s="9"/>
      <c r="D102" s="9"/>
      <c r="E102" s="4">
        <f t="shared" si="39"/>
        <v>102</v>
      </c>
      <c r="F102" s="9" t="s">
        <v>122</v>
      </c>
      <c r="O102" s="23" t="s">
        <v>158</v>
      </c>
    </row>
    <row r="103" spans="1:15">
      <c r="E103" s="4">
        <f t="shared" si="39"/>
        <v>103</v>
      </c>
      <c r="F103" s="9" t="s">
        <v>117</v>
      </c>
      <c r="G103" s="9" t="s">
        <v>253</v>
      </c>
      <c r="H103" s="9" t="s">
        <v>254</v>
      </c>
      <c r="I103" s="9" t="s">
        <v>255</v>
      </c>
      <c r="J103" s="9" t="s">
        <v>256</v>
      </c>
      <c r="L103" s="9" t="s">
        <v>138</v>
      </c>
      <c r="O103" s="23">
        <f t="shared" ref="O103" ca="1" si="41">IF(MOD(D97,2)=0,RANDBETWEEN($I$19,$J$19),RANDBETWEEN($G$19,$H$19))</f>
        <v>-107</v>
      </c>
    </row>
    <row r="104" spans="1:15">
      <c r="E104" s="4">
        <f t="shared" si="39"/>
        <v>104</v>
      </c>
      <c r="F104" s="9" t="s">
        <v>30</v>
      </c>
      <c r="O104" s="23" t="s">
        <v>33</v>
      </c>
    </row>
    <row r="105" spans="1:15">
      <c r="E105" s="4">
        <f t="shared" si="39"/>
        <v>105</v>
      </c>
      <c r="F105" s="9" t="s">
        <v>119</v>
      </c>
      <c r="G105" s="9" t="s">
        <v>257</v>
      </c>
      <c r="H105" s="9" t="s">
        <v>258</v>
      </c>
      <c r="I105" s="9" t="s">
        <v>34</v>
      </c>
      <c r="O105" s="23">
        <f t="shared" ref="O105:O168" ca="1" si="42">RANDBETWEEN($G$21*$I$21,$H$21*$I$21)/$I$21</f>
        <v>-4.9000000000000004</v>
      </c>
    </row>
    <row r="106" spans="1:15">
      <c r="E106" s="4">
        <f t="shared" si="39"/>
        <v>106</v>
      </c>
      <c r="F106" s="9" t="s">
        <v>112</v>
      </c>
      <c r="O106" s="23">
        <v>0</v>
      </c>
    </row>
    <row r="107" spans="1:15">
      <c r="E107" s="4">
        <f t="shared" si="39"/>
        <v>107</v>
      </c>
      <c r="F107" s="9" t="s">
        <v>102</v>
      </c>
      <c r="G107" s="9" t="s">
        <v>259</v>
      </c>
      <c r="H107" s="9" t="s">
        <v>260</v>
      </c>
      <c r="I107" s="9" t="s">
        <v>34</v>
      </c>
      <c r="J107" s="9" t="s">
        <v>261</v>
      </c>
      <c r="K107" s="9" t="s">
        <v>140</v>
      </c>
      <c r="O107" s="23" t="str">
        <f t="shared" ref="O107:O170" ca="1" si="43">CONCATENATE(RANDBETWEEN($G$23*$I$23,$H$23*$I$23)/$I$23,$J$23)</f>
        <v>4.2,6</v>
      </c>
    </row>
    <row r="108" spans="1:15">
      <c r="E108" s="4">
        <f t="shared" si="39"/>
        <v>108</v>
      </c>
      <c r="F108" s="9" t="s">
        <v>31</v>
      </c>
      <c r="L108" s="9" t="s">
        <v>148</v>
      </c>
    </row>
    <row r="109" spans="1:15">
      <c r="E109" s="4">
        <f t="shared" si="39"/>
        <v>109</v>
      </c>
      <c r="F109" s="9" t="s">
        <v>136</v>
      </c>
      <c r="L109" s="9" t="s">
        <v>149</v>
      </c>
    </row>
    <row r="110" spans="1:15">
      <c r="E110" s="4">
        <f t="shared" si="39"/>
        <v>110</v>
      </c>
      <c r="F110" s="9" t="s">
        <v>137</v>
      </c>
      <c r="K110" s="9" t="s">
        <v>141</v>
      </c>
      <c r="O110" s="23">
        <v>1</v>
      </c>
    </row>
    <row r="111" spans="1:15">
      <c r="E111" s="4">
        <f t="shared" si="39"/>
        <v>111</v>
      </c>
      <c r="F111" s="9" t="s">
        <v>137</v>
      </c>
      <c r="G111" s="9" t="s">
        <v>262</v>
      </c>
      <c r="H111" s="9" t="s">
        <v>32</v>
      </c>
      <c r="I111" s="9" t="s">
        <v>34</v>
      </c>
      <c r="J111" s="9" t="s">
        <v>263</v>
      </c>
      <c r="K111" s="9" t="s">
        <v>140</v>
      </c>
      <c r="O111" s="23" t="str">
        <f t="shared" ref="O111:O174" ca="1" si="44">CONCATENATE(RANDBETWEEN($G$27*$I$27,$H$27*$I$27)/$I$27,$J$27)</f>
        <v>-1.1,-4.5</v>
      </c>
    </row>
    <row r="112" spans="1:15">
      <c r="E112" s="4">
        <f t="shared" si="39"/>
        <v>112</v>
      </c>
      <c r="F112" s="9" t="s">
        <v>105</v>
      </c>
      <c r="O112" s="23">
        <f t="shared" ref="O112" si="45">O98*10+1</f>
        <v>100051</v>
      </c>
    </row>
    <row r="113" spans="1:15">
      <c r="E113" s="4">
        <f t="shared" si="39"/>
        <v>113</v>
      </c>
      <c r="F113" s="9" t="s">
        <v>156</v>
      </c>
      <c r="O113" s="23">
        <f t="shared" ref="O113" si="46">O98</f>
        <v>10005</v>
      </c>
    </row>
    <row r="114" spans="1:15">
      <c r="E114" s="4">
        <f t="shared" si="39"/>
        <v>114</v>
      </c>
      <c r="F114" s="9" t="s">
        <v>131</v>
      </c>
      <c r="O114" s="23">
        <v>0</v>
      </c>
    </row>
    <row r="115" spans="1:15">
      <c r="E115" s="4">
        <f t="shared" si="39"/>
        <v>115</v>
      </c>
      <c r="F115" s="9" t="s">
        <v>35</v>
      </c>
      <c r="O115" s="23" t="s">
        <v>252</v>
      </c>
    </row>
    <row r="116" spans="1:15">
      <c r="E116" s="4">
        <f t="shared" si="39"/>
        <v>116</v>
      </c>
      <c r="F116" s="9" t="s">
        <v>119</v>
      </c>
      <c r="O116" s="23" t="s">
        <v>22</v>
      </c>
    </row>
    <row r="117" spans="1:15">
      <c r="E117" s="4">
        <f t="shared" si="39"/>
        <v>117</v>
      </c>
      <c r="F117" s="9" t="s">
        <v>117</v>
      </c>
      <c r="L117" s="9" t="s">
        <v>138</v>
      </c>
      <c r="O117" s="23">
        <f t="shared" ref="O117" ca="1" si="47">O103</f>
        <v>-107</v>
      </c>
    </row>
    <row r="118" spans="1:15">
      <c r="B118" s="22">
        <f t="shared" ref="B118:B181" si="48">QUOTIENT( D118-1,G119)+1</f>
        <v>2</v>
      </c>
      <c r="C118" s="22">
        <f t="shared" ref="C118" si="49">D118-(B118-1)*G119</f>
        <v>3</v>
      </c>
      <c r="D118" s="22">
        <f>COUNT($D$12:$D117)+1</f>
        <v>6</v>
      </c>
      <c r="E118" s="4"/>
    </row>
    <row r="119" spans="1:15">
      <c r="E119" s="4">
        <f t="shared" si="39"/>
        <v>119</v>
      </c>
      <c r="F119" s="9" t="s">
        <v>96</v>
      </c>
      <c r="G119" s="9" t="s">
        <v>38</v>
      </c>
      <c r="H119" s="9" t="s">
        <v>282</v>
      </c>
      <c r="J119" s="9" t="s">
        <v>247</v>
      </c>
      <c r="O119" s="23">
        <f t="shared" ref="O119:O182" si="50">J119+D118</f>
        <v>10006</v>
      </c>
    </row>
    <row r="120" spans="1:15">
      <c r="E120" s="4">
        <f t="shared" si="39"/>
        <v>120</v>
      </c>
      <c r="F120" s="9" t="s">
        <v>165</v>
      </c>
      <c r="G120" s="9" t="s">
        <v>280</v>
      </c>
      <c r="H120" s="9" t="s">
        <v>249</v>
      </c>
      <c r="O120" s="23">
        <f t="shared" ref="O120" si="51">G120+B118*H120</f>
        <v>530</v>
      </c>
    </row>
    <row r="121" spans="1:15">
      <c r="E121" s="4">
        <f t="shared" si="39"/>
        <v>121</v>
      </c>
      <c r="F121" s="9" t="s">
        <v>35</v>
      </c>
      <c r="O121" s="23" t="s">
        <v>251</v>
      </c>
    </row>
    <row r="122" spans="1:15">
      <c r="E122" s="4">
        <f t="shared" si="39"/>
        <v>122</v>
      </c>
      <c r="F122" s="9" t="s">
        <v>29</v>
      </c>
      <c r="O122" s="23" t="s">
        <v>157</v>
      </c>
    </row>
    <row r="123" spans="1:15">
      <c r="E123" s="4">
        <f t="shared" si="39"/>
        <v>123</v>
      </c>
      <c r="F123" s="9" t="s">
        <v>122</v>
      </c>
      <c r="O123" s="23" t="s">
        <v>158</v>
      </c>
    </row>
    <row r="124" spans="1:15">
      <c r="A124" s="9"/>
      <c r="B124" s="9"/>
      <c r="C124" s="9"/>
      <c r="D124" s="9"/>
      <c r="E124" s="4">
        <f t="shared" si="39"/>
        <v>124</v>
      </c>
      <c r="F124" s="9" t="s">
        <v>117</v>
      </c>
      <c r="G124" s="9" t="s">
        <v>253</v>
      </c>
      <c r="H124" s="9" t="s">
        <v>254</v>
      </c>
      <c r="I124" s="9" t="s">
        <v>255</v>
      </c>
      <c r="J124" s="9" t="s">
        <v>256</v>
      </c>
      <c r="L124" s="9" t="s">
        <v>138</v>
      </c>
      <c r="O124" s="23">
        <f t="shared" ref="O124" ca="1" si="52">IF(MOD(D118,2)=0,RANDBETWEEN($I$19,$J$19),RANDBETWEEN($G$19,$H$19))</f>
        <v>93</v>
      </c>
    </row>
    <row r="125" spans="1:15">
      <c r="E125" s="4">
        <f t="shared" si="39"/>
        <v>125</v>
      </c>
      <c r="F125" s="9" t="s">
        <v>30</v>
      </c>
      <c r="O125" s="23" t="s">
        <v>33</v>
      </c>
    </row>
    <row r="126" spans="1:15">
      <c r="E126" s="4">
        <f t="shared" si="39"/>
        <v>126</v>
      </c>
      <c r="F126" s="9" t="s">
        <v>119</v>
      </c>
      <c r="G126" s="9" t="s">
        <v>257</v>
      </c>
      <c r="H126" s="9" t="s">
        <v>258</v>
      </c>
      <c r="I126" s="9" t="s">
        <v>34</v>
      </c>
      <c r="O126" s="23">
        <f t="shared" ref="O126:O189" ca="1" si="53">RANDBETWEEN($G$21*$I$21,$H$21*$I$21)/$I$21</f>
        <v>-6.1</v>
      </c>
    </row>
    <row r="127" spans="1:15">
      <c r="E127" s="4">
        <f t="shared" si="39"/>
        <v>127</v>
      </c>
      <c r="F127" s="9" t="s">
        <v>112</v>
      </c>
      <c r="O127" s="23">
        <v>0</v>
      </c>
    </row>
    <row r="128" spans="1:15">
      <c r="E128" s="4">
        <f t="shared" si="39"/>
        <v>128</v>
      </c>
      <c r="F128" s="9" t="s">
        <v>102</v>
      </c>
      <c r="G128" s="9" t="s">
        <v>259</v>
      </c>
      <c r="H128" s="9" t="s">
        <v>260</v>
      </c>
      <c r="I128" s="9" t="s">
        <v>34</v>
      </c>
      <c r="J128" s="9" t="s">
        <v>261</v>
      </c>
      <c r="K128" s="9" t="s">
        <v>140</v>
      </c>
      <c r="O128" s="23" t="str">
        <f t="shared" ref="O128:O191" ca="1" si="54">CONCATENATE(RANDBETWEEN($G$23*$I$23,$H$23*$I$23)/$I$23,$J$23)</f>
        <v>1.4,6</v>
      </c>
    </row>
    <row r="129" spans="2:15">
      <c r="E129" s="4">
        <f t="shared" si="39"/>
        <v>129</v>
      </c>
      <c r="F129" s="9" t="s">
        <v>31</v>
      </c>
      <c r="L129" s="9" t="s">
        <v>148</v>
      </c>
    </row>
    <row r="130" spans="2:15">
      <c r="E130" s="4">
        <f t="shared" si="39"/>
        <v>130</v>
      </c>
      <c r="F130" s="9" t="s">
        <v>136</v>
      </c>
      <c r="L130" s="9" t="s">
        <v>149</v>
      </c>
    </row>
    <row r="131" spans="2:15">
      <c r="E131" s="4">
        <f t="shared" si="39"/>
        <v>131</v>
      </c>
      <c r="F131" s="9" t="s">
        <v>137</v>
      </c>
      <c r="K131" s="9" t="s">
        <v>141</v>
      </c>
      <c r="O131" s="23">
        <v>1</v>
      </c>
    </row>
    <row r="132" spans="2:15">
      <c r="E132" s="4">
        <f t="shared" si="39"/>
        <v>132</v>
      </c>
      <c r="F132" s="9" t="s">
        <v>137</v>
      </c>
      <c r="G132" s="9" t="s">
        <v>262</v>
      </c>
      <c r="H132" s="9" t="s">
        <v>32</v>
      </c>
      <c r="I132" s="9" t="s">
        <v>34</v>
      </c>
      <c r="J132" s="9" t="s">
        <v>263</v>
      </c>
      <c r="K132" s="9" t="s">
        <v>140</v>
      </c>
      <c r="O132" s="23" t="str">
        <f t="shared" ref="O132:O195" ca="1" si="55">CONCATENATE(RANDBETWEEN($G$27*$I$27,$H$27*$I$27)/$I$27,$J$27)</f>
        <v>2.1,-4.5</v>
      </c>
    </row>
    <row r="133" spans="2:15">
      <c r="E133" s="4">
        <f t="shared" si="39"/>
        <v>133</v>
      </c>
      <c r="F133" s="9" t="s">
        <v>105</v>
      </c>
      <c r="O133" s="23">
        <f t="shared" ref="O133" si="56">O119*10+1</f>
        <v>100061</v>
      </c>
    </row>
    <row r="134" spans="2:15">
      <c r="E134" s="4">
        <f t="shared" si="39"/>
        <v>134</v>
      </c>
      <c r="F134" s="9" t="s">
        <v>156</v>
      </c>
      <c r="O134" s="23">
        <f t="shared" ref="O134" si="57">O119</f>
        <v>10006</v>
      </c>
    </row>
    <row r="135" spans="2:15">
      <c r="E135" s="4">
        <f t="shared" si="39"/>
        <v>135</v>
      </c>
      <c r="F135" s="9" t="s">
        <v>131</v>
      </c>
      <c r="O135" s="23">
        <v>0</v>
      </c>
    </row>
    <row r="136" spans="2:15">
      <c r="E136" s="4">
        <f t="shared" si="39"/>
        <v>136</v>
      </c>
      <c r="F136" s="9" t="s">
        <v>35</v>
      </c>
      <c r="O136" s="23" t="s">
        <v>252</v>
      </c>
    </row>
    <row r="137" spans="2:15">
      <c r="E137" s="4">
        <f t="shared" si="39"/>
        <v>137</v>
      </c>
      <c r="F137" s="9" t="s">
        <v>119</v>
      </c>
      <c r="O137" s="23" t="s">
        <v>22</v>
      </c>
    </row>
    <row r="138" spans="2:15">
      <c r="E138" s="4">
        <f t="shared" si="39"/>
        <v>138</v>
      </c>
      <c r="F138" s="9" t="s">
        <v>117</v>
      </c>
      <c r="L138" s="9" t="s">
        <v>138</v>
      </c>
      <c r="O138" s="23">
        <f t="shared" ref="O138" ca="1" si="58">O124</f>
        <v>93</v>
      </c>
    </row>
    <row r="139" spans="2:15">
      <c r="B139" s="22">
        <f t="shared" ref="B139:B202" si="59">QUOTIENT( D139-1,G140)+1</f>
        <v>3</v>
      </c>
      <c r="C139" s="22">
        <f t="shared" ref="C139" si="60">D139-(B139-1)*G140</f>
        <v>1</v>
      </c>
      <c r="D139" s="22">
        <f>COUNT($D$12:$D138)+1</f>
        <v>7</v>
      </c>
      <c r="E139" s="4"/>
    </row>
    <row r="140" spans="2:15">
      <c r="E140" s="4">
        <f t="shared" si="39"/>
        <v>140</v>
      </c>
      <c r="F140" s="9" t="s">
        <v>96</v>
      </c>
      <c r="G140" s="9" t="s">
        <v>38</v>
      </c>
      <c r="H140" s="9" t="s">
        <v>282</v>
      </c>
      <c r="J140" s="9" t="s">
        <v>247</v>
      </c>
      <c r="O140" s="23">
        <f t="shared" ref="O140:O203" si="61">J140+D139</f>
        <v>10007</v>
      </c>
    </row>
    <row r="141" spans="2:15">
      <c r="E141" s="4">
        <f t="shared" si="39"/>
        <v>141</v>
      </c>
      <c r="F141" s="9" t="s">
        <v>165</v>
      </c>
      <c r="G141" s="9" t="s">
        <v>280</v>
      </c>
      <c r="H141" s="9" t="s">
        <v>249</v>
      </c>
      <c r="O141" s="23">
        <f t="shared" ref="O141" si="62">G141+B139*H141</f>
        <v>545</v>
      </c>
    </row>
    <row r="142" spans="2:15">
      <c r="E142" s="4">
        <f t="shared" si="39"/>
        <v>142</v>
      </c>
      <c r="F142" s="9" t="s">
        <v>35</v>
      </c>
      <c r="O142" s="23" t="s">
        <v>251</v>
      </c>
    </row>
    <row r="143" spans="2:15">
      <c r="E143" s="4">
        <f t="shared" si="39"/>
        <v>143</v>
      </c>
      <c r="F143" s="9" t="s">
        <v>29</v>
      </c>
      <c r="O143" s="23" t="s">
        <v>157</v>
      </c>
    </row>
    <row r="144" spans="2:15">
      <c r="E144" s="4">
        <f t="shared" si="39"/>
        <v>144</v>
      </c>
      <c r="F144" s="9" t="s">
        <v>122</v>
      </c>
      <c r="O144" s="23" t="s">
        <v>158</v>
      </c>
    </row>
    <row r="145" spans="1:15">
      <c r="E145" s="4">
        <f t="shared" si="39"/>
        <v>145</v>
      </c>
      <c r="F145" s="9" t="s">
        <v>117</v>
      </c>
      <c r="G145" s="9" t="s">
        <v>253</v>
      </c>
      <c r="H145" s="9" t="s">
        <v>254</v>
      </c>
      <c r="I145" s="9" t="s">
        <v>255</v>
      </c>
      <c r="J145" s="9" t="s">
        <v>256</v>
      </c>
      <c r="L145" s="9" t="s">
        <v>138</v>
      </c>
      <c r="O145" s="23">
        <f t="shared" ref="O145" ca="1" si="63">IF(MOD(D139,2)=0,RANDBETWEEN($I$19,$J$19),RANDBETWEEN($G$19,$H$19))</f>
        <v>-116</v>
      </c>
    </row>
    <row r="146" spans="1:15">
      <c r="A146" s="9"/>
      <c r="B146" s="9"/>
      <c r="C146" s="9"/>
      <c r="D146" s="9"/>
      <c r="E146" s="4">
        <f t="shared" si="39"/>
        <v>146</v>
      </c>
      <c r="F146" s="9" t="s">
        <v>30</v>
      </c>
      <c r="O146" s="23" t="s">
        <v>33</v>
      </c>
    </row>
    <row r="147" spans="1:15">
      <c r="E147" s="4">
        <f t="shared" si="39"/>
        <v>147</v>
      </c>
      <c r="F147" s="9" t="s">
        <v>119</v>
      </c>
      <c r="G147" s="9" t="s">
        <v>257</v>
      </c>
      <c r="H147" s="9" t="s">
        <v>258</v>
      </c>
      <c r="I147" s="9" t="s">
        <v>34</v>
      </c>
      <c r="O147" s="23">
        <f t="shared" ref="O147:O210" ca="1" si="64">RANDBETWEEN($G$21*$I$21,$H$21*$I$21)/$I$21</f>
        <v>-8.6999999999999993</v>
      </c>
    </row>
    <row r="148" spans="1:15">
      <c r="E148" s="4">
        <f t="shared" si="39"/>
        <v>148</v>
      </c>
      <c r="F148" s="9" t="s">
        <v>112</v>
      </c>
      <c r="O148" s="23">
        <v>0</v>
      </c>
    </row>
    <row r="149" spans="1:15">
      <c r="E149" s="4">
        <f t="shared" si="39"/>
        <v>149</v>
      </c>
      <c r="F149" s="9" t="s">
        <v>102</v>
      </c>
      <c r="G149" s="9" t="s">
        <v>259</v>
      </c>
      <c r="H149" s="9" t="s">
        <v>260</v>
      </c>
      <c r="I149" s="9" t="s">
        <v>34</v>
      </c>
      <c r="J149" s="9" t="s">
        <v>261</v>
      </c>
      <c r="K149" s="9" t="s">
        <v>140</v>
      </c>
      <c r="O149" s="23" t="str">
        <f t="shared" ref="O149:O212" ca="1" si="65">CONCATENATE(RANDBETWEEN($G$23*$I$23,$H$23*$I$23)/$I$23,$J$23)</f>
        <v>-1.8,6</v>
      </c>
    </row>
    <row r="150" spans="1:15">
      <c r="E150" s="4">
        <f t="shared" si="39"/>
        <v>150</v>
      </c>
      <c r="F150" s="9" t="s">
        <v>31</v>
      </c>
      <c r="L150" s="9" t="s">
        <v>148</v>
      </c>
    </row>
    <row r="151" spans="1:15">
      <c r="E151" s="4">
        <f t="shared" si="39"/>
        <v>151</v>
      </c>
      <c r="F151" s="9" t="s">
        <v>136</v>
      </c>
      <c r="L151" s="9" t="s">
        <v>149</v>
      </c>
    </row>
    <row r="152" spans="1:15">
      <c r="E152" s="4">
        <f t="shared" si="39"/>
        <v>152</v>
      </c>
      <c r="F152" s="9" t="s">
        <v>137</v>
      </c>
      <c r="K152" s="9" t="s">
        <v>141</v>
      </c>
      <c r="O152" s="23">
        <v>1</v>
      </c>
    </row>
    <row r="153" spans="1:15">
      <c r="E153" s="4">
        <f t="shared" si="39"/>
        <v>153</v>
      </c>
      <c r="F153" s="9" t="s">
        <v>137</v>
      </c>
      <c r="G153" s="9" t="s">
        <v>262</v>
      </c>
      <c r="H153" s="9" t="s">
        <v>32</v>
      </c>
      <c r="I153" s="9" t="s">
        <v>34</v>
      </c>
      <c r="J153" s="9" t="s">
        <v>263</v>
      </c>
      <c r="K153" s="9" t="s">
        <v>140</v>
      </c>
      <c r="O153" s="23" t="str">
        <f t="shared" ref="O153:O216" ca="1" si="66">CONCATENATE(RANDBETWEEN($G$27*$I$27,$H$27*$I$27)/$I$27,$J$27)</f>
        <v>0.9,-4.5</v>
      </c>
    </row>
    <row r="154" spans="1:15">
      <c r="E154" s="4">
        <f t="shared" si="39"/>
        <v>154</v>
      </c>
      <c r="F154" s="9" t="s">
        <v>105</v>
      </c>
      <c r="O154" s="23">
        <f t="shared" ref="O154" si="67">O140*10+1</f>
        <v>100071</v>
      </c>
    </row>
    <row r="155" spans="1:15">
      <c r="E155" s="4">
        <f t="shared" si="39"/>
        <v>155</v>
      </c>
      <c r="F155" s="9" t="s">
        <v>156</v>
      </c>
      <c r="O155" s="23">
        <f t="shared" ref="O155" si="68">O140</f>
        <v>10007</v>
      </c>
    </row>
    <row r="156" spans="1:15">
      <c r="E156" s="4">
        <f t="shared" si="39"/>
        <v>156</v>
      </c>
      <c r="F156" s="9" t="s">
        <v>131</v>
      </c>
      <c r="O156" s="23">
        <v>0</v>
      </c>
    </row>
    <row r="157" spans="1:15">
      <c r="E157" s="4">
        <f t="shared" si="39"/>
        <v>157</v>
      </c>
      <c r="F157" s="9" t="s">
        <v>35</v>
      </c>
      <c r="O157" s="23" t="s">
        <v>252</v>
      </c>
    </row>
    <row r="158" spans="1:15">
      <c r="E158" s="4">
        <f t="shared" si="39"/>
        <v>158</v>
      </c>
      <c r="F158" s="9" t="s">
        <v>119</v>
      </c>
      <c r="O158" s="23" t="s">
        <v>22</v>
      </c>
    </row>
    <row r="159" spans="1:15">
      <c r="E159" s="4">
        <f t="shared" si="39"/>
        <v>159</v>
      </c>
      <c r="F159" s="9" t="s">
        <v>117</v>
      </c>
      <c r="L159" s="9" t="s">
        <v>138</v>
      </c>
      <c r="O159" s="23">
        <f t="shared" ref="O159" ca="1" si="69">O145</f>
        <v>-116</v>
      </c>
    </row>
    <row r="160" spans="1:15">
      <c r="B160" s="22">
        <f t="shared" ref="B160:B223" si="70">QUOTIENT( D160-1,G161)+1</f>
        <v>3</v>
      </c>
      <c r="C160" s="22">
        <f t="shared" ref="C160" si="71">D160-(B160-1)*G161</f>
        <v>2</v>
      </c>
      <c r="D160" s="22">
        <f>COUNT($D$12:$D159)+1</f>
        <v>8</v>
      </c>
      <c r="E160" s="4"/>
    </row>
    <row r="161" spans="1:15">
      <c r="E161" s="4">
        <f t="shared" si="39"/>
        <v>161</v>
      </c>
      <c r="F161" s="9" t="s">
        <v>96</v>
      </c>
      <c r="G161" s="9" t="s">
        <v>38</v>
      </c>
      <c r="H161" s="9" t="s">
        <v>282</v>
      </c>
      <c r="J161" s="9" t="s">
        <v>247</v>
      </c>
      <c r="O161" s="23">
        <f t="shared" ref="O161:O224" si="72">J161+D160</f>
        <v>10008</v>
      </c>
    </row>
    <row r="162" spans="1:15">
      <c r="E162" s="4">
        <f t="shared" si="39"/>
        <v>162</v>
      </c>
      <c r="F162" s="9" t="s">
        <v>165</v>
      </c>
      <c r="G162" s="9" t="s">
        <v>280</v>
      </c>
      <c r="H162" s="9" t="s">
        <v>249</v>
      </c>
      <c r="O162" s="23">
        <f t="shared" ref="O162" si="73">G162+B160*H162</f>
        <v>545</v>
      </c>
    </row>
    <row r="163" spans="1:15">
      <c r="E163" s="4">
        <f t="shared" ref="E163:E226" si="74">ROW(E163)</f>
        <v>163</v>
      </c>
      <c r="F163" s="9" t="s">
        <v>35</v>
      </c>
      <c r="O163" s="23" t="s">
        <v>251</v>
      </c>
    </row>
    <row r="164" spans="1:15">
      <c r="E164" s="4">
        <f t="shared" si="74"/>
        <v>164</v>
      </c>
      <c r="F164" s="9" t="s">
        <v>29</v>
      </c>
      <c r="O164" s="23" t="s">
        <v>157</v>
      </c>
    </row>
    <row r="165" spans="1:15">
      <c r="E165" s="4">
        <f t="shared" si="74"/>
        <v>165</v>
      </c>
      <c r="F165" s="9" t="s">
        <v>122</v>
      </c>
      <c r="O165" s="23" t="s">
        <v>158</v>
      </c>
    </row>
    <row r="166" spans="1:15">
      <c r="E166" s="4">
        <f t="shared" si="74"/>
        <v>166</v>
      </c>
      <c r="F166" s="9" t="s">
        <v>117</v>
      </c>
      <c r="G166" s="9" t="s">
        <v>253</v>
      </c>
      <c r="H166" s="9" t="s">
        <v>254</v>
      </c>
      <c r="I166" s="9" t="s">
        <v>255</v>
      </c>
      <c r="J166" s="9" t="s">
        <v>256</v>
      </c>
      <c r="L166" s="9" t="s">
        <v>138</v>
      </c>
      <c r="O166" s="23">
        <f t="shared" ref="O166" ca="1" si="75">IF(MOD(D160,2)=0,RANDBETWEEN($I$19,$J$19),RANDBETWEEN($G$19,$H$19))</f>
        <v>116</v>
      </c>
    </row>
    <row r="167" spans="1:15">
      <c r="E167" s="4">
        <f t="shared" si="74"/>
        <v>167</v>
      </c>
      <c r="F167" s="9" t="s">
        <v>30</v>
      </c>
      <c r="O167" s="23" t="s">
        <v>33</v>
      </c>
    </row>
    <row r="168" spans="1:15">
      <c r="A168" s="9"/>
      <c r="B168" s="9"/>
      <c r="C168" s="9"/>
      <c r="D168" s="9"/>
      <c r="E168" s="4">
        <f t="shared" si="74"/>
        <v>168</v>
      </c>
      <c r="F168" s="9" t="s">
        <v>119</v>
      </c>
      <c r="G168" s="9" t="s">
        <v>257</v>
      </c>
      <c r="H168" s="9" t="s">
        <v>258</v>
      </c>
      <c r="I168" s="9" t="s">
        <v>34</v>
      </c>
      <c r="O168" s="23">
        <f t="shared" ref="O168:O231" ca="1" si="76">RANDBETWEEN($G$21*$I$21,$H$21*$I$21)/$I$21</f>
        <v>-7.8</v>
      </c>
    </row>
    <row r="169" spans="1:15">
      <c r="E169" s="4">
        <f t="shared" si="74"/>
        <v>169</v>
      </c>
      <c r="F169" s="9" t="s">
        <v>112</v>
      </c>
      <c r="O169" s="23">
        <v>0</v>
      </c>
    </row>
    <row r="170" spans="1:15">
      <c r="E170" s="4">
        <f t="shared" si="74"/>
        <v>170</v>
      </c>
      <c r="F170" s="9" t="s">
        <v>102</v>
      </c>
      <c r="G170" s="9" t="s">
        <v>259</v>
      </c>
      <c r="H170" s="9" t="s">
        <v>260</v>
      </c>
      <c r="I170" s="9" t="s">
        <v>34</v>
      </c>
      <c r="J170" s="9" t="s">
        <v>261</v>
      </c>
      <c r="K170" s="9" t="s">
        <v>140</v>
      </c>
      <c r="O170" s="23" t="str">
        <f t="shared" ref="O170:O233" ca="1" si="77">CONCATENATE(RANDBETWEEN($G$23*$I$23,$H$23*$I$23)/$I$23,$J$23)</f>
        <v>-4.4,6</v>
      </c>
    </row>
    <row r="171" spans="1:15">
      <c r="E171" s="4">
        <f t="shared" si="74"/>
        <v>171</v>
      </c>
      <c r="F171" s="9" t="s">
        <v>31</v>
      </c>
      <c r="L171" s="9" t="s">
        <v>148</v>
      </c>
    </row>
    <row r="172" spans="1:15">
      <c r="E172" s="4">
        <f t="shared" si="74"/>
        <v>172</v>
      </c>
      <c r="F172" s="9" t="s">
        <v>136</v>
      </c>
      <c r="L172" s="9" t="s">
        <v>149</v>
      </c>
    </row>
    <row r="173" spans="1:15">
      <c r="E173" s="4">
        <f t="shared" si="74"/>
        <v>173</v>
      </c>
      <c r="F173" s="9" t="s">
        <v>137</v>
      </c>
      <c r="K173" s="9" t="s">
        <v>141</v>
      </c>
      <c r="O173" s="23">
        <v>1</v>
      </c>
    </row>
    <row r="174" spans="1:15">
      <c r="E174" s="4">
        <f t="shared" si="74"/>
        <v>174</v>
      </c>
      <c r="F174" s="9" t="s">
        <v>137</v>
      </c>
      <c r="G174" s="9" t="s">
        <v>262</v>
      </c>
      <c r="H174" s="9" t="s">
        <v>32</v>
      </c>
      <c r="I174" s="9" t="s">
        <v>34</v>
      </c>
      <c r="J174" s="9" t="s">
        <v>263</v>
      </c>
      <c r="K174" s="9" t="s">
        <v>140</v>
      </c>
      <c r="O174" s="23" t="str">
        <f t="shared" ref="O174:O237" ca="1" si="78">CONCATENATE(RANDBETWEEN($G$27*$I$27,$H$27*$I$27)/$I$27,$J$27)</f>
        <v>2.8,-4.5</v>
      </c>
    </row>
    <row r="175" spans="1:15">
      <c r="E175" s="4">
        <f t="shared" si="74"/>
        <v>175</v>
      </c>
      <c r="F175" s="9" t="s">
        <v>105</v>
      </c>
      <c r="O175" s="23">
        <f t="shared" ref="O175" si="79">O161*10+1</f>
        <v>100081</v>
      </c>
    </row>
    <row r="176" spans="1:15">
      <c r="E176" s="4">
        <f t="shared" si="74"/>
        <v>176</v>
      </c>
      <c r="F176" s="9" t="s">
        <v>156</v>
      </c>
      <c r="O176" s="23">
        <f t="shared" ref="O176" si="80">O161</f>
        <v>10008</v>
      </c>
    </row>
    <row r="177" spans="1:15">
      <c r="E177" s="4">
        <f t="shared" si="74"/>
        <v>177</v>
      </c>
      <c r="F177" s="9" t="s">
        <v>131</v>
      </c>
      <c r="O177" s="23">
        <v>0</v>
      </c>
    </row>
    <row r="178" spans="1:15">
      <c r="E178" s="4">
        <f t="shared" si="74"/>
        <v>178</v>
      </c>
      <c r="F178" s="9" t="s">
        <v>35</v>
      </c>
      <c r="O178" s="23" t="s">
        <v>252</v>
      </c>
    </row>
    <row r="179" spans="1:15">
      <c r="E179" s="4">
        <f t="shared" si="74"/>
        <v>179</v>
      </c>
      <c r="F179" s="9" t="s">
        <v>119</v>
      </c>
      <c r="O179" s="23" t="s">
        <v>22</v>
      </c>
    </row>
    <row r="180" spans="1:15">
      <c r="E180" s="4">
        <f t="shared" si="74"/>
        <v>180</v>
      </c>
      <c r="F180" s="9" t="s">
        <v>117</v>
      </c>
      <c r="L180" s="9" t="s">
        <v>138</v>
      </c>
      <c r="O180" s="23">
        <f t="shared" ref="O180" ca="1" si="81">O166</f>
        <v>116</v>
      </c>
    </row>
    <row r="181" spans="1:15">
      <c r="B181" s="22">
        <f t="shared" ref="B181:B244" si="82">QUOTIENT( D181-1,G182)+1</f>
        <v>3</v>
      </c>
      <c r="C181" s="22">
        <f t="shared" ref="C181" si="83">D181-(B181-1)*G182</f>
        <v>3</v>
      </c>
      <c r="D181" s="22">
        <f>COUNT($D$12:$D180)+1</f>
        <v>9</v>
      </c>
      <c r="E181" s="4"/>
    </row>
    <row r="182" spans="1:15">
      <c r="E182" s="4">
        <f t="shared" si="74"/>
        <v>182</v>
      </c>
      <c r="F182" s="9" t="s">
        <v>96</v>
      </c>
      <c r="G182" s="9" t="s">
        <v>38</v>
      </c>
      <c r="H182" s="9" t="s">
        <v>282</v>
      </c>
      <c r="J182" s="9" t="s">
        <v>247</v>
      </c>
      <c r="O182" s="23">
        <f t="shared" ref="O182:O245" si="84">J182+D181</f>
        <v>10009</v>
      </c>
    </row>
    <row r="183" spans="1:15">
      <c r="E183" s="4">
        <f t="shared" si="74"/>
        <v>183</v>
      </c>
      <c r="F183" s="9" t="s">
        <v>165</v>
      </c>
      <c r="G183" s="9" t="s">
        <v>280</v>
      </c>
      <c r="H183" s="9" t="s">
        <v>249</v>
      </c>
      <c r="O183" s="23">
        <f t="shared" ref="O183" si="85">G183+B181*H183</f>
        <v>545</v>
      </c>
    </row>
    <row r="184" spans="1:15">
      <c r="E184" s="4">
        <f t="shared" si="74"/>
        <v>184</v>
      </c>
      <c r="F184" s="9" t="s">
        <v>35</v>
      </c>
      <c r="O184" s="23" t="s">
        <v>251</v>
      </c>
    </row>
    <row r="185" spans="1:15">
      <c r="E185" s="4">
        <f t="shared" si="74"/>
        <v>185</v>
      </c>
      <c r="F185" s="9" t="s">
        <v>29</v>
      </c>
      <c r="O185" s="23" t="s">
        <v>157</v>
      </c>
    </row>
    <row r="186" spans="1:15">
      <c r="E186" s="4">
        <f t="shared" si="74"/>
        <v>186</v>
      </c>
      <c r="F186" s="9" t="s">
        <v>122</v>
      </c>
      <c r="O186" s="23" t="s">
        <v>158</v>
      </c>
    </row>
    <row r="187" spans="1:15">
      <c r="E187" s="4">
        <f t="shared" si="74"/>
        <v>187</v>
      </c>
      <c r="F187" s="9" t="s">
        <v>117</v>
      </c>
      <c r="G187" s="9" t="s">
        <v>253</v>
      </c>
      <c r="H187" s="9" t="s">
        <v>254</v>
      </c>
      <c r="I187" s="9" t="s">
        <v>255</v>
      </c>
      <c r="J187" s="9" t="s">
        <v>256</v>
      </c>
      <c r="L187" s="9" t="s">
        <v>138</v>
      </c>
      <c r="O187" s="23">
        <f t="shared" ref="O187" ca="1" si="86">IF(MOD(D181,2)=0,RANDBETWEEN($I$19,$J$19),RANDBETWEEN($G$19,$H$19))</f>
        <v>-94</v>
      </c>
    </row>
    <row r="188" spans="1:15">
      <c r="E188" s="4">
        <f t="shared" si="74"/>
        <v>188</v>
      </c>
      <c r="F188" s="9" t="s">
        <v>30</v>
      </c>
      <c r="O188" s="23" t="s">
        <v>33</v>
      </c>
    </row>
    <row r="189" spans="1:15">
      <c r="E189" s="4">
        <f t="shared" si="74"/>
        <v>189</v>
      </c>
      <c r="F189" s="9" t="s">
        <v>119</v>
      </c>
      <c r="G189" s="9" t="s">
        <v>257</v>
      </c>
      <c r="H189" s="9" t="s">
        <v>258</v>
      </c>
      <c r="I189" s="9" t="s">
        <v>34</v>
      </c>
      <c r="O189" s="23">
        <f t="shared" ref="O189:O252" ca="1" si="87">RANDBETWEEN($G$21*$I$21,$H$21*$I$21)/$I$21</f>
        <v>-7.3</v>
      </c>
    </row>
    <row r="190" spans="1:15">
      <c r="A190" s="9"/>
      <c r="B190" s="9"/>
      <c r="C190" s="9"/>
      <c r="D190" s="9"/>
      <c r="E190" s="4">
        <f t="shared" si="74"/>
        <v>190</v>
      </c>
      <c r="F190" s="9" t="s">
        <v>112</v>
      </c>
      <c r="O190" s="23">
        <v>0</v>
      </c>
    </row>
    <row r="191" spans="1:15">
      <c r="E191" s="4">
        <f t="shared" si="74"/>
        <v>191</v>
      </c>
      <c r="F191" s="9" t="s">
        <v>102</v>
      </c>
      <c r="G191" s="9" t="s">
        <v>259</v>
      </c>
      <c r="H191" s="9" t="s">
        <v>260</v>
      </c>
      <c r="I191" s="9" t="s">
        <v>34</v>
      </c>
      <c r="J191" s="9" t="s">
        <v>261</v>
      </c>
      <c r="K191" s="9" t="s">
        <v>140</v>
      </c>
      <c r="O191" s="23" t="str">
        <f t="shared" ref="O191:O254" ca="1" si="88">CONCATENATE(RANDBETWEEN($G$23*$I$23,$H$23*$I$23)/$I$23,$J$23)</f>
        <v>3.6,6</v>
      </c>
    </row>
    <row r="192" spans="1:15">
      <c r="E192" s="4">
        <f t="shared" si="74"/>
        <v>192</v>
      </c>
      <c r="F192" s="9" t="s">
        <v>31</v>
      </c>
      <c r="L192" s="9" t="s">
        <v>148</v>
      </c>
    </row>
    <row r="193" spans="2:15">
      <c r="E193" s="4">
        <f t="shared" si="74"/>
        <v>193</v>
      </c>
      <c r="F193" s="9" t="s">
        <v>136</v>
      </c>
      <c r="L193" s="9" t="s">
        <v>149</v>
      </c>
    </row>
    <row r="194" spans="2:15">
      <c r="E194" s="4">
        <f t="shared" si="74"/>
        <v>194</v>
      </c>
      <c r="F194" s="9" t="s">
        <v>137</v>
      </c>
      <c r="K194" s="9" t="s">
        <v>141</v>
      </c>
      <c r="O194" s="23">
        <v>1</v>
      </c>
    </row>
    <row r="195" spans="2:15">
      <c r="E195" s="4">
        <f t="shared" si="74"/>
        <v>195</v>
      </c>
      <c r="F195" s="9" t="s">
        <v>137</v>
      </c>
      <c r="G195" s="9" t="s">
        <v>262</v>
      </c>
      <c r="H195" s="9" t="s">
        <v>32</v>
      </c>
      <c r="I195" s="9" t="s">
        <v>34</v>
      </c>
      <c r="J195" s="9" t="s">
        <v>263</v>
      </c>
      <c r="K195" s="9" t="s">
        <v>140</v>
      </c>
      <c r="O195" s="23" t="str">
        <f t="shared" ref="O195:O258" ca="1" si="89">CONCATENATE(RANDBETWEEN($G$27*$I$27,$H$27*$I$27)/$I$27,$J$27)</f>
        <v>3.6,-4.5</v>
      </c>
    </row>
    <row r="196" spans="2:15">
      <c r="E196" s="4">
        <f t="shared" si="74"/>
        <v>196</v>
      </c>
      <c r="F196" s="9" t="s">
        <v>105</v>
      </c>
      <c r="O196" s="23">
        <f t="shared" ref="O196" si="90">O182*10+1</f>
        <v>100091</v>
      </c>
    </row>
    <row r="197" spans="2:15">
      <c r="E197" s="4">
        <f t="shared" si="74"/>
        <v>197</v>
      </c>
      <c r="F197" s="9" t="s">
        <v>156</v>
      </c>
      <c r="O197" s="23">
        <f t="shared" ref="O197" si="91">O182</f>
        <v>10009</v>
      </c>
    </row>
    <row r="198" spans="2:15">
      <c r="E198" s="4">
        <f t="shared" si="74"/>
        <v>198</v>
      </c>
      <c r="F198" s="9" t="s">
        <v>131</v>
      </c>
      <c r="O198" s="23">
        <v>0</v>
      </c>
    </row>
    <row r="199" spans="2:15">
      <c r="E199" s="4">
        <f t="shared" si="74"/>
        <v>199</v>
      </c>
      <c r="F199" s="9" t="s">
        <v>35</v>
      </c>
      <c r="O199" s="23" t="s">
        <v>252</v>
      </c>
    </row>
    <row r="200" spans="2:15">
      <c r="E200" s="4">
        <f t="shared" si="74"/>
        <v>200</v>
      </c>
      <c r="F200" s="9" t="s">
        <v>119</v>
      </c>
      <c r="O200" s="23" t="s">
        <v>22</v>
      </c>
    </row>
    <row r="201" spans="2:15">
      <c r="E201" s="4">
        <f t="shared" si="74"/>
        <v>201</v>
      </c>
      <c r="F201" s="9" t="s">
        <v>117</v>
      </c>
      <c r="L201" s="9" t="s">
        <v>138</v>
      </c>
      <c r="O201" s="23">
        <f t="shared" ref="O201" ca="1" si="92">O187</f>
        <v>-94</v>
      </c>
    </row>
    <row r="202" spans="2:15">
      <c r="B202" s="22">
        <f t="shared" ref="B202:B265" si="93">QUOTIENT( D202-1,G203)+1</f>
        <v>4</v>
      </c>
      <c r="C202" s="22">
        <f t="shared" ref="C202" si="94">D202-(B202-1)*G203</f>
        <v>1</v>
      </c>
      <c r="D202" s="22">
        <f>COUNT($D$12:$D201)+1</f>
        <v>10</v>
      </c>
      <c r="E202" s="4"/>
    </row>
    <row r="203" spans="2:15">
      <c r="E203" s="4">
        <f t="shared" si="74"/>
        <v>203</v>
      </c>
      <c r="F203" s="9" t="s">
        <v>96</v>
      </c>
      <c r="G203" s="9" t="s">
        <v>38</v>
      </c>
      <c r="H203" s="9" t="s">
        <v>282</v>
      </c>
      <c r="J203" s="9" t="s">
        <v>247</v>
      </c>
      <c r="O203" s="23">
        <f t="shared" ref="O203:O266" si="95">J203+D202</f>
        <v>10010</v>
      </c>
    </row>
    <row r="204" spans="2:15">
      <c r="E204" s="4">
        <f t="shared" si="74"/>
        <v>204</v>
      </c>
      <c r="F204" s="9" t="s">
        <v>165</v>
      </c>
      <c r="G204" s="9" t="s">
        <v>280</v>
      </c>
      <c r="H204" s="9" t="s">
        <v>249</v>
      </c>
      <c r="O204" s="23">
        <f t="shared" ref="O204" si="96">G204+B202*H204</f>
        <v>560</v>
      </c>
    </row>
    <row r="205" spans="2:15">
      <c r="E205" s="4">
        <f t="shared" si="74"/>
        <v>205</v>
      </c>
      <c r="F205" s="9" t="s">
        <v>35</v>
      </c>
      <c r="O205" s="23" t="s">
        <v>251</v>
      </c>
    </row>
    <row r="206" spans="2:15">
      <c r="E206" s="4">
        <f t="shared" si="74"/>
        <v>206</v>
      </c>
      <c r="F206" s="9" t="s">
        <v>29</v>
      </c>
      <c r="O206" s="23" t="s">
        <v>157</v>
      </c>
    </row>
    <row r="207" spans="2:15">
      <c r="E207" s="4">
        <f t="shared" si="74"/>
        <v>207</v>
      </c>
      <c r="F207" s="9" t="s">
        <v>122</v>
      </c>
      <c r="O207" s="23" t="s">
        <v>158</v>
      </c>
    </row>
    <row r="208" spans="2:15">
      <c r="E208" s="4">
        <f t="shared" si="74"/>
        <v>208</v>
      </c>
      <c r="F208" s="9" t="s">
        <v>117</v>
      </c>
      <c r="G208" s="9" t="s">
        <v>253</v>
      </c>
      <c r="H208" s="9" t="s">
        <v>254</v>
      </c>
      <c r="I208" s="9" t="s">
        <v>255</v>
      </c>
      <c r="J208" s="9" t="s">
        <v>256</v>
      </c>
      <c r="L208" s="9" t="s">
        <v>138</v>
      </c>
      <c r="O208" s="23">
        <f t="shared" ref="O208" ca="1" si="97">IF(MOD(D202,2)=0,RANDBETWEEN($I$19,$J$19),RANDBETWEEN($G$19,$H$19))</f>
        <v>81</v>
      </c>
    </row>
    <row r="209" spans="1:15">
      <c r="E209" s="4">
        <f t="shared" si="74"/>
        <v>209</v>
      </c>
      <c r="F209" s="9" t="s">
        <v>30</v>
      </c>
      <c r="O209" s="23" t="s">
        <v>33</v>
      </c>
    </row>
    <row r="210" spans="1:15">
      <c r="E210" s="4">
        <f t="shared" si="74"/>
        <v>210</v>
      </c>
      <c r="F210" s="9" t="s">
        <v>119</v>
      </c>
      <c r="G210" s="9" t="s">
        <v>257</v>
      </c>
      <c r="H210" s="9" t="s">
        <v>258</v>
      </c>
      <c r="I210" s="9" t="s">
        <v>34</v>
      </c>
      <c r="O210" s="23">
        <f t="shared" ref="O210:O273" ca="1" si="98">RANDBETWEEN($G$21*$I$21,$H$21*$I$21)/$I$21</f>
        <v>-8.6999999999999993</v>
      </c>
    </row>
    <row r="211" spans="1:15">
      <c r="E211" s="4">
        <f t="shared" si="74"/>
        <v>211</v>
      </c>
      <c r="F211" s="9" t="s">
        <v>112</v>
      </c>
      <c r="O211" s="23">
        <v>0</v>
      </c>
    </row>
    <row r="212" spans="1:15">
      <c r="A212" s="9"/>
      <c r="B212" s="9"/>
      <c r="C212" s="9"/>
      <c r="D212" s="9"/>
      <c r="E212" s="4">
        <f t="shared" si="74"/>
        <v>212</v>
      </c>
      <c r="F212" s="9" t="s">
        <v>102</v>
      </c>
      <c r="G212" s="9" t="s">
        <v>259</v>
      </c>
      <c r="H212" s="9" t="s">
        <v>260</v>
      </c>
      <c r="I212" s="9" t="s">
        <v>34</v>
      </c>
      <c r="J212" s="9" t="s">
        <v>261</v>
      </c>
      <c r="K212" s="9" t="s">
        <v>140</v>
      </c>
      <c r="O212" s="23" t="str">
        <f t="shared" ref="O212:O275" ca="1" si="99">CONCATENATE(RANDBETWEEN($G$23*$I$23,$H$23*$I$23)/$I$23,$J$23)</f>
        <v>-1.1,6</v>
      </c>
    </row>
    <row r="213" spans="1:15">
      <c r="E213" s="4">
        <f t="shared" si="74"/>
        <v>213</v>
      </c>
      <c r="F213" s="9" t="s">
        <v>31</v>
      </c>
      <c r="L213" s="9" t="s">
        <v>148</v>
      </c>
    </row>
    <row r="214" spans="1:15">
      <c r="E214" s="4">
        <f t="shared" si="74"/>
        <v>214</v>
      </c>
      <c r="F214" s="9" t="s">
        <v>136</v>
      </c>
      <c r="L214" s="9" t="s">
        <v>149</v>
      </c>
    </row>
    <row r="215" spans="1:15">
      <c r="E215" s="4">
        <f t="shared" si="74"/>
        <v>215</v>
      </c>
      <c r="F215" s="9" t="s">
        <v>137</v>
      </c>
      <c r="K215" s="9" t="s">
        <v>141</v>
      </c>
      <c r="O215" s="23">
        <v>1</v>
      </c>
    </row>
    <row r="216" spans="1:15">
      <c r="E216" s="4">
        <f t="shared" si="74"/>
        <v>216</v>
      </c>
      <c r="F216" s="9" t="s">
        <v>137</v>
      </c>
      <c r="G216" s="9" t="s">
        <v>262</v>
      </c>
      <c r="H216" s="9" t="s">
        <v>32</v>
      </c>
      <c r="I216" s="9" t="s">
        <v>34</v>
      </c>
      <c r="J216" s="9" t="s">
        <v>263</v>
      </c>
      <c r="K216" s="9" t="s">
        <v>140</v>
      </c>
      <c r="O216" s="23" t="str">
        <f t="shared" ref="O216:O279" ca="1" si="100">CONCATENATE(RANDBETWEEN($G$27*$I$27,$H$27*$I$27)/$I$27,$J$27)</f>
        <v>-1.1,-4.5</v>
      </c>
    </row>
    <row r="217" spans="1:15">
      <c r="E217" s="4">
        <f t="shared" si="74"/>
        <v>217</v>
      </c>
      <c r="F217" s="9" t="s">
        <v>105</v>
      </c>
      <c r="O217" s="23">
        <f t="shared" ref="O217" si="101">O203*10+1</f>
        <v>100101</v>
      </c>
    </row>
    <row r="218" spans="1:15">
      <c r="E218" s="4">
        <f t="shared" si="74"/>
        <v>218</v>
      </c>
      <c r="F218" s="9" t="s">
        <v>156</v>
      </c>
      <c r="O218" s="23">
        <f t="shared" ref="O218" si="102">O203</f>
        <v>10010</v>
      </c>
    </row>
    <row r="219" spans="1:15">
      <c r="E219" s="4">
        <f t="shared" si="74"/>
        <v>219</v>
      </c>
      <c r="F219" s="9" t="s">
        <v>131</v>
      </c>
      <c r="O219" s="23">
        <v>0</v>
      </c>
    </row>
    <row r="220" spans="1:15">
      <c r="E220" s="4">
        <f t="shared" si="74"/>
        <v>220</v>
      </c>
      <c r="F220" s="9" t="s">
        <v>35</v>
      </c>
      <c r="O220" s="23" t="s">
        <v>252</v>
      </c>
    </row>
    <row r="221" spans="1:15">
      <c r="E221" s="4">
        <f t="shared" si="74"/>
        <v>221</v>
      </c>
      <c r="F221" s="9" t="s">
        <v>119</v>
      </c>
      <c r="O221" s="23" t="s">
        <v>22</v>
      </c>
    </row>
    <row r="222" spans="1:15">
      <c r="E222" s="4">
        <f t="shared" si="74"/>
        <v>222</v>
      </c>
      <c r="F222" s="9" t="s">
        <v>117</v>
      </c>
      <c r="L222" s="9" t="s">
        <v>138</v>
      </c>
      <c r="O222" s="23">
        <f t="shared" ref="O222" ca="1" si="103">O208</f>
        <v>81</v>
      </c>
    </row>
    <row r="223" spans="1:15">
      <c r="B223" s="22">
        <f t="shared" ref="B223:B286" si="104">QUOTIENT( D223-1,G224)+1</f>
        <v>4</v>
      </c>
      <c r="C223" s="22">
        <f t="shared" ref="C223" si="105">D223-(B223-1)*G224</f>
        <v>2</v>
      </c>
      <c r="D223" s="22">
        <f>COUNT($D$12:$D222)+1</f>
        <v>11</v>
      </c>
      <c r="E223" s="4"/>
    </row>
    <row r="224" spans="1:15">
      <c r="E224" s="4">
        <f t="shared" si="74"/>
        <v>224</v>
      </c>
      <c r="F224" s="9" t="s">
        <v>96</v>
      </c>
      <c r="G224" s="9" t="s">
        <v>38</v>
      </c>
      <c r="H224" s="9" t="s">
        <v>282</v>
      </c>
      <c r="J224" s="9" t="s">
        <v>247</v>
      </c>
      <c r="O224" s="23">
        <f t="shared" ref="O224:O287" si="106">J224+D223</f>
        <v>10011</v>
      </c>
    </row>
    <row r="225" spans="1:15">
      <c r="E225" s="4">
        <f t="shared" si="74"/>
        <v>225</v>
      </c>
      <c r="F225" s="9" t="s">
        <v>165</v>
      </c>
      <c r="G225" s="9" t="s">
        <v>280</v>
      </c>
      <c r="H225" s="9" t="s">
        <v>249</v>
      </c>
      <c r="O225" s="23">
        <f t="shared" ref="O225" si="107">G225+B223*H225</f>
        <v>560</v>
      </c>
    </row>
    <row r="226" spans="1:15">
      <c r="E226" s="4">
        <f t="shared" si="74"/>
        <v>226</v>
      </c>
      <c r="F226" s="9" t="s">
        <v>35</v>
      </c>
      <c r="O226" s="23" t="s">
        <v>251</v>
      </c>
    </row>
    <row r="227" spans="1:15">
      <c r="E227" s="4">
        <f t="shared" ref="E227:E290" si="108">ROW(E227)</f>
        <v>227</v>
      </c>
      <c r="F227" s="9" t="s">
        <v>29</v>
      </c>
      <c r="O227" s="23" t="s">
        <v>157</v>
      </c>
    </row>
    <row r="228" spans="1:15">
      <c r="E228" s="4">
        <f t="shared" si="108"/>
        <v>228</v>
      </c>
      <c r="F228" s="9" t="s">
        <v>122</v>
      </c>
      <c r="O228" s="23" t="s">
        <v>158</v>
      </c>
    </row>
    <row r="229" spans="1:15">
      <c r="E229" s="4">
        <f t="shared" si="108"/>
        <v>229</v>
      </c>
      <c r="F229" s="9" t="s">
        <v>117</v>
      </c>
      <c r="G229" s="9" t="s">
        <v>253</v>
      </c>
      <c r="H229" s="9" t="s">
        <v>254</v>
      </c>
      <c r="I229" s="9" t="s">
        <v>255</v>
      </c>
      <c r="J229" s="9" t="s">
        <v>256</v>
      </c>
      <c r="L229" s="9" t="s">
        <v>138</v>
      </c>
      <c r="O229" s="23">
        <f t="shared" ref="O229" ca="1" si="109">IF(MOD(D223,2)=0,RANDBETWEEN($I$19,$J$19),RANDBETWEEN($G$19,$H$19))</f>
        <v>-113</v>
      </c>
    </row>
    <row r="230" spans="1:15">
      <c r="E230" s="4">
        <f t="shared" si="108"/>
        <v>230</v>
      </c>
      <c r="F230" s="9" t="s">
        <v>30</v>
      </c>
      <c r="O230" s="23" t="s">
        <v>33</v>
      </c>
    </row>
    <row r="231" spans="1:15">
      <c r="E231" s="4">
        <f t="shared" si="108"/>
        <v>231</v>
      </c>
      <c r="F231" s="9" t="s">
        <v>119</v>
      </c>
      <c r="G231" s="9" t="s">
        <v>257</v>
      </c>
      <c r="H231" s="9" t="s">
        <v>258</v>
      </c>
      <c r="I231" s="9" t="s">
        <v>34</v>
      </c>
      <c r="O231" s="23">
        <f t="shared" ref="O231:O294" ca="1" si="110">RANDBETWEEN($G$21*$I$21,$H$21*$I$21)/$I$21</f>
        <v>-5.9</v>
      </c>
    </row>
    <row r="232" spans="1:15">
      <c r="E232" s="4">
        <f t="shared" si="108"/>
        <v>232</v>
      </c>
      <c r="F232" s="9" t="s">
        <v>112</v>
      </c>
      <c r="O232" s="23">
        <v>0</v>
      </c>
    </row>
    <row r="233" spans="1:15">
      <c r="E233" s="4">
        <f t="shared" si="108"/>
        <v>233</v>
      </c>
      <c r="F233" s="9" t="s">
        <v>102</v>
      </c>
      <c r="G233" s="9" t="s">
        <v>259</v>
      </c>
      <c r="H233" s="9" t="s">
        <v>260</v>
      </c>
      <c r="I233" s="9" t="s">
        <v>34</v>
      </c>
      <c r="J233" s="9" t="s">
        <v>261</v>
      </c>
      <c r="K233" s="9" t="s">
        <v>140</v>
      </c>
      <c r="O233" s="23" t="str">
        <f t="shared" ref="O233:O296" ca="1" si="111">CONCATENATE(RANDBETWEEN($G$23*$I$23,$H$23*$I$23)/$I$23,$J$23)</f>
        <v>2,6</v>
      </c>
    </row>
    <row r="234" spans="1:15">
      <c r="A234" s="9"/>
      <c r="B234" s="9"/>
      <c r="C234" s="9"/>
      <c r="D234" s="9"/>
      <c r="E234" s="4">
        <f t="shared" si="108"/>
        <v>234</v>
      </c>
      <c r="F234" s="9" t="s">
        <v>31</v>
      </c>
      <c r="L234" s="9" t="s">
        <v>148</v>
      </c>
    </row>
    <row r="235" spans="1:15">
      <c r="E235" s="4">
        <f t="shared" si="108"/>
        <v>235</v>
      </c>
      <c r="F235" s="9" t="s">
        <v>136</v>
      </c>
      <c r="L235" s="9" t="s">
        <v>149</v>
      </c>
    </row>
    <row r="236" spans="1:15">
      <c r="E236" s="4">
        <f t="shared" si="108"/>
        <v>236</v>
      </c>
      <c r="F236" s="9" t="s">
        <v>137</v>
      </c>
      <c r="K236" s="9" t="s">
        <v>141</v>
      </c>
      <c r="O236" s="23">
        <v>1</v>
      </c>
    </row>
    <row r="237" spans="1:15">
      <c r="E237" s="4">
        <f t="shared" si="108"/>
        <v>237</v>
      </c>
      <c r="F237" s="9" t="s">
        <v>137</v>
      </c>
      <c r="G237" s="9" t="s">
        <v>262</v>
      </c>
      <c r="H237" s="9" t="s">
        <v>32</v>
      </c>
      <c r="I237" s="9" t="s">
        <v>34</v>
      </c>
      <c r="J237" s="9" t="s">
        <v>263</v>
      </c>
      <c r="K237" s="9" t="s">
        <v>140</v>
      </c>
      <c r="O237" s="23" t="str">
        <f t="shared" ref="O237:O300" ca="1" si="112">CONCATENATE(RANDBETWEEN($G$27*$I$27,$H$27*$I$27)/$I$27,$J$27)</f>
        <v>-0.5,-4.5</v>
      </c>
    </row>
    <row r="238" spans="1:15">
      <c r="E238" s="4">
        <f t="shared" si="108"/>
        <v>238</v>
      </c>
      <c r="F238" s="9" t="s">
        <v>105</v>
      </c>
      <c r="O238" s="23">
        <f t="shared" ref="O238" si="113">O224*10+1</f>
        <v>100111</v>
      </c>
    </row>
    <row r="239" spans="1:15">
      <c r="E239" s="4">
        <f t="shared" si="108"/>
        <v>239</v>
      </c>
      <c r="F239" s="9" t="s">
        <v>156</v>
      </c>
      <c r="O239" s="23">
        <f t="shared" ref="O239" si="114">O224</f>
        <v>10011</v>
      </c>
    </row>
    <row r="240" spans="1:15">
      <c r="E240" s="4">
        <f t="shared" si="108"/>
        <v>240</v>
      </c>
      <c r="F240" s="9" t="s">
        <v>131</v>
      </c>
      <c r="O240" s="23">
        <v>0</v>
      </c>
    </row>
    <row r="241" spans="1:15">
      <c r="E241" s="4">
        <f t="shared" si="108"/>
        <v>241</v>
      </c>
      <c r="F241" s="9" t="s">
        <v>35</v>
      </c>
      <c r="O241" s="23" t="s">
        <v>252</v>
      </c>
    </row>
    <row r="242" spans="1:15">
      <c r="E242" s="4">
        <f t="shared" si="108"/>
        <v>242</v>
      </c>
      <c r="F242" s="9" t="s">
        <v>119</v>
      </c>
      <c r="O242" s="23" t="s">
        <v>22</v>
      </c>
    </row>
    <row r="243" spans="1:15">
      <c r="E243" s="4">
        <f t="shared" si="108"/>
        <v>243</v>
      </c>
      <c r="F243" s="9" t="s">
        <v>117</v>
      </c>
      <c r="L243" s="9" t="s">
        <v>138</v>
      </c>
      <c r="O243" s="23">
        <f t="shared" ref="O243" ca="1" si="115">O229</f>
        <v>-113</v>
      </c>
    </row>
    <row r="244" spans="1:15">
      <c r="B244" s="22">
        <f t="shared" ref="B244:B307" si="116">QUOTIENT( D244-1,G245)+1</f>
        <v>4</v>
      </c>
      <c r="C244" s="22">
        <f t="shared" ref="C244" si="117">D244-(B244-1)*G245</f>
        <v>3</v>
      </c>
      <c r="D244" s="22">
        <f>COUNT($D$12:$D243)+1</f>
        <v>12</v>
      </c>
      <c r="E244" s="4"/>
    </row>
    <row r="245" spans="1:15">
      <c r="E245" s="4">
        <f t="shared" si="108"/>
        <v>245</v>
      </c>
      <c r="F245" s="9" t="s">
        <v>96</v>
      </c>
      <c r="G245" s="9" t="s">
        <v>38</v>
      </c>
      <c r="H245" s="9" t="s">
        <v>282</v>
      </c>
      <c r="J245" s="9" t="s">
        <v>247</v>
      </c>
      <c r="O245" s="23">
        <f t="shared" ref="O245:O308" si="118">J245+D244</f>
        <v>10012</v>
      </c>
    </row>
    <row r="246" spans="1:15">
      <c r="E246" s="4">
        <f t="shared" si="108"/>
        <v>246</v>
      </c>
      <c r="F246" s="9" t="s">
        <v>165</v>
      </c>
      <c r="G246" s="9" t="s">
        <v>280</v>
      </c>
      <c r="H246" s="9" t="s">
        <v>249</v>
      </c>
      <c r="O246" s="23">
        <f t="shared" ref="O246" si="119">G246+B244*H246</f>
        <v>560</v>
      </c>
    </row>
    <row r="247" spans="1:15">
      <c r="E247" s="4">
        <f t="shared" si="108"/>
        <v>247</v>
      </c>
      <c r="F247" s="9" t="s">
        <v>35</v>
      </c>
      <c r="O247" s="23" t="s">
        <v>251</v>
      </c>
    </row>
    <row r="248" spans="1:15">
      <c r="E248" s="4">
        <f t="shared" si="108"/>
        <v>248</v>
      </c>
      <c r="F248" s="9" t="s">
        <v>29</v>
      </c>
      <c r="O248" s="23" t="s">
        <v>157</v>
      </c>
    </row>
    <row r="249" spans="1:15">
      <c r="E249" s="4">
        <f t="shared" si="108"/>
        <v>249</v>
      </c>
      <c r="F249" s="9" t="s">
        <v>122</v>
      </c>
      <c r="O249" s="23" t="s">
        <v>158</v>
      </c>
    </row>
    <row r="250" spans="1:15">
      <c r="E250" s="4">
        <f t="shared" si="108"/>
        <v>250</v>
      </c>
      <c r="F250" s="9" t="s">
        <v>117</v>
      </c>
      <c r="G250" s="9" t="s">
        <v>253</v>
      </c>
      <c r="H250" s="9" t="s">
        <v>254</v>
      </c>
      <c r="I250" s="9" t="s">
        <v>255</v>
      </c>
      <c r="J250" s="9" t="s">
        <v>256</v>
      </c>
      <c r="L250" s="9" t="s">
        <v>138</v>
      </c>
      <c r="O250" s="23">
        <f t="shared" ref="O250" ca="1" si="120">IF(MOD(D244,2)=0,RANDBETWEEN($I$19,$J$19),RANDBETWEEN($G$19,$H$19))</f>
        <v>90</v>
      </c>
    </row>
    <row r="251" spans="1:15">
      <c r="E251" s="4">
        <f t="shared" si="108"/>
        <v>251</v>
      </c>
      <c r="F251" s="9" t="s">
        <v>30</v>
      </c>
      <c r="O251" s="23" t="s">
        <v>33</v>
      </c>
    </row>
    <row r="252" spans="1:15">
      <c r="E252" s="4">
        <f t="shared" si="108"/>
        <v>252</v>
      </c>
      <c r="F252" s="9" t="s">
        <v>119</v>
      </c>
      <c r="G252" s="9" t="s">
        <v>257</v>
      </c>
      <c r="H252" s="9" t="s">
        <v>258</v>
      </c>
      <c r="I252" s="9" t="s">
        <v>34</v>
      </c>
      <c r="O252" s="23">
        <f t="shared" ref="O252:O315" ca="1" si="121">RANDBETWEEN($G$21*$I$21,$H$21*$I$21)/$I$21</f>
        <v>-8.3000000000000007</v>
      </c>
    </row>
    <row r="253" spans="1:15">
      <c r="E253" s="4">
        <f t="shared" si="108"/>
        <v>253</v>
      </c>
      <c r="F253" s="9" t="s">
        <v>112</v>
      </c>
      <c r="O253" s="23">
        <v>0</v>
      </c>
    </row>
    <row r="254" spans="1:15">
      <c r="E254" s="4">
        <f t="shared" si="108"/>
        <v>254</v>
      </c>
      <c r="F254" s="9" t="s">
        <v>102</v>
      </c>
      <c r="G254" s="9" t="s">
        <v>259</v>
      </c>
      <c r="H254" s="9" t="s">
        <v>260</v>
      </c>
      <c r="I254" s="9" t="s">
        <v>34</v>
      </c>
      <c r="J254" s="9" t="s">
        <v>261</v>
      </c>
      <c r="K254" s="9" t="s">
        <v>140</v>
      </c>
      <c r="O254" s="23" t="str">
        <f t="shared" ref="O254:O317" ca="1" si="122">CONCATENATE(RANDBETWEEN($G$23*$I$23,$H$23*$I$23)/$I$23,$J$23)</f>
        <v>-1.8,6</v>
      </c>
    </row>
    <row r="255" spans="1:15">
      <c r="E255" s="4">
        <f t="shared" si="108"/>
        <v>255</v>
      </c>
      <c r="F255" s="9" t="s">
        <v>31</v>
      </c>
      <c r="L255" s="9" t="s">
        <v>148</v>
      </c>
    </row>
    <row r="256" spans="1:15">
      <c r="A256" s="9"/>
      <c r="B256" s="9"/>
      <c r="C256" s="9"/>
      <c r="D256" s="9"/>
      <c r="E256" s="4">
        <f t="shared" si="108"/>
        <v>256</v>
      </c>
      <c r="F256" s="9" t="s">
        <v>136</v>
      </c>
      <c r="L256" s="9" t="s">
        <v>149</v>
      </c>
    </row>
    <row r="257" spans="2:15">
      <c r="E257" s="4">
        <f t="shared" si="108"/>
        <v>257</v>
      </c>
      <c r="F257" s="9" t="s">
        <v>137</v>
      </c>
      <c r="K257" s="9" t="s">
        <v>141</v>
      </c>
      <c r="O257" s="23">
        <v>1</v>
      </c>
    </row>
    <row r="258" spans="2:15">
      <c r="E258" s="4">
        <f t="shared" si="108"/>
        <v>258</v>
      </c>
      <c r="F258" s="9" t="s">
        <v>137</v>
      </c>
      <c r="G258" s="9" t="s">
        <v>262</v>
      </c>
      <c r="H258" s="9" t="s">
        <v>32</v>
      </c>
      <c r="I258" s="9" t="s">
        <v>34</v>
      </c>
      <c r="J258" s="9" t="s">
        <v>263</v>
      </c>
      <c r="K258" s="9" t="s">
        <v>140</v>
      </c>
      <c r="O258" s="23" t="str">
        <f t="shared" ref="O258:O321" ca="1" si="123">CONCATENATE(RANDBETWEEN($G$27*$I$27,$H$27*$I$27)/$I$27,$J$27)</f>
        <v>3.7,-4.5</v>
      </c>
    </row>
    <row r="259" spans="2:15">
      <c r="E259" s="4">
        <f t="shared" si="108"/>
        <v>259</v>
      </c>
      <c r="F259" s="9" t="s">
        <v>105</v>
      </c>
      <c r="O259" s="23">
        <f t="shared" ref="O259" si="124">O245*10+1</f>
        <v>100121</v>
      </c>
    </row>
    <row r="260" spans="2:15">
      <c r="E260" s="4">
        <f t="shared" si="108"/>
        <v>260</v>
      </c>
      <c r="F260" s="9" t="s">
        <v>156</v>
      </c>
      <c r="O260" s="23">
        <f t="shared" ref="O260" si="125">O245</f>
        <v>10012</v>
      </c>
    </row>
    <row r="261" spans="2:15">
      <c r="E261" s="4">
        <f t="shared" si="108"/>
        <v>261</v>
      </c>
      <c r="F261" s="9" t="s">
        <v>131</v>
      </c>
      <c r="O261" s="23">
        <v>0</v>
      </c>
    </row>
    <row r="262" spans="2:15">
      <c r="E262" s="4">
        <f t="shared" si="108"/>
        <v>262</v>
      </c>
      <c r="F262" s="9" t="s">
        <v>35</v>
      </c>
      <c r="O262" s="23" t="s">
        <v>252</v>
      </c>
    </row>
    <row r="263" spans="2:15">
      <c r="E263" s="4">
        <f t="shared" si="108"/>
        <v>263</v>
      </c>
      <c r="F263" s="9" t="s">
        <v>119</v>
      </c>
      <c r="O263" s="23" t="s">
        <v>22</v>
      </c>
    </row>
    <row r="264" spans="2:15">
      <c r="E264" s="4">
        <f t="shared" si="108"/>
        <v>264</v>
      </c>
      <c r="F264" s="9" t="s">
        <v>117</v>
      </c>
      <c r="L264" s="9" t="s">
        <v>138</v>
      </c>
      <c r="O264" s="23">
        <f t="shared" ref="O264" ca="1" si="126">O250</f>
        <v>90</v>
      </c>
    </row>
    <row r="265" spans="2:15">
      <c r="B265" s="22">
        <f t="shared" ref="B265:B328" si="127">QUOTIENT( D265-1,G266)+1</f>
        <v>5</v>
      </c>
      <c r="C265" s="22">
        <f t="shared" ref="C265" si="128">D265-(B265-1)*G266</f>
        <v>1</v>
      </c>
      <c r="D265" s="22">
        <f>COUNT($D$12:$D264)+1</f>
        <v>13</v>
      </c>
      <c r="E265" s="4"/>
    </row>
    <row r="266" spans="2:15">
      <c r="E266" s="4">
        <f t="shared" si="108"/>
        <v>266</v>
      </c>
      <c r="F266" s="9" t="s">
        <v>96</v>
      </c>
      <c r="G266" s="9" t="s">
        <v>38</v>
      </c>
      <c r="H266" s="9" t="s">
        <v>282</v>
      </c>
      <c r="J266" s="9" t="s">
        <v>247</v>
      </c>
      <c r="O266" s="23">
        <f t="shared" ref="O266:O329" si="129">J266+D265</f>
        <v>10013</v>
      </c>
    </row>
    <row r="267" spans="2:15">
      <c r="E267" s="4">
        <f t="shared" si="108"/>
        <v>267</v>
      </c>
      <c r="F267" s="9" t="s">
        <v>165</v>
      </c>
      <c r="G267" s="9" t="s">
        <v>280</v>
      </c>
      <c r="H267" s="9" t="s">
        <v>249</v>
      </c>
      <c r="O267" s="23">
        <f t="shared" ref="O267" si="130">G267+B265*H267</f>
        <v>575</v>
      </c>
    </row>
    <row r="268" spans="2:15">
      <c r="E268" s="4">
        <f t="shared" si="108"/>
        <v>268</v>
      </c>
      <c r="F268" s="9" t="s">
        <v>35</v>
      </c>
      <c r="O268" s="23" t="s">
        <v>251</v>
      </c>
    </row>
    <row r="269" spans="2:15">
      <c r="E269" s="4">
        <f t="shared" si="108"/>
        <v>269</v>
      </c>
      <c r="F269" s="9" t="s">
        <v>29</v>
      </c>
      <c r="O269" s="23" t="s">
        <v>157</v>
      </c>
    </row>
    <row r="270" spans="2:15">
      <c r="E270" s="4">
        <f t="shared" si="108"/>
        <v>270</v>
      </c>
      <c r="F270" s="9" t="s">
        <v>122</v>
      </c>
      <c r="O270" s="23" t="s">
        <v>158</v>
      </c>
    </row>
    <row r="271" spans="2:15">
      <c r="E271" s="4">
        <f t="shared" si="108"/>
        <v>271</v>
      </c>
      <c r="F271" s="9" t="s">
        <v>117</v>
      </c>
      <c r="G271" s="9" t="s">
        <v>253</v>
      </c>
      <c r="H271" s="9" t="s">
        <v>254</v>
      </c>
      <c r="I271" s="9" t="s">
        <v>255</v>
      </c>
      <c r="J271" s="9" t="s">
        <v>256</v>
      </c>
      <c r="L271" s="9" t="s">
        <v>138</v>
      </c>
      <c r="O271" s="23">
        <f t="shared" ref="O271" ca="1" si="131">IF(MOD(D265,2)=0,RANDBETWEEN($I$19,$J$19),RANDBETWEEN($G$19,$H$19))</f>
        <v>-80</v>
      </c>
    </row>
    <row r="272" spans="2:15">
      <c r="E272" s="4">
        <f t="shared" si="108"/>
        <v>272</v>
      </c>
      <c r="F272" s="9" t="s">
        <v>30</v>
      </c>
      <c r="O272" s="23" t="s">
        <v>33</v>
      </c>
    </row>
    <row r="273" spans="1:15">
      <c r="E273" s="4">
        <f t="shared" si="108"/>
        <v>273</v>
      </c>
      <c r="F273" s="9" t="s">
        <v>119</v>
      </c>
      <c r="G273" s="9" t="s">
        <v>257</v>
      </c>
      <c r="H273" s="9" t="s">
        <v>258</v>
      </c>
      <c r="I273" s="9" t="s">
        <v>34</v>
      </c>
      <c r="O273" s="23">
        <f t="shared" ref="O273:O336" ca="1" si="132">RANDBETWEEN($G$21*$I$21,$H$21*$I$21)/$I$21</f>
        <v>-5</v>
      </c>
    </row>
    <row r="274" spans="1:15">
      <c r="E274" s="4">
        <f t="shared" si="108"/>
        <v>274</v>
      </c>
      <c r="F274" s="9" t="s">
        <v>112</v>
      </c>
      <c r="O274" s="23">
        <v>0</v>
      </c>
    </row>
    <row r="275" spans="1:15">
      <c r="E275" s="4">
        <f t="shared" si="108"/>
        <v>275</v>
      </c>
      <c r="F275" s="9" t="s">
        <v>102</v>
      </c>
      <c r="G275" s="9" t="s">
        <v>259</v>
      </c>
      <c r="H275" s="9" t="s">
        <v>260</v>
      </c>
      <c r="I275" s="9" t="s">
        <v>34</v>
      </c>
      <c r="J275" s="9" t="s">
        <v>261</v>
      </c>
      <c r="K275" s="9" t="s">
        <v>140</v>
      </c>
      <c r="O275" s="23" t="str">
        <f t="shared" ref="O275:O338" ca="1" si="133">CONCATENATE(RANDBETWEEN($G$23*$I$23,$H$23*$I$23)/$I$23,$J$23)</f>
        <v>-1.3,6</v>
      </c>
    </row>
    <row r="276" spans="1:15">
      <c r="E276" s="4">
        <f t="shared" si="108"/>
        <v>276</v>
      </c>
      <c r="F276" s="9" t="s">
        <v>31</v>
      </c>
      <c r="L276" s="9" t="s">
        <v>148</v>
      </c>
    </row>
    <row r="277" spans="1:15">
      <c r="E277" s="4">
        <f t="shared" si="108"/>
        <v>277</v>
      </c>
      <c r="F277" s="9" t="s">
        <v>136</v>
      </c>
      <c r="L277" s="9" t="s">
        <v>149</v>
      </c>
    </row>
    <row r="278" spans="1:15">
      <c r="A278" s="9"/>
      <c r="B278" s="9"/>
      <c r="C278" s="9"/>
      <c r="D278" s="9"/>
      <c r="E278" s="4">
        <f t="shared" si="108"/>
        <v>278</v>
      </c>
      <c r="F278" s="9" t="s">
        <v>137</v>
      </c>
      <c r="K278" s="9" t="s">
        <v>141</v>
      </c>
      <c r="O278" s="23">
        <v>1</v>
      </c>
    </row>
    <row r="279" spans="1:15">
      <c r="E279" s="4">
        <f t="shared" si="108"/>
        <v>279</v>
      </c>
      <c r="F279" s="9" t="s">
        <v>137</v>
      </c>
      <c r="G279" s="9" t="s">
        <v>262</v>
      </c>
      <c r="H279" s="9" t="s">
        <v>32</v>
      </c>
      <c r="I279" s="9" t="s">
        <v>34</v>
      </c>
      <c r="J279" s="9" t="s">
        <v>263</v>
      </c>
      <c r="K279" s="9" t="s">
        <v>140</v>
      </c>
      <c r="O279" s="23" t="str">
        <f t="shared" ref="O279:O342" ca="1" si="134">CONCATENATE(RANDBETWEEN($G$27*$I$27,$H$27*$I$27)/$I$27,$J$27)</f>
        <v>-0.2,-4.5</v>
      </c>
    </row>
    <row r="280" spans="1:15">
      <c r="E280" s="4">
        <f t="shared" si="108"/>
        <v>280</v>
      </c>
      <c r="F280" s="9" t="s">
        <v>105</v>
      </c>
      <c r="O280" s="23">
        <f t="shared" ref="O280" si="135">O266*10+1</f>
        <v>100131</v>
      </c>
    </row>
    <row r="281" spans="1:15">
      <c r="E281" s="4">
        <f t="shared" si="108"/>
        <v>281</v>
      </c>
      <c r="F281" s="9" t="s">
        <v>156</v>
      </c>
      <c r="O281" s="23">
        <f t="shared" ref="O281" si="136">O266</f>
        <v>10013</v>
      </c>
    </row>
    <row r="282" spans="1:15">
      <c r="E282" s="4">
        <f t="shared" si="108"/>
        <v>282</v>
      </c>
      <c r="F282" s="9" t="s">
        <v>131</v>
      </c>
      <c r="O282" s="23">
        <v>0</v>
      </c>
    </row>
    <row r="283" spans="1:15">
      <c r="E283" s="4">
        <f t="shared" si="108"/>
        <v>283</v>
      </c>
      <c r="F283" s="9" t="s">
        <v>35</v>
      </c>
      <c r="O283" s="23" t="s">
        <v>252</v>
      </c>
    </row>
    <row r="284" spans="1:15">
      <c r="E284" s="4">
        <f t="shared" si="108"/>
        <v>284</v>
      </c>
      <c r="F284" s="9" t="s">
        <v>119</v>
      </c>
      <c r="O284" s="23" t="s">
        <v>22</v>
      </c>
    </row>
    <row r="285" spans="1:15">
      <c r="E285" s="4">
        <f t="shared" si="108"/>
        <v>285</v>
      </c>
      <c r="F285" s="9" t="s">
        <v>117</v>
      </c>
      <c r="L285" s="9" t="s">
        <v>138</v>
      </c>
      <c r="O285" s="23">
        <f t="shared" ref="O285" ca="1" si="137">O271</f>
        <v>-80</v>
      </c>
    </row>
    <row r="286" spans="1:15">
      <c r="B286" s="22">
        <f t="shared" ref="B286:B349" si="138">QUOTIENT( D286-1,G287)+1</f>
        <v>5</v>
      </c>
      <c r="C286" s="22">
        <f t="shared" ref="C286" si="139">D286-(B286-1)*G287</f>
        <v>2</v>
      </c>
      <c r="D286" s="22">
        <f>COUNT($D$12:$D285)+1</f>
        <v>14</v>
      </c>
      <c r="E286" s="4"/>
    </row>
    <row r="287" spans="1:15">
      <c r="E287" s="4">
        <f t="shared" si="108"/>
        <v>287</v>
      </c>
      <c r="F287" s="9" t="s">
        <v>96</v>
      </c>
      <c r="G287" s="9" t="s">
        <v>38</v>
      </c>
      <c r="H287" s="9" t="s">
        <v>282</v>
      </c>
      <c r="J287" s="9" t="s">
        <v>247</v>
      </c>
      <c r="O287" s="23">
        <f t="shared" ref="O287:O350" si="140">J287+D286</f>
        <v>10014</v>
      </c>
    </row>
    <row r="288" spans="1:15">
      <c r="E288" s="4">
        <f t="shared" si="108"/>
        <v>288</v>
      </c>
      <c r="F288" s="9" t="s">
        <v>165</v>
      </c>
      <c r="G288" s="9" t="s">
        <v>280</v>
      </c>
      <c r="H288" s="9" t="s">
        <v>249</v>
      </c>
      <c r="O288" s="23">
        <f t="shared" ref="O288" si="141">G288+B286*H288</f>
        <v>575</v>
      </c>
    </row>
    <row r="289" spans="1:15">
      <c r="E289" s="4">
        <f t="shared" si="108"/>
        <v>289</v>
      </c>
      <c r="F289" s="9" t="s">
        <v>35</v>
      </c>
      <c r="O289" s="23" t="s">
        <v>251</v>
      </c>
    </row>
    <row r="290" spans="1:15">
      <c r="E290" s="4">
        <f t="shared" si="108"/>
        <v>290</v>
      </c>
      <c r="F290" s="9" t="s">
        <v>29</v>
      </c>
      <c r="O290" s="23" t="s">
        <v>157</v>
      </c>
    </row>
    <row r="291" spans="1:15">
      <c r="E291" s="4">
        <f t="shared" ref="E291:E354" si="142">ROW(E291)</f>
        <v>291</v>
      </c>
      <c r="F291" s="9" t="s">
        <v>122</v>
      </c>
      <c r="O291" s="23" t="s">
        <v>158</v>
      </c>
    </row>
    <row r="292" spans="1:15">
      <c r="E292" s="4">
        <f t="shared" si="142"/>
        <v>292</v>
      </c>
      <c r="F292" s="9" t="s">
        <v>117</v>
      </c>
      <c r="G292" s="9" t="s">
        <v>253</v>
      </c>
      <c r="H292" s="9" t="s">
        <v>254</v>
      </c>
      <c r="I292" s="9" t="s">
        <v>255</v>
      </c>
      <c r="J292" s="9" t="s">
        <v>256</v>
      </c>
      <c r="L292" s="9" t="s">
        <v>138</v>
      </c>
      <c r="O292" s="23">
        <f t="shared" ref="O292" ca="1" si="143">IF(MOD(D286,2)=0,RANDBETWEEN($I$19,$J$19),RANDBETWEEN($G$19,$H$19))</f>
        <v>114</v>
      </c>
    </row>
    <row r="293" spans="1:15">
      <c r="E293" s="4">
        <f t="shared" si="142"/>
        <v>293</v>
      </c>
      <c r="F293" s="9" t="s">
        <v>30</v>
      </c>
      <c r="O293" s="23" t="s">
        <v>33</v>
      </c>
    </row>
    <row r="294" spans="1:15">
      <c r="E294" s="4">
        <f t="shared" si="142"/>
        <v>294</v>
      </c>
      <c r="F294" s="9" t="s">
        <v>119</v>
      </c>
      <c r="G294" s="9" t="s">
        <v>257</v>
      </c>
      <c r="H294" s="9" t="s">
        <v>258</v>
      </c>
      <c r="I294" s="9" t="s">
        <v>34</v>
      </c>
      <c r="O294" s="23">
        <f t="shared" ref="O294:O357" ca="1" si="144">RANDBETWEEN($G$21*$I$21,$H$21*$I$21)/$I$21</f>
        <v>-6</v>
      </c>
    </row>
    <row r="295" spans="1:15">
      <c r="E295" s="4">
        <f t="shared" si="142"/>
        <v>295</v>
      </c>
      <c r="F295" s="9" t="s">
        <v>112</v>
      </c>
      <c r="O295" s="23">
        <v>0</v>
      </c>
    </row>
    <row r="296" spans="1:15">
      <c r="E296" s="4">
        <f t="shared" si="142"/>
        <v>296</v>
      </c>
      <c r="F296" s="9" t="s">
        <v>102</v>
      </c>
      <c r="G296" s="9" t="s">
        <v>259</v>
      </c>
      <c r="H296" s="9" t="s">
        <v>260</v>
      </c>
      <c r="I296" s="9" t="s">
        <v>34</v>
      </c>
      <c r="J296" s="9" t="s">
        <v>261</v>
      </c>
      <c r="K296" s="9" t="s">
        <v>140</v>
      </c>
      <c r="O296" s="23" t="str">
        <f t="shared" ref="O296:O359" ca="1" si="145">CONCATENATE(RANDBETWEEN($G$23*$I$23,$H$23*$I$23)/$I$23,$J$23)</f>
        <v>4.4,6</v>
      </c>
    </row>
    <row r="297" spans="1:15">
      <c r="E297" s="4">
        <f t="shared" si="142"/>
        <v>297</v>
      </c>
      <c r="F297" s="9" t="s">
        <v>31</v>
      </c>
      <c r="L297" s="9" t="s">
        <v>148</v>
      </c>
    </row>
    <row r="298" spans="1:15">
      <c r="E298" s="4">
        <f t="shared" si="142"/>
        <v>298</v>
      </c>
      <c r="F298" s="9" t="s">
        <v>136</v>
      </c>
      <c r="L298" s="9" t="s">
        <v>149</v>
      </c>
    </row>
    <row r="299" spans="1:15">
      <c r="E299" s="4">
        <f t="shared" si="142"/>
        <v>299</v>
      </c>
      <c r="F299" s="9" t="s">
        <v>137</v>
      </c>
      <c r="K299" s="9" t="s">
        <v>141</v>
      </c>
      <c r="O299" s="23">
        <v>1</v>
      </c>
    </row>
    <row r="300" spans="1:15">
      <c r="A300" s="9"/>
      <c r="B300" s="9"/>
      <c r="C300" s="9"/>
      <c r="D300" s="9"/>
      <c r="E300" s="4">
        <f t="shared" si="142"/>
        <v>300</v>
      </c>
      <c r="F300" s="9" t="s">
        <v>137</v>
      </c>
      <c r="G300" s="9" t="s">
        <v>262</v>
      </c>
      <c r="H300" s="9" t="s">
        <v>32</v>
      </c>
      <c r="I300" s="9" t="s">
        <v>34</v>
      </c>
      <c r="J300" s="9" t="s">
        <v>263</v>
      </c>
      <c r="K300" s="9" t="s">
        <v>140</v>
      </c>
      <c r="O300" s="23" t="str">
        <f t="shared" ref="O300:O363" ca="1" si="146">CONCATENATE(RANDBETWEEN($G$27*$I$27,$H$27*$I$27)/$I$27,$J$27)</f>
        <v>6,-4.5</v>
      </c>
    </row>
    <row r="301" spans="1:15">
      <c r="E301" s="4">
        <f t="shared" si="142"/>
        <v>301</v>
      </c>
      <c r="F301" s="9" t="s">
        <v>105</v>
      </c>
      <c r="O301" s="23">
        <f t="shared" ref="O301" si="147">O287*10+1</f>
        <v>100141</v>
      </c>
    </row>
    <row r="302" spans="1:15">
      <c r="E302" s="4">
        <f t="shared" si="142"/>
        <v>302</v>
      </c>
      <c r="F302" s="9" t="s">
        <v>156</v>
      </c>
      <c r="O302" s="23">
        <f t="shared" ref="O302" si="148">O287</f>
        <v>10014</v>
      </c>
    </row>
    <row r="303" spans="1:15">
      <c r="E303" s="4">
        <f t="shared" si="142"/>
        <v>303</v>
      </c>
      <c r="F303" s="9" t="s">
        <v>131</v>
      </c>
      <c r="O303" s="23">
        <v>0</v>
      </c>
    </row>
    <row r="304" spans="1:15">
      <c r="E304" s="4">
        <f t="shared" si="142"/>
        <v>304</v>
      </c>
      <c r="F304" s="9" t="s">
        <v>35</v>
      </c>
      <c r="O304" s="23" t="s">
        <v>252</v>
      </c>
    </row>
    <row r="305" spans="2:15">
      <c r="E305" s="4">
        <f t="shared" si="142"/>
        <v>305</v>
      </c>
      <c r="F305" s="9" t="s">
        <v>119</v>
      </c>
      <c r="O305" s="23" t="s">
        <v>22</v>
      </c>
    </row>
    <row r="306" spans="2:15">
      <c r="E306" s="4">
        <f t="shared" si="142"/>
        <v>306</v>
      </c>
      <c r="F306" s="9" t="s">
        <v>117</v>
      </c>
      <c r="L306" s="9" t="s">
        <v>138</v>
      </c>
      <c r="O306" s="23">
        <f t="shared" ref="O306" ca="1" si="149">O292</f>
        <v>114</v>
      </c>
    </row>
    <row r="307" spans="2:15">
      <c r="B307" s="22">
        <f t="shared" ref="B307:B370" si="150">QUOTIENT( D307-1,G308)+1</f>
        <v>5</v>
      </c>
      <c r="C307" s="22">
        <f t="shared" ref="C307" si="151">D307-(B307-1)*G308</f>
        <v>3</v>
      </c>
      <c r="D307" s="22">
        <f>COUNT($D$12:$D306)+1</f>
        <v>15</v>
      </c>
      <c r="E307" s="4"/>
    </row>
    <row r="308" spans="2:15">
      <c r="E308" s="4">
        <f t="shared" si="142"/>
        <v>308</v>
      </c>
      <c r="F308" s="9" t="s">
        <v>96</v>
      </c>
      <c r="G308" s="9" t="s">
        <v>38</v>
      </c>
      <c r="H308" s="9" t="s">
        <v>282</v>
      </c>
      <c r="J308" s="9" t="s">
        <v>247</v>
      </c>
      <c r="O308" s="23">
        <f t="shared" ref="O308:O371" si="152">J308+D307</f>
        <v>10015</v>
      </c>
    </row>
    <row r="309" spans="2:15">
      <c r="E309" s="4">
        <f t="shared" si="142"/>
        <v>309</v>
      </c>
      <c r="F309" s="9" t="s">
        <v>165</v>
      </c>
      <c r="G309" s="9" t="s">
        <v>280</v>
      </c>
      <c r="H309" s="9" t="s">
        <v>249</v>
      </c>
      <c r="O309" s="23">
        <f t="shared" ref="O309" si="153">G309+B307*H309</f>
        <v>575</v>
      </c>
    </row>
    <row r="310" spans="2:15">
      <c r="E310" s="4">
        <f t="shared" si="142"/>
        <v>310</v>
      </c>
      <c r="F310" s="9" t="s">
        <v>35</v>
      </c>
      <c r="O310" s="23" t="s">
        <v>251</v>
      </c>
    </row>
    <row r="311" spans="2:15">
      <c r="E311" s="4">
        <f t="shared" si="142"/>
        <v>311</v>
      </c>
      <c r="F311" s="9" t="s">
        <v>29</v>
      </c>
      <c r="O311" s="23" t="s">
        <v>157</v>
      </c>
    </row>
    <row r="312" spans="2:15">
      <c r="E312" s="4">
        <f t="shared" si="142"/>
        <v>312</v>
      </c>
      <c r="F312" s="9" t="s">
        <v>122</v>
      </c>
      <c r="O312" s="23" t="s">
        <v>158</v>
      </c>
    </row>
    <row r="313" spans="2:15">
      <c r="E313" s="4">
        <f t="shared" si="142"/>
        <v>313</v>
      </c>
      <c r="F313" s="9" t="s">
        <v>117</v>
      </c>
      <c r="G313" s="9" t="s">
        <v>253</v>
      </c>
      <c r="H313" s="9" t="s">
        <v>254</v>
      </c>
      <c r="I313" s="9" t="s">
        <v>255</v>
      </c>
      <c r="J313" s="9" t="s">
        <v>256</v>
      </c>
      <c r="L313" s="9" t="s">
        <v>138</v>
      </c>
      <c r="O313" s="23">
        <f t="shared" ref="O313" ca="1" si="154">IF(MOD(D307,2)=0,RANDBETWEEN($I$19,$J$19),RANDBETWEEN($G$19,$H$19))</f>
        <v>-108</v>
      </c>
    </row>
    <row r="314" spans="2:15">
      <c r="E314" s="4">
        <f t="shared" si="142"/>
        <v>314</v>
      </c>
      <c r="F314" s="9" t="s">
        <v>30</v>
      </c>
      <c r="O314" s="23" t="s">
        <v>33</v>
      </c>
    </row>
    <row r="315" spans="2:15">
      <c r="E315" s="4">
        <f t="shared" si="142"/>
        <v>315</v>
      </c>
      <c r="F315" s="9" t="s">
        <v>119</v>
      </c>
      <c r="G315" s="9" t="s">
        <v>257</v>
      </c>
      <c r="H315" s="9" t="s">
        <v>258</v>
      </c>
      <c r="I315" s="9" t="s">
        <v>34</v>
      </c>
      <c r="O315" s="23">
        <f t="shared" ref="O315:O378" ca="1" si="155">RANDBETWEEN($G$21*$I$21,$H$21*$I$21)/$I$21</f>
        <v>-6.7</v>
      </c>
    </row>
    <row r="316" spans="2:15">
      <c r="E316" s="4">
        <f t="shared" si="142"/>
        <v>316</v>
      </c>
      <c r="F316" s="9" t="s">
        <v>112</v>
      </c>
      <c r="O316" s="23">
        <v>0</v>
      </c>
    </row>
    <row r="317" spans="2:15">
      <c r="E317" s="4">
        <f t="shared" si="142"/>
        <v>317</v>
      </c>
      <c r="F317" s="9" t="s">
        <v>102</v>
      </c>
      <c r="G317" s="9" t="s">
        <v>259</v>
      </c>
      <c r="H317" s="9" t="s">
        <v>260</v>
      </c>
      <c r="I317" s="9" t="s">
        <v>34</v>
      </c>
      <c r="J317" s="9" t="s">
        <v>261</v>
      </c>
      <c r="K317" s="9" t="s">
        <v>140</v>
      </c>
      <c r="O317" s="23" t="str">
        <f t="shared" ref="O317:O380" ca="1" si="156">CONCATENATE(RANDBETWEEN($G$23*$I$23,$H$23*$I$23)/$I$23,$J$23)</f>
        <v>3.1,6</v>
      </c>
    </row>
    <row r="318" spans="2:15">
      <c r="E318" s="4">
        <f t="shared" si="142"/>
        <v>318</v>
      </c>
      <c r="F318" s="9" t="s">
        <v>31</v>
      </c>
      <c r="L318" s="9" t="s">
        <v>148</v>
      </c>
    </row>
    <row r="319" spans="2:15">
      <c r="E319" s="4">
        <f t="shared" si="142"/>
        <v>319</v>
      </c>
      <c r="F319" s="9" t="s">
        <v>136</v>
      </c>
      <c r="L319" s="9" t="s">
        <v>149</v>
      </c>
    </row>
    <row r="320" spans="2:15">
      <c r="E320" s="4">
        <f t="shared" si="142"/>
        <v>320</v>
      </c>
      <c r="F320" s="9" t="s">
        <v>137</v>
      </c>
      <c r="K320" s="9" t="s">
        <v>141</v>
      </c>
      <c r="O320" s="23">
        <v>1</v>
      </c>
    </row>
    <row r="321" spans="1:15">
      <c r="E321" s="4">
        <f t="shared" si="142"/>
        <v>321</v>
      </c>
      <c r="F321" s="9" t="s">
        <v>137</v>
      </c>
      <c r="G321" s="9" t="s">
        <v>262</v>
      </c>
      <c r="H321" s="9" t="s">
        <v>32</v>
      </c>
      <c r="I321" s="9" t="s">
        <v>34</v>
      </c>
      <c r="J321" s="9" t="s">
        <v>263</v>
      </c>
      <c r="K321" s="9" t="s">
        <v>140</v>
      </c>
      <c r="O321" s="23" t="str">
        <f t="shared" ref="O321:O384" ca="1" si="157">CONCATENATE(RANDBETWEEN($G$27*$I$27,$H$27*$I$27)/$I$27,$J$27)</f>
        <v>0.4,-4.5</v>
      </c>
    </row>
    <row r="322" spans="1:15">
      <c r="A322" s="9"/>
      <c r="B322" s="9"/>
      <c r="C322" s="9"/>
      <c r="D322" s="9"/>
      <c r="E322" s="4">
        <f t="shared" si="142"/>
        <v>322</v>
      </c>
      <c r="F322" s="9" t="s">
        <v>105</v>
      </c>
      <c r="O322" s="23">
        <f t="shared" ref="O322" si="158">O308*10+1</f>
        <v>100151</v>
      </c>
    </row>
    <row r="323" spans="1:15">
      <c r="E323" s="4">
        <f t="shared" si="142"/>
        <v>323</v>
      </c>
      <c r="F323" s="9" t="s">
        <v>156</v>
      </c>
      <c r="O323" s="23">
        <f t="shared" ref="O323" si="159">O308</f>
        <v>10015</v>
      </c>
    </row>
    <row r="324" spans="1:15">
      <c r="E324" s="4">
        <f t="shared" si="142"/>
        <v>324</v>
      </c>
      <c r="F324" s="9" t="s">
        <v>131</v>
      </c>
      <c r="O324" s="23">
        <v>0</v>
      </c>
    </row>
    <row r="325" spans="1:15">
      <c r="E325" s="4">
        <f t="shared" si="142"/>
        <v>325</v>
      </c>
      <c r="F325" s="9" t="s">
        <v>35</v>
      </c>
      <c r="O325" s="23" t="s">
        <v>252</v>
      </c>
    </row>
    <row r="326" spans="1:15">
      <c r="E326" s="4">
        <f t="shared" si="142"/>
        <v>326</v>
      </c>
      <c r="F326" s="9" t="s">
        <v>119</v>
      </c>
      <c r="O326" s="23" t="s">
        <v>22</v>
      </c>
    </row>
    <row r="327" spans="1:15">
      <c r="E327" s="4">
        <f t="shared" si="142"/>
        <v>327</v>
      </c>
      <c r="F327" s="9" t="s">
        <v>117</v>
      </c>
      <c r="L327" s="9" t="s">
        <v>138</v>
      </c>
      <c r="O327" s="23">
        <f t="shared" ref="O327" ca="1" si="160">O313</f>
        <v>-108</v>
      </c>
    </row>
    <row r="328" spans="1:15">
      <c r="B328" s="22">
        <f t="shared" ref="B328:B391" si="161">QUOTIENT( D328-1,G329)+1</f>
        <v>6</v>
      </c>
      <c r="C328" s="22">
        <f t="shared" ref="C328" si="162">D328-(B328-1)*G329</f>
        <v>1</v>
      </c>
      <c r="D328" s="22">
        <f>COUNT($D$12:$D327)+1</f>
        <v>16</v>
      </c>
      <c r="E328" s="4"/>
    </row>
    <row r="329" spans="1:15">
      <c r="E329" s="4">
        <f t="shared" si="142"/>
        <v>329</v>
      </c>
      <c r="F329" s="9" t="s">
        <v>96</v>
      </c>
      <c r="G329" s="9" t="s">
        <v>38</v>
      </c>
      <c r="H329" s="9" t="s">
        <v>282</v>
      </c>
      <c r="J329" s="9" t="s">
        <v>247</v>
      </c>
      <c r="O329" s="23">
        <f t="shared" ref="O329:O392" si="163">J329+D328</f>
        <v>10016</v>
      </c>
    </row>
    <row r="330" spans="1:15">
      <c r="E330" s="4">
        <f t="shared" si="142"/>
        <v>330</v>
      </c>
      <c r="F330" s="9" t="s">
        <v>165</v>
      </c>
      <c r="G330" s="9" t="s">
        <v>280</v>
      </c>
      <c r="H330" s="9" t="s">
        <v>249</v>
      </c>
      <c r="O330" s="23">
        <f t="shared" ref="O330" si="164">G330+B328*H330</f>
        <v>590</v>
      </c>
    </row>
    <row r="331" spans="1:15">
      <c r="E331" s="4">
        <f t="shared" si="142"/>
        <v>331</v>
      </c>
      <c r="F331" s="9" t="s">
        <v>35</v>
      </c>
      <c r="O331" s="23" t="s">
        <v>251</v>
      </c>
    </row>
    <row r="332" spans="1:15">
      <c r="E332" s="4">
        <f t="shared" si="142"/>
        <v>332</v>
      </c>
      <c r="F332" s="9" t="s">
        <v>29</v>
      </c>
      <c r="O332" s="23" t="s">
        <v>157</v>
      </c>
    </row>
    <row r="333" spans="1:15">
      <c r="E333" s="4">
        <f t="shared" si="142"/>
        <v>333</v>
      </c>
      <c r="F333" s="9" t="s">
        <v>122</v>
      </c>
      <c r="O333" s="23" t="s">
        <v>158</v>
      </c>
    </row>
    <row r="334" spans="1:15">
      <c r="E334" s="4">
        <f t="shared" si="142"/>
        <v>334</v>
      </c>
      <c r="F334" s="9" t="s">
        <v>117</v>
      </c>
      <c r="G334" s="9" t="s">
        <v>253</v>
      </c>
      <c r="H334" s="9" t="s">
        <v>254</v>
      </c>
      <c r="I334" s="9" t="s">
        <v>255</v>
      </c>
      <c r="J334" s="9" t="s">
        <v>256</v>
      </c>
      <c r="L334" s="9" t="s">
        <v>138</v>
      </c>
      <c r="O334" s="23">
        <f t="shared" ref="O334" ca="1" si="165">IF(MOD(D328,2)=0,RANDBETWEEN($I$19,$J$19),RANDBETWEEN($G$19,$H$19))</f>
        <v>90</v>
      </c>
    </row>
    <row r="335" spans="1:15">
      <c r="E335" s="4">
        <f t="shared" si="142"/>
        <v>335</v>
      </c>
      <c r="F335" s="9" t="s">
        <v>30</v>
      </c>
      <c r="O335" s="23" t="s">
        <v>33</v>
      </c>
    </row>
    <row r="336" spans="1:15">
      <c r="E336" s="4">
        <f t="shared" si="142"/>
        <v>336</v>
      </c>
      <c r="F336" s="9" t="s">
        <v>119</v>
      </c>
      <c r="G336" s="9" t="s">
        <v>257</v>
      </c>
      <c r="H336" s="9" t="s">
        <v>258</v>
      </c>
      <c r="I336" s="9" t="s">
        <v>34</v>
      </c>
      <c r="O336" s="23">
        <f t="shared" ref="O336:O399" ca="1" si="166">RANDBETWEEN($G$21*$I$21,$H$21*$I$21)/$I$21</f>
        <v>-4.8</v>
      </c>
    </row>
    <row r="337" spans="1:15">
      <c r="E337" s="4">
        <f t="shared" si="142"/>
        <v>337</v>
      </c>
      <c r="F337" s="9" t="s">
        <v>112</v>
      </c>
      <c r="O337" s="23">
        <v>0</v>
      </c>
    </row>
    <row r="338" spans="1:15">
      <c r="E338" s="4">
        <f t="shared" si="142"/>
        <v>338</v>
      </c>
      <c r="F338" s="9" t="s">
        <v>102</v>
      </c>
      <c r="G338" s="9" t="s">
        <v>259</v>
      </c>
      <c r="H338" s="9" t="s">
        <v>260</v>
      </c>
      <c r="I338" s="9" t="s">
        <v>34</v>
      </c>
      <c r="J338" s="9" t="s">
        <v>261</v>
      </c>
      <c r="K338" s="9" t="s">
        <v>140</v>
      </c>
      <c r="O338" s="23" t="str">
        <f t="shared" ref="O338:O401" ca="1" si="167">CONCATENATE(RANDBETWEEN($G$23*$I$23,$H$23*$I$23)/$I$23,$J$23)</f>
        <v>-1.3,6</v>
      </c>
    </row>
    <row r="339" spans="1:15">
      <c r="E339" s="4">
        <f t="shared" si="142"/>
        <v>339</v>
      </c>
      <c r="F339" s="9" t="s">
        <v>31</v>
      </c>
      <c r="L339" s="9" t="s">
        <v>148</v>
      </c>
    </row>
    <row r="340" spans="1:15">
      <c r="E340" s="4">
        <f t="shared" si="142"/>
        <v>340</v>
      </c>
      <c r="F340" s="9" t="s">
        <v>136</v>
      </c>
      <c r="L340" s="9" t="s">
        <v>149</v>
      </c>
    </row>
    <row r="341" spans="1:15">
      <c r="E341" s="4">
        <f t="shared" si="142"/>
        <v>341</v>
      </c>
      <c r="F341" s="9" t="s">
        <v>137</v>
      </c>
      <c r="K341" s="9" t="s">
        <v>141</v>
      </c>
      <c r="O341" s="23">
        <v>1</v>
      </c>
    </row>
    <row r="342" spans="1:15">
      <c r="E342" s="4">
        <f t="shared" si="142"/>
        <v>342</v>
      </c>
      <c r="F342" s="9" t="s">
        <v>137</v>
      </c>
      <c r="G342" s="9" t="s">
        <v>262</v>
      </c>
      <c r="H342" s="9" t="s">
        <v>32</v>
      </c>
      <c r="I342" s="9" t="s">
        <v>34</v>
      </c>
      <c r="J342" s="9" t="s">
        <v>263</v>
      </c>
      <c r="K342" s="9" t="s">
        <v>140</v>
      </c>
      <c r="O342" s="23" t="str">
        <f t="shared" ref="O342:O405" ca="1" si="168">CONCATENATE(RANDBETWEEN($G$27*$I$27,$H$27*$I$27)/$I$27,$J$27)</f>
        <v>-3.9,-4.5</v>
      </c>
    </row>
    <row r="343" spans="1:15">
      <c r="E343" s="4">
        <f t="shared" si="142"/>
        <v>343</v>
      </c>
      <c r="F343" s="9" t="s">
        <v>105</v>
      </c>
      <c r="O343" s="23">
        <f t="shared" ref="O343" si="169">O329*10+1</f>
        <v>100161</v>
      </c>
    </row>
    <row r="344" spans="1:15">
      <c r="A344" s="9"/>
      <c r="B344" s="9"/>
      <c r="C344" s="9"/>
      <c r="D344" s="9"/>
      <c r="E344" s="4">
        <f t="shared" si="142"/>
        <v>344</v>
      </c>
      <c r="F344" s="9" t="s">
        <v>156</v>
      </c>
      <c r="O344" s="23">
        <f t="shared" ref="O344" si="170">O329</f>
        <v>10016</v>
      </c>
    </row>
    <row r="345" spans="1:15">
      <c r="E345" s="4">
        <f t="shared" si="142"/>
        <v>345</v>
      </c>
      <c r="F345" s="9" t="s">
        <v>131</v>
      </c>
      <c r="O345" s="23">
        <v>0</v>
      </c>
    </row>
    <row r="346" spans="1:15">
      <c r="E346" s="4">
        <f t="shared" si="142"/>
        <v>346</v>
      </c>
      <c r="F346" s="9" t="s">
        <v>35</v>
      </c>
      <c r="O346" s="23" t="s">
        <v>252</v>
      </c>
    </row>
    <row r="347" spans="1:15">
      <c r="E347" s="4">
        <f t="shared" si="142"/>
        <v>347</v>
      </c>
      <c r="F347" s="9" t="s">
        <v>119</v>
      </c>
      <c r="O347" s="23" t="s">
        <v>22</v>
      </c>
    </row>
    <row r="348" spans="1:15">
      <c r="E348" s="4">
        <f t="shared" si="142"/>
        <v>348</v>
      </c>
      <c r="F348" s="9" t="s">
        <v>117</v>
      </c>
      <c r="L348" s="9" t="s">
        <v>138</v>
      </c>
      <c r="O348" s="23">
        <f t="shared" ref="O348" ca="1" si="171">O334</f>
        <v>90</v>
      </c>
    </row>
    <row r="349" spans="1:15">
      <c r="B349" s="22">
        <f t="shared" ref="B349:B412" si="172">QUOTIENT( D349-1,G350)+1</f>
        <v>6</v>
      </c>
      <c r="C349" s="22">
        <f t="shared" ref="C349" si="173">D349-(B349-1)*G350</f>
        <v>2</v>
      </c>
      <c r="D349" s="22">
        <f>COUNT($D$12:$D348)+1</f>
        <v>17</v>
      </c>
      <c r="E349" s="4"/>
    </row>
    <row r="350" spans="1:15">
      <c r="E350" s="4">
        <f t="shared" si="142"/>
        <v>350</v>
      </c>
      <c r="F350" s="9" t="s">
        <v>96</v>
      </c>
      <c r="G350" s="9" t="s">
        <v>38</v>
      </c>
      <c r="H350" s="9" t="s">
        <v>282</v>
      </c>
      <c r="J350" s="9" t="s">
        <v>247</v>
      </c>
      <c r="O350" s="23">
        <f t="shared" ref="O350:O413" si="174">J350+D349</f>
        <v>10017</v>
      </c>
    </row>
    <row r="351" spans="1:15">
      <c r="E351" s="4">
        <f t="shared" si="142"/>
        <v>351</v>
      </c>
      <c r="F351" s="9" t="s">
        <v>165</v>
      </c>
      <c r="G351" s="9" t="s">
        <v>280</v>
      </c>
      <c r="H351" s="9" t="s">
        <v>249</v>
      </c>
      <c r="O351" s="23">
        <f t="shared" ref="O351" si="175">G351+B349*H351</f>
        <v>590</v>
      </c>
    </row>
    <row r="352" spans="1:15">
      <c r="E352" s="4">
        <f t="shared" si="142"/>
        <v>352</v>
      </c>
      <c r="F352" s="9" t="s">
        <v>35</v>
      </c>
      <c r="O352" s="23" t="s">
        <v>251</v>
      </c>
    </row>
    <row r="353" spans="1:15">
      <c r="E353" s="4">
        <f t="shared" si="142"/>
        <v>353</v>
      </c>
      <c r="F353" s="9" t="s">
        <v>29</v>
      </c>
      <c r="O353" s="23" t="s">
        <v>157</v>
      </c>
    </row>
    <row r="354" spans="1:15">
      <c r="E354" s="4">
        <f t="shared" si="142"/>
        <v>354</v>
      </c>
      <c r="F354" s="9" t="s">
        <v>122</v>
      </c>
      <c r="O354" s="23" t="s">
        <v>158</v>
      </c>
    </row>
    <row r="355" spans="1:15">
      <c r="E355" s="4">
        <f t="shared" ref="E355:E418" si="176">ROW(E355)</f>
        <v>355</v>
      </c>
      <c r="F355" s="9" t="s">
        <v>117</v>
      </c>
      <c r="G355" s="9" t="s">
        <v>253</v>
      </c>
      <c r="H355" s="9" t="s">
        <v>254</v>
      </c>
      <c r="I355" s="9" t="s">
        <v>255</v>
      </c>
      <c r="J355" s="9" t="s">
        <v>256</v>
      </c>
      <c r="L355" s="9" t="s">
        <v>138</v>
      </c>
      <c r="O355" s="23">
        <f t="shared" ref="O355" ca="1" si="177">IF(MOD(D349,2)=0,RANDBETWEEN($I$19,$J$19),RANDBETWEEN($G$19,$H$19))</f>
        <v>-98</v>
      </c>
    </row>
    <row r="356" spans="1:15">
      <c r="E356" s="4">
        <f t="shared" si="176"/>
        <v>356</v>
      </c>
      <c r="F356" s="9" t="s">
        <v>30</v>
      </c>
      <c r="O356" s="23" t="s">
        <v>33</v>
      </c>
    </row>
    <row r="357" spans="1:15">
      <c r="E357" s="4">
        <f t="shared" si="176"/>
        <v>357</v>
      </c>
      <c r="F357" s="9" t="s">
        <v>119</v>
      </c>
      <c r="G357" s="9" t="s">
        <v>257</v>
      </c>
      <c r="H357" s="9" t="s">
        <v>258</v>
      </c>
      <c r="I357" s="9" t="s">
        <v>34</v>
      </c>
      <c r="O357" s="23">
        <f t="shared" ref="O357:O420" ca="1" si="178">RANDBETWEEN($G$21*$I$21,$H$21*$I$21)/$I$21</f>
        <v>-9.9</v>
      </c>
    </row>
    <row r="358" spans="1:15">
      <c r="E358" s="4">
        <f t="shared" si="176"/>
        <v>358</v>
      </c>
      <c r="F358" s="9" t="s">
        <v>112</v>
      </c>
      <c r="O358" s="23">
        <v>0</v>
      </c>
    </row>
    <row r="359" spans="1:15">
      <c r="E359" s="4">
        <f t="shared" si="176"/>
        <v>359</v>
      </c>
      <c r="F359" s="9" t="s">
        <v>102</v>
      </c>
      <c r="G359" s="9" t="s">
        <v>259</v>
      </c>
      <c r="H359" s="9" t="s">
        <v>260</v>
      </c>
      <c r="I359" s="9" t="s">
        <v>34</v>
      </c>
      <c r="J359" s="9" t="s">
        <v>261</v>
      </c>
      <c r="K359" s="9" t="s">
        <v>140</v>
      </c>
      <c r="O359" s="23" t="str">
        <f t="shared" ref="O359:O422" ca="1" si="179">CONCATENATE(RANDBETWEEN($G$23*$I$23,$H$23*$I$23)/$I$23,$J$23)</f>
        <v>-3.6,6</v>
      </c>
    </row>
    <row r="360" spans="1:15">
      <c r="E360" s="4">
        <f t="shared" si="176"/>
        <v>360</v>
      </c>
      <c r="F360" s="9" t="s">
        <v>31</v>
      </c>
      <c r="L360" s="9" t="s">
        <v>148</v>
      </c>
    </row>
    <row r="361" spans="1:15">
      <c r="E361" s="4">
        <f t="shared" si="176"/>
        <v>361</v>
      </c>
      <c r="F361" s="9" t="s">
        <v>136</v>
      </c>
      <c r="L361" s="9" t="s">
        <v>149</v>
      </c>
    </row>
    <row r="362" spans="1:15">
      <c r="E362" s="4">
        <f t="shared" si="176"/>
        <v>362</v>
      </c>
      <c r="F362" s="9" t="s">
        <v>137</v>
      </c>
      <c r="K362" s="9" t="s">
        <v>141</v>
      </c>
      <c r="O362" s="23">
        <v>1</v>
      </c>
    </row>
    <row r="363" spans="1:15">
      <c r="E363" s="4">
        <f t="shared" si="176"/>
        <v>363</v>
      </c>
      <c r="F363" s="9" t="s">
        <v>137</v>
      </c>
      <c r="G363" s="9" t="s">
        <v>262</v>
      </c>
      <c r="H363" s="9" t="s">
        <v>32</v>
      </c>
      <c r="I363" s="9" t="s">
        <v>34</v>
      </c>
      <c r="J363" s="9" t="s">
        <v>263</v>
      </c>
      <c r="K363" s="9" t="s">
        <v>140</v>
      </c>
      <c r="O363" s="23" t="str">
        <f t="shared" ref="O363:O426" ca="1" si="180">CONCATENATE(RANDBETWEEN($G$27*$I$27,$H$27*$I$27)/$I$27,$J$27)</f>
        <v>-5.1,-4.5</v>
      </c>
    </row>
    <row r="364" spans="1:15">
      <c r="E364" s="4">
        <f t="shared" si="176"/>
        <v>364</v>
      </c>
      <c r="F364" s="9" t="s">
        <v>105</v>
      </c>
      <c r="O364" s="23">
        <f t="shared" ref="O364" si="181">O350*10+1</f>
        <v>100171</v>
      </c>
    </row>
    <row r="365" spans="1:15">
      <c r="E365" s="4">
        <f t="shared" si="176"/>
        <v>365</v>
      </c>
      <c r="F365" s="9" t="s">
        <v>156</v>
      </c>
      <c r="O365" s="23">
        <f t="shared" ref="O365" si="182">O350</f>
        <v>10017</v>
      </c>
    </row>
    <row r="366" spans="1:15">
      <c r="A366" s="9"/>
      <c r="B366" s="9"/>
      <c r="C366" s="9"/>
      <c r="D366" s="9"/>
      <c r="E366" s="4">
        <f t="shared" si="176"/>
        <v>366</v>
      </c>
      <c r="F366" s="9" t="s">
        <v>131</v>
      </c>
      <c r="O366" s="23">
        <v>0</v>
      </c>
    </row>
    <row r="367" spans="1:15">
      <c r="E367" s="4">
        <f t="shared" si="176"/>
        <v>367</v>
      </c>
      <c r="F367" s="9" t="s">
        <v>35</v>
      </c>
      <c r="O367" s="23" t="s">
        <v>252</v>
      </c>
    </row>
    <row r="368" spans="1:15">
      <c r="E368" s="4">
        <f t="shared" si="176"/>
        <v>368</v>
      </c>
      <c r="F368" s="9" t="s">
        <v>119</v>
      </c>
      <c r="O368" s="23" t="s">
        <v>22</v>
      </c>
    </row>
    <row r="369" spans="2:15">
      <c r="E369" s="4">
        <f t="shared" si="176"/>
        <v>369</v>
      </c>
      <c r="F369" s="9" t="s">
        <v>117</v>
      </c>
      <c r="L369" s="9" t="s">
        <v>138</v>
      </c>
      <c r="O369" s="23">
        <f t="shared" ref="O369" ca="1" si="183">O355</f>
        <v>-98</v>
      </c>
    </row>
    <row r="370" spans="2:15">
      <c r="B370" s="22">
        <f t="shared" ref="B370:B433" si="184">QUOTIENT( D370-1,G371)+1</f>
        <v>6</v>
      </c>
      <c r="C370" s="22">
        <f t="shared" ref="C370" si="185">D370-(B370-1)*G371</f>
        <v>3</v>
      </c>
      <c r="D370" s="22">
        <f>COUNT($D$12:$D369)+1</f>
        <v>18</v>
      </c>
      <c r="E370" s="4"/>
    </row>
    <row r="371" spans="2:15">
      <c r="E371" s="4">
        <f t="shared" si="176"/>
        <v>371</v>
      </c>
      <c r="F371" s="9" t="s">
        <v>96</v>
      </c>
      <c r="G371" s="9" t="s">
        <v>38</v>
      </c>
      <c r="H371" s="9" t="s">
        <v>282</v>
      </c>
      <c r="J371" s="9" t="s">
        <v>247</v>
      </c>
      <c r="O371" s="23">
        <f t="shared" ref="O371:O434" si="186">J371+D370</f>
        <v>10018</v>
      </c>
    </row>
    <row r="372" spans="2:15">
      <c r="E372" s="4">
        <f t="shared" si="176"/>
        <v>372</v>
      </c>
      <c r="F372" s="9" t="s">
        <v>165</v>
      </c>
      <c r="G372" s="9" t="s">
        <v>280</v>
      </c>
      <c r="H372" s="9" t="s">
        <v>249</v>
      </c>
      <c r="O372" s="23">
        <f t="shared" ref="O372" si="187">G372+B370*H372</f>
        <v>590</v>
      </c>
    </row>
    <row r="373" spans="2:15">
      <c r="E373" s="4">
        <f t="shared" si="176"/>
        <v>373</v>
      </c>
      <c r="F373" s="9" t="s">
        <v>35</v>
      </c>
      <c r="O373" s="23" t="s">
        <v>251</v>
      </c>
    </row>
    <row r="374" spans="2:15">
      <c r="E374" s="4">
        <f t="shared" si="176"/>
        <v>374</v>
      </c>
      <c r="F374" s="9" t="s">
        <v>29</v>
      </c>
      <c r="O374" s="23" t="s">
        <v>157</v>
      </c>
    </row>
    <row r="375" spans="2:15">
      <c r="E375" s="4">
        <f t="shared" si="176"/>
        <v>375</v>
      </c>
      <c r="F375" s="9" t="s">
        <v>122</v>
      </c>
      <c r="O375" s="23" t="s">
        <v>158</v>
      </c>
    </row>
    <row r="376" spans="2:15">
      <c r="E376" s="4">
        <f t="shared" si="176"/>
        <v>376</v>
      </c>
      <c r="F376" s="9" t="s">
        <v>117</v>
      </c>
      <c r="G376" s="9" t="s">
        <v>253</v>
      </c>
      <c r="H376" s="9" t="s">
        <v>254</v>
      </c>
      <c r="I376" s="9" t="s">
        <v>255</v>
      </c>
      <c r="J376" s="9" t="s">
        <v>256</v>
      </c>
      <c r="L376" s="9" t="s">
        <v>138</v>
      </c>
      <c r="O376" s="23">
        <f t="shared" ref="O376" ca="1" si="188">IF(MOD(D370,2)=0,RANDBETWEEN($I$19,$J$19),RANDBETWEEN($G$19,$H$19))</f>
        <v>104</v>
      </c>
    </row>
    <row r="377" spans="2:15">
      <c r="E377" s="4">
        <f t="shared" si="176"/>
        <v>377</v>
      </c>
      <c r="F377" s="9" t="s">
        <v>30</v>
      </c>
      <c r="O377" s="23" t="s">
        <v>33</v>
      </c>
    </row>
    <row r="378" spans="2:15">
      <c r="E378" s="4">
        <f t="shared" si="176"/>
        <v>378</v>
      </c>
      <c r="F378" s="9" t="s">
        <v>119</v>
      </c>
      <c r="G378" s="9" t="s">
        <v>257</v>
      </c>
      <c r="H378" s="9" t="s">
        <v>258</v>
      </c>
      <c r="I378" s="9" t="s">
        <v>34</v>
      </c>
      <c r="O378" s="23">
        <f t="shared" ref="O378:O441" ca="1" si="189">RANDBETWEEN($G$21*$I$21,$H$21*$I$21)/$I$21</f>
        <v>-7.2</v>
      </c>
    </row>
    <row r="379" spans="2:15">
      <c r="E379" s="4">
        <f t="shared" si="176"/>
        <v>379</v>
      </c>
      <c r="F379" s="9" t="s">
        <v>112</v>
      </c>
      <c r="O379" s="23">
        <v>0</v>
      </c>
    </row>
    <row r="380" spans="2:15">
      <c r="E380" s="4">
        <f t="shared" si="176"/>
        <v>380</v>
      </c>
      <c r="F380" s="9" t="s">
        <v>102</v>
      </c>
      <c r="G380" s="9" t="s">
        <v>259</v>
      </c>
      <c r="H380" s="9" t="s">
        <v>260</v>
      </c>
      <c r="I380" s="9" t="s">
        <v>34</v>
      </c>
      <c r="J380" s="9" t="s">
        <v>261</v>
      </c>
      <c r="K380" s="9" t="s">
        <v>140</v>
      </c>
      <c r="O380" s="23" t="str">
        <f t="shared" ref="O380:O443" ca="1" si="190">CONCATENATE(RANDBETWEEN($G$23*$I$23,$H$23*$I$23)/$I$23,$J$23)</f>
        <v>-3.7,6</v>
      </c>
    </row>
    <row r="381" spans="2:15">
      <c r="E381" s="4">
        <f t="shared" si="176"/>
        <v>381</v>
      </c>
      <c r="F381" s="9" t="s">
        <v>31</v>
      </c>
      <c r="L381" s="9" t="s">
        <v>148</v>
      </c>
    </row>
    <row r="382" spans="2:15">
      <c r="E382" s="4">
        <f t="shared" si="176"/>
        <v>382</v>
      </c>
      <c r="F382" s="9" t="s">
        <v>136</v>
      </c>
      <c r="L382" s="9" t="s">
        <v>149</v>
      </c>
    </row>
    <row r="383" spans="2:15">
      <c r="E383" s="4">
        <f t="shared" si="176"/>
        <v>383</v>
      </c>
      <c r="F383" s="9" t="s">
        <v>137</v>
      </c>
      <c r="K383" s="9" t="s">
        <v>141</v>
      </c>
      <c r="O383" s="23">
        <v>1</v>
      </c>
    </row>
    <row r="384" spans="2:15">
      <c r="E384" s="4">
        <f t="shared" si="176"/>
        <v>384</v>
      </c>
      <c r="F384" s="9" t="s">
        <v>137</v>
      </c>
      <c r="G384" s="9" t="s">
        <v>262</v>
      </c>
      <c r="H384" s="9" t="s">
        <v>32</v>
      </c>
      <c r="I384" s="9" t="s">
        <v>34</v>
      </c>
      <c r="J384" s="9" t="s">
        <v>263</v>
      </c>
      <c r="K384" s="9" t="s">
        <v>140</v>
      </c>
      <c r="O384" s="23" t="str">
        <f t="shared" ref="O384:O447" ca="1" si="191">CONCATENATE(RANDBETWEEN($G$27*$I$27,$H$27*$I$27)/$I$27,$J$27)</f>
        <v>3.8,-4.5</v>
      </c>
    </row>
    <row r="385" spans="1:15">
      <c r="E385" s="4">
        <f t="shared" si="176"/>
        <v>385</v>
      </c>
      <c r="F385" s="9" t="s">
        <v>105</v>
      </c>
      <c r="O385" s="23">
        <f t="shared" ref="O385" si="192">O371*10+1</f>
        <v>100181</v>
      </c>
    </row>
    <row r="386" spans="1:15">
      <c r="E386" s="4">
        <f t="shared" si="176"/>
        <v>386</v>
      </c>
      <c r="F386" s="9" t="s">
        <v>156</v>
      </c>
      <c r="O386" s="23">
        <f t="shared" ref="O386" si="193">O371</f>
        <v>10018</v>
      </c>
    </row>
    <row r="387" spans="1:15">
      <c r="E387" s="4">
        <f t="shared" si="176"/>
        <v>387</v>
      </c>
      <c r="F387" s="9" t="s">
        <v>131</v>
      </c>
      <c r="O387" s="23">
        <v>0</v>
      </c>
    </row>
    <row r="388" spans="1:15">
      <c r="A388" s="9"/>
      <c r="B388" s="9"/>
      <c r="C388" s="9"/>
      <c r="D388" s="9"/>
      <c r="E388" s="4">
        <f t="shared" si="176"/>
        <v>388</v>
      </c>
      <c r="F388" s="9" t="s">
        <v>35</v>
      </c>
      <c r="O388" s="23" t="s">
        <v>252</v>
      </c>
    </row>
    <row r="389" spans="1:15">
      <c r="E389" s="4">
        <f t="shared" si="176"/>
        <v>389</v>
      </c>
      <c r="F389" s="9" t="s">
        <v>119</v>
      </c>
      <c r="O389" s="23" t="s">
        <v>22</v>
      </c>
    </row>
    <row r="390" spans="1:15">
      <c r="E390" s="4">
        <f t="shared" si="176"/>
        <v>390</v>
      </c>
      <c r="F390" s="9" t="s">
        <v>117</v>
      </c>
      <c r="L390" s="9" t="s">
        <v>138</v>
      </c>
      <c r="O390" s="23">
        <f t="shared" ref="O390" ca="1" si="194">O376</f>
        <v>104</v>
      </c>
    </row>
    <row r="391" spans="1:15">
      <c r="B391" s="22">
        <f t="shared" ref="B391:B454" si="195">QUOTIENT( D391-1,G392)+1</f>
        <v>7</v>
      </c>
      <c r="C391" s="22">
        <f t="shared" ref="C391" si="196">D391-(B391-1)*G392</f>
        <v>1</v>
      </c>
      <c r="D391" s="22">
        <f>COUNT($D$12:$D390)+1</f>
        <v>19</v>
      </c>
      <c r="E391" s="4"/>
    </row>
    <row r="392" spans="1:15">
      <c r="E392" s="4">
        <f t="shared" si="176"/>
        <v>392</v>
      </c>
      <c r="F392" s="9" t="s">
        <v>96</v>
      </c>
      <c r="G392" s="9" t="s">
        <v>38</v>
      </c>
      <c r="H392" s="9" t="s">
        <v>282</v>
      </c>
      <c r="J392" s="9" t="s">
        <v>247</v>
      </c>
      <c r="O392" s="23">
        <f t="shared" ref="O392:O455" si="197">J392+D391</f>
        <v>10019</v>
      </c>
    </row>
    <row r="393" spans="1:15">
      <c r="E393" s="4">
        <f t="shared" si="176"/>
        <v>393</v>
      </c>
      <c r="F393" s="9" t="s">
        <v>165</v>
      </c>
      <c r="G393" s="9" t="s">
        <v>280</v>
      </c>
      <c r="H393" s="9" t="s">
        <v>249</v>
      </c>
      <c r="O393" s="23">
        <f t="shared" ref="O393" si="198">G393+B391*H393</f>
        <v>605</v>
      </c>
    </row>
    <row r="394" spans="1:15">
      <c r="E394" s="4">
        <f t="shared" si="176"/>
        <v>394</v>
      </c>
      <c r="F394" s="9" t="s">
        <v>35</v>
      </c>
      <c r="O394" s="23" t="s">
        <v>251</v>
      </c>
    </row>
    <row r="395" spans="1:15">
      <c r="E395" s="4">
        <f t="shared" si="176"/>
        <v>395</v>
      </c>
      <c r="F395" s="9" t="s">
        <v>29</v>
      </c>
      <c r="O395" s="23" t="s">
        <v>157</v>
      </c>
    </row>
    <row r="396" spans="1:15">
      <c r="E396" s="4">
        <f t="shared" si="176"/>
        <v>396</v>
      </c>
      <c r="F396" s="9" t="s">
        <v>122</v>
      </c>
      <c r="O396" s="23" t="s">
        <v>158</v>
      </c>
    </row>
    <row r="397" spans="1:15">
      <c r="E397" s="4">
        <f t="shared" si="176"/>
        <v>397</v>
      </c>
      <c r="F397" s="9" t="s">
        <v>117</v>
      </c>
      <c r="G397" s="9" t="s">
        <v>253</v>
      </c>
      <c r="H397" s="9" t="s">
        <v>254</v>
      </c>
      <c r="I397" s="9" t="s">
        <v>255</v>
      </c>
      <c r="J397" s="9" t="s">
        <v>256</v>
      </c>
      <c r="L397" s="9" t="s">
        <v>138</v>
      </c>
      <c r="O397" s="23">
        <f t="shared" ref="O397" ca="1" si="199">IF(MOD(D391,2)=0,RANDBETWEEN($I$19,$J$19),RANDBETWEEN($G$19,$H$19))</f>
        <v>-103</v>
      </c>
    </row>
    <row r="398" spans="1:15">
      <c r="E398" s="4">
        <f t="shared" si="176"/>
        <v>398</v>
      </c>
      <c r="F398" s="9" t="s">
        <v>30</v>
      </c>
      <c r="O398" s="23" t="s">
        <v>33</v>
      </c>
    </row>
    <row r="399" spans="1:15">
      <c r="E399" s="4">
        <f t="shared" si="176"/>
        <v>399</v>
      </c>
      <c r="F399" s="9" t="s">
        <v>119</v>
      </c>
      <c r="G399" s="9" t="s">
        <v>257</v>
      </c>
      <c r="H399" s="9" t="s">
        <v>258</v>
      </c>
      <c r="I399" s="9" t="s">
        <v>34</v>
      </c>
      <c r="O399" s="23">
        <f t="shared" ref="O399:O462" ca="1" si="200">RANDBETWEEN($G$21*$I$21,$H$21*$I$21)/$I$21</f>
        <v>-8.4</v>
      </c>
    </row>
    <row r="400" spans="1:15">
      <c r="E400" s="4">
        <f t="shared" si="176"/>
        <v>400</v>
      </c>
      <c r="F400" s="9" t="s">
        <v>112</v>
      </c>
      <c r="O400" s="23">
        <v>0</v>
      </c>
    </row>
    <row r="401" spans="1:15">
      <c r="E401" s="4">
        <f t="shared" si="176"/>
        <v>401</v>
      </c>
      <c r="F401" s="9" t="s">
        <v>102</v>
      </c>
      <c r="G401" s="9" t="s">
        <v>259</v>
      </c>
      <c r="H401" s="9" t="s">
        <v>260</v>
      </c>
      <c r="I401" s="9" t="s">
        <v>34</v>
      </c>
      <c r="J401" s="9" t="s">
        <v>261</v>
      </c>
      <c r="K401" s="9" t="s">
        <v>140</v>
      </c>
      <c r="O401" s="23" t="str">
        <f t="shared" ref="O401:O464" ca="1" si="201">CONCATENATE(RANDBETWEEN($G$23*$I$23,$H$23*$I$23)/$I$23,$J$23)</f>
        <v>-4.1,6</v>
      </c>
    </row>
    <row r="402" spans="1:15">
      <c r="E402" s="4">
        <f t="shared" si="176"/>
        <v>402</v>
      </c>
      <c r="F402" s="9" t="s">
        <v>31</v>
      </c>
      <c r="L402" s="9" t="s">
        <v>148</v>
      </c>
    </row>
    <row r="403" spans="1:15">
      <c r="E403" s="4">
        <f t="shared" si="176"/>
        <v>403</v>
      </c>
      <c r="F403" s="9" t="s">
        <v>136</v>
      </c>
      <c r="L403" s="9" t="s">
        <v>149</v>
      </c>
    </row>
    <row r="404" spans="1:15">
      <c r="E404" s="4">
        <f t="shared" si="176"/>
        <v>404</v>
      </c>
      <c r="F404" s="9" t="s">
        <v>137</v>
      </c>
      <c r="K404" s="9" t="s">
        <v>141</v>
      </c>
      <c r="O404" s="23">
        <v>1</v>
      </c>
    </row>
    <row r="405" spans="1:15">
      <c r="E405" s="4">
        <f t="shared" si="176"/>
        <v>405</v>
      </c>
      <c r="F405" s="9" t="s">
        <v>137</v>
      </c>
      <c r="G405" s="9" t="s">
        <v>262</v>
      </c>
      <c r="H405" s="9" t="s">
        <v>32</v>
      </c>
      <c r="I405" s="9" t="s">
        <v>34</v>
      </c>
      <c r="J405" s="9" t="s">
        <v>263</v>
      </c>
      <c r="K405" s="9" t="s">
        <v>140</v>
      </c>
      <c r="O405" s="23" t="str">
        <f t="shared" ref="O405:O468" ca="1" si="202">CONCATENATE(RANDBETWEEN($G$27*$I$27,$H$27*$I$27)/$I$27,$J$27)</f>
        <v>2.3,-4.5</v>
      </c>
    </row>
    <row r="406" spans="1:15">
      <c r="E406" s="4">
        <f t="shared" si="176"/>
        <v>406</v>
      </c>
      <c r="F406" s="9" t="s">
        <v>105</v>
      </c>
      <c r="O406" s="23">
        <f t="shared" ref="O406" si="203">O392*10+1</f>
        <v>100191</v>
      </c>
    </row>
    <row r="407" spans="1:15">
      <c r="E407" s="4">
        <f t="shared" si="176"/>
        <v>407</v>
      </c>
      <c r="F407" s="9" t="s">
        <v>156</v>
      </c>
      <c r="O407" s="23">
        <f t="shared" ref="O407" si="204">O392</f>
        <v>10019</v>
      </c>
    </row>
    <row r="408" spans="1:15">
      <c r="E408" s="4">
        <f t="shared" si="176"/>
        <v>408</v>
      </c>
      <c r="F408" s="9" t="s">
        <v>131</v>
      </c>
      <c r="O408" s="23">
        <v>0</v>
      </c>
    </row>
    <row r="409" spans="1:15">
      <c r="E409" s="4">
        <f t="shared" si="176"/>
        <v>409</v>
      </c>
      <c r="F409" s="9" t="s">
        <v>35</v>
      </c>
      <c r="O409" s="23" t="s">
        <v>252</v>
      </c>
    </row>
    <row r="410" spans="1:15">
      <c r="A410" s="9"/>
      <c r="B410" s="9"/>
      <c r="C410" s="9"/>
      <c r="D410" s="9"/>
      <c r="E410" s="4">
        <f t="shared" si="176"/>
        <v>410</v>
      </c>
      <c r="F410" s="9" t="s">
        <v>119</v>
      </c>
      <c r="O410" s="23" t="s">
        <v>22</v>
      </c>
    </row>
    <row r="411" spans="1:15">
      <c r="E411" s="4">
        <f t="shared" si="176"/>
        <v>411</v>
      </c>
      <c r="F411" s="9" t="s">
        <v>117</v>
      </c>
      <c r="L411" s="9" t="s">
        <v>138</v>
      </c>
      <c r="O411" s="23">
        <f t="shared" ref="O411" ca="1" si="205">O397</f>
        <v>-103</v>
      </c>
    </row>
    <row r="412" spans="1:15">
      <c r="B412" s="22">
        <f t="shared" ref="B412:B475" si="206">QUOTIENT( D412-1,G413)+1</f>
        <v>7</v>
      </c>
      <c r="C412" s="22">
        <f t="shared" ref="C412" si="207">D412-(B412-1)*G413</f>
        <v>2</v>
      </c>
      <c r="D412" s="22">
        <f>COUNT($D$12:$D411)+1</f>
        <v>20</v>
      </c>
      <c r="E412" s="4"/>
    </row>
    <row r="413" spans="1:15">
      <c r="E413" s="4">
        <f t="shared" si="176"/>
        <v>413</v>
      </c>
      <c r="F413" s="9" t="s">
        <v>96</v>
      </c>
      <c r="G413" s="9" t="s">
        <v>38</v>
      </c>
      <c r="H413" s="9" t="s">
        <v>282</v>
      </c>
      <c r="J413" s="9" t="s">
        <v>247</v>
      </c>
      <c r="O413" s="23">
        <f t="shared" ref="O413:O476" si="208">J413+D412</f>
        <v>10020</v>
      </c>
    </row>
    <row r="414" spans="1:15">
      <c r="E414" s="4">
        <f t="shared" si="176"/>
        <v>414</v>
      </c>
      <c r="F414" s="9" t="s">
        <v>165</v>
      </c>
      <c r="G414" s="9" t="s">
        <v>280</v>
      </c>
      <c r="H414" s="9" t="s">
        <v>249</v>
      </c>
      <c r="O414" s="23">
        <f t="shared" ref="O414" si="209">G414+B412*H414</f>
        <v>605</v>
      </c>
    </row>
    <row r="415" spans="1:15">
      <c r="E415" s="4">
        <f t="shared" si="176"/>
        <v>415</v>
      </c>
      <c r="F415" s="9" t="s">
        <v>35</v>
      </c>
      <c r="O415" s="23" t="s">
        <v>251</v>
      </c>
    </row>
    <row r="416" spans="1:15">
      <c r="E416" s="4">
        <f t="shared" si="176"/>
        <v>416</v>
      </c>
      <c r="F416" s="9" t="s">
        <v>29</v>
      </c>
      <c r="O416" s="23" t="s">
        <v>157</v>
      </c>
    </row>
    <row r="417" spans="1:15">
      <c r="E417" s="4">
        <f t="shared" si="176"/>
        <v>417</v>
      </c>
      <c r="F417" s="9" t="s">
        <v>122</v>
      </c>
      <c r="O417" s="23" t="s">
        <v>158</v>
      </c>
    </row>
    <row r="418" spans="1:15">
      <c r="E418" s="4">
        <f t="shared" si="176"/>
        <v>418</v>
      </c>
      <c r="F418" s="9" t="s">
        <v>117</v>
      </c>
      <c r="G418" s="9" t="s">
        <v>253</v>
      </c>
      <c r="H418" s="9" t="s">
        <v>254</v>
      </c>
      <c r="I418" s="9" t="s">
        <v>255</v>
      </c>
      <c r="J418" s="9" t="s">
        <v>256</v>
      </c>
      <c r="L418" s="9" t="s">
        <v>138</v>
      </c>
      <c r="O418" s="23">
        <f t="shared" ref="O418" ca="1" si="210">IF(MOD(D412,2)=0,RANDBETWEEN($I$19,$J$19),RANDBETWEEN($G$19,$H$19))</f>
        <v>93</v>
      </c>
    </row>
    <row r="419" spans="1:15">
      <c r="E419" s="4">
        <f t="shared" ref="E419:E482" si="211">ROW(E419)</f>
        <v>419</v>
      </c>
      <c r="F419" s="9" t="s">
        <v>30</v>
      </c>
      <c r="O419" s="23" t="s">
        <v>33</v>
      </c>
    </row>
    <row r="420" spans="1:15">
      <c r="E420" s="4">
        <f t="shared" si="211"/>
        <v>420</v>
      </c>
      <c r="F420" s="9" t="s">
        <v>119</v>
      </c>
      <c r="G420" s="9" t="s">
        <v>257</v>
      </c>
      <c r="H420" s="9" t="s">
        <v>258</v>
      </c>
      <c r="I420" s="9" t="s">
        <v>34</v>
      </c>
      <c r="O420" s="23">
        <f t="shared" ref="O420:O483" ca="1" si="212">RANDBETWEEN($G$21*$I$21,$H$21*$I$21)/$I$21</f>
        <v>-7.9</v>
      </c>
    </row>
    <row r="421" spans="1:15">
      <c r="E421" s="4">
        <f t="shared" si="211"/>
        <v>421</v>
      </c>
      <c r="F421" s="9" t="s">
        <v>112</v>
      </c>
      <c r="O421" s="23">
        <v>0</v>
      </c>
    </row>
    <row r="422" spans="1:15">
      <c r="E422" s="4">
        <f t="shared" si="211"/>
        <v>422</v>
      </c>
      <c r="F422" s="9" t="s">
        <v>102</v>
      </c>
      <c r="G422" s="9" t="s">
        <v>259</v>
      </c>
      <c r="H422" s="9" t="s">
        <v>260</v>
      </c>
      <c r="I422" s="9" t="s">
        <v>34</v>
      </c>
      <c r="J422" s="9" t="s">
        <v>261</v>
      </c>
      <c r="K422" s="9" t="s">
        <v>140</v>
      </c>
      <c r="O422" s="23" t="str">
        <f t="shared" ref="O422:O485" ca="1" si="213">CONCATENATE(RANDBETWEEN($G$23*$I$23,$H$23*$I$23)/$I$23,$J$23)</f>
        <v>-3.1,6</v>
      </c>
    </row>
    <row r="423" spans="1:15">
      <c r="E423" s="4">
        <f t="shared" si="211"/>
        <v>423</v>
      </c>
      <c r="F423" s="9" t="s">
        <v>31</v>
      </c>
      <c r="L423" s="9" t="s">
        <v>148</v>
      </c>
    </row>
    <row r="424" spans="1:15">
      <c r="E424" s="4">
        <f t="shared" si="211"/>
        <v>424</v>
      </c>
      <c r="F424" s="9" t="s">
        <v>136</v>
      </c>
      <c r="L424" s="9" t="s">
        <v>149</v>
      </c>
    </row>
    <row r="425" spans="1:15">
      <c r="E425" s="4">
        <f t="shared" si="211"/>
        <v>425</v>
      </c>
      <c r="F425" s="9" t="s">
        <v>137</v>
      </c>
      <c r="K425" s="9" t="s">
        <v>141</v>
      </c>
      <c r="O425" s="23">
        <v>1</v>
      </c>
    </row>
    <row r="426" spans="1:15">
      <c r="E426" s="4">
        <f t="shared" si="211"/>
        <v>426</v>
      </c>
      <c r="F426" s="9" t="s">
        <v>137</v>
      </c>
      <c r="G426" s="9" t="s">
        <v>262</v>
      </c>
      <c r="H426" s="9" t="s">
        <v>32</v>
      </c>
      <c r="I426" s="9" t="s">
        <v>34</v>
      </c>
      <c r="J426" s="9" t="s">
        <v>263</v>
      </c>
      <c r="K426" s="9" t="s">
        <v>140</v>
      </c>
      <c r="O426" s="23" t="str">
        <f t="shared" ref="O426:O489" ca="1" si="214">CONCATENATE(RANDBETWEEN($G$27*$I$27,$H$27*$I$27)/$I$27,$J$27)</f>
        <v>2.2,-4.5</v>
      </c>
    </row>
    <row r="427" spans="1:15">
      <c r="E427" s="4">
        <f t="shared" si="211"/>
        <v>427</v>
      </c>
      <c r="F427" s="9" t="s">
        <v>105</v>
      </c>
      <c r="O427" s="23">
        <f t="shared" ref="O427" si="215">O413*10+1</f>
        <v>100201</v>
      </c>
    </row>
    <row r="428" spans="1:15">
      <c r="E428" s="4">
        <f t="shared" si="211"/>
        <v>428</v>
      </c>
      <c r="F428" s="9" t="s">
        <v>156</v>
      </c>
      <c r="O428" s="23">
        <f t="shared" ref="O428" si="216">O413</f>
        <v>10020</v>
      </c>
    </row>
    <row r="429" spans="1:15">
      <c r="E429" s="4">
        <f t="shared" si="211"/>
        <v>429</v>
      </c>
      <c r="F429" s="9" t="s">
        <v>131</v>
      </c>
      <c r="O429" s="23">
        <v>0</v>
      </c>
    </row>
    <row r="430" spans="1:15">
      <c r="E430" s="4">
        <f t="shared" si="211"/>
        <v>430</v>
      </c>
      <c r="F430" s="9" t="s">
        <v>35</v>
      </c>
      <c r="O430" s="23" t="s">
        <v>252</v>
      </c>
    </row>
    <row r="431" spans="1:15">
      <c r="E431" s="4">
        <f t="shared" si="211"/>
        <v>431</v>
      </c>
      <c r="F431" s="9" t="s">
        <v>119</v>
      </c>
      <c r="O431" s="23" t="s">
        <v>22</v>
      </c>
    </row>
    <row r="432" spans="1:15">
      <c r="A432" s="9"/>
      <c r="B432" s="9"/>
      <c r="C432" s="9"/>
      <c r="D432" s="9"/>
      <c r="E432" s="4">
        <f t="shared" si="211"/>
        <v>432</v>
      </c>
      <c r="F432" s="9" t="s">
        <v>117</v>
      </c>
      <c r="L432" s="9" t="s">
        <v>138</v>
      </c>
      <c r="O432" s="23">
        <f t="shared" ref="O432" ca="1" si="217">O418</f>
        <v>93</v>
      </c>
    </row>
    <row r="433" spans="2:15">
      <c r="B433" s="22">
        <f t="shared" ref="B433:B496" si="218">QUOTIENT( D433-1,G434)+1</f>
        <v>7</v>
      </c>
      <c r="C433" s="22">
        <f t="shared" ref="C433" si="219">D433-(B433-1)*G434</f>
        <v>3</v>
      </c>
      <c r="D433" s="22">
        <f>COUNT($D$12:$D432)+1</f>
        <v>21</v>
      </c>
      <c r="E433" s="4"/>
    </row>
    <row r="434" spans="2:15">
      <c r="E434" s="4">
        <f t="shared" si="211"/>
        <v>434</v>
      </c>
      <c r="F434" s="9" t="s">
        <v>96</v>
      </c>
      <c r="G434" s="9" t="s">
        <v>38</v>
      </c>
      <c r="H434" s="9" t="s">
        <v>282</v>
      </c>
      <c r="J434" s="9" t="s">
        <v>247</v>
      </c>
      <c r="O434" s="23">
        <f t="shared" ref="O434:O497" si="220">J434+D433</f>
        <v>10021</v>
      </c>
    </row>
    <row r="435" spans="2:15">
      <c r="E435" s="4">
        <f t="shared" si="211"/>
        <v>435</v>
      </c>
      <c r="F435" s="9" t="s">
        <v>165</v>
      </c>
      <c r="G435" s="9" t="s">
        <v>280</v>
      </c>
      <c r="H435" s="9" t="s">
        <v>249</v>
      </c>
      <c r="O435" s="23">
        <f t="shared" ref="O435" si="221">G435+B433*H435</f>
        <v>605</v>
      </c>
    </row>
    <row r="436" spans="2:15">
      <c r="E436" s="4">
        <f t="shared" si="211"/>
        <v>436</v>
      </c>
      <c r="F436" s="9" t="s">
        <v>35</v>
      </c>
      <c r="O436" s="23" t="s">
        <v>251</v>
      </c>
    </row>
    <row r="437" spans="2:15">
      <c r="E437" s="4">
        <f t="shared" si="211"/>
        <v>437</v>
      </c>
      <c r="F437" s="9" t="s">
        <v>29</v>
      </c>
      <c r="O437" s="23" t="s">
        <v>157</v>
      </c>
    </row>
    <row r="438" spans="2:15">
      <c r="E438" s="4">
        <f t="shared" si="211"/>
        <v>438</v>
      </c>
      <c r="F438" s="9" t="s">
        <v>122</v>
      </c>
      <c r="O438" s="23" t="s">
        <v>158</v>
      </c>
    </row>
    <row r="439" spans="2:15">
      <c r="E439" s="4">
        <f t="shared" si="211"/>
        <v>439</v>
      </c>
      <c r="F439" s="9" t="s">
        <v>117</v>
      </c>
      <c r="G439" s="9" t="s">
        <v>253</v>
      </c>
      <c r="H439" s="9" t="s">
        <v>254</v>
      </c>
      <c r="I439" s="9" t="s">
        <v>255</v>
      </c>
      <c r="J439" s="9" t="s">
        <v>256</v>
      </c>
      <c r="L439" s="9" t="s">
        <v>138</v>
      </c>
      <c r="O439" s="23">
        <f t="shared" ref="O439" ca="1" si="222">IF(MOD(D433,2)=0,RANDBETWEEN($I$19,$J$19),RANDBETWEEN($G$19,$H$19))</f>
        <v>-86</v>
      </c>
    </row>
    <row r="440" spans="2:15">
      <c r="E440" s="4">
        <f t="shared" si="211"/>
        <v>440</v>
      </c>
      <c r="F440" s="9" t="s">
        <v>30</v>
      </c>
      <c r="O440" s="23" t="s">
        <v>33</v>
      </c>
    </row>
    <row r="441" spans="2:15">
      <c r="E441" s="4">
        <f t="shared" si="211"/>
        <v>441</v>
      </c>
      <c r="F441" s="9" t="s">
        <v>119</v>
      </c>
      <c r="G441" s="9" t="s">
        <v>257</v>
      </c>
      <c r="H441" s="9" t="s">
        <v>258</v>
      </c>
      <c r="I441" s="9" t="s">
        <v>34</v>
      </c>
      <c r="O441" s="23">
        <f t="shared" ref="O441:O504" ca="1" si="223">RANDBETWEEN($G$21*$I$21,$H$21*$I$21)/$I$21</f>
        <v>-5.4</v>
      </c>
    </row>
    <row r="442" spans="2:15">
      <c r="E442" s="4">
        <f t="shared" si="211"/>
        <v>442</v>
      </c>
      <c r="F442" s="9" t="s">
        <v>112</v>
      </c>
      <c r="O442" s="23">
        <v>0</v>
      </c>
    </row>
    <row r="443" spans="2:15">
      <c r="E443" s="4">
        <f t="shared" si="211"/>
        <v>443</v>
      </c>
      <c r="F443" s="9" t="s">
        <v>102</v>
      </c>
      <c r="G443" s="9" t="s">
        <v>259</v>
      </c>
      <c r="H443" s="9" t="s">
        <v>260</v>
      </c>
      <c r="I443" s="9" t="s">
        <v>34</v>
      </c>
      <c r="J443" s="9" t="s">
        <v>261</v>
      </c>
      <c r="K443" s="9" t="s">
        <v>140</v>
      </c>
      <c r="O443" s="23" t="str">
        <f t="shared" ref="O443:O506" ca="1" si="224">CONCATENATE(RANDBETWEEN($G$23*$I$23,$H$23*$I$23)/$I$23,$J$23)</f>
        <v>-2.3,6</v>
      </c>
    </row>
    <row r="444" spans="2:15">
      <c r="E444" s="4">
        <f t="shared" si="211"/>
        <v>444</v>
      </c>
      <c r="F444" s="9" t="s">
        <v>31</v>
      </c>
      <c r="L444" s="9" t="s">
        <v>148</v>
      </c>
    </row>
    <row r="445" spans="2:15">
      <c r="E445" s="4">
        <f t="shared" si="211"/>
        <v>445</v>
      </c>
      <c r="F445" s="9" t="s">
        <v>136</v>
      </c>
      <c r="L445" s="9" t="s">
        <v>149</v>
      </c>
    </row>
    <row r="446" spans="2:15">
      <c r="E446" s="4">
        <f t="shared" si="211"/>
        <v>446</v>
      </c>
      <c r="F446" s="9" t="s">
        <v>137</v>
      </c>
      <c r="K446" s="9" t="s">
        <v>141</v>
      </c>
      <c r="O446" s="23">
        <v>1</v>
      </c>
    </row>
    <row r="447" spans="2:15">
      <c r="E447" s="4">
        <f t="shared" si="211"/>
        <v>447</v>
      </c>
      <c r="F447" s="9" t="s">
        <v>137</v>
      </c>
      <c r="G447" s="9" t="s">
        <v>262</v>
      </c>
      <c r="H447" s="9" t="s">
        <v>32</v>
      </c>
      <c r="I447" s="9" t="s">
        <v>34</v>
      </c>
      <c r="J447" s="9" t="s">
        <v>263</v>
      </c>
      <c r="K447" s="9" t="s">
        <v>140</v>
      </c>
      <c r="O447" s="23" t="str">
        <f t="shared" ref="O447:O510" ca="1" si="225">CONCATENATE(RANDBETWEEN($G$27*$I$27,$H$27*$I$27)/$I$27,$J$27)</f>
        <v>-5.1,-4.5</v>
      </c>
    </row>
    <row r="448" spans="2:15">
      <c r="E448" s="4">
        <f t="shared" si="211"/>
        <v>448</v>
      </c>
      <c r="F448" s="9" t="s">
        <v>105</v>
      </c>
      <c r="O448" s="23">
        <f t="shared" ref="O448" si="226">O434*10+1</f>
        <v>100211</v>
      </c>
    </row>
    <row r="449" spans="1:15">
      <c r="E449" s="4">
        <f t="shared" si="211"/>
        <v>449</v>
      </c>
      <c r="F449" s="9" t="s">
        <v>156</v>
      </c>
      <c r="O449" s="23">
        <f t="shared" ref="O449" si="227">O434</f>
        <v>10021</v>
      </c>
    </row>
    <row r="450" spans="1:15">
      <c r="E450" s="4">
        <f t="shared" si="211"/>
        <v>450</v>
      </c>
      <c r="F450" s="9" t="s">
        <v>131</v>
      </c>
      <c r="O450" s="23">
        <v>0</v>
      </c>
    </row>
    <row r="451" spans="1:15">
      <c r="E451" s="4">
        <f t="shared" si="211"/>
        <v>451</v>
      </c>
      <c r="F451" s="9" t="s">
        <v>35</v>
      </c>
      <c r="O451" s="23" t="s">
        <v>252</v>
      </c>
    </row>
    <row r="452" spans="1:15">
      <c r="E452" s="4">
        <f t="shared" si="211"/>
        <v>452</v>
      </c>
      <c r="F452" s="9" t="s">
        <v>119</v>
      </c>
      <c r="O452" s="23" t="s">
        <v>22</v>
      </c>
    </row>
    <row r="453" spans="1:15">
      <c r="E453" s="4">
        <f t="shared" si="211"/>
        <v>453</v>
      </c>
      <c r="F453" s="9" t="s">
        <v>117</v>
      </c>
      <c r="L453" s="9" t="s">
        <v>138</v>
      </c>
      <c r="O453" s="23">
        <f t="shared" ref="O453" ca="1" si="228">O439</f>
        <v>-86</v>
      </c>
    </row>
    <row r="454" spans="1:15">
      <c r="A454" s="9"/>
      <c r="B454" s="9">
        <f t="shared" ref="B454:B517" si="229">QUOTIENT( D454-1,G455)+1</f>
        <v>8</v>
      </c>
      <c r="C454" s="9">
        <f t="shared" ref="C454" si="230">D454-(B454-1)*G455</f>
        <v>1</v>
      </c>
      <c r="D454" s="9">
        <f>COUNT($D$12:$D453)+1</f>
        <v>22</v>
      </c>
      <c r="E454" s="4"/>
    </row>
    <row r="455" spans="1:15">
      <c r="E455" s="4">
        <f t="shared" si="211"/>
        <v>455</v>
      </c>
      <c r="F455" s="9" t="s">
        <v>96</v>
      </c>
      <c r="G455" s="9" t="s">
        <v>38</v>
      </c>
      <c r="H455" s="9" t="s">
        <v>282</v>
      </c>
      <c r="J455" s="9" t="s">
        <v>247</v>
      </c>
      <c r="O455" s="23">
        <f t="shared" ref="O455:O518" si="231">J455+D454</f>
        <v>10022</v>
      </c>
    </row>
    <row r="456" spans="1:15">
      <c r="E456" s="4">
        <f t="shared" si="211"/>
        <v>456</v>
      </c>
      <c r="F456" s="9" t="s">
        <v>165</v>
      </c>
      <c r="G456" s="9" t="s">
        <v>280</v>
      </c>
      <c r="H456" s="9" t="s">
        <v>249</v>
      </c>
      <c r="O456" s="23">
        <f t="shared" ref="O456" si="232">G456+B454*H456</f>
        <v>620</v>
      </c>
    </row>
    <row r="457" spans="1:15">
      <c r="E457" s="4">
        <f t="shared" si="211"/>
        <v>457</v>
      </c>
      <c r="F457" s="9" t="s">
        <v>35</v>
      </c>
      <c r="O457" s="23" t="s">
        <v>251</v>
      </c>
    </row>
    <row r="458" spans="1:15">
      <c r="E458" s="4">
        <f t="shared" si="211"/>
        <v>458</v>
      </c>
      <c r="F458" s="9" t="s">
        <v>29</v>
      </c>
      <c r="O458" s="23" t="s">
        <v>157</v>
      </c>
    </row>
    <row r="459" spans="1:15">
      <c r="E459" s="4">
        <f t="shared" si="211"/>
        <v>459</v>
      </c>
      <c r="F459" s="9" t="s">
        <v>122</v>
      </c>
      <c r="O459" s="23" t="s">
        <v>158</v>
      </c>
    </row>
    <row r="460" spans="1:15">
      <c r="E460" s="4">
        <f t="shared" si="211"/>
        <v>460</v>
      </c>
      <c r="F460" s="9" t="s">
        <v>117</v>
      </c>
      <c r="G460" s="9" t="s">
        <v>253</v>
      </c>
      <c r="H460" s="9" t="s">
        <v>254</v>
      </c>
      <c r="I460" s="9" t="s">
        <v>255</v>
      </c>
      <c r="J460" s="9" t="s">
        <v>256</v>
      </c>
      <c r="L460" s="9" t="s">
        <v>138</v>
      </c>
      <c r="O460" s="23">
        <f t="shared" ref="O460" ca="1" si="233">IF(MOD(D454,2)=0,RANDBETWEEN($I$19,$J$19),RANDBETWEEN($G$19,$H$19))</f>
        <v>101</v>
      </c>
    </row>
    <row r="461" spans="1:15">
      <c r="E461" s="4">
        <f t="shared" si="211"/>
        <v>461</v>
      </c>
      <c r="F461" s="9" t="s">
        <v>30</v>
      </c>
      <c r="O461" s="23" t="s">
        <v>33</v>
      </c>
    </row>
    <row r="462" spans="1:15">
      <c r="E462" s="4">
        <f t="shared" si="211"/>
        <v>462</v>
      </c>
      <c r="F462" s="9" t="s">
        <v>119</v>
      </c>
      <c r="G462" s="9" t="s">
        <v>257</v>
      </c>
      <c r="H462" s="9" t="s">
        <v>258</v>
      </c>
      <c r="I462" s="9" t="s">
        <v>34</v>
      </c>
      <c r="O462" s="23">
        <f t="shared" ref="O462:O525" ca="1" si="234">RANDBETWEEN($G$21*$I$21,$H$21*$I$21)/$I$21</f>
        <v>-7.5</v>
      </c>
    </row>
    <row r="463" spans="1:15">
      <c r="E463" s="4">
        <f t="shared" si="211"/>
        <v>463</v>
      </c>
      <c r="F463" s="9" t="s">
        <v>112</v>
      </c>
      <c r="O463" s="23">
        <v>0</v>
      </c>
    </row>
    <row r="464" spans="1:15">
      <c r="E464" s="4">
        <f t="shared" si="211"/>
        <v>464</v>
      </c>
      <c r="F464" s="9" t="s">
        <v>102</v>
      </c>
      <c r="G464" s="9" t="s">
        <v>259</v>
      </c>
      <c r="H464" s="9" t="s">
        <v>260</v>
      </c>
      <c r="I464" s="9" t="s">
        <v>34</v>
      </c>
      <c r="J464" s="9" t="s">
        <v>261</v>
      </c>
      <c r="K464" s="9" t="s">
        <v>140</v>
      </c>
      <c r="O464" s="23" t="str">
        <f t="shared" ref="O464:O527" ca="1" si="235">CONCATENATE(RANDBETWEEN($G$23*$I$23,$H$23*$I$23)/$I$23,$J$23)</f>
        <v>2.3,6</v>
      </c>
    </row>
    <row r="465" spans="1:15">
      <c r="E465" s="4">
        <f t="shared" si="211"/>
        <v>465</v>
      </c>
      <c r="F465" s="9" t="s">
        <v>31</v>
      </c>
      <c r="L465" s="9" t="s">
        <v>148</v>
      </c>
    </row>
    <row r="466" spans="1:15">
      <c r="E466" s="4">
        <f t="shared" si="211"/>
        <v>466</v>
      </c>
      <c r="F466" s="9" t="s">
        <v>136</v>
      </c>
      <c r="L466" s="9" t="s">
        <v>149</v>
      </c>
    </row>
    <row r="467" spans="1:15">
      <c r="E467" s="4">
        <f t="shared" si="211"/>
        <v>467</v>
      </c>
      <c r="F467" s="9" t="s">
        <v>137</v>
      </c>
      <c r="K467" s="9" t="s">
        <v>141</v>
      </c>
      <c r="O467" s="23">
        <v>1</v>
      </c>
    </row>
    <row r="468" spans="1:15">
      <c r="E468" s="4">
        <f t="shared" si="211"/>
        <v>468</v>
      </c>
      <c r="F468" s="9" t="s">
        <v>137</v>
      </c>
      <c r="G468" s="9" t="s">
        <v>262</v>
      </c>
      <c r="H468" s="9" t="s">
        <v>32</v>
      </c>
      <c r="I468" s="9" t="s">
        <v>34</v>
      </c>
      <c r="J468" s="9" t="s">
        <v>263</v>
      </c>
      <c r="K468" s="9" t="s">
        <v>140</v>
      </c>
      <c r="O468" s="23" t="str">
        <f t="shared" ref="O468:O531" ca="1" si="236">CONCATENATE(RANDBETWEEN($G$27*$I$27,$H$27*$I$27)/$I$27,$J$27)</f>
        <v>-3.4,-4.5</v>
      </c>
    </row>
    <row r="469" spans="1:15">
      <c r="E469" s="4">
        <f t="shared" si="211"/>
        <v>469</v>
      </c>
      <c r="F469" s="9" t="s">
        <v>105</v>
      </c>
      <c r="O469" s="23">
        <f t="shared" ref="O469" si="237">O455*10+1</f>
        <v>100221</v>
      </c>
    </row>
    <row r="470" spans="1:15">
      <c r="E470" s="4">
        <f t="shared" si="211"/>
        <v>470</v>
      </c>
      <c r="F470" s="9" t="s">
        <v>156</v>
      </c>
      <c r="O470" s="23">
        <f t="shared" ref="O470" si="238">O455</f>
        <v>10022</v>
      </c>
    </row>
    <row r="471" spans="1:15">
      <c r="E471" s="4">
        <f t="shared" si="211"/>
        <v>471</v>
      </c>
      <c r="F471" s="9" t="s">
        <v>131</v>
      </c>
      <c r="O471" s="23">
        <v>0</v>
      </c>
    </row>
    <row r="472" spans="1:15">
      <c r="E472" s="4">
        <f t="shared" si="211"/>
        <v>472</v>
      </c>
      <c r="F472" s="9" t="s">
        <v>35</v>
      </c>
      <c r="O472" s="23" t="s">
        <v>252</v>
      </c>
    </row>
    <row r="473" spans="1:15">
      <c r="E473" s="4">
        <f t="shared" si="211"/>
        <v>473</v>
      </c>
      <c r="F473" s="9" t="s">
        <v>119</v>
      </c>
      <c r="O473" s="23" t="s">
        <v>22</v>
      </c>
    </row>
    <row r="474" spans="1:15">
      <c r="E474" s="4">
        <f t="shared" si="211"/>
        <v>474</v>
      </c>
      <c r="F474" s="9" t="s">
        <v>117</v>
      </c>
      <c r="L474" s="9" t="s">
        <v>138</v>
      </c>
      <c r="O474" s="23">
        <f t="shared" ref="O474" ca="1" si="239">O460</f>
        <v>101</v>
      </c>
    </row>
    <row r="475" spans="1:15">
      <c r="B475" s="22">
        <f t="shared" ref="B475:B538" si="240">QUOTIENT( D475-1,G476)+1</f>
        <v>8</v>
      </c>
      <c r="C475" s="22">
        <f t="shared" ref="C475" si="241">D475-(B475-1)*G476</f>
        <v>2</v>
      </c>
      <c r="D475" s="22">
        <f>COUNT($D$12:$D474)+1</f>
        <v>23</v>
      </c>
      <c r="E475" s="4"/>
    </row>
    <row r="476" spans="1:15">
      <c r="A476" s="9"/>
      <c r="B476" s="9"/>
      <c r="C476" s="9"/>
      <c r="D476" s="9"/>
      <c r="E476" s="4">
        <f t="shared" si="211"/>
        <v>476</v>
      </c>
      <c r="F476" s="9" t="s">
        <v>96</v>
      </c>
      <c r="G476" s="9" t="s">
        <v>38</v>
      </c>
      <c r="H476" s="9" t="s">
        <v>282</v>
      </c>
      <c r="J476" s="9" t="s">
        <v>247</v>
      </c>
      <c r="O476" s="23">
        <f t="shared" ref="O476:O539" si="242">J476+D475</f>
        <v>10023</v>
      </c>
    </row>
    <row r="477" spans="1:15">
      <c r="E477" s="4">
        <f t="shared" si="211"/>
        <v>477</v>
      </c>
      <c r="F477" s="9" t="s">
        <v>165</v>
      </c>
      <c r="G477" s="9" t="s">
        <v>280</v>
      </c>
      <c r="H477" s="9" t="s">
        <v>249</v>
      </c>
      <c r="O477" s="23">
        <f t="shared" ref="O477" si="243">G477+B475*H477</f>
        <v>620</v>
      </c>
    </row>
    <row r="478" spans="1:15">
      <c r="E478" s="4">
        <f t="shared" si="211"/>
        <v>478</v>
      </c>
      <c r="F478" s="9" t="s">
        <v>35</v>
      </c>
      <c r="O478" s="23" t="s">
        <v>251</v>
      </c>
    </row>
    <row r="479" spans="1:15">
      <c r="E479" s="4">
        <f t="shared" si="211"/>
        <v>479</v>
      </c>
      <c r="F479" s="9" t="s">
        <v>29</v>
      </c>
      <c r="O479" s="23" t="s">
        <v>157</v>
      </c>
    </row>
    <row r="480" spans="1:15">
      <c r="E480" s="4">
        <f t="shared" si="211"/>
        <v>480</v>
      </c>
      <c r="F480" s="9" t="s">
        <v>122</v>
      </c>
      <c r="O480" s="23" t="s">
        <v>158</v>
      </c>
    </row>
    <row r="481" spans="2:15">
      <c r="E481" s="4">
        <f t="shared" si="211"/>
        <v>481</v>
      </c>
      <c r="F481" s="9" t="s">
        <v>117</v>
      </c>
      <c r="G481" s="9" t="s">
        <v>253</v>
      </c>
      <c r="H481" s="9" t="s">
        <v>254</v>
      </c>
      <c r="I481" s="9" t="s">
        <v>255</v>
      </c>
      <c r="J481" s="9" t="s">
        <v>256</v>
      </c>
      <c r="L481" s="9" t="s">
        <v>138</v>
      </c>
      <c r="O481" s="23">
        <f t="shared" ref="O481" ca="1" si="244">IF(MOD(D475,2)=0,RANDBETWEEN($I$19,$J$19),RANDBETWEEN($G$19,$H$19))</f>
        <v>-106</v>
      </c>
    </row>
    <row r="482" spans="2:15">
      <c r="E482" s="4">
        <f t="shared" si="211"/>
        <v>482</v>
      </c>
      <c r="F482" s="9" t="s">
        <v>30</v>
      </c>
      <c r="O482" s="23" t="s">
        <v>33</v>
      </c>
    </row>
    <row r="483" spans="2:15">
      <c r="E483" s="4">
        <f t="shared" ref="E483:E546" si="245">ROW(E483)</f>
        <v>483</v>
      </c>
      <c r="F483" s="9" t="s">
        <v>119</v>
      </c>
      <c r="G483" s="9" t="s">
        <v>257</v>
      </c>
      <c r="H483" s="9" t="s">
        <v>258</v>
      </c>
      <c r="I483" s="9" t="s">
        <v>34</v>
      </c>
      <c r="O483" s="23">
        <f t="shared" ref="O483:O546" ca="1" si="246">RANDBETWEEN($G$21*$I$21,$H$21*$I$21)/$I$21</f>
        <v>-9</v>
      </c>
    </row>
    <row r="484" spans="2:15">
      <c r="E484" s="4">
        <f t="shared" si="245"/>
        <v>484</v>
      </c>
      <c r="F484" s="9" t="s">
        <v>112</v>
      </c>
      <c r="O484" s="23">
        <v>0</v>
      </c>
    </row>
    <row r="485" spans="2:15">
      <c r="E485" s="4">
        <f t="shared" si="245"/>
        <v>485</v>
      </c>
      <c r="F485" s="9" t="s">
        <v>102</v>
      </c>
      <c r="G485" s="9" t="s">
        <v>259</v>
      </c>
      <c r="H485" s="9" t="s">
        <v>260</v>
      </c>
      <c r="I485" s="9" t="s">
        <v>34</v>
      </c>
      <c r="J485" s="9" t="s">
        <v>261</v>
      </c>
      <c r="K485" s="9" t="s">
        <v>140</v>
      </c>
      <c r="O485" s="23" t="str">
        <f t="shared" ref="O485:O548" ca="1" si="247">CONCATENATE(RANDBETWEEN($G$23*$I$23,$H$23*$I$23)/$I$23,$J$23)</f>
        <v>-3.5,6</v>
      </c>
    </row>
    <row r="486" spans="2:15">
      <c r="E486" s="4">
        <f t="shared" si="245"/>
        <v>486</v>
      </c>
      <c r="F486" s="9" t="s">
        <v>31</v>
      </c>
      <c r="L486" s="9" t="s">
        <v>148</v>
      </c>
    </row>
    <row r="487" spans="2:15">
      <c r="E487" s="4">
        <f t="shared" si="245"/>
        <v>487</v>
      </c>
      <c r="F487" s="9" t="s">
        <v>136</v>
      </c>
      <c r="L487" s="9" t="s">
        <v>149</v>
      </c>
    </row>
    <row r="488" spans="2:15">
      <c r="E488" s="4">
        <f t="shared" si="245"/>
        <v>488</v>
      </c>
      <c r="F488" s="9" t="s">
        <v>137</v>
      </c>
      <c r="K488" s="9" t="s">
        <v>141</v>
      </c>
      <c r="O488" s="23">
        <v>1</v>
      </c>
    </row>
    <row r="489" spans="2:15">
      <c r="E489" s="4">
        <f t="shared" si="245"/>
        <v>489</v>
      </c>
      <c r="F489" s="9" t="s">
        <v>137</v>
      </c>
      <c r="G489" s="9" t="s">
        <v>262</v>
      </c>
      <c r="H489" s="9" t="s">
        <v>32</v>
      </c>
      <c r="I489" s="9" t="s">
        <v>34</v>
      </c>
      <c r="J489" s="9" t="s">
        <v>263</v>
      </c>
      <c r="K489" s="9" t="s">
        <v>140</v>
      </c>
      <c r="O489" s="23" t="str">
        <f t="shared" ref="O489:O552" ca="1" si="248">CONCATENATE(RANDBETWEEN($G$27*$I$27,$H$27*$I$27)/$I$27,$J$27)</f>
        <v>-3,-4.5</v>
      </c>
    </row>
    <row r="490" spans="2:15">
      <c r="E490" s="4">
        <f t="shared" si="245"/>
        <v>490</v>
      </c>
      <c r="F490" s="9" t="s">
        <v>105</v>
      </c>
      <c r="O490" s="23">
        <f t="shared" ref="O490" si="249">O476*10+1</f>
        <v>100231</v>
      </c>
    </row>
    <row r="491" spans="2:15">
      <c r="E491" s="4">
        <f t="shared" si="245"/>
        <v>491</v>
      </c>
      <c r="F491" s="9" t="s">
        <v>156</v>
      </c>
      <c r="O491" s="23">
        <f t="shared" ref="O491" si="250">O476</f>
        <v>10023</v>
      </c>
    </row>
    <row r="492" spans="2:15">
      <c r="E492" s="4">
        <f t="shared" si="245"/>
        <v>492</v>
      </c>
      <c r="F492" s="9" t="s">
        <v>131</v>
      </c>
      <c r="O492" s="23">
        <v>0</v>
      </c>
    </row>
    <row r="493" spans="2:15">
      <c r="E493" s="4">
        <f t="shared" si="245"/>
        <v>493</v>
      </c>
      <c r="F493" s="9" t="s">
        <v>35</v>
      </c>
      <c r="O493" s="23" t="s">
        <v>252</v>
      </c>
    </row>
    <row r="494" spans="2:15">
      <c r="E494" s="4">
        <f t="shared" si="245"/>
        <v>494</v>
      </c>
      <c r="F494" s="9" t="s">
        <v>119</v>
      </c>
      <c r="O494" s="23" t="s">
        <v>22</v>
      </c>
    </row>
    <row r="495" spans="2:15">
      <c r="E495" s="4">
        <f t="shared" si="245"/>
        <v>495</v>
      </c>
      <c r="F495" s="9" t="s">
        <v>117</v>
      </c>
      <c r="L495" s="9" t="s">
        <v>138</v>
      </c>
      <c r="O495" s="23">
        <f t="shared" ref="O495" ca="1" si="251">O481</f>
        <v>-106</v>
      </c>
    </row>
    <row r="496" spans="2:15">
      <c r="B496" s="22">
        <f t="shared" ref="B496:B559" si="252">QUOTIENT( D496-1,G497)+1</f>
        <v>8</v>
      </c>
      <c r="C496" s="22">
        <f t="shared" ref="C496" si="253">D496-(B496-1)*G497</f>
        <v>3</v>
      </c>
      <c r="D496" s="22">
        <f>COUNT($D$12:$D495)+1</f>
        <v>24</v>
      </c>
      <c r="E496" s="4"/>
    </row>
    <row r="497" spans="1:15">
      <c r="E497" s="4">
        <f t="shared" si="245"/>
        <v>497</v>
      </c>
      <c r="F497" s="9" t="s">
        <v>96</v>
      </c>
      <c r="G497" s="9" t="s">
        <v>38</v>
      </c>
      <c r="H497" s="9" t="s">
        <v>282</v>
      </c>
      <c r="J497" s="9" t="s">
        <v>247</v>
      </c>
      <c r="O497" s="23">
        <f t="shared" ref="O497:O560" si="254">J497+D496</f>
        <v>10024</v>
      </c>
    </row>
    <row r="498" spans="1:15">
      <c r="A498" s="9"/>
      <c r="B498" s="9"/>
      <c r="C498" s="9"/>
      <c r="D498" s="9"/>
      <c r="E498" s="4">
        <f t="shared" si="245"/>
        <v>498</v>
      </c>
      <c r="F498" s="9" t="s">
        <v>165</v>
      </c>
      <c r="G498" s="9" t="s">
        <v>280</v>
      </c>
      <c r="H498" s="9" t="s">
        <v>249</v>
      </c>
      <c r="O498" s="23">
        <f t="shared" ref="O498" si="255">G498+B496*H498</f>
        <v>620</v>
      </c>
    </row>
    <row r="499" spans="1:15">
      <c r="E499" s="4">
        <f t="shared" si="245"/>
        <v>499</v>
      </c>
      <c r="F499" s="9" t="s">
        <v>35</v>
      </c>
      <c r="O499" s="23" t="s">
        <v>251</v>
      </c>
    </row>
    <row r="500" spans="1:15">
      <c r="E500" s="4">
        <f t="shared" si="245"/>
        <v>500</v>
      </c>
      <c r="F500" s="9" t="s">
        <v>29</v>
      </c>
      <c r="O500" s="23" t="s">
        <v>157</v>
      </c>
    </row>
    <row r="501" spans="1:15">
      <c r="E501" s="4">
        <f t="shared" si="245"/>
        <v>501</v>
      </c>
      <c r="F501" s="9" t="s">
        <v>122</v>
      </c>
      <c r="O501" s="23" t="s">
        <v>158</v>
      </c>
    </row>
    <row r="502" spans="1:15">
      <c r="E502" s="4">
        <f t="shared" si="245"/>
        <v>502</v>
      </c>
      <c r="F502" s="9" t="s">
        <v>117</v>
      </c>
      <c r="G502" s="9" t="s">
        <v>253</v>
      </c>
      <c r="H502" s="9" t="s">
        <v>254</v>
      </c>
      <c r="I502" s="9" t="s">
        <v>255</v>
      </c>
      <c r="J502" s="9" t="s">
        <v>256</v>
      </c>
      <c r="L502" s="9" t="s">
        <v>138</v>
      </c>
      <c r="O502" s="23">
        <f t="shared" ref="O502" ca="1" si="256">IF(MOD(D496,2)=0,RANDBETWEEN($I$19,$J$19),RANDBETWEEN($G$19,$H$19))</f>
        <v>101</v>
      </c>
    </row>
    <row r="503" spans="1:15">
      <c r="E503" s="4">
        <f t="shared" si="245"/>
        <v>503</v>
      </c>
      <c r="F503" s="9" t="s">
        <v>30</v>
      </c>
      <c r="O503" s="23" t="s">
        <v>33</v>
      </c>
    </row>
    <row r="504" spans="1:15">
      <c r="E504" s="4">
        <f t="shared" si="245"/>
        <v>504</v>
      </c>
      <c r="F504" s="9" t="s">
        <v>119</v>
      </c>
      <c r="G504" s="9" t="s">
        <v>257</v>
      </c>
      <c r="H504" s="9" t="s">
        <v>258</v>
      </c>
      <c r="I504" s="9" t="s">
        <v>34</v>
      </c>
      <c r="O504" s="23">
        <f t="shared" ref="O504:O567" ca="1" si="257">RANDBETWEEN($G$21*$I$21,$H$21*$I$21)/$I$21</f>
        <v>-7.3</v>
      </c>
    </row>
    <row r="505" spans="1:15">
      <c r="E505" s="4">
        <f t="shared" si="245"/>
        <v>505</v>
      </c>
      <c r="F505" s="9" t="s">
        <v>112</v>
      </c>
      <c r="O505" s="23">
        <v>0</v>
      </c>
    </row>
    <row r="506" spans="1:15">
      <c r="E506" s="4">
        <f t="shared" si="245"/>
        <v>506</v>
      </c>
      <c r="F506" s="9" t="s">
        <v>102</v>
      </c>
      <c r="G506" s="9" t="s">
        <v>259</v>
      </c>
      <c r="H506" s="9" t="s">
        <v>260</v>
      </c>
      <c r="I506" s="9" t="s">
        <v>34</v>
      </c>
      <c r="J506" s="9" t="s">
        <v>261</v>
      </c>
      <c r="K506" s="9" t="s">
        <v>140</v>
      </c>
      <c r="O506" s="23" t="str">
        <f t="shared" ref="O506:O569" ca="1" si="258">CONCATENATE(RANDBETWEEN($G$23*$I$23,$H$23*$I$23)/$I$23,$J$23)</f>
        <v>-2.4,6</v>
      </c>
    </row>
    <row r="507" spans="1:15">
      <c r="E507" s="4">
        <f t="shared" si="245"/>
        <v>507</v>
      </c>
      <c r="F507" s="9" t="s">
        <v>31</v>
      </c>
      <c r="L507" s="9" t="s">
        <v>148</v>
      </c>
    </row>
    <row r="508" spans="1:15">
      <c r="E508" s="4">
        <f t="shared" si="245"/>
        <v>508</v>
      </c>
      <c r="F508" s="9" t="s">
        <v>136</v>
      </c>
      <c r="L508" s="9" t="s">
        <v>149</v>
      </c>
    </row>
    <row r="509" spans="1:15">
      <c r="E509" s="4">
        <f t="shared" si="245"/>
        <v>509</v>
      </c>
      <c r="F509" s="9" t="s">
        <v>137</v>
      </c>
      <c r="K509" s="9" t="s">
        <v>141</v>
      </c>
      <c r="O509" s="23">
        <v>1</v>
      </c>
    </row>
    <row r="510" spans="1:15">
      <c r="E510" s="4">
        <f t="shared" si="245"/>
        <v>510</v>
      </c>
      <c r="F510" s="9" t="s">
        <v>137</v>
      </c>
      <c r="G510" s="9" t="s">
        <v>262</v>
      </c>
      <c r="H510" s="9" t="s">
        <v>32</v>
      </c>
      <c r="I510" s="9" t="s">
        <v>34</v>
      </c>
      <c r="J510" s="9" t="s">
        <v>263</v>
      </c>
      <c r="K510" s="9" t="s">
        <v>140</v>
      </c>
      <c r="O510" s="23" t="str">
        <f t="shared" ref="O510:O573" ca="1" si="259">CONCATENATE(RANDBETWEEN($G$27*$I$27,$H$27*$I$27)/$I$27,$J$27)</f>
        <v>-1.3,-4.5</v>
      </c>
    </row>
    <row r="511" spans="1:15">
      <c r="E511" s="4">
        <f t="shared" si="245"/>
        <v>511</v>
      </c>
      <c r="F511" s="9" t="s">
        <v>105</v>
      </c>
      <c r="O511" s="23">
        <f t="shared" ref="O511" si="260">O497*10+1</f>
        <v>100241</v>
      </c>
    </row>
    <row r="512" spans="1:15">
      <c r="E512" s="4">
        <f t="shared" si="245"/>
        <v>512</v>
      </c>
      <c r="F512" s="9" t="s">
        <v>156</v>
      </c>
      <c r="O512" s="23">
        <f t="shared" ref="O512" si="261">O497</f>
        <v>10024</v>
      </c>
    </row>
    <row r="513" spans="1:15">
      <c r="E513" s="4">
        <f t="shared" si="245"/>
        <v>513</v>
      </c>
      <c r="F513" s="9" t="s">
        <v>131</v>
      </c>
      <c r="O513" s="23">
        <v>0</v>
      </c>
    </row>
    <row r="514" spans="1:15">
      <c r="E514" s="4">
        <f t="shared" si="245"/>
        <v>514</v>
      </c>
      <c r="F514" s="9" t="s">
        <v>35</v>
      </c>
      <c r="O514" s="23" t="s">
        <v>252</v>
      </c>
    </row>
    <row r="515" spans="1:15">
      <c r="E515" s="4">
        <f t="shared" si="245"/>
        <v>515</v>
      </c>
      <c r="F515" s="9" t="s">
        <v>119</v>
      </c>
      <c r="O515" s="23" t="s">
        <v>22</v>
      </c>
    </row>
    <row r="516" spans="1:15">
      <c r="E516" s="4">
        <f t="shared" si="245"/>
        <v>516</v>
      </c>
      <c r="F516" s="9" t="s">
        <v>117</v>
      </c>
      <c r="L516" s="9" t="s">
        <v>138</v>
      </c>
      <c r="O516" s="23">
        <f t="shared" ref="O516" ca="1" si="262">O502</f>
        <v>101</v>
      </c>
    </row>
    <row r="517" spans="1:15">
      <c r="B517" s="22">
        <f t="shared" ref="B517:B580" si="263">QUOTIENT( D517-1,G518)+1</f>
        <v>9</v>
      </c>
      <c r="C517" s="22">
        <f t="shared" ref="C517" si="264">D517-(B517-1)*G518</f>
        <v>1</v>
      </c>
      <c r="D517" s="22">
        <f>COUNT($D$12:$D516)+1</f>
        <v>25</v>
      </c>
      <c r="E517" s="4"/>
    </row>
    <row r="518" spans="1:15">
      <c r="E518" s="4">
        <f t="shared" si="245"/>
        <v>518</v>
      </c>
      <c r="F518" s="9" t="s">
        <v>96</v>
      </c>
      <c r="G518" s="9" t="s">
        <v>38</v>
      </c>
      <c r="H518" s="9" t="s">
        <v>282</v>
      </c>
      <c r="J518" s="9" t="s">
        <v>247</v>
      </c>
      <c r="O518" s="23">
        <f t="shared" ref="O518:O581" si="265">J518+D517</f>
        <v>10025</v>
      </c>
    </row>
    <row r="519" spans="1:15">
      <c r="E519" s="4">
        <f t="shared" si="245"/>
        <v>519</v>
      </c>
      <c r="F519" s="9" t="s">
        <v>165</v>
      </c>
      <c r="G519" s="9" t="s">
        <v>280</v>
      </c>
      <c r="H519" s="9" t="s">
        <v>249</v>
      </c>
      <c r="O519" s="23">
        <f t="shared" ref="O519" si="266">G519+B517*H519</f>
        <v>635</v>
      </c>
    </row>
    <row r="520" spans="1:15">
      <c r="A520" s="9"/>
      <c r="B520" s="9"/>
      <c r="C520" s="9"/>
      <c r="D520" s="9"/>
      <c r="E520" s="4">
        <f t="shared" si="245"/>
        <v>520</v>
      </c>
      <c r="F520" s="9" t="s">
        <v>35</v>
      </c>
      <c r="O520" s="23" t="s">
        <v>251</v>
      </c>
    </row>
    <row r="521" spans="1:15">
      <c r="E521" s="4">
        <f t="shared" si="245"/>
        <v>521</v>
      </c>
      <c r="F521" s="9" t="s">
        <v>29</v>
      </c>
      <c r="O521" s="23" t="s">
        <v>157</v>
      </c>
    </row>
    <row r="522" spans="1:15">
      <c r="E522" s="4">
        <f t="shared" si="245"/>
        <v>522</v>
      </c>
      <c r="F522" s="9" t="s">
        <v>122</v>
      </c>
      <c r="O522" s="23" t="s">
        <v>158</v>
      </c>
    </row>
    <row r="523" spans="1:15">
      <c r="E523" s="4">
        <f t="shared" si="245"/>
        <v>523</v>
      </c>
      <c r="F523" s="9" t="s">
        <v>117</v>
      </c>
      <c r="G523" s="9" t="s">
        <v>253</v>
      </c>
      <c r="H523" s="9" t="s">
        <v>254</v>
      </c>
      <c r="I523" s="9" t="s">
        <v>255</v>
      </c>
      <c r="J523" s="9" t="s">
        <v>256</v>
      </c>
      <c r="L523" s="9" t="s">
        <v>138</v>
      </c>
      <c r="O523" s="23">
        <f t="shared" ref="O523" ca="1" si="267">IF(MOD(D517,2)=0,RANDBETWEEN($I$19,$J$19),RANDBETWEEN($G$19,$H$19))</f>
        <v>-86</v>
      </c>
    </row>
    <row r="524" spans="1:15">
      <c r="E524" s="4">
        <f t="shared" si="245"/>
        <v>524</v>
      </c>
      <c r="F524" s="9" t="s">
        <v>30</v>
      </c>
      <c r="O524" s="23" t="s">
        <v>33</v>
      </c>
    </row>
    <row r="525" spans="1:15">
      <c r="E525" s="4">
        <f t="shared" si="245"/>
        <v>525</v>
      </c>
      <c r="F525" s="9" t="s">
        <v>119</v>
      </c>
      <c r="G525" s="9" t="s">
        <v>257</v>
      </c>
      <c r="H525" s="9" t="s">
        <v>258</v>
      </c>
      <c r="I525" s="9" t="s">
        <v>34</v>
      </c>
      <c r="O525" s="23">
        <f t="shared" ref="O525:O588" ca="1" si="268">RANDBETWEEN($G$21*$I$21,$H$21*$I$21)/$I$21</f>
        <v>-6.4</v>
      </c>
    </row>
    <row r="526" spans="1:15">
      <c r="E526" s="4">
        <f t="shared" si="245"/>
        <v>526</v>
      </c>
      <c r="F526" s="9" t="s">
        <v>112</v>
      </c>
      <c r="O526" s="23">
        <v>0</v>
      </c>
    </row>
    <row r="527" spans="1:15">
      <c r="E527" s="4">
        <f t="shared" si="245"/>
        <v>527</v>
      </c>
      <c r="F527" s="9" t="s">
        <v>102</v>
      </c>
      <c r="G527" s="9" t="s">
        <v>259</v>
      </c>
      <c r="H527" s="9" t="s">
        <v>260</v>
      </c>
      <c r="I527" s="9" t="s">
        <v>34</v>
      </c>
      <c r="J527" s="9" t="s">
        <v>261</v>
      </c>
      <c r="K527" s="9" t="s">
        <v>140</v>
      </c>
      <c r="O527" s="23" t="str">
        <f t="shared" ref="O527:O590" ca="1" si="269">CONCATENATE(RANDBETWEEN($G$23*$I$23,$H$23*$I$23)/$I$23,$J$23)</f>
        <v>-4.4,6</v>
      </c>
    </row>
    <row r="528" spans="1:15">
      <c r="E528" s="4">
        <f t="shared" si="245"/>
        <v>528</v>
      </c>
      <c r="F528" s="9" t="s">
        <v>31</v>
      </c>
      <c r="L528" s="9" t="s">
        <v>148</v>
      </c>
    </row>
    <row r="529" spans="1:15">
      <c r="E529" s="4">
        <f t="shared" si="245"/>
        <v>529</v>
      </c>
      <c r="F529" s="9" t="s">
        <v>136</v>
      </c>
      <c r="L529" s="9" t="s">
        <v>149</v>
      </c>
    </row>
    <row r="530" spans="1:15">
      <c r="E530" s="4">
        <f t="shared" si="245"/>
        <v>530</v>
      </c>
      <c r="F530" s="9" t="s">
        <v>137</v>
      </c>
      <c r="K530" s="9" t="s">
        <v>141</v>
      </c>
      <c r="O530" s="23">
        <v>1</v>
      </c>
    </row>
    <row r="531" spans="1:15">
      <c r="E531" s="4">
        <f t="shared" si="245"/>
        <v>531</v>
      </c>
      <c r="F531" s="9" t="s">
        <v>137</v>
      </c>
      <c r="G531" s="9" t="s">
        <v>262</v>
      </c>
      <c r="H531" s="9" t="s">
        <v>32</v>
      </c>
      <c r="I531" s="9" t="s">
        <v>34</v>
      </c>
      <c r="J531" s="9" t="s">
        <v>263</v>
      </c>
      <c r="K531" s="9" t="s">
        <v>140</v>
      </c>
      <c r="O531" s="23" t="str">
        <f t="shared" ref="O531:O594" ca="1" si="270">CONCATENATE(RANDBETWEEN($G$27*$I$27,$H$27*$I$27)/$I$27,$J$27)</f>
        <v>-5.1,-4.5</v>
      </c>
    </row>
    <row r="532" spans="1:15">
      <c r="E532" s="4">
        <f t="shared" si="245"/>
        <v>532</v>
      </c>
      <c r="F532" s="9" t="s">
        <v>105</v>
      </c>
      <c r="O532" s="23">
        <f t="shared" ref="O532" si="271">O518*10+1</f>
        <v>100251</v>
      </c>
    </row>
    <row r="533" spans="1:15">
      <c r="E533" s="4">
        <f t="shared" si="245"/>
        <v>533</v>
      </c>
      <c r="F533" s="9" t="s">
        <v>156</v>
      </c>
      <c r="O533" s="23">
        <f t="shared" ref="O533" si="272">O518</f>
        <v>10025</v>
      </c>
    </row>
    <row r="534" spans="1:15">
      <c r="E534" s="4">
        <f t="shared" si="245"/>
        <v>534</v>
      </c>
      <c r="F534" s="9" t="s">
        <v>131</v>
      </c>
      <c r="O534" s="23">
        <v>0</v>
      </c>
    </row>
    <row r="535" spans="1:15">
      <c r="E535" s="4">
        <f t="shared" si="245"/>
        <v>535</v>
      </c>
      <c r="F535" s="9" t="s">
        <v>35</v>
      </c>
      <c r="O535" s="23" t="s">
        <v>252</v>
      </c>
    </row>
    <row r="536" spans="1:15">
      <c r="E536" s="4">
        <f t="shared" si="245"/>
        <v>536</v>
      </c>
      <c r="F536" s="9" t="s">
        <v>119</v>
      </c>
      <c r="O536" s="23" t="s">
        <v>22</v>
      </c>
    </row>
    <row r="537" spans="1:15">
      <c r="E537" s="4">
        <f t="shared" si="245"/>
        <v>537</v>
      </c>
      <c r="F537" s="9" t="s">
        <v>117</v>
      </c>
      <c r="L537" s="9" t="s">
        <v>138</v>
      </c>
      <c r="O537" s="23">
        <f t="shared" ref="O537" ca="1" si="273">O523</f>
        <v>-86</v>
      </c>
    </row>
    <row r="538" spans="1:15">
      <c r="B538" s="22">
        <f t="shared" ref="B538:B601" si="274">QUOTIENT( D538-1,G539)+1</f>
        <v>9</v>
      </c>
      <c r="C538" s="22">
        <f t="shared" ref="C538" si="275">D538-(B538-1)*G539</f>
        <v>2</v>
      </c>
      <c r="D538" s="22">
        <f>COUNT($D$12:$D537)+1</f>
        <v>26</v>
      </c>
      <c r="E538" s="4"/>
    </row>
    <row r="539" spans="1:15">
      <c r="E539" s="4">
        <f t="shared" si="245"/>
        <v>539</v>
      </c>
      <c r="F539" s="9" t="s">
        <v>96</v>
      </c>
      <c r="G539" s="9" t="s">
        <v>38</v>
      </c>
      <c r="H539" s="9" t="s">
        <v>282</v>
      </c>
      <c r="J539" s="9" t="s">
        <v>247</v>
      </c>
      <c r="O539" s="23">
        <f t="shared" ref="O539:O602" si="276">J539+D538</f>
        <v>10026</v>
      </c>
    </row>
    <row r="540" spans="1:15">
      <c r="E540" s="4">
        <f t="shared" si="245"/>
        <v>540</v>
      </c>
      <c r="F540" s="9" t="s">
        <v>165</v>
      </c>
      <c r="G540" s="9" t="s">
        <v>280</v>
      </c>
      <c r="H540" s="9" t="s">
        <v>249</v>
      </c>
      <c r="O540" s="23">
        <f t="shared" ref="O540" si="277">G540+B538*H540</f>
        <v>635</v>
      </c>
    </row>
    <row r="541" spans="1:15">
      <c r="E541" s="4">
        <f t="shared" si="245"/>
        <v>541</v>
      </c>
      <c r="F541" s="9" t="s">
        <v>35</v>
      </c>
      <c r="O541" s="23" t="s">
        <v>251</v>
      </c>
    </row>
    <row r="542" spans="1:15">
      <c r="A542" s="9"/>
      <c r="B542" s="9"/>
      <c r="C542" s="9"/>
      <c r="D542" s="9"/>
      <c r="E542" s="4">
        <f t="shared" si="245"/>
        <v>542</v>
      </c>
      <c r="F542" s="9" t="s">
        <v>29</v>
      </c>
      <c r="O542" s="23" t="s">
        <v>157</v>
      </c>
    </row>
    <row r="543" spans="1:15">
      <c r="E543" s="4">
        <f t="shared" si="245"/>
        <v>543</v>
      </c>
      <c r="F543" s="9" t="s">
        <v>122</v>
      </c>
      <c r="O543" s="23" t="s">
        <v>158</v>
      </c>
    </row>
    <row r="544" spans="1:15">
      <c r="E544" s="4">
        <f t="shared" si="245"/>
        <v>544</v>
      </c>
      <c r="F544" s="9" t="s">
        <v>117</v>
      </c>
      <c r="G544" s="9" t="s">
        <v>253</v>
      </c>
      <c r="H544" s="9" t="s">
        <v>254</v>
      </c>
      <c r="I544" s="9" t="s">
        <v>255</v>
      </c>
      <c r="J544" s="9" t="s">
        <v>256</v>
      </c>
      <c r="L544" s="9" t="s">
        <v>138</v>
      </c>
      <c r="O544" s="23">
        <f t="shared" ref="O544" ca="1" si="278">IF(MOD(D538,2)=0,RANDBETWEEN($I$19,$J$19),RANDBETWEEN($G$19,$H$19))</f>
        <v>109</v>
      </c>
    </row>
    <row r="545" spans="2:15">
      <c r="E545" s="4">
        <f t="shared" si="245"/>
        <v>545</v>
      </c>
      <c r="F545" s="9" t="s">
        <v>30</v>
      </c>
      <c r="O545" s="23" t="s">
        <v>33</v>
      </c>
    </row>
    <row r="546" spans="2:15">
      <c r="E546" s="4">
        <f t="shared" si="245"/>
        <v>546</v>
      </c>
      <c r="F546" s="9" t="s">
        <v>119</v>
      </c>
      <c r="G546" s="9" t="s">
        <v>257</v>
      </c>
      <c r="H546" s="9" t="s">
        <v>258</v>
      </c>
      <c r="I546" s="9" t="s">
        <v>34</v>
      </c>
      <c r="O546" s="23">
        <f t="shared" ref="O546:O609" ca="1" si="279">RANDBETWEEN($G$21*$I$21,$H$21*$I$21)/$I$21</f>
        <v>-6.2</v>
      </c>
    </row>
    <row r="547" spans="2:15">
      <c r="E547" s="4">
        <f t="shared" ref="E547:E610" si="280">ROW(E547)</f>
        <v>547</v>
      </c>
      <c r="F547" s="9" t="s">
        <v>112</v>
      </c>
      <c r="O547" s="23">
        <v>0</v>
      </c>
    </row>
    <row r="548" spans="2:15">
      <c r="E548" s="4">
        <f t="shared" si="280"/>
        <v>548</v>
      </c>
      <c r="F548" s="9" t="s">
        <v>102</v>
      </c>
      <c r="G548" s="9" t="s">
        <v>259</v>
      </c>
      <c r="H548" s="9" t="s">
        <v>260</v>
      </c>
      <c r="I548" s="9" t="s">
        <v>34</v>
      </c>
      <c r="J548" s="9" t="s">
        <v>261</v>
      </c>
      <c r="K548" s="9" t="s">
        <v>140</v>
      </c>
      <c r="O548" s="23" t="str">
        <f t="shared" ref="O548:O611" ca="1" si="281">CONCATENATE(RANDBETWEEN($G$23*$I$23,$H$23*$I$23)/$I$23,$J$23)</f>
        <v>2,6</v>
      </c>
    </row>
    <row r="549" spans="2:15">
      <c r="E549" s="4">
        <f t="shared" si="280"/>
        <v>549</v>
      </c>
      <c r="F549" s="9" t="s">
        <v>31</v>
      </c>
      <c r="L549" s="9" t="s">
        <v>148</v>
      </c>
    </row>
    <row r="550" spans="2:15">
      <c r="E550" s="4">
        <f t="shared" si="280"/>
        <v>550</v>
      </c>
      <c r="F550" s="9" t="s">
        <v>136</v>
      </c>
      <c r="L550" s="9" t="s">
        <v>149</v>
      </c>
    </row>
    <row r="551" spans="2:15">
      <c r="E551" s="4">
        <f t="shared" si="280"/>
        <v>551</v>
      </c>
      <c r="F551" s="9" t="s">
        <v>137</v>
      </c>
      <c r="K551" s="9" t="s">
        <v>141</v>
      </c>
      <c r="O551" s="23">
        <v>1</v>
      </c>
    </row>
    <row r="552" spans="2:15">
      <c r="E552" s="4">
        <f t="shared" si="280"/>
        <v>552</v>
      </c>
      <c r="F552" s="9" t="s">
        <v>137</v>
      </c>
      <c r="G552" s="9" t="s">
        <v>262</v>
      </c>
      <c r="H552" s="9" t="s">
        <v>32</v>
      </c>
      <c r="I552" s="9" t="s">
        <v>34</v>
      </c>
      <c r="J552" s="9" t="s">
        <v>263</v>
      </c>
      <c r="K552" s="9" t="s">
        <v>140</v>
      </c>
      <c r="O552" s="23" t="str">
        <f t="shared" ref="O552:O615" ca="1" si="282">CONCATENATE(RANDBETWEEN($G$27*$I$27,$H$27*$I$27)/$I$27,$J$27)</f>
        <v>-5.4,-4.5</v>
      </c>
    </row>
    <row r="553" spans="2:15">
      <c r="E553" s="4">
        <f t="shared" si="280"/>
        <v>553</v>
      </c>
      <c r="F553" s="9" t="s">
        <v>105</v>
      </c>
      <c r="O553" s="23">
        <f t="shared" ref="O553" si="283">O539*10+1</f>
        <v>100261</v>
      </c>
    </row>
    <row r="554" spans="2:15">
      <c r="E554" s="4">
        <f t="shared" si="280"/>
        <v>554</v>
      </c>
      <c r="F554" s="9" t="s">
        <v>156</v>
      </c>
      <c r="O554" s="23">
        <f t="shared" ref="O554" si="284">O539</f>
        <v>10026</v>
      </c>
    </row>
    <row r="555" spans="2:15">
      <c r="E555" s="4">
        <f t="shared" si="280"/>
        <v>555</v>
      </c>
      <c r="F555" s="9" t="s">
        <v>131</v>
      </c>
      <c r="O555" s="23">
        <v>0</v>
      </c>
    </row>
    <row r="556" spans="2:15">
      <c r="E556" s="4">
        <f t="shared" si="280"/>
        <v>556</v>
      </c>
      <c r="F556" s="9" t="s">
        <v>35</v>
      </c>
      <c r="O556" s="23" t="s">
        <v>252</v>
      </c>
    </row>
    <row r="557" spans="2:15">
      <c r="E557" s="4">
        <f t="shared" si="280"/>
        <v>557</v>
      </c>
      <c r="F557" s="9" t="s">
        <v>119</v>
      </c>
      <c r="O557" s="23" t="s">
        <v>22</v>
      </c>
    </row>
    <row r="558" spans="2:15">
      <c r="E558" s="4">
        <f t="shared" si="280"/>
        <v>558</v>
      </c>
      <c r="F558" s="9" t="s">
        <v>117</v>
      </c>
      <c r="L558" s="9" t="s">
        <v>138</v>
      </c>
      <c r="O558" s="23">
        <f t="shared" ref="O558" ca="1" si="285">O544</f>
        <v>109</v>
      </c>
    </row>
    <row r="559" spans="2:15">
      <c r="B559" s="22">
        <f t="shared" ref="B559:B622" si="286">QUOTIENT( D559-1,G560)+1</f>
        <v>9</v>
      </c>
      <c r="C559" s="22">
        <f t="shared" ref="C559" si="287">D559-(B559-1)*G560</f>
        <v>3</v>
      </c>
      <c r="D559" s="22">
        <f>COUNT($D$12:$D558)+1</f>
        <v>27</v>
      </c>
      <c r="E559" s="4"/>
    </row>
    <row r="560" spans="2:15">
      <c r="E560" s="4">
        <f t="shared" si="280"/>
        <v>560</v>
      </c>
      <c r="F560" s="9" t="s">
        <v>96</v>
      </c>
      <c r="G560" s="9" t="s">
        <v>38</v>
      </c>
      <c r="H560" s="9" t="s">
        <v>282</v>
      </c>
      <c r="J560" s="9" t="s">
        <v>247</v>
      </c>
      <c r="O560" s="23">
        <f t="shared" ref="O560:O623" si="288">J560+D559</f>
        <v>10027</v>
      </c>
    </row>
    <row r="561" spans="1:15">
      <c r="E561" s="4">
        <f t="shared" si="280"/>
        <v>561</v>
      </c>
      <c r="F561" s="9" t="s">
        <v>165</v>
      </c>
      <c r="G561" s="9" t="s">
        <v>280</v>
      </c>
      <c r="H561" s="9" t="s">
        <v>249</v>
      </c>
      <c r="O561" s="23">
        <f t="shared" ref="O561" si="289">G561+B559*H561</f>
        <v>635</v>
      </c>
    </row>
    <row r="562" spans="1:15">
      <c r="E562" s="4">
        <f t="shared" si="280"/>
        <v>562</v>
      </c>
      <c r="F562" s="9" t="s">
        <v>35</v>
      </c>
      <c r="O562" s="23" t="s">
        <v>251</v>
      </c>
    </row>
    <row r="563" spans="1:15">
      <c r="E563" s="4">
        <f t="shared" si="280"/>
        <v>563</v>
      </c>
      <c r="F563" s="9" t="s">
        <v>29</v>
      </c>
      <c r="O563" s="23" t="s">
        <v>157</v>
      </c>
    </row>
    <row r="564" spans="1:15">
      <c r="A564" s="9"/>
      <c r="B564" s="9"/>
      <c r="C564" s="9"/>
      <c r="D564" s="9"/>
      <c r="E564" s="4">
        <f t="shared" si="280"/>
        <v>564</v>
      </c>
      <c r="F564" s="9" t="s">
        <v>122</v>
      </c>
      <c r="O564" s="23" t="s">
        <v>158</v>
      </c>
    </row>
    <row r="565" spans="1:15">
      <c r="E565" s="4">
        <f t="shared" si="280"/>
        <v>565</v>
      </c>
      <c r="F565" s="9" t="s">
        <v>117</v>
      </c>
      <c r="G565" s="9" t="s">
        <v>253</v>
      </c>
      <c r="H565" s="9" t="s">
        <v>254</v>
      </c>
      <c r="I565" s="9" t="s">
        <v>255</v>
      </c>
      <c r="J565" s="9" t="s">
        <v>256</v>
      </c>
      <c r="L565" s="9" t="s">
        <v>138</v>
      </c>
      <c r="O565" s="23">
        <f t="shared" ref="O565" ca="1" si="290">IF(MOD(D559,2)=0,RANDBETWEEN($I$19,$J$19),RANDBETWEEN($G$19,$H$19))</f>
        <v>-100</v>
      </c>
    </row>
    <row r="566" spans="1:15">
      <c r="E566" s="4">
        <f t="shared" si="280"/>
        <v>566</v>
      </c>
      <c r="F566" s="9" t="s">
        <v>30</v>
      </c>
      <c r="O566" s="23" t="s">
        <v>33</v>
      </c>
    </row>
    <row r="567" spans="1:15">
      <c r="E567" s="4">
        <f t="shared" si="280"/>
        <v>567</v>
      </c>
      <c r="F567" s="9" t="s">
        <v>119</v>
      </c>
      <c r="G567" s="9" t="s">
        <v>257</v>
      </c>
      <c r="H567" s="9" t="s">
        <v>258</v>
      </c>
      <c r="I567" s="9" t="s">
        <v>34</v>
      </c>
      <c r="O567" s="23">
        <f t="shared" ref="O567:O630" ca="1" si="291">RANDBETWEEN($G$21*$I$21,$H$21*$I$21)/$I$21</f>
        <v>-6.2</v>
      </c>
    </row>
    <row r="568" spans="1:15">
      <c r="E568" s="4">
        <f t="shared" si="280"/>
        <v>568</v>
      </c>
      <c r="F568" s="9" t="s">
        <v>112</v>
      </c>
      <c r="O568" s="23">
        <v>0</v>
      </c>
    </row>
    <row r="569" spans="1:15">
      <c r="E569" s="4">
        <f t="shared" si="280"/>
        <v>569</v>
      </c>
      <c r="F569" s="9" t="s">
        <v>102</v>
      </c>
      <c r="G569" s="9" t="s">
        <v>259</v>
      </c>
      <c r="H569" s="9" t="s">
        <v>260</v>
      </c>
      <c r="I569" s="9" t="s">
        <v>34</v>
      </c>
      <c r="J569" s="9" t="s">
        <v>261</v>
      </c>
      <c r="K569" s="9" t="s">
        <v>140</v>
      </c>
      <c r="O569" s="23" t="str">
        <f t="shared" ref="O569:O632" ca="1" si="292">CONCATENATE(RANDBETWEEN($G$23*$I$23,$H$23*$I$23)/$I$23,$J$23)</f>
        <v>0.9,6</v>
      </c>
    </row>
    <row r="570" spans="1:15">
      <c r="E570" s="4">
        <f t="shared" si="280"/>
        <v>570</v>
      </c>
      <c r="F570" s="9" t="s">
        <v>31</v>
      </c>
      <c r="L570" s="9" t="s">
        <v>148</v>
      </c>
    </row>
    <row r="571" spans="1:15">
      <c r="E571" s="4">
        <f t="shared" si="280"/>
        <v>571</v>
      </c>
      <c r="F571" s="9" t="s">
        <v>136</v>
      </c>
      <c r="L571" s="9" t="s">
        <v>149</v>
      </c>
    </row>
    <row r="572" spans="1:15">
      <c r="E572" s="4">
        <f t="shared" si="280"/>
        <v>572</v>
      </c>
      <c r="F572" s="9" t="s">
        <v>137</v>
      </c>
      <c r="K572" s="9" t="s">
        <v>141</v>
      </c>
      <c r="O572" s="23">
        <v>1</v>
      </c>
    </row>
    <row r="573" spans="1:15">
      <c r="E573" s="4">
        <f t="shared" si="280"/>
        <v>573</v>
      </c>
      <c r="F573" s="9" t="s">
        <v>137</v>
      </c>
      <c r="G573" s="9" t="s">
        <v>262</v>
      </c>
      <c r="H573" s="9" t="s">
        <v>32</v>
      </c>
      <c r="I573" s="9" t="s">
        <v>34</v>
      </c>
      <c r="J573" s="9" t="s">
        <v>263</v>
      </c>
      <c r="K573" s="9" t="s">
        <v>140</v>
      </c>
      <c r="O573" s="23" t="str">
        <f t="shared" ref="O573:O636" ca="1" si="293">CONCATENATE(RANDBETWEEN($G$27*$I$27,$H$27*$I$27)/$I$27,$J$27)</f>
        <v>3,-4.5</v>
      </c>
    </row>
    <row r="574" spans="1:15">
      <c r="E574" s="4">
        <f t="shared" si="280"/>
        <v>574</v>
      </c>
      <c r="F574" s="9" t="s">
        <v>105</v>
      </c>
      <c r="O574" s="23">
        <f t="shared" ref="O574" si="294">O560*10+1</f>
        <v>100271</v>
      </c>
    </row>
    <row r="575" spans="1:15">
      <c r="E575" s="4">
        <f t="shared" si="280"/>
        <v>575</v>
      </c>
      <c r="F575" s="9" t="s">
        <v>156</v>
      </c>
      <c r="O575" s="23">
        <f t="shared" ref="O575" si="295">O560</f>
        <v>10027</v>
      </c>
    </row>
    <row r="576" spans="1:15">
      <c r="E576" s="4">
        <f t="shared" si="280"/>
        <v>576</v>
      </c>
      <c r="F576" s="9" t="s">
        <v>131</v>
      </c>
      <c r="O576" s="23">
        <v>0</v>
      </c>
    </row>
    <row r="577" spans="1:15">
      <c r="E577" s="4">
        <f t="shared" si="280"/>
        <v>577</v>
      </c>
      <c r="F577" s="9" t="s">
        <v>35</v>
      </c>
      <c r="O577" s="23" t="s">
        <v>252</v>
      </c>
    </row>
    <row r="578" spans="1:15">
      <c r="E578" s="4">
        <f t="shared" si="280"/>
        <v>578</v>
      </c>
      <c r="F578" s="9" t="s">
        <v>119</v>
      </c>
      <c r="O578" s="23" t="s">
        <v>22</v>
      </c>
    </row>
    <row r="579" spans="1:15">
      <c r="E579" s="4">
        <f t="shared" si="280"/>
        <v>579</v>
      </c>
      <c r="F579" s="9" t="s">
        <v>117</v>
      </c>
      <c r="L579" s="9" t="s">
        <v>138</v>
      </c>
      <c r="O579" s="23">
        <f t="shared" ref="O579" ca="1" si="296">O565</f>
        <v>-100</v>
      </c>
    </row>
    <row r="580" spans="1:15">
      <c r="B580" s="22">
        <f t="shared" ref="B580:B643" si="297">QUOTIENT( D580-1,G581)+1</f>
        <v>10</v>
      </c>
      <c r="C580" s="22">
        <f t="shared" ref="C580" si="298">D580-(B580-1)*G581</f>
        <v>1</v>
      </c>
      <c r="D580" s="22">
        <f>COUNT($D$12:$D579)+1</f>
        <v>28</v>
      </c>
      <c r="E580" s="4"/>
    </row>
    <row r="581" spans="1:15">
      <c r="E581" s="4">
        <f t="shared" si="280"/>
        <v>581</v>
      </c>
      <c r="F581" s="9" t="s">
        <v>96</v>
      </c>
      <c r="G581" s="9" t="s">
        <v>38</v>
      </c>
      <c r="H581" s="9" t="s">
        <v>282</v>
      </c>
      <c r="J581" s="9" t="s">
        <v>247</v>
      </c>
      <c r="O581" s="23">
        <f t="shared" ref="O581:O644" si="299">J581+D580</f>
        <v>10028</v>
      </c>
    </row>
    <row r="582" spans="1:15">
      <c r="E582" s="4">
        <f t="shared" si="280"/>
        <v>582</v>
      </c>
      <c r="F582" s="9" t="s">
        <v>165</v>
      </c>
      <c r="G582" s="9" t="s">
        <v>280</v>
      </c>
      <c r="H582" s="9" t="s">
        <v>249</v>
      </c>
      <c r="O582" s="23">
        <f t="shared" ref="O582" si="300">G582+B580*H582</f>
        <v>650</v>
      </c>
    </row>
    <row r="583" spans="1:15">
      <c r="E583" s="4">
        <f t="shared" si="280"/>
        <v>583</v>
      </c>
      <c r="F583" s="9" t="s">
        <v>35</v>
      </c>
      <c r="O583" s="23" t="s">
        <v>251</v>
      </c>
    </row>
    <row r="584" spans="1:15">
      <c r="E584" s="4">
        <f t="shared" si="280"/>
        <v>584</v>
      </c>
      <c r="F584" s="9" t="s">
        <v>29</v>
      </c>
      <c r="O584" s="23" t="s">
        <v>157</v>
      </c>
    </row>
    <row r="585" spans="1:15">
      <c r="E585" s="4">
        <f t="shared" si="280"/>
        <v>585</v>
      </c>
      <c r="F585" s="9" t="s">
        <v>122</v>
      </c>
      <c r="O585" s="23" t="s">
        <v>158</v>
      </c>
    </row>
    <row r="586" spans="1:15">
      <c r="A586" s="9"/>
      <c r="B586" s="9"/>
      <c r="C586" s="9"/>
      <c r="D586" s="9"/>
      <c r="E586" s="4">
        <f t="shared" si="280"/>
        <v>586</v>
      </c>
      <c r="F586" s="9" t="s">
        <v>117</v>
      </c>
      <c r="G586" s="9" t="s">
        <v>253</v>
      </c>
      <c r="H586" s="9" t="s">
        <v>254</v>
      </c>
      <c r="I586" s="9" t="s">
        <v>255</v>
      </c>
      <c r="J586" s="9" t="s">
        <v>256</v>
      </c>
      <c r="L586" s="9" t="s">
        <v>138</v>
      </c>
      <c r="O586" s="23">
        <f t="shared" ref="O586" ca="1" si="301">IF(MOD(D580,2)=0,RANDBETWEEN($I$19,$J$19),RANDBETWEEN($G$19,$H$19))</f>
        <v>120</v>
      </c>
    </row>
    <row r="587" spans="1:15">
      <c r="E587" s="4">
        <f t="shared" si="280"/>
        <v>587</v>
      </c>
      <c r="F587" s="9" t="s">
        <v>30</v>
      </c>
      <c r="O587" s="23" t="s">
        <v>33</v>
      </c>
    </row>
    <row r="588" spans="1:15">
      <c r="E588" s="4">
        <f t="shared" si="280"/>
        <v>588</v>
      </c>
      <c r="F588" s="9" t="s">
        <v>119</v>
      </c>
      <c r="G588" s="9" t="s">
        <v>257</v>
      </c>
      <c r="H588" s="9" t="s">
        <v>258</v>
      </c>
      <c r="I588" s="9" t="s">
        <v>34</v>
      </c>
      <c r="O588" s="23">
        <f t="shared" ref="O588:O651" ca="1" si="302">RANDBETWEEN($G$21*$I$21,$H$21*$I$21)/$I$21</f>
        <v>-8.8000000000000007</v>
      </c>
    </row>
    <row r="589" spans="1:15">
      <c r="E589" s="4">
        <f t="shared" si="280"/>
        <v>589</v>
      </c>
      <c r="F589" s="9" t="s">
        <v>112</v>
      </c>
      <c r="O589" s="23">
        <v>0</v>
      </c>
    </row>
    <row r="590" spans="1:15">
      <c r="E590" s="4">
        <f t="shared" si="280"/>
        <v>590</v>
      </c>
      <c r="F590" s="9" t="s">
        <v>102</v>
      </c>
      <c r="G590" s="9" t="s">
        <v>259</v>
      </c>
      <c r="H590" s="9" t="s">
        <v>260</v>
      </c>
      <c r="I590" s="9" t="s">
        <v>34</v>
      </c>
      <c r="J590" s="9" t="s">
        <v>261</v>
      </c>
      <c r="K590" s="9" t="s">
        <v>140</v>
      </c>
      <c r="O590" s="23" t="str">
        <f t="shared" ref="O590:O653" ca="1" si="303">CONCATENATE(RANDBETWEEN($G$23*$I$23,$H$23*$I$23)/$I$23,$J$23)</f>
        <v>3.6,6</v>
      </c>
    </row>
    <row r="591" spans="1:15">
      <c r="E591" s="4">
        <f t="shared" si="280"/>
        <v>591</v>
      </c>
      <c r="F591" s="9" t="s">
        <v>31</v>
      </c>
      <c r="L591" s="9" t="s">
        <v>148</v>
      </c>
    </row>
    <row r="592" spans="1:15">
      <c r="E592" s="4">
        <f t="shared" si="280"/>
        <v>592</v>
      </c>
      <c r="F592" s="9" t="s">
        <v>136</v>
      </c>
      <c r="L592" s="9" t="s">
        <v>149</v>
      </c>
    </row>
    <row r="593" spans="1:15">
      <c r="E593" s="4">
        <f t="shared" si="280"/>
        <v>593</v>
      </c>
      <c r="F593" s="9" t="s">
        <v>137</v>
      </c>
      <c r="K593" s="9" t="s">
        <v>141</v>
      </c>
      <c r="O593" s="23">
        <v>1</v>
      </c>
    </row>
    <row r="594" spans="1:15">
      <c r="E594" s="4">
        <f t="shared" si="280"/>
        <v>594</v>
      </c>
      <c r="F594" s="9" t="s">
        <v>137</v>
      </c>
      <c r="G594" s="9" t="s">
        <v>262</v>
      </c>
      <c r="H594" s="9" t="s">
        <v>32</v>
      </c>
      <c r="I594" s="9" t="s">
        <v>34</v>
      </c>
      <c r="J594" s="9" t="s">
        <v>263</v>
      </c>
      <c r="K594" s="9" t="s">
        <v>140</v>
      </c>
      <c r="O594" s="23" t="str">
        <f t="shared" ref="O594:O657" ca="1" si="304">CONCATENATE(RANDBETWEEN($G$27*$I$27,$H$27*$I$27)/$I$27,$J$27)</f>
        <v>4.8,-4.5</v>
      </c>
    </row>
    <row r="595" spans="1:15">
      <c r="E595" s="4">
        <f t="shared" si="280"/>
        <v>595</v>
      </c>
      <c r="F595" s="9" t="s">
        <v>105</v>
      </c>
      <c r="O595" s="23">
        <f t="shared" ref="O595" si="305">O581*10+1</f>
        <v>100281</v>
      </c>
    </row>
    <row r="596" spans="1:15">
      <c r="E596" s="4">
        <f t="shared" si="280"/>
        <v>596</v>
      </c>
      <c r="F596" s="9" t="s">
        <v>156</v>
      </c>
      <c r="O596" s="23">
        <f t="shared" ref="O596" si="306">O581</f>
        <v>10028</v>
      </c>
    </row>
    <row r="597" spans="1:15">
      <c r="E597" s="4">
        <f t="shared" si="280"/>
        <v>597</v>
      </c>
      <c r="F597" s="9" t="s">
        <v>131</v>
      </c>
      <c r="O597" s="23">
        <v>0</v>
      </c>
    </row>
    <row r="598" spans="1:15">
      <c r="E598" s="4">
        <f t="shared" si="280"/>
        <v>598</v>
      </c>
      <c r="F598" s="9" t="s">
        <v>35</v>
      </c>
      <c r="O598" s="23" t="s">
        <v>252</v>
      </c>
    </row>
    <row r="599" spans="1:15">
      <c r="E599" s="4">
        <f t="shared" si="280"/>
        <v>599</v>
      </c>
      <c r="F599" s="9" t="s">
        <v>119</v>
      </c>
      <c r="O599" s="23" t="s">
        <v>22</v>
      </c>
    </row>
    <row r="600" spans="1:15">
      <c r="E600" s="4">
        <f t="shared" si="280"/>
        <v>600</v>
      </c>
      <c r="F600" s="9" t="s">
        <v>117</v>
      </c>
      <c r="L600" s="9" t="s">
        <v>138</v>
      </c>
      <c r="O600" s="23">
        <f t="shared" ref="O600" ca="1" si="307">O586</f>
        <v>120</v>
      </c>
    </row>
    <row r="601" spans="1:15">
      <c r="B601" s="22">
        <f t="shared" ref="B601:B664" si="308">QUOTIENT( D601-1,G602)+1</f>
        <v>10</v>
      </c>
      <c r="C601" s="22">
        <f t="shared" ref="C601" si="309">D601-(B601-1)*G602</f>
        <v>2</v>
      </c>
      <c r="D601" s="22">
        <f>COUNT($D$12:$D600)+1</f>
        <v>29</v>
      </c>
      <c r="E601" s="4"/>
    </row>
    <row r="602" spans="1:15">
      <c r="E602" s="4">
        <f t="shared" si="280"/>
        <v>602</v>
      </c>
      <c r="F602" s="9" t="s">
        <v>96</v>
      </c>
      <c r="G602" s="9" t="s">
        <v>38</v>
      </c>
      <c r="H602" s="9" t="s">
        <v>282</v>
      </c>
      <c r="J602" s="9" t="s">
        <v>247</v>
      </c>
      <c r="O602" s="23">
        <f t="shared" ref="O602:O665" si="310">J602+D601</f>
        <v>10029</v>
      </c>
    </row>
    <row r="603" spans="1:15">
      <c r="E603" s="4">
        <f t="shared" si="280"/>
        <v>603</v>
      </c>
      <c r="F603" s="9" t="s">
        <v>165</v>
      </c>
      <c r="G603" s="9" t="s">
        <v>280</v>
      </c>
      <c r="H603" s="9" t="s">
        <v>249</v>
      </c>
      <c r="O603" s="23">
        <f t="shared" ref="O603" si="311">G603+B601*H603</f>
        <v>650</v>
      </c>
    </row>
    <row r="604" spans="1:15">
      <c r="E604" s="4">
        <f t="shared" si="280"/>
        <v>604</v>
      </c>
      <c r="F604" s="9" t="s">
        <v>35</v>
      </c>
      <c r="O604" s="23" t="s">
        <v>251</v>
      </c>
    </row>
    <row r="605" spans="1:15">
      <c r="E605" s="4">
        <f t="shared" si="280"/>
        <v>605</v>
      </c>
      <c r="F605" s="9" t="s">
        <v>29</v>
      </c>
      <c r="O605" s="23" t="s">
        <v>157</v>
      </c>
    </row>
    <row r="606" spans="1:15">
      <c r="E606" s="4">
        <f t="shared" si="280"/>
        <v>606</v>
      </c>
      <c r="F606" s="9" t="s">
        <v>122</v>
      </c>
      <c r="O606" s="23" t="s">
        <v>158</v>
      </c>
    </row>
    <row r="607" spans="1:15">
      <c r="E607" s="4">
        <f t="shared" si="280"/>
        <v>607</v>
      </c>
      <c r="F607" s="9" t="s">
        <v>117</v>
      </c>
      <c r="G607" s="9" t="s">
        <v>253</v>
      </c>
      <c r="H607" s="9" t="s">
        <v>254</v>
      </c>
      <c r="I607" s="9" t="s">
        <v>255</v>
      </c>
      <c r="J607" s="9" t="s">
        <v>256</v>
      </c>
      <c r="L607" s="9" t="s">
        <v>138</v>
      </c>
      <c r="O607" s="23">
        <f t="shared" ref="O607" ca="1" si="312">IF(MOD(D601,2)=0,RANDBETWEEN($I$19,$J$19),RANDBETWEEN($G$19,$H$19))</f>
        <v>-96</v>
      </c>
    </row>
    <row r="608" spans="1:15">
      <c r="A608" s="9"/>
      <c r="B608" s="9"/>
      <c r="C608" s="9"/>
      <c r="D608" s="9"/>
      <c r="E608" s="4">
        <f t="shared" si="280"/>
        <v>608</v>
      </c>
      <c r="F608" s="9" t="s">
        <v>30</v>
      </c>
      <c r="O608" s="23" t="s">
        <v>33</v>
      </c>
    </row>
    <row r="609" spans="2:15">
      <c r="E609" s="4">
        <f t="shared" si="280"/>
        <v>609</v>
      </c>
      <c r="F609" s="9" t="s">
        <v>119</v>
      </c>
      <c r="G609" s="9" t="s">
        <v>257</v>
      </c>
      <c r="H609" s="9" t="s">
        <v>258</v>
      </c>
      <c r="I609" s="9" t="s">
        <v>34</v>
      </c>
      <c r="O609" s="23">
        <f t="shared" ref="O609:O672" ca="1" si="313">RANDBETWEEN($G$21*$I$21,$H$21*$I$21)/$I$21</f>
        <v>-8.1</v>
      </c>
    </row>
    <row r="610" spans="2:15">
      <c r="E610" s="4">
        <f t="shared" si="280"/>
        <v>610</v>
      </c>
      <c r="F610" s="9" t="s">
        <v>112</v>
      </c>
      <c r="O610" s="23">
        <v>0</v>
      </c>
    </row>
    <row r="611" spans="2:15">
      <c r="E611" s="4">
        <f t="shared" ref="E611:E674" si="314">ROW(E611)</f>
        <v>611</v>
      </c>
      <c r="F611" s="9" t="s">
        <v>102</v>
      </c>
      <c r="G611" s="9" t="s">
        <v>259</v>
      </c>
      <c r="H611" s="9" t="s">
        <v>260</v>
      </c>
      <c r="I611" s="9" t="s">
        <v>34</v>
      </c>
      <c r="J611" s="9" t="s">
        <v>261</v>
      </c>
      <c r="K611" s="9" t="s">
        <v>140</v>
      </c>
      <c r="O611" s="23" t="str">
        <f t="shared" ref="O611:O674" ca="1" si="315">CONCATENATE(RANDBETWEEN($G$23*$I$23,$H$23*$I$23)/$I$23,$J$23)</f>
        <v>-0.2,6</v>
      </c>
    </row>
    <row r="612" spans="2:15">
      <c r="E612" s="4">
        <f t="shared" si="314"/>
        <v>612</v>
      </c>
      <c r="F612" s="9" t="s">
        <v>31</v>
      </c>
      <c r="L612" s="9" t="s">
        <v>148</v>
      </c>
    </row>
    <row r="613" spans="2:15">
      <c r="E613" s="4">
        <f t="shared" si="314"/>
        <v>613</v>
      </c>
      <c r="F613" s="9" t="s">
        <v>136</v>
      </c>
      <c r="L613" s="9" t="s">
        <v>149</v>
      </c>
    </row>
    <row r="614" spans="2:15">
      <c r="E614" s="4">
        <f t="shared" si="314"/>
        <v>614</v>
      </c>
      <c r="F614" s="9" t="s">
        <v>137</v>
      </c>
      <c r="K614" s="9" t="s">
        <v>141</v>
      </c>
      <c r="O614" s="23">
        <v>1</v>
      </c>
    </row>
    <row r="615" spans="2:15">
      <c r="E615" s="4">
        <f t="shared" si="314"/>
        <v>615</v>
      </c>
      <c r="F615" s="9" t="s">
        <v>137</v>
      </c>
      <c r="G615" s="9" t="s">
        <v>262</v>
      </c>
      <c r="H615" s="9" t="s">
        <v>32</v>
      </c>
      <c r="I615" s="9" t="s">
        <v>34</v>
      </c>
      <c r="J615" s="9" t="s">
        <v>263</v>
      </c>
      <c r="K615" s="9" t="s">
        <v>140</v>
      </c>
      <c r="O615" s="23" t="str">
        <f t="shared" ref="O615:O678" ca="1" si="316">CONCATENATE(RANDBETWEEN($G$27*$I$27,$H$27*$I$27)/$I$27,$J$27)</f>
        <v>4.1,-4.5</v>
      </c>
    </row>
    <row r="616" spans="2:15">
      <c r="E616" s="4">
        <f t="shared" si="314"/>
        <v>616</v>
      </c>
      <c r="F616" s="9" t="s">
        <v>105</v>
      </c>
      <c r="O616" s="23">
        <f t="shared" ref="O616" si="317">O602*10+1</f>
        <v>100291</v>
      </c>
    </row>
    <row r="617" spans="2:15">
      <c r="E617" s="4">
        <f t="shared" si="314"/>
        <v>617</v>
      </c>
      <c r="F617" s="9" t="s">
        <v>156</v>
      </c>
      <c r="O617" s="23">
        <f t="shared" ref="O617" si="318">O602</f>
        <v>10029</v>
      </c>
    </row>
    <row r="618" spans="2:15">
      <c r="E618" s="4">
        <f t="shared" si="314"/>
        <v>618</v>
      </c>
      <c r="F618" s="9" t="s">
        <v>131</v>
      </c>
      <c r="O618" s="23">
        <v>0</v>
      </c>
    </row>
    <row r="619" spans="2:15">
      <c r="E619" s="4">
        <f t="shared" si="314"/>
        <v>619</v>
      </c>
      <c r="F619" s="9" t="s">
        <v>35</v>
      </c>
      <c r="O619" s="23" t="s">
        <v>252</v>
      </c>
    </row>
    <row r="620" spans="2:15">
      <c r="E620" s="4">
        <f t="shared" si="314"/>
        <v>620</v>
      </c>
      <c r="F620" s="9" t="s">
        <v>119</v>
      </c>
      <c r="O620" s="23" t="s">
        <v>22</v>
      </c>
    </row>
    <row r="621" spans="2:15">
      <c r="E621" s="4">
        <f t="shared" si="314"/>
        <v>621</v>
      </c>
      <c r="F621" s="9" t="s">
        <v>117</v>
      </c>
      <c r="L621" s="9" t="s">
        <v>138</v>
      </c>
      <c r="O621" s="23">
        <f t="shared" ref="O621" ca="1" si="319">O607</f>
        <v>-96</v>
      </c>
    </row>
    <row r="622" spans="2:15">
      <c r="B622" s="22">
        <f t="shared" ref="B622:B685" si="320">QUOTIENT( D622-1,G623)+1</f>
        <v>10</v>
      </c>
      <c r="C622" s="22">
        <f t="shared" ref="C622" si="321">D622-(B622-1)*G623</f>
        <v>3</v>
      </c>
      <c r="D622" s="22">
        <f>COUNT($D$12:$D621)+1</f>
        <v>30</v>
      </c>
      <c r="E622" s="4"/>
    </row>
    <row r="623" spans="2:15">
      <c r="E623" s="4">
        <f t="shared" si="314"/>
        <v>623</v>
      </c>
      <c r="F623" s="9" t="s">
        <v>96</v>
      </c>
      <c r="G623" s="9" t="s">
        <v>38</v>
      </c>
      <c r="H623" s="9" t="s">
        <v>282</v>
      </c>
      <c r="J623" s="9" t="s">
        <v>247</v>
      </c>
      <c r="O623" s="23">
        <f t="shared" ref="O623:O686" si="322">J623+D622</f>
        <v>10030</v>
      </c>
    </row>
    <row r="624" spans="2:15">
      <c r="E624" s="4">
        <f t="shared" si="314"/>
        <v>624</v>
      </c>
      <c r="F624" s="9" t="s">
        <v>165</v>
      </c>
      <c r="G624" s="9" t="s">
        <v>280</v>
      </c>
      <c r="H624" s="9" t="s">
        <v>249</v>
      </c>
      <c r="O624" s="23">
        <f t="shared" ref="O624" si="323">G624+B622*H624</f>
        <v>650</v>
      </c>
    </row>
    <row r="625" spans="1:15">
      <c r="E625" s="4">
        <f t="shared" si="314"/>
        <v>625</v>
      </c>
      <c r="F625" s="9" t="s">
        <v>35</v>
      </c>
      <c r="O625" s="23" t="s">
        <v>251</v>
      </c>
    </row>
    <row r="626" spans="1:15">
      <c r="E626" s="4">
        <f t="shared" si="314"/>
        <v>626</v>
      </c>
      <c r="F626" s="9" t="s">
        <v>29</v>
      </c>
      <c r="O626" s="23" t="s">
        <v>157</v>
      </c>
    </row>
    <row r="627" spans="1:15">
      <c r="E627" s="4">
        <f t="shared" si="314"/>
        <v>627</v>
      </c>
      <c r="F627" s="9" t="s">
        <v>122</v>
      </c>
      <c r="O627" s="23" t="s">
        <v>158</v>
      </c>
    </row>
    <row r="628" spans="1:15">
      <c r="E628" s="4">
        <f t="shared" si="314"/>
        <v>628</v>
      </c>
      <c r="F628" s="9" t="s">
        <v>117</v>
      </c>
      <c r="G628" s="9" t="s">
        <v>253</v>
      </c>
      <c r="H628" s="9" t="s">
        <v>254</v>
      </c>
      <c r="I628" s="9" t="s">
        <v>255</v>
      </c>
      <c r="J628" s="9" t="s">
        <v>256</v>
      </c>
      <c r="L628" s="9" t="s">
        <v>138</v>
      </c>
      <c r="O628" s="23">
        <f t="shared" ref="O628" ca="1" si="324">IF(MOD(D622,2)=0,RANDBETWEEN($I$19,$J$19),RANDBETWEEN($G$19,$H$19))</f>
        <v>111</v>
      </c>
    </row>
    <row r="629" spans="1:15">
      <c r="E629" s="4">
        <f t="shared" si="314"/>
        <v>629</v>
      </c>
      <c r="F629" s="9" t="s">
        <v>30</v>
      </c>
      <c r="O629" s="23" t="s">
        <v>33</v>
      </c>
    </row>
    <row r="630" spans="1:15">
      <c r="A630" s="9"/>
      <c r="B630" s="9"/>
      <c r="C630" s="9"/>
      <c r="D630" s="9"/>
      <c r="E630" s="4">
        <f t="shared" si="314"/>
        <v>630</v>
      </c>
      <c r="F630" s="9" t="s">
        <v>119</v>
      </c>
      <c r="G630" s="9" t="s">
        <v>257</v>
      </c>
      <c r="H630" s="9" t="s">
        <v>258</v>
      </c>
      <c r="I630" s="9" t="s">
        <v>34</v>
      </c>
      <c r="O630" s="23">
        <f t="shared" ref="O630:O693" ca="1" si="325">RANDBETWEEN($G$21*$I$21,$H$21*$I$21)/$I$21</f>
        <v>-4</v>
      </c>
    </row>
    <row r="631" spans="1:15">
      <c r="E631" s="4">
        <f t="shared" si="314"/>
        <v>631</v>
      </c>
      <c r="F631" s="9" t="s">
        <v>112</v>
      </c>
      <c r="O631" s="23">
        <v>0</v>
      </c>
    </row>
    <row r="632" spans="1:15">
      <c r="E632" s="4">
        <f t="shared" si="314"/>
        <v>632</v>
      </c>
      <c r="F632" s="9" t="s">
        <v>102</v>
      </c>
      <c r="G632" s="9" t="s">
        <v>259</v>
      </c>
      <c r="H632" s="9" t="s">
        <v>260</v>
      </c>
      <c r="I632" s="9" t="s">
        <v>34</v>
      </c>
      <c r="J632" s="9" t="s">
        <v>261</v>
      </c>
      <c r="K632" s="9" t="s">
        <v>140</v>
      </c>
      <c r="O632" s="23" t="str">
        <f t="shared" ref="O632:O695" ca="1" si="326">CONCATENATE(RANDBETWEEN($G$23*$I$23,$H$23*$I$23)/$I$23,$J$23)</f>
        <v>-3.5,6</v>
      </c>
    </row>
    <row r="633" spans="1:15">
      <c r="E633" s="4">
        <f t="shared" si="314"/>
        <v>633</v>
      </c>
      <c r="F633" s="9" t="s">
        <v>31</v>
      </c>
      <c r="L633" s="9" t="s">
        <v>148</v>
      </c>
    </row>
    <row r="634" spans="1:15">
      <c r="E634" s="4">
        <f t="shared" si="314"/>
        <v>634</v>
      </c>
      <c r="F634" s="9" t="s">
        <v>136</v>
      </c>
      <c r="L634" s="9" t="s">
        <v>149</v>
      </c>
    </row>
    <row r="635" spans="1:15">
      <c r="E635" s="4">
        <f t="shared" si="314"/>
        <v>635</v>
      </c>
      <c r="F635" s="9" t="s">
        <v>137</v>
      </c>
      <c r="K635" s="9" t="s">
        <v>141</v>
      </c>
      <c r="O635" s="23">
        <v>1</v>
      </c>
    </row>
    <row r="636" spans="1:15">
      <c r="E636" s="4">
        <f t="shared" si="314"/>
        <v>636</v>
      </c>
      <c r="F636" s="9" t="s">
        <v>137</v>
      </c>
      <c r="G636" s="9" t="s">
        <v>262</v>
      </c>
      <c r="H636" s="9" t="s">
        <v>32</v>
      </c>
      <c r="I636" s="9" t="s">
        <v>34</v>
      </c>
      <c r="J636" s="9" t="s">
        <v>263</v>
      </c>
      <c r="K636" s="9" t="s">
        <v>140</v>
      </c>
      <c r="O636" s="23" t="str">
        <f t="shared" ref="O636:O699" ca="1" si="327">CONCATENATE(RANDBETWEEN($G$27*$I$27,$H$27*$I$27)/$I$27,$J$27)</f>
        <v>1.2,-4.5</v>
      </c>
    </row>
    <row r="637" spans="1:15">
      <c r="E637" s="4">
        <f t="shared" si="314"/>
        <v>637</v>
      </c>
      <c r="F637" s="9" t="s">
        <v>105</v>
      </c>
      <c r="O637" s="23">
        <f t="shared" ref="O637" si="328">O623*10+1</f>
        <v>100301</v>
      </c>
    </row>
    <row r="638" spans="1:15">
      <c r="E638" s="4">
        <f t="shared" si="314"/>
        <v>638</v>
      </c>
      <c r="F638" s="9" t="s">
        <v>156</v>
      </c>
      <c r="O638" s="23">
        <f t="shared" ref="O638" si="329">O623</f>
        <v>10030</v>
      </c>
    </row>
    <row r="639" spans="1:15">
      <c r="E639" s="4">
        <f t="shared" si="314"/>
        <v>639</v>
      </c>
      <c r="F639" s="9" t="s">
        <v>131</v>
      </c>
      <c r="O639" s="23">
        <v>0</v>
      </c>
    </row>
    <row r="640" spans="1:15">
      <c r="E640" s="4">
        <f t="shared" si="314"/>
        <v>640</v>
      </c>
      <c r="F640" s="9" t="s">
        <v>35</v>
      </c>
      <c r="O640" s="23" t="s">
        <v>252</v>
      </c>
    </row>
    <row r="641" spans="1:15">
      <c r="E641" s="4">
        <f t="shared" si="314"/>
        <v>641</v>
      </c>
      <c r="F641" s="9" t="s">
        <v>119</v>
      </c>
      <c r="O641" s="23" t="s">
        <v>22</v>
      </c>
    </row>
    <row r="642" spans="1:15">
      <c r="E642" s="4">
        <f t="shared" si="314"/>
        <v>642</v>
      </c>
      <c r="F642" s="9" t="s">
        <v>117</v>
      </c>
      <c r="L642" s="9" t="s">
        <v>138</v>
      </c>
      <c r="O642" s="23">
        <f t="shared" ref="O642" ca="1" si="330">O628</f>
        <v>111</v>
      </c>
    </row>
    <row r="643" spans="1:15">
      <c r="B643" s="22">
        <f t="shared" ref="B643:B706" si="331">QUOTIENT( D643-1,G644)+1</f>
        <v>11</v>
      </c>
      <c r="C643" s="22">
        <f t="shared" ref="C643" si="332">D643-(B643-1)*G644</f>
        <v>1</v>
      </c>
      <c r="D643" s="22">
        <f>COUNT($D$12:$D642)+1</f>
        <v>31</v>
      </c>
      <c r="E643" s="4"/>
    </row>
    <row r="644" spans="1:15">
      <c r="E644" s="4">
        <f t="shared" si="314"/>
        <v>644</v>
      </c>
      <c r="F644" s="9" t="s">
        <v>96</v>
      </c>
      <c r="G644" s="9" t="s">
        <v>38</v>
      </c>
      <c r="H644" s="9" t="s">
        <v>282</v>
      </c>
      <c r="J644" s="9" t="s">
        <v>247</v>
      </c>
      <c r="O644" s="23">
        <f t="shared" ref="O644:O707" si="333">J644+D643</f>
        <v>10031</v>
      </c>
    </row>
    <row r="645" spans="1:15">
      <c r="E645" s="4">
        <f t="shared" si="314"/>
        <v>645</v>
      </c>
      <c r="F645" s="9" t="s">
        <v>165</v>
      </c>
      <c r="G645" s="9" t="s">
        <v>280</v>
      </c>
      <c r="H645" s="9" t="s">
        <v>249</v>
      </c>
      <c r="O645" s="23">
        <f t="shared" ref="O645" si="334">G645+B643*H645</f>
        <v>665</v>
      </c>
    </row>
    <row r="646" spans="1:15">
      <c r="E646" s="4">
        <f t="shared" si="314"/>
        <v>646</v>
      </c>
      <c r="F646" s="9" t="s">
        <v>35</v>
      </c>
      <c r="O646" s="23" t="s">
        <v>251</v>
      </c>
    </row>
    <row r="647" spans="1:15">
      <c r="E647" s="4">
        <f t="shared" si="314"/>
        <v>647</v>
      </c>
      <c r="F647" s="9" t="s">
        <v>29</v>
      </c>
      <c r="O647" s="23" t="s">
        <v>157</v>
      </c>
    </row>
    <row r="648" spans="1:15">
      <c r="E648" s="4">
        <f t="shared" si="314"/>
        <v>648</v>
      </c>
      <c r="F648" s="9" t="s">
        <v>122</v>
      </c>
      <c r="O648" s="23" t="s">
        <v>158</v>
      </c>
    </row>
    <row r="649" spans="1:15">
      <c r="E649" s="4">
        <f t="shared" si="314"/>
        <v>649</v>
      </c>
      <c r="F649" s="9" t="s">
        <v>117</v>
      </c>
      <c r="G649" s="9" t="s">
        <v>253</v>
      </c>
      <c r="H649" s="9" t="s">
        <v>254</v>
      </c>
      <c r="I649" s="9" t="s">
        <v>255</v>
      </c>
      <c r="J649" s="9" t="s">
        <v>256</v>
      </c>
      <c r="L649" s="9" t="s">
        <v>138</v>
      </c>
      <c r="O649" s="23">
        <f t="shared" ref="O649" ca="1" si="335">IF(MOD(D643,2)=0,RANDBETWEEN($I$19,$J$19),RANDBETWEEN($G$19,$H$19))</f>
        <v>-80</v>
      </c>
    </row>
    <row r="650" spans="1:15">
      <c r="E650" s="4">
        <f t="shared" si="314"/>
        <v>650</v>
      </c>
      <c r="F650" s="9" t="s">
        <v>30</v>
      </c>
      <c r="O650" s="23" t="s">
        <v>33</v>
      </c>
    </row>
    <row r="651" spans="1:15">
      <c r="E651" s="4">
        <f t="shared" si="314"/>
        <v>651</v>
      </c>
      <c r="F651" s="9" t="s">
        <v>119</v>
      </c>
      <c r="G651" s="9" t="s">
        <v>257</v>
      </c>
      <c r="H651" s="9" t="s">
        <v>258</v>
      </c>
      <c r="I651" s="9" t="s">
        <v>34</v>
      </c>
      <c r="O651" s="23">
        <f t="shared" ref="O651:O714" ca="1" si="336">RANDBETWEEN($G$21*$I$21,$H$21*$I$21)/$I$21</f>
        <v>-5.6</v>
      </c>
    </row>
    <row r="652" spans="1:15">
      <c r="A652" s="9"/>
      <c r="B652" s="9"/>
      <c r="C652" s="9"/>
      <c r="D652" s="9"/>
      <c r="E652" s="4">
        <f t="shared" si="314"/>
        <v>652</v>
      </c>
      <c r="F652" s="9" t="s">
        <v>112</v>
      </c>
      <c r="O652" s="23">
        <v>0</v>
      </c>
    </row>
    <row r="653" spans="1:15">
      <c r="E653" s="4">
        <f t="shared" si="314"/>
        <v>653</v>
      </c>
      <c r="F653" s="9" t="s">
        <v>102</v>
      </c>
      <c r="G653" s="9" t="s">
        <v>259</v>
      </c>
      <c r="H653" s="9" t="s">
        <v>260</v>
      </c>
      <c r="I653" s="9" t="s">
        <v>34</v>
      </c>
      <c r="J653" s="9" t="s">
        <v>261</v>
      </c>
      <c r="K653" s="9" t="s">
        <v>140</v>
      </c>
      <c r="O653" s="23" t="str">
        <f t="shared" ref="O653:O716" ca="1" si="337">CONCATENATE(RANDBETWEEN($G$23*$I$23,$H$23*$I$23)/$I$23,$J$23)</f>
        <v>-4.5,6</v>
      </c>
    </row>
    <row r="654" spans="1:15">
      <c r="E654" s="4">
        <f t="shared" si="314"/>
        <v>654</v>
      </c>
      <c r="F654" s="9" t="s">
        <v>31</v>
      </c>
      <c r="L654" s="9" t="s">
        <v>148</v>
      </c>
    </row>
    <row r="655" spans="1:15">
      <c r="E655" s="4">
        <f t="shared" si="314"/>
        <v>655</v>
      </c>
      <c r="F655" s="9" t="s">
        <v>136</v>
      </c>
      <c r="L655" s="9" t="s">
        <v>149</v>
      </c>
    </row>
    <row r="656" spans="1:15">
      <c r="E656" s="4">
        <f t="shared" si="314"/>
        <v>656</v>
      </c>
      <c r="F656" s="9" t="s">
        <v>137</v>
      </c>
      <c r="K656" s="9" t="s">
        <v>141</v>
      </c>
      <c r="O656" s="23">
        <v>1</v>
      </c>
    </row>
    <row r="657" spans="2:15">
      <c r="E657" s="4">
        <f t="shared" si="314"/>
        <v>657</v>
      </c>
      <c r="F657" s="9" t="s">
        <v>137</v>
      </c>
      <c r="G657" s="9" t="s">
        <v>262</v>
      </c>
      <c r="H657" s="9" t="s">
        <v>32</v>
      </c>
      <c r="I657" s="9" t="s">
        <v>34</v>
      </c>
      <c r="J657" s="9" t="s">
        <v>263</v>
      </c>
      <c r="K657" s="9" t="s">
        <v>140</v>
      </c>
      <c r="O657" s="23" t="str">
        <f t="shared" ref="O657:O720" ca="1" si="338">CONCATENATE(RANDBETWEEN($G$27*$I$27,$H$27*$I$27)/$I$27,$J$27)</f>
        <v>5.4,-4.5</v>
      </c>
    </row>
    <row r="658" spans="2:15">
      <c r="E658" s="4">
        <f t="shared" si="314"/>
        <v>658</v>
      </c>
      <c r="F658" s="9" t="s">
        <v>105</v>
      </c>
      <c r="O658" s="23">
        <f t="shared" ref="O658" si="339">O644*10+1</f>
        <v>100311</v>
      </c>
    </row>
    <row r="659" spans="2:15">
      <c r="E659" s="4">
        <f t="shared" si="314"/>
        <v>659</v>
      </c>
      <c r="F659" s="9" t="s">
        <v>156</v>
      </c>
      <c r="O659" s="23">
        <f t="shared" ref="O659" si="340">O644</f>
        <v>10031</v>
      </c>
    </row>
    <row r="660" spans="2:15">
      <c r="E660" s="4">
        <f t="shared" si="314"/>
        <v>660</v>
      </c>
      <c r="F660" s="9" t="s">
        <v>131</v>
      </c>
      <c r="O660" s="23">
        <v>0</v>
      </c>
    </row>
    <row r="661" spans="2:15">
      <c r="E661" s="4">
        <f t="shared" si="314"/>
        <v>661</v>
      </c>
      <c r="F661" s="9" t="s">
        <v>35</v>
      </c>
      <c r="O661" s="23" t="s">
        <v>252</v>
      </c>
    </row>
    <row r="662" spans="2:15">
      <c r="E662" s="4">
        <f t="shared" si="314"/>
        <v>662</v>
      </c>
      <c r="F662" s="9" t="s">
        <v>119</v>
      </c>
      <c r="O662" s="23" t="s">
        <v>22</v>
      </c>
    </row>
    <row r="663" spans="2:15">
      <c r="E663" s="4">
        <f t="shared" si="314"/>
        <v>663</v>
      </c>
      <c r="F663" s="9" t="s">
        <v>117</v>
      </c>
      <c r="L663" s="9" t="s">
        <v>138</v>
      </c>
      <c r="O663" s="23">
        <f t="shared" ref="O663" ca="1" si="341">O649</f>
        <v>-80</v>
      </c>
    </row>
    <row r="664" spans="2:15">
      <c r="B664" s="22">
        <f t="shared" ref="B664:B727" si="342">QUOTIENT( D664-1,G665)+1</f>
        <v>11</v>
      </c>
      <c r="C664" s="22">
        <f t="shared" ref="C664" si="343">D664-(B664-1)*G665</f>
        <v>2</v>
      </c>
      <c r="D664" s="22">
        <f>COUNT($D$12:$D663)+1</f>
        <v>32</v>
      </c>
      <c r="E664" s="4"/>
    </row>
    <row r="665" spans="2:15">
      <c r="E665" s="4">
        <f t="shared" si="314"/>
        <v>665</v>
      </c>
      <c r="F665" s="9" t="s">
        <v>96</v>
      </c>
      <c r="G665" s="9" t="s">
        <v>38</v>
      </c>
      <c r="H665" s="9" t="s">
        <v>282</v>
      </c>
      <c r="J665" s="9" t="s">
        <v>247</v>
      </c>
      <c r="O665" s="23">
        <f t="shared" ref="O665:O728" si="344">J665+D664</f>
        <v>10032</v>
      </c>
    </row>
    <row r="666" spans="2:15">
      <c r="E666" s="4">
        <f t="shared" si="314"/>
        <v>666</v>
      </c>
      <c r="F666" s="9" t="s">
        <v>165</v>
      </c>
      <c r="G666" s="9" t="s">
        <v>280</v>
      </c>
      <c r="H666" s="9" t="s">
        <v>249</v>
      </c>
      <c r="O666" s="23">
        <f t="shared" ref="O666" si="345">G666+B664*H666</f>
        <v>665</v>
      </c>
    </row>
    <row r="667" spans="2:15">
      <c r="E667" s="4">
        <f t="shared" si="314"/>
        <v>667</v>
      </c>
      <c r="F667" s="9" t="s">
        <v>35</v>
      </c>
      <c r="O667" s="23" t="s">
        <v>251</v>
      </c>
    </row>
    <row r="668" spans="2:15">
      <c r="E668" s="4">
        <f t="shared" si="314"/>
        <v>668</v>
      </c>
      <c r="F668" s="9" t="s">
        <v>29</v>
      </c>
      <c r="O668" s="23" t="s">
        <v>157</v>
      </c>
    </row>
    <row r="669" spans="2:15">
      <c r="E669" s="4">
        <f t="shared" si="314"/>
        <v>669</v>
      </c>
      <c r="F669" s="9" t="s">
        <v>122</v>
      </c>
      <c r="O669" s="23" t="s">
        <v>158</v>
      </c>
    </row>
    <row r="670" spans="2:15">
      <c r="E670" s="4">
        <f t="shared" si="314"/>
        <v>670</v>
      </c>
      <c r="F670" s="9" t="s">
        <v>117</v>
      </c>
      <c r="G670" s="9" t="s">
        <v>253</v>
      </c>
      <c r="H670" s="9" t="s">
        <v>254</v>
      </c>
      <c r="I670" s="9" t="s">
        <v>255</v>
      </c>
      <c r="J670" s="9" t="s">
        <v>256</v>
      </c>
      <c r="L670" s="9" t="s">
        <v>138</v>
      </c>
      <c r="O670" s="23">
        <f t="shared" ref="O670" ca="1" si="346">IF(MOD(D664,2)=0,RANDBETWEEN($I$19,$J$19),RANDBETWEEN($G$19,$H$19))</f>
        <v>107</v>
      </c>
    </row>
    <row r="671" spans="2:15">
      <c r="E671" s="4">
        <f t="shared" si="314"/>
        <v>671</v>
      </c>
      <c r="F671" s="9" t="s">
        <v>30</v>
      </c>
      <c r="O671" s="23" t="s">
        <v>33</v>
      </c>
    </row>
    <row r="672" spans="2:15">
      <c r="E672" s="4">
        <f t="shared" si="314"/>
        <v>672</v>
      </c>
      <c r="F672" s="9" t="s">
        <v>119</v>
      </c>
      <c r="G672" s="9" t="s">
        <v>257</v>
      </c>
      <c r="H672" s="9" t="s">
        <v>258</v>
      </c>
      <c r="I672" s="9" t="s">
        <v>34</v>
      </c>
      <c r="O672" s="23">
        <f t="shared" ref="O672:O735" ca="1" si="347">RANDBETWEEN($G$21*$I$21,$H$21*$I$21)/$I$21</f>
        <v>-4.9000000000000004</v>
      </c>
    </row>
    <row r="673" spans="1:15">
      <c r="E673" s="4">
        <f t="shared" si="314"/>
        <v>673</v>
      </c>
      <c r="F673" s="9" t="s">
        <v>112</v>
      </c>
      <c r="O673" s="23">
        <v>0</v>
      </c>
    </row>
    <row r="674" spans="1:15">
      <c r="A674" s="9"/>
      <c r="B674" s="9"/>
      <c r="C674" s="9"/>
      <c r="D674" s="9"/>
      <c r="E674" s="4">
        <f t="shared" si="314"/>
        <v>674</v>
      </c>
      <c r="F674" s="9" t="s">
        <v>102</v>
      </c>
      <c r="G674" s="9" t="s">
        <v>259</v>
      </c>
      <c r="H674" s="9" t="s">
        <v>260</v>
      </c>
      <c r="I674" s="9" t="s">
        <v>34</v>
      </c>
      <c r="J674" s="9" t="s">
        <v>261</v>
      </c>
      <c r="K674" s="9" t="s">
        <v>140</v>
      </c>
      <c r="O674" s="23" t="str">
        <f t="shared" ref="O674:O737" ca="1" si="348">CONCATENATE(RANDBETWEEN($G$23*$I$23,$H$23*$I$23)/$I$23,$J$23)</f>
        <v>-1.9,6</v>
      </c>
    </row>
    <row r="675" spans="1:15">
      <c r="E675" s="4">
        <f t="shared" ref="E675:E738" si="349">ROW(E675)</f>
        <v>675</v>
      </c>
      <c r="F675" s="9" t="s">
        <v>31</v>
      </c>
      <c r="L675" s="9" t="s">
        <v>148</v>
      </c>
    </row>
    <row r="676" spans="1:15">
      <c r="E676" s="4">
        <f t="shared" si="349"/>
        <v>676</v>
      </c>
      <c r="F676" s="9" t="s">
        <v>136</v>
      </c>
      <c r="L676" s="9" t="s">
        <v>149</v>
      </c>
    </row>
    <row r="677" spans="1:15">
      <c r="E677" s="4">
        <f t="shared" si="349"/>
        <v>677</v>
      </c>
      <c r="F677" s="9" t="s">
        <v>137</v>
      </c>
      <c r="K677" s="9" t="s">
        <v>141</v>
      </c>
      <c r="O677" s="23">
        <v>1</v>
      </c>
    </row>
    <row r="678" spans="1:15">
      <c r="E678" s="4">
        <f t="shared" si="349"/>
        <v>678</v>
      </c>
      <c r="F678" s="9" t="s">
        <v>137</v>
      </c>
      <c r="G678" s="9" t="s">
        <v>262</v>
      </c>
      <c r="H678" s="9" t="s">
        <v>32</v>
      </c>
      <c r="I678" s="9" t="s">
        <v>34</v>
      </c>
      <c r="J678" s="9" t="s">
        <v>263</v>
      </c>
      <c r="K678" s="9" t="s">
        <v>140</v>
      </c>
      <c r="O678" s="23" t="str">
        <f t="shared" ref="O678:O741" ca="1" si="350">CONCATENATE(RANDBETWEEN($G$27*$I$27,$H$27*$I$27)/$I$27,$J$27)</f>
        <v>-2.3,-4.5</v>
      </c>
    </row>
    <row r="679" spans="1:15">
      <c r="E679" s="4">
        <f t="shared" si="349"/>
        <v>679</v>
      </c>
      <c r="F679" s="9" t="s">
        <v>105</v>
      </c>
      <c r="O679" s="23">
        <f t="shared" ref="O679" si="351">O665*10+1</f>
        <v>100321</v>
      </c>
    </row>
    <row r="680" spans="1:15">
      <c r="E680" s="4">
        <f t="shared" si="349"/>
        <v>680</v>
      </c>
      <c r="F680" s="9" t="s">
        <v>156</v>
      </c>
      <c r="O680" s="23">
        <f t="shared" ref="O680" si="352">O665</f>
        <v>10032</v>
      </c>
    </row>
    <row r="681" spans="1:15">
      <c r="E681" s="4">
        <f t="shared" si="349"/>
        <v>681</v>
      </c>
      <c r="F681" s="9" t="s">
        <v>131</v>
      </c>
      <c r="O681" s="23">
        <v>0</v>
      </c>
    </row>
    <row r="682" spans="1:15">
      <c r="E682" s="4">
        <f t="shared" si="349"/>
        <v>682</v>
      </c>
      <c r="F682" s="9" t="s">
        <v>35</v>
      </c>
      <c r="O682" s="23" t="s">
        <v>252</v>
      </c>
    </row>
    <row r="683" spans="1:15">
      <c r="E683" s="4">
        <f t="shared" si="349"/>
        <v>683</v>
      </c>
      <c r="F683" s="9" t="s">
        <v>119</v>
      </c>
      <c r="O683" s="23" t="s">
        <v>22</v>
      </c>
    </row>
    <row r="684" spans="1:15">
      <c r="E684" s="4">
        <f t="shared" si="349"/>
        <v>684</v>
      </c>
      <c r="F684" s="9" t="s">
        <v>117</v>
      </c>
      <c r="L684" s="9" t="s">
        <v>138</v>
      </c>
      <c r="O684" s="23">
        <f t="shared" ref="O684" ca="1" si="353">O670</f>
        <v>107</v>
      </c>
    </row>
    <row r="685" spans="1:15">
      <c r="B685" s="22">
        <f t="shared" ref="B685:B748" si="354">QUOTIENT( D685-1,G686)+1</f>
        <v>11</v>
      </c>
      <c r="C685" s="22">
        <f t="shared" ref="C685" si="355">D685-(B685-1)*G686</f>
        <v>3</v>
      </c>
      <c r="D685" s="22">
        <f>COUNT($D$12:$D684)+1</f>
        <v>33</v>
      </c>
      <c r="E685" s="4"/>
    </row>
    <row r="686" spans="1:15">
      <c r="E686" s="4">
        <f t="shared" si="349"/>
        <v>686</v>
      </c>
      <c r="F686" s="9" t="s">
        <v>96</v>
      </c>
      <c r="G686" s="9" t="s">
        <v>38</v>
      </c>
      <c r="H686" s="9" t="s">
        <v>282</v>
      </c>
      <c r="J686" s="9" t="s">
        <v>247</v>
      </c>
      <c r="O686" s="23">
        <f t="shared" ref="O686:O749" si="356">J686+D685</f>
        <v>10033</v>
      </c>
    </row>
    <row r="687" spans="1:15">
      <c r="E687" s="4">
        <f t="shared" si="349"/>
        <v>687</v>
      </c>
      <c r="F687" s="9" t="s">
        <v>165</v>
      </c>
      <c r="G687" s="9" t="s">
        <v>280</v>
      </c>
      <c r="H687" s="9" t="s">
        <v>249</v>
      </c>
      <c r="O687" s="23">
        <f t="shared" ref="O687" si="357">G687+B685*H687</f>
        <v>665</v>
      </c>
    </row>
    <row r="688" spans="1:15">
      <c r="E688" s="4">
        <f t="shared" si="349"/>
        <v>688</v>
      </c>
      <c r="F688" s="9" t="s">
        <v>35</v>
      </c>
      <c r="O688" s="23" t="s">
        <v>251</v>
      </c>
    </row>
    <row r="689" spans="1:15">
      <c r="E689" s="4">
        <f t="shared" si="349"/>
        <v>689</v>
      </c>
      <c r="F689" s="9" t="s">
        <v>29</v>
      </c>
      <c r="O689" s="23" t="s">
        <v>157</v>
      </c>
    </row>
    <row r="690" spans="1:15">
      <c r="E690" s="4">
        <f t="shared" si="349"/>
        <v>690</v>
      </c>
      <c r="F690" s="9" t="s">
        <v>122</v>
      </c>
      <c r="O690" s="23" t="s">
        <v>158</v>
      </c>
    </row>
    <row r="691" spans="1:15">
      <c r="E691" s="4">
        <f t="shared" si="349"/>
        <v>691</v>
      </c>
      <c r="F691" s="9" t="s">
        <v>117</v>
      </c>
      <c r="G691" s="9" t="s">
        <v>253</v>
      </c>
      <c r="H691" s="9" t="s">
        <v>254</v>
      </c>
      <c r="I691" s="9" t="s">
        <v>255</v>
      </c>
      <c r="J691" s="9" t="s">
        <v>256</v>
      </c>
      <c r="L691" s="9" t="s">
        <v>138</v>
      </c>
      <c r="O691" s="23">
        <f t="shared" ref="O691" ca="1" si="358">IF(MOD(D685,2)=0,RANDBETWEEN($I$19,$J$19),RANDBETWEEN($G$19,$H$19))</f>
        <v>-113</v>
      </c>
    </row>
    <row r="692" spans="1:15">
      <c r="E692" s="4">
        <f t="shared" si="349"/>
        <v>692</v>
      </c>
      <c r="F692" s="9" t="s">
        <v>30</v>
      </c>
      <c r="O692" s="23" t="s">
        <v>33</v>
      </c>
    </row>
    <row r="693" spans="1:15">
      <c r="E693" s="4">
        <f t="shared" si="349"/>
        <v>693</v>
      </c>
      <c r="F693" s="9" t="s">
        <v>119</v>
      </c>
      <c r="G693" s="9" t="s">
        <v>257</v>
      </c>
      <c r="H693" s="9" t="s">
        <v>258</v>
      </c>
      <c r="I693" s="9" t="s">
        <v>34</v>
      </c>
      <c r="O693" s="23">
        <f t="shared" ref="O693:O756" ca="1" si="359">RANDBETWEEN($G$21*$I$21,$H$21*$I$21)/$I$21</f>
        <v>-8.6999999999999993</v>
      </c>
    </row>
    <row r="694" spans="1:15">
      <c r="E694" s="4">
        <f t="shared" si="349"/>
        <v>694</v>
      </c>
      <c r="F694" s="9" t="s">
        <v>112</v>
      </c>
      <c r="O694" s="23">
        <v>0</v>
      </c>
    </row>
    <row r="695" spans="1:15">
      <c r="E695" s="4">
        <f t="shared" si="349"/>
        <v>695</v>
      </c>
      <c r="F695" s="9" t="s">
        <v>102</v>
      </c>
      <c r="G695" s="9" t="s">
        <v>259</v>
      </c>
      <c r="H695" s="9" t="s">
        <v>260</v>
      </c>
      <c r="I695" s="9" t="s">
        <v>34</v>
      </c>
      <c r="J695" s="9" t="s">
        <v>261</v>
      </c>
      <c r="K695" s="9" t="s">
        <v>140</v>
      </c>
      <c r="O695" s="23" t="str">
        <f t="shared" ref="O695:O758" ca="1" si="360">CONCATENATE(RANDBETWEEN($G$23*$I$23,$H$23*$I$23)/$I$23,$J$23)</f>
        <v>2.5,6</v>
      </c>
    </row>
    <row r="696" spans="1:15">
      <c r="A696" s="9"/>
      <c r="B696" s="9"/>
      <c r="C696" s="9"/>
      <c r="D696" s="9"/>
      <c r="E696" s="4">
        <f t="shared" si="349"/>
        <v>696</v>
      </c>
      <c r="F696" s="9" t="s">
        <v>31</v>
      </c>
      <c r="L696" s="9" t="s">
        <v>148</v>
      </c>
    </row>
    <row r="697" spans="1:15">
      <c r="E697" s="4">
        <f t="shared" si="349"/>
        <v>697</v>
      </c>
      <c r="F697" s="9" t="s">
        <v>136</v>
      </c>
      <c r="L697" s="9" t="s">
        <v>149</v>
      </c>
    </row>
    <row r="698" spans="1:15">
      <c r="E698" s="4">
        <f t="shared" si="349"/>
        <v>698</v>
      </c>
      <c r="F698" s="9" t="s">
        <v>137</v>
      </c>
      <c r="K698" s="9" t="s">
        <v>141</v>
      </c>
      <c r="O698" s="23">
        <v>1</v>
      </c>
    </row>
    <row r="699" spans="1:15">
      <c r="E699" s="4">
        <f t="shared" si="349"/>
        <v>699</v>
      </c>
      <c r="F699" s="9" t="s">
        <v>137</v>
      </c>
      <c r="G699" s="9" t="s">
        <v>262</v>
      </c>
      <c r="H699" s="9" t="s">
        <v>32</v>
      </c>
      <c r="I699" s="9" t="s">
        <v>34</v>
      </c>
      <c r="J699" s="9" t="s">
        <v>263</v>
      </c>
      <c r="K699" s="9" t="s">
        <v>140</v>
      </c>
      <c r="O699" s="23" t="str">
        <f t="shared" ref="O699:O762" ca="1" si="361">CONCATENATE(RANDBETWEEN($G$27*$I$27,$H$27*$I$27)/$I$27,$J$27)</f>
        <v>5,-4.5</v>
      </c>
    </row>
    <row r="700" spans="1:15">
      <c r="E700" s="4">
        <f t="shared" si="349"/>
        <v>700</v>
      </c>
      <c r="F700" s="9" t="s">
        <v>105</v>
      </c>
      <c r="O700" s="23">
        <f t="shared" ref="O700" si="362">O686*10+1</f>
        <v>100331</v>
      </c>
    </row>
    <row r="701" spans="1:15">
      <c r="E701" s="4">
        <f t="shared" si="349"/>
        <v>701</v>
      </c>
      <c r="F701" s="9" t="s">
        <v>156</v>
      </c>
      <c r="O701" s="23">
        <f t="shared" ref="O701" si="363">O686</f>
        <v>10033</v>
      </c>
    </row>
    <row r="702" spans="1:15">
      <c r="E702" s="4">
        <f t="shared" si="349"/>
        <v>702</v>
      </c>
      <c r="F702" s="9" t="s">
        <v>131</v>
      </c>
      <c r="O702" s="23">
        <v>0</v>
      </c>
    </row>
    <row r="703" spans="1:15">
      <c r="E703" s="4">
        <f t="shared" si="349"/>
        <v>703</v>
      </c>
      <c r="F703" s="9" t="s">
        <v>35</v>
      </c>
      <c r="O703" s="23" t="s">
        <v>252</v>
      </c>
    </row>
    <row r="704" spans="1:15">
      <c r="E704" s="4">
        <f t="shared" si="349"/>
        <v>704</v>
      </c>
      <c r="F704" s="9" t="s">
        <v>119</v>
      </c>
      <c r="O704" s="23" t="s">
        <v>22</v>
      </c>
    </row>
    <row r="705" spans="1:15">
      <c r="E705" s="4">
        <f t="shared" si="349"/>
        <v>705</v>
      </c>
      <c r="F705" s="9" t="s">
        <v>117</v>
      </c>
      <c r="L705" s="9" t="s">
        <v>138</v>
      </c>
      <c r="O705" s="23">
        <f t="shared" ref="O705" ca="1" si="364">O691</f>
        <v>-113</v>
      </c>
    </row>
    <row r="706" spans="1:15">
      <c r="B706" s="22">
        <f t="shared" ref="B706:B769" si="365">QUOTIENT( D706-1,G707)+1</f>
        <v>12</v>
      </c>
      <c r="C706" s="22">
        <f t="shared" ref="C706" si="366">D706-(B706-1)*G707</f>
        <v>1</v>
      </c>
      <c r="D706" s="22">
        <f>COUNT($D$12:$D705)+1</f>
        <v>34</v>
      </c>
      <c r="E706" s="4"/>
    </row>
    <row r="707" spans="1:15">
      <c r="E707" s="4">
        <f t="shared" si="349"/>
        <v>707</v>
      </c>
      <c r="F707" s="9" t="s">
        <v>96</v>
      </c>
      <c r="G707" s="9" t="s">
        <v>38</v>
      </c>
      <c r="H707" s="9" t="s">
        <v>282</v>
      </c>
      <c r="J707" s="9" t="s">
        <v>247</v>
      </c>
      <c r="O707" s="23">
        <f t="shared" ref="O707:O770" si="367">J707+D706</f>
        <v>10034</v>
      </c>
    </row>
    <row r="708" spans="1:15">
      <c r="E708" s="4">
        <f t="shared" si="349"/>
        <v>708</v>
      </c>
      <c r="F708" s="9" t="s">
        <v>165</v>
      </c>
      <c r="G708" s="9" t="s">
        <v>280</v>
      </c>
      <c r="H708" s="9" t="s">
        <v>249</v>
      </c>
      <c r="O708" s="23">
        <f t="shared" ref="O708" si="368">G708+B706*H708</f>
        <v>680</v>
      </c>
    </row>
    <row r="709" spans="1:15">
      <c r="E709" s="4">
        <f t="shared" si="349"/>
        <v>709</v>
      </c>
      <c r="F709" s="9" t="s">
        <v>35</v>
      </c>
      <c r="O709" s="23" t="s">
        <v>251</v>
      </c>
    </row>
    <row r="710" spans="1:15">
      <c r="E710" s="4">
        <f t="shared" si="349"/>
        <v>710</v>
      </c>
      <c r="F710" s="9" t="s">
        <v>29</v>
      </c>
      <c r="O710" s="23" t="s">
        <v>157</v>
      </c>
    </row>
    <row r="711" spans="1:15">
      <c r="E711" s="4">
        <f t="shared" si="349"/>
        <v>711</v>
      </c>
      <c r="F711" s="9" t="s">
        <v>122</v>
      </c>
      <c r="O711" s="23" t="s">
        <v>158</v>
      </c>
    </row>
    <row r="712" spans="1:15">
      <c r="E712" s="4">
        <f t="shared" si="349"/>
        <v>712</v>
      </c>
      <c r="F712" s="9" t="s">
        <v>117</v>
      </c>
      <c r="G712" s="9" t="s">
        <v>253</v>
      </c>
      <c r="H712" s="9" t="s">
        <v>254</v>
      </c>
      <c r="I712" s="9" t="s">
        <v>255</v>
      </c>
      <c r="J712" s="9" t="s">
        <v>256</v>
      </c>
      <c r="L712" s="9" t="s">
        <v>138</v>
      </c>
      <c r="O712" s="23">
        <f t="shared" ref="O712" ca="1" si="369">IF(MOD(D706,2)=0,RANDBETWEEN($I$19,$J$19),RANDBETWEEN($G$19,$H$19))</f>
        <v>99</v>
      </c>
    </row>
    <row r="713" spans="1:15">
      <c r="E713" s="4">
        <f t="shared" si="349"/>
        <v>713</v>
      </c>
      <c r="F713" s="9" t="s">
        <v>30</v>
      </c>
      <c r="O713" s="23" t="s">
        <v>33</v>
      </c>
    </row>
    <row r="714" spans="1:15">
      <c r="E714" s="4">
        <f t="shared" si="349"/>
        <v>714</v>
      </c>
      <c r="F714" s="9" t="s">
        <v>119</v>
      </c>
      <c r="G714" s="9" t="s">
        <v>257</v>
      </c>
      <c r="H714" s="9" t="s">
        <v>258</v>
      </c>
      <c r="I714" s="9" t="s">
        <v>34</v>
      </c>
      <c r="O714" s="23">
        <f t="shared" ref="O714:O777" ca="1" si="370">RANDBETWEEN($G$21*$I$21,$H$21*$I$21)/$I$21</f>
        <v>-9.3000000000000007</v>
      </c>
    </row>
    <row r="715" spans="1:15">
      <c r="E715" s="4">
        <f t="shared" si="349"/>
        <v>715</v>
      </c>
      <c r="F715" s="9" t="s">
        <v>112</v>
      </c>
      <c r="O715" s="23">
        <v>0</v>
      </c>
    </row>
    <row r="716" spans="1:15">
      <c r="E716" s="4">
        <f t="shared" si="349"/>
        <v>716</v>
      </c>
      <c r="F716" s="9" t="s">
        <v>102</v>
      </c>
      <c r="G716" s="9" t="s">
        <v>259</v>
      </c>
      <c r="H716" s="9" t="s">
        <v>260</v>
      </c>
      <c r="I716" s="9" t="s">
        <v>34</v>
      </c>
      <c r="J716" s="9" t="s">
        <v>261</v>
      </c>
      <c r="K716" s="9" t="s">
        <v>140</v>
      </c>
      <c r="O716" s="23" t="str">
        <f t="shared" ref="O716:O779" ca="1" si="371">CONCATENATE(RANDBETWEEN($G$23*$I$23,$H$23*$I$23)/$I$23,$J$23)</f>
        <v>-0.6,6</v>
      </c>
    </row>
    <row r="717" spans="1:15">
      <c r="E717" s="4">
        <f t="shared" si="349"/>
        <v>717</v>
      </c>
      <c r="F717" s="9" t="s">
        <v>31</v>
      </c>
      <c r="L717" s="9" t="s">
        <v>148</v>
      </c>
    </row>
    <row r="718" spans="1:15">
      <c r="A718" s="9"/>
      <c r="B718" s="9"/>
      <c r="C718" s="9"/>
      <c r="D718" s="9"/>
      <c r="E718" s="4">
        <f t="shared" si="349"/>
        <v>718</v>
      </c>
      <c r="F718" s="9" t="s">
        <v>136</v>
      </c>
      <c r="L718" s="9" t="s">
        <v>149</v>
      </c>
    </row>
    <row r="719" spans="1:15">
      <c r="E719" s="4">
        <f t="shared" si="349"/>
        <v>719</v>
      </c>
      <c r="F719" s="9" t="s">
        <v>137</v>
      </c>
      <c r="K719" s="9" t="s">
        <v>141</v>
      </c>
      <c r="O719" s="23">
        <v>1</v>
      </c>
    </row>
    <row r="720" spans="1:15">
      <c r="E720" s="4">
        <f t="shared" si="349"/>
        <v>720</v>
      </c>
      <c r="F720" s="9" t="s">
        <v>137</v>
      </c>
      <c r="G720" s="9" t="s">
        <v>262</v>
      </c>
      <c r="H720" s="9" t="s">
        <v>32</v>
      </c>
      <c r="I720" s="9" t="s">
        <v>34</v>
      </c>
      <c r="J720" s="9" t="s">
        <v>263</v>
      </c>
      <c r="K720" s="9" t="s">
        <v>140</v>
      </c>
      <c r="O720" s="23" t="str">
        <f t="shared" ref="O720:O783" ca="1" si="372">CONCATENATE(RANDBETWEEN($G$27*$I$27,$H$27*$I$27)/$I$27,$J$27)</f>
        <v>-5.1,-4.5</v>
      </c>
    </row>
    <row r="721" spans="2:15">
      <c r="E721" s="4">
        <f t="shared" si="349"/>
        <v>721</v>
      </c>
      <c r="F721" s="9" t="s">
        <v>105</v>
      </c>
      <c r="O721" s="23">
        <f t="shared" ref="O721" si="373">O707*10+1</f>
        <v>100341</v>
      </c>
    </row>
    <row r="722" spans="2:15">
      <c r="E722" s="4">
        <f t="shared" si="349"/>
        <v>722</v>
      </c>
      <c r="F722" s="9" t="s">
        <v>156</v>
      </c>
      <c r="O722" s="23">
        <f t="shared" ref="O722" si="374">O707</f>
        <v>10034</v>
      </c>
    </row>
    <row r="723" spans="2:15">
      <c r="E723" s="4">
        <f t="shared" si="349"/>
        <v>723</v>
      </c>
      <c r="F723" s="9" t="s">
        <v>131</v>
      </c>
      <c r="O723" s="23">
        <v>0</v>
      </c>
    </row>
    <row r="724" spans="2:15">
      <c r="E724" s="4">
        <f t="shared" si="349"/>
        <v>724</v>
      </c>
      <c r="F724" s="9" t="s">
        <v>35</v>
      </c>
      <c r="O724" s="23" t="s">
        <v>252</v>
      </c>
    </row>
    <row r="725" spans="2:15">
      <c r="E725" s="4">
        <f t="shared" si="349"/>
        <v>725</v>
      </c>
      <c r="F725" s="9" t="s">
        <v>119</v>
      </c>
      <c r="O725" s="23" t="s">
        <v>22</v>
      </c>
    </row>
    <row r="726" spans="2:15">
      <c r="E726" s="4">
        <f t="shared" si="349"/>
        <v>726</v>
      </c>
      <c r="F726" s="9" t="s">
        <v>117</v>
      </c>
      <c r="L726" s="9" t="s">
        <v>138</v>
      </c>
      <c r="O726" s="23">
        <f t="shared" ref="O726" ca="1" si="375">O712</f>
        <v>99</v>
      </c>
    </row>
    <row r="727" spans="2:15">
      <c r="B727" s="22">
        <f t="shared" ref="B727:B790" si="376">QUOTIENT( D727-1,G728)+1</f>
        <v>12</v>
      </c>
      <c r="C727" s="22">
        <f t="shared" ref="C727" si="377">D727-(B727-1)*G728</f>
        <v>2</v>
      </c>
      <c r="D727" s="22">
        <f>COUNT($D$12:$D726)+1</f>
        <v>35</v>
      </c>
      <c r="E727" s="4"/>
    </row>
    <row r="728" spans="2:15">
      <c r="E728" s="4">
        <f t="shared" si="349"/>
        <v>728</v>
      </c>
      <c r="F728" s="9" t="s">
        <v>96</v>
      </c>
      <c r="G728" s="9" t="s">
        <v>38</v>
      </c>
      <c r="H728" s="9" t="s">
        <v>282</v>
      </c>
      <c r="J728" s="9" t="s">
        <v>247</v>
      </c>
      <c r="O728" s="23">
        <f t="shared" ref="O728:O791" si="378">J728+D727</f>
        <v>10035</v>
      </c>
    </row>
    <row r="729" spans="2:15">
      <c r="E729" s="4">
        <f t="shared" si="349"/>
        <v>729</v>
      </c>
      <c r="F729" s="9" t="s">
        <v>165</v>
      </c>
      <c r="G729" s="9" t="s">
        <v>280</v>
      </c>
      <c r="H729" s="9" t="s">
        <v>249</v>
      </c>
      <c r="O729" s="23">
        <f t="shared" ref="O729" si="379">G729+B727*H729</f>
        <v>680</v>
      </c>
    </row>
    <row r="730" spans="2:15">
      <c r="E730" s="4">
        <f t="shared" si="349"/>
        <v>730</v>
      </c>
      <c r="F730" s="9" t="s">
        <v>35</v>
      </c>
      <c r="O730" s="23" t="s">
        <v>251</v>
      </c>
    </row>
    <row r="731" spans="2:15">
      <c r="E731" s="4">
        <f t="shared" si="349"/>
        <v>731</v>
      </c>
      <c r="F731" s="9" t="s">
        <v>29</v>
      </c>
      <c r="O731" s="23" t="s">
        <v>157</v>
      </c>
    </row>
    <row r="732" spans="2:15">
      <c r="E732" s="4">
        <f t="shared" si="349"/>
        <v>732</v>
      </c>
      <c r="F732" s="9" t="s">
        <v>122</v>
      </c>
      <c r="O732" s="23" t="s">
        <v>158</v>
      </c>
    </row>
    <row r="733" spans="2:15">
      <c r="E733" s="4">
        <f t="shared" si="349"/>
        <v>733</v>
      </c>
      <c r="F733" s="9" t="s">
        <v>117</v>
      </c>
      <c r="G733" s="9" t="s">
        <v>253</v>
      </c>
      <c r="H733" s="9" t="s">
        <v>254</v>
      </c>
      <c r="I733" s="9" t="s">
        <v>255</v>
      </c>
      <c r="J733" s="9" t="s">
        <v>256</v>
      </c>
      <c r="L733" s="9" t="s">
        <v>138</v>
      </c>
      <c r="O733" s="23">
        <f t="shared" ref="O733" ca="1" si="380">IF(MOD(D727,2)=0,RANDBETWEEN($I$19,$J$19),RANDBETWEEN($G$19,$H$19))</f>
        <v>-119</v>
      </c>
    </row>
    <row r="734" spans="2:15">
      <c r="E734" s="4">
        <f t="shared" si="349"/>
        <v>734</v>
      </c>
      <c r="F734" s="9" t="s">
        <v>30</v>
      </c>
      <c r="O734" s="23" t="s">
        <v>33</v>
      </c>
    </row>
    <row r="735" spans="2:15">
      <c r="E735" s="4">
        <f t="shared" si="349"/>
        <v>735</v>
      </c>
      <c r="F735" s="9" t="s">
        <v>119</v>
      </c>
      <c r="G735" s="9" t="s">
        <v>257</v>
      </c>
      <c r="H735" s="9" t="s">
        <v>258</v>
      </c>
      <c r="I735" s="9" t="s">
        <v>34</v>
      </c>
      <c r="O735" s="23">
        <f t="shared" ref="O735:O798" ca="1" si="381">RANDBETWEEN($G$21*$I$21,$H$21*$I$21)/$I$21</f>
        <v>-9.5</v>
      </c>
    </row>
    <row r="736" spans="2:15">
      <c r="E736" s="4">
        <f t="shared" si="349"/>
        <v>736</v>
      </c>
      <c r="F736" s="9" t="s">
        <v>112</v>
      </c>
      <c r="O736" s="23">
        <v>0</v>
      </c>
    </row>
    <row r="737" spans="1:15">
      <c r="E737" s="4">
        <f t="shared" si="349"/>
        <v>737</v>
      </c>
      <c r="F737" s="9" t="s">
        <v>102</v>
      </c>
      <c r="G737" s="9" t="s">
        <v>259</v>
      </c>
      <c r="H737" s="9" t="s">
        <v>260</v>
      </c>
      <c r="I737" s="9" t="s">
        <v>34</v>
      </c>
      <c r="J737" s="9" t="s">
        <v>261</v>
      </c>
      <c r="K737" s="9" t="s">
        <v>140</v>
      </c>
      <c r="O737" s="23" t="str">
        <f t="shared" ref="O737:O800" ca="1" si="382">CONCATENATE(RANDBETWEEN($G$23*$I$23,$H$23*$I$23)/$I$23,$J$23)</f>
        <v>3.9,6</v>
      </c>
    </row>
    <row r="738" spans="1:15">
      <c r="E738" s="4">
        <f t="shared" si="349"/>
        <v>738</v>
      </c>
      <c r="F738" s="9" t="s">
        <v>31</v>
      </c>
      <c r="L738" s="9" t="s">
        <v>148</v>
      </c>
    </row>
    <row r="739" spans="1:15">
      <c r="E739" s="4">
        <f t="shared" ref="E739:E802" si="383">ROW(E739)</f>
        <v>739</v>
      </c>
      <c r="F739" s="9" t="s">
        <v>136</v>
      </c>
      <c r="L739" s="9" t="s">
        <v>149</v>
      </c>
    </row>
    <row r="740" spans="1:15">
      <c r="A740" s="9"/>
      <c r="B740" s="9"/>
      <c r="C740" s="9"/>
      <c r="D740" s="9"/>
      <c r="E740" s="4">
        <f t="shared" si="383"/>
        <v>740</v>
      </c>
      <c r="F740" s="9" t="s">
        <v>137</v>
      </c>
      <c r="K740" s="9" t="s">
        <v>141</v>
      </c>
      <c r="O740" s="23">
        <v>1</v>
      </c>
    </row>
    <row r="741" spans="1:15">
      <c r="E741" s="4">
        <f t="shared" si="383"/>
        <v>741</v>
      </c>
      <c r="F741" s="9" t="s">
        <v>137</v>
      </c>
      <c r="G741" s="9" t="s">
        <v>262</v>
      </c>
      <c r="H741" s="9" t="s">
        <v>32</v>
      </c>
      <c r="I741" s="9" t="s">
        <v>34</v>
      </c>
      <c r="J741" s="9" t="s">
        <v>263</v>
      </c>
      <c r="K741" s="9" t="s">
        <v>140</v>
      </c>
      <c r="O741" s="23" t="str">
        <f t="shared" ref="O741:O804" ca="1" si="384">CONCATENATE(RANDBETWEEN($G$27*$I$27,$H$27*$I$27)/$I$27,$J$27)</f>
        <v>-1.9,-4.5</v>
      </c>
    </row>
    <row r="742" spans="1:15">
      <c r="E742" s="4">
        <f t="shared" si="383"/>
        <v>742</v>
      </c>
      <c r="F742" s="9" t="s">
        <v>105</v>
      </c>
      <c r="O742" s="23">
        <f t="shared" ref="O742" si="385">O728*10+1</f>
        <v>100351</v>
      </c>
    </row>
    <row r="743" spans="1:15">
      <c r="E743" s="4">
        <f t="shared" si="383"/>
        <v>743</v>
      </c>
      <c r="F743" s="9" t="s">
        <v>156</v>
      </c>
      <c r="O743" s="23">
        <f t="shared" ref="O743" si="386">O728</f>
        <v>10035</v>
      </c>
    </row>
    <row r="744" spans="1:15">
      <c r="E744" s="4">
        <f t="shared" si="383"/>
        <v>744</v>
      </c>
      <c r="F744" s="9" t="s">
        <v>131</v>
      </c>
      <c r="O744" s="23">
        <v>0</v>
      </c>
    </row>
    <row r="745" spans="1:15">
      <c r="E745" s="4">
        <f t="shared" si="383"/>
        <v>745</v>
      </c>
      <c r="F745" s="9" t="s">
        <v>35</v>
      </c>
      <c r="O745" s="23" t="s">
        <v>252</v>
      </c>
    </row>
    <row r="746" spans="1:15">
      <c r="E746" s="4">
        <f t="shared" si="383"/>
        <v>746</v>
      </c>
      <c r="F746" s="9" t="s">
        <v>119</v>
      </c>
      <c r="O746" s="23" t="s">
        <v>22</v>
      </c>
    </row>
    <row r="747" spans="1:15">
      <c r="E747" s="4">
        <f t="shared" si="383"/>
        <v>747</v>
      </c>
      <c r="F747" s="9" t="s">
        <v>117</v>
      </c>
      <c r="L747" s="9" t="s">
        <v>138</v>
      </c>
      <c r="O747" s="23">
        <f t="shared" ref="O747" ca="1" si="387">O733</f>
        <v>-119</v>
      </c>
    </row>
    <row r="748" spans="1:15">
      <c r="B748" s="22">
        <f t="shared" ref="B748:B811" si="388">QUOTIENT( D748-1,G749)+1</f>
        <v>12</v>
      </c>
      <c r="C748" s="22">
        <f t="shared" ref="C748" si="389">D748-(B748-1)*G749</f>
        <v>3</v>
      </c>
      <c r="D748" s="22">
        <f>COUNT($D$12:$D747)+1</f>
        <v>36</v>
      </c>
      <c r="E748" s="4"/>
    </row>
    <row r="749" spans="1:15">
      <c r="E749" s="4">
        <f t="shared" si="383"/>
        <v>749</v>
      </c>
      <c r="F749" s="9" t="s">
        <v>96</v>
      </c>
      <c r="G749" s="9" t="s">
        <v>38</v>
      </c>
      <c r="H749" s="9" t="s">
        <v>282</v>
      </c>
      <c r="J749" s="9" t="s">
        <v>247</v>
      </c>
      <c r="O749" s="23">
        <f t="shared" ref="O749:O812" si="390">J749+D748</f>
        <v>10036</v>
      </c>
    </row>
    <row r="750" spans="1:15">
      <c r="E750" s="4">
        <f t="shared" si="383"/>
        <v>750</v>
      </c>
      <c r="F750" s="9" t="s">
        <v>165</v>
      </c>
      <c r="G750" s="9" t="s">
        <v>280</v>
      </c>
      <c r="H750" s="9" t="s">
        <v>249</v>
      </c>
      <c r="O750" s="23">
        <f t="shared" ref="O750" si="391">G750+B748*H750</f>
        <v>680</v>
      </c>
    </row>
    <row r="751" spans="1:15">
      <c r="E751" s="4">
        <f t="shared" si="383"/>
        <v>751</v>
      </c>
      <c r="F751" s="9" t="s">
        <v>35</v>
      </c>
      <c r="O751" s="23" t="s">
        <v>251</v>
      </c>
    </row>
    <row r="752" spans="1:15">
      <c r="E752" s="4">
        <f t="shared" si="383"/>
        <v>752</v>
      </c>
      <c r="F752" s="9" t="s">
        <v>29</v>
      </c>
      <c r="O752" s="23" t="s">
        <v>157</v>
      </c>
    </row>
    <row r="753" spans="1:15">
      <c r="E753" s="4">
        <f t="shared" si="383"/>
        <v>753</v>
      </c>
      <c r="F753" s="9" t="s">
        <v>122</v>
      </c>
      <c r="O753" s="23" t="s">
        <v>158</v>
      </c>
    </row>
    <row r="754" spans="1:15">
      <c r="E754" s="4">
        <f t="shared" si="383"/>
        <v>754</v>
      </c>
      <c r="F754" s="9" t="s">
        <v>117</v>
      </c>
      <c r="G754" s="9" t="s">
        <v>253</v>
      </c>
      <c r="H754" s="9" t="s">
        <v>254</v>
      </c>
      <c r="I754" s="9" t="s">
        <v>255</v>
      </c>
      <c r="J754" s="9" t="s">
        <v>256</v>
      </c>
      <c r="L754" s="9" t="s">
        <v>138</v>
      </c>
      <c r="O754" s="23">
        <f t="shared" ref="O754" ca="1" si="392">IF(MOD(D748,2)=0,RANDBETWEEN($I$19,$J$19),RANDBETWEEN($G$19,$H$19))</f>
        <v>101</v>
      </c>
    </row>
    <row r="755" spans="1:15">
      <c r="E755" s="4">
        <f t="shared" si="383"/>
        <v>755</v>
      </c>
      <c r="F755" s="9" t="s">
        <v>30</v>
      </c>
      <c r="O755" s="23" t="s">
        <v>33</v>
      </c>
    </row>
    <row r="756" spans="1:15">
      <c r="E756" s="4">
        <f t="shared" si="383"/>
        <v>756</v>
      </c>
      <c r="F756" s="9" t="s">
        <v>119</v>
      </c>
      <c r="G756" s="9" t="s">
        <v>257</v>
      </c>
      <c r="H756" s="9" t="s">
        <v>258</v>
      </c>
      <c r="I756" s="9" t="s">
        <v>34</v>
      </c>
      <c r="O756" s="23">
        <f t="shared" ref="O756:O819" ca="1" si="393">RANDBETWEEN($G$21*$I$21,$H$21*$I$21)/$I$21</f>
        <v>-10</v>
      </c>
    </row>
    <row r="757" spans="1:15">
      <c r="E757" s="4">
        <f t="shared" si="383"/>
        <v>757</v>
      </c>
      <c r="F757" s="9" t="s">
        <v>112</v>
      </c>
      <c r="O757" s="23">
        <v>0</v>
      </c>
    </row>
    <row r="758" spans="1:15">
      <c r="E758" s="4">
        <f t="shared" si="383"/>
        <v>758</v>
      </c>
      <c r="F758" s="9" t="s">
        <v>102</v>
      </c>
      <c r="G758" s="9" t="s">
        <v>259</v>
      </c>
      <c r="H758" s="9" t="s">
        <v>260</v>
      </c>
      <c r="I758" s="9" t="s">
        <v>34</v>
      </c>
      <c r="J758" s="9" t="s">
        <v>261</v>
      </c>
      <c r="K758" s="9" t="s">
        <v>140</v>
      </c>
      <c r="O758" s="23" t="str">
        <f t="shared" ref="O758:O821" ca="1" si="394">CONCATENATE(RANDBETWEEN($G$23*$I$23,$H$23*$I$23)/$I$23,$J$23)</f>
        <v>0.8,6</v>
      </c>
    </row>
    <row r="759" spans="1:15">
      <c r="E759" s="4">
        <f t="shared" si="383"/>
        <v>759</v>
      </c>
      <c r="F759" s="9" t="s">
        <v>31</v>
      </c>
      <c r="L759" s="9" t="s">
        <v>148</v>
      </c>
    </row>
    <row r="760" spans="1:15">
      <c r="E760" s="4">
        <f t="shared" si="383"/>
        <v>760</v>
      </c>
      <c r="F760" s="9" t="s">
        <v>136</v>
      </c>
      <c r="L760" s="9" t="s">
        <v>149</v>
      </c>
    </row>
    <row r="761" spans="1:15">
      <c r="E761" s="4">
        <f t="shared" si="383"/>
        <v>761</v>
      </c>
      <c r="F761" s="9" t="s">
        <v>137</v>
      </c>
      <c r="K761" s="9" t="s">
        <v>141</v>
      </c>
      <c r="O761" s="23">
        <v>1</v>
      </c>
    </row>
    <row r="762" spans="1:15">
      <c r="A762" s="9"/>
      <c r="B762" s="9"/>
      <c r="C762" s="9"/>
      <c r="D762" s="9"/>
      <c r="E762" s="4">
        <f t="shared" si="383"/>
        <v>762</v>
      </c>
      <c r="F762" s="9" t="s">
        <v>137</v>
      </c>
      <c r="G762" s="9" t="s">
        <v>262</v>
      </c>
      <c r="H762" s="9" t="s">
        <v>32</v>
      </c>
      <c r="I762" s="9" t="s">
        <v>34</v>
      </c>
      <c r="J762" s="9" t="s">
        <v>263</v>
      </c>
      <c r="K762" s="9" t="s">
        <v>140</v>
      </c>
      <c r="O762" s="23" t="str">
        <f t="shared" ref="O762:O825" ca="1" si="395">CONCATENATE(RANDBETWEEN($G$27*$I$27,$H$27*$I$27)/$I$27,$J$27)</f>
        <v>0.1,-4.5</v>
      </c>
    </row>
    <row r="763" spans="1:15">
      <c r="E763" s="4">
        <f t="shared" si="383"/>
        <v>763</v>
      </c>
      <c r="F763" s="9" t="s">
        <v>105</v>
      </c>
      <c r="O763" s="23">
        <f t="shared" ref="O763" si="396">O749*10+1</f>
        <v>100361</v>
      </c>
    </row>
    <row r="764" spans="1:15">
      <c r="E764" s="4">
        <f t="shared" si="383"/>
        <v>764</v>
      </c>
      <c r="F764" s="9" t="s">
        <v>156</v>
      </c>
      <c r="O764" s="23">
        <f t="shared" ref="O764" si="397">O749</f>
        <v>10036</v>
      </c>
    </row>
    <row r="765" spans="1:15">
      <c r="E765" s="4">
        <f t="shared" si="383"/>
        <v>765</v>
      </c>
      <c r="F765" s="9" t="s">
        <v>131</v>
      </c>
      <c r="O765" s="23">
        <v>0</v>
      </c>
    </row>
    <row r="766" spans="1:15">
      <c r="E766" s="4">
        <f t="shared" si="383"/>
        <v>766</v>
      </c>
      <c r="F766" s="9" t="s">
        <v>35</v>
      </c>
      <c r="O766" s="23" t="s">
        <v>252</v>
      </c>
    </row>
    <row r="767" spans="1:15">
      <c r="E767" s="4">
        <f t="shared" si="383"/>
        <v>767</v>
      </c>
      <c r="F767" s="9" t="s">
        <v>119</v>
      </c>
      <c r="O767" s="23" t="s">
        <v>22</v>
      </c>
    </row>
    <row r="768" spans="1:15">
      <c r="E768" s="4">
        <f t="shared" si="383"/>
        <v>768</v>
      </c>
      <c r="F768" s="9" t="s">
        <v>117</v>
      </c>
      <c r="L768" s="9" t="s">
        <v>138</v>
      </c>
      <c r="O768" s="23">
        <f t="shared" ref="O768" ca="1" si="398">O754</f>
        <v>101</v>
      </c>
    </row>
    <row r="769" spans="1:15">
      <c r="B769" s="22">
        <f t="shared" ref="B769:B832" si="399">QUOTIENT( D769-1,G770)+1</f>
        <v>13</v>
      </c>
      <c r="C769" s="22">
        <f t="shared" ref="C769" si="400">D769-(B769-1)*G770</f>
        <v>1</v>
      </c>
      <c r="D769" s="22">
        <f>COUNT($D$12:$D768)+1</f>
        <v>37</v>
      </c>
      <c r="E769" s="4"/>
    </row>
    <row r="770" spans="1:15">
      <c r="E770" s="4">
        <f t="shared" si="383"/>
        <v>770</v>
      </c>
      <c r="F770" s="9" t="s">
        <v>96</v>
      </c>
      <c r="G770" s="9" t="s">
        <v>38</v>
      </c>
      <c r="H770" s="9" t="s">
        <v>282</v>
      </c>
      <c r="J770" s="9" t="s">
        <v>247</v>
      </c>
      <c r="O770" s="23">
        <f t="shared" ref="O770:O833" si="401">J770+D769</f>
        <v>10037</v>
      </c>
    </row>
    <row r="771" spans="1:15">
      <c r="E771" s="4">
        <f t="shared" si="383"/>
        <v>771</v>
      </c>
      <c r="F771" s="9" t="s">
        <v>165</v>
      </c>
      <c r="G771" s="9" t="s">
        <v>280</v>
      </c>
      <c r="H771" s="9" t="s">
        <v>249</v>
      </c>
      <c r="O771" s="23">
        <f t="shared" ref="O771" si="402">G771+B769*H771</f>
        <v>695</v>
      </c>
    </row>
    <row r="772" spans="1:15">
      <c r="E772" s="4">
        <f t="shared" si="383"/>
        <v>772</v>
      </c>
      <c r="F772" s="9" t="s">
        <v>35</v>
      </c>
      <c r="O772" s="23" t="s">
        <v>251</v>
      </c>
    </row>
    <row r="773" spans="1:15">
      <c r="E773" s="4">
        <f t="shared" si="383"/>
        <v>773</v>
      </c>
      <c r="F773" s="9" t="s">
        <v>29</v>
      </c>
      <c r="O773" s="23" t="s">
        <v>157</v>
      </c>
    </row>
    <row r="774" spans="1:15">
      <c r="E774" s="4">
        <f t="shared" si="383"/>
        <v>774</v>
      </c>
      <c r="F774" s="9" t="s">
        <v>122</v>
      </c>
      <c r="O774" s="23" t="s">
        <v>158</v>
      </c>
    </row>
    <row r="775" spans="1:15">
      <c r="E775" s="4">
        <f t="shared" si="383"/>
        <v>775</v>
      </c>
      <c r="F775" s="9" t="s">
        <v>117</v>
      </c>
      <c r="G775" s="9" t="s">
        <v>253</v>
      </c>
      <c r="H775" s="9" t="s">
        <v>254</v>
      </c>
      <c r="I775" s="9" t="s">
        <v>255</v>
      </c>
      <c r="J775" s="9" t="s">
        <v>256</v>
      </c>
      <c r="L775" s="9" t="s">
        <v>138</v>
      </c>
      <c r="O775" s="23">
        <f t="shared" ref="O775" ca="1" si="403">IF(MOD(D769,2)=0,RANDBETWEEN($I$19,$J$19),RANDBETWEEN($G$19,$H$19))</f>
        <v>-101</v>
      </c>
    </row>
    <row r="776" spans="1:15">
      <c r="E776" s="4">
        <f t="shared" si="383"/>
        <v>776</v>
      </c>
      <c r="F776" s="9" t="s">
        <v>30</v>
      </c>
      <c r="O776" s="23" t="s">
        <v>33</v>
      </c>
    </row>
    <row r="777" spans="1:15">
      <c r="E777" s="4">
        <f t="shared" si="383"/>
        <v>777</v>
      </c>
      <c r="F777" s="9" t="s">
        <v>119</v>
      </c>
      <c r="G777" s="9" t="s">
        <v>257</v>
      </c>
      <c r="H777" s="9" t="s">
        <v>258</v>
      </c>
      <c r="I777" s="9" t="s">
        <v>34</v>
      </c>
      <c r="O777" s="23">
        <f t="shared" ref="O777:O840" ca="1" si="404">RANDBETWEEN($G$21*$I$21,$H$21*$I$21)/$I$21</f>
        <v>-7.4</v>
      </c>
    </row>
    <row r="778" spans="1:15">
      <c r="E778" s="4">
        <f t="shared" si="383"/>
        <v>778</v>
      </c>
      <c r="F778" s="9" t="s">
        <v>112</v>
      </c>
      <c r="O778" s="23">
        <v>0</v>
      </c>
    </row>
    <row r="779" spans="1:15">
      <c r="E779" s="4">
        <f t="shared" si="383"/>
        <v>779</v>
      </c>
      <c r="F779" s="9" t="s">
        <v>102</v>
      </c>
      <c r="G779" s="9" t="s">
        <v>259</v>
      </c>
      <c r="H779" s="9" t="s">
        <v>260</v>
      </c>
      <c r="I779" s="9" t="s">
        <v>34</v>
      </c>
      <c r="J779" s="9" t="s">
        <v>261</v>
      </c>
      <c r="K779" s="9" t="s">
        <v>140</v>
      </c>
      <c r="O779" s="23" t="str">
        <f t="shared" ref="O779:O842" ca="1" si="405">CONCATENATE(RANDBETWEEN($G$23*$I$23,$H$23*$I$23)/$I$23,$J$23)</f>
        <v>4.3,6</v>
      </c>
    </row>
    <row r="780" spans="1:15">
      <c r="E780" s="4">
        <f t="shared" si="383"/>
        <v>780</v>
      </c>
      <c r="F780" s="9" t="s">
        <v>31</v>
      </c>
      <c r="L780" s="9" t="s">
        <v>148</v>
      </c>
    </row>
    <row r="781" spans="1:15">
      <c r="E781" s="4">
        <f t="shared" si="383"/>
        <v>781</v>
      </c>
      <c r="F781" s="9" t="s">
        <v>136</v>
      </c>
      <c r="L781" s="9" t="s">
        <v>149</v>
      </c>
    </row>
    <row r="782" spans="1:15">
      <c r="E782" s="4">
        <f t="shared" si="383"/>
        <v>782</v>
      </c>
      <c r="F782" s="9" t="s">
        <v>137</v>
      </c>
      <c r="K782" s="9" t="s">
        <v>141</v>
      </c>
      <c r="O782" s="23">
        <v>1</v>
      </c>
    </row>
    <row r="783" spans="1:15">
      <c r="E783" s="4">
        <f t="shared" si="383"/>
        <v>783</v>
      </c>
      <c r="F783" s="9" t="s">
        <v>137</v>
      </c>
      <c r="G783" s="9" t="s">
        <v>262</v>
      </c>
      <c r="H783" s="9" t="s">
        <v>32</v>
      </c>
      <c r="I783" s="9" t="s">
        <v>34</v>
      </c>
      <c r="J783" s="9" t="s">
        <v>263</v>
      </c>
      <c r="K783" s="9" t="s">
        <v>140</v>
      </c>
      <c r="O783" s="23" t="str">
        <f t="shared" ref="O783:O846" ca="1" si="406">CONCATENATE(RANDBETWEEN($G$27*$I$27,$H$27*$I$27)/$I$27,$J$27)</f>
        <v>-1.3,-4.5</v>
      </c>
    </row>
    <row r="784" spans="1:15">
      <c r="A784" s="9"/>
      <c r="B784" s="9"/>
      <c r="C784" s="9"/>
      <c r="D784" s="9"/>
      <c r="E784" s="4">
        <f t="shared" si="383"/>
        <v>784</v>
      </c>
      <c r="F784" s="9" t="s">
        <v>105</v>
      </c>
      <c r="O784" s="23">
        <f t="shared" ref="O784" si="407">O770*10+1</f>
        <v>100371</v>
      </c>
    </row>
    <row r="785" spans="2:15">
      <c r="E785" s="4">
        <f t="shared" si="383"/>
        <v>785</v>
      </c>
      <c r="F785" s="9" t="s">
        <v>156</v>
      </c>
      <c r="O785" s="23">
        <f t="shared" ref="O785" si="408">O770</f>
        <v>10037</v>
      </c>
    </row>
    <row r="786" spans="2:15">
      <c r="E786" s="4">
        <f t="shared" si="383"/>
        <v>786</v>
      </c>
      <c r="F786" s="9" t="s">
        <v>131</v>
      </c>
      <c r="O786" s="23">
        <v>0</v>
      </c>
    </row>
    <row r="787" spans="2:15">
      <c r="E787" s="4">
        <f t="shared" si="383"/>
        <v>787</v>
      </c>
      <c r="F787" s="9" t="s">
        <v>35</v>
      </c>
      <c r="O787" s="23" t="s">
        <v>252</v>
      </c>
    </row>
    <row r="788" spans="2:15">
      <c r="E788" s="4">
        <f t="shared" si="383"/>
        <v>788</v>
      </c>
      <c r="F788" s="9" t="s">
        <v>119</v>
      </c>
      <c r="O788" s="23" t="s">
        <v>22</v>
      </c>
    </row>
    <row r="789" spans="2:15">
      <c r="E789" s="4">
        <f t="shared" si="383"/>
        <v>789</v>
      </c>
      <c r="F789" s="9" t="s">
        <v>117</v>
      </c>
      <c r="L789" s="9" t="s">
        <v>138</v>
      </c>
      <c r="O789" s="23">
        <f t="shared" ref="O789" ca="1" si="409">O775</f>
        <v>-101</v>
      </c>
    </row>
    <row r="790" spans="2:15">
      <c r="B790" s="22">
        <f t="shared" ref="B790:B853" si="410">QUOTIENT( D790-1,G791)+1</f>
        <v>13</v>
      </c>
      <c r="C790" s="22">
        <f t="shared" ref="C790" si="411">D790-(B790-1)*G791</f>
        <v>2</v>
      </c>
      <c r="D790" s="22">
        <f>COUNT($D$12:$D789)+1</f>
        <v>38</v>
      </c>
      <c r="E790" s="4"/>
    </row>
    <row r="791" spans="2:15">
      <c r="E791" s="4">
        <f t="shared" si="383"/>
        <v>791</v>
      </c>
      <c r="F791" s="9" t="s">
        <v>96</v>
      </c>
      <c r="G791" s="9" t="s">
        <v>38</v>
      </c>
      <c r="H791" s="9" t="s">
        <v>282</v>
      </c>
      <c r="J791" s="9" t="s">
        <v>247</v>
      </c>
      <c r="O791" s="23">
        <f t="shared" ref="O791:O854" si="412">J791+D790</f>
        <v>10038</v>
      </c>
    </row>
    <row r="792" spans="2:15">
      <c r="E792" s="4">
        <f t="shared" si="383"/>
        <v>792</v>
      </c>
      <c r="F792" s="9" t="s">
        <v>165</v>
      </c>
      <c r="G792" s="9" t="s">
        <v>280</v>
      </c>
      <c r="H792" s="9" t="s">
        <v>249</v>
      </c>
      <c r="O792" s="23">
        <f t="shared" ref="O792" si="413">G792+B790*H792</f>
        <v>695</v>
      </c>
    </row>
    <row r="793" spans="2:15">
      <c r="E793" s="4">
        <f t="shared" si="383"/>
        <v>793</v>
      </c>
      <c r="F793" s="9" t="s">
        <v>35</v>
      </c>
      <c r="O793" s="23" t="s">
        <v>251</v>
      </c>
    </row>
    <row r="794" spans="2:15">
      <c r="E794" s="4">
        <f t="shared" si="383"/>
        <v>794</v>
      </c>
      <c r="F794" s="9" t="s">
        <v>29</v>
      </c>
      <c r="O794" s="23" t="s">
        <v>157</v>
      </c>
    </row>
    <row r="795" spans="2:15">
      <c r="E795" s="4">
        <f t="shared" si="383"/>
        <v>795</v>
      </c>
      <c r="F795" s="9" t="s">
        <v>122</v>
      </c>
      <c r="O795" s="23" t="s">
        <v>158</v>
      </c>
    </row>
    <row r="796" spans="2:15">
      <c r="E796" s="4">
        <f t="shared" si="383"/>
        <v>796</v>
      </c>
      <c r="F796" s="9" t="s">
        <v>117</v>
      </c>
      <c r="G796" s="9" t="s">
        <v>253</v>
      </c>
      <c r="H796" s="9" t="s">
        <v>254</v>
      </c>
      <c r="I796" s="9" t="s">
        <v>255</v>
      </c>
      <c r="J796" s="9" t="s">
        <v>256</v>
      </c>
      <c r="L796" s="9" t="s">
        <v>138</v>
      </c>
      <c r="O796" s="23">
        <f t="shared" ref="O796" ca="1" si="414">IF(MOD(D790,2)=0,RANDBETWEEN($I$19,$J$19),RANDBETWEEN($G$19,$H$19))</f>
        <v>99</v>
      </c>
    </row>
    <row r="797" spans="2:15">
      <c r="E797" s="4">
        <f t="shared" si="383"/>
        <v>797</v>
      </c>
      <c r="F797" s="9" t="s">
        <v>30</v>
      </c>
      <c r="O797" s="23" t="s">
        <v>33</v>
      </c>
    </row>
    <row r="798" spans="2:15">
      <c r="E798" s="4">
        <f t="shared" si="383"/>
        <v>798</v>
      </c>
      <c r="F798" s="9" t="s">
        <v>119</v>
      </c>
      <c r="G798" s="9" t="s">
        <v>257</v>
      </c>
      <c r="H798" s="9" t="s">
        <v>258</v>
      </c>
      <c r="I798" s="9" t="s">
        <v>34</v>
      </c>
      <c r="O798" s="23">
        <f t="shared" ref="O798:O861" ca="1" si="415">RANDBETWEEN($G$21*$I$21,$H$21*$I$21)/$I$21</f>
        <v>-6.9</v>
      </c>
    </row>
    <row r="799" spans="2:15">
      <c r="E799" s="4">
        <f t="shared" si="383"/>
        <v>799</v>
      </c>
      <c r="F799" s="9" t="s">
        <v>112</v>
      </c>
      <c r="O799" s="23">
        <v>0</v>
      </c>
    </row>
    <row r="800" spans="2:15">
      <c r="E800" s="4">
        <f t="shared" si="383"/>
        <v>800</v>
      </c>
      <c r="F800" s="9" t="s">
        <v>102</v>
      </c>
      <c r="G800" s="9" t="s">
        <v>259</v>
      </c>
      <c r="H800" s="9" t="s">
        <v>260</v>
      </c>
      <c r="I800" s="9" t="s">
        <v>34</v>
      </c>
      <c r="J800" s="9" t="s">
        <v>261</v>
      </c>
      <c r="K800" s="9" t="s">
        <v>140</v>
      </c>
      <c r="O800" s="23" t="str">
        <f t="shared" ref="O800:O863" ca="1" si="416">CONCATENATE(RANDBETWEEN($G$23*$I$23,$H$23*$I$23)/$I$23,$J$23)</f>
        <v>0.6,6</v>
      </c>
    </row>
    <row r="801" spans="1:15">
      <c r="E801" s="4">
        <f t="shared" si="383"/>
        <v>801</v>
      </c>
      <c r="F801" s="9" t="s">
        <v>31</v>
      </c>
      <c r="L801" s="9" t="s">
        <v>148</v>
      </c>
    </row>
    <row r="802" spans="1:15">
      <c r="E802" s="4">
        <f t="shared" si="383"/>
        <v>802</v>
      </c>
      <c r="F802" s="9" t="s">
        <v>136</v>
      </c>
      <c r="L802" s="9" t="s">
        <v>149</v>
      </c>
    </row>
    <row r="803" spans="1:15">
      <c r="E803" s="4">
        <f t="shared" ref="E803:E866" si="417">ROW(E803)</f>
        <v>803</v>
      </c>
      <c r="F803" s="9" t="s">
        <v>137</v>
      </c>
      <c r="K803" s="9" t="s">
        <v>141</v>
      </c>
      <c r="O803" s="23">
        <v>1</v>
      </c>
    </row>
    <row r="804" spans="1:15">
      <c r="E804" s="4">
        <f t="shared" si="417"/>
        <v>804</v>
      </c>
      <c r="F804" s="9" t="s">
        <v>137</v>
      </c>
      <c r="G804" s="9" t="s">
        <v>262</v>
      </c>
      <c r="H804" s="9" t="s">
        <v>32</v>
      </c>
      <c r="I804" s="9" t="s">
        <v>34</v>
      </c>
      <c r="J804" s="9" t="s">
        <v>263</v>
      </c>
      <c r="K804" s="9" t="s">
        <v>140</v>
      </c>
      <c r="O804" s="23" t="str">
        <f t="shared" ref="O804:O867" ca="1" si="418">CONCATENATE(RANDBETWEEN($G$27*$I$27,$H$27*$I$27)/$I$27,$J$27)</f>
        <v>2.6,-4.5</v>
      </c>
    </row>
    <row r="805" spans="1:15">
      <c r="E805" s="4">
        <f t="shared" si="417"/>
        <v>805</v>
      </c>
      <c r="F805" s="9" t="s">
        <v>105</v>
      </c>
      <c r="O805" s="23">
        <f t="shared" ref="O805" si="419">O791*10+1</f>
        <v>100381</v>
      </c>
    </row>
    <row r="806" spans="1:15">
      <c r="A806" s="9"/>
      <c r="B806" s="9"/>
      <c r="C806" s="9"/>
      <c r="D806" s="9"/>
      <c r="E806" s="4">
        <f t="shared" si="417"/>
        <v>806</v>
      </c>
      <c r="F806" s="9" t="s">
        <v>156</v>
      </c>
      <c r="O806" s="23">
        <f t="shared" ref="O806" si="420">O791</f>
        <v>10038</v>
      </c>
    </row>
    <row r="807" spans="1:15">
      <c r="E807" s="4">
        <f t="shared" si="417"/>
        <v>807</v>
      </c>
      <c r="F807" s="9" t="s">
        <v>131</v>
      </c>
      <c r="O807" s="23">
        <v>0</v>
      </c>
    </row>
    <row r="808" spans="1:15">
      <c r="E808" s="4">
        <f t="shared" si="417"/>
        <v>808</v>
      </c>
      <c r="F808" s="9" t="s">
        <v>35</v>
      </c>
      <c r="O808" s="23" t="s">
        <v>252</v>
      </c>
    </row>
    <row r="809" spans="1:15">
      <c r="E809" s="4">
        <f t="shared" si="417"/>
        <v>809</v>
      </c>
      <c r="F809" s="9" t="s">
        <v>119</v>
      </c>
      <c r="O809" s="23" t="s">
        <v>22</v>
      </c>
    </row>
    <row r="810" spans="1:15">
      <c r="E810" s="4">
        <f t="shared" si="417"/>
        <v>810</v>
      </c>
      <c r="F810" s="9" t="s">
        <v>117</v>
      </c>
      <c r="L810" s="9" t="s">
        <v>138</v>
      </c>
      <c r="O810" s="23">
        <f t="shared" ref="O810" ca="1" si="421">O796</f>
        <v>99</v>
      </c>
    </row>
    <row r="811" spans="1:15">
      <c r="B811" s="22">
        <f t="shared" ref="B811:B874" si="422">QUOTIENT( D811-1,G812)+1</f>
        <v>13</v>
      </c>
      <c r="C811" s="22">
        <f t="shared" ref="C811" si="423">D811-(B811-1)*G812</f>
        <v>3</v>
      </c>
      <c r="D811" s="22">
        <f>COUNT($D$12:$D810)+1</f>
        <v>39</v>
      </c>
      <c r="E811" s="4"/>
    </row>
    <row r="812" spans="1:15">
      <c r="E812" s="4">
        <f t="shared" si="417"/>
        <v>812</v>
      </c>
      <c r="F812" s="9" t="s">
        <v>96</v>
      </c>
      <c r="G812" s="9" t="s">
        <v>38</v>
      </c>
      <c r="H812" s="9" t="s">
        <v>282</v>
      </c>
      <c r="J812" s="9" t="s">
        <v>247</v>
      </c>
      <c r="O812" s="23">
        <f t="shared" ref="O812:O875" si="424">J812+D811</f>
        <v>10039</v>
      </c>
    </row>
    <row r="813" spans="1:15">
      <c r="E813" s="4">
        <f t="shared" si="417"/>
        <v>813</v>
      </c>
      <c r="F813" s="9" t="s">
        <v>165</v>
      </c>
      <c r="G813" s="9" t="s">
        <v>280</v>
      </c>
      <c r="H813" s="9" t="s">
        <v>249</v>
      </c>
      <c r="O813" s="23">
        <f t="shared" ref="O813" si="425">G813+B811*H813</f>
        <v>695</v>
      </c>
    </row>
    <row r="814" spans="1:15">
      <c r="E814" s="4">
        <f t="shared" si="417"/>
        <v>814</v>
      </c>
      <c r="F814" s="9" t="s">
        <v>35</v>
      </c>
      <c r="O814" s="23" t="s">
        <v>251</v>
      </c>
    </row>
    <row r="815" spans="1:15">
      <c r="E815" s="4">
        <f t="shared" si="417"/>
        <v>815</v>
      </c>
      <c r="F815" s="9" t="s">
        <v>29</v>
      </c>
      <c r="O815" s="23" t="s">
        <v>157</v>
      </c>
    </row>
    <row r="816" spans="1:15">
      <c r="E816" s="4">
        <f t="shared" si="417"/>
        <v>816</v>
      </c>
      <c r="F816" s="9" t="s">
        <v>122</v>
      </c>
      <c r="O816" s="23" t="s">
        <v>158</v>
      </c>
    </row>
    <row r="817" spans="1:15">
      <c r="E817" s="4">
        <f t="shared" si="417"/>
        <v>817</v>
      </c>
      <c r="F817" s="9" t="s">
        <v>117</v>
      </c>
      <c r="G817" s="9" t="s">
        <v>253</v>
      </c>
      <c r="H817" s="9" t="s">
        <v>254</v>
      </c>
      <c r="I817" s="9" t="s">
        <v>255</v>
      </c>
      <c r="J817" s="9" t="s">
        <v>256</v>
      </c>
      <c r="L817" s="9" t="s">
        <v>138</v>
      </c>
      <c r="O817" s="23">
        <f t="shared" ref="O817" ca="1" si="426">IF(MOD(D811,2)=0,RANDBETWEEN($I$19,$J$19),RANDBETWEEN($G$19,$H$19))</f>
        <v>-89</v>
      </c>
    </row>
    <row r="818" spans="1:15">
      <c r="E818" s="4">
        <f t="shared" si="417"/>
        <v>818</v>
      </c>
      <c r="F818" s="9" t="s">
        <v>30</v>
      </c>
      <c r="O818" s="23" t="s">
        <v>33</v>
      </c>
    </row>
    <row r="819" spans="1:15">
      <c r="E819" s="4">
        <f t="shared" si="417"/>
        <v>819</v>
      </c>
      <c r="F819" s="9" t="s">
        <v>119</v>
      </c>
      <c r="G819" s="9" t="s">
        <v>257</v>
      </c>
      <c r="H819" s="9" t="s">
        <v>258</v>
      </c>
      <c r="I819" s="9" t="s">
        <v>34</v>
      </c>
      <c r="O819" s="23">
        <f t="shared" ref="O819:O882" ca="1" si="427">RANDBETWEEN($G$21*$I$21,$H$21*$I$21)/$I$21</f>
        <v>-9.1</v>
      </c>
    </row>
    <row r="820" spans="1:15">
      <c r="E820" s="4">
        <f t="shared" si="417"/>
        <v>820</v>
      </c>
      <c r="F820" s="9" t="s">
        <v>112</v>
      </c>
      <c r="O820" s="23">
        <v>0</v>
      </c>
    </row>
    <row r="821" spans="1:15">
      <c r="E821" s="4">
        <f t="shared" si="417"/>
        <v>821</v>
      </c>
      <c r="F821" s="9" t="s">
        <v>102</v>
      </c>
      <c r="G821" s="9" t="s">
        <v>259</v>
      </c>
      <c r="H821" s="9" t="s">
        <v>260</v>
      </c>
      <c r="I821" s="9" t="s">
        <v>34</v>
      </c>
      <c r="J821" s="9" t="s">
        <v>261</v>
      </c>
      <c r="K821" s="9" t="s">
        <v>140</v>
      </c>
      <c r="O821" s="23" t="str">
        <f t="shared" ref="O821:O884" ca="1" si="428">CONCATENATE(RANDBETWEEN($G$23*$I$23,$H$23*$I$23)/$I$23,$J$23)</f>
        <v>3.6,6</v>
      </c>
    </row>
    <row r="822" spans="1:15">
      <c r="E822" s="4">
        <f t="shared" si="417"/>
        <v>822</v>
      </c>
      <c r="F822" s="9" t="s">
        <v>31</v>
      </c>
      <c r="L822" s="9" t="s">
        <v>148</v>
      </c>
    </row>
    <row r="823" spans="1:15">
      <c r="E823" s="4">
        <f t="shared" si="417"/>
        <v>823</v>
      </c>
      <c r="F823" s="9" t="s">
        <v>136</v>
      </c>
      <c r="L823" s="9" t="s">
        <v>149</v>
      </c>
    </row>
    <row r="824" spans="1:15">
      <c r="E824" s="4">
        <f t="shared" si="417"/>
        <v>824</v>
      </c>
      <c r="F824" s="9" t="s">
        <v>137</v>
      </c>
      <c r="K824" s="9" t="s">
        <v>141</v>
      </c>
      <c r="O824" s="23">
        <v>1</v>
      </c>
    </row>
    <row r="825" spans="1:15">
      <c r="E825" s="4">
        <f t="shared" si="417"/>
        <v>825</v>
      </c>
      <c r="F825" s="9" t="s">
        <v>137</v>
      </c>
      <c r="G825" s="9" t="s">
        <v>262</v>
      </c>
      <c r="H825" s="9" t="s">
        <v>32</v>
      </c>
      <c r="I825" s="9" t="s">
        <v>34</v>
      </c>
      <c r="J825" s="9" t="s">
        <v>263</v>
      </c>
      <c r="K825" s="9" t="s">
        <v>140</v>
      </c>
      <c r="O825" s="23" t="str">
        <f t="shared" ref="O825:O888" ca="1" si="429">CONCATENATE(RANDBETWEEN($G$27*$I$27,$H$27*$I$27)/$I$27,$J$27)</f>
        <v>5.4,-4.5</v>
      </c>
    </row>
    <row r="826" spans="1:15">
      <c r="E826" s="4">
        <f t="shared" si="417"/>
        <v>826</v>
      </c>
      <c r="F826" s="9" t="s">
        <v>105</v>
      </c>
      <c r="O826" s="23">
        <f t="shared" ref="O826" si="430">O812*10+1</f>
        <v>100391</v>
      </c>
    </row>
    <row r="827" spans="1:15">
      <c r="E827" s="4">
        <f t="shared" si="417"/>
        <v>827</v>
      </c>
      <c r="F827" s="9" t="s">
        <v>156</v>
      </c>
      <c r="O827" s="23">
        <f t="shared" ref="O827" si="431">O812</f>
        <v>10039</v>
      </c>
    </row>
    <row r="828" spans="1:15">
      <c r="A828" s="9"/>
      <c r="B828" s="9"/>
      <c r="C828" s="9"/>
      <c r="D828" s="9"/>
      <c r="E828" s="4">
        <f t="shared" si="417"/>
        <v>828</v>
      </c>
      <c r="F828" s="9" t="s">
        <v>131</v>
      </c>
      <c r="O828" s="23">
        <v>0</v>
      </c>
    </row>
    <row r="829" spans="1:15">
      <c r="E829" s="4">
        <f t="shared" si="417"/>
        <v>829</v>
      </c>
      <c r="F829" s="9" t="s">
        <v>35</v>
      </c>
      <c r="O829" s="23" t="s">
        <v>252</v>
      </c>
    </row>
    <row r="830" spans="1:15">
      <c r="E830" s="4">
        <f t="shared" si="417"/>
        <v>830</v>
      </c>
      <c r="F830" s="9" t="s">
        <v>119</v>
      </c>
      <c r="O830" s="23" t="s">
        <v>22</v>
      </c>
    </row>
    <row r="831" spans="1:15">
      <c r="E831" s="4">
        <f t="shared" si="417"/>
        <v>831</v>
      </c>
      <c r="F831" s="9" t="s">
        <v>117</v>
      </c>
      <c r="L831" s="9" t="s">
        <v>138</v>
      </c>
      <c r="O831" s="23">
        <f t="shared" ref="O831" ca="1" si="432">O817</f>
        <v>-89</v>
      </c>
    </row>
    <row r="832" spans="1:15">
      <c r="B832" s="22">
        <f t="shared" ref="B832:B895" si="433">QUOTIENT( D832-1,G833)+1</f>
        <v>14</v>
      </c>
      <c r="C832" s="22">
        <f t="shared" ref="C832" si="434">D832-(B832-1)*G833</f>
        <v>1</v>
      </c>
      <c r="D832" s="22">
        <f>COUNT($D$12:$D831)+1</f>
        <v>40</v>
      </c>
      <c r="E832" s="4"/>
    </row>
    <row r="833" spans="5:15">
      <c r="E833" s="4">
        <f t="shared" si="417"/>
        <v>833</v>
      </c>
      <c r="F833" s="9" t="s">
        <v>96</v>
      </c>
      <c r="G833" s="9" t="s">
        <v>38</v>
      </c>
      <c r="H833" s="9" t="s">
        <v>282</v>
      </c>
      <c r="J833" s="9" t="s">
        <v>247</v>
      </c>
      <c r="O833" s="23">
        <f t="shared" ref="O833:O896" si="435">J833+D832</f>
        <v>10040</v>
      </c>
    </row>
    <row r="834" spans="5:15">
      <c r="E834" s="4">
        <f t="shared" si="417"/>
        <v>834</v>
      </c>
      <c r="F834" s="9" t="s">
        <v>165</v>
      </c>
      <c r="G834" s="9" t="s">
        <v>280</v>
      </c>
      <c r="H834" s="9" t="s">
        <v>249</v>
      </c>
      <c r="O834" s="23">
        <f t="shared" ref="O834" si="436">G834+B832*H834</f>
        <v>710</v>
      </c>
    </row>
    <row r="835" spans="5:15">
      <c r="E835" s="4">
        <f t="shared" si="417"/>
        <v>835</v>
      </c>
      <c r="F835" s="9" t="s">
        <v>35</v>
      </c>
      <c r="O835" s="23" t="s">
        <v>251</v>
      </c>
    </row>
    <row r="836" spans="5:15">
      <c r="E836" s="4">
        <f t="shared" si="417"/>
        <v>836</v>
      </c>
      <c r="F836" s="9" t="s">
        <v>29</v>
      </c>
      <c r="O836" s="23" t="s">
        <v>157</v>
      </c>
    </row>
    <row r="837" spans="5:15">
      <c r="E837" s="4">
        <f t="shared" si="417"/>
        <v>837</v>
      </c>
      <c r="F837" s="9" t="s">
        <v>122</v>
      </c>
      <c r="O837" s="23" t="s">
        <v>158</v>
      </c>
    </row>
    <row r="838" spans="5:15">
      <c r="E838" s="4">
        <f t="shared" si="417"/>
        <v>838</v>
      </c>
      <c r="F838" s="9" t="s">
        <v>117</v>
      </c>
      <c r="G838" s="9" t="s">
        <v>253</v>
      </c>
      <c r="H838" s="9" t="s">
        <v>254</v>
      </c>
      <c r="I838" s="9" t="s">
        <v>255</v>
      </c>
      <c r="J838" s="9" t="s">
        <v>256</v>
      </c>
      <c r="L838" s="9" t="s">
        <v>138</v>
      </c>
      <c r="O838" s="23">
        <f t="shared" ref="O838" ca="1" si="437">IF(MOD(D832,2)=0,RANDBETWEEN($I$19,$J$19),RANDBETWEEN($G$19,$H$19))</f>
        <v>91</v>
      </c>
    </row>
    <row r="839" spans="5:15">
      <c r="E839" s="4">
        <f t="shared" si="417"/>
        <v>839</v>
      </c>
      <c r="F839" s="9" t="s">
        <v>30</v>
      </c>
      <c r="O839" s="23" t="s">
        <v>33</v>
      </c>
    </row>
    <row r="840" spans="5:15">
      <c r="E840" s="4">
        <f t="shared" si="417"/>
        <v>840</v>
      </c>
      <c r="F840" s="9" t="s">
        <v>119</v>
      </c>
      <c r="G840" s="9" t="s">
        <v>257</v>
      </c>
      <c r="H840" s="9" t="s">
        <v>258</v>
      </c>
      <c r="I840" s="9" t="s">
        <v>34</v>
      </c>
      <c r="O840" s="23">
        <f t="shared" ref="O840:O903" ca="1" si="438">RANDBETWEEN($G$21*$I$21,$H$21*$I$21)/$I$21</f>
        <v>-7.8</v>
      </c>
    </row>
    <row r="841" spans="5:15">
      <c r="E841" s="4">
        <f t="shared" si="417"/>
        <v>841</v>
      </c>
      <c r="F841" s="9" t="s">
        <v>112</v>
      </c>
      <c r="O841" s="23">
        <v>0</v>
      </c>
    </row>
    <row r="842" spans="5:15">
      <c r="E842" s="4">
        <f t="shared" si="417"/>
        <v>842</v>
      </c>
      <c r="F842" s="9" t="s">
        <v>102</v>
      </c>
      <c r="G842" s="9" t="s">
        <v>259</v>
      </c>
      <c r="H842" s="9" t="s">
        <v>260</v>
      </c>
      <c r="I842" s="9" t="s">
        <v>34</v>
      </c>
      <c r="J842" s="9" t="s">
        <v>261</v>
      </c>
      <c r="K842" s="9" t="s">
        <v>140</v>
      </c>
      <c r="O842" s="23" t="str">
        <f t="shared" ref="O842:O905" ca="1" si="439">CONCATENATE(RANDBETWEEN($G$23*$I$23,$H$23*$I$23)/$I$23,$J$23)</f>
        <v>-4.4,6</v>
      </c>
    </row>
    <row r="843" spans="5:15">
      <c r="E843" s="4">
        <f t="shared" si="417"/>
        <v>843</v>
      </c>
      <c r="F843" s="9" t="s">
        <v>31</v>
      </c>
      <c r="L843" s="9" t="s">
        <v>148</v>
      </c>
    </row>
    <row r="844" spans="5:15">
      <c r="E844" s="4">
        <f t="shared" si="417"/>
        <v>844</v>
      </c>
      <c r="F844" s="9" t="s">
        <v>136</v>
      </c>
      <c r="L844" s="9" t="s">
        <v>149</v>
      </c>
    </row>
    <row r="845" spans="5:15">
      <c r="E845" s="4">
        <f t="shared" si="417"/>
        <v>845</v>
      </c>
      <c r="F845" s="9" t="s">
        <v>137</v>
      </c>
      <c r="K845" s="9" t="s">
        <v>141</v>
      </c>
      <c r="O845" s="23">
        <v>1</v>
      </c>
    </row>
    <row r="846" spans="5:15">
      <c r="E846" s="4">
        <f t="shared" si="417"/>
        <v>846</v>
      </c>
      <c r="F846" s="9" t="s">
        <v>137</v>
      </c>
      <c r="G846" s="9" t="s">
        <v>262</v>
      </c>
      <c r="H846" s="9" t="s">
        <v>32</v>
      </c>
      <c r="I846" s="9" t="s">
        <v>34</v>
      </c>
      <c r="J846" s="9" t="s">
        <v>263</v>
      </c>
      <c r="K846" s="9" t="s">
        <v>140</v>
      </c>
      <c r="O846" s="23" t="str">
        <f t="shared" ref="O846:O909" ca="1" si="440">CONCATENATE(RANDBETWEEN($G$27*$I$27,$H$27*$I$27)/$I$27,$J$27)</f>
        <v>3.4,-4.5</v>
      </c>
    </row>
    <row r="847" spans="5:15">
      <c r="E847" s="4">
        <f t="shared" si="417"/>
        <v>847</v>
      </c>
      <c r="F847" s="9" t="s">
        <v>105</v>
      </c>
      <c r="O847" s="23">
        <f t="shared" ref="O847" si="441">O833*10+1</f>
        <v>100401</v>
      </c>
    </row>
    <row r="848" spans="5:15">
      <c r="E848" s="4">
        <f t="shared" si="417"/>
        <v>848</v>
      </c>
      <c r="F848" s="9" t="s">
        <v>156</v>
      </c>
      <c r="O848" s="23">
        <f t="shared" ref="O848" si="442">O833</f>
        <v>10040</v>
      </c>
    </row>
    <row r="849" spans="1:15">
      <c r="E849" s="4">
        <f t="shared" si="417"/>
        <v>849</v>
      </c>
      <c r="F849" s="9" t="s">
        <v>131</v>
      </c>
      <c r="O849" s="23">
        <v>0</v>
      </c>
    </row>
    <row r="850" spans="1:15">
      <c r="A850" s="9"/>
      <c r="B850" s="9"/>
      <c r="C850" s="9"/>
      <c r="D850" s="9"/>
      <c r="E850" s="4">
        <f t="shared" si="417"/>
        <v>850</v>
      </c>
      <c r="F850" s="9" t="s">
        <v>35</v>
      </c>
      <c r="O850" s="23" t="s">
        <v>252</v>
      </c>
    </row>
    <row r="851" spans="1:15">
      <c r="E851" s="4">
        <f t="shared" si="417"/>
        <v>851</v>
      </c>
      <c r="F851" s="9" t="s">
        <v>119</v>
      </c>
      <c r="O851" s="23" t="s">
        <v>22</v>
      </c>
    </row>
    <row r="852" spans="1:15">
      <c r="E852" s="4">
        <f t="shared" si="417"/>
        <v>852</v>
      </c>
      <c r="F852" s="9" t="s">
        <v>117</v>
      </c>
      <c r="L852" s="9" t="s">
        <v>138</v>
      </c>
      <c r="O852" s="23">
        <f t="shared" ref="O852" ca="1" si="443">O838</f>
        <v>91</v>
      </c>
    </row>
    <row r="853" spans="1:15">
      <c r="B853" s="22">
        <f t="shared" ref="B853:B916" si="444">QUOTIENT( D853-1,G854)+1</f>
        <v>14</v>
      </c>
      <c r="C853" s="22">
        <f t="shared" ref="C853" si="445">D853-(B853-1)*G854</f>
        <v>2</v>
      </c>
      <c r="D853" s="22">
        <f>COUNT($D$12:$D852)+1</f>
        <v>41</v>
      </c>
      <c r="E853" s="4"/>
    </row>
    <row r="854" spans="1:15">
      <c r="E854" s="4">
        <f t="shared" si="417"/>
        <v>854</v>
      </c>
      <c r="F854" s="9" t="s">
        <v>96</v>
      </c>
      <c r="G854" s="9" t="s">
        <v>38</v>
      </c>
      <c r="H854" s="9" t="s">
        <v>282</v>
      </c>
      <c r="J854" s="9" t="s">
        <v>247</v>
      </c>
      <c r="O854" s="23">
        <f t="shared" ref="O854:O917" si="446">J854+D853</f>
        <v>10041</v>
      </c>
    </row>
    <row r="855" spans="1:15">
      <c r="E855" s="4">
        <f t="shared" si="417"/>
        <v>855</v>
      </c>
      <c r="F855" s="9" t="s">
        <v>165</v>
      </c>
      <c r="G855" s="9" t="s">
        <v>280</v>
      </c>
      <c r="H855" s="9" t="s">
        <v>249</v>
      </c>
      <c r="O855" s="23">
        <f t="shared" ref="O855" si="447">G855+B853*H855</f>
        <v>710</v>
      </c>
    </row>
    <row r="856" spans="1:15">
      <c r="E856" s="4">
        <f t="shared" si="417"/>
        <v>856</v>
      </c>
      <c r="F856" s="9" t="s">
        <v>35</v>
      </c>
      <c r="O856" s="23" t="s">
        <v>251</v>
      </c>
    </row>
    <row r="857" spans="1:15">
      <c r="E857" s="4">
        <f t="shared" si="417"/>
        <v>857</v>
      </c>
      <c r="F857" s="9" t="s">
        <v>29</v>
      </c>
      <c r="O857" s="23" t="s">
        <v>157</v>
      </c>
    </row>
    <row r="858" spans="1:15">
      <c r="E858" s="4">
        <f t="shared" si="417"/>
        <v>858</v>
      </c>
      <c r="F858" s="9" t="s">
        <v>122</v>
      </c>
      <c r="O858" s="23" t="s">
        <v>158</v>
      </c>
    </row>
    <row r="859" spans="1:15">
      <c r="E859" s="4">
        <f t="shared" si="417"/>
        <v>859</v>
      </c>
      <c r="F859" s="9" t="s">
        <v>117</v>
      </c>
      <c r="G859" s="9" t="s">
        <v>253</v>
      </c>
      <c r="H859" s="9" t="s">
        <v>254</v>
      </c>
      <c r="I859" s="9" t="s">
        <v>255</v>
      </c>
      <c r="J859" s="9" t="s">
        <v>256</v>
      </c>
      <c r="L859" s="9" t="s">
        <v>138</v>
      </c>
      <c r="O859" s="23">
        <f t="shared" ref="O859" ca="1" si="448">IF(MOD(D853,2)=0,RANDBETWEEN($I$19,$J$19),RANDBETWEEN($G$19,$H$19))</f>
        <v>-114</v>
      </c>
    </row>
    <row r="860" spans="1:15">
      <c r="E860" s="4">
        <f t="shared" si="417"/>
        <v>860</v>
      </c>
      <c r="F860" s="9" t="s">
        <v>30</v>
      </c>
      <c r="O860" s="23" t="s">
        <v>33</v>
      </c>
    </row>
    <row r="861" spans="1:15">
      <c r="E861" s="4">
        <f t="shared" si="417"/>
        <v>861</v>
      </c>
      <c r="F861" s="9" t="s">
        <v>119</v>
      </c>
      <c r="G861" s="9" t="s">
        <v>257</v>
      </c>
      <c r="H861" s="9" t="s">
        <v>258</v>
      </c>
      <c r="I861" s="9" t="s">
        <v>34</v>
      </c>
      <c r="O861" s="23">
        <f t="shared" ref="O861:O924" ca="1" si="449">RANDBETWEEN($G$21*$I$21,$H$21*$I$21)/$I$21</f>
        <v>-8.1999999999999993</v>
      </c>
    </row>
    <row r="862" spans="1:15">
      <c r="E862" s="4">
        <f t="shared" si="417"/>
        <v>862</v>
      </c>
      <c r="F862" s="9" t="s">
        <v>112</v>
      </c>
      <c r="O862" s="23">
        <v>0</v>
      </c>
    </row>
    <row r="863" spans="1:15">
      <c r="E863" s="4">
        <f t="shared" si="417"/>
        <v>863</v>
      </c>
      <c r="F863" s="9" t="s">
        <v>102</v>
      </c>
      <c r="G863" s="9" t="s">
        <v>259</v>
      </c>
      <c r="H863" s="9" t="s">
        <v>260</v>
      </c>
      <c r="I863" s="9" t="s">
        <v>34</v>
      </c>
      <c r="J863" s="9" t="s">
        <v>261</v>
      </c>
      <c r="K863" s="9" t="s">
        <v>140</v>
      </c>
      <c r="O863" s="23" t="str">
        <f t="shared" ref="O863:O926" ca="1" si="450">CONCATENATE(RANDBETWEEN($G$23*$I$23,$H$23*$I$23)/$I$23,$J$23)</f>
        <v>-2.7,6</v>
      </c>
    </row>
    <row r="864" spans="1:15">
      <c r="E864" s="4">
        <f t="shared" si="417"/>
        <v>864</v>
      </c>
      <c r="F864" s="9" t="s">
        <v>31</v>
      </c>
      <c r="L864" s="9" t="s">
        <v>148</v>
      </c>
    </row>
    <row r="865" spans="1:15">
      <c r="E865" s="4">
        <f t="shared" si="417"/>
        <v>865</v>
      </c>
      <c r="F865" s="9" t="s">
        <v>136</v>
      </c>
      <c r="L865" s="9" t="s">
        <v>149</v>
      </c>
    </row>
    <row r="866" spans="1:15">
      <c r="E866" s="4">
        <f t="shared" si="417"/>
        <v>866</v>
      </c>
      <c r="F866" s="9" t="s">
        <v>137</v>
      </c>
      <c r="K866" s="9" t="s">
        <v>141</v>
      </c>
      <c r="O866" s="23">
        <v>1</v>
      </c>
    </row>
    <row r="867" spans="1:15">
      <c r="E867" s="4">
        <f t="shared" ref="E867:E930" si="451">ROW(E867)</f>
        <v>867</v>
      </c>
      <c r="F867" s="9" t="s">
        <v>137</v>
      </c>
      <c r="G867" s="9" t="s">
        <v>262</v>
      </c>
      <c r="H867" s="9" t="s">
        <v>32</v>
      </c>
      <c r="I867" s="9" t="s">
        <v>34</v>
      </c>
      <c r="J867" s="9" t="s">
        <v>263</v>
      </c>
      <c r="K867" s="9" t="s">
        <v>140</v>
      </c>
      <c r="O867" s="23" t="str">
        <f t="shared" ref="O867:O930" ca="1" si="452">CONCATENATE(RANDBETWEEN($G$27*$I$27,$H$27*$I$27)/$I$27,$J$27)</f>
        <v>-1,-4.5</v>
      </c>
    </row>
    <row r="868" spans="1:15">
      <c r="E868" s="4">
        <f t="shared" si="451"/>
        <v>868</v>
      </c>
      <c r="F868" s="9" t="s">
        <v>105</v>
      </c>
      <c r="O868" s="23">
        <f t="shared" ref="O868" si="453">O854*10+1</f>
        <v>100411</v>
      </c>
    </row>
    <row r="869" spans="1:15">
      <c r="E869" s="4">
        <f t="shared" si="451"/>
        <v>869</v>
      </c>
      <c r="F869" s="9" t="s">
        <v>156</v>
      </c>
      <c r="O869" s="23">
        <f t="shared" ref="O869" si="454">O854</f>
        <v>10041</v>
      </c>
    </row>
    <row r="870" spans="1:15">
      <c r="E870" s="4">
        <f t="shared" si="451"/>
        <v>870</v>
      </c>
      <c r="F870" s="9" t="s">
        <v>131</v>
      </c>
      <c r="O870" s="23">
        <v>0</v>
      </c>
    </row>
    <row r="871" spans="1:15">
      <c r="E871" s="4">
        <f t="shared" si="451"/>
        <v>871</v>
      </c>
      <c r="F871" s="9" t="s">
        <v>35</v>
      </c>
      <c r="O871" s="23" t="s">
        <v>252</v>
      </c>
    </row>
    <row r="872" spans="1:15">
      <c r="A872" s="9"/>
      <c r="B872" s="9"/>
      <c r="C872" s="9"/>
      <c r="D872" s="9"/>
      <c r="E872" s="4">
        <f t="shared" si="451"/>
        <v>872</v>
      </c>
      <c r="F872" s="9" t="s">
        <v>119</v>
      </c>
      <c r="O872" s="23" t="s">
        <v>22</v>
      </c>
    </row>
    <row r="873" spans="1:15">
      <c r="E873" s="4">
        <f t="shared" si="451"/>
        <v>873</v>
      </c>
      <c r="F873" s="9" t="s">
        <v>117</v>
      </c>
      <c r="L873" s="9" t="s">
        <v>138</v>
      </c>
      <c r="O873" s="23">
        <f t="shared" ref="O873" ca="1" si="455">O859</f>
        <v>-114</v>
      </c>
    </row>
    <row r="874" spans="1:15">
      <c r="B874" s="22">
        <f t="shared" ref="B874:B937" si="456">QUOTIENT( D874-1,G875)+1</f>
        <v>14</v>
      </c>
      <c r="C874" s="22">
        <f t="shared" ref="C874" si="457">D874-(B874-1)*G875</f>
        <v>3</v>
      </c>
      <c r="D874" s="22">
        <f>COUNT($D$12:$D873)+1</f>
        <v>42</v>
      </c>
      <c r="E874" s="4"/>
    </row>
    <row r="875" spans="1:15">
      <c r="E875" s="4">
        <f t="shared" si="451"/>
        <v>875</v>
      </c>
      <c r="F875" s="9" t="s">
        <v>96</v>
      </c>
      <c r="G875" s="9" t="s">
        <v>38</v>
      </c>
      <c r="H875" s="9" t="s">
        <v>282</v>
      </c>
      <c r="J875" s="9" t="s">
        <v>247</v>
      </c>
      <c r="O875" s="23">
        <f t="shared" ref="O875:O938" si="458">J875+D874</f>
        <v>10042</v>
      </c>
    </row>
    <row r="876" spans="1:15">
      <c r="E876" s="4">
        <f t="shared" si="451"/>
        <v>876</v>
      </c>
      <c r="F876" s="9" t="s">
        <v>165</v>
      </c>
      <c r="G876" s="9" t="s">
        <v>280</v>
      </c>
      <c r="H876" s="9" t="s">
        <v>249</v>
      </c>
      <c r="O876" s="23">
        <f t="shared" ref="O876" si="459">G876+B874*H876</f>
        <v>710</v>
      </c>
    </row>
    <row r="877" spans="1:15">
      <c r="E877" s="4">
        <f t="shared" si="451"/>
        <v>877</v>
      </c>
      <c r="F877" s="9" t="s">
        <v>35</v>
      </c>
      <c r="O877" s="23" t="s">
        <v>251</v>
      </c>
    </row>
    <row r="878" spans="1:15">
      <c r="E878" s="4">
        <f t="shared" si="451"/>
        <v>878</v>
      </c>
      <c r="F878" s="9" t="s">
        <v>29</v>
      </c>
      <c r="O878" s="23" t="s">
        <v>157</v>
      </c>
    </row>
    <row r="879" spans="1:15">
      <c r="E879" s="4">
        <f t="shared" si="451"/>
        <v>879</v>
      </c>
      <c r="F879" s="9" t="s">
        <v>122</v>
      </c>
      <c r="O879" s="23" t="s">
        <v>158</v>
      </c>
    </row>
    <row r="880" spans="1:15">
      <c r="E880" s="4">
        <f t="shared" si="451"/>
        <v>880</v>
      </c>
      <c r="F880" s="9" t="s">
        <v>117</v>
      </c>
      <c r="G880" s="9" t="s">
        <v>253</v>
      </c>
      <c r="H880" s="9" t="s">
        <v>254</v>
      </c>
      <c r="I880" s="9" t="s">
        <v>255</v>
      </c>
      <c r="J880" s="9" t="s">
        <v>256</v>
      </c>
      <c r="L880" s="9" t="s">
        <v>138</v>
      </c>
      <c r="O880" s="23">
        <f t="shared" ref="O880" ca="1" si="460">IF(MOD(D874,2)=0,RANDBETWEEN($I$19,$J$19),RANDBETWEEN($G$19,$H$19))</f>
        <v>88</v>
      </c>
    </row>
    <row r="881" spans="1:15">
      <c r="E881" s="4">
        <f t="shared" si="451"/>
        <v>881</v>
      </c>
      <c r="F881" s="9" t="s">
        <v>30</v>
      </c>
      <c r="O881" s="23" t="s">
        <v>33</v>
      </c>
    </row>
    <row r="882" spans="1:15">
      <c r="E882" s="4">
        <f t="shared" si="451"/>
        <v>882</v>
      </c>
      <c r="F882" s="9" t="s">
        <v>119</v>
      </c>
      <c r="G882" s="9" t="s">
        <v>257</v>
      </c>
      <c r="H882" s="9" t="s">
        <v>258</v>
      </c>
      <c r="I882" s="9" t="s">
        <v>34</v>
      </c>
      <c r="O882" s="23">
        <f t="shared" ref="O882:O945" ca="1" si="461">RANDBETWEEN($G$21*$I$21,$H$21*$I$21)/$I$21</f>
        <v>-6.2</v>
      </c>
    </row>
    <row r="883" spans="1:15">
      <c r="E883" s="4">
        <f t="shared" si="451"/>
        <v>883</v>
      </c>
      <c r="F883" s="9" t="s">
        <v>112</v>
      </c>
      <c r="O883" s="23">
        <v>0</v>
      </c>
    </row>
    <row r="884" spans="1:15">
      <c r="E884" s="4">
        <f t="shared" si="451"/>
        <v>884</v>
      </c>
      <c r="F884" s="9" t="s">
        <v>102</v>
      </c>
      <c r="G884" s="9" t="s">
        <v>259</v>
      </c>
      <c r="H884" s="9" t="s">
        <v>260</v>
      </c>
      <c r="I884" s="9" t="s">
        <v>34</v>
      </c>
      <c r="J884" s="9" t="s">
        <v>261</v>
      </c>
      <c r="K884" s="9" t="s">
        <v>140</v>
      </c>
      <c r="O884" s="23" t="str">
        <f t="shared" ref="O884:O947" ca="1" si="462">CONCATENATE(RANDBETWEEN($G$23*$I$23,$H$23*$I$23)/$I$23,$J$23)</f>
        <v>-0.1,6</v>
      </c>
    </row>
    <row r="885" spans="1:15">
      <c r="E885" s="4">
        <f t="shared" si="451"/>
        <v>885</v>
      </c>
      <c r="F885" s="9" t="s">
        <v>31</v>
      </c>
      <c r="L885" s="9" t="s">
        <v>148</v>
      </c>
    </row>
    <row r="886" spans="1:15">
      <c r="E886" s="4">
        <f t="shared" si="451"/>
        <v>886</v>
      </c>
      <c r="F886" s="9" t="s">
        <v>136</v>
      </c>
      <c r="L886" s="9" t="s">
        <v>149</v>
      </c>
    </row>
    <row r="887" spans="1:15">
      <c r="E887" s="4">
        <f t="shared" si="451"/>
        <v>887</v>
      </c>
      <c r="F887" s="9" t="s">
        <v>137</v>
      </c>
      <c r="K887" s="9" t="s">
        <v>141</v>
      </c>
      <c r="O887" s="23">
        <v>1</v>
      </c>
    </row>
    <row r="888" spans="1:15">
      <c r="E888" s="4">
        <f t="shared" si="451"/>
        <v>888</v>
      </c>
      <c r="F888" s="9" t="s">
        <v>137</v>
      </c>
      <c r="G888" s="9" t="s">
        <v>262</v>
      </c>
      <c r="H888" s="9" t="s">
        <v>32</v>
      </c>
      <c r="I888" s="9" t="s">
        <v>34</v>
      </c>
      <c r="J888" s="9" t="s">
        <v>263</v>
      </c>
      <c r="K888" s="9" t="s">
        <v>140</v>
      </c>
      <c r="O888" s="23" t="str">
        <f t="shared" ref="O888:O951" ca="1" si="463">CONCATENATE(RANDBETWEEN($G$27*$I$27,$H$27*$I$27)/$I$27,$J$27)</f>
        <v>-6,-4.5</v>
      </c>
    </row>
    <row r="889" spans="1:15">
      <c r="E889" s="4">
        <f t="shared" si="451"/>
        <v>889</v>
      </c>
      <c r="F889" s="9" t="s">
        <v>105</v>
      </c>
      <c r="O889" s="23">
        <f t="shared" ref="O889" si="464">O875*10+1</f>
        <v>100421</v>
      </c>
    </row>
    <row r="890" spans="1:15">
      <c r="E890" s="4">
        <f t="shared" si="451"/>
        <v>890</v>
      </c>
      <c r="F890" s="9" t="s">
        <v>156</v>
      </c>
      <c r="O890" s="23">
        <f t="shared" ref="O890" si="465">O875</f>
        <v>10042</v>
      </c>
    </row>
    <row r="891" spans="1:15">
      <c r="E891" s="4">
        <f t="shared" si="451"/>
        <v>891</v>
      </c>
      <c r="F891" s="9" t="s">
        <v>131</v>
      </c>
      <c r="O891" s="23">
        <v>0</v>
      </c>
    </row>
    <row r="892" spans="1:15">
      <c r="E892" s="4">
        <f t="shared" si="451"/>
        <v>892</v>
      </c>
      <c r="F892" s="9" t="s">
        <v>35</v>
      </c>
      <c r="O892" s="23" t="s">
        <v>252</v>
      </c>
    </row>
    <row r="893" spans="1:15">
      <c r="E893" s="4">
        <f t="shared" si="451"/>
        <v>893</v>
      </c>
      <c r="F893" s="9" t="s">
        <v>119</v>
      </c>
      <c r="O893" s="23" t="s">
        <v>22</v>
      </c>
    </row>
    <row r="894" spans="1:15">
      <c r="A894" s="9"/>
      <c r="B894" s="9"/>
      <c r="C894" s="9"/>
      <c r="D894" s="9"/>
      <c r="E894" s="4">
        <f t="shared" si="451"/>
        <v>894</v>
      </c>
      <c r="F894" s="9" t="s">
        <v>117</v>
      </c>
      <c r="L894" s="9" t="s">
        <v>138</v>
      </c>
      <c r="O894" s="23">
        <f t="shared" ref="O894" ca="1" si="466">O880</f>
        <v>88</v>
      </c>
    </row>
    <row r="895" spans="1:15">
      <c r="B895" s="22">
        <f t="shared" ref="B895:B958" si="467">QUOTIENT( D895-1,G896)+1</f>
        <v>15</v>
      </c>
      <c r="C895" s="22">
        <f t="shared" ref="C895" si="468">D895-(B895-1)*G896</f>
        <v>1</v>
      </c>
      <c r="D895" s="22">
        <f>COUNT($D$12:$D894)+1</f>
        <v>43</v>
      </c>
      <c r="E895" s="4"/>
    </row>
    <row r="896" spans="1:15">
      <c r="E896" s="4">
        <f t="shared" si="451"/>
        <v>896</v>
      </c>
      <c r="F896" s="9" t="s">
        <v>96</v>
      </c>
      <c r="G896" s="9" t="s">
        <v>38</v>
      </c>
      <c r="H896" s="9" t="s">
        <v>282</v>
      </c>
      <c r="J896" s="9" t="s">
        <v>247</v>
      </c>
      <c r="O896" s="23">
        <f t="shared" ref="O896:O959" si="469">J896+D895</f>
        <v>10043</v>
      </c>
    </row>
    <row r="897" spans="5:15">
      <c r="E897" s="4">
        <f t="shared" si="451"/>
        <v>897</v>
      </c>
      <c r="F897" s="9" t="s">
        <v>165</v>
      </c>
      <c r="G897" s="9" t="s">
        <v>280</v>
      </c>
      <c r="H897" s="9" t="s">
        <v>249</v>
      </c>
      <c r="O897" s="23">
        <f t="shared" ref="O897" si="470">G897+B895*H897</f>
        <v>725</v>
      </c>
    </row>
    <row r="898" spans="5:15">
      <c r="E898" s="4">
        <f t="shared" si="451"/>
        <v>898</v>
      </c>
      <c r="F898" s="9" t="s">
        <v>35</v>
      </c>
      <c r="O898" s="23" t="s">
        <v>251</v>
      </c>
    </row>
    <row r="899" spans="5:15">
      <c r="E899" s="4">
        <f t="shared" si="451"/>
        <v>899</v>
      </c>
      <c r="F899" s="9" t="s">
        <v>29</v>
      </c>
      <c r="O899" s="23" t="s">
        <v>157</v>
      </c>
    </row>
    <row r="900" spans="5:15">
      <c r="E900" s="4">
        <f t="shared" si="451"/>
        <v>900</v>
      </c>
      <c r="F900" s="9" t="s">
        <v>122</v>
      </c>
      <c r="O900" s="23" t="s">
        <v>158</v>
      </c>
    </row>
    <row r="901" spans="5:15">
      <c r="E901" s="4">
        <f t="shared" si="451"/>
        <v>901</v>
      </c>
      <c r="F901" s="9" t="s">
        <v>117</v>
      </c>
      <c r="G901" s="9" t="s">
        <v>253</v>
      </c>
      <c r="H901" s="9" t="s">
        <v>254</v>
      </c>
      <c r="I901" s="9" t="s">
        <v>255</v>
      </c>
      <c r="J901" s="9" t="s">
        <v>256</v>
      </c>
      <c r="L901" s="9" t="s">
        <v>138</v>
      </c>
      <c r="O901" s="23">
        <f t="shared" ref="O901" ca="1" si="471">IF(MOD(D895,2)=0,RANDBETWEEN($I$19,$J$19),RANDBETWEEN($G$19,$H$19))</f>
        <v>-108</v>
      </c>
    </row>
    <row r="902" spans="5:15">
      <c r="E902" s="4">
        <f t="shared" si="451"/>
        <v>902</v>
      </c>
      <c r="F902" s="9" t="s">
        <v>30</v>
      </c>
      <c r="O902" s="23" t="s">
        <v>33</v>
      </c>
    </row>
    <row r="903" spans="5:15">
      <c r="E903" s="4">
        <f t="shared" si="451"/>
        <v>903</v>
      </c>
      <c r="F903" s="9" t="s">
        <v>119</v>
      </c>
      <c r="G903" s="9" t="s">
        <v>257</v>
      </c>
      <c r="H903" s="9" t="s">
        <v>258</v>
      </c>
      <c r="I903" s="9" t="s">
        <v>34</v>
      </c>
      <c r="O903" s="23">
        <f t="shared" ref="O903:O966" ca="1" si="472">RANDBETWEEN($G$21*$I$21,$H$21*$I$21)/$I$21</f>
        <v>-5.7</v>
      </c>
    </row>
    <row r="904" spans="5:15">
      <c r="E904" s="4">
        <f t="shared" si="451"/>
        <v>904</v>
      </c>
      <c r="F904" s="9" t="s">
        <v>112</v>
      </c>
      <c r="O904" s="23">
        <v>0</v>
      </c>
    </row>
    <row r="905" spans="5:15">
      <c r="E905" s="4">
        <f t="shared" si="451"/>
        <v>905</v>
      </c>
      <c r="F905" s="9" t="s">
        <v>102</v>
      </c>
      <c r="G905" s="9" t="s">
        <v>259</v>
      </c>
      <c r="H905" s="9" t="s">
        <v>260</v>
      </c>
      <c r="I905" s="9" t="s">
        <v>34</v>
      </c>
      <c r="J905" s="9" t="s">
        <v>261</v>
      </c>
      <c r="K905" s="9" t="s">
        <v>140</v>
      </c>
      <c r="O905" s="23" t="str">
        <f t="shared" ref="O905:O968" ca="1" si="473">CONCATENATE(RANDBETWEEN($G$23*$I$23,$H$23*$I$23)/$I$23,$J$23)</f>
        <v>3.7,6</v>
      </c>
    </row>
    <row r="906" spans="5:15">
      <c r="E906" s="4">
        <f t="shared" si="451"/>
        <v>906</v>
      </c>
      <c r="F906" s="9" t="s">
        <v>31</v>
      </c>
      <c r="L906" s="9" t="s">
        <v>148</v>
      </c>
    </row>
    <row r="907" spans="5:15">
      <c r="E907" s="4">
        <f t="shared" si="451"/>
        <v>907</v>
      </c>
      <c r="F907" s="9" t="s">
        <v>136</v>
      </c>
      <c r="L907" s="9" t="s">
        <v>149</v>
      </c>
    </row>
    <row r="908" spans="5:15">
      <c r="E908" s="4">
        <f t="shared" si="451"/>
        <v>908</v>
      </c>
      <c r="F908" s="9" t="s">
        <v>137</v>
      </c>
      <c r="K908" s="9" t="s">
        <v>141</v>
      </c>
      <c r="O908" s="23">
        <v>1</v>
      </c>
    </row>
    <row r="909" spans="5:15">
      <c r="E909" s="4">
        <f t="shared" si="451"/>
        <v>909</v>
      </c>
      <c r="F909" s="9" t="s">
        <v>137</v>
      </c>
      <c r="G909" s="9" t="s">
        <v>262</v>
      </c>
      <c r="H909" s="9" t="s">
        <v>32</v>
      </c>
      <c r="I909" s="9" t="s">
        <v>34</v>
      </c>
      <c r="J909" s="9" t="s">
        <v>263</v>
      </c>
      <c r="K909" s="9" t="s">
        <v>140</v>
      </c>
      <c r="O909" s="23" t="str">
        <f t="shared" ref="O909:O972" ca="1" si="474">CONCATENATE(RANDBETWEEN($G$27*$I$27,$H$27*$I$27)/$I$27,$J$27)</f>
        <v>4.2,-4.5</v>
      </c>
    </row>
    <row r="910" spans="5:15">
      <c r="E910" s="4">
        <f t="shared" si="451"/>
        <v>910</v>
      </c>
      <c r="F910" s="9" t="s">
        <v>105</v>
      </c>
      <c r="O910" s="23">
        <f t="shared" ref="O910" si="475">O896*10+1</f>
        <v>100431</v>
      </c>
    </row>
    <row r="911" spans="5:15">
      <c r="E911" s="4">
        <f t="shared" si="451"/>
        <v>911</v>
      </c>
      <c r="F911" s="9" t="s">
        <v>156</v>
      </c>
      <c r="O911" s="23">
        <f t="shared" ref="O911" si="476">O896</f>
        <v>10043</v>
      </c>
    </row>
    <row r="912" spans="5:15">
      <c r="E912" s="4">
        <f t="shared" si="451"/>
        <v>912</v>
      </c>
      <c r="F912" s="9" t="s">
        <v>131</v>
      </c>
      <c r="O912" s="23">
        <v>0</v>
      </c>
    </row>
    <row r="913" spans="1:15">
      <c r="E913" s="4">
        <f t="shared" si="451"/>
        <v>913</v>
      </c>
      <c r="F913" s="9" t="s">
        <v>35</v>
      </c>
      <c r="O913" s="23" t="s">
        <v>252</v>
      </c>
    </row>
    <row r="914" spans="1:15">
      <c r="E914" s="4">
        <f t="shared" si="451"/>
        <v>914</v>
      </c>
      <c r="F914" s="9" t="s">
        <v>119</v>
      </c>
      <c r="O914" s="23" t="s">
        <v>22</v>
      </c>
    </row>
    <row r="915" spans="1:15">
      <c r="E915" s="4">
        <f t="shared" si="451"/>
        <v>915</v>
      </c>
      <c r="F915" s="9" t="s">
        <v>117</v>
      </c>
      <c r="L915" s="9" t="s">
        <v>138</v>
      </c>
      <c r="O915" s="23">
        <f t="shared" ref="O915" ca="1" si="477">O901</f>
        <v>-108</v>
      </c>
    </row>
    <row r="916" spans="1:15">
      <c r="A916" s="9"/>
      <c r="B916" s="9">
        <f t="shared" ref="B916:B979" si="478">QUOTIENT( D916-1,G917)+1</f>
        <v>15</v>
      </c>
      <c r="C916" s="9">
        <f t="shared" ref="C916" si="479">D916-(B916-1)*G917</f>
        <v>2</v>
      </c>
      <c r="D916" s="9">
        <f>COUNT($D$12:$D915)+1</f>
        <v>44</v>
      </c>
      <c r="E916" s="4"/>
    </row>
    <row r="917" spans="1:15">
      <c r="E917" s="4">
        <f t="shared" si="451"/>
        <v>917</v>
      </c>
      <c r="F917" s="9" t="s">
        <v>96</v>
      </c>
      <c r="G917" s="9" t="s">
        <v>38</v>
      </c>
      <c r="H917" s="9" t="s">
        <v>282</v>
      </c>
      <c r="J917" s="9" t="s">
        <v>247</v>
      </c>
      <c r="O917" s="23">
        <f t="shared" ref="O917:O980" si="480">J917+D916</f>
        <v>10044</v>
      </c>
    </row>
    <row r="918" spans="1:15">
      <c r="E918" s="4">
        <f t="shared" si="451"/>
        <v>918</v>
      </c>
      <c r="F918" s="9" t="s">
        <v>165</v>
      </c>
      <c r="G918" s="9" t="s">
        <v>280</v>
      </c>
      <c r="H918" s="9" t="s">
        <v>249</v>
      </c>
      <c r="O918" s="23">
        <f t="shared" ref="O918" si="481">G918+B916*H918</f>
        <v>725</v>
      </c>
    </row>
    <row r="919" spans="1:15">
      <c r="E919" s="4">
        <f t="shared" si="451"/>
        <v>919</v>
      </c>
      <c r="F919" s="9" t="s">
        <v>35</v>
      </c>
      <c r="O919" s="23" t="s">
        <v>251</v>
      </c>
    </row>
    <row r="920" spans="1:15">
      <c r="E920" s="4">
        <f t="shared" si="451"/>
        <v>920</v>
      </c>
      <c r="F920" s="9" t="s">
        <v>29</v>
      </c>
      <c r="O920" s="23" t="s">
        <v>157</v>
      </c>
    </row>
    <row r="921" spans="1:15">
      <c r="E921" s="4">
        <f t="shared" si="451"/>
        <v>921</v>
      </c>
      <c r="F921" s="9" t="s">
        <v>122</v>
      </c>
      <c r="O921" s="23" t="s">
        <v>158</v>
      </c>
    </row>
    <row r="922" spans="1:15">
      <c r="E922" s="4">
        <f t="shared" si="451"/>
        <v>922</v>
      </c>
      <c r="F922" s="9" t="s">
        <v>117</v>
      </c>
      <c r="G922" s="9" t="s">
        <v>253</v>
      </c>
      <c r="H922" s="9" t="s">
        <v>254</v>
      </c>
      <c r="I922" s="9" t="s">
        <v>255</v>
      </c>
      <c r="J922" s="9" t="s">
        <v>256</v>
      </c>
      <c r="L922" s="9" t="s">
        <v>138</v>
      </c>
      <c r="O922" s="23">
        <f t="shared" ref="O922" ca="1" si="482">IF(MOD(D916,2)=0,RANDBETWEEN($I$19,$J$19),RANDBETWEEN($G$19,$H$19))</f>
        <v>82</v>
      </c>
    </row>
    <row r="923" spans="1:15">
      <c r="E923" s="4">
        <f t="shared" si="451"/>
        <v>923</v>
      </c>
      <c r="F923" s="9" t="s">
        <v>30</v>
      </c>
      <c r="O923" s="23" t="s">
        <v>33</v>
      </c>
    </row>
    <row r="924" spans="1:15">
      <c r="E924" s="4">
        <f t="shared" si="451"/>
        <v>924</v>
      </c>
      <c r="F924" s="9" t="s">
        <v>119</v>
      </c>
      <c r="G924" s="9" t="s">
        <v>257</v>
      </c>
      <c r="H924" s="9" t="s">
        <v>258</v>
      </c>
      <c r="I924" s="9" t="s">
        <v>34</v>
      </c>
      <c r="O924" s="23">
        <f t="shared" ref="O924:O987" ca="1" si="483">RANDBETWEEN($G$21*$I$21,$H$21*$I$21)/$I$21</f>
        <v>-4.3</v>
      </c>
    </row>
    <row r="925" spans="1:15">
      <c r="E925" s="4">
        <f t="shared" si="451"/>
        <v>925</v>
      </c>
      <c r="F925" s="9" t="s">
        <v>112</v>
      </c>
      <c r="O925" s="23">
        <v>0</v>
      </c>
    </row>
    <row r="926" spans="1:15">
      <c r="E926" s="4">
        <f t="shared" si="451"/>
        <v>926</v>
      </c>
      <c r="F926" s="9" t="s">
        <v>102</v>
      </c>
      <c r="G926" s="9" t="s">
        <v>259</v>
      </c>
      <c r="H926" s="9" t="s">
        <v>260</v>
      </c>
      <c r="I926" s="9" t="s">
        <v>34</v>
      </c>
      <c r="J926" s="9" t="s">
        <v>261</v>
      </c>
      <c r="K926" s="9" t="s">
        <v>140</v>
      </c>
      <c r="O926" s="23" t="str">
        <f t="shared" ref="O926:O989" ca="1" si="484">CONCATENATE(RANDBETWEEN($G$23*$I$23,$H$23*$I$23)/$I$23,$J$23)</f>
        <v>3.8,6</v>
      </c>
    </row>
    <row r="927" spans="1:15">
      <c r="E927" s="4">
        <f t="shared" si="451"/>
        <v>927</v>
      </c>
      <c r="F927" s="9" t="s">
        <v>31</v>
      </c>
      <c r="L927" s="9" t="s">
        <v>148</v>
      </c>
    </row>
    <row r="928" spans="1:15">
      <c r="E928" s="4">
        <f t="shared" si="451"/>
        <v>928</v>
      </c>
      <c r="F928" s="9" t="s">
        <v>136</v>
      </c>
      <c r="L928" s="9" t="s">
        <v>149</v>
      </c>
    </row>
    <row r="929" spans="1:15">
      <c r="E929" s="4">
        <f t="shared" si="451"/>
        <v>929</v>
      </c>
      <c r="F929" s="9" t="s">
        <v>137</v>
      </c>
      <c r="K929" s="9" t="s">
        <v>141</v>
      </c>
      <c r="O929" s="23">
        <v>1</v>
      </c>
    </row>
    <row r="930" spans="1:15">
      <c r="E930" s="4">
        <f t="shared" si="451"/>
        <v>930</v>
      </c>
      <c r="F930" s="9" t="s">
        <v>137</v>
      </c>
      <c r="G930" s="9" t="s">
        <v>262</v>
      </c>
      <c r="H930" s="9" t="s">
        <v>32</v>
      </c>
      <c r="I930" s="9" t="s">
        <v>34</v>
      </c>
      <c r="J930" s="9" t="s">
        <v>263</v>
      </c>
      <c r="K930" s="9" t="s">
        <v>140</v>
      </c>
      <c r="O930" s="23" t="str">
        <f t="shared" ref="O930:O993" ca="1" si="485">CONCATENATE(RANDBETWEEN($G$27*$I$27,$H$27*$I$27)/$I$27,$J$27)</f>
        <v>1.8,-4.5</v>
      </c>
    </row>
    <row r="931" spans="1:15">
      <c r="E931" s="4">
        <f t="shared" ref="E931:E994" si="486">ROW(E931)</f>
        <v>931</v>
      </c>
      <c r="F931" s="9" t="s">
        <v>105</v>
      </c>
      <c r="O931" s="23">
        <f t="shared" ref="O931" si="487">O917*10+1</f>
        <v>100441</v>
      </c>
    </row>
    <row r="932" spans="1:15">
      <c r="E932" s="4">
        <f t="shared" si="486"/>
        <v>932</v>
      </c>
      <c r="F932" s="9" t="s">
        <v>156</v>
      </c>
      <c r="O932" s="23">
        <f t="shared" ref="O932" si="488">O917</f>
        <v>10044</v>
      </c>
    </row>
    <row r="933" spans="1:15">
      <c r="E933" s="4">
        <f t="shared" si="486"/>
        <v>933</v>
      </c>
      <c r="F933" s="9" t="s">
        <v>131</v>
      </c>
      <c r="O933" s="23">
        <v>0</v>
      </c>
    </row>
    <row r="934" spans="1:15">
      <c r="E934" s="4">
        <f t="shared" si="486"/>
        <v>934</v>
      </c>
      <c r="F934" s="9" t="s">
        <v>35</v>
      </c>
      <c r="O934" s="23" t="s">
        <v>252</v>
      </c>
    </row>
    <row r="935" spans="1:15">
      <c r="E935" s="4">
        <f t="shared" si="486"/>
        <v>935</v>
      </c>
      <c r="F935" s="9" t="s">
        <v>119</v>
      </c>
      <c r="O935" s="23" t="s">
        <v>22</v>
      </c>
    </row>
    <row r="936" spans="1:15">
      <c r="E936" s="4">
        <f t="shared" si="486"/>
        <v>936</v>
      </c>
      <c r="F936" s="9" t="s">
        <v>117</v>
      </c>
      <c r="L936" s="9" t="s">
        <v>138</v>
      </c>
      <c r="O936" s="23">
        <f t="shared" ref="O936" ca="1" si="489">O922</f>
        <v>82</v>
      </c>
    </row>
    <row r="937" spans="1:15">
      <c r="B937" s="22">
        <f t="shared" ref="B937:B1000" si="490">QUOTIENT( D937-1,G938)+1</f>
        <v>15</v>
      </c>
      <c r="C937" s="22">
        <f t="shared" ref="C937" si="491">D937-(B937-1)*G938</f>
        <v>3</v>
      </c>
      <c r="D937" s="22">
        <f>COUNT($D$12:$D936)+1</f>
        <v>45</v>
      </c>
      <c r="E937" s="4"/>
    </row>
    <row r="938" spans="1:15">
      <c r="A938" s="9"/>
      <c r="B938" s="9"/>
      <c r="C938" s="9"/>
      <c r="D938" s="9"/>
      <c r="E938" s="4">
        <f t="shared" ref="E938:E1001" si="492">ROW(E938)</f>
        <v>938</v>
      </c>
      <c r="F938" s="9" t="s">
        <v>96</v>
      </c>
      <c r="G938" s="9" t="s">
        <v>38</v>
      </c>
      <c r="H938" s="9" t="s">
        <v>282</v>
      </c>
      <c r="J938" s="9" t="s">
        <v>247</v>
      </c>
      <c r="O938" s="23">
        <f t="shared" ref="O938:O1001" si="493">J938+D937</f>
        <v>10045</v>
      </c>
    </row>
    <row r="939" spans="1:15">
      <c r="E939" s="4">
        <f t="shared" si="492"/>
        <v>939</v>
      </c>
      <c r="F939" s="9" t="s">
        <v>165</v>
      </c>
      <c r="G939" s="9" t="s">
        <v>280</v>
      </c>
      <c r="H939" s="9" t="s">
        <v>249</v>
      </c>
      <c r="O939" s="23">
        <f t="shared" ref="O939" si="494">G939+B937*H939</f>
        <v>725</v>
      </c>
    </row>
    <row r="940" spans="1:15">
      <c r="E940" s="4">
        <f t="shared" si="492"/>
        <v>940</v>
      </c>
      <c r="F940" s="9" t="s">
        <v>35</v>
      </c>
      <c r="O940" s="23" t="s">
        <v>251</v>
      </c>
    </row>
    <row r="941" spans="1:15">
      <c r="E941" s="4">
        <f t="shared" si="492"/>
        <v>941</v>
      </c>
      <c r="F941" s="9" t="s">
        <v>29</v>
      </c>
      <c r="O941" s="23" t="s">
        <v>157</v>
      </c>
    </row>
    <row r="942" spans="1:15">
      <c r="E942" s="4">
        <f t="shared" si="492"/>
        <v>942</v>
      </c>
      <c r="F942" s="9" t="s">
        <v>122</v>
      </c>
      <c r="O942" s="23" t="s">
        <v>158</v>
      </c>
    </row>
    <row r="943" spans="1:15">
      <c r="E943" s="4">
        <f t="shared" si="492"/>
        <v>943</v>
      </c>
      <c r="F943" s="9" t="s">
        <v>117</v>
      </c>
      <c r="G943" s="9" t="s">
        <v>253</v>
      </c>
      <c r="H943" s="9" t="s">
        <v>254</v>
      </c>
      <c r="I943" s="9" t="s">
        <v>255</v>
      </c>
      <c r="J943" s="9" t="s">
        <v>256</v>
      </c>
      <c r="L943" s="9" t="s">
        <v>138</v>
      </c>
      <c r="O943" s="23">
        <f t="shared" ref="O943" ca="1" si="495">IF(MOD(D937,2)=0,RANDBETWEEN($I$19,$J$19),RANDBETWEEN($G$19,$H$19))</f>
        <v>-84</v>
      </c>
    </row>
    <row r="944" spans="1:15">
      <c r="E944" s="4">
        <f t="shared" si="492"/>
        <v>944</v>
      </c>
      <c r="F944" s="9" t="s">
        <v>30</v>
      </c>
      <c r="O944" s="23" t="s">
        <v>33</v>
      </c>
    </row>
    <row r="945" spans="1:15">
      <c r="E945" s="4">
        <f t="shared" si="492"/>
        <v>945</v>
      </c>
      <c r="F945" s="9" t="s">
        <v>119</v>
      </c>
      <c r="G945" s="9" t="s">
        <v>257</v>
      </c>
      <c r="H945" s="9" t="s">
        <v>258</v>
      </c>
      <c r="I945" s="9" t="s">
        <v>34</v>
      </c>
      <c r="O945" s="23">
        <f t="shared" ref="O945:O1008" ca="1" si="496">RANDBETWEEN($G$21*$I$21,$H$21*$I$21)/$I$21</f>
        <v>-6.3</v>
      </c>
    </row>
    <row r="946" spans="1:15">
      <c r="E946" s="4">
        <f t="shared" si="492"/>
        <v>946</v>
      </c>
      <c r="F946" s="9" t="s">
        <v>112</v>
      </c>
      <c r="O946" s="23">
        <v>0</v>
      </c>
    </row>
    <row r="947" spans="1:15">
      <c r="E947" s="4">
        <f t="shared" si="492"/>
        <v>947</v>
      </c>
      <c r="F947" s="9" t="s">
        <v>102</v>
      </c>
      <c r="G947" s="9" t="s">
        <v>259</v>
      </c>
      <c r="H947" s="9" t="s">
        <v>260</v>
      </c>
      <c r="I947" s="9" t="s">
        <v>34</v>
      </c>
      <c r="J947" s="9" t="s">
        <v>261</v>
      </c>
      <c r="K947" s="9" t="s">
        <v>140</v>
      </c>
      <c r="O947" s="23" t="str">
        <f t="shared" ref="O947:O1010" ca="1" si="497">CONCATENATE(RANDBETWEEN($G$23*$I$23,$H$23*$I$23)/$I$23,$J$23)</f>
        <v>-2.2,6</v>
      </c>
    </row>
    <row r="948" spans="1:15">
      <c r="E948" s="4">
        <f t="shared" si="492"/>
        <v>948</v>
      </c>
      <c r="F948" s="9" t="s">
        <v>31</v>
      </c>
      <c r="L948" s="9" t="s">
        <v>148</v>
      </c>
    </row>
    <row r="949" spans="1:15">
      <c r="E949" s="4">
        <f t="shared" si="492"/>
        <v>949</v>
      </c>
      <c r="F949" s="9" t="s">
        <v>136</v>
      </c>
      <c r="L949" s="9" t="s">
        <v>149</v>
      </c>
    </row>
    <row r="950" spans="1:15">
      <c r="E950" s="4">
        <f t="shared" si="492"/>
        <v>950</v>
      </c>
      <c r="F950" s="9" t="s">
        <v>137</v>
      </c>
      <c r="K950" s="9" t="s">
        <v>141</v>
      </c>
      <c r="O950" s="23">
        <v>1</v>
      </c>
    </row>
    <row r="951" spans="1:15">
      <c r="E951" s="4">
        <f t="shared" si="492"/>
        <v>951</v>
      </c>
      <c r="F951" s="9" t="s">
        <v>137</v>
      </c>
      <c r="G951" s="9" t="s">
        <v>262</v>
      </c>
      <c r="H951" s="9" t="s">
        <v>32</v>
      </c>
      <c r="I951" s="9" t="s">
        <v>34</v>
      </c>
      <c r="J951" s="9" t="s">
        <v>263</v>
      </c>
      <c r="K951" s="9" t="s">
        <v>140</v>
      </c>
      <c r="O951" s="23" t="str">
        <f t="shared" ref="O951:O1014" ca="1" si="498">CONCATENATE(RANDBETWEEN($G$27*$I$27,$H$27*$I$27)/$I$27,$J$27)</f>
        <v>0.2,-4.5</v>
      </c>
    </row>
    <row r="952" spans="1:15">
      <c r="E952" s="4">
        <f t="shared" si="492"/>
        <v>952</v>
      </c>
      <c r="F952" s="9" t="s">
        <v>105</v>
      </c>
      <c r="O952" s="23">
        <f t="shared" ref="O952" si="499">O938*10+1</f>
        <v>100451</v>
      </c>
    </row>
    <row r="953" spans="1:15">
      <c r="E953" s="4">
        <f t="shared" si="492"/>
        <v>953</v>
      </c>
      <c r="F953" s="9" t="s">
        <v>156</v>
      </c>
      <c r="O953" s="23">
        <f t="shared" ref="O953" si="500">O938</f>
        <v>10045</v>
      </c>
    </row>
    <row r="954" spans="1:15">
      <c r="E954" s="4">
        <f t="shared" si="492"/>
        <v>954</v>
      </c>
      <c r="F954" s="9" t="s">
        <v>131</v>
      </c>
      <c r="O954" s="23">
        <v>0</v>
      </c>
    </row>
    <row r="955" spans="1:15">
      <c r="E955" s="4">
        <f t="shared" si="486"/>
        <v>955</v>
      </c>
      <c r="F955" s="9" t="s">
        <v>35</v>
      </c>
      <c r="O955" s="23" t="s">
        <v>252</v>
      </c>
    </row>
    <row r="956" spans="1:15">
      <c r="E956" s="4">
        <f t="shared" si="486"/>
        <v>956</v>
      </c>
      <c r="F956" s="9" t="s">
        <v>119</v>
      </c>
      <c r="O956" s="23" t="s">
        <v>22</v>
      </c>
    </row>
    <row r="957" spans="1:15">
      <c r="E957" s="4">
        <f t="shared" si="486"/>
        <v>957</v>
      </c>
      <c r="F957" s="9" t="s">
        <v>117</v>
      </c>
      <c r="L957" s="9" t="s">
        <v>138</v>
      </c>
      <c r="O957" s="23">
        <f t="shared" ref="O957" ca="1" si="501">O943</f>
        <v>-84</v>
      </c>
    </row>
    <row r="958" spans="1:15">
      <c r="B958" s="22">
        <f t="shared" ref="B958:B1021" si="502">QUOTIENT( D958-1,G959)+1</f>
        <v>16</v>
      </c>
      <c r="C958" s="22">
        <f t="shared" ref="C958" si="503">D958-(B958-1)*G959</f>
        <v>1</v>
      </c>
      <c r="D958" s="22">
        <f>COUNT($D$12:$D957)+1</f>
        <v>46</v>
      </c>
      <c r="E958" s="4"/>
    </row>
    <row r="959" spans="1:15">
      <c r="E959" s="4">
        <f t="shared" si="492"/>
        <v>959</v>
      </c>
      <c r="F959" s="9" t="s">
        <v>96</v>
      </c>
      <c r="G959" s="9" t="s">
        <v>38</v>
      </c>
      <c r="H959" s="9" t="s">
        <v>282</v>
      </c>
      <c r="J959" s="9" t="s">
        <v>247</v>
      </c>
      <c r="O959" s="23">
        <f t="shared" ref="O959:O1022" si="504">J959+D958</f>
        <v>10046</v>
      </c>
    </row>
    <row r="960" spans="1:15">
      <c r="A960" s="9"/>
      <c r="B960" s="9"/>
      <c r="C960" s="9"/>
      <c r="D960" s="9"/>
      <c r="E960" s="4">
        <f t="shared" si="492"/>
        <v>960</v>
      </c>
      <c r="F960" s="9" t="s">
        <v>165</v>
      </c>
      <c r="G960" s="9" t="s">
        <v>280</v>
      </c>
      <c r="H960" s="9" t="s">
        <v>249</v>
      </c>
      <c r="O960" s="23">
        <f t="shared" ref="O960" si="505">G960+B958*H960</f>
        <v>740</v>
      </c>
    </row>
    <row r="961" spans="5:15">
      <c r="E961" s="4">
        <f t="shared" si="492"/>
        <v>961</v>
      </c>
      <c r="F961" s="9" t="s">
        <v>35</v>
      </c>
      <c r="O961" s="23" t="s">
        <v>251</v>
      </c>
    </row>
    <row r="962" spans="5:15">
      <c r="E962" s="4">
        <f t="shared" si="492"/>
        <v>962</v>
      </c>
      <c r="F962" s="9" t="s">
        <v>29</v>
      </c>
      <c r="O962" s="23" t="s">
        <v>157</v>
      </c>
    </row>
    <row r="963" spans="5:15">
      <c r="E963" s="4">
        <f t="shared" si="492"/>
        <v>963</v>
      </c>
      <c r="F963" s="9" t="s">
        <v>122</v>
      </c>
      <c r="O963" s="23" t="s">
        <v>158</v>
      </c>
    </row>
    <row r="964" spans="5:15">
      <c r="E964" s="4">
        <f t="shared" si="492"/>
        <v>964</v>
      </c>
      <c r="F964" s="9" t="s">
        <v>117</v>
      </c>
      <c r="G964" s="9" t="s">
        <v>253</v>
      </c>
      <c r="H964" s="9" t="s">
        <v>254</v>
      </c>
      <c r="I964" s="9" t="s">
        <v>255</v>
      </c>
      <c r="J964" s="9" t="s">
        <v>256</v>
      </c>
      <c r="L964" s="9" t="s">
        <v>138</v>
      </c>
      <c r="O964" s="23">
        <f t="shared" ref="O964" ca="1" si="506">IF(MOD(D958,2)=0,RANDBETWEEN($I$19,$J$19),RANDBETWEEN($G$19,$H$19))</f>
        <v>84</v>
      </c>
    </row>
    <row r="965" spans="5:15">
      <c r="E965" s="4">
        <f t="shared" si="492"/>
        <v>965</v>
      </c>
      <c r="F965" s="9" t="s">
        <v>30</v>
      </c>
      <c r="O965" s="23" t="s">
        <v>33</v>
      </c>
    </row>
    <row r="966" spans="5:15">
      <c r="E966" s="4">
        <f t="shared" si="492"/>
        <v>966</v>
      </c>
      <c r="F966" s="9" t="s">
        <v>119</v>
      </c>
      <c r="G966" s="9" t="s">
        <v>257</v>
      </c>
      <c r="H966" s="9" t="s">
        <v>258</v>
      </c>
      <c r="I966" s="9" t="s">
        <v>34</v>
      </c>
      <c r="O966" s="23">
        <f t="shared" ref="O966:O1029" ca="1" si="507">RANDBETWEEN($G$21*$I$21,$H$21*$I$21)/$I$21</f>
        <v>-6.1</v>
      </c>
    </row>
    <row r="967" spans="5:15">
      <c r="E967" s="4">
        <f t="shared" si="492"/>
        <v>967</v>
      </c>
      <c r="F967" s="9" t="s">
        <v>112</v>
      </c>
      <c r="O967" s="23">
        <v>0</v>
      </c>
    </row>
    <row r="968" spans="5:15">
      <c r="E968" s="4">
        <f t="shared" si="492"/>
        <v>968</v>
      </c>
      <c r="F968" s="9" t="s">
        <v>102</v>
      </c>
      <c r="G968" s="9" t="s">
        <v>259</v>
      </c>
      <c r="H968" s="9" t="s">
        <v>260</v>
      </c>
      <c r="I968" s="9" t="s">
        <v>34</v>
      </c>
      <c r="J968" s="9" t="s">
        <v>261</v>
      </c>
      <c r="K968" s="9" t="s">
        <v>140</v>
      </c>
      <c r="O968" s="23" t="str">
        <f t="shared" ref="O968:O1031" ca="1" si="508">CONCATENATE(RANDBETWEEN($G$23*$I$23,$H$23*$I$23)/$I$23,$J$23)</f>
        <v>-3.8,6</v>
      </c>
    </row>
    <row r="969" spans="5:15">
      <c r="E969" s="4">
        <f t="shared" si="492"/>
        <v>969</v>
      </c>
      <c r="F969" s="9" t="s">
        <v>31</v>
      </c>
      <c r="L969" s="9" t="s">
        <v>148</v>
      </c>
    </row>
    <row r="970" spans="5:15">
      <c r="E970" s="4">
        <f t="shared" si="492"/>
        <v>970</v>
      </c>
      <c r="F970" s="9" t="s">
        <v>136</v>
      </c>
      <c r="L970" s="9" t="s">
        <v>149</v>
      </c>
    </row>
    <row r="971" spans="5:15">
      <c r="E971" s="4">
        <f t="shared" si="492"/>
        <v>971</v>
      </c>
      <c r="F971" s="9" t="s">
        <v>137</v>
      </c>
      <c r="K971" s="9" t="s">
        <v>141</v>
      </c>
      <c r="O971" s="23">
        <v>1</v>
      </c>
    </row>
    <row r="972" spans="5:15">
      <c r="E972" s="4">
        <f t="shared" si="492"/>
        <v>972</v>
      </c>
      <c r="F972" s="9" t="s">
        <v>137</v>
      </c>
      <c r="G972" s="9" t="s">
        <v>262</v>
      </c>
      <c r="H972" s="9" t="s">
        <v>32</v>
      </c>
      <c r="I972" s="9" t="s">
        <v>34</v>
      </c>
      <c r="J972" s="9" t="s">
        <v>263</v>
      </c>
      <c r="K972" s="9" t="s">
        <v>140</v>
      </c>
      <c r="O972" s="23" t="str">
        <f t="shared" ref="O972:O1035" ca="1" si="509">CONCATENATE(RANDBETWEEN($G$27*$I$27,$H$27*$I$27)/$I$27,$J$27)</f>
        <v>3.9,-4.5</v>
      </c>
    </row>
    <row r="973" spans="5:15">
      <c r="E973" s="4">
        <f t="shared" si="492"/>
        <v>973</v>
      </c>
      <c r="F973" s="9" t="s">
        <v>105</v>
      </c>
      <c r="O973" s="23">
        <f t="shared" ref="O973" si="510">O959*10+1</f>
        <v>100461</v>
      </c>
    </row>
    <row r="974" spans="5:15">
      <c r="E974" s="4">
        <f t="shared" si="492"/>
        <v>974</v>
      </c>
      <c r="F974" s="9" t="s">
        <v>156</v>
      </c>
      <c r="O974" s="23">
        <f t="shared" ref="O974" si="511">O959</f>
        <v>10046</v>
      </c>
    </row>
    <row r="975" spans="5:15">
      <c r="E975" s="4">
        <f t="shared" si="492"/>
        <v>975</v>
      </c>
      <c r="F975" s="9" t="s">
        <v>131</v>
      </c>
      <c r="O975" s="23">
        <v>0</v>
      </c>
    </row>
    <row r="976" spans="5:15">
      <c r="E976" s="4">
        <f t="shared" si="486"/>
        <v>976</v>
      </c>
      <c r="F976" s="9" t="s">
        <v>35</v>
      </c>
      <c r="O976" s="23" t="s">
        <v>252</v>
      </c>
    </row>
    <row r="977" spans="1:15">
      <c r="E977" s="4">
        <f t="shared" si="486"/>
        <v>977</v>
      </c>
      <c r="F977" s="9" t="s">
        <v>119</v>
      </c>
      <c r="O977" s="23" t="s">
        <v>22</v>
      </c>
    </row>
    <row r="978" spans="1:15">
      <c r="E978" s="4">
        <f t="shared" si="486"/>
        <v>978</v>
      </c>
      <c r="F978" s="9" t="s">
        <v>117</v>
      </c>
      <c r="L978" s="9" t="s">
        <v>138</v>
      </c>
      <c r="O978" s="23">
        <f t="shared" ref="O978" ca="1" si="512">O964</f>
        <v>84</v>
      </c>
    </row>
    <row r="979" spans="1:15">
      <c r="B979" s="22">
        <f t="shared" ref="B979:B1042" si="513">QUOTIENT( D979-1,G980)+1</f>
        <v>16</v>
      </c>
      <c r="C979" s="22">
        <f t="shared" ref="C979" si="514">D979-(B979-1)*G980</f>
        <v>2</v>
      </c>
      <c r="D979" s="22">
        <f>COUNT($D$12:$D978)+1</f>
        <v>47</v>
      </c>
      <c r="E979" s="4"/>
    </row>
    <row r="980" spans="1:15">
      <c r="E980" s="4">
        <f t="shared" si="492"/>
        <v>980</v>
      </c>
      <c r="F980" s="9" t="s">
        <v>96</v>
      </c>
      <c r="G980" s="9" t="s">
        <v>38</v>
      </c>
      <c r="H980" s="9" t="s">
        <v>282</v>
      </c>
      <c r="J980" s="9" t="s">
        <v>247</v>
      </c>
      <c r="O980" s="23">
        <f t="shared" ref="O980:O1043" si="515">J980+D979</f>
        <v>10047</v>
      </c>
    </row>
    <row r="981" spans="1:15">
      <c r="E981" s="4">
        <f t="shared" si="492"/>
        <v>981</v>
      </c>
      <c r="F981" s="9" t="s">
        <v>165</v>
      </c>
      <c r="G981" s="9" t="s">
        <v>280</v>
      </c>
      <c r="H981" s="9" t="s">
        <v>249</v>
      </c>
      <c r="O981" s="23">
        <f t="shared" ref="O981" si="516">G981+B979*H981</f>
        <v>740</v>
      </c>
    </row>
    <row r="982" spans="1:15">
      <c r="A982" s="9"/>
      <c r="B982" s="9"/>
      <c r="C982" s="9"/>
      <c r="D982" s="9"/>
      <c r="E982" s="4">
        <f t="shared" si="492"/>
        <v>982</v>
      </c>
      <c r="F982" s="9" t="s">
        <v>35</v>
      </c>
      <c r="O982" s="23" t="s">
        <v>251</v>
      </c>
    </row>
    <row r="983" spans="1:15">
      <c r="E983" s="4">
        <f t="shared" si="492"/>
        <v>983</v>
      </c>
      <c r="F983" s="9" t="s">
        <v>29</v>
      </c>
      <c r="O983" s="23" t="s">
        <v>157</v>
      </c>
    </row>
    <row r="984" spans="1:15">
      <c r="E984" s="4">
        <f t="shared" si="492"/>
        <v>984</v>
      </c>
      <c r="F984" s="9" t="s">
        <v>122</v>
      </c>
      <c r="O984" s="23" t="s">
        <v>158</v>
      </c>
    </row>
    <row r="985" spans="1:15">
      <c r="E985" s="4">
        <f t="shared" si="492"/>
        <v>985</v>
      </c>
      <c r="F985" s="9" t="s">
        <v>117</v>
      </c>
      <c r="G985" s="9" t="s">
        <v>253</v>
      </c>
      <c r="H985" s="9" t="s">
        <v>254</v>
      </c>
      <c r="I985" s="9" t="s">
        <v>255</v>
      </c>
      <c r="J985" s="9" t="s">
        <v>256</v>
      </c>
      <c r="L985" s="9" t="s">
        <v>138</v>
      </c>
      <c r="O985" s="23">
        <f t="shared" ref="O985" ca="1" si="517">IF(MOD(D979,2)=0,RANDBETWEEN($I$19,$J$19),RANDBETWEEN($G$19,$H$19))</f>
        <v>-120</v>
      </c>
    </row>
    <row r="986" spans="1:15">
      <c r="E986" s="4">
        <f t="shared" si="492"/>
        <v>986</v>
      </c>
      <c r="F986" s="9" t="s">
        <v>30</v>
      </c>
      <c r="O986" s="23" t="s">
        <v>33</v>
      </c>
    </row>
    <row r="987" spans="1:15">
      <c r="E987" s="4">
        <f t="shared" si="492"/>
        <v>987</v>
      </c>
      <c r="F987" s="9" t="s">
        <v>119</v>
      </c>
      <c r="G987" s="9" t="s">
        <v>257</v>
      </c>
      <c r="H987" s="9" t="s">
        <v>258</v>
      </c>
      <c r="I987" s="9" t="s">
        <v>34</v>
      </c>
      <c r="O987" s="23">
        <f t="shared" ref="O987:O1050" ca="1" si="518">RANDBETWEEN($G$21*$I$21,$H$21*$I$21)/$I$21</f>
        <v>-7.3</v>
      </c>
    </row>
    <row r="988" spans="1:15">
      <c r="E988" s="4">
        <f t="shared" si="492"/>
        <v>988</v>
      </c>
      <c r="F988" s="9" t="s">
        <v>112</v>
      </c>
      <c r="O988" s="23">
        <v>0</v>
      </c>
    </row>
    <row r="989" spans="1:15">
      <c r="E989" s="4">
        <f t="shared" si="492"/>
        <v>989</v>
      </c>
      <c r="F989" s="9" t="s">
        <v>102</v>
      </c>
      <c r="G989" s="9" t="s">
        <v>259</v>
      </c>
      <c r="H989" s="9" t="s">
        <v>260</v>
      </c>
      <c r="I989" s="9" t="s">
        <v>34</v>
      </c>
      <c r="J989" s="9" t="s">
        <v>261</v>
      </c>
      <c r="K989" s="9" t="s">
        <v>140</v>
      </c>
      <c r="O989" s="23" t="str">
        <f t="shared" ref="O989:O1052" ca="1" si="519">CONCATENATE(RANDBETWEEN($G$23*$I$23,$H$23*$I$23)/$I$23,$J$23)</f>
        <v>3.5,6</v>
      </c>
    </row>
    <row r="990" spans="1:15">
      <c r="E990" s="4">
        <f t="shared" si="492"/>
        <v>990</v>
      </c>
      <c r="F990" s="9" t="s">
        <v>31</v>
      </c>
      <c r="L990" s="9" t="s">
        <v>148</v>
      </c>
    </row>
    <row r="991" spans="1:15">
      <c r="E991" s="4">
        <f t="shared" si="492"/>
        <v>991</v>
      </c>
      <c r="F991" s="9" t="s">
        <v>136</v>
      </c>
      <c r="L991" s="9" t="s">
        <v>149</v>
      </c>
    </row>
    <row r="992" spans="1:15">
      <c r="E992" s="4">
        <f t="shared" si="492"/>
        <v>992</v>
      </c>
      <c r="F992" s="9" t="s">
        <v>137</v>
      </c>
      <c r="K992" s="9" t="s">
        <v>141</v>
      </c>
      <c r="O992" s="23">
        <v>1</v>
      </c>
    </row>
    <row r="993" spans="1:15">
      <c r="E993" s="4">
        <f t="shared" si="492"/>
        <v>993</v>
      </c>
      <c r="F993" s="9" t="s">
        <v>137</v>
      </c>
      <c r="G993" s="9" t="s">
        <v>262</v>
      </c>
      <c r="H993" s="9" t="s">
        <v>32</v>
      </c>
      <c r="I993" s="9" t="s">
        <v>34</v>
      </c>
      <c r="J993" s="9" t="s">
        <v>263</v>
      </c>
      <c r="K993" s="9" t="s">
        <v>140</v>
      </c>
      <c r="O993" s="23" t="str">
        <f t="shared" ref="O993:O1056" ca="1" si="520">CONCATENATE(RANDBETWEEN($G$27*$I$27,$H$27*$I$27)/$I$27,$J$27)</f>
        <v>-0.4,-4.5</v>
      </c>
    </row>
    <row r="994" spans="1:15">
      <c r="E994" s="4">
        <f t="shared" si="492"/>
        <v>994</v>
      </c>
      <c r="F994" s="9" t="s">
        <v>105</v>
      </c>
      <c r="O994" s="23">
        <f t="shared" ref="O994" si="521">O980*10+1</f>
        <v>100471</v>
      </c>
    </row>
    <row r="995" spans="1:15">
      <c r="E995" s="4">
        <f t="shared" si="492"/>
        <v>995</v>
      </c>
      <c r="F995" s="9" t="s">
        <v>156</v>
      </c>
      <c r="O995" s="23">
        <f t="shared" ref="O995" si="522">O980</f>
        <v>10047</v>
      </c>
    </row>
    <row r="996" spans="1:15">
      <c r="E996" s="4">
        <f t="shared" si="492"/>
        <v>996</v>
      </c>
      <c r="F996" s="9" t="s">
        <v>131</v>
      </c>
      <c r="O996" s="23">
        <v>0</v>
      </c>
    </row>
    <row r="997" spans="1:15">
      <c r="E997" s="4">
        <f t="shared" si="492"/>
        <v>997</v>
      </c>
      <c r="F997" s="9" t="s">
        <v>35</v>
      </c>
      <c r="O997" s="23" t="s">
        <v>252</v>
      </c>
    </row>
    <row r="998" spans="1:15">
      <c r="E998" s="4">
        <f t="shared" si="492"/>
        <v>998</v>
      </c>
      <c r="F998" s="9" t="s">
        <v>119</v>
      </c>
      <c r="O998" s="23" t="s">
        <v>22</v>
      </c>
    </row>
    <row r="999" spans="1:15">
      <c r="E999" s="4">
        <f t="shared" si="492"/>
        <v>999</v>
      </c>
      <c r="F999" s="9" t="s">
        <v>117</v>
      </c>
      <c r="L999" s="9" t="s">
        <v>138</v>
      </c>
      <c r="O999" s="23">
        <f t="shared" ref="O999" ca="1" si="523">O985</f>
        <v>-120</v>
      </c>
    </row>
    <row r="1000" spans="1:15">
      <c r="B1000" s="22">
        <f t="shared" ref="B1000:B1063" si="524">QUOTIENT( D1000-1,G1001)+1</f>
        <v>16</v>
      </c>
      <c r="C1000" s="22">
        <f t="shared" ref="C1000" si="525">D1000-(B1000-1)*G1001</f>
        <v>3</v>
      </c>
      <c r="D1000" s="22">
        <f>COUNT($D$12:$D999)+1</f>
        <v>48</v>
      </c>
      <c r="E1000" s="4"/>
    </row>
    <row r="1001" spans="1:15">
      <c r="E1001" s="4">
        <f t="shared" si="492"/>
        <v>1001</v>
      </c>
      <c r="F1001" s="9" t="s">
        <v>96</v>
      </c>
      <c r="G1001" s="9" t="s">
        <v>38</v>
      </c>
      <c r="H1001" s="9" t="s">
        <v>282</v>
      </c>
      <c r="J1001" s="9" t="s">
        <v>247</v>
      </c>
      <c r="O1001" s="23">
        <f t="shared" ref="O1001:O1064" si="526">J1001+D1000</f>
        <v>10048</v>
      </c>
    </row>
    <row r="1002" spans="1:15">
      <c r="E1002" s="4">
        <f t="shared" ref="E1002:E1065" si="527">ROW(E1002)</f>
        <v>1002</v>
      </c>
      <c r="F1002" s="9" t="s">
        <v>165</v>
      </c>
      <c r="G1002" s="9" t="s">
        <v>280</v>
      </c>
      <c r="H1002" s="9" t="s">
        <v>249</v>
      </c>
      <c r="O1002" s="23">
        <f t="shared" ref="O1002" si="528">G1002+B1000*H1002</f>
        <v>740</v>
      </c>
    </row>
    <row r="1003" spans="1:15">
      <c r="E1003" s="4">
        <f t="shared" si="527"/>
        <v>1003</v>
      </c>
      <c r="F1003" s="9" t="s">
        <v>35</v>
      </c>
      <c r="O1003" s="23" t="s">
        <v>251</v>
      </c>
    </row>
    <row r="1004" spans="1:15">
      <c r="A1004" s="9"/>
      <c r="B1004" s="9"/>
      <c r="C1004" s="9"/>
      <c r="D1004" s="9"/>
      <c r="E1004" s="4">
        <f t="shared" si="527"/>
        <v>1004</v>
      </c>
      <c r="F1004" s="9" t="s">
        <v>29</v>
      </c>
      <c r="O1004" s="23" t="s">
        <v>157</v>
      </c>
    </row>
    <row r="1005" spans="1:15">
      <c r="E1005" s="4">
        <f t="shared" si="527"/>
        <v>1005</v>
      </c>
      <c r="F1005" s="9" t="s">
        <v>122</v>
      </c>
      <c r="O1005" s="23" t="s">
        <v>158</v>
      </c>
    </row>
    <row r="1006" spans="1:15">
      <c r="E1006" s="4">
        <f t="shared" si="527"/>
        <v>1006</v>
      </c>
      <c r="F1006" s="9" t="s">
        <v>117</v>
      </c>
      <c r="G1006" s="9" t="s">
        <v>253</v>
      </c>
      <c r="H1006" s="9" t="s">
        <v>254</v>
      </c>
      <c r="I1006" s="9" t="s">
        <v>255</v>
      </c>
      <c r="J1006" s="9" t="s">
        <v>256</v>
      </c>
      <c r="L1006" s="9" t="s">
        <v>138</v>
      </c>
      <c r="O1006" s="23">
        <f t="shared" ref="O1006" ca="1" si="529">IF(MOD(D1000,2)=0,RANDBETWEEN($I$19,$J$19),RANDBETWEEN($G$19,$H$19))</f>
        <v>113</v>
      </c>
    </row>
    <row r="1007" spans="1:15">
      <c r="E1007" s="4">
        <f t="shared" si="527"/>
        <v>1007</v>
      </c>
      <c r="F1007" s="9" t="s">
        <v>30</v>
      </c>
      <c r="O1007" s="23" t="s">
        <v>33</v>
      </c>
    </row>
    <row r="1008" spans="1:15">
      <c r="E1008" s="4">
        <f t="shared" si="527"/>
        <v>1008</v>
      </c>
      <c r="F1008" s="9" t="s">
        <v>119</v>
      </c>
      <c r="G1008" s="9" t="s">
        <v>257</v>
      </c>
      <c r="H1008" s="9" t="s">
        <v>258</v>
      </c>
      <c r="I1008" s="9" t="s">
        <v>34</v>
      </c>
      <c r="O1008" s="23">
        <f t="shared" ref="O1008:O1071" ca="1" si="530">RANDBETWEEN($G$21*$I$21,$H$21*$I$21)/$I$21</f>
        <v>-9.4</v>
      </c>
    </row>
    <row r="1009" spans="2:15">
      <c r="E1009" s="4">
        <f t="shared" si="527"/>
        <v>1009</v>
      </c>
      <c r="F1009" s="9" t="s">
        <v>112</v>
      </c>
      <c r="O1009" s="23">
        <v>0</v>
      </c>
    </row>
    <row r="1010" spans="2:15">
      <c r="E1010" s="4">
        <f t="shared" si="527"/>
        <v>1010</v>
      </c>
      <c r="F1010" s="9" t="s">
        <v>102</v>
      </c>
      <c r="G1010" s="9" t="s">
        <v>259</v>
      </c>
      <c r="H1010" s="9" t="s">
        <v>260</v>
      </c>
      <c r="I1010" s="9" t="s">
        <v>34</v>
      </c>
      <c r="J1010" s="9" t="s">
        <v>261</v>
      </c>
      <c r="K1010" s="9" t="s">
        <v>140</v>
      </c>
      <c r="O1010" s="23" t="str">
        <f t="shared" ref="O1010:O1073" ca="1" si="531">CONCATENATE(RANDBETWEEN($G$23*$I$23,$H$23*$I$23)/$I$23,$J$23)</f>
        <v>-2.4,6</v>
      </c>
    </row>
    <row r="1011" spans="2:15">
      <c r="E1011" s="4">
        <f t="shared" si="527"/>
        <v>1011</v>
      </c>
      <c r="F1011" s="9" t="s">
        <v>31</v>
      </c>
      <c r="L1011" s="9" t="s">
        <v>148</v>
      </c>
    </row>
    <row r="1012" spans="2:15">
      <c r="E1012" s="4">
        <f t="shared" si="527"/>
        <v>1012</v>
      </c>
      <c r="F1012" s="9" t="s">
        <v>136</v>
      </c>
      <c r="L1012" s="9" t="s">
        <v>149</v>
      </c>
    </row>
    <row r="1013" spans="2:15">
      <c r="E1013" s="4">
        <f t="shared" si="527"/>
        <v>1013</v>
      </c>
      <c r="F1013" s="9" t="s">
        <v>137</v>
      </c>
      <c r="K1013" s="9" t="s">
        <v>141</v>
      </c>
      <c r="O1013" s="23">
        <v>1</v>
      </c>
    </row>
    <row r="1014" spans="2:15">
      <c r="E1014" s="4">
        <f t="shared" si="527"/>
        <v>1014</v>
      </c>
      <c r="F1014" s="9" t="s">
        <v>137</v>
      </c>
      <c r="G1014" s="9" t="s">
        <v>262</v>
      </c>
      <c r="H1014" s="9" t="s">
        <v>32</v>
      </c>
      <c r="I1014" s="9" t="s">
        <v>34</v>
      </c>
      <c r="J1014" s="9" t="s">
        <v>263</v>
      </c>
      <c r="K1014" s="9" t="s">
        <v>140</v>
      </c>
      <c r="O1014" s="23" t="str">
        <f t="shared" ref="O1014:O1077" ca="1" si="532">CONCATENATE(RANDBETWEEN($G$27*$I$27,$H$27*$I$27)/$I$27,$J$27)</f>
        <v>-0.6,-4.5</v>
      </c>
    </row>
    <row r="1015" spans="2:15">
      <c r="E1015" s="4">
        <f t="shared" si="527"/>
        <v>1015</v>
      </c>
      <c r="F1015" s="9" t="s">
        <v>105</v>
      </c>
      <c r="O1015" s="23">
        <f t="shared" ref="O1015" si="533">O1001*10+1</f>
        <v>100481</v>
      </c>
    </row>
    <row r="1016" spans="2:15">
      <c r="E1016" s="4">
        <f t="shared" si="527"/>
        <v>1016</v>
      </c>
      <c r="F1016" s="9" t="s">
        <v>156</v>
      </c>
      <c r="O1016" s="23">
        <f t="shared" ref="O1016" si="534">O1001</f>
        <v>10048</v>
      </c>
    </row>
    <row r="1017" spans="2:15">
      <c r="E1017" s="4">
        <f t="shared" si="527"/>
        <v>1017</v>
      </c>
      <c r="F1017" s="9" t="s">
        <v>131</v>
      </c>
      <c r="O1017" s="23">
        <v>0</v>
      </c>
    </row>
    <row r="1018" spans="2:15">
      <c r="E1018" s="4">
        <f t="shared" si="527"/>
        <v>1018</v>
      </c>
      <c r="F1018" s="9" t="s">
        <v>35</v>
      </c>
      <c r="O1018" s="23" t="s">
        <v>252</v>
      </c>
    </row>
    <row r="1019" spans="2:15">
      <c r="E1019" s="4">
        <f t="shared" si="527"/>
        <v>1019</v>
      </c>
      <c r="F1019" s="9" t="s">
        <v>119</v>
      </c>
      <c r="O1019" s="23" t="s">
        <v>22</v>
      </c>
    </row>
    <row r="1020" spans="2:15">
      <c r="E1020" s="4">
        <f t="shared" si="527"/>
        <v>1020</v>
      </c>
      <c r="F1020" s="9" t="s">
        <v>117</v>
      </c>
      <c r="L1020" s="9" t="s">
        <v>138</v>
      </c>
      <c r="O1020" s="23">
        <f t="shared" ref="O1020" ca="1" si="535">O1006</f>
        <v>113</v>
      </c>
    </row>
    <row r="1021" spans="2:15">
      <c r="B1021" s="22">
        <f t="shared" ref="B1021:B1084" si="536">QUOTIENT( D1021-1,G1022)+1</f>
        <v>17</v>
      </c>
      <c r="C1021" s="22">
        <f t="shared" ref="C1021" si="537">D1021-(B1021-1)*G1022</f>
        <v>1</v>
      </c>
      <c r="D1021" s="22">
        <f>COUNT($D$12:$D1020)+1</f>
        <v>49</v>
      </c>
      <c r="E1021" s="4"/>
    </row>
    <row r="1022" spans="2:15">
      <c r="E1022" s="4">
        <f t="shared" si="527"/>
        <v>1022</v>
      </c>
      <c r="F1022" s="9" t="s">
        <v>96</v>
      </c>
      <c r="G1022" s="9" t="s">
        <v>38</v>
      </c>
      <c r="H1022" s="9" t="s">
        <v>282</v>
      </c>
      <c r="J1022" s="9" t="s">
        <v>247</v>
      </c>
      <c r="O1022" s="23">
        <f t="shared" ref="O1022:O1085" si="538">J1022+D1021</f>
        <v>10049</v>
      </c>
    </row>
    <row r="1023" spans="2:15">
      <c r="E1023" s="4">
        <f t="shared" si="527"/>
        <v>1023</v>
      </c>
      <c r="F1023" s="9" t="s">
        <v>165</v>
      </c>
      <c r="G1023" s="9" t="s">
        <v>280</v>
      </c>
      <c r="H1023" s="9" t="s">
        <v>249</v>
      </c>
      <c r="O1023" s="23">
        <f t="shared" ref="O1023" si="539">G1023+B1021*H1023</f>
        <v>755</v>
      </c>
    </row>
    <row r="1024" spans="2:15">
      <c r="E1024" s="4">
        <f t="shared" si="527"/>
        <v>1024</v>
      </c>
      <c r="F1024" s="9" t="s">
        <v>35</v>
      </c>
      <c r="O1024" s="23" t="s">
        <v>251</v>
      </c>
    </row>
    <row r="1025" spans="1:15">
      <c r="E1025" s="4">
        <f t="shared" si="527"/>
        <v>1025</v>
      </c>
      <c r="F1025" s="9" t="s">
        <v>29</v>
      </c>
      <c r="O1025" s="23" t="s">
        <v>157</v>
      </c>
    </row>
    <row r="1026" spans="1:15">
      <c r="A1026" s="9"/>
      <c r="B1026" s="9"/>
      <c r="C1026" s="9"/>
      <c r="D1026" s="9"/>
      <c r="E1026" s="4">
        <f t="shared" si="527"/>
        <v>1026</v>
      </c>
      <c r="F1026" s="9" t="s">
        <v>122</v>
      </c>
      <c r="O1026" s="23" t="s">
        <v>158</v>
      </c>
    </row>
    <row r="1027" spans="1:15">
      <c r="E1027" s="4">
        <f t="shared" si="527"/>
        <v>1027</v>
      </c>
      <c r="F1027" s="9" t="s">
        <v>117</v>
      </c>
      <c r="G1027" s="9" t="s">
        <v>253</v>
      </c>
      <c r="H1027" s="9" t="s">
        <v>254</v>
      </c>
      <c r="I1027" s="9" t="s">
        <v>255</v>
      </c>
      <c r="J1027" s="9" t="s">
        <v>256</v>
      </c>
      <c r="L1027" s="9" t="s">
        <v>138</v>
      </c>
      <c r="O1027" s="23">
        <f t="shared" ref="O1027" ca="1" si="540">IF(MOD(D1021,2)=0,RANDBETWEEN($I$19,$J$19),RANDBETWEEN($G$19,$H$19))</f>
        <v>-106</v>
      </c>
    </row>
    <row r="1028" spans="1:15">
      <c r="E1028" s="4">
        <f t="shared" si="527"/>
        <v>1028</v>
      </c>
      <c r="F1028" s="9" t="s">
        <v>30</v>
      </c>
      <c r="O1028" s="23" t="s">
        <v>33</v>
      </c>
    </row>
    <row r="1029" spans="1:15">
      <c r="E1029" s="4">
        <f t="shared" si="527"/>
        <v>1029</v>
      </c>
      <c r="F1029" s="9" t="s">
        <v>119</v>
      </c>
      <c r="G1029" s="9" t="s">
        <v>257</v>
      </c>
      <c r="H1029" s="9" t="s">
        <v>258</v>
      </c>
      <c r="I1029" s="9" t="s">
        <v>34</v>
      </c>
      <c r="O1029" s="23">
        <f t="shared" ref="O1029:O1092" ca="1" si="541">RANDBETWEEN($G$21*$I$21,$H$21*$I$21)/$I$21</f>
        <v>-4.8</v>
      </c>
    </row>
    <row r="1030" spans="1:15">
      <c r="E1030" s="4">
        <f t="shared" si="527"/>
        <v>1030</v>
      </c>
      <c r="F1030" s="9" t="s">
        <v>112</v>
      </c>
      <c r="O1030" s="23">
        <v>0</v>
      </c>
    </row>
    <row r="1031" spans="1:15">
      <c r="E1031" s="4">
        <f t="shared" si="527"/>
        <v>1031</v>
      </c>
      <c r="F1031" s="9" t="s">
        <v>102</v>
      </c>
      <c r="G1031" s="9" t="s">
        <v>259</v>
      </c>
      <c r="H1031" s="9" t="s">
        <v>260</v>
      </c>
      <c r="I1031" s="9" t="s">
        <v>34</v>
      </c>
      <c r="J1031" s="9" t="s">
        <v>261</v>
      </c>
      <c r="K1031" s="9" t="s">
        <v>140</v>
      </c>
      <c r="O1031" s="23" t="str">
        <f t="shared" ref="O1031:O1094" ca="1" si="542">CONCATENATE(RANDBETWEEN($G$23*$I$23,$H$23*$I$23)/$I$23,$J$23)</f>
        <v>3.6,6</v>
      </c>
    </row>
    <row r="1032" spans="1:15">
      <c r="E1032" s="4">
        <f t="shared" si="527"/>
        <v>1032</v>
      </c>
      <c r="F1032" s="9" t="s">
        <v>31</v>
      </c>
      <c r="L1032" s="9" t="s">
        <v>148</v>
      </c>
    </row>
    <row r="1033" spans="1:15">
      <c r="E1033" s="4">
        <f t="shared" si="527"/>
        <v>1033</v>
      </c>
      <c r="F1033" s="9" t="s">
        <v>136</v>
      </c>
      <c r="L1033" s="9" t="s">
        <v>149</v>
      </c>
    </row>
    <row r="1034" spans="1:15">
      <c r="E1034" s="4">
        <f t="shared" si="527"/>
        <v>1034</v>
      </c>
      <c r="F1034" s="9" t="s">
        <v>137</v>
      </c>
      <c r="K1034" s="9" t="s">
        <v>141</v>
      </c>
      <c r="O1034" s="23">
        <v>1</v>
      </c>
    </row>
    <row r="1035" spans="1:15">
      <c r="E1035" s="4">
        <f t="shared" si="527"/>
        <v>1035</v>
      </c>
      <c r="F1035" s="9" t="s">
        <v>137</v>
      </c>
      <c r="G1035" s="9" t="s">
        <v>262</v>
      </c>
      <c r="H1035" s="9" t="s">
        <v>32</v>
      </c>
      <c r="I1035" s="9" t="s">
        <v>34</v>
      </c>
      <c r="J1035" s="9" t="s">
        <v>263</v>
      </c>
      <c r="K1035" s="9" t="s">
        <v>140</v>
      </c>
      <c r="O1035" s="23" t="str">
        <f t="shared" ref="O1035:O1098" ca="1" si="543">CONCATENATE(RANDBETWEEN($G$27*$I$27,$H$27*$I$27)/$I$27,$J$27)</f>
        <v>5.9,-4.5</v>
      </c>
    </row>
    <row r="1036" spans="1:15">
      <c r="E1036" s="4">
        <f t="shared" si="527"/>
        <v>1036</v>
      </c>
      <c r="F1036" s="9" t="s">
        <v>105</v>
      </c>
      <c r="O1036" s="23">
        <f t="shared" ref="O1036" si="544">O1022*10+1</f>
        <v>100491</v>
      </c>
    </row>
    <row r="1037" spans="1:15">
      <c r="E1037" s="4">
        <f t="shared" si="527"/>
        <v>1037</v>
      </c>
      <c r="F1037" s="9" t="s">
        <v>156</v>
      </c>
      <c r="O1037" s="23">
        <f t="shared" ref="O1037" si="545">O1022</f>
        <v>10049</v>
      </c>
    </row>
    <row r="1038" spans="1:15">
      <c r="E1038" s="4">
        <f t="shared" si="527"/>
        <v>1038</v>
      </c>
      <c r="F1038" s="9" t="s">
        <v>131</v>
      </c>
      <c r="O1038" s="23">
        <v>0</v>
      </c>
    </row>
    <row r="1039" spans="1:15">
      <c r="E1039" s="4">
        <f t="shared" si="527"/>
        <v>1039</v>
      </c>
      <c r="F1039" s="9" t="s">
        <v>35</v>
      </c>
      <c r="O1039" s="23" t="s">
        <v>252</v>
      </c>
    </row>
    <row r="1040" spans="1:15">
      <c r="E1040" s="4">
        <f t="shared" si="527"/>
        <v>1040</v>
      </c>
      <c r="F1040" s="9" t="s">
        <v>119</v>
      </c>
      <c r="O1040" s="23" t="s">
        <v>22</v>
      </c>
    </row>
    <row r="1041" spans="1:15">
      <c r="E1041" s="4">
        <f t="shared" si="527"/>
        <v>1041</v>
      </c>
      <c r="F1041" s="9" t="s">
        <v>117</v>
      </c>
      <c r="L1041" s="9" t="s">
        <v>138</v>
      </c>
      <c r="O1041" s="23">
        <f t="shared" ref="O1041" ca="1" si="546">O1027</f>
        <v>-106</v>
      </c>
    </row>
    <row r="1042" spans="1:15">
      <c r="B1042" s="22">
        <f t="shared" ref="B1042:B1105" si="547">QUOTIENT( D1042-1,G1043)+1</f>
        <v>17</v>
      </c>
      <c r="C1042" s="22">
        <f t="shared" ref="C1042" si="548">D1042-(B1042-1)*G1043</f>
        <v>2</v>
      </c>
      <c r="D1042" s="22">
        <f>COUNT($D$12:$D1041)+1</f>
        <v>50</v>
      </c>
      <c r="E1042" s="4"/>
    </row>
    <row r="1043" spans="1:15">
      <c r="E1043" s="4">
        <f t="shared" si="527"/>
        <v>1043</v>
      </c>
      <c r="F1043" s="9" t="s">
        <v>96</v>
      </c>
      <c r="G1043" s="9" t="s">
        <v>38</v>
      </c>
      <c r="H1043" s="9" t="s">
        <v>282</v>
      </c>
      <c r="J1043" s="9" t="s">
        <v>247</v>
      </c>
      <c r="O1043" s="23">
        <f t="shared" ref="O1043:O1106" si="549">J1043+D1042</f>
        <v>10050</v>
      </c>
    </row>
    <row r="1044" spans="1:15">
      <c r="E1044" s="4">
        <f t="shared" si="527"/>
        <v>1044</v>
      </c>
      <c r="F1044" s="9" t="s">
        <v>165</v>
      </c>
      <c r="G1044" s="9" t="s">
        <v>280</v>
      </c>
      <c r="H1044" s="9" t="s">
        <v>249</v>
      </c>
      <c r="O1044" s="23">
        <f t="shared" ref="O1044" si="550">G1044+B1042*H1044</f>
        <v>755</v>
      </c>
    </row>
    <row r="1045" spans="1:15">
      <c r="E1045" s="4">
        <f t="shared" si="527"/>
        <v>1045</v>
      </c>
      <c r="F1045" s="9" t="s">
        <v>35</v>
      </c>
      <c r="O1045" s="23" t="s">
        <v>251</v>
      </c>
    </row>
    <row r="1046" spans="1:15">
      <c r="E1046" s="4">
        <f t="shared" si="527"/>
        <v>1046</v>
      </c>
      <c r="F1046" s="9" t="s">
        <v>29</v>
      </c>
      <c r="O1046" s="23" t="s">
        <v>157</v>
      </c>
    </row>
    <row r="1047" spans="1:15">
      <c r="E1047" s="4">
        <f t="shared" si="527"/>
        <v>1047</v>
      </c>
      <c r="F1047" s="9" t="s">
        <v>122</v>
      </c>
      <c r="O1047" s="23" t="s">
        <v>158</v>
      </c>
    </row>
    <row r="1048" spans="1:15">
      <c r="A1048" s="9"/>
      <c r="B1048" s="9"/>
      <c r="C1048" s="9"/>
      <c r="D1048" s="9"/>
      <c r="E1048" s="4">
        <f t="shared" si="527"/>
        <v>1048</v>
      </c>
      <c r="F1048" s="9" t="s">
        <v>117</v>
      </c>
      <c r="G1048" s="9" t="s">
        <v>253</v>
      </c>
      <c r="H1048" s="9" t="s">
        <v>254</v>
      </c>
      <c r="I1048" s="9" t="s">
        <v>255</v>
      </c>
      <c r="J1048" s="9" t="s">
        <v>256</v>
      </c>
      <c r="L1048" s="9" t="s">
        <v>138</v>
      </c>
      <c r="O1048" s="23">
        <f t="shared" ref="O1048" ca="1" si="551">IF(MOD(D1042,2)=0,RANDBETWEEN($I$19,$J$19),RANDBETWEEN($G$19,$H$19))</f>
        <v>89</v>
      </c>
    </row>
    <row r="1049" spans="1:15">
      <c r="E1049" s="4">
        <f t="shared" si="527"/>
        <v>1049</v>
      </c>
      <c r="F1049" s="9" t="s">
        <v>30</v>
      </c>
      <c r="O1049" s="23" t="s">
        <v>33</v>
      </c>
    </row>
    <row r="1050" spans="1:15">
      <c r="E1050" s="4">
        <f t="shared" si="527"/>
        <v>1050</v>
      </c>
      <c r="F1050" s="9" t="s">
        <v>119</v>
      </c>
      <c r="G1050" s="9" t="s">
        <v>257</v>
      </c>
      <c r="H1050" s="9" t="s">
        <v>258</v>
      </c>
      <c r="I1050" s="9" t="s">
        <v>34</v>
      </c>
      <c r="O1050" s="23">
        <f t="shared" ref="O1050:O1113" ca="1" si="552">RANDBETWEEN($G$21*$I$21,$H$21*$I$21)/$I$21</f>
        <v>-5.3</v>
      </c>
    </row>
    <row r="1051" spans="1:15">
      <c r="E1051" s="4">
        <f t="shared" si="527"/>
        <v>1051</v>
      </c>
      <c r="F1051" s="9" t="s">
        <v>112</v>
      </c>
      <c r="O1051" s="23">
        <v>0</v>
      </c>
    </row>
    <row r="1052" spans="1:15">
      <c r="E1052" s="4">
        <f t="shared" si="527"/>
        <v>1052</v>
      </c>
      <c r="F1052" s="9" t="s">
        <v>102</v>
      </c>
      <c r="G1052" s="9" t="s">
        <v>259</v>
      </c>
      <c r="H1052" s="9" t="s">
        <v>260</v>
      </c>
      <c r="I1052" s="9" t="s">
        <v>34</v>
      </c>
      <c r="J1052" s="9" t="s">
        <v>261</v>
      </c>
      <c r="K1052" s="9" t="s">
        <v>140</v>
      </c>
      <c r="O1052" s="23" t="str">
        <f t="shared" ref="O1052:O1115" ca="1" si="553">CONCATENATE(RANDBETWEEN($G$23*$I$23,$H$23*$I$23)/$I$23,$J$23)</f>
        <v>0.4,6</v>
      </c>
    </row>
    <row r="1053" spans="1:15">
      <c r="E1053" s="4">
        <f t="shared" si="527"/>
        <v>1053</v>
      </c>
      <c r="F1053" s="9" t="s">
        <v>31</v>
      </c>
      <c r="L1053" s="9" t="s">
        <v>148</v>
      </c>
    </row>
    <row r="1054" spans="1:15">
      <c r="E1054" s="4">
        <f t="shared" si="527"/>
        <v>1054</v>
      </c>
      <c r="F1054" s="9" t="s">
        <v>136</v>
      </c>
      <c r="L1054" s="9" t="s">
        <v>149</v>
      </c>
    </row>
    <row r="1055" spans="1:15">
      <c r="E1055" s="4">
        <f t="shared" si="527"/>
        <v>1055</v>
      </c>
      <c r="F1055" s="9" t="s">
        <v>137</v>
      </c>
      <c r="K1055" s="9" t="s">
        <v>141</v>
      </c>
      <c r="O1055" s="23">
        <v>1</v>
      </c>
    </row>
    <row r="1056" spans="1:15">
      <c r="E1056" s="4">
        <f t="shared" si="527"/>
        <v>1056</v>
      </c>
      <c r="F1056" s="9" t="s">
        <v>137</v>
      </c>
      <c r="G1056" s="9" t="s">
        <v>262</v>
      </c>
      <c r="H1056" s="9" t="s">
        <v>32</v>
      </c>
      <c r="I1056" s="9" t="s">
        <v>34</v>
      </c>
      <c r="J1056" s="9" t="s">
        <v>263</v>
      </c>
      <c r="K1056" s="9" t="s">
        <v>140</v>
      </c>
      <c r="O1056" s="23" t="str">
        <f t="shared" ref="O1056:O1119" ca="1" si="554">CONCATENATE(RANDBETWEEN($G$27*$I$27,$H$27*$I$27)/$I$27,$J$27)</f>
        <v>-2.7,-4.5</v>
      </c>
    </row>
    <row r="1057" spans="1:15">
      <c r="E1057" s="4">
        <f t="shared" si="527"/>
        <v>1057</v>
      </c>
      <c r="F1057" s="9" t="s">
        <v>105</v>
      </c>
      <c r="O1057" s="23">
        <f t="shared" ref="O1057" si="555">O1043*10+1</f>
        <v>100501</v>
      </c>
    </row>
    <row r="1058" spans="1:15">
      <c r="E1058" s="4">
        <f t="shared" si="527"/>
        <v>1058</v>
      </c>
      <c r="F1058" s="9" t="s">
        <v>156</v>
      </c>
      <c r="O1058" s="23">
        <f t="shared" ref="O1058" si="556">O1043</f>
        <v>10050</v>
      </c>
    </row>
    <row r="1059" spans="1:15">
      <c r="E1059" s="4">
        <f t="shared" si="527"/>
        <v>1059</v>
      </c>
      <c r="F1059" s="9" t="s">
        <v>131</v>
      </c>
      <c r="O1059" s="23">
        <v>0</v>
      </c>
    </row>
    <row r="1060" spans="1:15">
      <c r="E1060" s="4">
        <f t="shared" si="527"/>
        <v>1060</v>
      </c>
      <c r="F1060" s="9" t="s">
        <v>35</v>
      </c>
      <c r="O1060" s="23" t="s">
        <v>252</v>
      </c>
    </row>
    <row r="1061" spans="1:15">
      <c r="E1061" s="4">
        <f t="shared" si="527"/>
        <v>1061</v>
      </c>
      <c r="F1061" s="9" t="s">
        <v>119</v>
      </c>
      <c r="O1061" s="23" t="s">
        <v>22</v>
      </c>
    </row>
    <row r="1062" spans="1:15">
      <c r="E1062" s="4">
        <f t="shared" si="527"/>
        <v>1062</v>
      </c>
      <c r="F1062" s="9" t="s">
        <v>117</v>
      </c>
      <c r="L1062" s="9" t="s">
        <v>138</v>
      </c>
      <c r="O1062" s="23">
        <f t="shared" ref="O1062" ca="1" si="557">O1048</f>
        <v>89</v>
      </c>
    </row>
    <row r="1063" spans="1:15">
      <c r="B1063" s="22">
        <f t="shared" ref="B1063:B1126" si="558">QUOTIENT( D1063-1,G1064)+1</f>
        <v>17</v>
      </c>
      <c r="C1063" s="22">
        <f t="shared" ref="C1063" si="559">D1063-(B1063-1)*G1064</f>
        <v>3</v>
      </c>
      <c r="D1063" s="22">
        <f>COUNT($D$12:$D1062)+1</f>
        <v>51</v>
      </c>
      <c r="E1063" s="4"/>
    </row>
    <row r="1064" spans="1:15">
      <c r="E1064" s="4">
        <f t="shared" si="527"/>
        <v>1064</v>
      </c>
      <c r="F1064" s="9" t="s">
        <v>96</v>
      </c>
      <c r="G1064" s="9" t="s">
        <v>38</v>
      </c>
      <c r="H1064" s="9" t="s">
        <v>282</v>
      </c>
      <c r="J1064" s="9" t="s">
        <v>247</v>
      </c>
      <c r="O1064" s="23">
        <f t="shared" ref="O1064:O1127" si="560">J1064+D1063</f>
        <v>10051</v>
      </c>
    </row>
    <row r="1065" spans="1:15">
      <c r="E1065" s="4">
        <f t="shared" si="527"/>
        <v>1065</v>
      </c>
      <c r="F1065" s="9" t="s">
        <v>165</v>
      </c>
      <c r="G1065" s="9" t="s">
        <v>280</v>
      </c>
      <c r="H1065" s="9" t="s">
        <v>249</v>
      </c>
      <c r="O1065" s="23">
        <f t="shared" ref="O1065" si="561">G1065+B1063*H1065</f>
        <v>755</v>
      </c>
    </row>
    <row r="1066" spans="1:15">
      <c r="E1066" s="4">
        <f t="shared" ref="E1066:E1129" si="562">ROW(E1066)</f>
        <v>1066</v>
      </c>
      <c r="F1066" s="9" t="s">
        <v>35</v>
      </c>
      <c r="O1066" s="23" t="s">
        <v>251</v>
      </c>
    </row>
    <row r="1067" spans="1:15">
      <c r="E1067" s="4">
        <f t="shared" si="562"/>
        <v>1067</v>
      </c>
      <c r="F1067" s="9" t="s">
        <v>29</v>
      </c>
      <c r="O1067" s="23" t="s">
        <v>157</v>
      </c>
    </row>
    <row r="1068" spans="1:15">
      <c r="E1068" s="4">
        <f t="shared" si="562"/>
        <v>1068</v>
      </c>
      <c r="F1068" s="9" t="s">
        <v>122</v>
      </c>
      <c r="O1068" s="23" t="s">
        <v>158</v>
      </c>
    </row>
    <row r="1069" spans="1:15">
      <c r="E1069" s="4">
        <f t="shared" si="562"/>
        <v>1069</v>
      </c>
      <c r="F1069" s="9" t="s">
        <v>117</v>
      </c>
      <c r="G1069" s="9" t="s">
        <v>253</v>
      </c>
      <c r="H1069" s="9" t="s">
        <v>254</v>
      </c>
      <c r="I1069" s="9" t="s">
        <v>255</v>
      </c>
      <c r="J1069" s="9" t="s">
        <v>256</v>
      </c>
      <c r="L1069" s="9" t="s">
        <v>138</v>
      </c>
      <c r="O1069" s="23">
        <f t="shared" ref="O1069" ca="1" si="563">IF(MOD(D1063,2)=0,RANDBETWEEN($I$19,$J$19),RANDBETWEEN($G$19,$H$19))</f>
        <v>-94</v>
      </c>
    </row>
    <row r="1070" spans="1:15">
      <c r="A1070" s="9"/>
      <c r="B1070" s="9"/>
      <c r="C1070" s="9"/>
      <c r="D1070" s="9"/>
      <c r="E1070" s="4">
        <f t="shared" si="562"/>
        <v>1070</v>
      </c>
      <c r="F1070" s="9" t="s">
        <v>30</v>
      </c>
      <c r="O1070" s="23" t="s">
        <v>33</v>
      </c>
    </row>
    <row r="1071" spans="1:15">
      <c r="E1071" s="4">
        <f t="shared" si="562"/>
        <v>1071</v>
      </c>
      <c r="F1071" s="9" t="s">
        <v>119</v>
      </c>
      <c r="G1071" s="9" t="s">
        <v>257</v>
      </c>
      <c r="H1071" s="9" t="s">
        <v>258</v>
      </c>
      <c r="I1071" s="9" t="s">
        <v>34</v>
      </c>
      <c r="O1071" s="23">
        <f t="shared" ref="O1071:O1134" ca="1" si="564">RANDBETWEEN($G$21*$I$21,$H$21*$I$21)/$I$21</f>
        <v>-9.1</v>
      </c>
    </row>
    <row r="1072" spans="1:15">
      <c r="E1072" s="4">
        <f t="shared" si="562"/>
        <v>1072</v>
      </c>
      <c r="F1072" s="9" t="s">
        <v>112</v>
      </c>
      <c r="O1072" s="23">
        <v>0</v>
      </c>
    </row>
    <row r="1073" spans="2:15">
      <c r="E1073" s="4">
        <f t="shared" si="562"/>
        <v>1073</v>
      </c>
      <c r="F1073" s="9" t="s">
        <v>102</v>
      </c>
      <c r="G1073" s="9" t="s">
        <v>259</v>
      </c>
      <c r="H1073" s="9" t="s">
        <v>260</v>
      </c>
      <c r="I1073" s="9" t="s">
        <v>34</v>
      </c>
      <c r="J1073" s="9" t="s">
        <v>261</v>
      </c>
      <c r="K1073" s="9" t="s">
        <v>140</v>
      </c>
      <c r="O1073" s="23" t="str">
        <f t="shared" ref="O1073:O1136" ca="1" si="565">CONCATENATE(RANDBETWEEN($G$23*$I$23,$H$23*$I$23)/$I$23,$J$23)</f>
        <v>-1.3,6</v>
      </c>
    </row>
    <row r="1074" spans="2:15">
      <c r="E1074" s="4">
        <f t="shared" si="562"/>
        <v>1074</v>
      </c>
      <c r="F1074" s="9" t="s">
        <v>31</v>
      </c>
      <c r="L1074" s="9" t="s">
        <v>148</v>
      </c>
    </row>
    <row r="1075" spans="2:15">
      <c r="E1075" s="4">
        <f t="shared" si="562"/>
        <v>1075</v>
      </c>
      <c r="F1075" s="9" t="s">
        <v>136</v>
      </c>
      <c r="L1075" s="9" t="s">
        <v>149</v>
      </c>
    </row>
    <row r="1076" spans="2:15">
      <c r="E1076" s="4">
        <f t="shared" si="562"/>
        <v>1076</v>
      </c>
      <c r="F1076" s="9" t="s">
        <v>137</v>
      </c>
      <c r="K1076" s="9" t="s">
        <v>141</v>
      </c>
      <c r="O1076" s="23">
        <v>1</v>
      </c>
    </row>
    <row r="1077" spans="2:15">
      <c r="E1077" s="4">
        <f t="shared" si="562"/>
        <v>1077</v>
      </c>
      <c r="F1077" s="9" t="s">
        <v>137</v>
      </c>
      <c r="G1077" s="9" t="s">
        <v>262</v>
      </c>
      <c r="H1077" s="9" t="s">
        <v>32</v>
      </c>
      <c r="I1077" s="9" t="s">
        <v>34</v>
      </c>
      <c r="J1077" s="9" t="s">
        <v>263</v>
      </c>
      <c r="K1077" s="9" t="s">
        <v>140</v>
      </c>
      <c r="O1077" s="23" t="str">
        <f t="shared" ref="O1077:O1140" ca="1" si="566">CONCATENATE(RANDBETWEEN($G$27*$I$27,$H$27*$I$27)/$I$27,$J$27)</f>
        <v>-3,-4.5</v>
      </c>
    </row>
    <row r="1078" spans="2:15">
      <c r="E1078" s="4">
        <f t="shared" si="562"/>
        <v>1078</v>
      </c>
      <c r="F1078" s="9" t="s">
        <v>105</v>
      </c>
      <c r="O1078" s="23">
        <f t="shared" ref="O1078" si="567">O1064*10+1</f>
        <v>100511</v>
      </c>
    </row>
    <row r="1079" spans="2:15">
      <c r="E1079" s="4">
        <f t="shared" si="562"/>
        <v>1079</v>
      </c>
      <c r="F1079" s="9" t="s">
        <v>156</v>
      </c>
      <c r="O1079" s="23">
        <f t="shared" ref="O1079" si="568">O1064</f>
        <v>10051</v>
      </c>
    </row>
    <row r="1080" spans="2:15">
      <c r="E1080" s="4">
        <f t="shared" si="562"/>
        <v>1080</v>
      </c>
      <c r="F1080" s="9" t="s">
        <v>131</v>
      </c>
      <c r="O1080" s="23">
        <v>0</v>
      </c>
    </row>
    <row r="1081" spans="2:15">
      <c r="E1081" s="4">
        <f t="shared" si="562"/>
        <v>1081</v>
      </c>
      <c r="F1081" s="9" t="s">
        <v>35</v>
      </c>
      <c r="O1081" s="23" t="s">
        <v>252</v>
      </c>
    </row>
    <row r="1082" spans="2:15">
      <c r="E1082" s="4">
        <f t="shared" si="562"/>
        <v>1082</v>
      </c>
      <c r="F1082" s="9" t="s">
        <v>119</v>
      </c>
      <c r="O1082" s="23" t="s">
        <v>22</v>
      </c>
    </row>
    <row r="1083" spans="2:15">
      <c r="E1083" s="4">
        <f t="shared" si="562"/>
        <v>1083</v>
      </c>
      <c r="F1083" s="9" t="s">
        <v>117</v>
      </c>
      <c r="L1083" s="9" t="s">
        <v>138</v>
      </c>
      <c r="O1083" s="23">
        <f t="shared" ref="O1083" ca="1" si="569">O1069</f>
        <v>-94</v>
      </c>
    </row>
    <row r="1084" spans="2:15">
      <c r="B1084" s="22">
        <f t="shared" ref="B1084:B1147" si="570">QUOTIENT( D1084-1,G1085)+1</f>
        <v>18</v>
      </c>
      <c r="C1084" s="22">
        <f t="shared" ref="C1084" si="571">D1084-(B1084-1)*G1085</f>
        <v>1</v>
      </c>
      <c r="D1084" s="22">
        <f>COUNT($D$12:$D1083)+1</f>
        <v>52</v>
      </c>
      <c r="E1084" s="4"/>
    </row>
    <row r="1085" spans="2:15">
      <c r="E1085" s="4">
        <f t="shared" si="562"/>
        <v>1085</v>
      </c>
      <c r="F1085" s="9" t="s">
        <v>96</v>
      </c>
      <c r="G1085" s="9" t="s">
        <v>38</v>
      </c>
      <c r="H1085" s="9" t="s">
        <v>282</v>
      </c>
      <c r="J1085" s="9" t="s">
        <v>247</v>
      </c>
      <c r="O1085" s="23">
        <f t="shared" ref="O1085:O1148" si="572">J1085+D1084</f>
        <v>10052</v>
      </c>
    </row>
    <row r="1086" spans="2:15">
      <c r="E1086" s="4">
        <f t="shared" si="562"/>
        <v>1086</v>
      </c>
      <c r="F1086" s="9" t="s">
        <v>165</v>
      </c>
      <c r="G1086" s="9" t="s">
        <v>280</v>
      </c>
      <c r="H1086" s="9" t="s">
        <v>249</v>
      </c>
      <c r="O1086" s="23">
        <f t="shared" ref="O1086" si="573">G1086+B1084*H1086</f>
        <v>770</v>
      </c>
    </row>
    <row r="1087" spans="2:15">
      <c r="E1087" s="4">
        <f t="shared" si="562"/>
        <v>1087</v>
      </c>
      <c r="F1087" s="9" t="s">
        <v>35</v>
      </c>
      <c r="O1087" s="23" t="s">
        <v>251</v>
      </c>
    </row>
    <row r="1088" spans="2:15">
      <c r="E1088" s="4">
        <f t="shared" si="562"/>
        <v>1088</v>
      </c>
      <c r="F1088" s="9" t="s">
        <v>29</v>
      </c>
      <c r="O1088" s="23" t="s">
        <v>157</v>
      </c>
    </row>
    <row r="1089" spans="1:15">
      <c r="E1089" s="4">
        <f t="shared" si="562"/>
        <v>1089</v>
      </c>
      <c r="F1089" s="9" t="s">
        <v>122</v>
      </c>
      <c r="O1089" s="23" t="s">
        <v>158</v>
      </c>
    </row>
    <row r="1090" spans="1:15">
      <c r="E1090" s="4">
        <f t="shared" si="562"/>
        <v>1090</v>
      </c>
      <c r="F1090" s="9" t="s">
        <v>117</v>
      </c>
      <c r="G1090" s="9" t="s">
        <v>253</v>
      </c>
      <c r="H1090" s="9" t="s">
        <v>254</v>
      </c>
      <c r="I1090" s="9" t="s">
        <v>255</v>
      </c>
      <c r="J1090" s="9" t="s">
        <v>256</v>
      </c>
      <c r="L1090" s="9" t="s">
        <v>138</v>
      </c>
      <c r="O1090" s="23">
        <f t="shared" ref="O1090" ca="1" si="574">IF(MOD(D1084,2)=0,RANDBETWEEN($I$19,$J$19),RANDBETWEEN($G$19,$H$19))</f>
        <v>102</v>
      </c>
    </row>
    <row r="1091" spans="1:15">
      <c r="E1091" s="4">
        <f t="shared" si="562"/>
        <v>1091</v>
      </c>
      <c r="F1091" s="9" t="s">
        <v>30</v>
      </c>
      <c r="O1091" s="23" t="s">
        <v>33</v>
      </c>
    </row>
    <row r="1092" spans="1:15">
      <c r="A1092" s="9"/>
      <c r="B1092" s="9"/>
      <c r="C1092" s="9"/>
      <c r="D1092" s="9"/>
      <c r="E1092" s="4">
        <f t="shared" si="562"/>
        <v>1092</v>
      </c>
      <c r="F1092" s="9" t="s">
        <v>119</v>
      </c>
      <c r="G1092" s="9" t="s">
        <v>257</v>
      </c>
      <c r="H1092" s="9" t="s">
        <v>258</v>
      </c>
      <c r="I1092" s="9" t="s">
        <v>34</v>
      </c>
      <c r="O1092" s="23">
        <f t="shared" ref="O1092:O1155" ca="1" si="575">RANDBETWEEN($G$21*$I$21,$H$21*$I$21)/$I$21</f>
        <v>-9.8000000000000007</v>
      </c>
    </row>
    <row r="1093" spans="1:15">
      <c r="E1093" s="4">
        <f t="shared" si="562"/>
        <v>1093</v>
      </c>
      <c r="F1093" s="9" t="s">
        <v>112</v>
      </c>
      <c r="O1093" s="23">
        <v>0</v>
      </c>
    </row>
    <row r="1094" spans="1:15">
      <c r="E1094" s="4">
        <f t="shared" si="562"/>
        <v>1094</v>
      </c>
      <c r="F1094" s="9" t="s">
        <v>102</v>
      </c>
      <c r="G1094" s="9" t="s">
        <v>259</v>
      </c>
      <c r="H1094" s="9" t="s">
        <v>260</v>
      </c>
      <c r="I1094" s="9" t="s">
        <v>34</v>
      </c>
      <c r="J1094" s="9" t="s">
        <v>261</v>
      </c>
      <c r="K1094" s="9" t="s">
        <v>140</v>
      </c>
      <c r="O1094" s="23" t="str">
        <f t="shared" ref="O1094:O1157" ca="1" si="576">CONCATENATE(RANDBETWEEN($G$23*$I$23,$H$23*$I$23)/$I$23,$J$23)</f>
        <v>-2.2,6</v>
      </c>
    </row>
    <row r="1095" spans="1:15">
      <c r="E1095" s="4">
        <f t="shared" si="562"/>
        <v>1095</v>
      </c>
      <c r="F1095" s="9" t="s">
        <v>31</v>
      </c>
      <c r="L1095" s="9" t="s">
        <v>148</v>
      </c>
    </row>
    <row r="1096" spans="1:15">
      <c r="E1096" s="4">
        <f t="shared" si="562"/>
        <v>1096</v>
      </c>
      <c r="F1096" s="9" t="s">
        <v>136</v>
      </c>
      <c r="L1096" s="9" t="s">
        <v>149</v>
      </c>
    </row>
    <row r="1097" spans="1:15">
      <c r="E1097" s="4">
        <f t="shared" si="562"/>
        <v>1097</v>
      </c>
      <c r="F1097" s="9" t="s">
        <v>137</v>
      </c>
      <c r="K1097" s="9" t="s">
        <v>141</v>
      </c>
      <c r="O1097" s="23">
        <v>1</v>
      </c>
    </row>
    <row r="1098" spans="1:15">
      <c r="E1098" s="4">
        <f t="shared" si="562"/>
        <v>1098</v>
      </c>
      <c r="F1098" s="9" t="s">
        <v>137</v>
      </c>
      <c r="G1098" s="9" t="s">
        <v>262</v>
      </c>
      <c r="H1098" s="9" t="s">
        <v>32</v>
      </c>
      <c r="I1098" s="9" t="s">
        <v>34</v>
      </c>
      <c r="J1098" s="9" t="s">
        <v>263</v>
      </c>
      <c r="K1098" s="9" t="s">
        <v>140</v>
      </c>
      <c r="O1098" s="23" t="str">
        <f t="shared" ref="O1098:O1161" ca="1" si="577">CONCATENATE(RANDBETWEEN($G$27*$I$27,$H$27*$I$27)/$I$27,$J$27)</f>
        <v>5.1,-4.5</v>
      </c>
    </row>
    <row r="1099" spans="1:15">
      <c r="E1099" s="4">
        <f t="shared" si="562"/>
        <v>1099</v>
      </c>
      <c r="F1099" s="9" t="s">
        <v>105</v>
      </c>
      <c r="O1099" s="23">
        <f t="shared" ref="O1099" si="578">O1085*10+1</f>
        <v>100521</v>
      </c>
    </row>
    <row r="1100" spans="1:15">
      <c r="E1100" s="4">
        <f t="shared" si="562"/>
        <v>1100</v>
      </c>
      <c r="F1100" s="9" t="s">
        <v>156</v>
      </c>
      <c r="O1100" s="23">
        <f t="shared" ref="O1100" si="579">O1085</f>
        <v>10052</v>
      </c>
    </row>
    <row r="1101" spans="1:15">
      <c r="E1101" s="4">
        <f t="shared" si="562"/>
        <v>1101</v>
      </c>
      <c r="F1101" s="9" t="s">
        <v>131</v>
      </c>
      <c r="O1101" s="23">
        <v>0</v>
      </c>
    </row>
    <row r="1102" spans="1:15">
      <c r="E1102" s="4">
        <f t="shared" si="562"/>
        <v>1102</v>
      </c>
      <c r="F1102" s="9" t="s">
        <v>35</v>
      </c>
      <c r="O1102" s="23" t="s">
        <v>252</v>
      </c>
    </row>
    <row r="1103" spans="1:15">
      <c r="E1103" s="4">
        <f t="shared" si="562"/>
        <v>1103</v>
      </c>
      <c r="F1103" s="9" t="s">
        <v>119</v>
      </c>
      <c r="O1103" s="23" t="s">
        <v>22</v>
      </c>
    </row>
    <row r="1104" spans="1:15">
      <c r="E1104" s="4">
        <f t="shared" si="562"/>
        <v>1104</v>
      </c>
      <c r="F1104" s="9" t="s">
        <v>117</v>
      </c>
      <c r="L1104" s="9" t="s">
        <v>138</v>
      </c>
      <c r="O1104" s="23">
        <f t="shared" ref="O1104" ca="1" si="580">O1090</f>
        <v>102</v>
      </c>
    </row>
    <row r="1105" spans="1:15">
      <c r="B1105" s="22">
        <f t="shared" ref="B1105:B1168" si="581">QUOTIENT( D1105-1,G1106)+1</f>
        <v>18</v>
      </c>
      <c r="C1105" s="22">
        <f t="shared" ref="C1105" si="582">D1105-(B1105-1)*G1106</f>
        <v>2</v>
      </c>
      <c r="D1105" s="22">
        <f>COUNT($D$12:$D1104)+1</f>
        <v>53</v>
      </c>
      <c r="E1105" s="4"/>
    </row>
    <row r="1106" spans="1:15">
      <c r="E1106" s="4">
        <f t="shared" si="562"/>
        <v>1106</v>
      </c>
      <c r="F1106" s="9" t="s">
        <v>96</v>
      </c>
      <c r="G1106" s="9" t="s">
        <v>38</v>
      </c>
      <c r="H1106" s="9" t="s">
        <v>282</v>
      </c>
      <c r="J1106" s="9" t="s">
        <v>247</v>
      </c>
      <c r="O1106" s="23">
        <f t="shared" ref="O1106:O1169" si="583">J1106+D1105</f>
        <v>10053</v>
      </c>
    </row>
    <row r="1107" spans="1:15">
      <c r="E1107" s="4">
        <f t="shared" si="562"/>
        <v>1107</v>
      </c>
      <c r="F1107" s="9" t="s">
        <v>165</v>
      </c>
      <c r="G1107" s="9" t="s">
        <v>280</v>
      </c>
      <c r="H1107" s="9" t="s">
        <v>249</v>
      </c>
      <c r="O1107" s="23">
        <f t="shared" ref="O1107" si="584">G1107+B1105*H1107</f>
        <v>770</v>
      </c>
    </row>
    <row r="1108" spans="1:15">
      <c r="E1108" s="4">
        <f t="shared" si="562"/>
        <v>1108</v>
      </c>
      <c r="F1108" s="9" t="s">
        <v>35</v>
      </c>
      <c r="O1108" s="23" t="s">
        <v>251</v>
      </c>
    </row>
    <row r="1109" spans="1:15">
      <c r="E1109" s="4">
        <f t="shared" si="562"/>
        <v>1109</v>
      </c>
      <c r="F1109" s="9" t="s">
        <v>29</v>
      </c>
      <c r="O1109" s="23" t="s">
        <v>157</v>
      </c>
    </row>
    <row r="1110" spans="1:15">
      <c r="E1110" s="4">
        <f t="shared" si="562"/>
        <v>1110</v>
      </c>
      <c r="F1110" s="9" t="s">
        <v>122</v>
      </c>
      <c r="O1110" s="23" t="s">
        <v>158</v>
      </c>
    </row>
    <row r="1111" spans="1:15">
      <c r="E1111" s="4">
        <f t="shared" si="562"/>
        <v>1111</v>
      </c>
      <c r="F1111" s="9" t="s">
        <v>117</v>
      </c>
      <c r="G1111" s="9" t="s">
        <v>253</v>
      </c>
      <c r="H1111" s="9" t="s">
        <v>254</v>
      </c>
      <c r="I1111" s="9" t="s">
        <v>255</v>
      </c>
      <c r="J1111" s="9" t="s">
        <v>256</v>
      </c>
      <c r="L1111" s="9" t="s">
        <v>138</v>
      </c>
      <c r="O1111" s="23">
        <f t="shared" ref="O1111" ca="1" si="585">IF(MOD(D1105,2)=0,RANDBETWEEN($I$19,$J$19),RANDBETWEEN($G$19,$H$19))</f>
        <v>-102</v>
      </c>
    </row>
    <row r="1112" spans="1:15">
      <c r="E1112" s="4">
        <f t="shared" si="562"/>
        <v>1112</v>
      </c>
      <c r="F1112" s="9" t="s">
        <v>30</v>
      </c>
      <c r="O1112" s="23" t="s">
        <v>33</v>
      </c>
    </row>
    <row r="1113" spans="1:15">
      <c r="E1113" s="4">
        <f t="shared" si="562"/>
        <v>1113</v>
      </c>
      <c r="F1113" s="9" t="s">
        <v>119</v>
      </c>
      <c r="G1113" s="9" t="s">
        <v>257</v>
      </c>
      <c r="H1113" s="9" t="s">
        <v>258</v>
      </c>
      <c r="I1113" s="9" t="s">
        <v>34</v>
      </c>
      <c r="O1113" s="23">
        <f t="shared" ref="O1113:O1176" ca="1" si="586">RANDBETWEEN($G$21*$I$21,$H$21*$I$21)/$I$21</f>
        <v>-4.8</v>
      </c>
    </row>
    <row r="1114" spans="1:15">
      <c r="A1114" s="9"/>
      <c r="B1114" s="9"/>
      <c r="C1114" s="9"/>
      <c r="D1114" s="9"/>
      <c r="E1114" s="4">
        <f t="shared" si="562"/>
        <v>1114</v>
      </c>
      <c r="F1114" s="9" t="s">
        <v>112</v>
      </c>
      <c r="O1114" s="23">
        <v>0</v>
      </c>
    </row>
    <row r="1115" spans="1:15">
      <c r="E1115" s="4">
        <f t="shared" si="562"/>
        <v>1115</v>
      </c>
      <c r="F1115" s="9" t="s">
        <v>102</v>
      </c>
      <c r="G1115" s="9" t="s">
        <v>259</v>
      </c>
      <c r="H1115" s="9" t="s">
        <v>260</v>
      </c>
      <c r="I1115" s="9" t="s">
        <v>34</v>
      </c>
      <c r="J1115" s="9" t="s">
        <v>261</v>
      </c>
      <c r="K1115" s="9" t="s">
        <v>140</v>
      </c>
      <c r="O1115" s="23" t="str">
        <f t="shared" ref="O1115:O1178" ca="1" si="587">CONCATENATE(RANDBETWEEN($G$23*$I$23,$H$23*$I$23)/$I$23,$J$23)</f>
        <v>2.4,6</v>
      </c>
    </row>
    <row r="1116" spans="1:15">
      <c r="E1116" s="4">
        <f t="shared" si="562"/>
        <v>1116</v>
      </c>
      <c r="F1116" s="9" t="s">
        <v>31</v>
      </c>
      <c r="L1116" s="9" t="s">
        <v>148</v>
      </c>
    </row>
    <row r="1117" spans="1:15">
      <c r="E1117" s="4">
        <f t="shared" si="562"/>
        <v>1117</v>
      </c>
      <c r="F1117" s="9" t="s">
        <v>136</v>
      </c>
      <c r="L1117" s="9" t="s">
        <v>149</v>
      </c>
    </row>
    <row r="1118" spans="1:15">
      <c r="E1118" s="4">
        <f t="shared" si="562"/>
        <v>1118</v>
      </c>
      <c r="F1118" s="9" t="s">
        <v>137</v>
      </c>
      <c r="K1118" s="9" t="s">
        <v>141</v>
      </c>
      <c r="O1118" s="23">
        <v>1</v>
      </c>
    </row>
    <row r="1119" spans="1:15">
      <c r="E1119" s="4">
        <f t="shared" si="562"/>
        <v>1119</v>
      </c>
      <c r="F1119" s="9" t="s">
        <v>137</v>
      </c>
      <c r="G1119" s="9" t="s">
        <v>262</v>
      </c>
      <c r="H1119" s="9" t="s">
        <v>32</v>
      </c>
      <c r="I1119" s="9" t="s">
        <v>34</v>
      </c>
      <c r="J1119" s="9" t="s">
        <v>263</v>
      </c>
      <c r="K1119" s="9" t="s">
        <v>140</v>
      </c>
      <c r="O1119" s="23" t="str">
        <f t="shared" ref="O1119:O1182" ca="1" si="588">CONCATENATE(RANDBETWEEN($G$27*$I$27,$H$27*$I$27)/$I$27,$J$27)</f>
        <v>-4.6,-4.5</v>
      </c>
    </row>
    <row r="1120" spans="1:15">
      <c r="E1120" s="4">
        <f t="shared" si="562"/>
        <v>1120</v>
      </c>
      <c r="F1120" s="9" t="s">
        <v>105</v>
      </c>
      <c r="O1120" s="23">
        <f t="shared" ref="O1120" si="589">O1106*10+1</f>
        <v>100531</v>
      </c>
    </row>
    <row r="1121" spans="1:15">
      <c r="E1121" s="4">
        <f t="shared" si="562"/>
        <v>1121</v>
      </c>
      <c r="F1121" s="9" t="s">
        <v>156</v>
      </c>
      <c r="O1121" s="23">
        <f t="shared" ref="O1121" si="590">O1106</f>
        <v>10053</v>
      </c>
    </row>
    <row r="1122" spans="1:15">
      <c r="E1122" s="4">
        <f t="shared" si="562"/>
        <v>1122</v>
      </c>
      <c r="F1122" s="9" t="s">
        <v>131</v>
      </c>
      <c r="O1122" s="23">
        <v>0</v>
      </c>
    </row>
    <row r="1123" spans="1:15">
      <c r="E1123" s="4">
        <f t="shared" si="562"/>
        <v>1123</v>
      </c>
      <c r="F1123" s="9" t="s">
        <v>35</v>
      </c>
      <c r="O1123" s="23" t="s">
        <v>252</v>
      </c>
    </row>
    <row r="1124" spans="1:15">
      <c r="E1124" s="4">
        <f t="shared" si="562"/>
        <v>1124</v>
      </c>
      <c r="F1124" s="9" t="s">
        <v>119</v>
      </c>
      <c r="O1124" s="23" t="s">
        <v>22</v>
      </c>
    </row>
    <row r="1125" spans="1:15">
      <c r="E1125" s="4">
        <f t="shared" si="562"/>
        <v>1125</v>
      </c>
      <c r="F1125" s="9" t="s">
        <v>117</v>
      </c>
      <c r="L1125" s="9" t="s">
        <v>138</v>
      </c>
      <c r="O1125" s="23">
        <f t="shared" ref="O1125" ca="1" si="591">O1111</f>
        <v>-102</v>
      </c>
    </row>
    <row r="1126" spans="1:15">
      <c r="B1126" s="22">
        <f t="shared" ref="B1126:B1189" si="592">QUOTIENT( D1126-1,G1127)+1</f>
        <v>18</v>
      </c>
      <c r="C1126" s="22">
        <f t="shared" ref="C1126" si="593">D1126-(B1126-1)*G1127</f>
        <v>3</v>
      </c>
      <c r="D1126" s="22">
        <f>COUNT($D$12:$D1125)+1</f>
        <v>54</v>
      </c>
      <c r="E1126" s="4"/>
    </row>
    <row r="1127" spans="1:15">
      <c r="E1127" s="4">
        <f t="shared" si="562"/>
        <v>1127</v>
      </c>
      <c r="F1127" s="9" t="s">
        <v>96</v>
      </c>
      <c r="G1127" s="9" t="s">
        <v>38</v>
      </c>
      <c r="H1127" s="9" t="s">
        <v>282</v>
      </c>
      <c r="J1127" s="9" t="s">
        <v>247</v>
      </c>
      <c r="O1127" s="23">
        <f t="shared" ref="O1127:O1190" si="594">J1127+D1126</f>
        <v>10054</v>
      </c>
    </row>
    <row r="1128" spans="1:15">
      <c r="E1128" s="4">
        <f t="shared" si="562"/>
        <v>1128</v>
      </c>
      <c r="F1128" s="9" t="s">
        <v>165</v>
      </c>
      <c r="G1128" s="9" t="s">
        <v>280</v>
      </c>
      <c r="H1128" s="9" t="s">
        <v>249</v>
      </c>
      <c r="O1128" s="23">
        <f t="shared" ref="O1128" si="595">G1128+B1126*H1128</f>
        <v>770</v>
      </c>
    </row>
    <row r="1129" spans="1:15">
      <c r="E1129" s="4">
        <f t="shared" si="562"/>
        <v>1129</v>
      </c>
      <c r="F1129" s="9" t="s">
        <v>35</v>
      </c>
      <c r="O1129" s="23" t="s">
        <v>251</v>
      </c>
    </row>
    <row r="1130" spans="1:15">
      <c r="E1130" s="4">
        <f t="shared" ref="E1130:E1193" si="596">ROW(E1130)</f>
        <v>1130</v>
      </c>
      <c r="F1130" s="9" t="s">
        <v>29</v>
      </c>
      <c r="O1130" s="23" t="s">
        <v>157</v>
      </c>
    </row>
    <row r="1131" spans="1:15">
      <c r="E1131" s="4">
        <f t="shared" si="596"/>
        <v>1131</v>
      </c>
      <c r="F1131" s="9" t="s">
        <v>122</v>
      </c>
      <c r="O1131" s="23" t="s">
        <v>158</v>
      </c>
    </row>
    <row r="1132" spans="1:15">
      <c r="E1132" s="4">
        <f t="shared" si="596"/>
        <v>1132</v>
      </c>
      <c r="F1132" s="9" t="s">
        <v>117</v>
      </c>
      <c r="G1132" s="9" t="s">
        <v>253</v>
      </c>
      <c r="H1132" s="9" t="s">
        <v>254</v>
      </c>
      <c r="I1132" s="9" t="s">
        <v>255</v>
      </c>
      <c r="J1132" s="9" t="s">
        <v>256</v>
      </c>
      <c r="L1132" s="9" t="s">
        <v>138</v>
      </c>
      <c r="O1132" s="23">
        <f t="shared" ref="O1132" ca="1" si="597">IF(MOD(D1126,2)=0,RANDBETWEEN($I$19,$J$19),RANDBETWEEN($G$19,$H$19))</f>
        <v>91</v>
      </c>
    </row>
    <row r="1133" spans="1:15">
      <c r="E1133" s="4">
        <f t="shared" si="596"/>
        <v>1133</v>
      </c>
      <c r="F1133" s="9" t="s">
        <v>30</v>
      </c>
      <c r="O1133" s="23" t="s">
        <v>33</v>
      </c>
    </row>
    <row r="1134" spans="1:15">
      <c r="E1134" s="4">
        <f t="shared" si="596"/>
        <v>1134</v>
      </c>
      <c r="F1134" s="9" t="s">
        <v>119</v>
      </c>
      <c r="G1134" s="9" t="s">
        <v>257</v>
      </c>
      <c r="H1134" s="9" t="s">
        <v>258</v>
      </c>
      <c r="I1134" s="9" t="s">
        <v>34</v>
      </c>
      <c r="O1134" s="23">
        <f t="shared" ref="O1134:O1197" ca="1" si="598">RANDBETWEEN($G$21*$I$21,$H$21*$I$21)/$I$21</f>
        <v>-9.6999999999999993</v>
      </c>
    </row>
    <row r="1135" spans="1:15">
      <c r="E1135" s="4">
        <f t="shared" si="596"/>
        <v>1135</v>
      </c>
      <c r="F1135" s="9" t="s">
        <v>112</v>
      </c>
      <c r="O1135" s="23">
        <v>0</v>
      </c>
    </row>
    <row r="1136" spans="1:15">
      <c r="A1136" s="9"/>
      <c r="B1136" s="9"/>
      <c r="C1136" s="9"/>
      <c r="D1136" s="9"/>
      <c r="E1136" s="4">
        <f t="shared" si="596"/>
        <v>1136</v>
      </c>
      <c r="F1136" s="9" t="s">
        <v>102</v>
      </c>
      <c r="G1136" s="9" t="s">
        <v>259</v>
      </c>
      <c r="H1136" s="9" t="s">
        <v>260</v>
      </c>
      <c r="I1136" s="9" t="s">
        <v>34</v>
      </c>
      <c r="J1136" s="9" t="s">
        <v>261</v>
      </c>
      <c r="K1136" s="9" t="s">
        <v>140</v>
      </c>
      <c r="O1136" s="23" t="str">
        <f t="shared" ref="O1136:O1199" ca="1" si="599">CONCATENATE(RANDBETWEEN($G$23*$I$23,$H$23*$I$23)/$I$23,$J$23)</f>
        <v>1,6</v>
      </c>
    </row>
    <row r="1137" spans="2:15">
      <c r="E1137" s="4">
        <f t="shared" si="596"/>
        <v>1137</v>
      </c>
      <c r="F1137" s="9" t="s">
        <v>31</v>
      </c>
      <c r="L1137" s="9" t="s">
        <v>148</v>
      </c>
    </row>
    <row r="1138" spans="2:15">
      <c r="E1138" s="4">
        <f t="shared" si="596"/>
        <v>1138</v>
      </c>
      <c r="F1138" s="9" t="s">
        <v>136</v>
      </c>
      <c r="L1138" s="9" t="s">
        <v>149</v>
      </c>
    </row>
    <row r="1139" spans="2:15">
      <c r="E1139" s="4">
        <f t="shared" si="596"/>
        <v>1139</v>
      </c>
      <c r="F1139" s="9" t="s">
        <v>137</v>
      </c>
      <c r="K1139" s="9" t="s">
        <v>141</v>
      </c>
      <c r="O1139" s="23">
        <v>1</v>
      </c>
    </row>
    <row r="1140" spans="2:15">
      <c r="E1140" s="4">
        <f t="shared" si="596"/>
        <v>1140</v>
      </c>
      <c r="F1140" s="9" t="s">
        <v>137</v>
      </c>
      <c r="G1140" s="9" t="s">
        <v>262</v>
      </c>
      <c r="H1140" s="9" t="s">
        <v>32</v>
      </c>
      <c r="I1140" s="9" t="s">
        <v>34</v>
      </c>
      <c r="J1140" s="9" t="s">
        <v>263</v>
      </c>
      <c r="K1140" s="9" t="s">
        <v>140</v>
      </c>
      <c r="O1140" s="23" t="str">
        <f t="shared" ref="O1140:O1203" ca="1" si="600">CONCATENATE(RANDBETWEEN($G$27*$I$27,$H$27*$I$27)/$I$27,$J$27)</f>
        <v>4.9,-4.5</v>
      </c>
    </row>
    <row r="1141" spans="2:15">
      <c r="E1141" s="4">
        <f t="shared" si="596"/>
        <v>1141</v>
      </c>
      <c r="F1141" s="9" t="s">
        <v>105</v>
      </c>
      <c r="O1141" s="23">
        <f t="shared" ref="O1141" si="601">O1127*10+1</f>
        <v>100541</v>
      </c>
    </row>
    <row r="1142" spans="2:15">
      <c r="E1142" s="4">
        <f t="shared" si="596"/>
        <v>1142</v>
      </c>
      <c r="F1142" s="9" t="s">
        <v>156</v>
      </c>
      <c r="O1142" s="23">
        <f t="shared" ref="O1142" si="602">O1127</f>
        <v>10054</v>
      </c>
    </row>
    <row r="1143" spans="2:15">
      <c r="E1143" s="4">
        <f t="shared" si="596"/>
        <v>1143</v>
      </c>
      <c r="F1143" s="9" t="s">
        <v>131</v>
      </c>
      <c r="O1143" s="23">
        <v>0</v>
      </c>
    </row>
    <row r="1144" spans="2:15">
      <c r="E1144" s="4">
        <f t="shared" si="596"/>
        <v>1144</v>
      </c>
      <c r="F1144" s="9" t="s">
        <v>35</v>
      </c>
      <c r="O1144" s="23" t="s">
        <v>252</v>
      </c>
    </row>
    <row r="1145" spans="2:15">
      <c r="E1145" s="4">
        <f t="shared" si="596"/>
        <v>1145</v>
      </c>
      <c r="F1145" s="9" t="s">
        <v>119</v>
      </c>
      <c r="O1145" s="23" t="s">
        <v>22</v>
      </c>
    </row>
    <row r="1146" spans="2:15">
      <c r="E1146" s="4">
        <f t="shared" si="596"/>
        <v>1146</v>
      </c>
      <c r="F1146" s="9" t="s">
        <v>117</v>
      </c>
      <c r="L1146" s="9" t="s">
        <v>138</v>
      </c>
      <c r="O1146" s="23">
        <f t="shared" ref="O1146" ca="1" si="603">O1132</f>
        <v>91</v>
      </c>
    </row>
    <row r="1147" spans="2:15">
      <c r="B1147" s="22">
        <f t="shared" ref="B1147:B1210" si="604">QUOTIENT( D1147-1,G1148)+1</f>
        <v>19</v>
      </c>
      <c r="C1147" s="22">
        <f t="shared" ref="C1147" si="605">D1147-(B1147-1)*G1148</f>
        <v>1</v>
      </c>
      <c r="D1147" s="22">
        <f>COUNT($D$12:$D1146)+1</f>
        <v>55</v>
      </c>
      <c r="E1147" s="4"/>
    </row>
    <row r="1148" spans="2:15">
      <c r="E1148" s="4">
        <f t="shared" si="596"/>
        <v>1148</v>
      </c>
      <c r="F1148" s="9" t="s">
        <v>96</v>
      </c>
      <c r="G1148" s="9" t="s">
        <v>38</v>
      </c>
      <c r="H1148" s="9" t="s">
        <v>282</v>
      </c>
      <c r="J1148" s="9" t="s">
        <v>247</v>
      </c>
      <c r="O1148" s="23">
        <f t="shared" ref="O1148:O1211" si="606">J1148+D1147</f>
        <v>10055</v>
      </c>
    </row>
    <row r="1149" spans="2:15">
      <c r="E1149" s="4">
        <f t="shared" si="596"/>
        <v>1149</v>
      </c>
      <c r="F1149" s="9" t="s">
        <v>165</v>
      </c>
      <c r="G1149" s="9" t="s">
        <v>280</v>
      </c>
      <c r="H1149" s="9" t="s">
        <v>249</v>
      </c>
      <c r="O1149" s="23">
        <f t="shared" ref="O1149" si="607">G1149+B1147*H1149</f>
        <v>785</v>
      </c>
    </row>
    <row r="1150" spans="2:15">
      <c r="E1150" s="4">
        <f t="shared" si="596"/>
        <v>1150</v>
      </c>
      <c r="F1150" s="9" t="s">
        <v>35</v>
      </c>
      <c r="O1150" s="23" t="s">
        <v>251</v>
      </c>
    </row>
    <row r="1151" spans="2:15">
      <c r="E1151" s="4">
        <f t="shared" si="596"/>
        <v>1151</v>
      </c>
      <c r="F1151" s="9" t="s">
        <v>29</v>
      </c>
      <c r="O1151" s="23" t="s">
        <v>157</v>
      </c>
    </row>
    <row r="1152" spans="2:15">
      <c r="E1152" s="4">
        <f t="shared" si="596"/>
        <v>1152</v>
      </c>
      <c r="F1152" s="9" t="s">
        <v>122</v>
      </c>
      <c r="O1152" s="23" t="s">
        <v>158</v>
      </c>
    </row>
    <row r="1153" spans="1:15">
      <c r="E1153" s="4">
        <f t="shared" si="596"/>
        <v>1153</v>
      </c>
      <c r="F1153" s="9" t="s">
        <v>117</v>
      </c>
      <c r="G1153" s="9" t="s">
        <v>253</v>
      </c>
      <c r="H1153" s="9" t="s">
        <v>254</v>
      </c>
      <c r="I1153" s="9" t="s">
        <v>255</v>
      </c>
      <c r="J1153" s="9" t="s">
        <v>256</v>
      </c>
      <c r="L1153" s="9" t="s">
        <v>138</v>
      </c>
      <c r="O1153" s="23">
        <f t="shared" ref="O1153" ca="1" si="608">IF(MOD(D1147,2)=0,RANDBETWEEN($I$19,$J$19),RANDBETWEEN($G$19,$H$19))</f>
        <v>-104</v>
      </c>
    </row>
    <row r="1154" spans="1:15">
      <c r="E1154" s="4">
        <f t="shared" si="596"/>
        <v>1154</v>
      </c>
      <c r="F1154" s="9" t="s">
        <v>30</v>
      </c>
      <c r="O1154" s="23" t="s">
        <v>33</v>
      </c>
    </row>
    <row r="1155" spans="1:15">
      <c r="E1155" s="4">
        <f t="shared" si="596"/>
        <v>1155</v>
      </c>
      <c r="F1155" s="9" t="s">
        <v>119</v>
      </c>
      <c r="G1155" s="9" t="s">
        <v>257</v>
      </c>
      <c r="H1155" s="9" t="s">
        <v>258</v>
      </c>
      <c r="I1155" s="9" t="s">
        <v>34</v>
      </c>
      <c r="O1155" s="23">
        <f t="shared" ref="O1155:O1218" ca="1" si="609">RANDBETWEEN($G$21*$I$21,$H$21*$I$21)/$I$21</f>
        <v>-8.8000000000000007</v>
      </c>
    </row>
    <row r="1156" spans="1:15">
      <c r="E1156" s="4">
        <f t="shared" si="596"/>
        <v>1156</v>
      </c>
      <c r="F1156" s="9" t="s">
        <v>112</v>
      </c>
      <c r="O1156" s="23">
        <v>0</v>
      </c>
    </row>
    <row r="1157" spans="1:15">
      <c r="E1157" s="4">
        <f t="shared" si="596"/>
        <v>1157</v>
      </c>
      <c r="F1157" s="9" t="s">
        <v>102</v>
      </c>
      <c r="G1157" s="9" t="s">
        <v>259</v>
      </c>
      <c r="H1157" s="9" t="s">
        <v>260</v>
      </c>
      <c r="I1157" s="9" t="s">
        <v>34</v>
      </c>
      <c r="J1157" s="9" t="s">
        <v>261</v>
      </c>
      <c r="K1157" s="9" t="s">
        <v>140</v>
      </c>
      <c r="O1157" s="23" t="str">
        <f t="shared" ref="O1157:O1220" ca="1" si="610">CONCATENATE(RANDBETWEEN($G$23*$I$23,$H$23*$I$23)/$I$23,$J$23)</f>
        <v>0.3,6</v>
      </c>
    </row>
    <row r="1158" spans="1:15">
      <c r="A1158" s="9"/>
      <c r="B1158" s="9"/>
      <c r="C1158" s="9"/>
      <c r="D1158" s="9"/>
      <c r="E1158" s="4">
        <f t="shared" si="596"/>
        <v>1158</v>
      </c>
      <c r="F1158" s="9" t="s">
        <v>31</v>
      </c>
      <c r="L1158" s="9" t="s">
        <v>148</v>
      </c>
    </row>
    <row r="1159" spans="1:15">
      <c r="E1159" s="4">
        <f t="shared" si="596"/>
        <v>1159</v>
      </c>
      <c r="F1159" s="9" t="s">
        <v>136</v>
      </c>
      <c r="L1159" s="9" t="s">
        <v>149</v>
      </c>
    </row>
    <row r="1160" spans="1:15">
      <c r="E1160" s="4">
        <f t="shared" si="596"/>
        <v>1160</v>
      </c>
      <c r="F1160" s="9" t="s">
        <v>137</v>
      </c>
      <c r="K1160" s="9" t="s">
        <v>141</v>
      </c>
      <c r="O1160" s="23">
        <v>1</v>
      </c>
    </row>
    <row r="1161" spans="1:15">
      <c r="E1161" s="4">
        <f t="shared" si="596"/>
        <v>1161</v>
      </c>
      <c r="F1161" s="9" t="s">
        <v>137</v>
      </c>
      <c r="G1161" s="9" t="s">
        <v>262</v>
      </c>
      <c r="H1161" s="9" t="s">
        <v>32</v>
      </c>
      <c r="I1161" s="9" t="s">
        <v>34</v>
      </c>
      <c r="J1161" s="9" t="s">
        <v>263</v>
      </c>
      <c r="K1161" s="9" t="s">
        <v>140</v>
      </c>
      <c r="O1161" s="23" t="str">
        <f t="shared" ref="O1161:O1224" ca="1" si="611">CONCATENATE(RANDBETWEEN($G$27*$I$27,$H$27*$I$27)/$I$27,$J$27)</f>
        <v>-5.4,-4.5</v>
      </c>
    </row>
    <row r="1162" spans="1:15">
      <c r="E1162" s="4">
        <f t="shared" si="596"/>
        <v>1162</v>
      </c>
      <c r="F1162" s="9" t="s">
        <v>105</v>
      </c>
      <c r="O1162" s="23">
        <f t="shared" ref="O1162" si="612">O1148*10+1</f>
        <v>100551</v>
      </c>
    </row>
    <row r="1163" spans="1:15">
      <c r="E1163" s="4">
        <f t="shared" si="596"/>
        <v>1163</v>
      </c>
      <c r="F1163" s="9" t="s">
        <v>156</v>
      </c>
      <c r="O1163" s="23">
        <f t="shared" ref="O1163" si="613">O1148</f>
        <v>10055</v>
      </c>
    </row>
    <row r="1164" spans="1:15">
      <c r="E1164" s="4">
        <f t="shared" si="596"/>
        <v>1164</v>
      </c>
      <c r="F1164" s="9" t="s">
        <v>131</v>
      </c>
      <c r="O1164" s="23">
        <v>0</v>
      </c>
    </row>
    <row r="1165" spans="1:15">
      <c r="E1165" s="4">
        <f t="shared" si="596"/>
        <v>1165</v>
      </c>
      <c r="F1165" s="9" t="s">
        <v>35</v>
      </c>
      <c r="O1165" s="23" t="s">
        <v>252</v>
      </c>
    </row>
    <row r="1166" spans="1:15">
      <c r="E1166" s="4">
        <f t="shared" si="596"/>
        <v>1166</v>
      </c>
      <c r="F1166" s="9" t="s">
        <v>119</v>
      </c>
      <c r="O1166" s="23" t="s">
        <v>22</v>
      </c>
    </row>
    <row r="1167" spans="1:15">
      <c r="E1167" s="4">
        <f t="shared" si="596"/>
        <v>1167</v>
      </c>
      <c r="F1167" s="9" t="s">
        <v>117</v>
      </c>
      <c r="L1167" s="9" t="s">
        <v>138</v>
      </c>
      <c r="O1167" s="23">
        <f t="shared" ref="O1167" ca="1" si="614">O1153</f>
        <v>-104</v>
      </c>
    </row>
    <row r="1168" spans="1:15">
      <c r="B1168" s="22">
        <f t="shared" ref="B1168:B1231" si="615">QUOTIENT( D1168-1,G1169)+1</f>
        <v>19</v>
      </c>
      <c r="C1168" s="22">
        <f t="shared" ref="C1168" si="616">D1168-(B1168-1)*G1169</f>
        <v>2</v>
      </c>
      <c r="D1168" s="22">
        <f>COUNT($D$12:$D1167)+1</f>
        <v>56</v>
      </c>
      <c r="E1168" s="4"/>
    </row>
    <row r="1169" spans="1:15">
      <c r="E1169" s="4">
        <f t="shared" si="596"/>
        <v>1169</v>
      </c>
      <c r="F1169" s="9" t="s">
        <v>96</v>
      </c>
      <c r="G1169" s="9" t="s">
        <v>38</v>
      </c>
      <c r="H1169" s="9" t="s">
        <v>282</v>
      </c>
      <c r="J1169" s="9" t="s">
        <v>247</v>
      </c>
      <c r="O1169" s="23">
        <f t="shared" ref="O1169:O1232" si="617">J1169+D1168</f>
        <v>10056</v>
      </c>
    </row>
    <row r="1170" spans="1:15">
      <c r="E1170" s="4">
        <f t="shared" si="596"/>
        <v>1170</v>
      </c>
      <c r="F1170" s="9" t="s">
        <v>165</v>
      </c>
      <c r="G1170" s="9" t="s">
        <v>280</v>
      </c>
      <c r="H1170" s="9" t="s">
        <v>249</v>
      </c>
      <c r="O1170" s="23">
        <f t="shared" ref="O1170" si="618">G1170+B1168*H1170</f>
        <v>785</v>
      </c>
    </row>
    <row r="1171" spans="1:15">
      <c r="E1171" s="4">
        <f t="shared" si="596"/>
        <v>1171</v>
      </c>
      <c r="F1171" s="9" t="s">
        <v>35</v>
      </c>
      <c r="O1171" s="23" t="s">
        <v>251</v>
      </c>
    </row>
    <row r="1172" spans="1:15">
      <c r="E1172" s="4">
        <f t="shared" si="596"/>
        <v>1172</v>
      </c>
      <c r="F1172" s="9" t="s">
        <v>29</v>
      </c>
      <c r="O1172" s="23" t="s">
        <v>157</v>
      </c>
    </row>
    <row r="1173" spans="1:15">
      <c r="E1173" s="4">
        <f t="shared" si="596"/>
        <v>1173</v>
      </c>
      <c r="F1173" s="9" t="s">
        <v>122</v>
      </c>
      <c r="O1173" s="23" t="s">
        <v>158</v>
      </c>
    </row>
    <row r="1174" spans="1:15">
      <c r="E1174" s="4">
        <f t="shared" si="596"/>
        <v>1174</v>
      </c>
      <c r="F1174" s="9" t="s">
        <v>117</v>
      </c>
      <c r="G1174" s="9" t="s">
        <v>253</v>
      </c>
      <c r="H1174" s="9" t="s">
        <v>254</v>
      </c>
      <c r="I1174" s="9" t="s">
        <v>255</v>
      </c>
      <c r="J1174" s="9" t="s">
        <v>256</v>
      </c>
      <c r="L1174" s="9" t="s">
        <v>138</v>
      </c>
      <c r="O1174" s="23">
        <f t="shared" ref="O1174" ca="1" si="619">IF(MOD(D1168,2)=0,RANDBETWEEN($I$19,$J$19),RANDBETWEEN($G$19,$H$19))</f>
        <v>116</v>
      </c>
    </row>
    <row r="1175" spans="1:15">
      <c r="E1175" s="4">
        <f t="shared" si="596"/>
        <v>1175</v>
      </c>
      <c r="F1175" s="9" t="s">
        <v>30</v>
      </c>
      <c r="O1175" s="23" t="s">
        <v>33</v>
      </c>
    </row>
    <row r="1176" spans="1:15">
      <c r="E1176" s="4">
        <f t="shared" si="596"/>
        <v>1176</v>
      </c>
      <c r="F1176" s="9" t="s">
        <v>119</v>
      </c>
      <c r="G1176" s="9" t="s">
        <v>257</v>
      </c>
      <c r="H1176" s="9" t="s">
        <v>258</v>
      </c>
      <c r="I1176" s="9" t="s">
        <v>34</v>
      </c>
      <c r="O1176" s="23">
        <f t="shared" ref="O1176:O1239" ca="1" si="620">RANDBETWEEN($G$21*$I$21,$H$21*$I$21)/$I$21</f>
        <v>-6.7</v>
      </c>
    </row>
    <row r="1177" spans="1:15">
      <c r="E1177" s="4">
        <f t="shared" si="596"/>
        <v>1177</v>
      </c>
      <c r="F1177" s="9" t="s">
        <v>112</v>
      </c>
      <c r="O1177" s="23">
        <v>0</v>
      </c>
    </row>
    <row r="1178" spans="1:15">
      <c r="E1178" s="4">
        <f t="shared" si="596"/>
        <v>1178</v>
      </c>
      <c r="F1178" s="9" t="s">
        <v>102</v>
      </c>
      <c r="G1178" s="9" t="s">
        <v>259</v>
      </c>
      <c r="H1178" s="9" t="s">
        <v>260</v>
      </c>
      <c r="I1178" s="9" t="s">
        <v>34</v>
      </c>
      <c r="J1178" s="9" t="s">
        <v>261</v>
      </c>
      <c r="K1178" s="9" t="s">
        <v>140</v>
      </c>
      <c r="O1178" s="23" t="str">
        <f t="shared" ref="O1178:O1241" ca="1" si="621">CONCATENATE(RANDBETWEEN($G$23*$I$23,$H$23*$I$23)/$I$23,$J$23)</f>
        <v>2.4,6</v>
      </c>
    </row>
    <row r="1179" spans="1:15">
      <c r="E1179" s="4">
        <f t="shared" si="596"/>
        <v>1179</v>
      </c>
      <c r="F1179" s="9" t="s">
        <v>31</v>
      </c>
      <c r="L1179" s="9" t="s">
        <v>148</v>
      </c>
    </row>
    <row r="1180" spans="1:15">
      <c r="A1180" s="9"/>
      <c r="B1180" s="9"/>
      <c r="C1180" s="9"/>
      <c r="D1180" s="9"/>
      <c r="E1180" s="4">
        <f t="shared" si="596"/>
        <v>1180</v>
      </c>
      <c r="F1180" s="9" t="s">
        <v>136</v>
      </c>
      <c r="L1180" s="9" t="s">
        <v>149</v>
      </c>
    </row>
    <row r="1181" spans="1:15">
      <c r="E1181" s="4">
        <f t="shared" si="596"/>
        <v>1181</v>
      </c>
      <c r="F1181" s="9" t="s">
        <v>137</v>
      </c>
      <c r="K1181" s="9" t="s">
        <v>141</v>
      </c>
      <c r="O1181" s="23">
        <v>1</v>
      </c>
    </row>
    <row r="1182" spans="1:15">
      <c r="E1182" s="4">
        <f t="shared" si="596"/>
        <v>1182</v>
      </c>
      <c r="F1182" s="9" t="s">
        <v>137</v>
      </c>
      <c r="G1182" s="9" t="s">
        <v>262</v>
      </c>
      <c r="H1182" s="9" t="s">
        <v>32</v>
      </c>
      <c r="I1182" s="9" t="s">
        <v>34</v>
      </c>
      <c r="J1182" s="9" t="s">
        <v>263</v>
      </c>
      <c r="K1182" s="9" t="s">
        <v>140</v>
      </c>
      <c r="O1182" s="23" t="str">
        <f t="shared" ref="O1182:O1245" ca="1" si="622">CONCATENATE(RANDBETWEEN($G$27*$I$27,$H$27*$I$27)/$I$27,$J$27)</f>
        <v>1.1,-4.5</v>
      </c>
    </row>
    <row r="1183" spans="1:15">
      <c r="E1183" s="4">
        <f t="shared" si="596"/>
        <v>1183</v>
      </c>
      <c r="F1183" s="9" t="s">
        <v>105</v>
      </c>
      <c r="O1183" s="23">
        <f t="shared" ref="O1183" si="623">O1169*10+1</f>
        <v>100561</v>
      </c>
    </row>
    <row r="1184" spans="1:15">
      <c r="E1184" s="4">
        <f t="shared" si="596"/>
        <v>1184</v>
      </c>
      <c r="F1184" s="9" t="s">
        <v>156</v>
      </c>
      <c r="O1184" s="23">
        <f t="shared" ref="O1184" si="624">O1169</f>
        <v>10056</v>
      </c>
    </row>
    <row r="1185" spans="2:15">
      <c r="E1185" s="4">
        <f t="shared" si="596"/>
        <v>1185</v>
      </c>
      <c r="F1185" s="9" t="s">
        <v>131</v>
      </c>
      <c r="O1185" s="23">
        <v>0</v>
      </c>
    </row>
    <row r="1186" spans="2:15">
      <c r="E1186" s="4">
        <f t="shared" si="596"/>
        <v>1186</v>
      </c>
      <c r="F1186" s="9" t="s">
        <v>35</v>
      </c>
      <c r="O1186" s="23" t="s">
        <v>252</v>
      </c>
    </row>
    <row r="1187" spans="2:15">
      <c r="E1187" s="4">
        <f t="shared" si="596"/>
        <v>1187</v>
      </c>
      <c r="F1187" s="9" t="s">
        <v>119</v>
      </c>
      <c r="O1187" s="23" t="s">
        <v>22</v>
      </c>
    </row>
    <row r="1188" spans="2:15">
      <c r="E1188" s="4">
        <f t="shared" si="596"/>
        <v>1188</v>
      </c>
      <c r="F1188" s="9" t="s">
        <v>117</v>
      </c>
      <c r="L1188" s="9" t="s">
        <v>138</v>
      </c>
      <c r="O1188" s="23">
        <f t="shared" ref="O1188" ca="1" si="625">O1174</f>
        <v>116</v>
      </c>
    </row>
    <row r="1189" spans="2:15">
      <c r="B1189" s="22">
        <f t="shared" ref="B1189:B1252" si="626">QUOTIENT( D1189-1,G1190)+1</f>
        <v>19</v>
      </c>
      <c r="C1189" s="22">
        <f t="shared" ref="C1189" si="627">D1189-(B1189-1)*G1190</f>
        <v>3</v>
      </c>
      <c r="D1189" s="22">
        <f>COUNT($D$12:$D1188)+1</f>
        <v>57</v>
      </c>
      <c r="E1189" s="4"/>
    </row>
    <row r="1190" spans="2:15">
      <c r="E1190" s="4">
        <f t="shared" si="596"/>
        <v>1190</v>
      </c>
      <c r="F1190" s="9" t="s">
        <v>96</v>
      </c>
      <c r="G1190" s="9" t="s">
        <v>38</v>
      </c>
      <c r="H1190" s="9" t="s">
        <v>282</v>
      </c>
      <c r="J1190" s="9" t="s">
        <v>247</v>
      </c>
      <c r="O1190" s="23">
        <f t="shared" ref="O1190:O1253" si="628">J1190+D1189</f>
        <v>10057</v>
      </c>
    </row>
    <row r="1191" spans="2:15">
      <c r="E1191" s="4">
        <f t="shared" si="596"/>
        <v>1191</v>
      </c>
      <c r="F1191" s="9" t="s">
        <v>165</v>
      </c>
      <c r="G1191" s="9" t="s">
        <v>280</v>
      </c>
      <c r="H1191" s="9" t="s">
        <v>249</v>
      </c>
      <c r="O1191" s="23">
        <f t="shared" ref="O1191" si="629">G1191+B1189*H1191</f>
        <v>785</v>
      </c>
    </row>
    <row r="1192" spans="2:15">
      <c r="E1192" s="4">
        <f t="shared" si="596"/>
        <v>1192</v>
      </c>
      <c r="F1192" s="9" t="s">
        <v>35</v>
      </c>
      <c r="O1192" s="23" t="s">
        <v>251</v>
      </c>
    </row>
    <row r="1193" spans="2:15">
      <c r="E1193" s="4">
        <f t="shared" si="596"/>
        <v>1193</v>
      </c>
      <c r="F1193" s="9" t="s">
        <v>29</v>
      </c>
      <c r="O1193" s="23" t="s">
        <v>157</v>
      </c>
    </row>
    <row r="1194" spans="2:15">
      <c r="E1194" s="4">
        <f t="shared" ref="E1194:E1257" si="630">ROW(E1194)</f>
        <v>1194</v>
      </c>
      <c r="F1194" s="9" t="s">
        <v>122</v>
      </c>
      <c r="O1194" s="23" t="s">
        <v>158</v>
      </c>
    </row>
    <row r="1195" spans="2:15">
      <c r="E1195" s="4">
        <f t="shared" si="630"/>
        <v>1195</v>
      </c>
      <c r="F1195" s="9" t="s">
        <v>117</v>
      </c>
      <c r="G1195" s="9" t="s">
        <v>253</v>
      </c>
      <c r="H1195" s="9" t="s">
        <v>254</v>
      </c>
      <c r="I1195" s="9" t="s">
        <v>255</v>
      </c>
      <c r="J1195" s="9" t="s">
        <v>256</v>
      </c>
      <c r="L1195" s="9" t="s">
        <v>138</v>
      </c>
      <c r="O1195" s="23">
        <f t="shared" ref="O1195" ca="1" si="631">IF(MOD(D1189,2)=0,RANDBETWEEN($I$19,$J$19),RANDBETWEEN($G$19,$H$19))</f>
        <v>-85</v>
      </c>
    </row>
    <row r="1196" spans="2:15">
      <c r="E1196" s="4">
        <f t="shared" si="630"/>
        <v>1196</v>
      </c>
      <c r="F1196" s="9" t="s">
        <v>30</v>
      </c>
      <c r="O1196" s="23" t="s">
        <v>33</v>
      </c>
    </row>
    <row r="1197" spans="2:15">
      <c r="E1197" s="4">
        <f t="shared" si="630"/>
        <v>1197</v>
      </c>
      <c r="F1197" s="9" t="s">
        <v>119</v>
      </c>
      <c r="G1197" s="9" t="s">
        <v>257</v>
      </c>
      <c r="H1197" s="9" t="s">
        <v>258</v>
      </c>
      <c r="I1197" s="9" t="s">
        <v>34</v>
      </c>
      <c r="O1197" s="23">
        <f t="shared" ref="O1197:O1260" ca="1" si="632">RANDBETWEEN($G$21*$I$21,$H$21*$I$21)/$I$21</f>
        <v>-8.6</v>
      </c>
    </row>
    <row r="1198" spans="2:15">
      <c r="E1198" s="4">
        <f t="shared" si="630"/>
        <v>1198</v>
      </c>
      <c r="F1198" s="9" t="s">
        <v>112</v>
      </c>
      <c r="O1198" s="23">
        <v>0</v>
      </c>
    </row>
    <row r="1199" spans="2:15">
      <c r="E1199" s="4">
        <f t="shared" si="630"/>
        <v>1199</v>
      </c>
      <c r="F1199" s="9" t="s">
        <v>102</v>
      </c>
      <c r="G1199" s="9" t="s">
        <v>259</v>
      </c>
      <c r="H1199" s="9" t="s">
        <v>260</v>
      </c>
      <c r="I1199" s="9" t="s">
        <v>34</v>
      </c>
      <c r="J1199" s="9" t="s">
        <v>261</v>
      </c>
      <c r="K1199" s="9" t="s">
        <v>140</v>
      </c>
      <c r="O1199" s="23" t="str">
        <f t="shared" ref="O1199:O1262" ca="1" si="633">CONCATENATE(RANDBETWEEN($G$23*$I$23,$H$23*$I$23)/$I$23,$J$23)</f>
        <v>-0.9,6</v>
      </c>
    </row>
    <row r="1200" spans="2:15">
      <c r="E1200" s="4">
        <f t="shared" si="630"/>
        <v>1200</v>
      </c>
      <c r="F1200" s="9" t="s">
        <v>31</v>
      </c>
      <c r="L1200" s="9" t="s">
        <v>148</v>
      </c>
    </row>
    <row r="1201" spans="1:15">
      <c r="E1201" s="4">
        <f t="shared" si="630"/>
        <v>1201</v>
      </c>
      <c r="F1201" s="9" t="s">
        <v>136</v>
      </c>
      <c r="L1201" s="9" t="s">
        <v>149</v>
      </c>
    </row>
    <row r="1202" spans="1:15">
      <c r="A1202" s="9"/>
      <c r="B1202" s="9"/>
      <c r="C1202" s="9"/>
      <c r="D1202" s="9"/>
      <c r="E1202" s="4">
        <f t="shared" si="630"/>
        <v>1202</v>
      </c>
      <c r="F1202" s="9" t="s">
        <v>137</v>
      </c>
      <c r="K1202" s="9" t="s">
        <v>141</v>
      </c>
      <c r="O1202" s="23">
        <v>1</v>
      </c>
    </row>
    <row r="1203" spans="1:15">
      <c r="E1203" s="4">
        <f t="shared" si="630"/>
        <v>1203</v>
      </c>
      <c r="F1203" s="9" t="s">
        <v>137</v>
      </c>
      <c r="G1203" s="9" t="s">
        <v>262</v>
      </c>
      <c r="H1203" s="9" t="s">
        <v>32</v>
      </c>
      <c r="I1203" s="9" t="s">
        <v>34</v>
      </c>
      <c r="J1203" s="9" t="s">
        <v>263</v>
      </c>
      <c r="K1203" s="9" t="s">
        <v>140</v>
      </c>
      <c r="O1203" s="23" t="str">
        <f t="shared" ref="O1203:O1266" ca="1" si="634">CONCATENATE(RANDBETWEEN($G$27*$I$27,$H$27*$I$27)/$I$27,$J$27)</f>
        <v>-5,-4.5</v>
      </c>
    </row>
    <row r="1204" spans="1:15">
      <c r="E1204" s="4">
        <f t="shared" si="630"/>
        <v>1204</v>
      </c>
      <c r="F1204" s="9" t="s">
        <v>105</v>
      </c>
      <c r="O1204" s="23">
        <f t="shared" ref="O1204" si="635">O1190*10+1</f>
        <v>100571</v>
      </c>
    </row>
    <row r="1205" spans="1:15">
      <c r="E1205" s="4">
        <f t="shared" si="630"/>
        <v>1205</v>
      </c>
      <c r="F1205" s="9" t="s">
        <v>156</v>
      </c>
      <c r="O1205" s="23">
        <f t="shared" ref="O1205" si="636">O1190</f>
        <v>10057</v>
      </c>
    </row>
    <row r="1206" spans="1:15">
      <c r="E1206" s="4">
        <f t="shared" si="630"/>
        <v>1206</v>
      </c>
      <c r="F1206" s="9" t="s">
        <v>131</v>
      </c>
      <c r="O1206" s="23">
        <v>0</v>
      </c>
    </row>
    <row r="1207" spans="1:15">
      <c r="E1207" s="4">
        <f t="shared" si="630"/>
        <v>1207</v>
      </c>
      <c r="F1207" s="9" t="s">
        <v>35</v>
      </c>
      <c r="O1207" s="23" t="s">
        <v>252</v>
      </c>
    </row>
    <row r="1208" spans="1:15">
      <c r="E1208" s="4">
        <f t="shared" si="630"/>
        <v>1208</v>
      </c>
      <c r="F1208" s="9" t="s">
        <v>119</v>
      </c>
      <c r="O1208" s="23" t="s">
        <v>22</v>
      </c>
    </row>
    <row r="1209" spans="1:15">
      <c r="E1209" s="4">
        <f t="shared" si="630"/>
        <v>1209</v>
      </c>
      <c r="F1209" s="9" t="s">
        <v>117</v>
      </c>
      <c r="L1209" s="9" t="s">
        <v>138</v>
      </c>
      <c r="O1209" s="23">
        <f t="shared" ref="O1209" ca="1" si="637">O1195</f>
        <v>-85</v>
      </c>
    </row>
    <row r="1210" spans="1:15">
      <c r="B1210" s="22">
        <f t="shared" ref="B1210:B1273" si="638">QUOTIENT( D1210-1,G1211)+1</f>
        <v>20</v>
      </c>
      <c r="C1210" s="22">
        <f t="shared" ref="C1210" si="639">D1210-(B1210-1)*G1211</f>
        <v>1</v>
      </c>
      <c r="D1210" s="22">
        <f>COUNT($D$12:$D1209)+1</f>
        <v>58</v>
      </c>
      <c r="E1210" s="4"/>
    </row>
    <row r="1211" spans="1:15">
      <c r="E1211" s="4">
        <f t="shared" si="630"/>
        <v>1211</v>
      </c>
      <c r="F1211" s="9" t="s">
        <v>96</v>
      </c>
      <c r="G1211" s="9" t="s">
        <v>38</v>
      </c>
      <c r="H1211" s="9" t="s">
        <v>282</v>
      </c>
      <c r="J1211" s="9" t="s">
        <v>247</v>
      </c>
      <c r="O1211" s="23">
        <f t="shared" ref="O1211:O1274" si="640">J1211+D1210</f>
        <v>10058</v>
      </c>
    </row>
    <row r="1212" spans="1:15">
      <c r="E1212" s="4">
        <f t="shared" si="630"/>
        <v>1212</v>
      </c>
      <c r="F1212" s="9" t="s">
        <v>165</v>
      </c>
      <c r="G1212" s="9" t="s">
        <v>280</v>
      </c>
      <c r="H1212" s="9" t="s">
        <v>249</v>
      </c>
      <c r="O1212" s="23">
        <f t="shared" ref="O1212" si="641">G1212+B1210*H1212</f>
        <v>800</v>
      </c>
    </row>
    <row r="1213" spans="1:15">
      <c r="E1213" s="4">
        <f t="shared" si="630"/>
        <v>1213</v>
      </c>
      <c r="F1213" s="9" t="s">
        <v>35</v>
      </c>
      <c r="O1213" s="23" t="s">
        <v>251</v>
      </c>
    </row>
    <row r="1214" spans="1:15">
      <c r="E1214" s="4">
        <f t="shared" si="630"/>
        <v>1214</v>
      </c>
      <c r="F1214" s="9" t="s">
        <v>29</v>
      </c>
      <c r="O1214" s="23" t="s">
        <v>157</v>
      </c>
    </row>
    <row r="1215" spans="1:15">
      <c r="E1215" s="4">
        <f t="shared" si="630"/>
        <v>1215</v>
      </c>
      <c r="F1215" s="9" t="s">
        <v>122</v>
      </c>
      <c r="O1215" s="23" t="s">
        <v>158</v>
      </c>
    </row>
    <row r="1216" spans="1:15">
      <c r="E1216" s="4">
        <f t="shared" si="630"/>
        <v>1216</v>
      </c>
      <c r="F1216" s="9" t="s">
        <v>117</v>
      </c>
      <c r="G1216" s="9" t="s">
        <v>253</v>
      </c>
      <c r="H1216" s="9" t="s">
        <v>254</v>
      </c>
      <c r="I1216" s="9" t="s">
        <v>255</v>
      </c>
      <c r="J1216" s="9" t="s">
        <v>256</v>
      </c>
      <c r="L1216" s="9" t="s">
        <v>138</v>
      </c>
      <c r="O1216" s="23">
        <f t="shared" ref="O1216" ca="1" si="642">IF(MOD(D1210,2)=0,RANDBETWEEN($I$19,$J$19),RANDBETWEEN($G$19,$H$19))</f>
        <v>87</v>
      </c>
    </row>
    <row r="1217" spans="1:15">
      <c r="E1217" s="4">
        <f t="shared" si="630"/>
        <v>1217</v>
      </c>
      <c r="F1217" s="9" t="s">
        <v>30</v>
      </c>
      <c r="O1217" s="23" t="s">
        <v>33</v>
      </c>
    </row>
    <row r="1218" spans="1:15">
      <c r="E1218" s="4">
        <f t="shared" si="630"/>
        <v>1218</v>
      </c>
      <c r="F1218" s="9" t="s">
        <v>119</v>
      </c>
      <c r="G1218" s="9" t="s">
        <v>257</v>
      </c>
      <c r="H1218" s="9" t="s">
        <v>258</v>
      </c>
      <c r="I1218" s="9" t="s">
        <v>34</v>
      </c>
      <c r="O1218" s="23">
        <f t="shared" ref="O1218:O1281" ca="1" si="643">RANDBETWEEN($G$21*$I$21,$H$21*$I$21)/$I$21</f>
        <v>-5.9</v>
      </c>
    </row>
    <row r="1219" spans="1:15">
      <c r="E1219" s="4">
        <f t="shared" si="630"/>
        <v>1219</v>
      </c>
      <c r="F1219" s="9" t="s">
        <v>112</v>
      </c>
      <c r="O1219" s="23">
        <v>0</v>
      </c>
    </row>
    <row r="1220" spans="1:15">
      <c r="E1220" s="4">
        <f t="shared" si="630"/>
        <v>1220</v>
      </c>
      <c r="F1220" s="9" t="s">
        <v>102</v>
      </c>
      <c r="G1220" s="9" t="s">
        <v>259</v>
      </c>
      <c r="H1220" s="9" t="s">
        <v>260</v>
      </c>
      <c r="I1220" s="9" t="s">
        <v>34</v>
      </c>
      <c r="J1220" s="9" t="s">
        <v>261</v>
      </c>
      <c r="K1220" s="9" t="s">
        <v>140</v>
      </c>
      <c r="O1220" s="23" t="str">
        <f t="shared" ref="O1220:O1283" ca="1" si="644">CONCATENATE(RANDBETWEEN($G$23*$I$23,$H$23*$I$23)/$I$23,$J$23)</f>
        <v>-3.6,6</v>
      </c>
    </row>
    <row r="1221" spans="1:15">
      <c r="E1221" s="4">
        <f t="shared" si="630"/>
        <v>1221</v>
      </c>
      <c r="F1221" s="9" t="s">
        <v>31</v>
      </c>
      <c r="L1221" s="9" t="s">
        <v>148</v>
      </c>
    </row>
    <row r="1222" spans="1:15">
      <c r="E1222" s="4">
        <f t="shared" si="630"/>
        <v>1222</v>
      </c>
      <c r="F1222" s="9" t="s">
        <v>136</v>
      </c>
      <c r="L1222" s="9" t="s">
        <v>149</v>
      </c>
    </row>
    <row r="1223" spans="1:15">
      <c r="E1223" s="4">
        <f t="shared" si="630"/>
        <v>1223</v>
      </c>
      <c r="F1223" s="9" t="s">
        <v>137</v>
      </c>
      <c r="K1223" s="9" t="s">
        <v>141</v>
      </c>
      <c r="O1223" s="23">
        <v>1</v>
      </c>
    </row>
    <row r="1224" spans="1:15">
      <c r="A1224" s="9"/>
      <c r="B1224" s="9"/>
      <c r="C1224" s="9"/>
      <c r="D1224" s="9"/>
      <c r="E1224" s="4">
        <f t="shared" si="630"/>
        <v>1224</v>
      </c>
      <c r="F1224" s="9" t="s">
        <v>137</v>
      </c>
      <c r="G1224" s="9" t="s">
        <v>262</v>
      </c>
      <c r="H1224" s="9" t="s">
        <v>32</v>
      </c>
      <c r="I1224" s="9" t="s">
        <v>34</v>
      </c>
      <c r="J1224" s="9" t="s">
        <v>263</v>
      </c>
      <c r="K1224" s="9" t="s">
        <v>140</v>
      </c>
      <c r="O1224" s="23" t="str">
        <f t="shared" ref="O1224:O1287" ca="1" si="645">CONCATENATE(RANDBETWEEN($G$27*$I$27,$H$27*$I$27)/$I$27,$J$27)</f>
        <v>1.1,-4.5</v>
      </c>
    </row>
    <row r="1225" spans="1:15">
      <c r="E1225" s="4">
        <f t="shared" si="630"/>
        <v>1225</v>
      </c>
      <c r="F1225" s="9" t="s">
        <v>105</v>
      </c>
      <c r="O1225" s="23">
        <f t="shared" ref="O1225" si="646">O1211*10+1</f>
        <v>100581</v>
      </c>
    </row>
    <row r="1226" spans="1:15">
      <c r="E1226" s="4">
        <f t="shared" si="630"/>
        <v>1226</v>
      </c>
      <c r="F1226" s="9" t="s">
        <v>156</v>
      </c>
      <c r="O1226" s="23">
        <f t="shared" ref="O1226" si="647">O1211</f>
        <v>10058</v>
      </c>
    </row>
    <row r="1227" spans="1:15">
      <c r="E1227" s="4">
        <f t="shared" si="630"/>
        <v>1227</v>
      </c>
      <c r="F1227" s="9" t="s">
        <v>131</v>
      </c>
      <c r="O1227" s="23">
        <v>0</v>
      </c>
    </row>
    <row r="1228" spans="1:15">
      <c r="E1228" s="4">
        <f t="shared" si="630"/>
        <v>1228</v>
      </c>
      <c r="F1228" s="9" t="s">
        <v>35</v>
      </c>
      <c r="O1228" s="23" t="s">
        <v>252</v>
      </c>
    </row>
    <row r="1229" spans="1:15">
      <c r="E1229" s="4">
        <f t="shared" si="630"/>
        <v>1229</v>
      </c>
      <c r="F1229" s="9" t="s">
        <v>119</v>
      </c>
      <c r="O1229" s="23" t="s">
        <v>22</v>
      </c>
    </row>
    <row r="1230" spans="1:15">
      <c r="E1230" s="4">
        <f t="shared" si="630"/>
        <v>1230</v>
      </c>
      <c r="F1230" s="9" t="s">
        <v>117</v>
      </c>
      <c r="L1230" s="9" t="s">
        <v>138</v>
      </c>
      <c r="O1230" s="23">
        <f t="shared" ref="O1230" ca="1" si="648">O1216</f>
        <v>87</v>
      </c>
    </row>
    <row r="1231" spans="1:15">
      <c r="B1231" s="22">
        <f t="shared" ref="B1231:B1294" si="649">QUOTIENT( D1231-1,G1232)+1</f>
        <v>20</v>
      </c>
      <c r="C1231" s="22">
        <f t="shared" ref="C1231" si="650">D1231-(B1231-1)*G1232</f>
        <v>2</v>
      </c>
      <c r="D1231" s="22">
        <f>COUNT($D$12:$D1230)+1</f>
        <v>59</v>
      </c>
      <c r="E1231" s="4"/>
    </row>
    <row r="1232" spans="1:15">
      <c r="E1232" s="4">
        <f t="shared" si="630"/>
        <v>1232</v>
      </c>
      <c r="F1232" s="9" t="s">
        <v>96</v>
      </c>
      <c r="G1232" s="9" t="s">
        <v>38</v>
      </c>
      <c r="H1232" s="9" t="s">
        <v>282</v>
      </c>
      <c r="J1232" s="9" t="s">
        <v>247</v>
      </c>
      <c r="O1232" s="23">
        <f t="shared" ref="O1232:O1295" si="651">J1232+D1231</f>
        <v>10059</v>
      </c>
    </row>
    <row r="1233" spans="1:15">
      <c r="E1233" s="4">
        <f t="shared" si="630"/>
        <v>1233</v>
      </c>
      <c r="F1233" s="9" t="s">
        <v>165</v>
      </c>
      <c r="G1233" s="9" t="s">
        <v>280</v>
      </c>
      <c r="H1233" s="9" t="s">
        <v>249</v>
      </c>
      <c r="O1233" s="23">
        <f t="shared" ref="O1233" si="652">G1233+B1231*H1233</f>
        <v>800</v>
      </c>
    </row>
    <row r="1234" spans="1:15">
      <c r="E1234" s="4">
        <f t="shared" si="630"/>
        <v>1234</v>
      </c>
      <c r="F1234" s="9" t="s">
        <v>35</v>
      </c>
      <c r="O1234" s="23" t="s">
        <v>251</v>
      </c>
    </row>
    <row r="1235" spans="1:15">
      <c r="E1235" s="4">
        <f t="shared" si="630"/>
        <v>1235</v>
      </c>
      <c r="F1235" s="9" t="s">
        <v>29</v>
      </c>
      <c r="O1235" s="23" t="s">
        <v>157</v>
      </c>
    </row>
    <row r="1236" spans="1:15">
      <c r="E1236" s="4">
        <f t="shared" si="630"/>
        <v>1236</v>
      </c>
      <c r="F1236" s="9" t="s">
        <v>122</v>
      </c>
      <c r="O1236" s="23" t="s">
        <v>158</v>
      </c>
    </row>
    <row r="1237" spans="1:15">
      <c r="E1237" s="4">
        <f t="shared" si="630"/>
        <v>1237</v>
      </c>
      <c r="F1237" s="9" t="s">
        <v>117</v>
      </c>
      <c r="G1237" s="9" t="s">
        <v>253</v>
      </c>
      <c r="H1237" s="9" t="s">
        <v>254</v>
      </c>
      <c r="I1237" s="9" t="s">
        <v>255</v>
      </c>
      <c r="J1237" s="9" t="s">
        <v>256</v>
      </c>
      <c r="L1237" s="9" t="s">
        <v>138</v>
      </c>
      <c r="O1237" s="23">
        <f t="shared" ref="O1237" ca="1" si="653">IF(MOD(D1231,2)=0,RANDBETWEEN($I$19,$J$19),RANDBETWEEN($G$19,$H$19))</f>
        <v>-101</v>
      </c>
    </row>
    <row r="1238" spans="1:15">
      <c r="E1238" s="4">
        <f t="shared" si="630"/>
        <v>1238</v>
      </c>
      <c r="F1238" s="9" t="s">
        <v>30</v>
      </c>
      <c r="O1238" s="23" t="s">
        <v>33</v>
      </c>
    </row>
    <row r="1239" spans="1:15">
      <c r="E1239" s="4">
        <f t="shared" si="630"/>
        <v>1239</v>
      </c>
      <c r="F1239" s="9" t="s">
        <v>119</v>
      </c>
      <c r="G1239" s="9" t="s">
        <v>257</v>
      </c>
      <c r="H1239" s="9" t="s">
        <v>258</v>
      </c>
      <c r="I1239" s="9" t="s">
        <v>34</v>
      </c>
      <c r="O1239" s="23">
        <f t="shared" ref="O1239:O1302" ca="1" si="654">RANDBETWEEN($G$21*$I$21,$H$21*$I$21)/$I$21</f>
        <v>-4.5999999999999996</v>
      </c>
    </row>
    <row r="1240" spans="1:15">
      <c r="E1240" s="4">
        <f t="shared" si="630"/>
        <v>1240</v>
      </c>
      <c r="F1240" s="9" t="s">
        <v>112</v>
      </c>
      <c r="O1240" s="23">
        <v>0</v>
      </c>
    </row>
    <row r="1241" spans="1:15">
      <c r="E1241" s="4">
        <f t="shared" si="630"/>
        <v>1241</v>
      </c>
      <c r="F1241" s="9" t="s">
        <v>102</v>
      </c>
      <c r="G1241" s="9" t="s">
        <v>259</v>
      </c>
      <c r="H1241" s="9" t="s">
        <v>260</v>
      </c>
      <c r="I1241" s="9" t="s">
        <v>34</v>
      </c>
      <c r="J1241" s="9" t="s">
        <v>261</v>
      </c>
      <c r="K1241" s="9" t="s">
        <v>140</v>
      </c>
      <c r="O1241" s="23" t="str">
        <f t="shared" ref="O1241:O1304" ca="1" si="655">CONCATENATE(RANDBETWEEN($G$23*$I$23,$H$23*$I$23)/$I$23,$J$23)</f>
        <v>4.5,6</v>
      </c>
    </row>
    <row r="1242" spans="1:15">
      <c r="E1242" s="4">
        <f t="shared" si="630"/>
        <v>1242</v>
      </c>
      <c r="F1242" s="9" t="s">
        <v>31</v>
      </c>
      <c r="L1242" s="9" t="s">
        <v>148</v>
      </c>
    </row>
    <row r="1243" spans="1:15">
      <c r="E1243" s="4">
        <f t="shared" si="630"/>
        <v>1243</v>
      </c>
      <c r="F1243" s="9" t="s">
        <v>136</v>
      </c>
      <c r="L1243" s="9" t="s">
        <v>149</v>
      </c>
    </row>
    <row r="1244" spans="1:15">
      <c r="E1244" s="4">
        <f t="shared" si="630"/>
        <v>1244</v>
      </c>
      <c r="F1244" s="9" t="s">
        <v>137</v>
      </c>
      <c r="K1244" s="9" t="s">
        <v>141</v>
      </c>
      <c r="O1244" s="23">
        <v>1</v>
      </c>
    </row>
    <row r="1245" spans="1:15">
      <c r="E1245" s="4">
        <f t="shared" si="630"/>
        <v>1245</v>
      </c>
      <c r="F1245" s="9" t="s">
        <v>137</v>
      </c>
      <c r="G1245" s="9" t="s">
        <v>262</v>
      </c>
      <c r="H1245" s="9" t="s">
        <v>32</v>
      </c>
      <c r="I1245" s="9" t="s">
        <v>34</v>
      </c>
      <c r="J1245" s="9" t="s">
        <v>263</v>
      </c>
      <c r="K1245" s="9" t="s">
        <v>140</v>
      </c>
      <c r="O1245" s="23" t="str">
        <f t="shared" ref="O1245:O1308" ca="1" si="656">CONCATENATE(RANDBETWEEN($G$27*$I$27,$H$27*$I$27)/$I$27,$J$27)</f>
        <v>4.9,-4.5</v>
      </c>
    </row>
    <row r="1246" spans="1:15">
      <c r="A1246" s="9"/>
      <c r="B1246" s="9"/>
      <c r="C1246" s="9"/>
      <c r="D1246" s="9"/>
      <c r="E1246" s="4">
        <f t="shared" si="630"/>
        <v>1246</v>
      </c>
      <c r="F1246" s="9" t="s">
        <v>105</v>
      </c>
      <c r="O1246" s="23">
        <f t="shared" ref="O1246" si="657">O1232*10+1</f>
        <v>100591</v>
      </c>
    </row>
    <row r="1247" spans="1:15">
      <c r="E1247" s="4">
        <f t="shared" si="630"/>
        <v>1247</v>
      </c>
      <c r="F1247" s="9" t="s">
        <v>156</v>
      </c>
      <c r="O1247" s="23">
        <f t="shared" ref="O1247" si="658">O1232</f>
        <v>10059</v>
      </c>
    </row>
    <row r="1248" spans="1:15">
      <c r="E1248" s="4">
        <f t="shared" si="630"/>
        <v>1248</v>
      </c>
      <c r="F1248" s="9" t="s">
        <v>131</v>
      </c>
      <c r="O1248" s="23">
        <v>0</v>
      </c>
    </row>
    <row r="1249" spans="2:15">
      <c r="E1249" s="4">
        <f t="shared" si="630"/>
        <v>1249</v>
      </c>
      <c r="F1249" s="9" t="s">
        <v>35</v>
      </c>
      <c r="O1249" s="23" t="s">
        <v>252</v>
      </c>
    </row>
    <row r="1250" spans="2:15">
      <c r="E1250" s="4">
        <f t="shared" si="630"/>
        <v>1250</v>
      </c>
      <c r="F1250" s="9" t="s">
        <v>119</v>
      </c>
      <c r="O1250" s="23" t="s">
        <v>22</v>
      </c>
    </row>
    <row r="1251" spans="2:15">
      <c r="E1251" s="4">
        <f t="shared" si="630"/>
        <v>1251</v>
      </c>
      <c r="F1251" s="9" t="s">
        <v>117</v>
      </c>
      <c r="L1251" s="9" t="s">
        <v>138</v>
      </c>
      <c r="O1251" s="23">
        <f t="shared" ref="O1251" ca="1" si="659">O1237</f>
        <v>-101</v>
      </c>
    </row>
    <row r="1252" spans="2:15">
      <c r="B1252" s="22">
        <f t="shared" ref="B1252:B1315" si="660">QUOTIENT( D1252-1,G1253)+1</f>
        <v>20</v>
      </c>
      <c r="C1252" s="22">
        <f t="shared" ref="C1252" si="661">D1252-(B1252-1)*G1253</f>
        <v>3</v>
      </c>
      <c r="D1252" s="22">
        <f>COUNT($D$12:$D1251)+1</f>
        <v>60</v>
      </c>
      <c r="E1252" s="4"/>
    </row>
    <row r="1253" spans="2:15">
      <c r="E1253" s="4">
        <f t="shared" si="630"/>
        <v>1253</v>
      </c>
      <c r="F1253" s="9" t="s">
        <v>96</v>
      </c>
      <c r="G1253" s="9" t="s">
        <v>38</v>
      </c>
      <c r="H1253" s="9" t="s">
        <v>282</v>
      </c>
      <c r="J1253" s="9" t="s">
        <v>247</v>
      </c>
      <c r="O1253" s="23">
        <f t="shared" ref="O1253:O1316" si="662">J1253+D1252</f>
        <v>10060</v>
      </c>
    </row>
    <row r="1254" spans="2:15">
      <c r="E1254" s="4">
        <f t="shared" si="630"/>
        <v>1254</v>
      </c>
      <c r="F1254" s="9" t="s">
        <v>165</v>
      </c>
      <c r="G1254" s="9" t="s">
        <v>280</v>
      </c>
      <c r="H1254" s="9" t="s">
        <v>249</v>
      </c>
      <c r="O1254" s="23">
        <f t="shared" ref="O1254" si="663">G1254+B1252*H1254</f>
        <v>800</v>
      </c>
    </row>
    <row r="1255" spans="2:15">
      <c r="E1255" s="4">
        <f t="shared" si="630"/>
        <v>1255</v>
      </c>
      <c r="F1255" s="9" t="s">
        <v>35</v>
      </c>
      <c r="O1255" s="23" t="s">
        <v>251</v>
      </c>
    </row>
    <row r="1256" spans="2:15">
      <c r="E1256" s="4">
        <f t="shared" si="630"/>
        <v>1256</v>
      </c>
      <c r="F1256" s="9" t="s">
        <v>29</v>
      </c>
      <c r="O1256" s="23" t="s">
        <v>157</v>
      </c>
    </row>
    <row r="1257" spans="2:15">
      <c r="E1257" s="4">
        <f t="shared" si="630"/>
        <v>1257</v>
      </c>
      <c r="F1257" s="9" t="s">
        <v>122</v>
      </c>
      <c r="O1257" s="23" t="s">
        <v>158</v>
      </c>
    </row>
    <row r="1258" spans="2:15">
      <c r="E1258" s="4">
        <f t="shared" ref="E1258:E1321" si="664">ROW(E1258)</f>
        <v>1258</v>
      </c>
      <c r="F1258" s="9" t="s">
        <v>117</v>
      </c>
      <c r="G1258" s="9" t="s">
        <v>253</v>
      </c>
      <c r="H1258" s="9" t="s">
        <v>254</v>
      </c>
      <c r="I1258" s="9" t="s">
        <v>255</v>
      </c>
      <c r="J1258" s="9" t="s">
        <v>256</v>
      </c>
      <c r="L1258" s="9" t="s">
        <v>138</v>
      </c>
      <c r="O1258" s="23">
        <f t="shared" ref="O1258" ca="1" si="665">IF(MOD(D1252,2)=0,RANDBETWEEN($I$19,$J$19),RANDBETWEEN($G$19,$H$19))</f>
        <v>109</v>
      </c>
    </row>
    <row r="1259" spans="2:15">
      <c r="E1259" s="4">
        <f t="shared" si="664"/>
        <v>1259</v>
      </c>
      <c r="F1259" s="9" t="s">
        <v>30</v>
      </c>
      <c r="O1259" s="23" t="s">
        <v>33</v>
      </c>
    </row>
    <row r="1260" spans="2:15">
      <c r="E1260" s="4">
        <f t="shared" si="664"/>
        <v>1260</v>
      </c>
      <c r="F1260" s="9" t="s">
        <v>119</v>
      </c>
      <c r="G1260" s="9" t="s">
        <v>257</v>
      </c>
      <c r="H1260" s="9" t="s">
        <v>258</v>
      </c>
      <c r="I1260" s="9" t="s">
        <v>34</v>
      </c>
      <c r="O1260" s="23">
        <f t="shared" ref="O1260:O1323" ca="1" si="666">RANDBETWEEN($G$21*$I$21,$H$21*$I$21)/$I$21</f>
        <v>-6.7</v>
      </c>
    </row>
    <row r="1261" spans="2:15">
      <c r="E1261" s="4">
        <f t="shared" si="664"/>
        <v>1261</v>
      </c>
      <c r="F1261" s="9" t="s">
        <v>112</v>
      </c>
      <c r="O1261" s="23">
        <v>0</v>
      </c>
    </row>
    <row r="1262" spans="2:15">
      <c r="E1262" s="4">
        <f t="shared" si="664"/>
        <v>1262</v>
      </c>
      <c r="F1262" s="9" t="s">
        <v>102</v>
      </c>
      <c r="G1262" s="9" t="s">
        <v>259</v>
      </c>
      <c r="H1262" s="9" t="s">
        <v>260</v>
      </c>
      <c r="I1262" s="9" t="s">
        <v>34</v>
      </c>
      <c r="J1262" s="9" t="s">
        <v>261</v>
      </c>
      <c r="K1262" s="9" t="s">
        <v>140</v>
      </c>
      <c r="O1262" s="23" t="str">
        <f t="shared" ref="O1262:O1325" ca="1" si="667">CONCATENATE(RANDBETWEEN($G$23*$I$23,$H$23*$I$23)/$I$23,$J$23)</f>
        <v>-0.2,6</v>
      </c>
    </row>
    <row r="1263" spans="2:15">
      <c r="E1263" s="4">
        <f t="shared" si="664"/>
        <v>1263</v>
      </c>
      <c r="F1263" s="9" t="s">
        <v>31</v>
      </c>
      <c r="L1263" s="9" t="s">
        <v>148</v>
      </c>
    </row>
    <row r="1264" spans="2:15">
      <c r="E1264" s="4">
        <f t="shared" si="664"/>
        <v>1264</v>
      </c>
      <c r="F1264" s="9" t="s">
        <v>136</v>
      </c>
      <c r="L1264" s="9" t="s">
        <v>149</v>
      </c>
    </row>
    <row r="1265" spans="1:15">
      <c r="E1265" s="4">
        <f t="shared" si="664"/>
        <v>1265</v>
      </c>
      <c r="F1265" s="9" t="s">
        <v>137</v>
      </c>
      <c r="K1265" s="9" t="s">
        <v>141</v>
      </c>
      <c r="O1265" s="23">
        <v>1</v>
      </c>
    </row>
    <row r="1266" spans="1:15">
      <c r="E1266" s="4">
        <f t="shared" si="664"/>
        <v>1266</v>
      </c>
      <c r="F1266" s="9" t="s">
        <v>137</v>
      </c>
      <c r="G1266" s="9" t="s">
        <v>262</v>
      </c>
      <c r="H1266" s="9" t="s">
        <v>32</v>
      </c>
      <c r="I1266" s="9" t="s">
        <v>34</v>
      </c>
      <c r="J1266" s="9" t="s">
        <v>263</v>
      </c>
      <c r="K1266" s="9" t="s">
        <v>140</v>
      </c>
      <c r="O1266" s="23" t="str">
        <f t="shared" ref="O1266:O1329" ca="1" si="668">CONCATENATE(RANDBETWEEN($G$27*$I$27,$H$27*$I$27)/$I$27,$J$27)</f>
        <v>5.7,-4.5</v>
      </c>
    </row>
    <row r="1267" spans="1:15">
      <c r="E1267" s="4">
        <f t="shared" si="664"/>
        <v>1267</v>
      </c>
      <c r="F1267" s="9" t="s">
        <v>105</v>
      </c>
      <c r="O1267" s="23">
        <f t="shared" ref="O1267" si="669">O1253*10+1</f>
        <v>100601</v>
      </c>
    </row>
    <row r="1268" spans="1:15">
      <c r="A1268" s="9"/>
      <c r="B1268" s="9"/>
      <c r="C1268" s="9"/>
      <c r="D1268" s="9"/>
      <c r="E1268" s="4">
        <f t="shared" si="664"/>
        <v>1268</v>
      </c>
      <c r="F1268" s="9" t="s">
        <v>156</v>
      </c>
      <c r="O1268" s="23">
        <f t="shared" ref="O1268" si="670">O1253</f>
        <v>10060</v>
      </c>
    </row>
    <row r="1269" spans="1:15">
      <c r="E1269" s="4">
        <f t="shared" si="664"/>
        <v>1269</v>
      </c>
      <c r="F1269" s="9" t="s">
        <v>131</v>
      </c>
      <c r="O1269" s="23">
        <v>0</v>
      </c>
    </row>
    <row r="1270" spans="1:15">
      <c r="E1270" s="4">
        <f t="shared" si="664"/>
        <v>1270</v>
      </c>
      <c r="F1270" s="9" t="s">
        <v>35</v>
      </c>
      <c r="O1270" s="23" t="s">
        <v>252</v>
      </c>
    </row>
    <row r="1271" spans="1:15">
      <c r="E1271" s="4">
        <f t="shared" si="664"/>
        <v>1271</v>
      </c>
      <c r="F1271" s="9" t="s">
        <v>119</v>
      </c>
      <c r="O1271" s="23" t="s">
        <v>22</v>
      </c>
    </row>
    <row r="1272" spans="1:15">
      <c r="E1272" s="4">
        <f t="shared" si="664"/>
        <v>1272</v>
      </c>
      <c r="F1272" s="9" t="s">
        <v>117</v>
      </c>
      <c r="L1272" s="9" t="s">
        <v>138</v>
      </c>
      <c r="O1272" s="23">
        <f t="shared" ref="O1272" ca="1" si="671">O1258</f>
        <v>109</v>
      </c>
    </row>
    <row r="1273" spans="1:15">
      <c r="B1273" s="22">
        <f t="shared" ref="B1273:B1336" si="672">QUOTIENT( D1273-1,G1274)+1</f>
        <v>21</v>
      </c>
      <c r="C1273" s="22">
        <f t="shared" ref="C1273" si="673">D1273-(B1273-1)*G1274</f>
        <v>1</v>
      </c>
      <c r="D1273" s="22">
        <f>COUNT($D$12:$D1272)+1</f>
        <v>61</v>
      </c>
      <c r="E1273" s="4"/>
    </row>
    <row r="1274" spans="1:15">
      <c r="E1274" s="4">
        <f t="shared" si="664"/>
        <v>1274</v>
      </c>
      <c r="F1274" s="9" t="s">
        <v>96</v>
      </c>
      <c r="G1274" s="9" t="s">
        <v>38</v>
      </c>
      <c r="H1274" s="9" t="s">
        <v>282</v>
      </c>
      <c r="J1274" s="9" t="s">
        <v>247</v>
      </c>
      <c r="O1274" s="23">
        <f t="shared" ref="O1274:O1337" si="674">J1274+D1273</f>
        <v>10061</v>
      </c>
    </row>
    <row r="1275" spans="1:15">
      <c r="E1275" s="4">
        <f t="shared" si="664"/>
        <v>1275</v>
      </c>
      <c r="F1275" s="9" t="s">
        <v>165</v>
      </c>
      <c r="G1275" s="9" t="s">
        <v>280</v>
      </c>
      <c r="H1275" s="9" t="s">
        <v>249</v>
      </c>
      <c r="O1275" s="23">
        <f t="shared" ref="O1275" si="675">G1275+B1273*H1275</f>
        <v>815</v>
      </c>
    </row>
    <row r="1276" spans="1:15">
      <c r="E1276" s="4">
        <f t="shared" si="664"/>
        <v>1276</v>
      </c>
      <c r="F1276" s="9" t="s">
        <v>35</v>
      </c>
      <c r="O1276" s="23" t="s">
        <v>251</v>
      </c>
    </row>
    <row r="1277" spans="1:15">
      <c r="E1277" s="4">
        <f t="shared" si="664"/>
        <v>1277</v>
      </c>
      <c r="F1277" s="9" t="s">
        <v>29</v>
      </c>
      <c r="O1277" s="23" t="s">
        <v>157</v>
      </c>
    </row>
    <row r="1278" spans="1:15">
      <c r="E1278" s="4">
        <f t="shared" si="664"/>
        <v>1278</v>
      </c>
      <c r="F1278" s="9" t="s">
        <v>122</v>
      </c>
      <c r="O1278" s="23" t="s">
        <v>158</v>
      </c>
    </row>
    <row r="1279" spans="1:15">
      <c r="E1279" s="4">
        <f t="shared" si="664"/>
        <v>1279</v>
      </c>
      <c r="F1279" s="9" t="s">
        <v>117</v>
      </c>
      <c r="G1279" s="9" t="s">
        <v>253</v>
      </c>
      <c r="H1279" s="9" t="s">
        <v>254</v>
      </c>
      <c r="I1279" s="9" t="s">
        <v>255</v>
      </c>
      <c r="J1279" s="9" t="s">
        <v>256</v>
      </c>
      <c r="L1279" s="9" t="s">
        <v>138</v>
      </c>
      <c r="O1279" s="23">
        <f t="shared" ref="O1279" ca="1" si="676">IF(MOD(D1273,2)=0,RANDBETWEEN($I$19,$J$19),RANDBETWEEN($G$19,$H$19))</f>
        <v>-91</v>
      </c>
    </row>
    <row r="1280" spans="1:15">
      <c r="E1280" s="4">
        <f t="shared" si="664"/>
        <v>1280</v>
      </c>
      <c r="F1280" s="9" t="s">
        <v>30</v>
      </c>
      <c r="O1280" s="23" t="s">
        <v>33</v>
      </c>
    </row>
    <row r="1281" spans="1:15">
      <c r="E1281" s="4">
        <f t="shared" si="664"/>
        <v>1281</v>
      </c>
      <c r="F1281" s="9" t="s">
        <v>119</v>
      </c>
      <c r="G1281" s="9" t="s">
        <v>257</v>
      </c>
      <c r="H1281" s="9" t="s">
        <v>258</v>
      </c>
      <c r="I1281" s="9" t="s">
        <v>34</v>
      </c>
      <c r="O1281" s="23">
        <f t="shared" ref="O1281:O1344" ca="1" si="677">RANDBETWEEN($G$21*$I$21,$H$21*$I$21)/$I$21</f>
        <v>-4</v>
      </c>
    </row>
    <row r="1282" spans="1:15">
      <c r="E1282" s="4">
        <f t="shared" si="664"/>
        <v>1282</v>
      </c>
      <c r="F1282" s="9" t="s">
        <v>112</v>
      </c>
      <c r="O1282" s="23">
        <v>0</v>
      </c>
    </row>
    <row r="1283" spans="1:15">
      <c r="E1283" s="4">
        <f t="shared" si="664"/>
        <v>1283</v>
      </c>
      <c r="F1283" s="9" t="s">
        <v>102</v>
      </c>
      <c r="G1283" s="9" t="s">
        <v>259</v>
      </c>
      <c r="H1283" s="9" t="s">
        <v>260</v>
      </c>
      <c r="I1283" s="9" t="s">
        <v>34</v>
      </c>
      <c r="J1283" s="9" t="s">
        <v>261</v>
      </c>
      <c r="K1283" s="9" t="s">
        <v>140</v>
      </c>
      <c r="O1283" s="23" t="str">
        <f t="shared" ref="O1283:O1346" ca="1" si="678">CONCATENATE(RANDBETWEEN($G$23*$I$23,$H$23*$I$23)/$I$23,$J$23)</f>
        <v>-4.3,6</v>
      </c>
    </row>
    <row r="1284" spans="1:15">
      <c r="E1284" s="4">
        <f t="shared" si="664"/>
        <v>1284</v>
      </c>
      <c r="F1284" s="9" t="s">
        <v>31</v>
      </c>
      <c r="L1284" s="9" t="s">
        <v>148</v>
      </c>
    </row>
    <row r="1285" spans="1:15">
      <c r="E1285" s="4">
        <f t="shared" si="664"/>
        <v>1285</v>
      </c>
      <c r="F1285" s="9" t="s">
        <v>136</v>
      </c>
      <c r="L1285" s="9" t="s">
        <v>149</v>
      </c>
    </row>
    <row r="1286" spans="1:15">
      <c r="E1286" s="4">
        <f t="shared" si="664"/>
        <v>1286</v>
      </c>
      <c r="F1286" s="9" t="s">
        <v>137</v>
      </c>
      <c r="K1286" s="9" t="s">
        <v>141</v>
      </c>
      <c r="O1286" s="23">
        <v>1</v>
      </c>
    </row>
    <row r="1287" spans="1:15">
      <c r="E1287" s="4">
        <f t="shared" si="664"/>
        <v>1287</v>
      </c>
      <c r="F1287" s="9" t="s">
        <v>137</v>
      </c>
      <c r="G1287" s="9" t="s">
        <v>262</v>
      </c>
      <c r="H1287" s="9" t="s">
        <v>32</v>
      </c>
      <c r="I1287" s="9" t="s">
        <v>34</v>
      </c>
      <c r="J1287" s="9" t="s">
        <v>263</v>
      </c>
      <c r="K1287" s="9" t="s">
        <v>140</v>
      </c>
      <c r="O1287" s="23" t="str">
        <f t="shared" ref="O1287:O1350" ca="1" si="679">CONCATENATE(RANDBETWEEN($G$27*$I$27,$H$27*$I$27)/$I$27,$J$27)</f>
        <v>1.2,-4.5</v>
      </c>
    </row>
    <row r="1288" spans="1:15">
      <c r="E1288" s="4">
        <f t="shared" si="664"/>
        <v>1288</v>
      </c>
      <c r="F1288" s="9" t="s">
        <v>105</v>
      </c>
      <c r="O1288" s="23">
        <f t="shared" ref="O1288" si="680">O1274*10+1</f>
        <v>100611</v>
      </c>
    </row>
    <row r="1289" spans="1:15">
      <c r="E1289" s="4">
        <f t="shared" si="664"/>
        <v>1289</v>
      </c>
      <c r="F1289" s="9" t="s">
        <v>156</v>
      </c>
      <c r="O1289" s="23">
        <f t="shared" ref="O1289" si="681">O1274</f>
        <v>10061</v>
      </c>
    </row>
    <row r="1290" spans="1:15">
      <c r="A1290" s="9"/>
      <c r="B1290" s="9"/>
      <c r="C1290" s="9"/>
      <c r="D1290" s="9"/>
      <c r="E1290" s="4">
        <f t="shared" si="664"/>
        <v>1290</v>
      </c>
      <c r="F1290" s="9" t="s">
        <v>131</v>
      </c>
      <c r="O1290" s="23">
        <v>0</v>
      </c>
    </row>
    <row r="1291" spans="1:15">
      <c r="E1291" s="4">
        <f t="shared" si="664"/>
        <v>1291</v>
      </c>
      <c r="F1291" s="9" t="s">
        <v>35</v>
      </c>
      <c r="O1291" s="23" t="s">
        <v>252</v>
      </c>
    </row>
    <row r="1292" spans="1:15">
      <c r="E1292" s="4">
        <f t="shared" si="664"/>
        <v>1292</v>
      </c>
      <c r="F1292" s="9" t="s">
        <v>119</v>
      </c>
      <c r="O1292" s="23" t="s">
        <v>22</v>
      </c>
    </row>
    <row r="1293" spans="1:15">
      <c r="E1293" s="4">
        <f t="shared" si="664"/>
        <v>1293</v>
      </c>
      <c r="F1293" s="9" t="s">
        <v>117</v>
      </c>
      <c r="L1293" s="9" t="s">
        <v>138</v>
      </c>
      <c r="O1293" s="23">
        <f t="shared" ref="O1293" ca="1" si="682">O1279</f>
        <v>-91</v>
      </c>
    </row>
    <row r="1294" spans="1:15">
      <c r="B1294" s="22">
        <f t="shared" ref="B1294:B1357" si="683">QUOTIENT( D1294-1,G1295)+1</f>
        <v>21</v>
      </c>
      <c r="C1294" s="22">
        <f t="shared" ref="C1294" si="684">D1294-(B1294-1)*G1295</f>
        <v>2</v>
      </c>
      <c r="D1294" s="22">
        <f>COUNT($D$12:$D1293)+1</f>
        <v>62</v>
      </c>
      <c r="E1294" s="4"/>
    </row>
    <row r="1295" spans="1:15">
      <c r="E1295" s="4">
        <f t="shared" si="664"/>
        <v>1295</v>
      </c>
      <c r="F1295" s="9" t="s">
        <v>96</v>
      </c>
      <c r="G1295" s="9" t="s">
        <v>38</v>
      </c>
      <c r="H1295" s="9" t="s">
        <v>282</v>
      </c>
      <c r="J1295" s="9" t="s">
        <v>247</v>
      </c>
      <c r="O1295" s="23">
        <f t="shared" ref="O1295:O1358" si="685">J1295+D1294</f>
        <v>10062</v>
      </c>
    </row>
    <row r="1296" spans="1:15">
      <c r="E1296" s="4">
        <f t="shared" si="664"/>
        <v>1296</v>
      </c>
      <c r="F1296" s="9" t="s">
        <v>165</v>
      </c>
      <c r="G1296" s="9" t="s">
        <v>280</v>
      </c>
      <c r="H1296" s="9" t="s">
        <v>249</v>
      </c>
      <c r="O1296" s="23">
        <f t="shared" ref="O1296" si="686">G1296+B1294*H1296</f>
        <v>815</v>
      </c>
    </row>
    <row r="1297" spans="1:15">
      <c r="E1297" s="4">
        <f t="shared" si="664"/>
        <v>1297</v>
      </c>
      <c r="F1297" s="9" t="s">
        <v>35</v>
      </c>
      <c r="O1297" s="23" t="s">
        <v>251</v>
      </c>
    </row>
    <row r="1298" spans="1:15">
      <c r="E1298" s="4">
        <f t="shared" si="664"/>
        <v>1298</v>
      </c>
      <c r="F1298" s="9" t="s">
        <v>29</v>
      </c>
      <c r="O1298" s="23" t="s">
        <v>157</v>
      </c>
    </row>
    <row r="1299" spans="1:15">
      <c r="E1299" s="4">
        <f t="shared" si="664"/>
        <v>1299</v>
      </c>
      <c r="F1299" s="9" t="s">
        <v>122</v>
      </c>
      <c r="O1299" s="23" t="s">
        <v>158</v>
      </c>
    </row>
    <row r="1300" spans="1:15">
      <c r="E1300" s="4">
        <f t="shared" si="664"/>
        <v>1300</v>
      </c>
      <c r="F1300" s="9" t="s">
        <v>117</v>
      </c>
      <c r="G1300" s="9" t="s">
        <v>253</v>
      </c>
      <c r="H1300" s="9" t="s">
        <v>254</v>
      </c>
      <c r="I1300" s="9" t="s">
        <v>255</v>
      </c>
      <c r="J1300" s="9" t="s">
        <v>256</v>
      </c>
      <c r="L1300" s="9" t="s">
        <v>138</v>
      </c>
      <c r="O1300" s="23">
        <f t="shared" ref="O1300" ca="1" si="687">IF(MOD(D1294,2)=0,RANDBETWEEN($I$19,$J$19),RANDBETWEEN($G$19,$H$19))</f>
        <v>97</v>
      </c>
    </row>
    <row r="1301" spans="1:15">
      <c r="E1301" s="4">
        <f t="shared" si="664"/>
        <v>1301</v>
      </c>
      <c r="F1301" s="9" t="s">
        <v>30</v>
      </c>
      <c r="O1301" s="23" t="s">
        <v>33</v>
      </c>
    </row>
    <row r="1302" spans="1:15">
      <c r="E1302" s="4">
        <f t="shared" si="664"/>
        <v>1302</v>
      </c>
      <c r="F1302" s="9" t="s">
        <v>119</v>
      </c>
      <c r="G1302" s="9" t="s">
        <v>257</v>
      </c>
      <c r="H1302" s="9" t="s">
        <v>258</v>
      </c>
      <c r="I1302" s="9" t="s">
        <v>34</v>
      </c>
      <c r="O1302" s="23">
        <f t="shared" ref="O1302:O1365" ca="1" si="688">RANDBETWEEN($G$21*$I$21,$H$21*$I$21)/$I$21</f>
        <v>-4.5999999999999996</v>
      </c>
    </row>
    <row r="1303" spans="1:15">
      <c r="E1303" s="4">
        <f t="shared" si="664"/>
        <v>1303</v>
      </c>
      <c r="F1303" s="9" t="s">
        <v>112</v>
      </c>
      <c r="O1303" s="23">
        <v>0</v>
      </c>
    </row>
    <row r="1304" spans="1:15">
      <c r="E1304" s="4">
        <f t="shared" si="664"/>
        <v>1304</v>
      </c>
      <c r="F1304" s="9" t="s">
        <v>102</v>
      </c>
      <c r="G1304" s="9" t="s">
        <v>259</v>
      </c>
      <c r="H1304" s="9" t="s">
        <v>260</v>
      </c>
      <c r="I1304" s="9" t="s">
        <v>34</v>
      </c>
      <c r="J1304" s="9" t="s">
        <v>261</v>
      </c>
      <c r="K1304" s="9" t="s">
        <v>140</v>
      </c>
      <c r="O1304" s="23" t="str">
        <f t="shared" ref="O1304:O1367" ca="1" si="689">CONCATENATE(RANDBETWEEN($G$23*$I$23,$H$23*$I$23)/$I$23,$J$23)</f>
        <v>0.1,6</v>
      </c>
    </row>
    <row r="1305" spans="1:15">
      <c r="E1305" s="4">
        <f t="shared" si="664"/>
        <v>1305</v>
      </c>
      <c r="F1305" s="9" t="s">
        <v>31</v>
      </c>
      <c r="L1305" s="9" t="s">
        <v>148</v>
      </c>
    </row>
    <row r="1306" spans="1:15">
      <c r="E1306" s="4">
        <f t="shared" si="664"/>
        <v>1306</v>
      </c>
      <c r="F1306" s="9" t="s">
        <v>136</v>
      </c>
      <c r="L1306" s="9" t="s">
        <v>149</v>
      </c>
    </row>
    <row r="1307" spans="1:15">
      <c r="E1307" s="4">
        <f t="shared" si="664"/>
        <v>1307</v>
      </c>
      <c r="F1307" s="9" t="s">
        <v>137</v>
      </c>
      <c r="K1307" s="9" t="s">
        <v>141</v>
      </c>
      <c r="O1307" s="23">
        <v>1</v>
      </c>
    </row>
    <row r="1308" spans="1:15">
      <c r="E1308" s="4">
        <f t="shared" si="664"/>
        <v>1308</v>
      </c>
      <c r="F1308" s="9" t="s">
        <v>137</v>
      </c>
      <c r="G1308" s="9" t="s">
        <v>262</v>
      </c>
      <c r="H1308" s="9" t="s">
        <v>32</v>
      </c>
      <c r="I1308" s="9" t="s">
        <v>34</v>
      </c>
      <c r="J1308" s="9" t="s">
        <v>263</v>
      </c>
      <c r="K1308" s="9" t="s">
        <v>140</v>
      </c>
      <c r="O1308" s="23" t="str">
        <f t="shared" ref="O1308:O1371" ca="1" si="690">CONCATENATE(RANDBETWEEN($G$27*$I$27,$H$27*$I$27)/$I$27,$J$27)</f>
        <v>-6,-4.5</v>
      </c>
    </row>
    <row r="1309" spans="1:15">
      <c r="E1309" s="4">
        <f t="shared" si="664"/>
        <v>1309</v>
      </c>
      <c r="F1309" s="9" t="s">
        <v>105</v>
      </c>
      <c r="O1309" s="23">
        <f t="shared" ref="O1309" si="691">O1295*10+1</f>
        <v>100621</v>
      </c>
    </row>
    <row r="1310" spans="1:15">
      <c r="E1310" s="4">
        <f t="shared" si="664"/>
        <v>1310</v>
      </c>
      <c r="F1310" s="9" t="s">
        <v>156</v>
      </c>
      <c r="O1310" s="23">
        <f t="shared" ref="O1310" si="692">O1295</f>
        <v>10062</v>
      </c>
    </row>
    <row r="1311" spans="1:15">
      <c r="E1311" s="4">
        <f t="shared" si="664"/>
        <v>1311</v>
      </c>
      <c r="F1311" s="9" t="s">
        <v>131</v>
      </c>
      <c r="O1311" s="23">
        <v>0</v>
      </c>
    </row>
    <row r="1312" spans="1:15">
      <c r="A1312" s="9"/>
      <c r="B1312" s="9"/>
      <c r="C1312" s="9"/>
      <c r="D1312" s="9"/>
      <c r="E1312" s="4">
        <f t="shared" si="664"/>
        <v>1312</v>
      </c>
      <c r="F1312" s="9" t="s">
        <v>35</v>
      </c>
      <c r="O1312" s="23" t="s">
        <v>252</v>
      </c>
    </row>
    <row r="1313" spans="2:15">
      <c r="E1313" s="4">
        <f t="shared" si="664"/>
        <v>1313</v>
      </c>
      <c r="F1313" s="9" t="s">
        <v>119</v>
      </c>
      <c r="O1313" s="23" t="s">
        <v>22</v>
      </c>
    </row>
    <row r="1314" spans="2:15">
      <c r="E1314" s="4">
        <f t="shared" si="664"/>
        <v>1314</v>
      </c>
      <c r="F1314" s="9" t="s">
        <v>117</v>
      </c>
      <c r="L1314" s="9" t="s">
        <v>138</v>
      </c>
      <c r="O1314" s="23">
        <f t="shared" ref="O1314" ca="1" si="693">O1300</f>
        <v>97</v>
      </c>
    </row>
    <row r="1315" spans="2:15">
      <c r="B1315" s="22">
        <f t="shared" ref="B1315:B1378" si="694">QUOTIENT( D1315-1,G1316)+1</f>
        <v>21</v>
      </c>
      <c r="C1315" s="22">
        <f t="shared" ref="C1315" si="695">D1315-(B1315-1)*G1316</f>
        <v>3</v>
      </c>
      <c r="D1315" s="22">
        <f>COUNT($D$12:$D1314)+1</f>
        <v>63</v>
      </c>
      <c r="E1315" s="4"/>
    </row>
    <row r="1316" spans="2:15">
      <c r="E1316" s="4">
        <f t="shared" si="664"/>
        <v>1316</v>
      </c>
      <c r="F1316" s="9" t="s">
        <v>96</v>
      </c>
      <c r="G1316" s="9" t="s">
        <v>38</v>
      </c>
      <c r="H1316" s="9" t="s">
        <v>282</v>
      </c>
      <c r="J1316" s="9" t="s">
        <v>247</v>
      </c>
      <c r="O1316" s="23">
        <f t="shared" ref="O1316:O1379" si="696">J1316+D1315</f>
        <v>10063</v>
      </c>
    </row>
    <row r="1317" spans="2:15">
      <c r="E1317" s="4">
        <f t="shared" si="664"/>
        <v>1317</v>
      </c>
      <c r="F1317" s="9" t="s">
        <v>165</v>
      </c>
      <c r="G1317" s="9" t="s">
        <v>280</v>
      </c>
      <c r="H1317" s="9" t="s">
        <v>249</v>
      </c>
      <c r="O1317" s="23">
        <f t="shared" ref="O1317" si="697">G1317+B1315*H1317</f>
        <v>815</v>
      </c>
    </row>
    <row r="1318" spans="2:15">
      <c r="E1318" s="4">
        <f t="shared" si="664"/>
        <v>1318</v>
      </c>
      <c r="F1318" s="9" t="s">
        <v>35</v>
      </c>
      <c r="O1318" s="23" t="s">
        <v>251</v>
      </c>
    </row>
    <row r="1319" spans="2:15">
      <c r="E1319" s="4">
        <f t="shared" si="664"/>
        <v>1319</v>
      </c>
      <c r="F1319" s="9" t="s">
        <v>29</v>
      </c>
      <c r="O1319" s="23" t="s">
        <v>157</v>
      </c>
    </row>
    <row r="1320" spans="2:15">
      <c r="E1320" s="4">
        <f t="shared" si="664"/>
        <v>1320</v>
      </c>
      <c r="F1320" s="9" t="s">
        <v>122</v>
      </c>
      <c r="O1320" s="23" t="s">
        <v>158</v>
      </c>
    </row>
    <row r="1321" spans="2:15">
      <c r="E1321" s="4">
        <f t="shared" si="664"/>
        <v>1321</v>
      </c>
      <c r="F1321" s="9" t="s">
        <v>117</v>
      </c>
      <c r="G1321" s="9" t="s">
        <v>253</v>
      </c>
      <c r="H1321" s="9" t="s">
        <v>254</v>
      </c>
      <c r="I1321" s="9" t="s">
        <v>255</v>
      </c>
      <c r="J1321" s="9" t="s">
        <v>256</v>
      </c>
      <c r="L1321" s="9" t="s">
        <v>138</v>
      </c>
      <c r="O1321" s="23">
        <f t="shared" ref="O1321" ca="1" si="698">IF(MOD(D1315,2)=0,RANDBETWEEN($I$19,$J$19),RANDBETWEEN($G$19,$H$19))</f>
        <v>-117</v>
      </c>
    </row>
    <row r="1322" spans="2:15">
      <c r="E1322" s="4">
        <f t="shared" ref="E1322:E1385" si="699">ROW(E1322)</f>
        <v>1322</v>
      </c>
      <c r="F1322" s="9" t="s">
        <v>30</v>
      </c>
      <c r="O1322" s="23" t="s">
        <v>33</v>
      </c>
    </row>
    <row r="1323" spans="2:15">
      <c r="E1323" s="4">
        <f t="shared" si="699"/>
        <v>1323</v>
      </c>
      <c r="F1323" s="9" t="s">
        <v>119</v>
      </c>
      <c r="G1323" s="9" t="s">
        <v>257</v>
      </c>
      <c r="H1323" s="9" t="s">
        <v>258</v>
      </c>
      <c r="I1323" s="9" t="s">
        <v>34</v>
      </c>
      <c r="O1323" s="23">
        <f t="shared" ref="O1323:O1386" ca="1" si="700">RANDBETWEEN($G$21*$I$21,$H$21*$I$21)/$I$21</f>
        <v>-8.1</v>
      </c>
    </row>
    <row r="1324" spans="2:15">
      <c r="E1324" s="4">
        <f t="shared" si="699"/>
        <v>1324</v>
      </c>
      <c r="F1324" s="9" t="s">
        <v>112</v>
      </c>
      <c r="O1324" s="23">
        <v>0</v>
      </c>
    </row>
    <row r="1325" spans="2:15">
      <c r="E1325" s="4">
        <f t="shared" si="699"/>
        <v>1325</v>
      </c>
      <c r="F1325" s="9" t="s">
        <v>102</v>
      </c>
      <c r="G1325" s="9" t="s">
        <v>259</v>
      </c>
      <c r="H1325" s="9" t="s">
        <v>260</v>
      </c>
      <c r="I1325" s="9" t="s">
        <v>34</v>
      </c>
      <c r="J1325" s="9" t="s">
        <v>261</v>
      </c>
      <c r="K1325" s="9" t="s">
        <v>140</v>
      </c>
      <c r="O1325" s="23" t="str">
        <f t="shared" ref="O1325:O1388" ca="1" si="701">CONCATENATE(RANDBETWEEN($G$23*$I$23,$H$23*$I$23)/$I$23,$J$23)</f>
        <v>-1.9,6</v>
      </c>
    </row>
    <row r="1326" spans="2:15">
      <c r="E1326" s="4">
        <f t="shared" si="699"/>
        <v>1326</v>
      </c>
      <c r="F1326" s="9" t="s">
        <v>31</v>
      </c>
      <c r="L1326" s="9" t="s">
        <v>148</v>
      </c>
    </row>
    <row r="1327" spans="2:15">
      <c r="E1327" s="4">
        <f t="shared" si="699"/>
        <v>1327</v>
      </c>
      <c r="F1327" s="9" t="s">
        <v>136</v>
      </c>
      <c r="L1327" s="9" t="s">
        <v>149</v>
      </c>
    </row>
    <row r="1328" spans="2:15">
      <c r="E1328" s="4">
        <f t="shared" si="699"/>
        <v>1328</v>
      </c>
      <c r="F1328" s="9" t="s">
        <v>137</v>
      </c>
      <c r="K1328" s="9" t="s">
        <v>141</v>
      </c>
      <c r="O1328" s="23">
        <v>1</v>
      </c>
    </row>
    <row r="1329" spans="1:15">
      <c r="E1329" s="4">
        <f t="shared" si="699"/>
        <v>1329</v>
      </c>
      <c r="F1329" s="9" t="s">
        <v>137</v>
      </c>
      <c r="G1329" s="9" t="s">
        <v>262</v>
      </c>
      <c r="H1329" s="9" t="s">
        <v>32</v>
      </c>
      <c r="I1329" s="9" t="s">
        <v>34</v>
      </c>
      <c r="J1329" s="9" t="s">
        <v>263</v>
      </c>
      <c r="K1329" s="9" t="s">
        <v>140</v>
      </c>
      <c r="O1329" s="23" t="str">
        <f t="shared" ref="O1329:O1392" ca="1" si="702">CONCATENATE(RANDBETWEEN($G$27*$I$27,$H$27*$I$27)/$I$27,$J$27)</f>
        <v>1.2,-4.5</v>
      </c>
    </row>
    <row r="1330" spans="1:15">
      <c r="E1330" s="4">
        <f t="shared" si="699"/>
        <v>1330</v>
      </c>
      <c r="F1330" s="9" t="s">
        <v>105</v>
      </c>
      <c r="O1330" s="23">
        <f t="shared" ref="O1330" si="703">O1316*10+1</f>
        <v>100631</v>
      </c>
    </row>
    <row r="1331" spans="1:15">
      <c r="E1331" s="4">
        <f t="shared" si="699"/>
        <v>1331</v>
      </c>
      <c r="F1331" s="9" t="s">
        <v>156</v>
      </c>
      <c r="O1331" s="23">
        <f t="shared" ref="O1331" si="704">O1316</f>
        <v>10063</v>
      </c>
    </row>
    <row r="1332" spans="1:15">
      <c r="E1332" s="4">
        <f t="shared" si="699"/>
        <v>1332</v>
      </c>
      <c r="F1332" s="9" t="s">
        <v>131</v>
      </c>
      <c r="O1332" s="23">
        <v>0</v>
      </c>
    </row>
    <row r="1333" spans="1:15">
      <c r="E1333" s="4">
        <f t="shared" si="699"/>
        <v>1333</v>
      </c>
      <c r="F1333" s="9" t="s">
        <v>35</v>
      </c>
      <c r="O1333" s="23" t="s">
        <v>252</v>
      </c>
    </row>
    <row r="1334" spans="1:15">
      <c r="A1334" s="9"/>
      <c r="B1334" s="9"/>
      <c r="C1334" s="9"/>
      <c r="D1334" s="9"/>
      <c r="E1334" s="4">
        <f t="shared" si="699"/>
        <v>1334</v>
      </c>
      <c r="F1334" s="9" t="s">
        <v>119</v>
      </c>
      <c r="O1334" s="23" t="s">
        <v>22</v>
      </c>
    </row>
    <row r="1335" spans="1:15">
      <c r="E1335" s="4">
        <f t="shared" si="699"/>
        <v>1335</v>
      </c>
      <c r="F1335" s="9" t="s">
        <v>117</v>
      </c>
      <c r="L1335" s="9" t="s">
        <v>138</v>
      </c>
      <c r="O1335" s="23">
        <f t="shared" ref="O1335" ca="1" si="705">O1321</f>
        <v>-117</v>
      </c>
    </row>
    <row r="1336" spans="1:15">
      <c r="B1336" s="22">
        <f t="shared" ref="B1336:B1399" si="706">QUOTIENT( D1336-1,G1337)+1</f>
        <v>22</v>
      </c>
      <c r="C1336" s="22">
        <f t="shared" ref="C1336" si="707">D1336-(B1336-1)*G1337</f>
        <v>1</v>
      </c>
      <c r="D1336" s="22">
        <f>COUNT($D$12:$D1335)+1</f>
        <v>64</v>
      </c>
      <c r="E1336" s="4"/>
    </row>
    <row r="1337" spans="1:15">
      <c r="E1337" s="4">
        <f t="shared" si="699"/>
        <v>1337</v>
      </c>
      <c r="F1337" s="9" t="s">
        <v>96</v>
      </c>
      <c r="G1337" s="9" t="s">
        <v>38</v>
      </c>
      <c r="H1337" s="9" t="s">
        <v>282</v>
      </c>
      <c r="J1337" s="9" t="s">
        <v>247</v>
      </c>
      <c r="O1337" s="23">
        <f t="shared" ref="O1337:O1400" si="708">J1337+D1336</f>
        <v>10064</v>
      </c>
    </row>
    <row r="1338" spans="1:15">
      <c r="E1338" s="4">
        <f t="shared" si="699"/>
        <v>1338</v>
      </c>
      <c r="F1338" s="9" t="s">
        <v>165</v>
      </c>
      <c r="G1338" s="9" t="s">
        <v>280</v>
      </c>
      <c r="H1338" s="9" t="s">
        <v>249</v>
      </c>
      <c r="O1338" s="23">
        <f t="shared" ref="O1338" si="709">G1338+B1336*H1338</f>
        <v>830</v>
      </c>
    </row>
    <row r="1339" spans="1:15">
      <c r="E1339" s="4">
        <f t="shared" si="699"/>
        <v>1339</v>
      </c>
      <c r="F1339" s="9" t="s">
        <v>35</v>
      </c>
      <c r="O1339" s="23" t="s">
        <v>251</v>
      </c>
    </row>
    <row r="1340" spans="1:15">
      <c r="E1340" s="4">
        <f t="shared" si="699"/>
        <v>1340</v>
      </c>
      <c r="F1340" s="9" t="s">
        <v>29</v>
      </c>
      <c r="O1340" s="23" t="s">
        <v>157</v>
      </c>
    </row>
    <row r="1341" spans="1:15">
      <c r="E1341" s="4">
        <f t="shared" si="699"/>
        <v>1341</v>
      </c>
      <c r="F1341" s="9" t="s">
        <v>122</v>
      </c>
      <c r="O1341" s="23" t="s">
        <v>158</v>
      </c>
    </row>
    <row r="1342" spans="1:15">
      <c r="E1342" s="4">
        <f t="shared" si="699"/>
        <v>1342</v>
      </c>
      <c r="F1342" s="9" t="s">
        <v>117</v>
      </c>
      <c r="G1342" s="9" t="s">
        <v>253</v>
      </c>
      <c r="H1342" s="9" t="s">
        <v>254</v>
      </c>
      <c r="I1342" s="9" t="s">
        <v>255</v>
      </c>
      <c r="J1342" s="9" t="s">
        <v>256</v>
      </c>
      <c r="L1342" s="9" t="s">
        <v>138</v>
      </c>
      <c r="O1342" s="23">
        <f t="shared" ref="O1342" ca="1" si="710">IF(MOD(D1336,2)=0,RANDBETWEEN($I$19,$J$19),RANDBETWEEN($G$19,$H$19))</f>
        <v>120</v>
      </c>
    </row>
    <row r="1343" spans="1:15">
      <c r="E1343" s="4">
        <f t="shared" si="699"/>
        <v>1343</v>
      </c>
      <c r="F1343" s="9" t="s">
        <v>30</v>
      </c>
      <c r="O1343" s="23" t="s">
        <v>33</v>
      </c>
    </row>
    <row r="1344" spans="1:15">
      <c r="E1344" s="4">
        <f t="shared" si="699"/>
        <v>1344</v>
      </c>
      <c r="F1344" s="9" t="s">
        <v>119</v>
      </c>
      <c r="G1344" s="9" t="s">
        <v>257</v>
      </c>
      <c r="H1344" s="9" t="s">
        <v>258</v>
      </c>
      <c r="I1344" s="9" t="s">
        <v>34</v>
      </c>
      <c r="O1344" s="23">
        <f t="shared" ref="O1344:O1407" ca="1" si="711">RANDBETWEEN($G$21*$I$21,$H$21*$I$21)/$I$21</f>
        <v>-5.6</v>
      </c>
    </row>
    <row r="1345" spans="1:15">
      <c r="E1345" s="4">
        <f t="shared" si="699"/>
        <v>1345</v>
      </c>
      <c r="F1345" s="9" t="s">
        <v>112</v>
      </c>
      <c r="O1345" s="23">
        <v>0</v>
      </c>
    </row>
    <row r="1346" spans="1:15">
      <c r="E1346" s="4">
        <f t="shared" si="699"/>
        <v>1346</v>
      </c>
      <c r="F1346" s="9" t="s">
        <v>102</v>
      </c>
      <c r="G1346" s="9" t="s">
        <v>259</v>
      </c>
      <c r="H1346" s="9" t="s">
        <v>260</v>
      </c>
      <c r="I1346" s="9" t="s">
        <v>34</v>
      </c>
      <c r="J1346" s="9" t="s">
        <v>261</v>
      </c>
      <c r="K1346" s="9" t="s">
        <v>140</v>
      </c>
      <c r="O1346" s="23" t="str">
        <f t="shared" ref="O1346:O1409" ca="1" si="712">CONCATENATE(RANDBETWEEN($G$23*$I$23,$H$23*$I$23)/$I$23,$J$23)</f>
        <v>1.9,6</v>
      </c>
    </row>
    <row r="1347" spans="1:15">
      <c r="E1347" s="4">
        <f t="shared" si="699"/>
        <v>1347</v>
      </c>
      <c r="F1347" s="9" t="s">
        <v>31</v>
      </c>
      <c r="L1347" s="9" t="s">
        <v>148</v>
      </c>
    </row>
    <row r="1348" spans="1:15">
      <c r="E1348" s="4">
        <f t="shared" si="699"/>
        <v>1348</v>
      </c>
      <c r="F1348" s="9" t="s">
        <v>136</v>
      </c>
      <c r="L1348" s="9" t="s">
        <v>149</v>
      </c>
    </row>
    <row r="1349" spans="1:15">
      <c r="E1349" s="4">
        <f t="shared" si="699"/>
        <v>1349</v>
      </c>
      <c r="F1349" s="9" t="s">
        <v>137</v>
      </c>
      <c r="K1349" s="9" t="s">
        <v>141</v>
      </c>
      <c r="O1349" s="23">
        <v>1</v>
      </c>
    </row>
    <row r="1350" spans="1:15">
      <c r="E1350" s="4">
        <f t="shared" si="699"/>
        <v>1350</v>
      </c>
      <c r="F1350" s="9" t="s">
        <v>137</v>
      </c>
      <c r="G1350" s="9" t="s">
        <v>262</v>
      </c>
      <c r="H1350" s="9" t="s">
        <v>32</v>
      </c>
      <c r="I1350" s="9" t="s">
        <v>34</v>
      </c>
      <c r="J1350" s="9" t="s">
        <v>263</v>
      </c>
      <c r="K1350" s="9" t="s">
        <v>140</v>
      </c>
      <c r="O1350" s="23" t="str">
        <f t="shared" ref="O1350:O1413" ca="1" si="713">CONCATENATE(RANDBETWEEN($G$27*$I$27,$H$27*$I$27)/$I$27,$J$27)</f>
        <v>1.2,-4.5</v>
      </c>
    </row>
    <row r="1351" spans="1:15">
      <c r="E1351" s="4">
        <f t="shared" si="699"/>
        <v>1351</v>
      </c>
      <c r="F1351" s="9" t="s">
        <v>105</v>
      </c>
      <c r="O1351" s="23">
        <f t="shared" ref="O1351" si="714">O1337*10+1</f>
        <v>100641</v>
      </c>
    </row>
    <row r="1352" spans="1:15">
      <c r="E1352" s="4">
        <f t="shared" si="699"/>
        <v>1352</v>
      </c>
      <c r="F1352" s="9" t="s">
        <v>156</v>
      </c>
      <c r="O1352" s="23">
        <f t="shared" ref="O1352" si="715">O1337</f>
        <v>10064</v>
      </c>
    </row>
    <row r="1353" spans="1:15">
      <c r="E1353" s="4">
        <f t="shared" si="699"/>
        <v>1353</v>
      </c>
      <c r="F1353" s="9" t="s">
        <v>131</v>
      </c>
      <c r="O1353" s="23">
        <v>0</v>
      </c>
    </row>
    <row r="1354" spans="1:15">
      <c r="E1354" s="4">
        <f t="shared" si="699"/>
        <v>1354</v>
      </c>
      <c r="F1354" s="9" t="s">
        <v>35</v>
      </c>
      <c r="O1354" s="23" t="s">
        <v>252</v>
      </c>
    </row>
    <row r="1355" spans="1:15">
      <c r="E1355" s="4">
        <f t="shared" si="699"/>
        <v>1355</v>
      </c>
      <c r="F1355" s="9" t="s">
        <v>119</v>
      </c>
      <c r="O1355" s="23" t="s">
        <v>22</v>
      </c>
    </row>
    <row r="1356" spans="1:15">
      <c r="A1356" s="9"/>
      <c r="B1356" s="9"/>
      <c r="C1356" s="9"/>
      <c r="D1356" s="9"/>
      <c r="E1356" s="4">
        <f t="shared" si="699"/>
        <v>1356</v>
      </c>
      <c r="F1356" s="9" t="s">
        <v>117</v>
      </c>
      <c r="L1356" s="9" t="s">
        <v>138</v>
      </c>
      <c r="O1356" s="23">
        <f t="shared" ref="O1356" ca="1" si="716">O1342</f>
        <v>120</v>
      </c>
    </row>
    <row r="1357" spans="1:15">
      <c r="B1357" s="22">
        <f t="shared" ref="B1357:B1420" si="717">QUOTIENT( D1357-1,G1358)+1</f>
        <v>22</v>
      </c>
      <c r="C1357" s="22">
        <f t="shared" ref="C1357" si="718">D1357-(B1357-1)*G1358</f>
        <v>2</v>
      </c>
      <c r="D1357" s="22">
        <f>COUNT($D$12:$D1356)+1</f>
        <v>65</v>
      </c>
      <c r="E1357" s="4"/>
    </row>
    <row r="1358" spans="1:15">
      <c r="E1358" s="4">
        <f t="shared" si="699"/>
        <v>1358</v>
      </c>
      <c r="F1358" s="9" t="s">
        <v>96</v>
      </c>
      <c r="G1358" s="9" t="s">
        <v>38</v>
      </c>
      <c r="H1358" s="9" t="s">
        <v>282</v>
      </c>
      <c r="J1358" s="9" t="s">
        <v>247</v>
      </c>
      <c r="O1358" s="23">
        <f t="shared" ref="O1358:O1421" si="719">J1358+D1357</f>
        <v>10065</v>
      </c>
    </row>
    <row r="1359" spans="1:15">
      <c r="E1359" s="4">
        <f t="shared" si="699"/>
        <v>1359</v>
      </c>
      <c r="F1359" s="9" t="s">
        <v>165</v>
      </c>
      <c r="G1359" s="9" t="s">
        <v>280</v>
      </c>
      <c r="H1359" s="9" t="s">
        <v>249</v>
      </c>
      <c r="O1359" s="23">
        <f t="shared" ref="O1359" si="720">G1359+B1357*H1359</f>
        <v>830</v>
      </c>
    </row>
    <row r="1360" spans="1:15">
      <c r="E1360" s="4">
        <f t="shared" si="699"/>
        <v>1360</v>
      </c>
      <c r="F1360" s="9" t="s">
        <v>35</v>
      </c>
      <c r="O1360" s="23" t="s">
        <v>251</v>
      </c>
    </row>
    <row r="1361" spans="5:15">
      <c r="E1361" s="4">
        <f t="shared" si="699"/>
        <v>1361</v>
      </c>
      <c r="F1361" s="9" t="s">
        <v>29</v>
      </c>
      <c r="O1361" s="23" t="s">
        <v>157</v>
      </c>
    </row>
    <row r="1362" spans="5:15">
      <c r="E1362" s="4">
        <f t="shared" si="699"/>
        <v>1362</v>
      </c>
      <c r="F1362" s="9" t="s">
        <v>122</v>
      </c>
      <c r="O1362" s="23" t="s">
        <v>158</v>
      </c>
    </row>
    <row r="1363" spans="5:15">
      <c r="E1363" s="4">
        <f t="shared" si="699"/>
        <v>1363</v>
      </c>
      <c r="F1363" s="9" t="s">
        <v>117</v>
      </c>
      <c r="G1363" s="9" t="s">
        <v>253</v>
      </c>
      <c r="H1363" s="9" t="s">
        <v>254</v>
      </c>
      <c r="I1363" s="9" t="s">
        <v>255</v>
      </c>
      <c r="J1363" s="9" t="s">
        <v>256</v>
      </c>
      <c r="L1363" s="9" t="s">
        <v>138</v>
      </c>
      <c r="O1363" s="23">
        <f t="shared" ref="O1363" ca="1" si="721">IF(MOD(D1357,2)=0,RANDBETWEEN($I$19,$J$19),RANDBETWEEN($G$19,$H$19))</f>
        <v>-115</v>
      </c>
    </row>
    <row r="1364" spans="5:15">
      <c r="E1364" s="4">
        <f t="shared" si="699"/>
        <v>1364</v>
      </c>
      <c r="F1364" s="9" t="s">
        <v>30</v>
      </c>
      <c r="O1364" s="23" t="s">
        <v>33</v>
      </c>
    </row>
    <row r="1365" spans="5:15">
      <c r="E1365" s="4">
        <f t="shared" si="699"/>
        <v>1365</v>
      </c>
      <c r="F1365" s="9" t="s">
        <v>119</v>
      </c>
      <c r="G1365" s="9" t="s">
        <v>257</v>
      </c>
      <c r="H1365" s="9" t="s">
        <v>258</v>
      </c>
      <c r="I1365" s="9" t="s">
        <v>34</v>
      </c>
      <c r="O1365" s="23">
        <f t="shared" ref="O1365:O1428" ca="1" si="722">RANDBETWEEN($G$21*$I$21,$H$21*$I$21)/$I$21</f>
        <v>-9.4</v>
      </c>
    </row>
    <row r="1366" spans="5:15">
      <c r="E1366" s="4">
        <f t="shared" si="699"/>
        <v>1366</v>
      </c>
      <c r="F1366" s="9" t="s">
        <v>112</v>
      </c>
      <c r="O1366" s="23">
        <v>0</v>
      </c>
    </row>
    <row r="1367" spans="5:15">
      <c r="E1367" s="4">
        <f t="shared" si="699"/>
        <v>1367</v>
      </c>
      <c r="F1367" s="9" t="s">
        <v>102</v>
      </c>
      <c r="G1367" s="9" t="s">
        <v>259</v>
      </c>
      <c r="H1367" s="9" t="s">
        <v>260</v>
      </c>
      <c r="I1367" s="9" t="s">
        <v>34</v>
      </c>
      <c r="J1367" s="9" t="s">
        <v>261</v>
      </c>
      <c r="K1367" s="9" t="s">
        <v>140</v>
      </c>
      <c r="O1367" s="23" t="str">
        <f t="shared" ref="O1367:O1430" ca="1" si="723">CONCATENATE(RANDBETWEEN($G$23*$I$23,$H$23*$I$23)/$I$23,$J$23)</f>
        <v>-3.7,6</v>
      </c>
    </row>
    <row r="1368" spans="5:15">
      <c r="E1368" s="4">
        <f t="shared" si="699"/>
        <v>1368</v>
      </c>
      <c r="F1368" s="9" t="s">
        <v>31</v>
      </c>
      <c r="L1368" s="9" t="s">
        <v>148</v>
      </c>
    </row>
    <row r="1369" spans="5:15">
      <c r="E1369" s="4">
        <f t="shared" si="699"/>
        <v>1369</v>
      </c>
      <c r="F1369" s="9" t="s">
        <v>136</v>
      </c>
      <c r="L1369" s="9" t="s">
        <v>149</v>
      </c>
    </row>
    <row r="1370" spans="5:15">
      <c r="E1370" s="4">
        <f t="shared" si="699"/>
        <v>1370</v>
      </c>
      <c r="F1370" s="9" t="s">
        <v>137</v>
      </c>
      <c r="K1370" s="9" t="s">
        <v>141</v>
      </c>
      <c r="O1370" s="23">
        <v>1</v>
      </c>
    </row>
    <row r="1371" spans="5:15">
      <c r="E1371" s="4">
        <f t="shared" si="699"/>
        <v>1371</v>
      </c>
      <c r="F1371" s="9" t="s">
        <v>137</v>
      </c>
      <c r="G1371" s="9" t="s">
        <v>262</v>
      </c>
      <c r="H1371" s="9" t="s">
        <v>32</v>
      </c>
      <c r="I1371" s="9" t="s">
        <v>34</v>
      </c>
      <c r="J1371" s="9" t="s">
        <v>263</v>
      </c>
      <c r="K1371" s="9" t="s">
        <v>140</v>
      </c>
      <c r="O1371" s="23" t="str">
        <f t="shared" ref="O1371:O1434" ca="1" si="724">CONCATENATE(RANDBETWEEN($G$27*$I$27,$H$27*$I$27)/$I$27,$J$27)</f>
        <v>-5.8,-4.5</v>
      </c>
    </row>
    <row r="1372" spans="5:15">
      <c r="E1372" s="4">
        <f t="shared" si="699"/>
        <v>1372</v>
      </c>
      <c r="F1372" s="9" t="s">
        <v>105</v>
      </c>
      <c r="O1372" s="23">
        <f t="shared" ref="O1372" si="725">O1358*10+1</f>
        <v>100651</v>
      </c>
    </row>
    <row r="1373" spans="5:15">
      <c r="E1373" s="4">
        <f t="shared" si="699"/>
        <v>1373</v>
      </c>
      <c r="F1373" s="9" t="s">
        <v>156</v>
      </c>
      <c r="O1373" s="23">
        <f t="shared" ref="O1373" si="726">O1358</f>
        <v>10065</v>
      </c>
    </row>
    <row r="1374" spans="5:15">
      <c r="E1374" s="4">
        <f t="shared" si="699"/>
        <v>1374</v>
      </c>
      <c r="F1374" s="9" t="s">
        <v>131</v>
      </c>
      <c r="O1374" s="23">
        <v>0</v>
      </c>
    </row>
    <row r="1375" spans="5:15">
      <c r="E1375" s="4">
        <f t="shared" si="699"/>
        <v>1375</v>
      </c>
      <c r="F1375" s="9" t="s">
        <v>35</v>
      </c>
      <c r="O1375" s="23" t="s">
        <v>252</v>
      </c>
    </row>
    <row r="1376" spans="5:15">
      <c r="E1376" s="4">
        <f t="shared" si="699"/>
        <v>1376</v>
      </c>
      <c r="F1376" s="9" t="s">
        <v>119</v>
      </c>
      <c r="O1376" s="23" t="s">
        <v>22</v>
      </c>
    </row>
    <row r="1377" spans="1:15">
      <c r="E1377" s="4">
        <f t="shared" si="699"/>
        <v>1377</v>
      </c>
      <c r="F1377" s="9" t="s">
        <v>117</v>
      </c>
      <c r="L1377" s="9" t="s">
        <v>138</v>
      </c>
      <c r="O1377" s="23">
        <f t="shared" ref="O1377" ca="1" si="727">O1363</f>
        <v>-115</v>
      </c>
    </row>
    <row r="1378" spans="1:15">
      <c r="A1378" s="9"/>
      <c r="B1378" s="9">
        <f t="shared" ref="B1378:B1441" si="728">QUOTIENT( D1378-1,G1379)+1</f>
        <v>22</v>
      </c>
      <c r="C1378" s="9">
        <f t="shared" ref="C1378" si="729">D1378-(B1378-1)*G1379</f>
        <v>3</v>
      </c>
      <c r="D1378" s="9">
        <f>COUNT($D$12:$D1377)+1</f>
        <v>66</v>
      </c>
      <c r="E1378" s="4"/>
    </row>
    <row r="1379" spans="1:15">
      <c r="E1379" s="4">
        <f t="shared" si="699"/>
        <v>1379</v>
      </c>
      <c r="F1379" s="9" t="s">
        <v>96</v>
      </c>
      <c r="G1379" s="9" t="s">
        <v>38</v>
      </c>
      <c r="H1379" s="9" t="s">
        <v>282</v>
      </c>
      <c r="J1379" s="9" t="s">
        <v>247</v>
      </c>
      <c r="O1379" s="23">
        <f t="shared" ref="O1379:O1442" si="730">J1379+D1378</f>
        <v>10066</v>
      </c>
    </row>
    <row r="1380" spans="1:15">
      <c r="E1380" s="4">
        <f t="shared" si="699"/>
        <v>1380</v>
      </c>
      <c r="F1380" s="9" t="s">
        <v>165</v>
      </c>
      <c r="G1380" s="9" t="s">
        <v>280</v>
      </c>
      <c r="H1380" s="9" t="s">
        <v>249</v>
      </c>
      <c r="O1380" s="23">
        <f t="shared" ref="O1380" si="731">G1380+B1378*H1380</f>
        <v>830</v>
      </c>
    </row>
    <row r="1381" spans="1:15">
      <c r="E1381" s="4">
        <f t="shared" si="699"/>
        <v>1381</v>
      </c>
      <c r="F1381" s="9" t="s">
        <v>35</v>
      </c>
      <c r="O1381" s="23" t="s">
        <v>251</v>
      </c>
    </row>
    <row r="1382" spans="1:15">
      <c r="E1382" s="4">
        <f t="shared" si="699"/>
        <v>1382</v>
      </c>
      <c r="F1382" s="9" t="s">
        <v>29</v>
      </c>
      <c r="O1382" s="23" t="s">
        <v>157</v>
      </c>
    </row>
    <row r="1383" spans="1:15">
      <c r="E1383" s="4">
        <f t="shared" si="699"/>
        <v>1383</v>
      </c>
      <c r="F1383" s="9" t="s">
        <v>122</v>
      </c>
      <c r="O1383" s="23" t="s">
        <v>158</v>
      </c>
    </row>
    <row r="1384" spans="1:15">
      <c r="E1384" s="4">
        <f t="shared" si="699"/>
        <v>1384</v>
      </c>
      <c r="F1384" s="9" t="s">
        <v>117</v>
      </c>
      <c r="G1384" s="9" t="s">
        <v>253</v>
      </c>
      <c r="H1384" s="9" t="s">
        <v>254</v>
      </c>
      <c r="I1384" s="9" t="s">
        <v>255</v>
      </c>
      <c r="J1384" s="9" t="s">
        <v>256</v>
      </c>
      <c r="L1384" s="9" t="s">
        <v>138</v>
      </c>
      <c r="O1384" s="23">
        <f t="shared" ref="O1384" ca="1" si="732">IF(MOD(D1378,2)=0,RANDBETWEEN($I$19,$J$19),RANDBETWEEN($G$19,$H$19))</f>
        <v>111</v>
      </c>
    </row>
    <row r="1385" spans="1:15">
      <c r="E1385" s="4">
        <f t="shared" si="699"/>
        <v>1385</v>
      </c>
      <c r="F1385" s="9" t="s">
        <v>30</v>
      </c>
      <c r="O1385" s="23" t="s">
        <v>33</v>
      </c>
    </row>
    <row r="1386" spans="1:15">
      <c r="E1386" s="4">
        <f t="shared" ref="E1386:E1449" si="733">ROW(E1386)</f>
        <v>1386</v>
      </c>
      <c r="F1386" s="9" t="s">
        <v>119</v>
      </c>
      <c r="G1386" s="9" t="s">
        <v>257</v>
      </c>
      <c r="H1386" s="9" t="s">
        <v>258</v>
      </c>
      <c r="I1386" s="9" t="s">
        <v>34</v>
      </c>
      <c r="O1386" s="23">
        <f t="shared" ref="O1386:O1449" ca="1" si="734">RANDBETWEEN($G$21*$I$21,$H$21*$I$21)/$I$21</f>
        <v>-5.4</v>
      </c>
    </row>
    <row r="1387" spans="1:15">
      <c r="E1387" s="4">
        <f t="shared" si="733"/>
        <v>1387</v>
      </c>
      <c r="F1387" s="9" t="s">
        <v>112</v>
      </c>
      <c r="O1387" s="23">
        <v>0</v>
      </c>
    </row>
    <row r="1388" spans="1:15">
      <c r="E1388" s="4">
        <f t="shared" si="733"/>
        <v>1388</v>
      </c>
      <c r="F1388" s="9" t="s">
        <v>102</v>
      </c>
      <c r="G1388" s="9" t="s">
        <v>259</v>
      </c>
      <c r="H1388" s="9" t="s">
        <v>260</v>
      </c>
      <c r="I1388" s="9" t="s">
        <v>34</v>
      </c>
      <c r="J1388" s="9" t="s">
        <v>261</v>
      </c>
      <c r="K1388" s="9" t="s">
        <v>140</v>
      </c>
      <c r="O1388" s="23" t="str">
        <f t="shared" ref="O1388:O1451" ca="1" si="735">CONCATENATE(RANDBETWEEN($G$23*$I$23,$H$23*$I$23)/$I$23,$J$23)</f>
        <v>0.3,6</v>
      </c>
    </row>
    <row r="1389" spans="1:15">
      <c r="E1389" s="4">
        <f t="shared" si="733"/>
        <v>1389</v>
      </c>
      <c r="F1389" s="9" t="s">
        <v>31</v>
      </c>
      <c r="L1389" s="9" t="s">
        <v>148</v>
      </c>
    </row>
    <row r="1390" spans="1:15">
      <c r="E1390" s="4">
        <f t="shared" si="733"/>
        <v>1390</v>
      </c>
      <c r="F1390" s="9" t="s">
        <v>136</v>
      </c>
      <c r="L1390" s="9" t="s">
        <v>149</v>
      </c>
    </row>
    <row r="1391" spans="1:15">
      <c r="E1391" s="4">
        <f t="shared" si="733"/>
        <v>1391</v>
      </c>
      <c r="F1391" s="9" t="s">
        <v>137</v>
      </c>
      <c r="K1391" s="9" t="s">
        <v>141</v>
      </c>
      <c r="O1391" s="23">
        <v>1</v>
      </c>
    </row>
    <row r="1392" spans="1:15">
      <c r="E1392" s="4">
        <f t="shared" si="733"/>
        <v>1392</v>
      </c>
      <c r="F1392" s="9" t="s">
        <v>137</v>
      </c>
      <c r="G1392" s="9" t="s">
        <v>262</v>
      </c>
      <c r="H1392" s="9" t="s">
        <v>32</v>
      </c>
      <c r="I1392" s="9" t="s">
        <v>34</v>
      </c>
      <c r="J1392" s="9" t="s">
        <v>263</v>
      </c>
      <c r="K1392" s="9" t="s">
        <v>140</v>
      </c>
      <c r="O1392" s="23" t="str">
        <f t="shared" ref="O1392:O1455" ca="1" si="736">CONCATENATE(RANDBETWEEN($G$27*$I$27,$H$27*$I$27)/$I$27,$J$27)</f>
        <v>-0.5,-4.5</v>
      </c>
    </row>
    <row r="1393" spans="1:15">
      <c r="E1393" s="4">
        <f t="shared" si="733"/>
        <v>1393</v>
      </c>
      <c r="F1393" s="9" t="s">
        <v>105</v>
      </c>
      <c r="O1393" s="23">
        <f t="shared" ref="O1393" si="737">O1379*10+1</f>
        <v>100661</v>
      </c>
    </row>
    <row r="1394" spans="1:15">
      <c r="E1394" s="4">
        <f t="shared" si="733"/>
        <v>1394</v>
      </c>
      <c r="F1394" s="9" t="s">
        <v>156</v>
      </c>
      <c r="O1394" s="23">
        <f t="shared" ref="O1394" si="738">O1379</f>
        <v>10066</v>
      </c>
    </row>
    <row r="1395" spans="1:15">
      <c r="E1395" s="4">
        <f t="shared" si="733"/>
        <v>1395</v>
      </c>
      <c r="F1395" s="9" t="s">
        <v>131</v>
      </c>
      <c r="O1395" s="23">
        <v>0</v>
      </c>
    </row>
    <row r="1396" spans="1:15">
      <c r="E1396" s="4">
        <f t="shared" si="733"/>
        <v>1396</v>
      </c>
      <c r="F1396" s="9" t="s">
        <v>35</v>
      </c>
      <c r="O1396" s="23" t="s">
        <v>252</v>
      </c>
    </row>
    <row r="1397" spans="1:15">
      <c r="E1397" s="4">
        <f t="shared" si="733"/>
        <v>1397</v>
      </c>
      <c r="F1397" s="9" t="s">
        <v>119</v>
      </c>
      <c r="O1397" s="23" t="s">
        <v>22</v>
      </c>
    </row>
    <row r="1398" spans="1:15">
      <c r="E1398" s="4">
        <f t="shared" si="733"/>
        <v>1398</v>
      </c>
      <c r="F1398" s="9" t="s">
        <v>117</v>
      </c>
      <c r="L1398" s="9" t="s">
        <v>138</v>
      </c>
      <c r="O1398" s="23">
        <f t="shared" ref="O1398" ca="1" si="739">O1384</f>
        <v>111</v>
      </c>
    </row>
    <row r="1399" spans="1:15">
      <c r="B1399" s="22">
        <f t="shared" ref="B1399:B1462" si="740">QUOTIENT( D1399-1,G1400)+1</f>
        <v>23</v>
      </c>
      <c r="C1399" s="22">
        <f t="shared" ref="C1399" si="741">D1399-(B1399-1)*G1400</f>
        <v>1</v>
      </c>
      <c r="D1399" s="22">
        <f>COUNT($D$12:$D1398)+1</f>
        <v>67</v>
      </c>
      <c r="E1399" s="4"/>
    </row>
    <row r="1400" spans="1:15">
      <c r="A1400" s="9"/>
      <c r="B1400" s="9"/>
      <c r="C1400" s="9"/>
      <c r="D1400" s="9"/>
      <c r="E1400" s="4">
        <f t="shared" si="733"/>
        <v>1400</v>
      </c>
      <c r="F1400" s="9" t="s">
        <v>96</v>
      </c>
      <c r="G1400" s="9" t="s">
        <v>38</v>
      </c>
      <c r="H1400" s="9" t="s">
        <v>282</v>
      </c>
      <c r="J1400" s="9" t="s">
        <v>247</v>
      </c>
      <c r="O1400" s="23">
        <f t="shared" ref="O1400:O1463" si="742">J1400+D1399</f>
        <v>10067</v>
      </c>
    </row>
    <row r="1401" spans="1:15">
      <c r="E1401" s="4">
        <f t="shared" si="733"/>
        <v>1401</v>
      </c>
      <c r="F1401" s="9" t="s">
        <v>165</v>
      </c>
      <c r="G1401" s="9" t="s">
        <v>280</v>
      </c>
      <c r="H1401" s="9" t="s">
        <v>249</v>
      </c>
      <c r="O1401" s="23">
        <f t="shared" ref="O1401" si="743">G1401+B1399*H1401</f>
        <v>845</v>
      </c>
    </row>
    <row r="1402" spans="1:15">
      <c r="E1402" s="4">
        <f t="shared" si="733"/>
        <v>1402</v>
      </c>
      <c r="F1402" s="9" t="s">
        <v>35</v>
      </c>
      <c r="O1402" s="23" t="s">
        <v>251</v>
      </c>
    </row>
    <row r="1403" spans="1:15">
      <c r="E1403" s="4">
        <f t="shared" si="733"/>
        <v>1403</v>
      </c>
      <c r="F1403" s="9" t="s">
        <v>29</v>
      </c>
      <c r="O1403" s="23" t="s">
        <v>157</v>
      </c>
    </row>
    <row r="1404" spans="1:15">
      <c r="E1404" s="4">
        <f t="shared" si="733"/>
        <v>1404</v>
      </c>
      <c r="F1404" s="9" t="s">
        <v>122</v>
      </c>
      <c r="O1404" s="23" t="s">
        <v>158</v>
      </c>
    </row>
    <row r="1405" spans="1:15">
      <c r="E1405" s="4">
        <f t="shared" si="733"/>
        <v>1405</v>
      </c>
      <c r="F1405" s="9" t="s">
        <v>117</v>
      </c>
      <c r="G1405" s="9" t="s">
        <v>253</v>
      </c>
      <c r="H1405" s="9" t="s">
        <v>254</v>
      </c>
      <c r="I1405" s="9" t="s">
        <v>255</v>
      </c>
      <c r="J1405" s="9" t="s">
        <v>256</v>
      </c>
      <c r="L1405" s="9" t="s">
        <v>138</v>
      </c>
      <c r="O1405" s="23">
        <f t="shared" ref="O1405" ca="1" si="744">IF(MOD(D1399,2)=0,RANDBETWEEN($I$19,$J$19),RANDBETWEEN($G$19,$H$19))</f>
        <v>-94</v>
      </c>
    </row>
    <row r="1406" spans="1:15">
      <c r="E1406" s="4">
        <f t="shared" si="733"/>
        <v>1406</v>
      </c>
      <c r="F1406" s="9" t="s">
        <v>30</v>
      </c>
      <c r="O1406" s="23" t="s">
        <v>33</v>
      </c>
    </row>
    <row r="1407" spans="1:15">
      <c r="E1407" s="4">
        <f t="shared" si="733"/>
        <v>1407</v>
      </c>
      <c r="F1407" s="9" t="s">
        <v>119</v>
      </c>
      <c r="G1407" s="9" t="s">
        <v>257</v>
      </c>
      <c r="H1407" s="9" t="s">
        <v>258</v>
      </c>
      <c r="I1407" s="9" t="s">
        <v>34</v>
      </c>
      <c r="O1407" s="23">
        <f t="shared" ref="O1407:O1470" ca="1" si="745">RANDBETWEEN($G$21*$I$21,$H$21*$I$21)/$I$21</f>
        <v>-6.5</v>
      </c>
    </row>
    <row r="1408" spans="1:15">
      <c r="E1408" s="4">
        <f t="shared" si="733"/>
        <v>1408</v>
      </c>
      <c r="F1408" s="9" t="s">
        <v>112</v>
      </c>
      <c r="O1408" s="23">
        <v>0</v>
      </c>
    </row>
    <row r="1409" spans="1:15">
      <c r="E1409" s="4">
        <f t="shared" si="733"/>
        <v>1409</v>
      </c>
      <c r="F1409" s="9" t="s">
        <v>102</v>
      </c>
      <c r="G1409" s="9" t="s">
        <v>259</v>
      </c>
      <c r="H1409" s="9" t="s">
        <v>260</v>
      </c>
      <c r="I1409" s="9" t="s">
        <v>34</v>
      </c>
      <c r="J1409" s="9" t="s">
        <v>261</v>
      </c>
      <c r="K1409" s="9" t="s">
        <v>140</v>
      </c>
      <c r="O1409" s="23" t="str">
        <f t="shared" ref="O1409:O1472" ca="1" si="746">CONCATENATE(RANDBETWEEN($G$23*$I$23,$H$23*$I$23)/$I$23,$J$23)</f>
        <v>0.9,6</v>
      </c>
    </row>
    <row r="1410" spans="1:15">
      <c r="E1410" s="4">
        <f t="shared" si="733"/>
        <v>1410</v>
      </c>
      <c r="F1410" s="9" t="s">
        <v>31</v>
      </c>
      <c r="L1410" s="9" t="s">
        <v>148</v>
      </c>
    </row>
    <row r="1411" spans="1:15">
      <c r="E1411" s="4">
        <f t="shared" si="733"/>
        <v>1411</v>
      </c>
      <c r="F1411" s="9" t="s">
        <v>136</v>
      </c>
      <c r="L1411" s="9" t="s">
        <v>149</v>
      </c>
    </row>
    <row r="1412" spans="1:15">
      <c r="E1412" s="4">
        <f t="shared" si="733"/>
        <v>1412</v>
      </c>
      <c r="F1412" s="9" t="s">
        <v>137</v>
      </c>
      <c r="K1412" s="9" t="s">
        <v>141</v>
      </c>
      <c r="O1412" s="23">
        <v>1</v>
      </c>
    </row>
    <row r="1413" spans="1:15">
      <c r="E1413" s="4">
        <f t="shared" si="733"/>
        <v>1413</v>
      </c>
      <c r="F1413" s="9" t="s">
        <v>137</v>
      </c>
      <c r="G1413" s="9" t="s">
        <v>262</v>
      </c>
      <c r="H1413" s="9" t="s">
        <v>32</v>
      </c>
      <c r="I1413" s="9" t="s">
        <v>34</v>
      </c>
      <c r="J1413" s="9" t="s">
        <v>263</v>
      </c>
      <c r="K1413" s="9" t="s">
        <v>140</v>
      </c>
      <c r="O1413" s="23" t="str">
        <f t="shared" ref="O1413:O1476" ca="1" si="747">CONCATENATE(RANDBETWEEN($G$27*$I$27,$H$27*$I$27)/$I$27,$J$27)</f>
        <v>-5.7,-4.5</v>
      </c>
    </row>
    <row r="1414" spans="1:15">
      <c r="E1414" s="4">
        <f t="shared" si="733"/>
        <v>1414</v>
      </c>
      <c r="F1414" s="9" t="s">
        <v>105</v>
      </c>
      <c r="O1414" s="23">
        <f t="shared" ref="O1414" si="748">O1400*10+1</f>
        <v>100671</v>
      </c>
    </row>
    <row r="1415" spans="1:15">
      <c r="E1415" s="4">
        <f t="shared" si="733"/>
        <v>1415</v>
      </c>
      <c r="F1415" s="9" t="s">
        <v>156</v>
      </c>
      <c r="O1415" s="23">
        <f t="shared" ref="O1415" si="749">O1400</f>
        <v>10067</v>
      </c>
    </row>
    <row r="1416" spans="1:15">
      <c r="E1416" s="4">
        <f t="shared" si="733"/>
        <v>1416</v>
      </c>
      <c r="F1416" s="9" t="s">
        <v>131</v>
      </c>
      <c r="O1416" s="23">
        <v>0</v>
      </c>
    </row>
    <row r="1417" spans="1:15">
      <c r="E1417" s="4">
        <f t="shared" si="733"/>
        <v>1417</v>
      </c>
      <c r="F1417" s="9" t="s">
        <v>35</v>
      </c>
      <c r="O1417" s="23" t="s">
        <v>252</v>
      </c>
    </row>
    <row r="1418" spans="1:15">
      <c r="E1418" s="4">
        <f t="shared" si="733"/>
        <v>1418</v>
      </c>
      <c r="F1418" s="9" t="s">
        <v>119</v>
      </c>
      <c r="O1418" s="23" t="s">
        <v>22</v>
      </c>
    </row>
    <row r="1419" spans="1:15">
      <c r="E1419" s="4">
        <f t="shared" si="733"/>
        <v>1419</v>
      </c>
      <c r="F1419" s="9" t="s">
        <v>117</v>
      </c>
      <c r="L1419" s="9" t="s">
        <v>138</v>
      </c>
      <c r="O1419" s="23">
        <f t="shared" ref="O1419" ca="1" si="750">O1405</f>
        <v>-94</v>
      </c>
    </row>
    <row r="1420" spans="1:15">
      <c r="B1420" s="22">
        <f t="shared" ref="B1420:B1483" si="751">QUOTIENT( D1420-1,G1421)+1</f>
        <v>23</v>
      </c>
      <c r="C1420" s="22">
        <f t="shared" ref="C1420" si="752">D1420-(B1420-1)*G1421</f>
        <v>2</v>
      </c>
      <c r="D1420" s="22">
        <f>COUNT($D$12:$D1419)+1</f>
        <v>68</v>
      </c>
      <c r="E1420" s="4"/>
    </row>
    <row r="1421" spans="1:15">
      <c r="E1421" s="4">
        <f t="shared" si="733"/>
        <v>1421</v>
      </c>
      <c r="F1421" s="9" t="s">
        <v>96</v>
      </c>
      <c r="G1421" s="9" t="s">
        <v>38</v>
      </c>
      <c r="H1421" s="9" t="s">
        <v>282</v>
      </c>
      <c r="J1421" s="9" t="s">
        <v>247</v>
      </c>
      <c r="O1421" s="23">
        <f t="shared" ref="O1421:O1484" si="753">J1421+D1420</f>
        <v>10068</v>
      </c>
    </row>
    <row r="1422" spans="1:15">
      <c r="A1422" s="9"/>
      <c r="B1422" s="9"/>
      <c r="C1422" s="9"/>
      <c r="D1422" s="9"/>
      <c r="E1422" s="4">
        <f t="shared" si="733"/>
        <v>1422</v>
      </c>
      <c r="F1422" s="9" t="s">
        <v>165</v>
      </c>
      <c r="G1422" s="9" t="s">
        <v>280</v>
      </c>
      <c r="H1422" s="9" t="s">
        <v>249</v>
      </c>
      <c r="O1422" s="23">
        <f t="shared" ref="O1422" si="754">G1422+B1420*H1422</f>
        <v>845</v>
      </c>
    </row>
    <row r="1423" spans="1:15">
      <c r="E1423" s="4">
        <f t="shared" si="733"/>
        <v>1423</v>
      </c>
      <c r="F1423" s="9" t="s">
        <v>35</v>
      </c>
      <c r="O1423" s="23" t="s">
        <v>251</v>
      </c>
    </row>
    <row r="1424" spans="1:15">
      <c r="E1424" s="4">
        <f t="shared" si="733"/>
        <v>1424</v>
      </c>
      <c r="F1424" s="9" t="s">
        <v>29</v>
      </c>
      <c r="O1424" s="23" t="s">
        <v>157</v>
      </c>
    </row>
    <row r="1425" spans="5:15">
      <c r="E1425" s="4">
        <f t="shared" si="733"/>
        <v>1425</v>
      </c>
      <c r="F1425" s="9" t="s">
        <v>122</v>
      </c>
      <c r="O1425" s="23" t="s">
        <v>158</v>
      </c>
    </row>
    <row r="1426" spans="5:15">
      <c r="E1426" s="4">
        <f t="shared" si="733"/>
        <v>1426</v>
      </c>
      <c r="F1426" s="9" t="s">
        <v>117</v>
      </c>
      <c r="G1426" s="9" t="s">
        <v>253</v>
      </c>
      <c r="H1426" s="9" t="s">
        <v>254</v>
      </c>
      <c r="I1426" s="9" t="s">
        <v>255</v>
      </c>
      <c r="J1426" s="9" t="s">
        <v>256</v>
      </c>
      <c r="L1426" s="9" t="s">
        <v>138</v>
      </c>
      <c r="O1426" s="23">
        <f t="shared" ref="O1426" ca="1" si="755">IF(MOD(D1420,2)=0,RANDBETWEEN($I$19,$J$19),RANDBETWEEN($G$19,$H$19))</f>
        <v>94</v>
      </c>
    </row>
    <row r="1427" spans="5:15">
      <c r="E1427" s="4">
        <f t="shared" si="733"/>
        <v>1427</v>
      </c>
      <c r="F1427" s="9" t="s">
        <v>30</v>
      </c>
      <c r="O1427" s="23" t="s">
        <v>33</v>
      </c>
    </row>
    <row r="1428" spans="5:15">
      <c r="E1428" s="4">
        <f t="shared" si="733"/>
        <v>1428</v>
      </c>
      <c r="F1428" s="9" t="s">
        <v>119</v>
      </c>
      <c r="G1428" s="9" t="s">
        <v>257</v>
      </c>
      <c r="H1428" s="9" t="s">
        <v>258</v>
      </c>
      <c r="I1428" s="9" t="s">
        <v>34</v>
      </c>
      <c r="O1428" s="23">
        <f t="shared" ref="O1428:O1491" ca="1" si="756">RANDBETWEEN($G$21*$I$21,$H$21*$I$21)/$I$21</f>
        <v>-9.1999999999999993</v>
      </c>
    </row>
    <row r="1429" spans="5:15">
      <c r="E1429" s="4">
        <f t="shared" si="733"/>
        <v>1429</v>
      </c>
      <c r="F1429" s="9" t="s">
        <v>112</v>
      </c>
      <c r="O1429" s="23">
        <v>0</v>
      </c>
    </row>
    <row r="1430" spans="5:15">
      <c r="E1430" s="4">
        <f t="shared" si="733"/>
        <v>1430</v>
      </c>
      <c r="F1430" s="9" t="s">
        <v>102</v>
      </c>
      <c r="G1430" s="9" t="s">
        <v>259</v>
      </c>
      <c r="H1430" s="9" t="s">
        <v>260</v>
      </c>
      <c r="I1430" s="9" t="s">
        <v>34</v>
      </c>
      <c r="J1430" s="9" t="s">
        <v>261</v>
      </c>
      <c r="K1430" s="9" t="s">
        <v>140</v>
      </c>
      <c r="O1430" s="23" t="str">
        <f t="shared" ref="O1430:O1493" ca="1" si="757">CONCATENATE(RANDBETWEEN($G$23*$I$23,$H$23*$I$23)/$I$23,$J$23)</f>
        <v>-1.1,6</v>
      </c>
    </row>
    <row r="1431" spans="5:15">
      <c r="E1431" s="4">
        <f t="shared" si="733"/>
        <v>1431</v>
      </c>
      <c r="F1431" s="9" t="s">
        <v>31</v>
      </c>
      <c r="L1431" s="9" t="s">
        <v>148</v>
      </c>
    </row>
    <row r="1432" spans="5:15">
      <c r="E1432" s="4">
        <f t="shared" si="733"/>
        <v>1432</v>
      </c>
      <c r="F1432" s="9" t="s">
        <v>136</v>
      </c>
      <c r="L1432" s="9" t="s">
        <v>149</v>
      </c>
    </row>
    <row r="1433" spans="5:15">
      <c r="E1433" s="4">
        <f t="shared" si="733"/>
        <v>1433</v>
      </c>
      <c r="F1433" s="9" t="s">
        <v>137</v>
      </c>
      <c r="K1433" s="9" t="s">
        <v>141</v>
      </c>
      <c r="O1433" s="23">
        <v>1</v>
      </c>
    </row>
    <row r="1434" spans="5:15">
      <c r="E1434" s="4">
        <f t="shared" si="733"/>
        <v>1434</v>
      </c>
      <c r="F1434" s="9" t="s">
        <v>137</v>
      </c>
      <c r="G1434" s="9" t="s">
        <v>262</v>
      </c>
      <c r="H1434" s="9" t="s">
        <v>32</v>
      </c>
      <c r="I1434" s="9" t="s">
        <v>34</v>
      </c>
      <c r="J1434" s="9" t="s">
        <v>263</v>
      </c>
      <c r="K1434" s="9" t="s">
        <v>140</v>
      </c>
      <c r="O1434" s="23" t="str">
        <f t="shared" ref="O1434:O1497" ca="1" si="758">CONCATENATE(RANDBETWEEN($G$27*$I$27,$H$27*$I$27)/$I$27,$J$27)</f>
        <v>-6,-4.5</v>
      </c>
    </row>
    <row r="1435" spans="5:15">
      <c r="E1435" s="4">
        <f t="shared" si="733"/>
        <v>1435</v>
      </c>
      <c r="F1435" s="9" t="s">
        <v>105</v>
      </c>
      <c r="O1435" s="23">
        <f t="shared" ref="O1435" si="759">O1421*10+1</f>
        <v>100681</v>
      </c>
    </row>
    <row r="1436" spans="5:15">
      <c r="E1436" s="4">
        <f t="shared" si="733"/>
        <v>1436</v>
      </c>
      <c r="F1436" s="9" t="s">
        <v>156</v>
      </c>
      <c r="O1436" s="23">
        <f t="shared" ref="O1436" si="760">O1421</f>
        <v>10068</v>
      </c>
    </row>
    <row r="1437" spans="5:15">
      <c r="E1437" s="4">
        <f t="shared" si="733"/>
        <v>1437</v>
      </c>
      <c r="F1437" s="9" t="s">
        <v>131</v>
      </c>
      <c r="O1437" s="23">
        <v>0</v>
      </c>
    </row>
    <row r="1438" spans="5:15">
      <c r="E1438" s="4">
        <f t="shared" si="733"/>
        <v>1438</v>
      </c>
      <c r="F1438" s="9" t="s">
        <v>35</v>
      </c>
      <c r="O1438" s="23" t="s">
        <v>252</v>
      </c>
    </row>
    <row r="1439" spans="5:15">
      <c r="E1439" s="4">
        <f t="shared" si="733"/>
        <v>1439</v>
      </c>
      <c r="F1439" s="9" t="s">
        <v>119</v>
      </c>
      <c r="O1439" s="23" t="s">
        <v>22</v>
      </c>
    </row>
    <row r="1440" spans="5:15">
      <c r="E1440" s="4">
        <f t="shared" si="733"/>
        <v>1440</v>
      </c>
      <c r="F1440" s="9" t="s">
        <v>117</v>
      </c>
      <c r="L1440" s="9" t="s">
        <v>138</v>
      </c>
      <c r="O1440" s="23">
        <f t="shared" ref="O1440" ca="1" si="761">O1426</f>
        <v>94</v>
      </c>
    </row>
    <row r="1441" spans="1:15">
      <c r="B1441" s="22">
        <f t="shared" ref="B1441:B1504" si="762">QUOTIENT( D1441-1,G1442)+1</f>
        <v>23</v>
      </c>
      <c r="C1441" s="22">
        <f t="shared" ref="C1441" si="763">D1441-(B1441-1)*G1442</f>
        <v>3</v>
      </c>
      <c r="D1441" s="22">
        <f>COUNT($D$12:$D1440)+1</f>
        <v>69</v>
      </c>
      <c r="E1441" s="4"/>
    </row>
    <row r="1442" spans="1:15">
      <c r="E1442" s="4">
        <f t="shared" si="733"/>
        <v>1442</v>
      </c>
      <c r="F1442" s="9" t="s">
        <v>96</v>
      </c>
      <c r="G1442" s="9" t="s">
        <v>38</v>
      </c>
      <c r="H1442" s="9" t="s">
        <v>282</v>
      </c>
      <c r="J1442" s="9" t="s">
        <v>247</v>
      </c>
      <c r="O1442" s="23">
        <f t="shared" ref="O1442:O1505" si="764">J1442+D1441</f>
        <v>10069</v>
      </c>
    </row>
    <row r="1443" spans="1:15">
      <c r="E1443" s="4">
        <f t="shared" si="733"/>
        <v>1443</v>
      </c>
      <c r="F1443" s="9" t="s">
        <v>165</v>
      </c>
      <c r="G1443" s="9" t="s">
        <v>280</v>
      </c>
      <c r="H1443" s="9" t="s">
        <v>249</v>
      </c>
      <c r="O1443" s="23">
        <f t="shared" ref="O1443" si="765">G1443+B1441*H1443</f>
        <v>845</v>
      </c>
    </row>
    <row r="1444" spans="1:15">
      <c r="A1444" s="9"/>
      <c r="B1444" s="9"/>
      <c r="C1444" s="9"/>
      <c r="D1444" s="9"/>
      <c r="E1444" s="4">
        <f t="shared" si="733"/>
        <v>1444</v>
      </c>
      <c r="F1444" s="9" t="s">
        <v>35</v>
      </c>
      <c r="O1444" s="23" t="s">
        <v>251</v>
      </c>
    </row>
    <row r="1445" spans="1:15">
      <c r="E1445" s="4">
        <f t="shared" si="733"/>
        <v>1445</v>
      </c>
      <c r="F1445" s="9" t="s">
        <v>29</v>
      </c>
      <c r="O1445" s="23" t="s">
        <v>157</v>
      </c>
    </row>
    <row r="1446" spans="1:15">
      <c r="E1446" s="4">
        <f t="shared" si="733"/>
        <v>1446</v>
      </c>
      <c r="F1446" s="9" t="s">
        <v>122</v>
      </c>
      <c r="O1446" s="23" t="s">
        <v>158</v>
      </c>
    </row>
    <row r="1447" spans="1:15">
      <c r="E1447" s="4">
        <f t="shared" si="733"/>
        <v>1447</v>
      </c>
      <c r="F1447" s="9" t="s">
        <v>117</v>
      </c>
      <c r="G1447" s="9" t="s">
        <v>253</v>
      </c>
      <c r="H1447" s="9" t="s">
        <v>254</v>
      </c>
      <c r="I1447" s="9" t="s">
        <v>255</v>
      </c>
      <c r="J1447" s="9" t="s">
        <v>256</v>
      </c>
      <c r="L1447" s="9" t="s">
        <v>138</v>
      </c>
      <c r="O1447" s="23">
        <f t="shared" ref="O1447" ca="1" si="766">IF(MOD(D1441,2)=0,RANDBETWEEN($I$19,$J$19),RANDBETWEEN($G$19,$H$19))</f>
        <v>-102</v>
      </c>
    </row>
    <row r="1448" spans="1:15">
      <c r="E1448" s="4">
        <f t="shared" si="733"/>
        <v>1448</v>
      </c>
      <c r="F1448" s="9" t="s">
        <v>30</v>
      </c>
      <c r="O1448" s="23" t="s">
        <v>33</v>
      </c>
    </row>
    <row r="1449" spans="1:15">
      <c r="E1449" s="4">
        <f t="shared" si="733"/>
        <v>1449</v>
      </c>
      <c r="F1449" s="9" t="s">
        <v>119</v>
      </c>
      <c r="G1449" s="9" t="s">
        <v>257</v>
      </c>
      <c r="H1449" s="9" t="s">
        <v>258</v>
      </c>
      <c r="I1449" s="9" t="s">
        <v>34</v>
      </c>
      <c r="O1449" s="23">
        <f t="shared" ref="O1449:O1512" ca="1" si="767">RANDBETWEEN($G$21*$I$21,$H$21*$I$21)/$I$21</f>
        <v>-5.0999999999999996</v>
      </c>
    </row>
    <row r="1450" spans="1:15">
      <c r="E1450" s="4">
        <f t="shared" ref="E1450:E1513" si="768">ROW(E1450)</f>
        <v>1450</v>
      </c>
      <c r="F1450" s="9" t="s">
        <v>112</v>
      </c>
      <c r="O1450" s="23">
        <v>0</v>
      </c>
    </row>
    <row r="1451" spans="1:15">
      <c r="E1451" s="4">
        <f t="shared" si="768"/>
        <v>1451</v>
      </c>
      <c r="F1451" s="9" t="s">
        <v>102</v>
      </c>
      <c r="G1451" s="9" t="s">
        <v>259</v>
      </c>
      <c r="H1451" s="9" t="s">
        <v>260</v>
      </c>
      <c r="I1451" s="9" t="s">
        <v>34</v>
      </c>
      <c r="J1451" s="9" t="s">
        <v>261</v>
      </c>
      <c r="K1451" s="9" t="s">
        <v>140</v>
      </c>
      <c r="O1451" s="23" t="str">
        <f t="shared" ref="O1451:O1514" ca="1" si="769">CONCATENATE(RANDBETWEEN($G$23*$I$23,$H$23*$I$23)/$I$23,$J$23)</f>
        <v>1,6</v>
      </c>
    </row>
    <row r="1452" spans="1:15">
      <c r="E1452" s="4">
        <f t="shared" si="768"/>
        <v>1452</v>
      </c>
      <c r="F1452" s="9" t="s">
        <v>31</v>
      </c>
      <c r="L1452" s="9" t="s">
        <v>148</v>
      </c>
    </row>
    <row r="1453" spans="1:15">
      <c r="E1453" s="4">
        <f t="shared" si="768"/>
        <v>1453</v>
      </c>
      <c r="F1453" s="9" t="s">
        <v>136</v>
      </c>
      <c r="L1453" s="9" t="s">
        <v>149</v>
      </c>
    </row>
    <row r="1454" spans="1:15">
      <c r="E1454" s="4">
        <f t="shared" si="768"/>
        <v>1454</v>
      </c>
      <c r="F1454" s="9" t="s">
        <v>137</v>
      </c>
      <c r="K1454" s="9" t="s">
        <v>141</v>
      </c>
      <c r="O1454" s="23">
        <v>1</v>
      </c>
    </row>
    <row r="1455" spans="1:15">
      <c r="E1455" s="4">
        <f t="shared" si="768"/>
        <v>1455</v>
      </c>
      <c r="F1455" s="9" t="s">
        <v>137</v>
      </c>
      <c r="G1455" s="9" t="s">
        <v>262</v>
      </c>
      <c r="H1455" s="9" t="s">
        <v>32</v>
      </c>
      <c r="I1455" s="9" t="s">
        <v>34</v>
      </c>
      <c r="J1455" s="9" t="s">
        <v>263</v>
      </c>
      <c r="K1455" s="9" t="s">
        <v>140</v>
      </c>
      <c r="O1455" s="23" t="str">
        <f t="shared" ref="O1455:O1518" ca="1" si="770">CONCATENATE(RANDBETWEEN($G$27*$I$27,$H$27*$I$27)/$I$27,$J$27)</f>
        <v>-4.6,-4.5</v>
      </c>
    </row>
    <row r="1456" spans="1:15">
      <c r="E1456" s="4">
        <f t="shared" si="768"/>
        <v>1456</v>
      </c>
      <c r="F1456" s="9" t="s">
        <v>105</v>
      </c>
      <c r="O1456" s="23">
        <f t="shared" ref="O1456" si="771">O1442*10+1</f>
        <v>100691</v>
      </c>
    </row>
    <row r="1457" spans="1:15">
      <c r="E1457" s="4">
        <f t="shared" si="768"/>
        <v>1457</v>
      </c>
      <c r="F1457" s="9" t="s">
        <v>156</v>
      </c>
      <c r="O1457" s="23">
        <f t="shared" ref="O1457" si="772">O1442</f>
        <v>10069</v>
      </c>
    </row>
    <row r="1458" spans="1:15">
      <c r="E1458" s="4">
        <f t="shared" si="768"/>
        <v>1458</v>
      </c>
      <c r="F1458" s="9" t="s">
        <v>131</v>
      </c>
      <c r="O1458" s="23">
        <v>0</v>
      </c>
    </row>
    <row r="1459" spans="1:15">
      <c r="E1459" s="4">
        <f t="shared" si="768"/>
        <v>1459</v>
      </c>
      <c r="F1459" s="9" t="s">
        <v>35</v>
      </c>
      <c r="O1459" s="23" t="s">
        <v>252</v>
      </c>
    </row>
    <row r="1460" spans="1:15">
      <c r="E1460" s="4">
        <f t="shared" si="768"/>
        <v>1460</v>
      </c>
      <c r="F1460" s="9" t="s">
        <v>119</v>
      </c>
      <c r="O1460" s="23" t="s">
        <v>22</v>
      </c>
    </row>
    <row r="1461" spans="1:15">
      <c r="E1461" s="4">
        <f t="shared" si="768"/>
        <v>1461</v>
      </c>
      <c r="F1461" s="9" t="s">
        <v>117</v>
      </c>
      <c r="L1461" s="9" t="s">
        <v>138</v>
      </c>
      <c r="O1461" s="23">
        <f t="shared" ref="O1461" ca="1" si="773">O1447</f>
        <v>-102</v>
      </c>
    </row>
    <row r="1462" spans="1:15">
      <c r="B1462" s="22">
        <f t="shared" ref="B1462:B1525" si="774">QUOTIENT( D1462-1,G1463)+1</f>
        <v>24</v>
      </c>
      <c r="C1462" s="22">
        <f t="shared" ref="C1462" si="775">D1462-(B1462-1)*G1463</f>
        <v>1</v>
      </c>
      <c r="D1462" s="22">
        <f>COUNT($D$12:$D1461)+1</f>
        <v>70</v>
      </c>
      <c r="E1462" s="4"/>
    </row>
    <row r="1463" spans="1:15">
      <c r="E1463" s="4">
        <f t="shared" si="768"/>
        <v>1463</v>
      </c>
      <c r="F1463" s="9" t="s">
        <v>96</v>
      </c>
      <c r="G1463" s="9" t="s">
        <v>38</v>
      </c>
      <c r="H1463" s="9" t="s">
        <v>282</v>
      </c>
      <c r="J1463" s="9" t="s">
        <v>247</v>
      </c>
      <c r="O1463" s="23">
        <f t="shared" ref="O1463:O1526" si="776">J1463+D1462</f>
        <v>10070</v>
      </c>
    </row>
    <row r="1464" spans="1:15">
      <c r="E1464" s="4">
        <f t="shared" si="768"/>
        <v>1464</v>
      </c>
      <c r="F1464" s="9" t="s">
        <v>165</v>
      </c>
      <c r="G1464" s="9" t="s">
        <v>280</v>
      </c>
      <c r="H1464" s="9" t="s">
        <v>249</v>
      </c>
      <c r="O1464" s="23">
        <f t="shared" ref="O1464" si="777">G1464+B1462*H1464</f>
        <v>860</v>
      </c>
    </row>
    <row r="1465" spans="1:15">
      <c r="E1465" s="4">
        <f t="shared" si="768"/>
        <v>1465</v>
      </c>
      <c r="F1465" s="9" t="s">
        <v>35</v>
      </c>
      <c r="O1465" s="23" t="s">
        <v>251</v>
      </c>
    </row>
    <row r="1466" spans="1:15">
      <c r="A1466" s="9"/>
      <c r="B1466" s="9"/>
      <c r="C1466" s="9"/>
      <c r="D1466" s="9"/>
      <c r="E1466" s="4">
        <f t="shared" si="768"/>
        <v>1466</v>
      </c>
      <c r="F1466" s="9" t="s">
        <v>29</v>
      </c>
      <c r="O1466" s="23" t="s">
        <v>157</v>
      </c>
    </row>
    <row r="1467" spans="1:15">
      <c r="E1467" s="4">
        <f t="shared" si="768"/>
        <v>1467</v>
      </c>
      <c r="F1467" s="9" t="s">
        <v>122</v>
      </c>
      <c r="O1467" s="23" t="s">
        <v>158</v>
      </c>
    </row>
    <row r="1468" spans="1:15">
      <c r="E1468" s="4">
        <f t="shared" si="768"/>
        <v>1468</v>
      </c>
      <c r="F1468" s="9" t="s">
        <v>117</v>
      </c>
      <c r="G1468" s="9" t="s">
        <v>253</v>
      </c>
      <c r="H1468" s="9" t="s">
        <v>254</v>
      </c>
      <c r="I1468" s="9" t="s">
        <v>255</v>
      </c>
      <c r="J1468" s="9" t="s">
        <v>256</v>
      </c>
      <c r="L1468" s="9" t="s">
        <v>138</v>
      </c>
      <c r="O1468" s="23">
        <f t="shared" ref="O1468" ca="1" si="778">IF(MOD(D1462,2)=0,RANDBETWEEN($I$19,$J$19),RANDBETWEEN($G$19,$H$19))</f>
        <v>93</v>
      </c>
    </row>
    <row r="1469" spans="1:15">
      <c r="E1469" s="4">
        <f t="shared" si="768"/>
        <v>1469</v>
      </c>
      <c r="F1469" s="9" t="s">
        <v>30</v>
      </c>
      <c r="O1469" s="23" t="s">
        <v>33</v>
      </c>
    </row>
    <row r="1470" spans="1:15">
      <c r="E1470" s="4">
        <f t="shared" si="768"/>
        <v>1470</v>
      </c>
      <c r="F1470" s="9" t="s">
        <v>119</v>
      </c>
      <c r="G1470" s="9" t="s">
        <v>257</v>
      </c>
      <c r="H1470" s="9" t="s">
        <v>258</v>
      </c>
      <c r="I1470" s="9" t="s">
        <v>34</v>
      </c>
      <c r="O1470" s="23">
        <f t="shared" ref="O1470:O1533" ca="1" si="779">RANDBETWEEN($G$21*$I$21,$H$21*$I$21)/$I$21</f>
        <v>-6.7</v>
      </c>
    </row>
    <row r="1471" spans="1:15">
      <c r="E1471" s="4">
        <f t="shared" si="768"/>
        <v>1471</v>
      </c>
      <c r="F1471" s="9" t="s">
        <v>112</v>
      </c>
      <c r="O1471" s="23">
        <v>0</v>
      </c>
    </row>
    <row r="1472" spans="1:15">
      <c r="E1472" s="4">
        <f t="shared" si="768"/>
        <v>1472</v>
      </c>
      <c r="F1472" s="9" t="s">
        <v>102</v>
      </c>
      <c r="G1472" s="9" t="s">
        <v>259</v>
      </c>
      <c r="H1472" s="9" t="s">
        <v>260</v>
      </c>
      <c r="I1472" s="9" t="s">
        <v>34</v>
      </c>
      <c r="J1472" s="9" t="s">
        <v>261</v>
      </c>
      <c r="K1472" s="9" t="s">
        <v>140</v>
      </c>
      <c r="O1472" s="23" t="str">
        <f t="shared" ref="O1472:O1535" ca="1" si="780">CONCATENATE(RANDBETWEEN($G$23*$I$23,$H$23*$I$23)/$I$23,$J$23)</f>
        <v>0.9,6</v>
      </c>
    </row>
    <row r="1473" spans="1:15">
      <c r="E1473" s="4">
        <f t="shared" si="768"/>
        <v>1473</v>
      </c>
      <c r="F1473" s="9" t="s">
        <v>31</v>
      </c>
      <c r="L1473" s="9" t="s">
        <v>148</v>
      </c>
    </row>
    <row r="1474" spans="1:15">
      <c r="E1474" s="4">
        <f t="shared" si="768"/>
        <v>1474</v>
      </c>
      <c r="F1474" s="9" t="s">
        <v>136</v>
      </c>
      <c r="L1474" s="9" t="s">
        <v>149</v>
      </c>
    </row>
    <row r="1475" spans="1:15">
      <c r="E1475" s="4">
        <f t="shared" si="768"/>
        <v>1475</v>
      </c>
      <c r="F1475" s="9" t="s">
        <v>137</v>
      </c>
      <c r="K1475" s="9" t="s">
        <v>141</v>
      </c>
      <c r="O1475" s="23">
        <v>1</v>
      </c>
    </row>
    <row r="1476" spans="1:15">
      <c r="E1476" s="4">
        <f t="shared" si="768"/>
        <v>1476</v>
      </c>
      <c r="F1476" s="9" t="s">
        <v>137</v>
      </c>
      <c r="G1476" s="9" t="s">
        <v>262</v>
      </c>
      <c r="H1476" s="9" t="s">
        <v>32</v>
      </c>
      <c r="I1476" s="9" t="s">
        <v>34</v>
      </c>
      <c r="J1476" s="9" t="s">
        <v>263</v>
      </c>
      <c r="K1476" s="9" t="s">
        <v>140</v>
      </c>
      <c r="O1476" s="23" t="str">
        <f t="shared" ref="O1476:O1539" ca="1" si="781">CONCATENATE(RANDBETWEEN($G$27*$I$27,$H$27*$I$27)/$I$27,$J$27)</f>
        <v>0.6,-4.5</v>
      </c>
    </row>
    <row r="1477" spans="1:15">
      <c r="E1477" s="4">
        <f t="shared" si="768"/>
        <v>1477</v>
      </c>
      <c r="F1477" s="9" t="s">
        <v>105</v>
      </c>
      <c r="O1477" s="23">
        <f t="shared" ref="O1477" si="782">O1463*10+1</f>
        <v>100701</v>
      </c>
    </row>
    <row r="1478" spans="1:15">
      <c r="E1478" s="4">
        <f t="shared" si="768"/>
        <v>1478</v>
      </c>
      <c r="F1478" s="9" t="s">
        <v>156</v>
      </c>
      <c r="O1478" s="23">
        <f t="shared" ref="O1478" si="783">O1463</f>
        <v>10070</v>
      </c>
    </row>
    <row r="1479" spans="1:15">
      <c r="E1479" s="4">
        <f t="shared" si="768"/>
        <v>1479</v>
      </c>
      <c r="F1479" s="9" t="s">
        <v>131</v>
      </c>
      <c r="O1479" s="23">
        <v>0</v>
      </c>
    </row>
    <row r="1480" spans="1:15">
      <c r="E1480" s="4">
        <f t="shared" si="768"/>
        <v>1480</v>
      </c>
      <c r="F1480" s="9" t="s">
        <v>35</v>
      </c>
      <c r="O1480" s="23" t="s">
        <v>252</v>
      </c>
    </row>
    <row r="1481" spans="1:15">
      <c r="E1481" s="4">
        <f t="shared" si="768"/>
        <v>1481</v>
      </c>
      <c r="F1481" s="9" t="s">
        <v>119</v>
      </c>
      <c r="O1481" s="23" t="s">
        <v>22</v>
      </c>
    </row>
    <row r="1482" spans="1:15">
      <c r="E1482" s="4">
        <f t="shared" si="768"/>
        <v>1482</v>
      </c>
      <c r="F1482" s="9" t="s">
        <v>117</v>
      </c>
      <c r="L1482" s="9" t="s">
        <v>138</v>
      </c>
      <c r="O1482" s="23">
        <f t="shared" ref="O1482" ca="1" si="784">O1468</f>
        <v>93</v>
      </c>
    </row>
    <row r="1483" spans="1:15">
      <c r="B1483" s="22">
        <f t="shared" ref="B1483:B1546" si="785">QUOTIENT( D1483-1,G1484)+1</f>
        <v>24</v>
      </c>
      <c r="C1483" s="22">
        <f t="shared" ref="C1483" si="786">D1483-(B1483-1)*G1484</f>
        <v>2</v>
      </c>
      <c r="D1483" s="22">
        <f>COUNT($D$12:$D1482)+1</f>
        <v>71</v>
      </c>
      <c r="E1483" s="4"/>
    </row>
    <row r="1484" spans="1:15">
      <c r="E1484" s="4">
        <f t="shared" si="768"/>
        <v>1484</v>
      </c>
      <c r="F1484" s="9" t="s">
        <v>96</v>
      </c>
      <c r="G1484" s="9" t="s">
        <v>38</v>
      </c>
      <c r="H1484" s="9" t="s">
        <v>282</v>
      </c>
      <c r="J1484" s="9" t="s">
        <v>247</v>
      </c>
      <c r="O1484" s="23">
        <f t="shared" ref="O1484:O1547" si="787">J1484+D1483</f>
        <v>10071</v>
      </c>
    </row>
    <row r="1485" spans="1:15">
      <c r="E1485" s="4">
        <f t="shared" si="768"/>
        <v>1485</v>
      </c>
      <c r="F1485" s="9" t="s">
        <v>165</v>
      </c>
      <c r="G1485" s="9" t="s">
        <v>280</v>
      </c>
      <c r="H1485" s="9" t="s">
        <v>249</v>
      </c>
      <c r="O1485" s="23">
        <f t="shared" ref="O1485" si="788">G1485+B1483*H1485</f>
        <v>860</v>
      </c>
    </row>
    <row r="1486" spans="1:15">
      <c r="E1486" s="4">
        <f t="shared" si="768"/>
        <v>1486</v>
      </c>
      <c r="F1486" s="9" t="s">
        <v>35</v>
      </c>
      <c r="O1486" s="23" t="s">
        <v>251</v>
      </c>
    </row>
    <row r="1487" spans="1:15">
      <c r="E1487" s="4">
        <f t="shared" si="768"/>
        <v>1487</v>
      </c>
      <c r="F1487" s="9" t="s">
        <v>29</v>
      </c>
      <c r="O1487" s="23" t="s">
        <v>157</v>
      </c>
    </row>
    <row r="1488" spans="1:15">
      <c r="A1488" s="9"/>
      <c r="B1488" s="9"/>
      <c r="C1488" s="9"/>
      <c r="D1488" s="9"/>
      <c r="E1488" s="4">
        <f t="shared" si="768"/>
        <v>1488</v>
      </c>
      <c r="F1488" s="9" t="s">
        <v>122</v>
      </c>
      <c r="O1488" s="23" t="s">
        <v>158</v>
      </c>
    </row>
    <row r="1489" spans="2:15">
      <c r="E1489" s="4">
        <f t="shared" si="768"/>
        <v>1489</v>
      </c>
      <c r="F1489" s="9" t="s">
        <v>117</v>
      </c>
      <c r="G1489" s="9" t="s">
        <v>253</v>
      </c>
      <c r="H1489" s="9" t="s">
        <v>254</v>
      </c>
      <c r="I1489" s="9" t="s">
        <v>255</v>
      </c>
      <c r="J1489" s="9" t="s">
        <v>256</v>
      </c>
      <c r="L1489" s="9" t="s">
        <v>138</v>
      </c>
      <c r="O1489" s="23">
        <f t="shared" ref="O1489" ca="1" si="789">IF(MOD(D1483,2)=0,RANDBETWEEN($I$19,$J$19),RANDBETWEEN($G$19,$H$19))</f>
        <v>-84</v>
      </c>
    </row>
    <row r="1490" spans="2:15">
      <c r="E1490" s="4">
        <f t="shared" si="768"/>
        <v>1490</v>
      </c>
      <c r="F1490" s="9" t="s">
        <v>30</v>
      </c>
      <c r="O1490" s="23" t="s">
        <v>33</v>
      </c>
    </row>
    <row r="1491" spans="2:15">
      <c r="E1491" s="4">
        <f t="shared" si="768"/>
        <v>1491</v>
      </c>
      <c r="F1491" s="9" t="s">
        <v>119</v>
      </c>
      <c r="G1491" s="9" t="s">
        <v>257</v>
      </c>
      <c r="H1491" s="9" t="s">
        <v>258</v>
      </c>
      <c r="I1491" s="9" t="s">
        <v>34</v>
      </c>
      <c r="O1491" s="23">
        <f t="shared" ref="O1491:O1554" ca="1" si="790">RANDBETWEEN($G$21*$I$21,$H$21*$I$21)/$I$21</f>
        <v>-7.2</v>
      </c>
    </row>
    <row r="1492" spans="2:15">
      <c r="E1492" s="4">
        <f t="shared" si="768"/>
        <v>1492</v>
      </c>
      <c r="F1492" s="9" t="s">
        <v>112</v>
      </c>
      <c r="O1492" s="23">
        <v>0</v>
      </c>
    </row>
    <row r="1493" spans="2:15">
      <c r="E1493" s="4">
        <f t="shared" si="768"/>
        <v>1493</v>
      </c>
      <c r="F1493" s="9" t="s">
        <v>102</v>
      </c>
      <c r="G1493" s="9" t="s">
        <v>259</v>
      </c>
      <c r="H1493" s="9" t="s">
        <v>260</v>
      </c>
      <c r="I1493" s="9" t="s">
        <v>34</v>
      </c>
      <c r="J1493" s="9" t="s">
        <v>261</v>
      </c>
      <c r="K1493" s="9" t="s">
        <v>140</v>
      </c>
      <c r="O1493" s="23" t="str">
        <f t="shared" ref="O1493:O1556" ca="1" si="791">CONCATENATE(RANDBETWEEN($G$23*$I$23,$H$23*$I$23)/$I$23,$J$23)</f>
        <v>-2.3,6</v>
      </c>
    </row>
    <row r="1494" spans="2:15">
      <c r="E1494" s="4">
        <f t="shared" si="768"/>
        <v>1494</v>
      </c>
      <c r="F1494" s="9" t="s">
        <v>31</v>
      </c>
      <c r="L1494" s="9" t="s">
        <v>148</v>
      </c>
    </row>
    <row r="1495" spans="2:15">
      <c r="E1495" s="4">
        <f t="shared" si="768"/>
        <v>1495</v>
      </c>
      <c r="F1495" s="9" t="s">
        <v>136</v>
      </c>
      <c r="L1495" s="9" t="s">
        <v>149</v>
      </c>
    </row>
    <row r="1496" spans="2:15">
      <c r="E1496" s="4">
        <f t="shared" si="768"/>
        <v>1496</v>
      </c>
      <c r="F1496" s="9" t="s">
        <v>137</v>
      </c>
      <c r="K1496" s="9" t="s">
        <v>141</v>
      </c>
      <c r="O1496" s="23">
        <v>1</v>
      </c>
    </row>
    <row r="1497" spans="2:15">
      <c r="E1497" s="4">
        <f t="shared" si="768"/>
        <v>1497</v>
      </c>
      <c r="F1497" s="9" t="s">
        <v>137</v>
      </c>
      <c r="G1497" s="9" t="s">
        <v>262</v>
      </c>
      <c r="H1497" s="9" t="s">
        <v>32</v>
      </c>
      <c r="I1497" s="9" t="s">
        <v>34</v>
      </c>
      <c r="J1497" s="9" t="s">
        <v>263</v>
      </c>
      <c r="K1497" s="9" t="s">
        <v>140</v>
      </c>
      <c r="O1497" s="23" t="str">
        <f t="shared" ref="O1497:O1560" ca="1" si="792">CONCATENATE(RANDBETWEEN($G$27*$I$27,$H$27*$I$27)/$I$27,$J$27)</f>
        <v>1.3,-4.5</v>
      </c>
    </row>
    <row r="1498" spans="2:15">
      <c r="E1498" s="4">
        <f t="shared" si="768"/>
        <v>1498</v>
      </c>
      <c r="F1498" s="9" t="s">
        <v>105</v>
      </c>
      <c r="O1498" s="23">
        <f t="shared" ref="O1498" si="793">O1484*10+1</f>
        <v>100711</v>
      </c>
    </row>
    <row r="1499" spans="2:15">
      <c r="E1499" s="4">
        <f t="shared" si="768"/>
        <v>1499</v>
      </c>
      <c r="F1499" s="9" t="s">
        <v>156</v>
      </c>
      <c r="O1499" s="23">
        <f t="shared" ref="O1499" si="794">O1484</f>
        <v>10071</v>
      </c>
    </row>
    <row r="1500" spans="2:15">
      <c r="E1500" s="4">
        <f t="shared" si="768"/>
        <v>1500</v>
      </c>
      <c r="F1500" s="9" t="s">
        <v>131</v>
      </c>
      <c r="O1500" s="23">
        <v>0</v>
      </c>
    </row>
    <row r="1501" spans="2:15">
      <c r="E1501" s="4">
        <f t="shared" si="768"/>
        <v>1501</v>
      </c>
      <c r="F1501" s="9" t="s">
        <v>35</v>
      </c>
      <c r="O1501" s="23" t="s">
        <v>252</v>
      </c>
    </row>
    <row r="1502" spans="2:15">
      <c r="E1502" s="4">
        <f t="shared" si="768"/>
        <v>1502</v>
      </c>
      <c r="F1502" s="9" t="s">
        <v>119</v>
      </c>
      <c r="O1502" s="23" t="s">
        <v>22</v>
      </c>
    </row>
    <row r="1503" spans="2:15">
      <c r="E1503" s="4">
        <f t="shared" si="768"/>
        <v>1503</v>
      </c>
      <c r="F1503" s="9" t="s">
        <v>117</v>
      </c>
      <c r="L1503" s="9" t="s">
        <v>138</v>
      </c>
      <c r="O1503" s="23">
        <f t="shared" ref="O1503" ca="1" si="795">O1489</f>
        <v>-84</v>
      </c>
    </row>
    <row r="1504" spans="2:15">
      <c r="B1504" s="22">
        <f t="shared" ref="B1504:B1567" si="796">QUOTIENT( D1504-1,G1505)+1</f>
        <v>24</v>
      </c>
      <c r="C1504" s="22">
        <f t="shared" ref="C1504" si="797">D1504-(B1504-1)*G1505</f>
        <v>3</v>
      </c>
      <c r="D1504" s="22">
        <f>COUNT($D$12:$D1503)+1</f>
        <v>72</v>
      </c>
      <c r="E1504" s="4"/>
    </row>
    <row r="1505" spans="1:15">
      <c r="E1505" s="4">
        <f t="shared" si="768"/>
        <v>1505</v>
      </c>
      <c r="F1505" s="9" t="s">
        <v>96</v>
      </c>
      <c r="G1505" s="9" t="s">
        <v>38</v>
      </c>
      <c r="H1505" s="9" t="s">
        <v>282</v>
      </c>
      <c r="J1505" s="9" t="s">
        <v>247</v>
      </c>
      <c r="O1505" s="23">
        <f t="shared" ref="O1505:O1568" si="798">J1505+D1504</f>
        <v>10072</v>
      </c>
    </row>
    <row r="1506" spans="1:15">
      <c r="E1506" s="4">
        <f t="shared" si="768"/>
        <v>1506</v>
      </c>
      <c r="F1506" s="9" t="s">
        <v>165</v>
      </c>
      <c r="G1506" s="9" t="s">
        <v>280</v>
      </c>
      <c r="H1506" s="9" t="s">
        <v>249</v>
      </c>
      <c r="O1506" s="23">
        <f t="shared" ref="O1506" si="799">G1506+B1504*H1506</f>
        <v>860</v>
      </c>
    </row>
    <row r="1507" spans="1:15">
      <c r="E1507" s="4">
        <f t="shared" si="768"/>
        <v>1507</v>
      </c>
      <c r="F1507" s="9" t="s">
        <v>35</v>
      </c>
      <c r="O1507" s="23" t="s">
        <v>251</v>
      </c>
    </row>
    <row r="1508" spans="1:15">
      <c r="E1508" s="4">
        <f t="shared" si="768"/>
        <v>1508</v>
      </c>
      <c r="F1508" s="9" t="s">
        <v>29</v>
      </c>
      <c r="O1508" s="23" t="s">
        <v>157</v>
      </c>
    </row>
    <row r="1509" spans="1:15">
      <c r="E1509" s="4">
        <f t="shared" si="768"/>
        <v>1509</v>
      </c>
      <c r="F1509" s="9" t="s">
        <v>122</v>
      </c>
      <c r="O1509" s="23" t="s">
        <v>158</v>
      </c>
    </row>
    <row r="1510" spans="1:15">
      <c r="A1510" s="9"/>
      <c r="B1510" s="9"/>
      <c r="C1510" s="9"/>
      <c r="D1510" s="9"/>
      <c r="E1510" s="4">
        <f t="shared" si="768"/>
        <v>1510</v>
      </c>
      <c r="F1510" s="9" t="s">
        <v>117</v>
      </c>
      <c r="G1510" s="9" t="s">
        <v>253</v>
      </c>
      <c r="H1510" s="9" t="s">
        <v>254</v>
      </c>
      <c r="I1510" s="9" t="s">
        <v>255</v>
      </c>
      <c r="J1510" s="9" t="s">
        <v>256</v>
      </c>
      <c r="L1510" s="9" t="s">
        <v>138</v>
      </c>
      <c r="O1510" s="23">
        <f t="shared" ref="O1510" ca="1" si="800">IF(MOD(D1504,2)=0,RANDBETWEEN($I$19,$J$19),RANDBETWEEN($G$19,$H$19))</f>
        <v>84</v>
      </c>
    </row>
    <row r="1511" spans="1:15">
      <c r="E1511" s="4">
        <f t="shared" si="768"/>
        <v>1511</v>
      </c>
      <c r="F1511" s="9" t="s">
        <v>30</v>
      </c>
      <c r="O1511" s="23" t="s">
        <v>33</v>
      </c>
    </row>
    <row r="1512" spans="1:15">
      <c r="E1512" s="4">
        <f t="shared" si="768"/>
        <v>1512</v>
      </c>
      <c r="F1512" s="9" t="s">
        <v>119</v>
      </c>
      <c r="G1512" s="9" t="s">
        <v>257</v>
      </c>
      <c r="H1512" s="9" t="s">
        <v>258</v>
      </c>
      <c r="I1512" s="9" t="s">
        <v>34</v>
      </c>
      <c r="O1512" s="23">
        <f t="shared" ref="O1512:O1575" ca="1" si="801">RANDBETWEEN($G$21*$I$21,$H$21*$I$21)/$I$21</f>
        <v>-6</v>
      </c>
    </row>
    <row r="1513" spans="1:15">
      <c r="E1513" s="4">
        <f t="shared" si="768"/>
        <v>1513</v>
      </c>
      <c r="F1513" s="9" t="s">
        <v>112</v>
      </c>
      <c r="O1513" s="23">
        <v>0</v>
      </c>
    </row>
    <row r="1514" spans="1:15">
      <c r="E1514" s="4">
        <f t="shared" ref="E1514:E1577" si="802">ROW(E1514)</f>
        <v>1514</v>
      </c>
      <c r="F1514" s="9" t="s">
        <v>102</v>
      </c>
      <c r="G1514" s="9" t="s">
        <v>259</v>
      </c>
      <c r="H1514" s="9" t="s">
        <v>260</v>
      </c>
      <c r="I1514" s="9" t="s">
        <v>34</v>
      </c>
      <c r="J1514" s="9" t="s">
        <v>261</v>
      </c>
      <c r="K1514" s="9" t="s">
        <v>140</v>
      </c>
      <c r="O1514" s="23" t="str">
        <f t="shared" ref="O1514:O1577" ca="1" si="803">CONCATENATE(RANDBETWEEN($G$23*$I$23,$H$23*$I$23)/$I$23,$J$23)</f>
        <v>-0.4,6</v>
      </c>
    </row>
    <row r="1515" spans="1:15">
      <c r="E1515" s="4">
        <f t="shared" si="802"/>
        <v>1515</v>
      </c>
      <c r="F1515" s="9" t="s">
        <v>31</v>
      </c>
      <c r="L1515" s="9" t="s">
        <v>148</v>
      </c>
    </row>
    <row r="1516" spans="1:15">
      <c r="E1516" s="4">
        <f t="shared" si="802"/>
        <v>1516</v>
      </c>
      <c r="F1516" s="9" t="s">
        <v>136</v>
      </c>
      <c r="L1516" s="9" t="s">
        <v>149</v>
      </c>
    </row>
    <row r="1517" spans="1:15">
      <c r="E1517" s="4">
        <f t="shared" si="802"/>
        <v>1517</v>
      </c>
      <c r="F1517" s="9" t="s">
        <v>137</v>
      </c>
      <c r="K1517" s="9" t="s">
        <v>141</v>
      </c>
      <c r="O1517" s="23">
        <v>1</v>
      </c>
    </row>
    <row r="1518" spans="1:15">
      <c r="E1518" s="4">
        <f t="shared" si="802"/>
        <v>1518</v>
      </c>
      <c r="F1518" s="9" t="s">
        <v>137</v>
      </c>
      <c r="G1518" s="9" t="s">
        <v>262</v>
      </c>
      <c r="H1518" s="9" t="s">
        <v>32</v>
      </c>
      <c r="I1518" s="9" t="s">
        <v>34</v>
      </c>
      <c r="J1518" s="9" t="s">
        <v>263</v>
      </c>
      <c r="K1518" s="9" t="s">
        <v>140</v>
      </c>
      <c r="O1518" s="23" t="str">
        <f t="shared" ref="O1518:O1581" ca="1" si="804">CONCATENATE(RANDBETWEEN($G$27*$I$27,$H$27*$I$27)/$I$27,$J$27)</f>
        <v>-0.5,-4.5</v>
      </c>
    </row>
    <row r="1519" spans="1:15">
      <c r="E1519" s="4">
        <f t="shared" si="802"/>
        <v>1519</v>
      </c>
      <c r="F1519" s="9" t="s">
        <v>105</v>
      </c>
      <c r="O1519" s="23">
        <f t="shared" ref="O1519" si="805">O1505*10+1</f>
        <v>100721</v>
      </c>
    </row>
    <row r="1520" spans="1:15">
      <c r="E1520" s="4">
        <f t="shared" si="802"/>
        <v>1520</v>
      </c>
      <c r="F1520" s="9" t="s">
        <v>156</v>
      </c>
      <c r="O1520" s="23">
        <f t="shared" ref="O1520" si="806">O1505</f>
        <v>10072</v>
      </c>
    </row>
    <row r="1521" spans="1:15">
      <c r="E1521" s="4">
        <f t="shared" si="802"/>
        <v>1521</v>
      </c>
      <c r="F1521" s="9" t="s">
        <v>131</v>
      </c>
      <c r="O1521" s="23">
        <v>0</v>
      </c>
    </row>
    <row r="1522" spans="1:15">
      <c r="E1522" s="4">
        <f t="shared" si="802"/>
        <v>1522</v>
      </c>
      <c r="F1522" s="9" t="s">
        <v>35</v>
      </c>
      <c r="O1522" s="23" t="s">
        <v>252</v>
      </c>
    </row>
    <row r="1523" spans="1:15">
      <c r="E1523" s="4">
        <f t="shared" si="802"/>
        <v>1523</v>
      </c>
      <c r="F1523" s="9" t="s">
        <v>119</v>
      </c>
      <c r="O1523" s="23" t="s">
        <v>22</v>
      </c>
    </row>
    <row r="1524" spans="1:15">
      <c r="E1524" s="4">
        <f t="shared" si="802"/>
        <v>1524</v>
      </c>
      <c r="F1524" s="9" t="s">
        <v>117</v>
      </c>
      <c r="L1524" s="9" t="s">
        <v>138</v>
      </c>
      <c r="O1524" s="23">
        <f t="shared" ref="O1524" ca="1" si="807">O1510</f>
        <v>84</v>
      </c>
    </row>
    <row r="1525" spans="1:15">
      <c r="B1525" s="22">
        <f t="shared" ref="B1525:B1588" si="808">QUOTIENT( D1525-1,G1526)+1</f>
        <v>25</v>
      </c>
      <c r="C1525" s="22">
        <f t="shared" ref="C1525" si="809">D1525-(B1525-1)*G1526</f>
        <v>1</v>
      </c>
      <c r="D1525" s="22">
        <f>COUNT($D$12:$D1524)+1</f>
        <v>73</v>
      </c>
      <c r="E1525" s="4"/>
    </row>
    <row r="1526" spans="1:15">
      <c r="E1526" s="4">
        <f t="shared" si="802"/>
        <v>1526</v>
      </c>
      <c r="F1526" s="9" t="s">
        <v>96</v>
      </c>
      <c r="G1526" s="9" t="s">
        <v>38</v>
      </c>
      <c r="H1526" s="9" t="s">
        <v>282</v>
      </c>
      <c r="J1526" s="9" t="s">
        <v>247</v>
      </c>
      <c r="O1526" s="23">
        <f t="shared" ref="O1526:O1589" si="810">J1526+D1525</f>
        <v>10073</v>
      </c>
    </row>
    <row r="1527" spans="1:15">
      <c r="E1527" s="4">
        <f t="shared" si="802"/>
        <v>1527</v>
      </c>
      <c r="F1527" s="9" t="s">
        <v>165</v>
      </c>
      <c r="G1527" s="9" t="s">
        <v>280</v>
      </c>
      <c r="H1527" s="9" t="s">
        <v>249</v>
      </c>
      <c r="O1527" s="23">
        <f t="shared" ref="O1527" si="811">G1527+B1525*H1527</f>
        <v>875</v>
      </c>
    </row>
    <row r="1528" spans="1:15">
      <c r="E1528" s="4">
        <f t="shared" si="802"/>
        <v>1528</v>
      </c>
      <c r="F1528" s="9" t="s">
        <v>35</v>
      </c>
      <c r="O1528" s="23" t="s">
        <v>251</v>
      </c>
    </row>
    <row r="1529" spans="1:15">
      <c r="E1529" s="4">
        <f t="shared" si="802"/>
        <v>1529</v>
      </c>
      <c r="F1529" s="9" t="s">
        <v>29</v>
      </c>
      <c r="O1529" s="23" t="s">
        <v>157</v>
      </c>
    </row>
    <row r="1530" spans="1:15">
      <c r="E1530" s="4">
        <f t="shared" si="802"/>
        <v>1530</v>
      </c>
      <c r="F1530" s="9" t="s">
        <v>122</v>
      </c>
      <c r="O1530" s="23" t="s">
        <v>158</v>
      </c>
    </row>
    <row r="1531" spans="1:15">
      <c r="E1531" s="4">
        <f t="shared" si="802"/>
        <v>1531</v>
      </c>
      <c r="F1531" s="9" t="s">
        <v>117</v>
      </c>
      <c r="G1531" s="9" t="s">
        <v>253</v>
      </c>
      <c r="H1531" s="9" t="s">
        <v>254</v>
      </c>
      <c r="I1531" s="9" t="s">
        <v>255</v>
      </c>
      <c r="J1531" s="9" t="s">
        <v>256</v>
      </c>
      <c r="L1531" s="9" t="s">
        <v>138</v>
      </c>
      <c r="O1531" s="23">
        <f t="shared" ref="O1531" ca="1" si="812">IF(MOD(D1525,2)=0,RANDBETWEEN($I$19,$J$19),RANDBETWEEN($G$19,$H$19))</f>
        <v>-83</v>
      </c>
    </row>
    <row r="1532" spans="1:15">
      <c r="A1532" s="9"/>
      <c r="B1532" s="9"/>
      <c r="C1532" s="9"/>
      <c r="D1532" s="9"/>
      <c r="E1532" s="4">
        <f t="shared" si="802"/>
        <v>1532</v>
      </c>
      <c r="F1532" s="9" t="s">
        <v>30</v>
      </c>
      <c r="O1532" s="23" t="s">
        <v>33</v>
      </c>
    </row>
    <row r="1533" spans="1:15">
      <c r="E1533" s="4">
        <f t="shared" si="802"/>
        <v>1533</v>
      </c>
      <c r="F1533" s="9" t="s">
        <v>119</v>
      </c>
      <c r="G1533" s="9" t="s">
        <v>257</v>
      </c>
      <c r="H1533" s="9" t="s">
        <v>258</v>
      </c>
      <c r="I1533" s="9" t="s">
        <v>34</v>
      </c>
      <c r="O1533" s="23">
        <f t="shared" ref="O1533:O1596" ca="1" si="813">RANDBETWEEN($G$21*$I$21,$H$21*$I$21)/$I$21</f>
        <v>-7.8</v>
      </c>
    </row>
    <row r="1534" spans="1:15">
      <c r="E1534" s="4">
        <f t="shared" si="802"/>
        <v>1534</v>
      </c>
      <c r="F1534" s="9" t="s">
        <v>112</v>
      </c>
      <c r="O1534" s="23">
        <v>0</v>
      </c>
    </row>
    <row r="1535" spans="1:15">
      <c r="E1535" s="4">
        <f t="shared" si="802"/>
        <v>1535</v>
      </c>
      <c r="F1535" s="9" t="s">
        <v>102</v>
      </c>
      <c r="G1535" s="9" t="s">
        <v>259</v>
      </c>
      <c r="H1535" s="9" t="s">
        <v>260</v>
      </c>
      <c r="I1535" s="9" t="s">
        <v>34</v>
      </c>
      <c r="J1535" s="9" t="s">
        <v>261</v>
      </c>
      <c r="K1535" s="9" t="s">
        <v>140</v>
      </c>
      <c r="O1535" s="23" t="str">
        <f t="shared" ref="O1535:O1598" ca="1" si="814">CONCATENATE(RANDBETWEEN($G$23*$I$23,$H$23*$I$23)/$I$23,$J$23)</f>
        <v>-0.9,6</v>
      </c>
    </row>
    <row r="1536" spans="1:15">
      <c r="E1536" s="4">
        <f t="shared" si="802"/>
        <v>1536</v>
      </c>
      <c r="F1536" s="9" t="s">
        <v>31</v>
      </c>
      <c r="L1536" s="9" t="s">
        <v>148</v>
      </c>
    </row>
    <row r="1537" spans="2:15">
      <c r="E1537" s="4">
        <f t="shared" si="802"/>
        <v>1537</v>
      </c>
      <c r="F1537" s="9" t="s">
        <v>136</v>
      </c>
      <c r="L1537" s="9" t="s">
        <v>149</v>
      </c>
    </row>
    <row r="1538" spans="2:15">
      <c r="E1538" s="4">
        <f t="shared" si="802"/>
        <v>1538</v>
      </c>
      <c r="F1538" s="9" t="s">
        <v>137</v>
      </c>
      <c r="K1538" s="9" t="s">
        <v>141</v>
      </c>
      <c r="O1538" s="23">
        <v>1</v>
      </c>
    </row>
    <row r="1539" spans="2:15">
      <c r="E1539" s="4">
        <f t="shared" si="802"/>
        <v>1539</v>
      </c>
      <c r="F1539" s="9" t="s">
        <v>137</v>
      </c>
      <c r="G1539" s="9" t="s">
        <v>262</v>
      </c>
      <c r="H1539" s="9" t="s">
        <v>32</v>
      </c>
      <c r="I1539" s="9" t="s">
        <v>34</v>
      </c>
      <c r="J1539" s="9" t="s">
        <v>263</v>
      </c>
      <c r="K1539" s="9" t="s">
        <v>140</v>
      </c>
      <c r="O1539" s="23" t="str">
        <f t="shared" ref="O1539:O1602" ca="1" si="815">CONCATENATE(RANDBETWEEN($G$27*$I$27,$H$27*$I$27)/$I$27,$J$27)</f>
        <v>1.3,-4.5</v>
      </c>
    </row>
    <row r="1540" spans="2:15">
      <c r="E1540" s="4">
        <f t="shared" si="802"/>
        <v>1540</v>
      </c>
      <c r="F1540" s="9" t="s">
        <v>105</v>
      </c>
      <c r="O1540" s="23">
        <f t="shared" ref="O1540" si="816">O1526*10+1</f>
        <v>100731</v>
      </c>
    </row>
    <row r="1541" spans="2:15">
      <c r="E1541" s="4">
        <f t="shared" si="802"/>
        <v>1541</v>
      </c>
      <c r="F1541" s="9" t="s">
        <v>156</v>
      </c>
      <c r="O1541" s="23">
        <f t="shared" ref="O1541" si="817">O1526</f>
        <v>10073</v>
      </c>
    </row>
    <row r="1542" spans="2:15">
      <c r="E1542" s="4">
        <f t="shared" si="802"/>
        <v>1542</v>
      </c>
      <c r="F1542" s="9" t="s">
        <v>131</v>
      </c>
      <c r="O1542" s="23">
        <v>0</v>
      </c>
    </row>
    <row r="1543" spans="2:15">
      <c r="E1543" s="4">
        <f t="shared" si="802"/>
        <v>1543</v>
      </c>
      <c r="F1543" s="9" t="s">
        <v>35</v>
      </c>
      <c r="O1543" s="23" t="s">
        <v>252</v>
      </c>
    </row>
    <row r="1544" spans="2:15">
      <c r="E1544" s="4">
        <f t="shared" si="802"/>
        <v>1544</v>
      </c>
      <c r="F1544" s="9" t="s">
        <v>119</v>
      </c>
      <c r="O1544" s="23" t="s">
        <v>22</v>
      </c>
    </row>
    <row r="1545" spans="2:15">
      <c r="E1545" s="4">
        <f t="shared" si="802"/>
        <v>1545</v>
      </c>
      <c r="F1545" s="9" t="s">
        <v>117</v>
      </c>
      <c r="L1545" s="9" t="s">
        <v>138</v>
      </c>
      <c r="O1545" s="23">
        <f t="shared" ref="O1545" ca="1" si="818">O1531</f>
        <v>-83</v>
      </c>
    </row>
    <row r="1546" spans="2:15">
      <c r="B1546" s="22">
        <f t="shared" ref="B1546:B1609" si="819">QUOTIENT( D1546-1,G1547)+1</f>
        <v>25</v>
      </c>
      <c r="C1546" s="22">
        <f t="shared" ref="C1546" si="820">D1546-(B1546-1)*G1547</f>
        <v>2</v>
      </c>
      <c r="D1546" s="22">
        <f>COUNT($D$12:$D1545)+1</f>
        <v>74</v>
      </c>
      <c r="E1546" s="4"/>
    </row>
    <row r="1547" spans="2:15">
      <c r="E1547" s="4">
        <f t="shared" si="802"/>
        <v>1547</v>
      </c>
      <c r="F1547" s="9" t="s">
        <v>96</v>
      </c>
      <c r="G1547" s="9" t="s">
        <v>38</v>
      </c>
      <c r="H1547" s="9" t="s">
        <v>282</v>
      </c>
      <c r="J1547" s="9" t="s">
        <v>247</v>
      </c>
      <c r="O1547" s="23">
        <f t="shared" ref="O1547:O1610" si="821">J1547+D1546</f>
        <v>10074</v>
      </c>
    </row>
    <row r="1548" spans="2:15">
      <c r="E1548" s="4">
        <f t="shared" si="802"/>
        <v>1548</v>
      </c>
      <c r="F1548" s="9" t="s">
        <v>165</v>
      </c>
      <c r="G1548" s="9" t="s">
        <v>280</v>
      </c>
      <c r="H1548" s="9" t="s">
        <v>249</v>
      </c>
      <c r="O1548" s="23">
        <f t="shared" ref="O1548" si="822">G1548+B1546*H1548</f>
        <v>875</v>
      </c>
    </row>
    <row r="1549" spans="2:15">
      <c r="E1549" s="4">
        <f t="shared" si="802"/>
        <v>1549</v>
      </c>
      <c r="F1549" s="9" t="s">
        <v>35</v>
      </c>
      <c r="O1549" s="23" t="s">
        <v>251</v>
      </c>
    </row>
    <row r="1550" spans="2:15">
      <c r="E1550" s="4">
        <f t="shared" si="802"/>
        <v>1550</v>
      </c>
      <c r="F1550" s="9" t="s">
        <v>29</v>
      </c>
      <c r="O1550" s="23" t="s">
        <v>157</v>
      </c>
    </row>
    <row r="1551" spans="2:15">
      <c r="E1551" s="4">
        <f t="shared" si="802"/>
        <v>1551</v>
      </c>
      <c r="F1551" s="9" t="s">
        <v>122</v>
      </c>
      <c r="O1551" s="23" t="s">
        <v>158</v>
      </c>
    </row>
    <row r="1552" spans="2:15">
      <c r="E1552" s="4">
        <f t="shared" si="802"/>
        <v>1552</v>
      </c>
      <c r="F1552" s="9" t="s">
        <v>117</v>
      </c>
      <c r="G1552" s="9" t="s">
        <v>253</v>
      </c>
      <c r="H1552" s="9" t="s">
        <v>254</v>
      </c>
      <c r="I1552" s="9" t="s">
        <v>255</v>
      </c>
      <c r="J1552" s="9" t="s">
        <v>256</v>
      </c>
      <c r="L1552" s="9" t="s">
        <v>138</v>
      </c>
      <c r="O1552" s="23">
        <f t="shared" ref="O1552" ca="1" si="823">IF(MOD(D1546,2)=0,RANDBETWEEN($I$19,$J$19),RANDBETWEEN($G$19,$H$19))</f>
        <v>117</v>
      </c>
    </row>
    <row r="1553" spans="1:15">
      <c r="E1553" s="4">
        <f t="shared" si="802"/>
        <v>1553</v>
      </c>
      <c r="F1553" s="9" t="s">
        <v>30</v>
      </c>
      <c r="O1553" s="23" t="s">
        <v>33</v>
      </c>
    </row>
    <row r="1554" spans="1:15">
      <c r="A1554" s="9"/>
      <c r="B1554" s="9"/>
      <c r="C1554" s="9"/>
      <c r="D1554" s="9"/>
      <c r="E1554" s="4">
        <f t="shared" si="802"/>
        <v>1554</v>
      </c>
      <c r="F1554" s="9" t="s">
        <v>119</v>
      </c>
      <c r="G1554" s="9" t="s">
        <v>257</v>
      </c>
      <c r="H1554" s="9" t="s">
        <v>258</v>
      </c>
      <c r="I1554" s="9" t="s">
        <v>34</v>
      </c>
      <c r="O1554" s="23">
        <f t="shared" ref="O1554:O1617" ca="1" si="824">RANDBETWEEN($G$21*$I$21,$H$21*$I$21)/$I$21</f>
        <v>-4.5</v>
      </c>
    </row>
    <row r="1555" spans="1:15">
      <c r="E1555" s="4">
        <f t="shared" si="802"/>
        <v>1555</v>
      </c>
      <c r="F1555" s="9" t="s">
        <v>112</v>
      </c>
      <c r="O1555" s="23">
        <v>0</v>
      </c>
    </row>
    <row r="1556" spans="1:15">
      <c r="E1556" s="4">
        <f t="shared" si="802"/>
        <v>1556</v>
      </c>
      <c r="F1556" s="9" t="s">
        <v>102</v>
      </c>
      <c r="G1556" s="9" t="s">
        <v>259</v>
      </c>
      <c r="H1556" s="9" t="s">
        <v>260</v>
      </c>
      <c r="I1556" s="9" t="s">
        <v>34</v>
      </c>
      <c r="J1556" s="9" t="s">
        <v>261</v>
      </c>
      <c r="K1556" s="9" t="s">
        <v>140</v>
      </c>
      <c r="O1556" s="23" t="str">
        <f t="shared" ref="O1556:O1619" ca="1" si="825">CONCATENATE(RANDBETWEEN($G$23*$I$23,$H$23*$I$23)/$I$23,$J$23)</f>
        <v>2,6</v>
      </c>
    </row>
    <row r="1557" spans="1:15">
      <c r="E1557" s="4">
        <f t="shared" si="802"/>
        <v>1557</v>
      </c>
      <c r="F1557" s="9" t="s">
        <v>31</v>
      </c>
      <c r="L1557" s="9" t="s">
        <v>148</v>
      </c>
    </row>
    <row r="1558" spans="1:15">
      <c r="E1558" s="4">
        <f t="shared" si="802"/>
        <v>1558</v>
      </c>
      <c r="F1558" s="9" t="s">
        <v>136</v>
      </c>
      <c r="L1558" s="9" t="s">
        <v>149</v>
      </c>
    </row>
    <row r="1559" spans="1:15">
      <c r="E1559" s="4">
        <f t="shared" si="802"/>
        <v>1559</v>
      </c>
      <c r="F1559" s="9" t="s">
        <v>137</v>
      </c>
      <c r="K1559" s="9" t="s">
        <v>141</v>
      </c>
      <c r="O1559" s="23">
        <v>1</v>
      </c>
    </row>
    <row r="1560" spans="1:15">
      <c r="E1560" s="4">
        <f t="shared" si="802"/>
        <v>1560</v>
      </c>
      <c r="F1560" s="9" t="s">
        <v>137</v>
      </c>
      <c r="G1560" s="9" t="s">
        <v>262</v>
      </c>
      <c r="H1560" s="9" t="s">
        <v>32</v>
      </c>
      <c r="I1560" s="9" t="s">
        <v>34</v>
      </c>
      <c r="J1560" s="9" t="s">
        <v>263</v>
      </c>
      <c r="K1560" s="9" t="s">
        <v>140</v>
      </c>
      <c r="O1560" s="23" t="str">
        <f t="shared" ref="O1560:O1623" ca="1" si="826">CONCATENATE(RANDBETWEEN($G$27*$I$27,$H$27*$I$27)/$I$27,$J$27)</f>
        <v>-0.1,-4.5</v>
      </c>
    </row>
    <row r="1561" spans="1:15">
      <c r="E1561" s="4">
        <f t="shared" si="802"/>
        <v>1561</v>
      </c>
      <c r="F1561" s="9" t="s">
        <v>105</v>
      </c>
      <c r="O1561" s="23">
        <f t="shared" ref="O1561" si="827">O1547*10+1</f>
        <v>100741</v>
      </c>
    </row>
    <row r="1562" spans="1:15">
      <c r="E1562" s="4">
        <f t="shared" si="802"/>
        <v>1562</v>
      </c>
      <c r="F1562" s="9" t="s">
        <v>156</v>
      </c>
      <c r="O1562" s="23">
        <f t="shared" ref="O1562" si="828">O1547</f>
        <v>10074</v>
      </c>
    </row>
    <row r="1563" spans="1:15">
      <c r="E1563" s="4">
        <f t="shared" si="802"/>
        <v>1563</v>
      </c>
      <c r="F1563" s="9" t="s">
        <v>131</v>
      </c>
      <c r="O1563" s="23">
        <v>0</v>
      </c>
    </row>
    <row r="1564" spans="1:15">
      <c r="E1564" s="4">
        <f t="shared" si="802"/>
        <v>1564</v>
      </c>
      <c r="F1564" s="9" t="s">
        <v>35</v>
      </c>
      <c r="O1564" s="23" t="s">
        <v>252</v>
      </c>
    </row>
    <row r="1565" spans="1:15">
      <c r="E1565" s="4">
        <f t="shared" si="802"/>
        <v>1565</v>
      </c>
      <c r="F1565" s="9" t="s">
        <v>119</v>
      </c>
      <c r="O1565" s="23" t="s">
        <v>22</v>
      </c>
    </row>
    <row r="1566" spans="1:15">
      <c r="E1566" s="4">
        <f t="shared" si="802"/>
        <v>1566</v>
      </c>
      <c r="F1566" s="9" t="s">
        <v>117</v>
      </c>
      <c r="L1566" s="9" t="s">
        <v>138</v>
      </c>
      <c r="O1566" s="23">
        <f t="shared" ref="O1566" ca="1" si="829">O1552</f>
        <v>117</v>
      </c>
    </row>
    <row r="1567" spans="1:15">
      <c r="B1567" s="22">
        <f t="shared" ref="B1567:B1630" si="830">QUOTIENT( D1567-1,G1568)+1</f>
        <v>25</v>
      </c>
      <c r="C1567" s="22">
        <f t="shared" ref="C1567" si="831">D1567-(B1567-1)*G1568</f>
        <v>3</v>
      </c>
      <c r="D1567" s="22">
        <f>COUNT($D$12:$D1566)+1</f>
        <v>75</v>
      </c>
      <c r="E1567" s="4"/>
    </row>
    <row r="1568" spans="1:15">
      <c r="E1568" s="4">
        <f t="shared" si="802"/>
        <v>1568</v>
      </c>
      <c r="F1568" s="9" t="s">
        <v>96</v>
      </c>
      <c r="G1568" s="9" t="s">
        <v>38</v>
      </c>
      <c r="H1568" s="9" t="s">
        <v>282</v>
      </c>
      <c r="J1568" s="9" t="s">
        <v>247</v>
      </c>
      <c r="O1568" s="23">
        <f t="shared" ref="O1568:O1631" si="832">J1568+D1567</f>
        <v>10075</v>
      </c>
    </row>
    <row r="1569" spans="1:15">
      <c r="E1569" s="4">
        <f t="shared" si="802"/>
        <v>1569</v>
      </c>
      <c r="F1569" s="9" t="s">
        <v>165</v>
      </c>
      <c r="G1569" s="9" t="s">
        <v>280</v>
      </c>
      <c r="H1569" s="9" t="s">
        <v>249</v>
      </c>
      <c r="O1569" s="23">
        <f t="shared" ref="O1569" si="833">G1569+B1567*H1569</f>
        <v>875</v>
      </c>
    </row>
    <row r="1570" spans="1:15">
      <c r="E1570" s="4">
        <f t="shared" si="802"/>
        <v>1570</v>
      </c>
      <c r="F1570" s="9" t="s">
        <v>35</v>
      </c>
      <c r="O1570" s="23" t="s">
        <v>251</v>
      </c>
    </row>
    <row r="1571" spans="1:15">
      <c r="E1571" s="4">
        <f t="shared" si="802"/>
        <v>1571</v>
      </c>
      <c r="F1571" s="9" t="s">
        <v>29</v>
      </c>
      <c r="O1571" s="23" t="s">
        <v>157</v>
      </c>
    </row>
    <row r="1572" spans="1:15">
      <c r="E1572" s="4">
        <f t="shared" si="802"/>
        <v>1572</v>
      </c>
      <c r="F1572" s="9" t="s">
        <v>122</v>
      </c>
      <c r="O1572" s="23" t="s">
        <v>158</v>
      </c>
    </row>
    <row r="1573" spans="1:15">
      <c r="E1573" s="4">
        <f t="shared" si="802"/>
        <v>1573</v>
      </c>
      <c r="F1573" s="9" t="s">
        <v>117</v>
      </c>
      <c r="G1573" s="9" t="s">
        <v>253</v>
      </c>
      <c r="H1573" s="9" t="s">
        <v>254</v>
      </c>
      <c r="I1573" s="9" t="s">
        <v>255</v>
      </c>
      <c r="J1573" s="9" t="s">
        <v>256</v>
      </c>
      <c r="L1573" s="9" t="s">
        <v>138</v>
      </c>
      <c r="O1573" s="23">
        <f t="shared" ref="O1573" ca="1" si="834">IF(MOD(D1567,2)=0,RANDBETWEEN($I$19,$J$19),RANDBETWEEN($G$19,$H$19))</f>
        <v>-81</v>
      </c>
    </row>
    <row r="1574" spans="1:15">
      <c r="E1574" s="4">
        <f t="shared" si="802"/>
        <v>1574</v>
      </c>
      <c r="F1574" s="9" t="s">
        <v>30</v>
      </c>
      <c r="O1574" s="23" t="s">
        <v>33</v>
      </c>
    </row>
    <row r="1575" spans="1:15">
      <c r="E1575" s="4">
        <f t="shared" si="802"/>
        <v>1575</v>
      </c>
      <c r="F1575" s="9" t="s">
        <v>119</v>
      </c>
      <c r="G1575" s="9" t="s">
        <v>257</v>
      </c>
      <c r="H1575" s="9" t="s">
        <v>258</v>
      </c>
      <c r="I1575" s="9" t="s">
        <v>34</v>
      </c>
      <c r="O1575" s="23">
        <f t="shared" ref="O1575:O1638" ca="1" si="835">RANDBETWEEN($G$21*$I$21,$H$21*$I$21)/$I$21</f>
        <v>-4.5999999999999996</v>
      </c>
    </row>
    <row r="1576" spans="1:15">
      <c r="A1576" s="9"/>
      <c r="B1576" s="9"/>
      <c r="C1576" s="9"/>
      <c r="D1576" s="9"/>
      <c r="E1576" s="4">
        <f t="shared" si="802"/>
        <v>1576</v>
      </c>
      <c r="F1576" s="9" t="s">
        <v>112</v>
      </c>
      <c r="O1576" s="23">
        <v>0</v>
      </c>
    </row>
    <row r="1577" spans="1:15">
      <c r="E1577" s="4">
        <f t="shared" si="802"/>
        <v>1577</v>
      </c>
      <c r="F1577" s="9" t="s">
        <v>102</v>
      </c>
      <c r="G1577" s="9" t="s">
        <v>259</v>
      </c>
      <c r="H1577" s="9" t="s">
        <v>260</v>
      </c>
      <c r="I1577" s="9" t="s">
        <v>34</v>
      </c>
      <c r="J1577" s="9" t="s">
        <v>261</v>
      </c>
      <c r="K1577" s="9" t="s">
        <v>140</v>
      </c>
      <c r="O1577" s="23" t="str">
        <f t="shared" ref="O1577:O1640" ca="1" si="836">CONCATENATE(RANDBETWEEN($G$23*$I$23,$H$23*$I$23)/$I$23,$J$23)</f>
        <v>3.5,6</v>
      </c>
    </row>
    <row r="1578" spans="1:15">
      <c r="E1578" s="4">
        <f t="shared" ref="E1578:E1641" si="837">ROW(E1578)</f>
        <v>1578</v>
      </c>
      <c r="F1578" s="9" t="s">
        <v>31</v>
      </c>
      <c r="L1578" s="9" t="s">
        <v>148</v>
      </c>
    </row>
    <row r="1579" spans="1:15">
      <c r="E1579" s="4">
        <f t="shared" si="837"/>
        <v>1579</v>
      </c>
      <c r="F1579" s="9" t="s">
        <v>136</v>
      </c>
      <c r="L1579" s="9" t="s">
        <v>149</v>
      </c>
    </row>
    <row r="1580" spans="1:15">
      <c r="E1580" s="4">
        <f t="shared" si="837"/>
        <v>1580</v>
      </c>
      <c r="F1580" s="9" t="s">
        <v>137</v>
      </c>
      <c r="K1580" s="9" t="s">
        <v>141</v>
      </c>
      <c r="O1580" s="23">
        <v>1</v>
      </c>
    </row>
    <row r="1581" spans="1:15">
      <c r="E1581" s="4">
        <f t="shared" si="837"/>
        <v>1581</v>
      </c>
      <c r="F1581" s="9" t="s">
        <v>137</v>
      </c>
      <c r="G1581" s="9" t="s">
        <v>262</v>
      </c>
      <c r="H1581" s="9" t="s">
        <v>32</v>
      </c>
      <c r="I1581" s="9" t="s">
        <v>34</v>
      </c>
      <c r="J1581" s="9" t="s">
        <v>263</v>
      </c>
      <c r="K1581" s="9" t="s">
        <v>140</v>
      </c>
      <c r="O1581" s="23" t="str">
        <f t="shared" ref="O1581:O1644" ca="1" si="838">CONCATENATE(RANDBETWEEN($G$27*$I$27,$H$27*$I$27)/$I$27,$J$27)</f>
        <v>-1.2,-4.5</v>
      </c>
    </row>
    <row r="1582" spans="1:15">
      <c r="E1582" s="4">
        <f t="shared" si="837"/>
        <v>1582</v>
      </c>
      <c r="F1582" s="9" t="s">
        <v>105</v>
      </c>
      <c r="O1582" s="23">
        <f t="shared" ref="O1582" si="839">O1568*10+1</f>
        <v>100751</v>
      </c>
    </row>
    <row r="1583" spans="1:15">
      <c r="E1583" s="4">
        <f t="shared" si="837"/>
        <v>1583</v>
      </c>
      <c r="F1583" s="9" t="s">
        <v>156</v>
      </c>
      <c r="O1583" s="23">
        <f t="shared" ref="O1583" si="840">O1568</f>
        <v>10075</v>
      </c>
    </row>
    <row r="1584" spans="1:15">
      <c r="E1584" s="4">
        <f t="shared" si="837"/>
        <v>1584</v>
      </c>
      <c r="F1584" s="9" t="s">
        <v>131</v>
      </c>
      <c r="O1584" s="23">
        <v>0</v>
      </c>
    </row>
    <row r="1585" spans="1:15">
      <c r="E1585" s="4">
        <f t="shared" si="837"/>
        <v>1585</v>
      </c>
      <c r="F1585" s="9" t="s">
        <v>35</v>
      </c>
      <c r="O1585" s="23" t="s">
        <v>252</v>
      </c>
    </row>
    <row r="1586" spans="1:15">
      <c r="E1586" s="4">
        <f t="shared" si="837"/>
        <v>1586</v>
      </c>
      <c r="F1586" s="9" t="s">
        <v>119</v>
      </c>
      <c r="O1586" s="23" t="s">
        <v>22</v>
      </c>
    </row>
    <row r="1587" spans="1:15">
      <c r="E1587" s="4">
        <f t="shared" si="837"/>
        <v>1587</v>
      </c>
      <c r="F1587" s="9" t="s">
        <v>117</v>
      </c>
      <c r="L1587" s="9" t="s">
        <v>138</v>
      </c>
      <c r="O1587" s="23">
        <f t="shared" ref="O1587" ca="1" si="841">O1573</f>
        <v>-81</v>
      </c>
    </row>
    <row r="1588" spans="1:15">
      <c r="B1588" s="22">
        <f t="shared" ref="B1588:B1651" si="842">QUOTIENT( D1588-1,G1589)+1</f>
        <v>26</v>
      </c>
      <c r="C1588" s="22">
        <f t="shared" ref="C1588" si="843">D1588-(B1588-1)*G1589</f>
        <v>1</v>
      </c>
      <c r="D1588" s="22">
        <f>COUNT($D$12:$D1587)+1</f>
        <v>76</v>
      </c>
      <c r="E1588" s="4"/>
    </row>
    <row r="1589" spans="1:15">
      <c r="E1589" s="4">
        <f t="shared" si="837"/>
        <v>1589</v>
      </c>
      <c r="F1589" s="9" t="s">
        <v>96</v>
      </c>
      <c r="G1589" s="9" t="s">
        <v>38</v>
      </c>
      <c r="H1589" s="9" t="s">
        <v>282</v>
      </c>
      <c r="J1589" s="9" t="s">
        <v>247</v>
      </c>
      <c r="O1589" s="23">
        <f t="shared" ref="O1589:O1652" si="844">J1589+D1588</f>
        <v>10076</v>
      </c>
    </row>
    <row r="1590" spans="1:15">
      <c r="E1590" s="4">
        <f t="shared" si="837"/>
        <v>1590</v>
      </c>
      <c r="F1590" s="9" t="s">
        <v>165</v>
      </c>
      <c r="G1590" s="9" t="s">
        <v>280</v>
      </c>
      <c r="H1590" s="9" t="s">
        <v>249</v>
      </c>
      <c r="O1590" s="23">
        <f t="shared" ref="O1590" si="845">G1590+B1588*H1590</f>
        <v>890</v>
      </c>
    </row>
    <row r="1591" spans="1:15">
      <c r="E1591" s="4">
        <f t="shared" si="837"/>
        <v>1591</v>
      </c>
      <c r="F1591" s="9" t="s">
        <v>35</v>
      </c>
      <c r="O1591" s="23" t="s">
        <v>251</v>
      </c>
    </row>
    <row r="1592" spans="1:15">
      <c r="E1592" s="4">
        <f t="shared" si="837"/>
        <v>1592</v>
      </c>
      <c r="F1592" s="9" t="s">
        <v>29</v>
      </c>
      <c r="O1592" s="23" t="s">
        <v>157</v>
      </c>
    </row>
    <row r="1593" spans="1:15">
      <c r="E1593" s="4">
        <f t="shared" si="837"/>
        <v>1593</v>
      </c>
      <c r="F1593" s="9" t="s">
        <v>122</v>
      </c>
      <c r="O1593" s="23" t="s">
        <v>158</v>
      </c>
    </row>
    <row r="1594" spans="1:15">
      <c r="E1594" s="4">
        <f t="shared" si="837"/>
        <v>1594</v>
      </c>
      <c r="F1594" s="9" t="s">
        <v>117</v>
      </c>
      <c r="G1594" s="9" t="s">
        <v>253</v>
      </c>
      <c r="H1594" s="9" t="s">
        <v>254</v>
      </c>
      <c r="I1594" s="9" t="s">
        <v>255</v>
      </c>
      <c r="J1594" s="9" t="s">
        <v>256</v>
      </c>
      <c r="L1594" s="9" t="s">
        <v>138</v>
      </c>
      <c r="O1594" s="23">
        <f t="shared" ref="O1594" ca="1" si="846">IF(MOD(D1588,2)=0,RANDBETWEEN($I$19,$J$19),RANDBETWEEN($G$19,$H$19))</f>
        <v>116</v>
      </c>
    </row>
    <row r="1595" spans="1:15">
      <c r="E1595" s="4">
        <f t="shared" si="837"/>
        <v>1595</v>
      </c>
      <c r="F1595" s="9" t="s">
        <v>30</v>
      </c>
      <c r="O1595" s="23" t="s">
        <v>33</v>
      </c>
    </row>
    <row r="1596" spans="1:15">
      <c r="E1596" s="4">
        <f t="shared" si="837"/>
        <v>1596</v>
      </c>
      <c r="F1596" s="9" t="s">
        <v>119</v>
      </c>
      <c r="G1596" s="9" t="s">
        <v>257</v>
      </c>
      <c r="H1596" s="9" t="s">
        <v>258</v>
      </c>
      <c r="I1596" s="9" t="s">
        <v>34</v>
      </c>
      <c r="O1596" s="23">
        <f t="shared" ref="O1596:O1659" ca="1" si="847">RANDBETWEEN($G$21*$I$21,$H$21*$I$21)/$I$21</f>
        <v>-7.4</v>
      </c>
    </row>
    <row r="1597" spans="1:15">
      <c r="E1597" s="4">
        <f t="shared" si="837"/>
        <v>1597</v>
      </c>
      <c r="F1597" s="9" t="s">
        <v>112</v>
      </c>
      <c r="O1597" s="23">
        <v>0</v>
      </c>
    </row>
    <row r="1598" spans="1:15">
      <c r="A1598" s="9"/>
      <c r="B1598" s="9"/>
      <c r="C1598" s="9"/>
      <c r="D1598" s="9"/>
      <c r="E1598" s="4">
        <f t="shared" si="837"/>
        <v>1598</v>
      </c>
      <c r="F1598" s="9" t="s">
        <v>102</v>
      </c>
      <c r="G1598" s="9" t="s">
        <v>259</v>
      </c>
      <c r="H1598" s="9" t="s">
        <v>260</v>
      </c>
      <c r="I1598" s="9" t="s">
        <v>34</v>
      </c>
      <c r="J1598" s="9" t="s">
        <v>261</v>
      </c>
      <c r="K1598" s="9" t="s">
        <v>140</v>
      </c>
      <c r="O1598" s="23" t="str">
        <f t="shared" ref="O1598:O1661" ca="1" si="848">CONCATENATE(RANDBETWEEN($G$23*$I$23,$H$23*$I$23)/$I$23,$J$23)</f>
        <v>1.6,6</v>
      </c>
    </row>
    <row r="1599" spans="1:15">
      <c r="E1599" s="4">
        <f t="shared" si="837"/>
        <v>1599</v>
      </c>
      <c r="F1599" s="9" t="s">
        <v>31</v>
      </c>
      <c r="L1599" s="9" t="s">
        <v>148</v>
      </c>
    </row>
    <row r="1600" spans="1:15">
      <c r="E1600" s="4">
        <f t="shared" si="837"/>
        <v>1600</v>
      </c>
      <c r="F1600" s="9" t="s">
        <v>136</v>
      </c>
      <c r="L1600" s="9" t="s">
        <v>149</v>
      </c>
    </row>
    <row r="1601" spans="2:15">
      <c r="E1601" s="4">
        <f t="shared" si="837"/>
        <v>1601</v>
      </c>
      <c r="F1601" s="9" t="s">
        <v>137</v>
      </c>
      <c r="K1601" s="9" t="s">
        <v>141</v>
      </c>
      <c r="O1601" s="23">
        <v>1</v>
      </c>
    </row>
    <row r="1602" spans="2:15">
      <c r="E1602" s="4">
        <f t="shared" si="837"/>
        <v>1602</v>
      </c>
      <c r="F1602" s="9" t="s">
        <v>137</v>
      </c>
      <c r="G1602" s="9" t="s">
        <v>262</v>
      </c>
      <c r="H1602" s="9" t="s">
        <v>32</v>
      </c>
      <c r="I1602" s="9" t="s">
        <v>34</v>
      </c>
      <c r="J1602" s="9" t="s">
        <v>263</v>
      </c>
      <c r="K1602" s="9" t="s">
        <v>140</v>
      </c>
      <c r="O1602" s="23" t="str">
        <f t="shared" ref="O1602:O1665" ca="1" si="849">CONCATENATE(RANDBETWEEN($G$27*$I$27,$H$27*$I$27)/$I$27,$J$27)</f>
        <v>-0.3,-4.5</v>
      </c>
    </row>
    <row r="1603" spans="2:15">
      <c r="E1603" s="4">
        <f t="shared" si="837"/>
        <v>1603</v>
      </c>
      <c r="F1603" s="9" t="s">
        <v>105</v>
      </c>
      <c r="O1603" s="23">
        <f t="shared" ref="O1603" si="850">O1589*10+1</f>
        <v>100761</v>
      </c>
    </row>
    <row r="1604" spans="2:15">
      <c r="E1604" s="4">
        <f t="shared" si="837"/>
        <v>1604</v>
      </c>
      <c r="F1604" s="9" t="s">
        <v>156</v>
      </c>
      <c r="O1604" s="23">
        <f t="shared" ref="O1604" si="851">O1589</f>
        <v>10076</v>
      </c>
    </row>
    <row r="1605" spans="2:15">
      <c r="E1605" s="4">
        <f t="shared" si="837"/>
        <v>1605</v>
      </c>
      <c r="F1605" s="9" t="s">
        <v>131</v>
      </c>
      <c r="O1605" s="23">
        <v>0</v>
      </c>
    </row>
    <row r="1606" spans="2:15">
      <c r="E1606" s="4">
        <f t="shared" si="837"/>
        <v>1606</v>
      </c>
      <c r="F1606" s="9" t="s">
        <v>35</v>
      </c>
      <c r="O1606" s="23" t="s">
        <v>252</v>
      </c>
    </row>
    <row r="1607" spans="2:15">
      <c r="E1607" s="4">
        <f t="shared" si="837"/>
        <v>1607</v>
      </c>
      <c r="F1607" s="9" t="s">
        <v>119</v>
      </c>
      <c r="O1607" s="23" t="s">
        <v>22</v>
      </c>
    </row>
    <row r="1608" spans="2:15">
      <c r="E1608" s="4">
        <f t="shared" si="837"/>
        <v>1608</v>
      </c>
      <c r="F1608" s="9" t="s">
        <v>117</v>
      </c>
      <c r="L1608" s="9" t="s">
        <v>138</v>
      </c>
      <c r="O1608" s="23">
        <f t="shared" ref="O1608" ca="1" si="852">O1594</f>
        <v>116</v>
      </c>
    </row>
    <row r="1609" spans="2:15">
      <c r="B1609" s="22">
        <f t="shared" ref="B1609:B1672" si="853">QUOTIENT( D1609-1,G1610)+1</f>
        <v>26</v>
      </c>
      <c r="C1609" s="22">
        <f t="shared" ref="C1609" si="854">D1609-(B1609-1)*G1610</f>
        <v>2</v>
      </c>
      <c r="D1609" s="22">
        <f>COUNT($D$12:$D1608)+1</f>
        <v>77</v>
      </c>
      <c r="E1609" s="4"/>
    </row>
    <row r="1610" spans="2:15">
      <c r="E1610" s="4">
        <f t="shared" si="837"/>
        <v>1610</v>
      </c>
      <c r="F1610" s="9" t="s">
        <v>96</v>
      </c>
      <c r="G1610" s="9" t="s">
        <v>38</v>
      </c>
      <c r="H1610" s="9" t="s">
        <v>282</v>
      </c>
      <c r="J1610" s="9" t="s">
        <v>247</v>
      </c>
      <c r="O1610" s="23">
        <f t="shared" ref="O1610:O1673" si="855">J1610+D1609</f>
        <v>10077</v>
      </c>
    </row>
    <row r="1611" spans="2:15">
      <c r="E1611" s="4">
        <f t="shared" si="837"/>
        <v>1611</v>
      </c>
      <c r="F1611" s="9" t="s">
        <v>165</v>
      </c>
      <c r="G1611" s="9" t="s">
        <v>280</v>
      </c>
      <c r="H1611" s="9" t="s">
        <v>249</v>
      </c>
      <c r="O1611" s="23">
        <f t="shared" ref="O1611" si="856">G1611+B1609*H1611</f>
        <v>890</v>
      </c>
    </row>
    <row r="1612" spans="2:15">
      <c r="E1612" s="4">
        <f t="shared" si="837"/>
        <v>1612</v>
      </c>
      <c r="F1612" s="9" t="s">
        <v>35</v>
      </c>
      <c r="O1612" s="23" t="s">
        <v>251</v>
      </c>
    </row>
    <row r="1613" spans="2:15">
      <c r="E1613" s="4">
        <f t="shared" si="837"/>
        <v>1613</v>
      </c>
      <c r="F1613" s="9" t="s">
        <v>29</v>
      </c>
      <c r="O1613" s="23" t="s">
        <v>157</v>
      </c>
    </row>
    <row r="1614" spans="2:15">
      <c r="E1614" s="4">
        <f t="shared" si="837"/>
        <v>1614</v>
      </c>
      <c r="F1614" s="9" t="s">
        <v>122</v>
      </c>
      <c r="O1614" s="23" t="s">
        <v>158</v>
      </c>
    </row>
    <row r="1615" spans="2:15">
      <c r="E1615" s="4">
        <f t="shared" si="837"/>
        <v>1615</v>
      </c>
      <c r="F1615" s="9" t="s">
        <v>117</v>
      </c>
      <c r="G1615" s="9" t="s">
        <v>253</v>
      </c>
      <c r="H1615" s="9" t="s">
        <v>254</v>
      </c>
      <c r="I1615" s="9" t="s">
        <v>255</v>
      </c>
      <c r="J1615" s="9" t="s">
        <v>256</v>
      </c>
      <c r="L1615" s="9" t="s">
        <v>138</v>
      </c>
      <c r="O1615" s="23">
        <f t="shared" ref="O1615" ca="1" si="857">IF(MOD(D1609,2)=0,RANDBETWEEN($I$19,$J$19),RANDBETWEEN($G$19,$H$19))</f>
        <v>-80</v>
      </c>
    </row>
    <row r="1616" spans="2:15">
      <c r="E1616" s="4">
        <f t="shared" si="837"/>
        <v>1616</v>
      </c>
      <c r="F1616" s="9" t="s">
        <v>30</v>
      </c>
      <c r="O1616" s="23" t="s">
        <v>33</v>
      </c>
    </row>
    <row r="1617" spans="1:15">
      <c r="E1617" s="4">
        <f t="shared" si="837"/>
        <v>1617</v>
      </c>
      <c r="F1617" s="9" t="s">
        <v>119</v>
      </c>
      <c r="G1617" s="9" t="s">
        <v>257</v>
      </c>
      <c r="H1617" s="9" t="s">
        <v>258</v>
      </c>
      <c r="I1617" s="9" t="s">
        <v>34</v>
      </c>
      <c r="O1617" s="23">
        <f t="shared" ref="O1617:O1680" ca="1" si="858">RANDBETWEEN($G$21*$I$21,$H$21*$I$21)/$I$21</f>
        <v>-9.1999999999999993</v>
      </c>
    </row>
    <row r="1618" spans="1:15">
      <c r="E1618" s="4">
        <f t="shared" si="837"/>
        <v>1618</v>
      </c>
      <c r="F1618" s="9" t="s">
        <v>112</v>
      </c>
      <c r="O1618" s="23">
        <v>0</v>
      </c>
    </row>
    <row r="1619" spans="1:15">
      <c r="E1619" s="4">
        <f t="shared" si="837"/>
        <v>1619</v>
      </c>
      <c r="F1619" s="9" t="s">
        <v>102</v>
      </c>
      <c r="G1619" s="9" t="s">
        <v>259</v>
      </c>
      <c r="H1619" s="9" t="s">
        <v>260</v>
      </c>
      <c r="I1619" s="9" t="s">
        <v>34</v>
      </c>
      <c r="J1619" s="9" t="s">
        <v>261</v>
      </c>
      <c r="K1619" s="9" t="s">
        <v>140</v>
      </c>
      <c r="O1619" s="23" t="str">
        <f t="shared" ref="O1619:O1682" ca="1" si="859">CONCATENATE(RANDBETWEEN($G$23*$I$23,$H$23*$I$23)/$I$23,$J$23)</f>
        <v>4.1,6</v>
      </c>
    </row>
    <row r="1620" spans="1:15">
      <c r="A1620" s="9"/>
      <c r="B1620" s="9"/>
      <c r="C1620" s="9"/>
      <c r="D1620" s="9"/>
      <c r="E1620" s="4">
        <f t="shared" si="837"/>
        <v>1620</v>
      </c>
      <c r="F1620" s="9" t="s">
        <v>31</v>
      </c>
      <c r="L1620" s="9" t="s">
        <v>148</v>
      </c>
    </row>
    <row r="1621" spans="1:15">
      <c r="E1621" s="4">
        <f t="shared" si="837"/>
        <v>1621</v>
      </c>
      <c r="F1621" s="9" t="s">
        <v>136</v>
      </c>
      <c r="L1621" s="9" t="s">
        <v>149</v>
      </c>
    </row>
    <row r="1622" spans="1:15">
      <c r="E1622" s="4">
        <f t="shared" si="837"/>
        <v>1622</v>
      </c>
      <c r="F1622" s="9" t="s">
        <v>137</v>
      </c>
      <c r="K1622" s="9" t="s">
        <v>141</v>
      </c>
      <c r="O1622" s="23">
        <v>1</v>
      </c>
    </row>
    <row r="1623" spans="1:15">
      <c r="E1623" s="4">
        <f t="shared" si="837"/>
        <v>1623</v>
      </c>
      <c r="F1623" s="9" t="s">
        <v>137</v>
      </c>
      <c r="G1623" s="9" t="s">
        <v>262</v>
      </c>
      <c r="H1623" s="9" t="s">
        <v>32</v>
      </c>
      <c r="I1623" s="9" t="s">
        <v>34</v>
      </c>
      <c r="J1623" s="9" t="s">
        <v>263</v>
      </c>
      <c r="K1623" s="9" t="s">
        <v>140</v>
      </c>
      <c r="O1623" s="23" t="str">
        <f t="shared" ref="O1623:O1686" ca="1" si="860">CONCATENATE(RANDBETWEEN($G$27*$I$27,$H$27*$I$27)/$I$27,$J$27)</f>
        <v>-0.5,-4.5</v>
      </c>
    </row>
    <row r="1624" spans="1:15">
      <c r="E1624" s="4">
        <f t="shared" si="837"/>
        <v>1624</v>
      </c>
      <c r="F1624" s="9" t="s">
        <v>105</v>
      </c>
      <c r="O1624" s="23">
        <f t="shared" ref="O1624" si="861">O1610*10+1</f>
        <v>100771</v>
      </c>
    </row>
    <row r="1625" spans="1:15">
      <c r="E1625" s="4">
        <f t="shared" si="837"/>
        <v>1625</v>
      </c>
      <c r="F1625" s="9" t="s">
        <v>156</v>
      </c>
      <c r="O1625" s="23">
        <f t="shared" ref="O1625" si="862">O1610</f>
        <v>10077</v>
      </c>
    </row>
    <row r="1626" spans="1:15">
      <c r="E1626" s="4">
        <f t="shared" si="837"/>
        <v>1626</v>
      </c>
      <c r="F1626" s="9" t="s">
        <v>131</v>
      </c>
      <c r="O1626" s="23">
        <v>0</v>
      </c>
    </row>
    <row r="1627" spans="1:15">
      <c r="E1627" s="4">
        <f t="shared" si="837"/>
        <v>1627</v>
      </c>
      <c r="F1627" s="9" t="s">
        <v>35</v>
      </c>
      <c r="O1627" s="23" t="s">
        <v>252</v>
      </c>
    </row>
    <row r="1628" spans="1:15">
      <c r="E1628" s="4">
        <f t="shared" si="837"/>
        <v>1628</v>
      </c>
      <c r="F1628" s="9" t="s">
        <v>119</v>
      </c>
      <c r="O1628" s="23" t="s">
        <v>22</v>
      </c>
    </row>
    <row r="1629" spans="1:15">
      <c r="E1629" s="4">
        <f t="shared" si="837"/>
        <v>1629</v>
      </c>
      <c r="F1629" s="9" t="s">
        <v>117</v>
      </c>
      <c r="L1629" s="9" t="s">
        <v>138</v>
      </c>
      <c r="O1629" s="23">
        <f t="shared" ref="O1629" ca="1" si="863">O1615</f>
        <v>-80</v>
      </c>
    </row>
    <row r="1630" spans="1:15">
      <c r="B1630" s="22">
        <f t="shared" ref="B1630:B1693" si="864">QUOTIENT( D1630-1,G1631)+1</f>
        <v>26</v>
      </c>
      <c r="C1630" s="22">
        <f t="shared" ref="C1630" si="865">D1630-(B1630-1)*G1631</f>
        <v>3</v>
      </c>
      <c r="D1630" s="22">
        <f>COUNT($D$12:$D1629)+1</f>
        <v>78</v>
      </c>
      <c r="E1630" s="4"/>
    </row>
    <row r="1631" spans="1:15">
      <c r="E1631" s="4">
        <f t="shared" si="837"/>
        <v>1631</v>
      </c>
      <c r="F1631" s="9" t="s">
        <v>96</v>
      </c>
      <c r="G1631" s="9" t="s">
        <v>38</v>
      </c>
      <c r="H1631" s="9" t="s">
        <v>282</v>
      </c>
      <c r="J1631" s="9" t="s">
        <v>247</v>
      </c>
      <c r="O1631" s="23">
        <f t="shared" ref="O1631:O1694" si="866">J1631+D1630</f>
        <v>10078</v>
      </c>
    </row>
    <row r="1632" spans="1:15">
      <c r="E1632" s="4">
        <f t="shared" si="837"/>
        <v>1632</v>
      </c>
      <c r="F1632" s="9" t="s">
        <v>165</v>
      </c>
      <c r="G1632" s="9" t="s">
        <v>280</v>
      </c>
      <c r="H1632" s="9" t="s">
        <v>249</v>
      </c>
      <c r="O1632" s="23">
        <f t="shared" ref="O1632" si="867">G1632+B1630*H1632</f>
        <v>890</v>
      </c>
    </row>
    <row r="1633" spans="1:15">
      <c r="E1633" s="4">
        <f t="shared" si="837"/>
        <v>1633</v>
      </c>
      <c r="F1633" s="9" t="s">
        <v>35</v>
      </c>
      <c r="O1633" s="23" t="s">
        <v>251</v>
      </c>
    </row>
    <row r="1634" spans="1:15">
      <c r="E1634" s="4">
        <f t="shared" si="837"/>
        <v>1634</v>
      </c>
      <c r="F1634" s="9" t="s">
        <v>29</v>
      </c>
      <c r="O1634" s="23" t="s">
        <v>157</v>
      </c>
    </row>
    <row r="1635" spans="1:15">
      <c r="E1635" s="4">
        <f t="shared" si="837"/>
        <v>1635</v>
      </c>
      <c r="F1635" s="9" t="s">
        <v>122</v>
      </c>
      <c r="O1635" s="23" t="s">
        <v>158</v>
      </c>
    </row>
    <row r="1636" spans="1:15">
      <c r="E1636" s="4">
        <f t="shared" si="837"/>
        <v>1636</v>
      </c>
      <c r="F1636" s="9" t="s">
        <v>117</v>
      </c>
      <c r="G1636" s="9" t="s">
        <v>253</v>
      </c>
      <c r="H1636" s="9" t="s">
        <v>254</v>
      </c>
      <c r="I1636" s="9" t="s">
        <v>255</v>
      </c>
      <c r="J1636" s="9" t="s">
        <v>256</v>
      </c>
      <c r="L1636" s="9" t="s">
        <v>138</v>
      </c>
      <c r="O1636" s="23">
        <f t="shared" ref="O1636" ca="1" si="868">IF(MOD(D1630,2)=0,RANDBETWEEN($I$19,$J$19),RANDBETWEEN($G$19,$H$19))</f>
        <v>93</v>
      </c>
    </row>
    <row r="1637" spans="1:15">
      <c r="E1637" s="4">
        <f t="shared" si="837"/>
        <v>1637</v>
      </c>
      <c r="F1637" s="9" t="s">
        <v>30</v>
      </c>
      <c r="O1637" s="23" t="s">
        <v>33</v>
      </c>
    </row>
    <row r="1638" spans="1:15">
      <c r="E1638" s="4">
        <f t="shared" si="837"/>
        <v>1638</v>
      </c>
      <c r="F1638" s="9" t="s">
        <v>119</v>
      </c>
      <c r="G1638" s="9" t="s">
        <v>257</v>
      </c>
      <c r="H1638" s="9" t="s">
        <v>258</v>
      </c>
      <c r="I1638" s="9" t="s">
        <v>34</v>
      </c>
      <c r="O1638" s="23">
        <f t="shared" ref="O1638:O1701" ca="1" si="869">RANDBETWEEN($G$21*$I$21,$H$21*$I$21)/$I$21</f>
        <v>-9.3000000000000007</v>
      </c>
    </row>
    <row r="1639" spans="1:15">
      <c r="E1639" s="4">
        <f t="shared" si="837"/>
        <v>1639</v>
      </c>
      <c r="F1639" s="9" t="s">
        <v>112</v>
      </c>
      <c r="O1639" s="23">
        <v>0</v>
      </c>
    </row>
    <row r="1640" spans="1:15">
      <c r="E1640" s="4">
        <f t="shared" si="837"/>
        <v>1640</v>
      </c>
      <c r="F1640" s="9" t="s">
        <v>102</v>
      </c>
      <c r="G1640" s="9" t="s">
        <v>259</v>
      </c>
      <c r="H1640" s="9" t="s">
        <v>260</v>
      </c>
      <c r="I1640" s="9" t="s">
        <v>34</v>
      </c>
      <c r="J1640" s="9" t="s">
        <v>261</v>
      </c>
      <c r="K1640" s="9" t="s">
        <v>140</v>
      </c>
      <c r="O1640" s="23" t="str">
        <f t="shared" ref="O1640:O1703" ca="1" si="870">CONCATENATE(RANDBETWEEN($G$23*$I$23,$H$23*$I$23)/$I$23,$J$23)</f>
        <v>-1.5,6</v>
      </c>
    </row>
    <row r="1641" spans="1:15">
      <c r="E1641" s="4">
        <f t="shared" si="837"/>
        <v>1641</v>
      </c>
      <c r="F1641" s="9" t="s">
        <v>31</v>
      </c>
      <c r="L1641" s="9" t="s">
        <v>148</v>
      </c>
    </row>
    <row r="1642" spans="1:15">
      <c r="A1642" s="9"/>
      <c r="B1642" s="9"/>
      <c r="C1642" s="9"/>
      <c r="D1642" s="9"/>
      <c r="E1642" s="4">
        <f t="shared" ref="E1642:E1705" si="871">ROW(E1642)</f>
        <v>1642</v>
      </c>
      <c r="F1642" s="9" t="s">
        <v>136</v>
      </c>
      <c r="L1642" s="9" t="s">
        <v>149</v>
      </c>
    </row>
    <row r="1643" spans="1:15">
      <c r="E1643" s="4">
        <f t="shared" si="871"/>
        <v>1643</v>
      </c>
      <c r="F1643" s="9" t="s">
        <v>137</v>
      </c>
      <c r="K1643" s="9" t="s">
        <v>141</v>
      </c>
      <c r="O1643" s="23">
        <v>1</v>
      </c>
    </row>
    <row r="1644" spans="1:15">
      <c r="E1644" s="4">
        <f t="shared" si="871"/>
        <v>1644</v>
      </c>
      <c r="F1644" s="9" t="s">
        <v>137</v>
      </c>
      <c r="G1644" s="9" t="s">
        <v>262</v>
      </c>
      <c r="H1644" s="9" t="s">
        <v>32</v>
      </c>
      <c r="I1644" s="9" t="s">
        <v>34</v>
      </c>
      <c r="J1644" s="9" t="s">
        <v>263</v>
      </c>
      <c r="K1644" s="9" t="s">
        <v>140</v>
      </c>
      <c r="O1644" s="23" t="str">
        <f t="shared" ref="O1644:O1707" ca="1" si="872">CONCATENATE(RANDBETWEEN($G$27*$I$27,$H$27*$I$27)/$I$27,$J$27)</f>
        <v>1.8,-4.5</v>
      </c>
    </row>
    <row r="1645" spans="1:15">
      <c r="E1645" s="4">
        <f t="shared" si="871"/>
        <v>1645</v>
      </c>
      <c r="F1645" s="9" t="s">
        <v>105</v>
      </c>
      <c r="O1645" s="23">
        <f t="shared" ref="O1645" si="873">O1631*10+1</f>
        <v>100781</v>
      </c>
    </row>
    <row r="1646" spans="1:15">
      <c r="E1646" s="4">
        <f t="shared" si="871"/>
        <v>1646</v>
      </c>
      <c r="F1646" s="9" t="s">
        <v>156</v>
      </c>
      <c r="O1646" s="23">
        <f t="shared" ref="O1646" si="874">O1631</f>
        <v>10078</v>
      </c>
    </row>
    <row r="1647" spans="1:15">
      <c r="E1647" s="4">
        <f t="shared" si="871"/>
        <v>1647</v>
      </c>
      <c r="F1647" s="9" t="s">
        <v>131</v>
      </c>
      <c r="O1647" s="23">
        <v>0</v>
      </c>
    </row>
    <row r="1648" spans="1:15">
      <c r="E1648" s="4">
        <f t="shared" si="871"/>
        <v>1648</v>
      </c>
      <c r="F1648" s="9" t="s">
        <v>35</v>
      </c>
      <c r="O1648" s="23" t="s">
        <v>252</v>
      </c>
    </row>
    <row r="1649" spans="1:15">
      <c r="E1649" s="4">
        <f t="shared" si="871"/>
        <v>1649</v>
      </c>
      <c r="F1649" s="9" t="s">
        <v>119</v>
      </c>
      <c r="O1649" s="23" t="s">
        <v>22</v>
      </c>
    </row>
    <row r="1650" spans="1:15">
      <c r="E1650" s="4">
        <f t="shared" si="871"/>
        <v>1650</v>
      </c>
      <c r="F1650" s="9" t="s">
        <v>117</v>
      </c>
      <c r="L1650" s="9" t="s">
        <v>138</v>
      </c>
      <c r="O1650" s="23">
        <f t="shared" ref="O1650" ca="1" si="875">O1636</f>
        <v>93</v>
      </c>
    </row>
    <row r="1651" spans="1:15">
      <c r="B1651" s="22">
        <f t="shared" ref="B1651:B1714" si="876">QUOTIENT( D1651-1,G1652)+1</f>
        <v>27</v>
      </c>
      <c r="C1651" s="22">
        <f t="shared" ref="C1651" si="877">D1651-(B1651-1)*G1652</f>
        <v>1</v>
      </c>
      <c r="D1651" s="22">
        <f>COUNT($D$12:$D1650)+1</f>
        <v>79</v>
      </c>
      <c r="E1651" s="4"/>
    </row>
    <row r="1652" spans="1:15">
      <c r="E1652" s="4">
        <f t="shared" si="871"/>
        <v>1652</v>
      </c>
      <c r="F1652" s="9" t="s">
        <v>96</v>
      </c>
      <c r="G1652" s="9" t="s">
        <v>38</v>
      </c>
      <c r="H1652" s="9" t="s">
        <v>282</v>
      </c>
      <c r="J1652" s="9" t="s">
        <v>247</v>
      </c>
      <c r="O1652" s="23">
        <f t="shared" ref="O1652:O1715" si="878">J1652+D1651</f>
        <v>10079</v>
      </c>
    </row>
    <row r="1653" spans="1:15">
      <c r="E1653" s="4">
        <f t="shared" si="871"/>
        <v>1653</v>
      </c>
      <c r="F1653" s="9" t="s">
        <v>165</v>
      </c>
      <c r="G1653" s="9" t="s">
        <v>280</v>
      </c>
      <c r="H1653" s="9" t="s">
        <v>249</v>
      </c>
      <c r="O1653" s="23">
        <f t="shared" ref="O1653" si="879">G1653+B1651*H1653</f>
        <v>905</v>
      </c>
    </row>
    <row r="1654" spans="1:15">
      <c r="E1654" s="4">
        <f t="shared" si="871"/>
        <v>1654</v>
      </c>
      <c r="F1654" s="9" t="s">
        <v>35</v>
      </c>
      <c r="O1654" s="23" t="s">
        <v>251</v>
      </c>
    </row>
    <row r="1655" spans="1:15">
      <c r="E1655" s="4">
        <f t="shared" si="871"/>
        <v>1655</v>
      </c>
      <c r="F1655" s="9" t="s">
        <v>29</v>
      </c>
      <c r="O1655" s="23" t="s">
        <v>157</v>
      </c>
    </row>
    <row r="1656" spans="1:15">
      <c r="E1656" s="4">
        <f t="shared" si="871"/>
        <v>1656</v>
      </c>
      <c r="F1656" s="9" t="s">
        <v>122</v>
      </c>
      <c r="O1656" s="23" t="s">
        <v>158</v>
      </c>
    </row>
    <row r="1657" spans="1:15">
      <c r="E1657" s="4">
        <f t="shared" si="871"/>
        <v>1657</v>
      </c>
      <c r="F1657" s="9" t="s">
        <v>117</v>
      </c>
      <c r="G1657" s="9" t="s">
        <v>253</v>
      </c>
      <c r="H1657" s="9" t="s">
        <v>254</v>
      </c>
      <c r="I1657" s="9" t="s">
        <v>255</v>
      </c>
      <c r="J1657" s="9" t="s">
        <v>256</v>
      </c>
      <c r="L1657" s="9" t="s">
        <v>138</v>
      </c>
      <c r="O1657" s="23">
        <f t="shared" ref="O1657" ca="1" si="880">IF(MOD(D1651,2)=0,RANDBETWEEN($I$19,$J$19),RANDBETWEEN($G$19,$H$19))</f>
        <v>-86</v>
      </c>
    </row>
    <row r="1658" spans="1:15">
      <c r="E1658" s="4">
        <f t="shared" si="871"/>
        <v>1658</v>
      </c>
      <c r="F1658" s="9" t="s">
        <v>30</v>
      </c>
      <c r="O1658" s="23" t="s">
        <v>33</v>
      </c>
    </row>
    <row r="1659" spans="1:15">
      <c r="E1659" s="4">
        <f t="shared" si="871"/>
        <v>1659</v>
      </c>
      <c r="F1659" s="9" t="s">
        <v>119</v>
      </c>
      <c r="G1659" s="9" t="s">
        <v>257</v>
      </c>
      <c r="H1659" s="9" t="s">
        <v>258</v>
      </c>
      <c r="I1659" s="9" t="s">
        <v>34</v>
      </c>
      <c r="O1659" s="23">
        <f t="shared" ref="O1659:O1722" ca="1" si="881">RANDBETWEEN($G$21*$I$21,$H$21*$I$21)/$I$21</f>
        <v>-5.5</v>
      </c>
    </row>
    <row r="1660" spans="1:15">
      <c r="E1660" s="4">
        <f t="shared" si="871"/>
        <v>1660</v>
      </c>
      <c r="F1660" s="9" t="s">
        <v>112</v>
      </c>
      <c r="O1660" s="23">
        <v>0</v>
      </c>
    </row>
    <row r="1661" spans="1:15">
      <c r="E1661" s="4">
        <f t="shared" si="871"/>
        <v>1661</v>
      </c>
      <c r="F1661" s="9" t="s">
        <v>102</v>
      </c>
      <c r="G1661" s="9" t="s">
        <v>259</v>
      </c>
      <c r="H1661" s="9" t="s">
        <v>260</v>
      </c>
      <c r="I1661" s="9" t="s">
        <v>34</v>
      </c>
      <c r="J1661" s="9" t="s">
        <v>261</v>
      </c>
      <c r="K1661" s="9" t="s">
        <v>140</v>
      </c>
      <c r="O1661" s="23" t="str">
        <f t="shared" ref="O1661:O1724" ca="1" si="882">CONCATENATE(RANDBETWEEN($G$23*$I$23,$H$23*$I$23)/$I$23,$J$23)</f>
        <v>1.6,6</v>
      </c>
    </row>
    <row r="1662" spans="1:15">
      <c r="E1662" s="4">
        <f t="shared" si="871"/>
        <v>1662</v>
      </c>
      <c r="F1662" s="9" t="s">
        <v>31</v>
      </c>
      <c r="L1662" s="9" t="s">
        <v>148</v>
      </c>
    </row>
    <row r="1663" spans="1:15">
      <c r="E1663" s="4">
        <f t="shared" si="871"/>
        <v>1663</v>
      </c>
      <c r="F1663" s="9" t="s">
        <v>136</v>
      </c>
      <c r="L1663" s="9" t="s">
        <v>149</v>
      </c>
    </row>
    <row r="1664" spans="1:15">
      <c r="A1664" s="9"/>
      <c r="B1664" s="9"/>
      <c r="C1664" s="9"/>
      <c r="D1664" s="9"/>
      <c r="E1664" s="4">
        <f t="shared" si="871"/>
        <v>1664</v>
      </c>
      <c r="F1664" s="9" t="s">
        <v>137</v>
      </c>
      <c r="K1664" s="9" t="s">
        <v>141</v>
      </c>
      <c r="O1664" s="23">
        <v>1</v>
      </c>
    </row>
    <row r="1665" spans="2:15">
      <c r="E1665" s="4">
        <f t="shared" si="871"/>
        <v>1665</v>
      </c>
      <c r="F1665" s="9" t="s">
        <v>137</v>
      </c>
      <c r="G1665" s="9" t="s">
        <v>262</v>
      </c>
      <c r="H1665" s="9" t="s">
        <v>32</v>
      </c>
      <c r="I1665" s="9" t="s">
        <v>34</v>
      </c>
      <c r="J1665" s="9" t="s">
        <v>263</v>
      </c>
      <c r="K1665" s="9" t="s">
        <v>140</v>
      </c>
      <c r="O1665" s="23" t="str">
        <f t="shared" ref="O1665:O1728" ca="1" si="883">CONCATENATE(RANDBETWEEN($G$27*$I$27,$H$27*$I$27)/$I$27,$J$27)</f>
        <v>-1.8,-4.5</v>
      </c>
    </row>
    <row r="1666" spans="2:15">
      <c r="E1666" s="4">
        <f t="shared" si="871"/>
        <v>1666</v>
      </c>
      <c r="F1666" s="9" t="s">
        <v>105</v>
      </c>
      <c r="O1666" s="23">
        <f t="shared" ref="O1666" si="884">O1652*10+1</f>
        <v>100791</v>
      </c>
    </row>
    <row r="1667" spans="2:15">
      <c r="E1667" s="4">
        <f t="shared" si="871"/>
        <v>1667</v>
      </c>
      <c r="F1667" s="9" t="s">
        <v>156</v>
      </c>
      <c r="O1667" s="23">
        <f t="shared" ref="O1667" si="885">O1652</f>
        <v>10079</v>
      </c>
    </row>
    <row r="1668" spans="2:15">
      <c r="E1668" s="4">
        <f t="shared" si="871"/>
        <v>1668</v>
      </c>
      <c r="F1668" s="9" t="s">
        <v>131</v>
      </c>
      <c r="O1668" s="23">
        <v>0</v>
      </c>
    </row>
    <row r="1669" spans="2:15">
      <c r="E1669" s="4">
        <f t="shared" si="871"/>
        <v>1669</v>
      </c>
      <c r="F1669" s="9" t="s">
        <v>35</v>
      </c>
      <c r="O1669" s="23" t="s">
        <v>252</v>
      </c>
    </row>
    <row r="1670" spans="2:15">
      <c r="E1670" s="4">
        <f t="shared" si="871"/>
        <v>1670</v>
      </c>
      <c r="F1670" s="9" t="s">
        <v>119</v>
      </c>
      <c r="O1670" s="23" t="s">
        <v>22</v>
      </c>
    </row>
    <row r="1671" spans="2:15">
      <c r="E1671" s="4">
        <f t="shared" si="871"/>
        <v>1671</v>
      </c>
      <c r="F1671" s="9" t="s">
        <v>117</v>
      </c>
      <c r="L1671" s="9" t="s">
        <v>138</v>
      </c>
      <c r="O1671" s="23">
        <f t="shared" ref="O1671" ca="1" si="886">O1657</f>
        <v>-86</v>
      </c>
    </row>
    <row r="1672" spans="2:15">
      <c r="B1672" s="22">
        <f t="shared" ref="B1672:B1735" si="887">QUOTIENT( D1672-1,G1673)+1</f>
        <v>27</v>
      </c>
      <c r="C1672" s="22">
        <f t="shared" ref="C1672" si="888">D1672-(B1672-1)*G1673</f>
        <v>2</v>
      </c>
      <c r="D1672" s="22">
        <f>COUNT($D$12:$D1671)+1</f>
        <v>80</v>
      </c>
      <c r="E1672" s="4"/>
    </row>
    <row r="1673" spans="2:15">
      <c r="E1673" s="4">
        <f t="shared" si="871"/>
        <v>1673</v>
      </c>
      <c r="F1673" s="9" t="s">
        <v>96</v>
      </c>
      <c r="G1673" s="9" t="s">
        <v>38</v>
      </c>
      <c r="H1673" s="9" t="s">
        <v>282</v>
      </c>
      <c r="J1673" s="9" t="s">
        <v>247</v>
      </c>
      <c r="O1673" s="23">
        <f t="shared" ref="O1673:O1736" si="889">J1673+D1672</f>
        <v>10080</v>
      </c>
    </row>
    <row r="1674" spans="2:15">
      <c r="E1674" s="4">
        <f t="shared" si="871"/>
        <v>1674</v>
      </c>
      <c r="F1674" s="9" t="s">
        <v>165</v>
      </c>
      <c r="G1674" s="9" t="s">
        <v>280</v>
      </c>
      <c r="H1674" s="9" t="s">
        <v>249</v>
      </c>
      <c r="O1674" s="23">
        <f t="shared" ref="O1674" si="890">G1674+B1672*H1674</f>
        <v>905</v>
      </c>
    </row>
    <row r="1675" spans="2:15">
      <c r="E1675" s="4">
        <f t="shared" si="871"/>
        <v>1675</v>
      </c>
      <c r="F1675" s="9" t="s">
        <v>35</v>
      </c>
      <c r="O1675" s="23" t="s">
        <v>251</v>
      </c>
    </row>
    <row r="1676" spans="2:15">
      <c r="E1676" s="4">
        <f t="shared" si="871"/>
        <v>1676</v>
      </c>
      <c r="F1676" s="9" t="s">
        <v>29</v>
      </c>
      <c r="O1676" s="23" t="s">
        <v>157</v>
      </c>
    </row>
    <row r="1677" spans="2:15">
      <c r="E1677" s="4">
        <f t="shared" si="871"/>
        <v>1677</v>
      </c>
      <c r="F1677" s="9" t="s">
        <v>122</v>
      </c>
      <c r="O1677" s="23" t="s">
        <v>158</v>
      </c>
    </row>
    <row r="1678" spans="2:15">
      <c r="E1678" s="4">
        <f t="shared" si="871"/>
        <v>1678</v>
      </c>
      <c r="F1678" s="9" t="s">
        <v>117</v>
      </c>
      <c r="G1678" s="9" t="s">
        <v>253</v>
      </c>
      <c r="H1678" s="9" t="s">
        <v>254</v>
      </c>
      <c r="I1678" s="9" t="s">
        <v>255</v>
      </c>
      <c r="J1678" s="9" t="s">
        <v>256</v>
      </c>
      <c r="L1678" s="9" t="s">
        <v>138</v>
      </c>
      <c r="O1678" s="23">
        <f t="shared" ref="O1678" ca="1" si="891">IF(MOD(D1672,2)=0,RANDBETWEEN($I$19,$J$19),RANDBETWEEN($G$19,$H$19))</f>
        <v>98</v>
      </c>
    </row>
    <row r="1679" spans="2:15">
      <c r="E1679" s="4">
        <f t="shared" si="871"/>
        <v>1679</v>
      </c>
      <c r="F1679" s="9" t="s">
        <v>30</v>
      </c>
      <c r="O1679" s="23" t="s">
        <v>33</v>
      </c>
    </row>
    <row r="1680" spans="2:15">
      <c r="E1680" s="4">
        <f t="shared" si="871"/>
        <v>1680</v>
      </c>
      <c r="F1680" s="9" t="s">
        <v>119</v>
      </c>
      <c r="G1680" s="9" t="s">
        <v>257</v>
      </c>
      <c r="H1680" s="9" t="s">
        <v>258</v>
      </c>
      <c r="I1680" s="9" t="s">
        <v>34</v>
      </c>
      <c r="O1680" s="23">
        <f t="shared" ref="O1680:O1743" ca="1" si="892">RANDBETWEEN($G$21*$I$21,$H$21*$I$21)/$I$21</f>
        <v>-7.8</v>
      </c>
    </row>
    <row r="1681" spans="1:15">
      <c r="E1681" s="4">
        <f t="shared" si="871"/>
        <v>1681</v>
      </c>
      <c r="F1681" s="9" t="s">
        <v>112</v>
      </c>
      <c r="O1681" s="23">
        <v>0</v>
      </c>
    </row>
    <row r="1682" spans="1:15">
      <c r="E1682" s="4">
        <f t="shared" si="871"/>
        <v>1682</v>
      </c>
      <c r="F1682" s="9" t="s">
        <v>102</v>
      </c>
      <c r="G1682" s="9" t="s">
        <v>259</v>
      </c>
      <c r="H1682" s="9" t="s">
        <v>260</v>
      </c>
      <c r="I1682" s="9" t="s">
        <v>34</v>
      </c>
      <c r="J1682" s="9" t="s">
        <v>261</v>
      </c>
      <c r="K1682" s="9" t="s">
        <v>140</v>
      </c>
      <c r="O1682" s="23" t="str">
        <f t="shared" ref="O1682:O1745" ca="1" si="893">CONCATENATE(RANDBETWEEN($G$23*$I$23,$H$23*$I$23)/$I$23,$J$23)</f>
        <v>-3.5,6</v>
      </c>
    </row>
    <row r="1683" spans="1:15">
      <c r="E1683" s="4">
        <f t="shared" si="871"/>
        <v>1683</v>
      </c>
      <c r="F1683" s="9" t="s">
        <v>31</v>
      </c>
      <c r="L1683" s="9" t="s">
        <v>148</v>
      </c>
    </row>
    <row r="1684" spans="1:15">
      <c r="E1684" s="4">
        <f t="shared" si="871"/>
        <v>1684</v>
      </c>
      <c r="F1684" s="9" t="s">
        <v>136</v>
      </c>
      <c r="L1684" s="9" t="s">
        <v>149</v>
      </c>
    </row>
    <row r="1685" spans="1:15">
      <c r="E1685" s="4">
        <f t="shared" si="871"/>
        <v>1685</v>
      </c>
      <c r="F1685" s="9" t="s">
        <v>137</v>
      </c>
      <c r="K1685" s="9" t="s">
        <v>141</v>
      </c>
      <c r="O1685" s="23">
        <v>1</v>
      </c>
    </row>
    <row r="1686" spans="1:15">
      <c r="A1686" s="9"/>
      <c r="B1686" s="9"/>
      <c r="C1686" s="9"/>
      <c r="D1686" s="9"/>
      <c r="E1686" s="4">
        <f t="shared" si="871"/>
        <v>1686</v>
      </c>
      <c r="F1686" s="9" t="s">
        <v>137</v>
      </c>
      <c r="G1686" s="9" t="s">
        <v>262</v>
      </c>
      <c r="H1686" s="9" t="s">
        <v>32</v>
      </c>
      <c r="I1686" s="9" t="s">
        <v>34</v>
      </c>
      <c r="J1686" s="9" t="s">
        <v>263</v>
      </c>
      <c r="K1686" s="9" t="s">
        <v>140</v>
      </c>
      <c r="O1686" s="23" t="str">
        <f t="shared" ref="O1686:O1749" ca="1" si="894">CONCATENATE(RANDBETWEEN($G$27*$I$27,$H$27*$I$27)/$I$27,$J$27)</f>
        <v>-2.3,-4.5</v>
      </c>
    </row>
    <row r="1687" spans="1:15">
      <c r="E1687" s="4">
        <f t="shared" si="871"/>
        <v>1687</v>
      </c>
      <c r="F1687" s="9" t="s">
        <v>105</v>
      </c>
      <c r="O1687" s="23">
        <f t="shared" ref="O1687" si="895">O1673*10+1</f>
        <v>100801</v>
      </c>
    </row>
    <row r="1688" spans="1:15">
      <c r="E1688" s="4">
        <f t="shared" si="871"/>
        <v>1688</v>
      </c>
      <c r="F1688" s="9" t="s">
        <v>156</v>
      </c>
      <c r="O1688" s="23">
        <f t="shared" ref="O1688" si="896">O1673</f>
        <v>10080</v>
      </c>
    </row>
    <row r="1689" spans="1:15">
      <c r="E1689" s="4">
        <f t="shared" si="871"/>
        <v>1689</v>
      </c>
      <c r="F1689" s="9" t="s">
        <v>131</v>
      </c>
      <c r="O1689" s="23">
        <v>0</v>
      </c>
    </row>
    <row r="1690" spans="1:15">
      <c r="E1690" s="4">
        <f t="shared" si="871"/>
        <v>1690</v>
      </c>
      <c r="F1690" s="9" t="s">
        <v>35</v>
      </c>
      <c r="O1690" s="23" t="s">
        <v>252</v>
      </c>
    </row>
    <row r="1691" spans="1:15">
      <c r="E1691" s="4">
        <f t="shared" si="871"/>
        <v>1691</v>
      </c>
      <c r="F1691" s="9" t="s">
        <v>119</v>
      </c>
      <c r="O1691" s="23" t="s">
        <v>22</v>
      </c>
    </row>
    <row r="1692" spans="1:15">
      <c r="E1692" s="4">
        <f t="shared" si="871"/>
        <v>1692</v>
      </c>
      <c r="F1692" s="9" t="s">
        <v>117</v>
      </c>
      <c r="L1692" s="9" t="s">
        <v>138</v>
      </c>
      <c r="O1692" s="23">
        <f t="shared" ref="O1692" ca="1" si="897">O1678</f>
        <v>98</v>
      </c>
    </row>
    <row r="1693" spans="1:15">
      <c r="B1693" s="22">
        <f t="shared" ref="B1693:B1756" si="898">QUOTIENT( D1693-1,G1694)+1</f>
        <v>27</v>
      </c>
      <c r="C1693" s="22">
        <f t="shared" ref="C1693" si="899">D1693-(B1693-1)*G1694</f>
        <v>3</v>
      </c>
      <c r="D1693" s="22">
        <f>COUNT($D$12:$D1692)+1</f>
        <v>81</v>
      </c>
      <c r="E1693" s="4"/>
    </row>
    <row r="1694" spans="1:15">
      <c r="E1694" s="4">
        <f t="shared" si="871"/>
        <v>1694</v>
      </c>
      <c r="F1694" s="9" t="s">
        <v>96</v>
      </c>
      <c r="G1694" s="9" t="s">
        <v>38</v>
      </c>
      <c r="H1694" s="9" t="s">
        <v>282</v>
      </c>
      <c r="J1694" s="9" t="s">
        <v>247</v>
      </c>
      <c r="O1694" s="23">
        <f t="shared" ref="O1694:O1757" si="900">J1694+D1693</f>
        <v>10081</v>
      </c>
    </row>
    <row r="1695" spans="1:15">
      <c r="E1695" s="4">
        <f t="shared" si="871"/>
        <v>1695</v>
      </c>
      <c r="F1695" s="9" t="s">
        <v>165</v>
      </c>
      <c r="G1695" s="9" t="s">
        <v>280</v>
      </c>
      <c r="H1695" s="9" t="s">
        <v>249</v>
      </c>
      <c r="O1695" s="23">
        <f t="shared" ref="O1695" si="901">G1695+B1693*H1695</f>
        <v>905</v>
      </c>
    </row>
    <row r="1696" spans="1:15">
      <c r="E1696" s="4">
        <f t="shared" si="871"/>
        <v>1696</v>
      </c>
      <c r="F1696" s="9" t="s">
        <v>35</v>
      </c>
      <c r="O1696" s="23" t="s">
        <v>251</v>
      </c>
    </row>
    <row r="1697" spans="1:15">
      <c r="E1697" s="4">
        <f t="shared" si="871"/>
        <v>1697</v>
      </c>
      <c r="F1697" s="9" t="s">
        <v>29</v>
      </c>
      <c r="O1697" s="23" t="s">
        <v>157</v>
      </c>
    </row>
    <row r="1698" spans="1:15">
      <c r="E1698" s="4">
        <f t="shared" si="871"/>
        <v>1698</v>
      </c>
      <c r="F1698" s="9" t="s">
        <v>122</v>
      </c>
      <c r="O1698" s="23" t="s">
        <v>158</v>
      </c>
    </row>
    <row r="1699" spans="1:15">
      <c r="E1699" s="4">
        <f t="shared" si="871"/>
        <v>1699</v>
      </c>
      <c r="F1699" s="9" t="s">
        <v>117</v>
      </c>
      <c r="G1699" s="9" t="s">
        <v>253</v>
      </c>
      <c r="H1699" s="9" t="s">
        <v>254</v>
      </c>
      <c r="I1699" s="9" t="s">
        <v>255</v>
      </c>
      <c r="J1699" s="9" t="s">
        <v>256</v>
      </c>
      <c r="L1699" s="9" t="s">
        <v>138</v>
      </c>
      <c r="O1699" s="23">
        <f t="shared" ref="O1699" ca="1" si="902">IF(MOD(D1693,2)=0,RANDBETWEEN($I$19,$J$19),RANDBETWEEN($G$19,$H$19))</f>
        <v>-118</v>
      </c>
    </row>
    <row r="1700" spans="1:15">
      <c r="E1700" s="4">
        <f t="shared" si="871"/>
        <v>1700</v>
      </c>
      <c r="F1700" s="9" t="s">
        <v>30</v>
      </c>
      <c r="O1700" s="23" t="s">
        <v>33</v>
      </c>
    </row>
    <row r="1701" spans="1:15">
      <c r="E1701" s="4">
        <f t="shared" si="871"/>
        <v>1701</v>
      </c>
      <c r="F1701" s="9" t="s">
        <v>119</v>
      </c>
      <c r="G1701" s="9" t="s">
        <v>257</v>
      </c>
      <c r="H1701" s="9" t="s">
        <v>258</v>
      </c>
      <c r="I1701" s="9" t="s">
        <v>34</v>
      </c>
      <c r="O1701" s="23">
        <f t="shared" ref="O1701:O1764" ca="1" si="903">RANDBETWEEN($G$21*$I$21,$H$21*$I$21)/$I$21</f>
        <v>-8.4</v>
      </c>
    </row>
    <row r="1702" spans="1:15">
      <c r="E1702" s="4">
        <f t="shared" si="871"/>
        <v>1702</v>
      </c>
      <c r="F1702" s="9" t="s">
        <v>112</v>
      </c>
      <c r="O1702" s="23">
        <v>0</v>
      </c>
    </row>
    <row r="1703" spans="1:15">
      <c r="E1703" s="4">
        <f t="shared" si="871"/>
        <v>1703</v>
      </c>
      <c r="F1703" s="9" t="s">
        <v>102</v>
      </c>
      <c r="G1703" s="9" t="s">
        <v>259</v>
      </c>
      <c r="H1703" s="9" t="s">
        <v>260</v>
      </c>
      <c r="I1703" s="9" t="s">
        <v>34</v>
      </c>
      <c r="J1703" s="9" t="s">
        <v>261</v>
      </c>
      <c r="K1703" s="9" t="s">
        <v>140</v>
      </c>
      <c r="O1703" s="23" t="str">
        <f t="shared" ref="O1703:O1766" ca="1" si="904">CONCATENATE(RANDBETWEEN($G$23*$I$23,$H$23*$I$23)/$I$23,$J$23)</f>
        <v>-0.4,6</v>
      </c>
    </row>
    <row r="1704" spans="1:15">
      <c r="E1704" s="4">
        <f t="shared" si="871"/>
        <v>1704</v>
      </c>
      <c r="F1704" s="9" t="s">
        <v>31</v>
      </c>
      <c r="L1704" s="9" t="s">
        <v>148</v>
      </c>
    </row>
    <row r="1705" spans="1:15">
      <c r="E1705" s="4">
        <f t="shared" si="871"/>
        <v>1705</v>
      </c>
      <c r="F1705" s="9" t="s">
        <v>136</v>
      </c>
      <c r="L1705" s="9" t="s">
        <v>149</v>
      </c>
    </row>
    <row r="1706" spans="1:15">
      <c r="E1706" s="4">
        <f t="shared" ref="E1706:E1769" si="905">ROW(E1706)</f>
        <v>1706</v>
      </c>
      <c r="F1706" s="9" t="s">
        <v>137</v>
      </c>
      <c r="K1706" s="9" t="s">
        <v>141</v>
      </c>
      <c r="O1706" s="23">
        <v>1</v>
      </c>
    </row>
    <row r="1707" spans="1:15">
      <c r="E1707" s="4">
        <f t="shared" si="905"/>
        <v>1707</v>
      </c>
      <c r="F1707" s="9" t="s">
        <v>137</v>
      </c>
      <c r="G1707" s="9" t="s">
        <v>262</v>
      </c>
      <c r="H1707" s="9" t="s">
        <v>32</v>
      </c>
      <c r="I1707" s="9" t="s">
        <v>34</v>
      </c>
      <c r="J1707" s="9" t="s">
        <v>263</v>
      </c>
      <c r="K1707" s="9" t="s">
        <v>140</v>
      </c>
      <c r="O1707" s="23" t="str">
        <f t="shared" ref="O1707:O1770" ca="1" si="906">CONCATENATE(RANDBETWEEN($G$27*$I$27,$H$27*$I$27)/$I$27,$J$27)</f>
        <v>2.4,-4.5</v>
      </c>
    </row>
    <row r="1708" spans="1:15">
      <c r="A1708" s="9"/>
      <c r="B1708" s="9"/>
      <c r="C1708" s="9"/>
      <c r="D1708" s="9"/>
      <c r="E1708" s="4">
        <f t="shared" si="905"/>
        <v>1708</v>
      </c>
      <c r="F1708" s="9" t="s">
        <v>105</v>
      </c>
      <c r="O1708" s="23">
        <f t="shared" ref="O1708" si="907">O1694*10+1</f>
        <v>100811</v>
      </c>
    </row>
    <row r="1709" spans="1:15">
      <c r="E1709" s="4">
        <f t="shared" si="905"/>
        <v>1709</v>
      </c>
      <c r="F1709" s="9" t="s">
        <v>156</v>
      </c>
      <c r="O1709" s="23">
        <f t="shared" ref="O1709" si="908">O1694</f>
        <v>10081</v>
      </c>
    </row>
    <row r="1710" spans="1:15">
      <c r="E1710" s="4">
        <f t="shared" si="905"/>
        <v>1710</v>
      </c>
      <c r="F1710" s="9" t="s">
        <v>131</v>
      </c>
      <c r="O1710" s="23">
        <v>0</v>
      </c>
    </row>
    <row r="1711" spans="1:15">
      <c r="E1711" s="4">
        <f t="shared" si="905"/>
        <v>1711</v>
      </c>
      <c r="F1711" s="9" t="s">
        <v>35</v>
      </c>
      <c r="O1711" s="23" t="s">
        <v>252</v>
      </c>
    </row>
    <row r="1712" spans="1:15">
      <c r="E1712" s="4">
        <f t="shared" si="905"/>
        <v>1712</v>
      </c>
      <c r="F1712" s="9" t="s">
        <v>119</v>
      </c>
      <c r="O1712" s="23" t="s">
        <v>22</v>
      </c>
    </row>
    <row r="1713" spans="2:15">
      <c r="E1713" s="4">
        <f t="shared" si="905"/>
        <v>1713</v>
      </c>
      <c r="F1713" s="9" t="s">
        <v>117</v>
      </c>
      <c r="L1713" s="9" t="s">
        <v>138</v>
      </c>
      <c r="O1713" s="23">
        <f t="shared" ref="O1713" ca="1" si="909">O1699</f>
        <v>-118</v>
      </c>
    </row>
    <row r="1714" spans="2:15">
      <c r="B1714" s="22">
        <f t="shared" ref="B1714:B1777" si="910">QUOTIENT( D1714-1,G1715)+1</f>
        <v>28</v>
      </c>
      <c r="C1714" s="22">
        <f t="shared" ref="C1714" si="911">D1714-(B1714-1)*G1715</f>
        <v>1</v>
      </c>
      <c r="D1714" s="22">
        <f>COUNT($D$12:$D1713)+1</f>
        <v>82</v>
      </c>
      <c r="E1714" s="4"/>
    </row>
    <row r="1715" spans="2:15">
      <c r="E1715" s="4">
        <f t="shared" si="905"/>
        <v>1715</v>
      </c>
      <c r="F1715" s="9" t="s">
        <v>96</v>
      </c>
      <c r="G1715" s="9" t="s">
        <v>38</v>
      </c>
      <c r="H1715" s="9" t="s">
        <v>282</v>
      </c>
      <c r="J1715" s="9" t="s">
        <v>247</v>
      </c>
      <c r="O1715" s="23">
        <f t="shared" ref="O1715:O1778" si="912">J1715+D1714</f>
        <v>10082</v>
      </c>
    </row>
    <row r="1716" spans="2:15">
      <c r="E1716" s="4">
        <f t="shared" si="905"/>
        <v>1716</v>
      </c>
      <c r="F1716" s="9" t="s">
        <v>165</v>
      </c>
      <c r="G1716" s="9" t="s">
        <v>280</v>
      </c>
      <c r="H1716" s="9" t="s">
        <v>249</v>
      </c>
      <c r="O1716" s="23">
        <f t="shared" ref="O1716" si="913">G1716+B1714*H1716</f>
        <v>920</v>
      </c>
    </row>
    <row r="1717" spans="2:15">
      <c r="E1717" s="4">
        <f t="shared" si="905"/>
        <v>1717</v>
      </c>
      <c r="F1717" s="9" t="s">
        <v>35</v>
      </c>
      <c r="O1717" s="23" t="s">
        <v>251</v>
      </c>
    </row>
    <row r="1718" spans="2:15">
      <c r="E1718" s="4">
        <f t="shared" si="905"/>
        <v>1718</v>
      </c>
      <c r="F1718" s="9" t="s">
        <v>29</v>
      </c>
      <c r="O1718" s="23" t="s">
        <v>157</v>
      </c>
    </row>
    <row r="1719" spans="2:15">
      <c r="E1719" s="4">
        <f t="shared" si="905"/>
        <v>1719</v>
      </c>
      <c r="F1719" s="9" t="s">
        <v>122</v>
      </c>
      <c r="O1719" s="23" t="s">
        <v>158</v>
      </c>
    </row>
    <row r="1720" spans="2:15">
      <c r="E1720" s="4">
        <f t="shared" si="905"/>
        <v>1720</v>
      </c>
      <c r="F1720" s="9" t="s">
        <v>117</v>
      </c>
      <c r="G1720" s="9" t="s">
        <v>253</v>
      </c>
      <c r="H1720" s="9" t="s">
        <v>254</v>
      </c>
      <c r="I1720" s="9" t="s">
        <v>255</v>
      </c>
      <c r="J1720" s="9" t="s">
        <v>256</v>
      </c>
      <c r="L1720" s="9" t="s">
        <v>138</v>
      </c>
      <c r="O1720" s="23">
        <f t="shared" ref="O1720" ca="1" si="914">IF(MOD(D1714,2)=0,RANDBETWEEN($I$19,$J$19),RANDBETWEEN($G$19,$H$19))</f>
        <v>119</v>
      </c>
    </row>
    <row r="1721" spans="2:15">
      <c r="E1721" s="4">
        <f t="shared" si="905"/>
        <v>1721</v>
      </c>
      <c r="F1721" s="9" t="s">
        <v>30</v>
      </c>
      <c r="O1721" s="23" t="s">
        <v>33</v>
      </c>
    </row>
    <row r="1722" spans="2:15">
      <c r="E1722" s="4">
        <f t="shared" si="905"/>
        <v>1722</v>
      </c>
      <c r="F1722" s="9" t="s">
        <v>119</v>
      </c>
      <c r="G1722" s="9" t="s">
        <v>257</v>
      </c>
      <c r="H1722" s="9" t="s">
        <v>258</v>
      </c>
      <c r="I1722" s="9" t="s">
        <v>34</v>
      </c>
      <c r="O1722" s="23">
        <f t="shared" ref="O1722:O1785" ca="1" si="915">RANDBETWEEN($G$21*$I$21,$H$21*$I$21)/$I$21</f>
        <v>-9.4</v>
      </c>
    </row>
    <row r="1723" spans="2:15">
      <c r="E1723" s="4">
        <f t="shared" si="905"/>
        <v>1723</v>
      </c>
      <c r="F1723" s="9" t="s">
        <v>112</v>
      </c>
      <c r="O1723" s="23">
        <v>0</v>
      </c>
    </row>
    <row r="1724" spans="2:15">
      <c r="E1724" s="4">
        <f t="shared" si="905"/>
        <v>1724</v>
      </c>
      <c r="F1724" s="9" t="s">
        <v>102</v>
      </c>
      <c r="G1724" s="9" t="s">
        <v>259</v>
      </c>
      <c r="H1724" s="9" t="s">
        <v>260</v>
      </c>
      <c r="I1724" s="9" t="s">
        <v>34</v>
      </c>
      <c r="J1724" s="9" t="s">
        <v>261</v>
      </c>
      <c r="K1724" s="9" t="s">
        <v>140</v>
      </c>
      <c r="O1724" s="23" t="str">
        <f t="shared" ref="O1724:O1787" ca="1" si="916">CONCATENATE(RANDBETWEEN($G$23*$I$23,$H$23*$I$23)/$I$23,$J$23)</f>
        <v>-2.5,6</v>
      </c>
    </row>
    <row r="1725" spans="2:15">
      <c r="E1725" s="4">
        <f t="shared" si="905"/>
        <v>1725</v>
      </c>
      <c r="F1725" s="9" t="s">
        <v>31</v>
      </c>
      <c r="L1725" s="9" t="s">
        <v>148</v>
      </c>
    </row>
    <row r="1726" spans="2:15">
      <c r="E1726" s="4">
        <f t="shared" si="905"/>
        <v>1726</v>
      </c>
      <c r="F1726" s="9" t="s">
        <v>136</v>
      </c>
      <c r="L1726" s="9" t="s">
        <v>149</v>
      </c>
    </row>
    <row r="1727" spans="2:15">
      <c r="E1727" s="4">
        <f t="shared" si="905"/>
        <v>1727</v>
      </c>
      <c r="F1727" s="9" t="s">
        <v>137</v>
      </c>
      <c r="K1727" s="9" t="s">
        <v>141</v>
      </c>
      <c r="O1727" s="23">
        <v>1</v>
      </c>
    </row>
    <row r="1728" spans="2:15">
      <c r="E1728" s="4">
        <f t="shared" si="905"/>
        <v>1728</v>
      </c>
      <c r="F1728" s="9" t="s">
        <v>137</v>
      </c>
      <c r="G1728" s="9" t="s">
        <v>262</v>
      </c>
      <c r="H1728" s="9" t="s">
        <v>32</v>
      </c>
      <c r="I1728" s="9" t="s">
        <v>34</v>
      </c>
      <c r="J1728" s="9" t="s">
        <v>263</v>
      </c>
      <c r="K1728" s="9" t="s">
        <v>140</v>
      </c>
      <c r="O1728" s="23" t="str">
        <f t="shared" ref="O1728:O1791" ca="1" si="917">CONCATENATE(RANDBETWEEN($G$27*$I$27,$H$27*$I$27)/$I$27,$J$27)</f>
        <v>-5.6,-4.5</v>
      </c>
    </row>
    <row r="1729" spans="1:15">
      <c r="E1729" s="4">
        <f t="shared" si="905"/>
        <v>1729</v>
      </c>
      <c r="F1729" s="9" t="s">
        <v>105</v>
      </c>
      <c r="O1729" s="23">
        <f t="shared" ref="O1729" si="918">O1715*10+1</f>
        <v>100821</v>
      </c>
    </row>
    <row r="1730" spans="1:15">
      <c r="A1730" s="9"/>
      <c r="B1730" s="9"/>
      <c r="C1730" s="9"/>
      <c r="D1730" s="9"/>
      <c r="E1730" s="4">
        <f t="shared" si="905"/>
        <v>1730</v>
      </c>
      <c r="F1730" s="9" t="s">
        <v>156</v>
      </c>
      <c r="O1730" s="23">
        <f t="shared" ref="O1730" si="919">O1715</f>
        <v>10082</v>
      </c>
    </row>
    <row r="1731" spans="1:15">
      <c r="E1731" s="4">
        <f t="shared" si="905"/>
        <v>1731</v>
      </c>
      <c r="F1731" s="9" t="s">
        <v>131</v>
      </c>
      <c r="O1731" s="23">
        <v>0</v>
      </c>
    </row>
    <row r="1732" spans="1:15">
      <c r="E1732" s="4">
        <f t="shared" si="905"/>
        <v>1732</v>
      </c>
      <c r="F1732" s="9" t="s">
        <v>35</v>
      </c>
      <c r="O1732" s="23" t="s">
        <v>252</v>
      </c>
    </row>
    <row r="1733" spans="1:15">
      <c r="E1733" s="4">
        <f t="shared" si="905"/>
        <v>1733</v>
      </c>
      <c r="F1733" s="9" t="s">
        <v>119</v>
      </c>
      <c r="O1733" s="23" t="s">
        <v>22</v>
      </c>
    </row>
    <row r="1734" spans="1:15">
      <c r="E1734" s="4">
        <f t="shared" si="905"/>
        <v>1734</v>
      </c>
      <c r="F1734" s="9" t="s">
        <v>117</v>
      </c>
      <c r="L1734" s="9" t="s">
        <v>138</v>
      </c>
      <c r="O1734" s="23">
        <f t="shared" ref="O1734" ca="1" si="920">O1720</f>
        <v>119</v>
      </c>
    </row>
    <row r="1735" spans="1:15">
      <c r="B1735" s="22">
        <f t="shared" ref="B1735:B1798" si="921">QUOTIENT( D1735-1,G1736)+1</f>
        <v>28</v>
      </c>
      <c r="C1735" s="22">
        <f t="shared" ref="C1735" si="922">D1735-(B1735-1)*G1736</f>
        <v>2</v>
      </c>
      <c r="D1735" s="22">
        <f>COUNT($D$12:$D1734)+1</f>
        <v>83</v>
      </c>
      <c r="E1735" s="4"/>
    </row>
    <row r="1736" spans="1:15">
      <c r="E1736" s="4">
        <f t="shared" si="905"/>
        <v>1736</v>
      </c>
      <c r="F1736" s="9" t="s">
        <v>96</v>
      </c>
      <c r="G1736" s="9" t="s">
        <v>38</v>
      </c>
      <c r="H1736" s="9" t="s">
        <v>282</v>
      </c>
      <c r="J1736" s="9" t="s">
        <v>247</v>
      </c>
      <c r="O1736" s="23">
        <f t="shared" ref="O1736:O1799" si="923">J1736+D1735</f>
        <v>10083</v>
      </c>
    </row>
    <row r="1737" spans="1:15">
      <c r="E1737" s="4">
        <f t="shared" si="905"/>
        <v>1737</v>
      </c>
      <c r="F1737" s="9" t="s">
        <v>165</v>
      </c>
      <c r="G1737" s="9" t="s">
        <v>280</v>
      </c>
      <c r="H1737" s="9" t="s">
        <v>249</v>
      </c>
      <c r="O1737" s="23">
        <f t="shared" ref="O1737" si="924">G1737+B1735*H1737</f>
        <v>920</v>
      </c>
    </row>
    <row r="1738" spans="1:15">
      <c r="E1738" s="4">
        <f t="shared" si="905"/>
        <v>1738</v>
      </c>
      <c r="F1738" s="9" t="s">
        <v>35</v>
      </c>
      <c r="O1738" s="23" t="s">
        <v>251</v>
      </c>
    </row>
    <row r="1739" spans="1:15">
      <c r="E1739" s="4">
        <f t="shared" si="905"/>
        <v>1739</v>
      </c>
      <c r="F1739" s="9" t="s">
        <v>29</v>
      </c>
      <c r="O1739" s="23" t="s">
        <v>157</v>
      </c>
    </row>
    <row r="1740" spans="1:15">
      <c r="E1740" s="4">
        <f t="shared" si="905"/>
        <v>1740</v>
      </c>
      <c r="F1740" s="9" t="s">
        <v>122</v>
      </c>
      <c r="O1740" s="23" t="s">
        <v>158</v>
      </c>
    </row>
    <row r="1741" spans="1:15">
      <c r="E1741" s="4">
        <f t="shared" si="905"/>
        <v>1741</v>
      </c>
      <c r="F1741" s="9" t="s">
        <v>117</v>
      </c>
      <c r="G1741" s="9" t="s">
        <v>253</v>
      </c>
      <c r="H1741" s="9" t="s">
        <v>254</v>
      </c>
      <c r="I1741" s="9" t="s">
        <v>255</v>
      </c>
      <c r="J1741" s="9" t="s">
        <v>256</v>
      </c>
      <c r="L1741" s="9" t="s">
        <v>138</v>
      </c>
      <c r="O1741" s="23">
        <f t="shared" ref="O1741" ca="1" si="925">IF(MOD(D1735,2)=0,RANDBETWEEN($I$19,$J$19),RANDBETWEEN($G$19,$H$19))</f>
        <v>-116</v>
      </c>
    </row>
    <row r="1742" spans="1:15">
      <c r="E1742" s="4">
        <f t="shared" si="905"/>
        <v>1742</v>
      </c>
      <c r="F1742" s="9" t="s">
        <v>30</v>
      </c>
      <c r="O1742" s="23" t="s">
        <v>33</v>
      </c>
    </row>
    <row r="1743" spans="1:15">
      <c r="E1743" s="4">
        <f t="shared" si="905"/>
        <v>1743</v>
      </c>
      <c r="F1743" s="9" t="s">
        <v>119</v>
      </c>
      <c r="G1743" s="9" t="s">
        <v>257</v>
      </c>
      <c r="H1743" s="9" t="s">
        <v>258</v>
      </c>
      <c r="I1743" s="9" t="s">
        <v>34</v>
      </c>
      <c r="O1743" s="23">
        <f t="shared" ref="O1743:O1806" ca="1" si="926">RANDBETWEEN($G$21*$I$21,$H$21*$I$21)/$I$21</f>
        <v>-9.4</v>
      </c>
    </row>
    <row r="1744" spans="1:15">
      <c r="E1744" s="4">
        <f t="shared" si="905"/>
        <v>1744</v>
      </c>
      <c r="F1744" s="9" t="s">
        <v>112</v>
      </c>
      <c r="O1744" s="23">
        <v>0</v>
      </c>
    </row>
    <row r="1745" spans="1:15">
      <c r="E1745" s="4">
        <f t="shared" si="905"/>
        <v>1745</v>
      </c>
      <c r="F1745" s="9" t="s">
        <v>102</v>
      </c>
      <c r="G1745" s="9" t="s">
        <v>259</v>
      </c>
      <c r="H1745" s="9" t="s">
        <v>260</v>
      </c>
      <c r="I1745" s="9" t="s">
        <v>34</v>
      </c>
      <c r="J1745" s="9" t="s">
        <v>261</v>
      </c>
      <c r="K1745" s="9" t="s">
        <v>140</v>
      </c>
      <c r="O1745" s="23" t="str">
        <f t="shared" ref="O1745:O1808" ca="1" si="927">CONCATENATE(RANDBETWEEN($G$23*$I$23,$H$23*$I$23)/$I$23,$J$23)</f>
        <v>3.5,6</v>
      </c>
    </row>
    <row r="1746" spans="1:15">
      <c r="E1746" s="4">
        <f t="shared" si="905"/>
        <v>1746</v>
      </c>
      <c r="F1746" s="9" t="s">
        <v>31</v>
      </c>
      <c r="L1746" s="9" t="s">
        <v>148</v>
      </c>
    </row>
    <row r="1747" spans="1:15">
      <c r="E1747" s="4">
        <f t="shared" si="905"/>
        <v>1747</v>
      </c>
      <c r="F1747" s="9" t="s">
        <v>136</v>
      </c>
      <c r="L1747" s="9" t="s">
        <v>149</v>
      </c>
    </row>
    <row r="1748" spans="1:15">
      <c r="E1748" s="4">
        <f t="shared" si="905"/>
        <v>1748</v>
      </c>
      <c r="F1748" s="9" t="s">
        <v>137</v>
      </c>
      <c r="K1748" s="9" t="s">
        <v>141</v>
      </c>
      <c r="O1748" s="23">
        <v>1</v>
      </c>
    </row>
    <row r="1749" spans="1:15">
      <c r="E1749" s="4">
        <f t="shared" si="905"/>
        <v>1749</v>
      </c>
      <c r="F1749" s="9" t="s">
        <v>137</v>
      </c>
      <c r="G1749" s="9" t="s">
        <v>262</v>
      </c>
      <c r="H1749" s="9" t="s">
        <v>32</v>
      </c>
      <c r="I1749" s="9" t="s">
        <v>34</v>
      </c>
      <c r="J1749" s="9" t="s">
        <v>263</v>
      </c>
      <c r="K1749" s="9" t="s">
        <v>140</v>
      </c>
      <c r="O1749" s="23" t="str">
        <f t="shared" ref="O1749:O1812" ca="1" si="928">CONCATENATE(RANDBETWEEN($G$27*$I$27,$H$27*$I$27)/$I$27,$J$27)</f>
        <v>4.5,-4.5</v>
      </c>
    </row>
    <row r="1750" spans="1:15">
      <c r="E1750" s="4">
        <f t="shared" si="905"/>
        <v>1750</v>
      </c>
      <c r="F1750" s="9" t="s">
        <v>105</v>
      </c>
      <c r="O1750" s="23">
        <f t="shared" ref="O1750" si="929">O1736*10+1</f>
        <v>100831</v>
      </c>
    </row>
    <row r="1751" spans="1:15">
      <c r="E1751" s="4">
        <f t="shared" si="905"/>
        <v>1751</v>
      </c>
      <c r="F1751" s="9" t="s">
        <v>156</v>
      </c>
      <c r="O1751" s="23">
        <f t="shared" ref="O1751" si="930">O1736</f>
        <v>10083</v>
      </c>
    </row>
    <row r="1752" spans="1:15">
      <c r="A1752" s="9"/>
      <c r="B1752" s="9"/>
      <c r="C1752" s="9"/>
      <c r="D1752" s="9"/>
      <c r="E1752" s="4">
        <f t="shared" si="905"/>
        <v>1752</v>
      </c>
      <c r="F1752" s="9" t="s">
        <v>131</v>
      </c>
      <c r="O1752" s="23">
        <v>0</v>
      </c>
    </row>
    <row r="1753" spans="1:15">
      <c r="E1753" s="4">
        <f t="shared" si="905"/>
        <v>1753</v>
      </c>
      <c r="F1753" s="9" t="s">
        <v>35</v>
      </c>
      <c r="O1753" s="23" t="s">
        <v>252</v>
      </c>
    </row>
    <row r="1754" spans="1:15">
      <c r="E1754" s="4">
        <f t="shared" si="905"/>
        <v>1754</v>
      </c>
      <c r="F1754" s="9" t="s">
        <v>119</v>
      </c>
      <c r="O1754" s="23" t="s">
        <v>22</v>
      </c>
    </row>
    <row r="1755" spans="1:15">
      <c r="E1755" s="4">
        <f t="shared" si="905"/>
        <v>1755</v>
      </c>
      <c r="F1755" s="9" t="s">
        <v>117</v>
      </c>
      <c r="L1755" s="9" t="s">
        <v>138</v>
      </c>
      <c r="O1755" s="23">
        <f t="shared" ref="O1755" ca="1" si="931">O1741</f>
        <v>-116</v>
      </c>
    </row>
    <row r="1756" spans="1:15">
      <c r="B1756" s="22">
        <f t="shared" ref="B1756:B1819" si="932">QUOTIENT( D1756-1,G1757)+1</f>
        <v>28</v>
      </c>
      <c r="C1756" s="22">
        <f t="shared" ref="C1756" si="933">D1756-(B1756-1)*G1757</f>
        <v>3</v>
      </c>
      <c r="D1756" s="22">
        <f>COUNT($D$12:$D1755)+1</f>
        <v>84</v>
      </c>
      <c r="E1756" s="4"/>
    </row>
    <row r="1757" spans="1:15">
      <c r="E1757" s="4">
        <f t="shared" si="905"/>
        <v>1757</v>
      </c>
      <c r="F1757" s="9" t="s">
        <v>96</v>
      </c>
      <c r="G1757" s="9" t="s">
        <v>38</v>
      </c>
      <c r="H1757" s="9" t="s">
        <v>282</v>
      </c>
      <c r="J1757" s="9" t="s">
        <v>247</v>
      </c>
      <c r="O1757" s="23">
        <f t="shared" ref="O1757:O1820" si="934">J1757+D1756</f>
        <v>10084</v>
      </c>
    </row>
    <row r="1758" spans="1:15">
      <c r="E1758" s="4">
        <f t="shared" si="905"/>
        <v>1758</v>
      </c>
      <c r="F1758" s="9" t="s">
        <v>165</v>
      </c>
      <c r="G1758" s="9" t="s">
        <v>280</v>
      </c>
      <c r="H1758" s="9" t="s">
        <v>249</v>
      </c>
      <c r="O1758" s="23">
        <f t="shared" ref="O1758" si="935">G1758+B1756*H1758</f>
        <v>920</v>
      </c>
    </row>
    <row r="1759" spans="1:15">
      <c r="E1759" s="4">
        <f t="shared" si="905"/>
        <v>1759</v>
      </c>
      <c r="F1759" s="9" t="s">
        <v>35</v>
      </c>
      <c r="O1759" s="23" t="s">
        <v>251</v>
      </c>
    </row>
    <row r="1760" spans="1:15">
      <c r="E1760" s="4">
        <f t="shared" si="905"/>
        <v>1760</v>
      </c>
      <c r="F1760" s="9" t="s">
        <v>29</v>
      </c>
      <c r="O1760" s="23" t="s">
        <v>157</v>
      </c>
    </row>
    <row r="1761" spans="1:15">
      <c r="E1761" s="4">
        <f t="shared" si="905"/>
        <v>1761</v>
      </c>
      <c r="F1761" s="9" t="s">
        <v>122</v>
      </c>
      <c r="O1761" s="23" t="s">
        <v>158</v>
      </c>
    </row>
    <row r="1762" spans="1:15">
      <c r="E1762" s="4">
        <f t="shared" si="905"/>
        <v>1762</v>
      </c>
      <c r="F1762" s="9" t="s">
        <v>117</v>
      </c>
      <c r="G1762" s="9" t="s">
        <v>253</v>
      </c>
      <c r="H1762" s="9" t="s">
        <v>254</v>
      </c>
      <c r="I1762" s="9" t="s">
        <v>255</v>
      </c>
      <c r="J1762" s="9" t="s">
        <v>256</v>
      </c>
      <c r="L1762" s="9" t="s">
        <v>138</v>
      </c>
      <c r="O1762" s="23">
        <f t="shared" ref="O1762" ca="1" si="936">IF(MOD(D1756,2)=0,RANDBETWEEN($I$19,$J$19),RANDBETWEEN($G$19,$H$19))</f>
        <v>112</v>
      </c>
    </row>
    <row r="1763" spans="1:15">
      <c r="E1763" s="4">
        <f t="shared" si="905"/>
        <v>1763</v>
      </c>
      <c r="F1763" s="9" t="s">
        <v>30</v>
      </c>
      <c r="O1763" s="23" t="s">
        <v>33</v>
      </c>
    </row>
    <row r="1764" spans="1:15">
      <c r="E1764" s="4">
        <f t="shared" si="905"/>
        <v>1764</v>
      </c>
      <c r="F1764" s="9" t="s">
        <v>119</v>
      </c>
      <c r="G1764" s="9" t="s">
        <v>257</v>
      </c>
      <c r="H1764" s="9" t="s">
        <v>258</v>
      </c>
      <c r="I1764" s="9" t="s">
        <v>34</v>
      </c>
      <c r="O1764" s="23">
        <f t="shared" ref="O1764:O1827" ca="1" si="937">RANDBETWEEN($G$21*$I$21,$H$21*$I$21)/$I$21</f>
        <v>-9</v>
      </c>
    </row>
    <row r="1765" spans="1:15">
      <c r="E1765" s="4">
        <f t="shared" si="905"/>
        <v>1765</v>
      </c>
      <c r="F1765" s="9" t="s">
        <v>112</v>
      </c>
      <c r="O1765" s="23">
        <v>0</v>
      </c>
    </row>
    <row r="1766" spans="1:15">
      <c r="E1766" s="4">
        <f t="shared" si="905"/>
        <v>1766</v>
      </c>
      <c r="F1766" s="9" t="s">
        <v>102</v>
      </c>
      <c r="G1766" s="9" t="s">
        <v>259</v>
      </c>
      <c r="H1766" s="9" t="s">
        <v>260</v>
      </c>
      <c r="I1766" s="9" t="s">
        <v>34</v>
      </c>
      <c r="J1766" s="9" t="s">
        <v>261</v>
      </c>
      <c r="K1766" s="9" t="s">
        <v>140</v>
      </c>
      <c r="O1766" s="23" t="str">
        <f t="shared" ref="O1766:O1829" ca="1" si="938">CONCATENATE(RANDBETWEEN($G$23*$I$23,$H$23*$I$23)/$I$23,$J$23)</f>
        <v>3.4,6</v>
      </c>
    </row>
    <row r="1767" spans="1:15">
      <c r="E1767" s="4">
        <f t="shared" si="905"/>
        <v>1767</v>
      </c>
      <c r="F1767" s="9" t="s">
        <v>31</v>
      </c>
      <c r="L1767" s="9" t="s">
        <v>148</v>
      </c>
    </row>
    <row r="1768" spans="1:15">
      <c r="E1768" s="4">
        <f t="shared" si="905"/>
        <v>1768</v>
      </c>
      <c r="F1768" s="9" t="s">
        <v>136</v>
      </c>
      <c r="L1768" s="9" t="s">
        <v>149</v>
      </c>
    </row>
    <row r="1769" spans="1:15">
      <c r="E1769" s="4">
        <f t="shared" si="905"/>
        <v>1769</v>
      </c>
      <c r="F1769" s="9" t="s">
        <v>137</v>
      </c>
      <c r="K1769" s="9" t="s">
        <v>141</v>
      </c>
      <c r="O1769" s="23">
        <v>1</v>
      </c>
    </row>
    <row r="1770" spans="1:15">
      <c r="E1770" s="4">
        <f t="shared" ref="E1770:E1833" si="939">ROW(E1770)</f>
        <v>1770</v>
      </c>
      <c r="F1770" s="9" t="s">
        <v>137</v>
      </c>
      <c r="G1770" s="9" t="s">
        <v>262</v>
      </c>
      <c r="H1770" s="9" t="s">
        <v>32</v>
      </c>
      <c r="I1770" s="9" t="s">
        <v>34</v>
      </c>
      <c r="J1770" s="9" t="s">
        <v>263</v>
      </c>
      <c r="K1770" s="9" t="s">
        <v>140</v>
      </c>
      <c r="O1770" s="23" t="str">
        <f t="shared" ref="O1770:O1833" ca="1" si="940">CONCATENATE(RANDBETWEEN($G$27*$I$27,$H$27*$I$27)/$I$27,$J$27)</f>
        <v>-0.2,-4.5</v>
      </c>
    </row>
    <row r="1771" spans="1:15">
      <c r="E1771" s="4">
        <f t="shared" si="939"/>
        <v>1771</v>
      </c>
      <c r="F1771" s="9" t="s">
        <v>105</v>
      </c>
      <c r="O1771" s="23">
        <f t="shared" ref="O1771" si="941">O1757*10+1</f>
        <v>100841</v>
      </c>
    </row>
    <row r="1772" spans="1:15">
      <c r="E1772" s="4">
        <f t="shared" si="939"/>
        <v>1772</v>
      </c>
      <c r="F1772" s="9" t="s">
        <v>156</v>
      </c>
      <c r="O1772" s="23">
        <f t="shared" ref="O1772" si="942">O1757</f>
        <v>10084</v>
      </c>
    </row>
    <row r="1773" spans="1:15">
      <c r="E1773" s="4">
        <f t="shared" si="939"/>
        <v>1773</v>
      </c>
      <c r="F1773" s="9" t="s">
        <v>131</v>
      </c>
      <c r="O1773" s="23">
        <v>0</v>
      </c>
    </row>
    <row r="1774" spans="1:15">
      <c r="A1774" s="9"/>
      <c r="B1774" s="9"/>
      <c r="C1774" s="9"/>
      <c r="D1774" s="9"/>
      <c r="E1774" s="4">
        <f t="shared" si="939"/>
        <v>1774</v>
      </c>
      <c r="F1774" s="9" t="s">
        <v>35</v>
      </c>
      <c r="O1774" s="23" t="s">
        <v>252</v>
      </c>
    </row>
    <row r="1775" spans="1:15">
      <c r="E1775" s="4">
        <f t="shared" si="939"/>
        <v>1775</v>
      </c>
      <c r="F1775" s="9" t="s">
        <v>119</v>
      </c>
      <c r="O1775" s="23" t="s">
        <v>22</v>
      </c>
    </row>
    <row r="1776" spans="1:15">
      <c r="E1776" s="4">
        <f t="shared" si="939"/>
        <v>1776</v>
      </c>
      <c r="F1776" s="9" t="s">
        <v>117</v>
      </c>
      <c r="L1776" s="9" t="s">
        <v>138</v>
      </c>
      <c r="O1776" s="23">
        <f t="shared" ref="O1776" ca="1" si="943">O1762</f>
        <v>112</v>
      </c>
    </row>
    <row r="1777" spans="2:15">
      <c r="B1777" s="22">
        <f t="shared" ref="B1777:B1840" si="944">QUOTIENT( D1777-1,G1778)+1</f>
        <v>29</v>
      </c>
      <c r="C1777" s="22">
        <f t="shared" ref="C1777" si="945">D1777-(B1777-1)*G1778</f>
        <v>1</v>
      </c>
      <c r="D1777" s="22">
        <f>COUNT($D$12:$D1776)+1</f>
        <v>85</v>
      </c>
      <c r="E1777" s="4"/>
    </row>
    <row r="1778" spans="2:15">
      <c r="E1778" s="4">
        <f t="shared" si="939"/>
        <v>1778</v>
      </c>
      <c r="F1778" s="9" t="s">
        <v>96</v>
      </c>
      <c r="G1778" s="9" t="s">
        <v>38</v>
      </c>
      <c r="H1778" s="9" t="s">
        <v>282</v>
      </c>
      <c r="J1778" s="9" t="s">
        <v>247</v>
      </c>
      <c r="O1778" s="23">
        <f t="shared" ref="O1778:O1841" si="946">J1778+D1777</f>
        <v>10085</v>
      </c>
    </row>
    <row r="1779" spans="2:15">
      <c r="E1779" s="4">
        <f t="shared" si="939"/>
        <v>1779</v>
      </c>
      <c r="F1779" s="9" t="s">
        <v>165</v>
      </c>
      <c r="G1779" s="9" t="s">
        <v>280</v>
      </c>
      <c r="H1779" s="9" t="s">
        <v>249</v>
      </c>
      <c r="O1779" s="23">
        <f t="shared" ref="O1779" si="947">G1779+B1777*H1779</f>
        <v>935</v>
      </c>
    </row>
    <row r="1780" spans="2:15">
      <c r="E1780" s="4">
        <f t="shared" si="939"/>
        <v>1780</v>
      </c>
      <c r="F1780" s="9" t="s">
        <v>35</v>
      </c>
      <c r="O1780" s="23" t="s">
        <v>251</v>
      </c>
    </row>
    <row r="1781" spans="2:15">
      <c r="E1781" s="4">
        <f t="shared" si="939"/>
        <v>1781</v>
      </c>
      <c r="F1781" s="9" t="s">
        <v>29</v>
      </c>
      <c r="O1781" s="23" t="s">
        <v>157</v>
      </c>
    </row>
    <row r="1782" spans="2:15">
      <c r="E1782" s="4">
        <f t="shared" si="939"/>
        <v>1782</v>
      </c>
      <c r="F1782" s="9" t="s">
        <v>122</v>
      </c>
      <c r="O1782" s="23" t="s">
        <v>158</v>
      </c>
    </row>
    <row r="1783" spans="2:15">
      <c r="E1783" s="4">
        <f t="shared" si="939"/>
        <v>1783</v>
      </c>
      <c r="F1783" s="9" t="s">
        <v>117</v>
      </c>
      <c r="G1783" s="9" t="s">
        <v>253</v>
      </c>
      <c r="H1783" s="9" t="s">
        <v>254</v>
      </c>
      <c r="I1783" s="9" t="s">
        <v>255</v>
      </c>
      <c r="J1783" s="9" t="s">
        <v>256</v>
      </c>
      <c r="L1783" s="9" t="s">
        <v>138</v>
      </c>
      <c r="O1783" s="23">
        <f t="shared" ref="O1783" ca="1" si="948">IF(MOD(D1777,2)=0,RANDBETWEEN($I$19,$J$19),RANDBETWEEN($G$19,$H$19))</f>
        <v>-96</v>
      </c>
    </row>
    <row r="1784" spans="2:15">
      <c r="E1784" s="4">
        <f t="shared" si="939"/>
        <v>1784</v>
      </c>
      <c r="F1784" s="9" t="s">
        <v>30</v>
      </c>
      <c r="O1784" s="23" t="s">
        <v>33</v>
      </c>
    </row>
    <row r="1785" spans="2:15">
      <c r="E1785" s="4">
        <f t="shared" si="939"/>
        <v>1785</v>
      </c>
      <c r="F1785" s="9" t="s">
        <v>119</v>
      </c>
      <c r="G1785" s="9" t="s">
        <v>257</v>
      </c>
      <c r="H1785" s="9" t="s">
        <v>258</v>
      </c>
      <c r="I1785" s="9" t="s">
        <v>34</v>
      </c>
      <c r="O1785" s="23">
        <f t="shared" ref="O1785:O1848" ca="1" si="949">RANDBETWEEN($G$21*$I$21,$H$21*$I$21)/$I$21</f>
        <v>-8.1</v>
      </c>
    </row>
    <row r="1786" spans="2:15">
      <c r="E1786" s="4">
        <f t="shared" si="939"/>
        <v>1786</v>
      </c>
      <c r="F1786" s="9" t="s">
        <v>112</v>
      </c>
      <c r="O1786" s="23">
        <v>0</v>
      </c>
    </row>
    <row r="1787" spans="2:15">
      <c r="E1787" s="4">
        <f t="shared" si="939"/>
        <v>1787</v>
      </c>
      <c r="F1787" s="9" t="s">
        <v>102</v>
      </c>
      <c r="G1787" s="9" t="s">
        <v>259</v>
      </c>
      <c r="H1787" s="9" t="s">
        <v>260</v>
      </c>
      <c r="I1787" s="9" t="s">
        <v>34</v>
      </c>
      <c r="J1787" s="9" t="s">
        <v>261</v>
      </c>
      <c r="K1787" s="9" t="s">
        <v>140</v>
      </c>
      <c r="O1787" s="23" t="str">
        <f t="shared" ref="O1787:O1850" ca="1" si="950">CONCATENATE(RANDBETWEEN($G$23*$I$23,$H$23*$I$23)/$I$23,$J$23)</f>
        <v>3.2,6</v>
      </c>
    </row>
    <row r="1788" spans="2:15">
      <c r="E1788" s="4">
        <f t="shared" si="939"/>
        <v>1788</v>
      </c>
      <c r="F1788" s="9" t="s">
        <v>31</v>
      </c>
      <c r="L1788" s="9" t="s">
        <v>148</v>
      </c>
    </row>
    <row r="1789" spans="2:15">
      <c r="E1789" s="4">
        <f t="shared" si="939"/>
        <v>1789</v>
      </c>
      <c r="F1789" s="9" t="s">
        <v>136</v>
      </c>
      <c r="L1789" s="9" t="s">
        <v>149</v>
      </c>
    </row>
    <row r="1790" spans="2:15">
      <c r="E1790" s="4">
        <f t="shared" si="939"/>
        <v>1790</v>
      </c>
      <c r="F1790" s="9" t="s">
        <v>137</v>
      </c>
      <c r="K1790" s="9" t="s">
        <v>141</v>
      </c>
      <c r="O1790" s="23">
        <v>1</v>
      </c>
    </row>
    <row r="1791" spans="2:15">
      <c r="E1791" s="4">
        <f t="shared" si="939"/>
        <v>1791</v>
      </c>
      <c r="F1791" s="9" t="s">
        <v>137</v>
      </c>
      <c r="G1791" s="9" t="s">
        <v>262</v>
      </c>
      <c r="H1791" s="9" t="s">
        <v>32</v>
      </c>
      <c r="I1791" s="9" t="s">
        <v>34</v>
      </c>
      <c r="J1791" s="9" t="s">
        <v>263</v>
      </c>
      <c r="K1791" s="9" t="s">
        <v>140</v>
      </c>
      <c r="O1791" s="23" t="str">
        <f t="shared" ref="O1791:O1854" ca="1" si="951">CONCATENATE(RANDBETWEEN($G$27*$I$27,$H$27*$I$27)/$I$27,$J$27)</f>
        <v>-2.4,-4.5</v>
      </c>
    </row>
    <row r="1792" spans="2:15">
      <c r="E1792" s="4">
        <f t="shared" si="939"/>
        <v>1792</v>
      </c>
      <c r="F1792" s="9" t="s">
        <v>105</v>
      </c>
      <c r="O1792" s="23">
        <f t="shared" ref="O1792" si="952">O1778*10+1</f>
        <v>100851</v>
      </c>
    </row>
    <row r="1793" spans="1:15">
      <c r="E1793" s="4">
        <f t="shared" si="939"/>
        <v>1793</v>
      </c>
      <c r="F1793" s="9" t="s">
        <v>156</v>
      </c>
      <c r="O1793" s="23">
        <f t="shared" ref="O1793" si="953">O1778</f>
        <v>10085</v>
      </c>
    </row>
    <row r="1794" spans="1:15">
      <c r="E1794" s="4">
        <f t="shared" si="939"/>
        <v>1794</v>
      </c>
      <c r="F1794" s="9" t="s">
        <v>131</v>
      </c>
      <c r="O1794" s="23">
        <v>0</v>
      </c>
    </row>
    <row r="1795" spans="1:15">
      <c r="E1795" s="4">
        <f t="shared" si="939"/>
        <v>1795</v>
      </c>
      <c r="F1795" s="9" t="s">
        <v>35</v>
      </c>
      <c r="O1795" s="23" t="s">
        <v>252</v>
      </c>
    </row>
    <row r="1796" spans="1:15">
      <c r="A1796" s="9"/>
      <c r="B1796" s="9"/>
      <c r="C1796" s="9"/>
      <c r="D1796" s="9"/>
      <c r="E1796" s="4">
        <f t="shared" si="939"/>
        <v>1796</v>
      </c>
      <c r="F1796" s="9" t="s">
        <v>119</v>
      </c>
      <c r="O1796" s="23" t="s">
        <v>22</v>
      </c>
    </row>
    <row r="1797" spans="1:15">
      <c r="E1797" s="4">
        <f t="shared" si="939"/>
        <v>1797</v>
      </c>
      <c r="F1797" s="9" t="s">
        <v>117</v>
      </c>
      <c r="L1797" s="9" t="s">
        <v>138</v>
      </c>
      <c r="O1797" s="23">
        <f t="shared" ref="O1797" ca="1" si="954">O1783</f>
        <v>-96</v>
      </c>
    </row>
    <row r="1798" spans="1:15">
      <c r="B1798" s="22">
        <f t="shared" ref="B1798:B1861" si="955">QUOTIENT( D1798-1,G1799)+1</f>
        <v>29</v>
      </c>
      <c r="C1798" s="22">
        <f t="shared" ref="C1798" si="956">D1798-(B1798-1)*G1799</f>
        <v>2</v>
      </c>
      <c r="D1798" s="22">
        <f>COUNT($D$12:$D1797)+1</f>
        <v>86</v>
      </c>
      <c r="E1798" s="4"/>
    </row>
    <row r="1799" spans="1:15">
      <c r="E1799" s="4">
        <f t="shared" si="939"/>
        <v>1799</v>
      </c>
      <c r="F1799" s="9" t="s">
        <v>96</v>
      </c>
      <c r="G1799" s="9" t="s">
        <v>38</v>
      </c>
      <c r="H1799" s="9" t="s">
        <v>282</v>
      </c>
      <c r="J1799" s="9" t="s">
        <v>247</v>
      </c>
      <c r="O1799" s="23">
        <f t="shared" ref="O1799:O1862" si="957">J1799+D1798</f>
        <v>10086</v>
      </c>
    </row>
    <row r="1800" spans="1:15">
      <c r="E1800" s="4">
        <f t="shared" si="939"/>
        <v>1800</v>
      </c>
      <c r="F1800" s="9" t="s">
        <v>165</v>
      </c>
      <c r="G1800" s="9" t="s">
        <v>280</v>
      </c>
      <c r="H1800" s="9" t="s">
        <v>249</v>
      </c>
      <c r="O1800" s="23">
        <f t="shared" ref="O1800" si="958">G1800+B1798*H1800</f>
        <v>935</v>
      </c>
    </row>
    <row r="1801" spans="1:15">
      <c r="E1801" s="4">
        <f t="shared" si="939"/>
        <v>1801</v>
      </c>
      <c r="F1801" s="9" t="s">
        <v>35</v>
      </c>
      <c r="O1801" s="23" t="s">
        <v>251</v>
      </c>
    </row>
    <row r="1802" spans="1:15">
      <c r="E1802" s="4">
        <f t="shared" si="939"/>
        <v>1802</v>
      </c>
      <c r="F1802" s="9" t="s">
        <v>29</v>
      </c>
      <c r="O1802" s="23" t="s">
        <v>157</v>
      </c>
    </row>
    <row r="1803" spans="1:15">
      <c r="E1803" s="4">
        <f t="shared" si="939"/>
        <v>1803</v>
      </c>
      <c r="F1803" s="9" t="s">
        <v>122</v>
      </c>
      <c r="O1803" s="23" t="s">
        <v>158</v>
      </c>
    </row>
    <row r="1804" spans="1:15">
      <c r="E1804" s="4">
        <f t="shared" si="939"/>
        <v>1804</v>
      </c>
      <c r="F1804" s="9" t="s">
        <v>117</v>
      </c>
      <c r="G1804" s="9" t="s">
        <v>253</v>
      </c>
      <c r="H1804" s="9" t="s">
        <v>254</v>
      </c>
      <c r="I1804" s="9" t="s">
        <v>255</v>
      </c>
      <c r="J1804" s="9" t="s">
        <v>256</v>
      </c>
      <c r="L1804" s="9" t="s">
        <v>138</v>
      </c>
      <c r="O1804" s="23">
        <f t="shared" ref="O1804" ca="1" si="959">IF(MOD(D1798,2)=0,RANDBETWEEN($I$19,$J$19),RANDBETWEEN($G$19,$H$19))</f>
        <v>116</v>
      </c>
    </row>
    <row r="1805" spans="1:15">
      <c r="E1805" s="4">
        <f t="shared" si="939"/>
        <v>1805</v>
      </c>
      <c r="F1805" s="9" t="s">
        <v>30</v>
      </c>
      <c r="O1805" s="23" t="s">
        <v>33</v>
      </c>
    </row>
    <row r="1806" spans="1:15">
      <c r="E1806" s="4">
        <f t="shared" si="939"/>
        <v>1806</v>
      </c>
      <c r="F1806" s="9" t="s">
        <v>119</v>
      </c>
      <c r="G1806" s="9" t="s">
        <v>257</v>
      </c>
      <c r="H1806" s="9" t="s">
        <v>258</v>
      </c>
      <c r="I1806" s="9" t="s">
        <v>34</v>
      </c>
      <c r="O1806" s="23">
        <f t="shared" ref="O1806:O1869" ca="1" si="960">RANDBETWEEN($G$21*$I$21,$H$21*$I$21)/$I$21</f>
        <v>-7.9</v>
      </c>
    </row>
    <row r="1807" spans="1:15">
      <c r="E1807" s="4">
        <f t="shared" si="939"/>
        <v>1807</v>
      </c>
      <c r="F1807" s="9" t="s">
        <v>112</v>
      </c>
      <c r="O1807" s="23">
        <v>0</v>
      </c>
    </row>
    <row r="1808" spans="1:15">
      <c r="E1808" s="4">
        <f t="shared" si="939"/>
        <v>1808</v>
      </c>
      <c r="F1808" s="9" t="s">
        <v>102</v>
      </c>
      <c r="G1808" s="9" t="s">
        <v>259</v>
      </c>
      <c r="H1808" s="9" t="s">
        <v>260</v>
      </c>
      <c r="I1808" s="9" t="s">
        <v>34</v>
      </c>
      <c r="J1808" s="9" t="s">
        <v>261</v>
      </c>
      <c r="K1808" s="9" t="s">
        <v>140</v>
      </c>
      <c r="O1808" s="23" t="str">
        <f t="shared" ref="O1808:O1871" ca="1" si="961">CONCATENATE(RANDBETWEEN($G$23*$I$23,$H$23*$I$23)/$I$23,$J$23)</f>
        <v>-2.8,6</v>
      </c>
    </row>
    <row r="1809" spans="1:15">
      <c r="E1809" s="4">
        <f t="shared" si="939"/>
        <v>1809</v>
      </c>
      <c r="F1809" s="9" t="s">
        <v>31</v>
      </c>
      <c r="L1809" s="9" t="s">
        <v>148</v>
      </c>
    </row>
    <row r="1810" spans="1:15">
      <c r="E1810" s="4">
        <f t="shared" si="939"/>
        <v>1810</v>
      </c>
      <c r="F1810" s="9" t="s">
        <v>136</v>
      </c>
      <c r="L1810" s="9" t="s">
        <v>149</v>
      </c>
    </row>
    <row r="1811" spans="1:15">
      <c r="E1811" s="4">
        <f t="shared" si="939"/>
        <v>1811</v>
      </c>
      <c r="F1811" s="9" t="s">
        <v>137</v>
      </c>
      <c r="K1811" s="9" t="s">
        <v>141</v>
      </c>
      <c r="O1811" s="23">
        <v>1</v>
      </c>
    </row>
    <row r="1812" spans="1:15">
      <c r="E1812" s="4">
        <f t="shared" si="939"/>
        <v>1812</v>
      </c>
      <c r="F1812" s="9" t="s">
        <v>137</v>
      </c>
      <c r="G1812" s="9" t="s">
        <v>262</v>
      </c>
      <c r="H1812" s="9" t="s">
        <v>32</v>
      </c>
      <c r="I1812" s="9" t="s">
        <v>34</v>
      </c>
      <c r="J1812" s="9" t="s">
        <v>263</v>
      </c>
      <c r="K1812" s="9" t="s">
        <v>140</v>
      </c>
      <c r="O1812" s="23" t="str">
        <f t="shared" ref="O1812:O1875" ca="1" si="962">CONCATENATE(RANDBETWEEN($G$27*$I$27,$H$27*$I$27)/$I$27,$J$27)</f>
        <v>-5,-4.5</v>
      </c>
    </row>
    <row r="1813" spans="1:15">
      <c r="E1813" s="4">
        <f t="shared" si="939"/>
        <v>1813</v>
      </c>
      <c r="F1813" s="9" t="s">
        <v>105</v>
      </c>
      <c r="O1813" s="23">
        <f t="shared" ref="O1813" si="963">O1799*10+1</f>
        <v>100861</v>
      </c>
    </row>
    <row r="1814" spans="1:15">
      <c r="E1814" s="4">
        <f t="shared" si="939"/>
        <v>1814</v>
      </c>
      <c r="F1814" s="9" t="s">
        <v>156</v>
      </c>
      <c r="O1814" s="23">
        <f t="shared" ref="O1814" si="964">O1799</f>
        <v>10086</v>
      </c>
    </row>
    <row r="1815" spans="1:15">
      <c r="E1815" s="4">
        <f t="shared" si="939"/>
        <v>1815</v>
      </c>
      <c r="F1815" s="9" t="s">
        <v>131</v>
      </c>
      <c r="O1815" s="23">
        <v>0</v>
      </c>
    </row>
    <row r="1816" spans="1:15">
      <c r="E1816" s="4">
        <f t="shared" si="939"/>
        <v>1816</v>
      </c>
      <c r="F1816" s="9" t="s">
        <v>35</v>
      </c>
      <c r="O1816" s="23" t="s">
        <v>252</v>
      </c>
    </row>
    <row r="1817" spans="1:15">
      <c r="E1817" s="4">
        <f t="shared" si="939"/>
        <v>1817</v>
      </c>
      <c r="F1817" s="9" t="s">
        <v>119</v>
      </c>
      <c r="O1817" s="23" t="s">
        <v>22</v>
      </c>
    </row>
    <row r="1818" spans="1:15">
      <c r="A1818" s="9"/>
      <c r="B1818" s="9"/>
      <c r="C1818" s="9"/>
      <c r="D1818" s="9"/>
      <c r="E1818" s="4">
        <f t="shared" si="939"/>
        <v>1818</v>
      </c>
      <c r="F1818" s="9" t="s">
        <v>117</v>
      </c>
      <c r="L1818" s="9" t="s">
        <v>138</v>
      </c>
      <c r="O1818" s="23">
        <f t="shared" ref="O1818" ca="1" si="965">O1804</f>
        <v>116</v>
      </c>
    </row>
    <row r="1819" spans="1:15">
      <c r="B1819" s="22">
        <f t="shared" ref="B1819:B1882" si="966">QUOTIENT( D1819-1,G1820)+1</f>
        <v>29</v>
      </c>
      <c r="C1819" s="22">
        <f t="shared" ref="C1819" si="967">D1819-(B1819-1)*G1820</f>
        <v>3</v>
      </c>
      <c r="D1819" s="22">
        <f>COUNT($D$12:$D1818)+1</f>
        <v>87</v>
      </c>
      <c r="E1819" s="4"/>
    </row>
    <row r="1820" spans="1:15">
      <c r="E1820" s="4">
        <f t="shared" si="939"/>
        <v>1820</v>
      </c>
      <c r="F1820" s="9" t="s">
        <v>96</v>
      </c>
      <c r="G1820" s="9" t="s">
        <v>38</v>
      </c>
      <c r="H1820" s="9" t="s">
        <v>282</v>
      </c>
      <c r="J1820" s="9" t="s">
        <v>247</v>
      </c>
      <c r="O1820" s="23">
        <f t="shared" ref="O1820:O1883" si="968">J1820+D1819</f>
        <v>10087</v>
      </c>
    </row>
    <row r="1821" spans="1:15">
      <c r="E1821" s="4">
        <f t="shared" si="939"/>
        <v>1821</v>
      </c>
      <c r="F1821" s="9" t="s">
        <v>165</v>
      </c>
      <c r="G1821" s="9" t="s">
        <v>280</v>
      </c>
      <c r="H1821" s="9" t="s">
        <v>249</v>
      </c>
      <c r="O1821" s="23">
        <f t="shared" ref="O1821" si="969">G1821+B1819*H1821</f>
        <v>935</v>
      </c>
    </row>
    <row r="1822" spans="1:15">
      <c r="E1822" s="4">
        <f t="shared" si="939"/>
        <v>1822</v>
      </c>
      <c r="F1822" s="9" t="s">
        <v>35</v>
      </c>
      <c r="O1822" s="23" t="s">
        <v>251</v>
      </c>
    </row>
    <row r="1823" spans="1:15">
      <c r="E1823" s="4">
        <f t="shared" si="939"/>
        <v>1823</v>
      </c>
      <c r="F1823" s="9" t="s">
        <v>29</v>
      </c>
      <c r="O1823" s="23" t="s">
        <v>157</v>
      </c>
    </row>
    <row r="1824" spans="1:15">
      <c r="E1824" s="4">
        <f t="shared" si="939"/>
        <v>1824</v>
      </c>
      <c r="F1824" s="9" t="s">
        <v>122</v>
      </c>
      <c r="O1824" s="23" t="s">
        <v>158</v>
      </c>
    </row>
    <row r="1825" spans="1:15">
      <c r="E1825" s="4">
        <f t="shared" si="939"/>
        <v>1825</v>
      </c>
      <c r="F1825" s="9" t="s">
        <v>117</v>
      </c>
      <c r="G1825" s="9" t="s">
        <v>253</v>
      </c>
      <c r="H1825" s="9" t="s">
        <v>254</v>
      </c>
      <c r="I1825" s="9" t="s">
        <v>255</v>
      </c>
      <c r="J1825" s="9" t="s">
        <v>256</v>
      </c>
      <c r="L1825" s="9" t="s">
        <v>138</v>
      </c>
      <c r="O1825" s="23">
        <f t="shared" ref="O1825" ca="1" si="970">IF(MOD(D1819,2)=0,RANDBETWEEN($I$19,$J$19),RANDBETWEEN($G$19,$H$19))</f>
        <v>-89</v>
      </c>
    </row>
    <row r="1826" spans="1:15">
      <c r="E1826" s="4">
        <f t="shared" si="939"/>
        <v>1826</v>
      </c>
      <c r="F1826" s="9" t="s">
        <v>30</v>
      </c>
      <c r="O1826" s="23" t="s">
        <v>33</v>
      </c>
    </row>
    <row r="1827" spans="1:15">
      <c r="E1827" s="4">
        <f t="shared" si="939"/>
        <v>1827</v>
      </c>
      <c r="F1827" s="9" t="s">
        <v>119</v>
      </c>
      <c r="G1827" s="9" t="s">
        <v>257</v>
      </c>
      <c r="H1827" s="9" t="s">
        <v>258</v>
      </c>
      <c r="I1827" s="9" t="s">
        <v>34</v>
      </c>
      <c r="O1827" s="23">
        <f t="shared" ref="O1827:O1890" ca="1" si="971">RANDBETWEEN($G$21*$I$21,$H$21*$I$21)/$I$21</f>
        <v>-6.5</v>
      </c>
    </row>
    <row r="1828" spans="1:15">
      <c r="E1828" s="4">
        <f t="shared" si="939"/>
        <v>1828</v>
      </c>
      <c r="F1828" s="9" t="s">
        <v>112</v>
      </c>
      <c r="O1828" s="23">
        <v>0</v>
      </c>
    </row>
    <row r="1829" spans="1:15">
      <c r="E1829" s="4">
        <f t="shared" si="939"/>
        <v>1829</v>
      </c>
      <c r="F1829" s="9" t="s">
        <v>102</v>
      </c>
      <c r="G1829" s="9" t="s">
        <v>259</v>
      </c>
      <c r="H1829" s="9" t="s">
        <v>260</v>
      </c>
      <c r="I1829" s="9" t="s">
        <v>34</v>
      </c>
      <c r="J1829" s="9" t="s">
        <v>261</v>
      </c>
      <c r="K1829" s="9" t="s">
        <v>140</v>
      </c>
      <c r="O1829" s="23" t="str">
        <f t="shared" ref="O1829:O1892" ca="1" si="972">CONCATENATE(RANDBETWEEN($G$23*$I$23,$H$23*$I$23)/$I$23,$J$23)</f>
        <v>-2.8,6</v>
      </c>
    </row>
    <row r="1830" spans="1:15">
      <c r="E1830" s="4">
        <f t="shared" si="939"/>
        <v>1830</v>
      </c>
      <c r="F1830" s="9" t="s">
        <v>31</v>
      </c>
      <c r="L1830" s="9" t="s">
        <v>148</v>
      </c>
    </row>
    <row r="1831" spans="1:15">
      <c r="E1831" s="4">
        <f t="shared" si="939"/>
        <v>1831</v>
      </c>
      <c r="F1831" s="9" t="s">
        <v>136</v>
      </c>
      <c r="L1831" s="9" t="s">
        <v>149</v>
      </c>
    </row>
    <row r="1832" spans="1:15">
      <c r="E1832" s="4">
        <f t="shared" si="939"/>
        <v>1832</v>
      </c>
      <c r="F1832" s="9" t="s">
        <v>137</v>
      </c>
      <c r="K1832" s="9" t="s">
        <v>141</v>
      </c>
      <c r="O1832" s="23">
        <v>1</v>
      </c>
    </row>
    <row r="1833" spans="1:15">
      <c r="E1833" s="4">
        <f t="shared" si="939"/>
        <v>1833</v>
      </c>
      <c r="F1833" s="9" t="s">
        <v>137</v>
      </c>
      <c r="G1833" s="9" t="s">
        <v>262</v>
      </c>
      <c r="H1833" s="9" t="s">
        <v>32</v>
      </c>
      <c r="I1833" s="9" t="s">
        <v>34</v>
      </c>
      <c r="J1833" s="9" t="s">
        <v>263</v>
      </c>
      <c r="K1833" s="9" t="s">
        <v>140</v>
      </c>
      <c r="O1833" s="23" t="str">
        <f t="shared" ref="O1833:O1896" ca="1" si="973">CONCATENATE(RANDBETWEEN($G$27*$I$27,$H$27*$I$27)/$I$27,$J$27)</f>
        <v>5.2,-4.5</v>
      </c>
    </row>
    <row r="1834" spans="1:15">
      <c r="E1834" s="4">
        <f t="shared" ref="E1834:E1897" si="974">ROW(E1834)</f>
        <v>1834</v>
      </c>
      <c r="F1834" s="9" t="s">
        <v>105</v>
      </c>
      <c r="O1834" s="23">
        <f t="shared" ref="O1834" si="975">O1820*10+1</f>
        <v>100871</v>
      </c>
    </row>
    <row r="1835" spans="1:15">
      <c r="E1835" s="4">
        <f t="shared" si="974"/>
        <v>1835</v>
      </c>
      <c r="F1835" s="9" t="s">
        <v>156</v>
      </c>
      <c r="O1835" s="23">
        <f t="shared" ref="O1835" si="976">O1820</f>
        <v>10087</v>
      </c>
    </row>
    <row r="1836" spans="1:15">
      <c r="E1836" s="4">
        <f t="shared" si="974"/>
        <v>1836</v>
      </c>
      <c r="F1836" s="9" t="s">
        <v>131</v>
      </c>
      <c r="O1836" s="23">
        <v>0</v>
      </c>
    </row>
    <row r="1837" spans="1:15">
      <c r="E1837" s="4">
        <f t="shared" si="974"/>
        <v>1837</v>
      </c>
      <c r="F1837" s="9" t="s">
        <v>35</v>
      </c>
      <c r="O1837" s="23" t="s">
        <v>252</v>
      </c>
    </row>
    <row r="1838" spans="1:15">
      <c r="E1838" s="4">
        <f t="shared" si="974"/>
        <v>1838</v>
      </c>
      <c r="F1838" s="9" t="s">
        <v>119</v>
      </c>
      <c r="O1838" s="23" t="s">
        <v>22</v>
      </c>
    </row>
    <row r="1839" spans="1:15">
      <c r="E1839" s="4">
        <f t="shared" si="974"/>
        <v>1839</v>
      </c>
      <c r="F1839" s="9" t="s">
        <v>117</v>
      </c>
      <c r="L1839" s="9" t="s">
        <v>138</v>
      </c>
      <c r="O1839" s="23">
        <f t="shared" ref="O1839" ca="1" si="977">O1825</f>
        <v>-89</v>
      </c>
    </row>
    <row r="1840" spans="1:15">
      <c r="A1840" s="9"/>
      <c r="B1840" s="9">
        <f t="shared" ref="B1840:B1903" si="978">QUOTIENT( D1840-1,G1841)+1</f>
        <v>30</v>
      </c>
      <c r="C1840" s="9">
        <f t="shared" ref="C1840" si="979">D1840-(B1840-1)*G1841</f>
        <v>1</v>
      </c>
      <c r="D1840" s="9">
        <f>COUNT($D$12:$D1839)+1</f>
        <v>88</v>
      </c>
      <c r="E1840" s="4"/>
    </row>
    <row r="1841" spans="5:15">
      <c r="E1841" s="4">
        <f t="shared" ref="E1841:E1904" si="980">ROW(E1841)</f>
        <v>1841</v>
      </c>
      <c r="F1841" s="9" t="s">
        <v>96</v>
      </c>
      <c r="G1841" s="9" t="s">
        <v>38</v>
      </c>
      <c r="H1841" s="9" t="s">
        <v>282</v>
      </c>
      <c r="J1841" s="9" t="s">
        <v>247</v>
      </c>
      <c r="O1841" s="23">
        <f t="shared" ref="O1841:O1904" si="981">J1841+D1840</f>
        <v>10088</v>
      </c>
    </row>
    <row r="1842" spans="5:15">
      <c r="E1842" s="4">
        <f t="shared" si="980"/>
        <v>1842</v>
      </c>
      <c r="F1842" s="9" t="s">
        <v>165</v>
      </c>
      <c r="G1842" s="9" t="s">
        <v>280</v>
      </c>
      <c r="H1842" s="9" t="s">
        <v>249</v>
      </c>
      <c r="O1842" s="23">
        <f t="shared" ref="O1842" si="982">G1842+B1840*H1842</f>
        <v>950</v>
      </c>
    </row>
    <row r="1843" spans="5:15">
      <c r="E1843" s="4">
        <f t="shared" si="980"/>
        <v>1843</v>
      </c>
      <c r="F1843" s="9" t="s">
        <v>35</v>
      </c>
      <c r="O1843" s="23" t="s">
        <v>251</v>
      </c>
    </row>
    <row r="1844" spans="5:15">
      <c r="E1844" s="4">
        <f t="shared" si="980"/>
        <v>1844</v>
      </c>
      <c r="F1844" s="9" t="s">
        <v>29</v>
      </c>
      <c r="O1844" s="23" t="s">
        <v>157</v>
      </c>
    </row>
    <row r="1845" spans="5:15">
      <c r="E1845" s="4">
        <f t="shared" si="980"/>
        <v>1845</v>
      </c>
      <c r="F1845" s="9" t="s">
        <v>122</v>
      </c>
      <c r="O1845" s="23" t="s">
        <v>158</v>
      </c>
    </row>
    <row r="1846" spans="5:15">
      <c r="E1846" s="4">
        <f t="shared" si="980"/>
        <v>1846</v>
      </c>
      <c r="F1846" s="9" t="s">
        <v>117</v>
      </c>
      <c r="G1846" s="9" t="s">
        <v>253</v>
      </c>
      <c r="H1846" s="9" t="s">
        <v>254</v>
      </c>
      <c r="I1846" s="9" t="s">
        <v>255</v>
      </c>
      <c r="J1846" s="9" t="s">
        <v>256</v>
      </c>
      <c r="L1846" s="9" t="s">
        <v>138</v>
      </c>
      <c r="O1846" s="23">
        <f t="shared" ref="O1846" ca="1" si="983">IF(MOD(D1840,2)=0,RANDBETWEEN($I$19,$J$19),RANDBETWEEN($G$19,$H$19))</f>
        <v>95</v>
      </c>
    </row>
    <row r="1847" spans="5:15">
      <c r="E1847" s="4">
        <f t="shared" si="980"/>
        <v>1847</v>
      </c>
      <c r="F1847" s="9" t="s">
        <v>30</v>
      </c>
      <c r="O1847" s="23" t="s">
        <v>33</v>
      </c>
    </row>
    <row r="1848" spans="5:15">
      <c r="E1848" s="4">
        <f t="shared" si="980"/>
        <v>1848</v>
      </c>
      <c r="F1848" s="9" t="s">
        <v>119</v>
      </c>
      <c r="G1848" s="9" t="s">
        <v>257</v>
      </c>
      <c r="H1848" s="9" t="s">
        <v>258</v>
      </c>
      <c r="I1848" s="9" t="s">
        <v>34</v>
      </c>
      <c r="O1848" s="23">
        <f t="shared" ref="O1848:O1911" ca="1" si="984">RANDBETWEEN($G$21*$I$21,$H$21*$I$21)/$I$21</f>
        <v>-8.8000000000000007</v>
      </c>
    </row>
    <row r="1849" spans="5:15">
      <c r="E1849" s="4">
        <f t="shared" si="980"/>
        <v>1849</v>
      </c>
      <c r="F1849" s="9" t="s">
        <v>112</v>
      </c>
      <c r="O1849" s="23">
        <v>0</v>
      </c>
    </row>
    <row r="1850" spans="5:15">
      <c r="E1850" s="4">
        <f t="shared" si="980"/>
        <v>1850</v>
      </c>
      <c r="F1850" s="9" t="s">
        <v>102</v>
      </c>
      <c r="G1850" s="9" t="s">
        <v>259</v>
      </c>
      <c r="H1850" s="9" t="s">
        <v>260</v>
      </c>
      <c r="I1850" s="9" t="s">
        <v>34</v>
      </c>
      <c r="J1850" s="9" t="s">
        <v>261</v>
      </c>
      <c r="K1850" s="9" t="s">
        <v>140</v>
      </c>
      <c r="O1850" s="23" t="str">
        <f t="shared" ref="O1850:O1913" ca="1" si="985">CONCATENATE(RANDBETWEEN($G$23*$I$23,$H$23*$I$23)/$I$23,$J$23)</f>
        <v>-0.5,6</v>
      </c>
    </row>
    <row r="1851" spans="5:15">
      <c r="E1851" s="4">
        <f t="shared" si="980"/>
        <v>1851</v>
      </c>
      <c r="F1851" s="9" t="s">
        <v>31</v>
      </c>
      <c r="L1851" s="9" t="s">
        <v>148</v>
      </c>
    </row>
    <row r="1852" spans="5:15">
      <c r="E1852" s="4">
        <f t="shared" si="980"/>
        <v>1852</v>
      </c>
      <c r="F1852" s="9" t="s">
        <v>136</v>
      </c>
      <c r="L1852" s="9" t="s">
        <v>149</v>
      </c>
    </row>
    <row r="1853" spans="5:15">
      <c r="E1853" s="4">
        <f t="shared" si="980"/>
        <v>1853</v>
      </c>
      <c r="F1853" s="9" t="s">
        <v>137</v>
      </c>
      <c r="K1853" s="9" t="s">
        <v>141</v>
      </c>
      <c r="O1853" s="23">
        <v>1</v>
      </c>
    </row>
    <row r="1854" spans="5:15">
      <c r="E1854" s="4">
        <f t="shared" si="980"/>
        <v>1854</v>
      </c>
      <c r="F1854" s="9" t="s">
        <v>137</v>
      </c>
      <c r="G1854" s="9" t="s">
        <v>262</v>
      </c>
      <c r="H1854" s="9" t="s">
        <v>32</v>
      </c>
      <c r="I1854" s="9" t="s">
        <v>34</v>
      </c>
      <c r="J1854" s="9" t="s">
        <v>263</v>
      </c>
      <c r="K1854" s="9" t="s">
        <v>140</v>
      </c>
      <c r="O1854" s="23" t="str">
        <f t="shared" ref="O1854:O1917" ca="1" si="986">CONCATENATE(RANDBETWEEN($G$27*$I$27,$H$27*$I$27)/$I$27,$J$27)</f>
        <v>1.2,-4.5</v>
      </c>
    </row>
    <row r="1855" spans="5:15">
      <c r="E1855" s="4">
        <f t="shared" si="980"/>
        <v>1855</v>
      </c>
      <c r="F1855" s="9" t="s">
        <v>105</v>
      </c>
      <c r="O1855" s="23">
        <f t="shared" ref="O1855" si="987">O1841*10+1</f>
        <v>100881</v>
      </c>
    </row>
    <row r="1856" spans="5:15">
      <c r="E1856" s="4">
        <f t="shared" si="980"/>
        <v>1856</v>
      </c>
      <c r="F1856" s="9" t="s">
        <v>156</v>
      </c>
      <c r="O1856" s="23">
        <f t="shared" ref="O1856" si="988">O1841</f>
        <v>10088</v>
      </c>
    </row>
    <row r="1857" spans="1:15">
      <c r="E1857" s="4">
        <f t="shared" si="980"/>
        <v>1857</v>
      </c>
      <c r="F1857" s="9" t="s">
        <v>131</v>
      </c>
      <c r="O1857" s="23">
        <v>0</v>
      </c>
    </row>
    <row r="1858" spans="1:15">
      <c r="E1858" s="4">
        <f t="shared" si="974"/>
        <v>1858</v>
      </c>
      <c r="F1858" s="9" t="s">
        <v>35</v>
      </c>
      <c r="O1858" s="23" t="s">
        <v>252</v>
      </c>
    </row>
    <row r="1859" spans="1:15">
      <c r="E1859" s="4">
        <f t="shared" si="974"/>
        <v>1859</v>
      </c>
      <c r="F1859" s="9" t="s">
        <v>119</v>
      </c>
      <c r="O1859" s="23" t="s">
        <v>22</v>
      </c>
    </row>
    <row r="1860" spans="1:15">
      <c r="E1860" s="4">
        <f t="shared" si="974"/>
        <v>1860</v>
      </c>
      <c r="F1860" s="9" t="s">
        <v>117</v>
      </c>
      <c r="L1860" s="9" t="s">
        <v>138</v>
      </c>
      <c r="O1860" s="23">
        <f t="shared" ref="O1860" ca="1" si="989">O1846</f>
        <v>95</v>
      </c>
    </row>
    <row r="1861" spans="1:15">
      <c r="B1861" s="22">
        <f t="shared" ref="B1861:B1924" si="990">QUOTIENT( D1861-1,G1862)+1</f>
        <v>30</v>
      </c>
      <c r="C1861" s="22">
        <f t="shared" ref="C1861" si="991">D1861-(B1861-1)*G1862</f>
        <v>2</v>
      </c>
      <c r="D1861" s="22">
        <f>COUNT($D$12:$D1860)+1</f>
        <v>89</v>
      </c>
      <c r="E1861" s="4"/>
    </row>
    <row r="1862" spans="1:15">
      <c r="A1862" s="9"/>
      <c r="B1862" s="9"/>
      <c r="C1862" s="9"/>
      <c r="D1862" s="9"/>
      <c r="E1862" s="4">
        <f t="shared" si="980"/>
        <v>1862</v>
      </c>
      <c r="F1862" s="9" t="s">
        <v>96</v>
      </c>
      <c r="G1862" s="9" t="s">
        <v>38</v>
      </c>
      <c r="H1862" s="9" t="s">
        <v>282</v>
      </c>
      <c r="J1862" s="9" t="s">
        <v>247</v>
      </c>
      <c r="O1862" s="23">
        <f t="shared" ref="O1862:O1925" si="992">J1862+D1861</f>
        <v>10089</v>
      </c>
    </row>
    <row r="1863" spans="1:15">
      <c r="E1863" s="4">
        <f t="shared" si="980"/>
        <v>1863</v>
      </c>
      <c r="F1863" s="9" t="s">
        <v>165</v>
      </c>
      <c r="G1863" s="9" t="s">
        <v>280</v>
      </c>
      <c r="H1863" s="9" t="s">
        <v>249</v>
      </c>
      <c r="O1863" s="23">
        <f t="shared" ref="O1863" si="993">G1863+B1861*H1863</f>
        <v>950</v>
      </c>
    </row>
    <row r="1864" spans="1:15">
      <c r="E1864" s="4">
        <f t="shared" si="980"/>
        <v>1864</v>
      </c>
      <c r="F1864" s="9" t="s">
        <v>35</v>
      </c>
      <c r="O1864" s="23" t="s">
        <v>251</v>
      </c>
    </row>
    <row r="1865" spans="1:15">
      <c r="E1865" s="4">
        <f t="shared" si="980"/>
        <v>1865</v>
      </c>
      <c r="F1865" s="9" t="s">
        <v>29</v>
      </c>
      <c r="O1865" s="23" t="s">
        <v>157</v>
      </c>
    </row>
    <row r="1866" spans="1:15">
      <c r="E1866" s="4">
        <f t="shared" si="980"/>
        <v>1866</v>
      </c>
      <c r="F1866" s="9" t="s">
        <v>122</v>
      </c>
      <c r="O1866" s="23" t="s">
        <v>158</v>
      </c>
    </row>
    <row r="1867" spans="1:15">
      <c r="E1867" s="4">
        <f t="shared" si="980"/>
        <v>1867</v>
      </c>
      <c r="F1867" s="9" t="s">
        <v>117</v>
      </c>
      <c r="G1867" s="9" t="s">
        <v>253</v>
      </c>
      <c r="H1867" s="9" t="s">
        <v>254</v>
      </c>
      <c r="I1867" s="9" t="s">
        <v>255</v>
      </c>
      <c r="J1867" s="9" t="s">
        <v>256</v>
      </c>
      <c r="L1867" s="9" t="s">
        <v>138</v>
      </c>
      <c r="O1867" s="23">
        <f t="shared" ref="O1867" ca="1" si="994">IF(MOD(D1861,2)=0,RANDBETWEEN($I$19,$J$19),RANDBETWEEN($G$19,$H$19))</f>
        <v>-90</v>
      </c>
    </row>
    <row r="1868" spans="1:15">
      <c r="E1868" s="4">
        <f t="shared" si="980"/>
        <v>1868</v>
      </c>
      <c r="F1868" s="9" t="s">
        <v>30</v>
      </c>
      <c r="O1868" s="23" t="s">
        <v>33</v>
      </c>
    </row>
    <row r="1869" spans="1:15">
      <c r="E1869" s="4">
        <f t="shared" si="980"/>
        <v>1869</v>
      </c>
      <c r="F1869" s="9" t="s">
        <v>119</v>
      </c>
      <c r="G1869" s="9" t="s">
        <v>257</v>
      </c>
      <c r="H1869" s="9" t="s">
        <v>258</v>
      </c>
      <c r="I1869" s="9" t="s">
        <v>34</v>
      </c>
      <c r="O1869" s="23">
        <f t="shared" ref="O1869:O1932" ca="1" si="995">RANDBETWEEN($G$21*$I$21,$H$21*$I$21)/$I$21</f>
        <v>-5</v>
      </c>
    </row>
    <row r="1870" spans="1:15">
      <c r="E1870" s="4">
        <f t="shared" si="980"/>
        <v>1870</v>
      </c>
      <c r="F1870" s="9" t="s">
        <v>112</v>
      </c>
      <c r="O1870" s="23">
        <v>0</v>
      </c>
    </row>
    <row r="1871" spans="1:15">
      <c r="E1871" s="4">
        <f t="shared" si="980"/>
        <v>1871</v>
      </c>
      <c r="F1871" s="9" t="s">
        <v>102</v>
      </c>
      <c r="G1871" s="9" t="s">
        <v>259</v>
      </c>
      <c r="H1871" s="9" t="s">
        <v>260</v>
      </c>
      <c r="I1871" s="9" t="s">
        <v>34</v>
      </c>
      <c r="J1871" s="9" t="s">
        <v>261</v>
      </c>
      <c r="K1871" s="9" t="s">
        <v>140</v>
      </c>
      <c r="O1871" s="23" t="str">
        <f t="shared" ref="O1871:O1934" ca="1" si="996">CONCATENATE(RANDBETWEEN($G$23*$I$23,$H$23*$I$23)/$I$23,$J$23)</f>
        <v>3.1,6</v>
      </c>
    </row>
    <row r="1872" spans="1:15">
      <c r="E1872" s="4">
        <f t="shared" si="980"/>
        <v>1872</v>
      </c>
      <c r="F1872" s="9" t="s">
        <v>31</v>
      </c>
      <c r="L1872" s="9" t="s">
        <v>148</v>
      </c>
    </row>
    <row r="1873" spans="1:15">
      <c r="E1873" s="4">
        <f t="shared" si="980"/>
        <v>1873</v>
      </c>
      <c r="F1873" s="9" t="s">
        <v>136</v>
      </c>
      <c r="L1873" s="9" t="s">
        <v>149</v>
      </c>
    </row>
    <row r="1874" spans="1:15">
      <c r="E1874" s="4">
        <f t="shared" si="980"/>
        <v>1874</v>
      </c>
      <c r="F1874" s="9" t="s">
        <v>137</v>
      </c>
      <c r="K1874" s="9" t="s">
        <v>141</v>
      </c>
      <c r="O1874" s="23">
        <v>1</v>
      </c>
    </row>
    <row r="1875" spans="1:15">
      <c r="E1875" s="4">
        <f t="shared" si="980"/>
        <v>1875</v>
      </c>
      <c r="F1875" s="9" t="s">
        <v>137</v>
      </c>
      <c r="G1875" s="9" t="s">
        <v>262</v>
      </c>
      <c r="H1875" s="9" t="s">
        <v>32</v>
      </c>
      <c r="I1875" s="9" t="s">
        <v>34</v>
      </c>
      <c r="J1875" s="9" t="s">
        <v>263</v>
      </c>
      <c r="K1875" s="9" t="s">
        <v>140</v>
      </c>
      <c r="O1875" s="23" t="str">
        <f t="shared" ref="O1875:O1938" ca="1" si="997">CONCATENATE(RANDBETWEEN($G$27*$I$27,$H$27*$I$27)/$I$27,$J$27)</f>
        <v>0.1,-4.5</v>
      </c>
    </row>
    <row r="1876" spans="1:15">
      <c r="E1876" s="4">
        <f t="shared" si="980"/>
        <v>1876</v>
      </c>
      <c r="F1876" s="9" t="s">
        <v>105</v>
      </c>
      <c r="O1876" s="23">
        <f t="shared" ref="O1876" si="998">O1862*10+1</f>
        <v>100891</v>
      </c>
    </row>
    <row r="1877" spans="1:15">
      <c r="E1877" s="4">
        <f t="shared" si="980"/>
        <v>1877</v>
      </c>
      <c r="F1877" s="9" t="s">
        <v>156</v>
      </c>
      <c r="O1877" s="23">
        <f t="shared" ref="O1877" si="999">O1862</f>
        <v>10089</v>
      </c>
    </row>
    <row r="1878" spans="1:15">
      <c r="E1878" s="4">
        <f t="shared" si="980"/>
        <v>1878</v>
      </c>
      <c r="F1878" s="9" t="s">
        <v>131</v>
      </c>
      <c r="O1878" s="23">
        <v>0</v>
      </c>
    </row>
    <row r="1879" spans="1:15">
      <c r="E1879" s="4">
        <f t="shared" si="974"/>
        <v>1879</v>
      </c>
      <c r="F1879" s="9" t="s">
        <v>35</v>
      </c>
      <c r="O1879" s="23" t="s">
        <v>252</v>
      </c>
    </row>
    <row r="1880" spans="1:15">
      <c r="E1880" s="4">
        <f t="shared" si="974"/>
        <v>1880</v>
      </c>
      <c r="F1880" s="9" t="s">
        <v>119</v>
      </c>
      <c r="O1880" s="23" t="s">
        <v>22</v>
      </c>
    </row>
    <row r="1881" spans="1:15">
      <c r="E1881" s="4">
        <f t="shared" si="974"/>
        <v>1881</v>
      </c>
      <c r="F1881" s="9" t="s">
        <v>117</v>
      </c>
      <c r="L1881" s="9" t="s">
        <v>138</v>
      </c>
      <c r="O1881" s="23">
        <f t="shared" ref="O1881" ca="1" si="1000">O1867</f>
        <v>-90</v>
      </c>
    </row>
    <row r="1882" spans="1:15">
      <c r="B1882" s="22">
        <f t="shared" ref="B1882:B1945" si="1001">QUOTIENT( D1882-1,G1883)+1</f>
        <v>30</v>
      </c>
      <c r="C1882" s="22">
        <f t="shared" ref="C1882" si="1002">D1882-(B1882-1)*G1883</f>
        <v>3</v>
      </c>
      <c r="D1882" s="22">
        <f>COUNT($D$12:$D1881)+1</f>
        <v>90</v>
      </c>
      <c r="E1882" s="4"/>
    </row>
    <row r="1883" spans="1:15">
      <c r="E1883" s="4">
        <f t="shared" si="980"/>
        <v>1883</v>
      </c>
      <c r="F1883" s="9" t="s">
        <v>96</v>
      </c>
      <c r="G1883" s="9" t="s">
        <v>38</v>
      </c>
      <c r="H1883" s="9" t="s">
        <v>282</v>
      </c>
      <c r="J1883" s="9" t="s">
        <v>247</v>
      </c>
      <c r="O1883" s="23">
        <f t="shared" ref="O1883:O1946" si="1003">J1883+D1882</f>
        <v>10090</v>
      </c>
    </row>
    <row r="1884" spans="1:15">
      <c r="A1884" s="9"/>
      <c r="B1884" s="9"/>
      <c r="C1884" s="9"/>
      <c r="D1884" s="9"/>
      <c r="E1884" s="4">
        <f t="shared" si="980"/>
        <v>1884</v>
      </c>
      <c r="F1884" s="9" t="s">
        <v>165</v>
      </c>
      <c r="G1884" s="9" t="s">
        <v>280</v>
      </c>
      <c r="H1884" s="9" t="s">
        <v>249</v>
      </c>
      <c r="O1884" s="23">
        <f t="shared" ref="O1884" si="1004">G1884+B1882*H1884</f>
        <v>950</v>
      </c>
    </row>
    <row r="1885" spans="1:15">
      <c r="E1885" s="4">
        <f t="shared" si="980"/>
        <v>1885</v>
      </c>
      <c r="F1885" s="9" t="s">
        <v>35</v>
      </c>
      <c r="O1885" s="23" t="s">
        <v>251</v>
      </c>
    </row>
    <row r="1886" spans="1:15">
      <c r="E1886" s="4">
        <f t="shared" si="980"/>
        <v>1886</v>
      </c>
      <c r="F1886" s="9" t="s">
        <v>29</v>
      </c>
      <c r="O1886" s="23" t="s">
        <v>157</v>
      </c>
    </row>
    <row r="1887" spans="1:15">
      <c r="E1887" s="4">
        <f t="shared" si="980"/>
        <v>1887</v>
      </c>
      <c r="F1887" s="9" t="s">
        <v>122</v>
      </c>
      <c r="O1887" s="23" t="s">
        <v>158</v>
      </c>
    </row>
    <row r="1888" spans="1:15">
      <c r="E1888" s="4">
        <f t="shared" si="980"/>
        <v>1888</v>
      </c>
      <c r="F1888" s="9" t="s">
        <v>117</v>
      </c>
      <c r="G1888" s="9" t="s">
        <v>253</v>
      </c>
      <c r="H1888" s="9" t="s">
        <v>254</v>
      </c>
      <c r="I1888" s="9" t="s">
        <v>255</v>
      </c>
      <c r="J1888" s="9" t="s">
        <v>256</v>
      </c>
      <c r="L1888" s="9" t="s">
        <v>138</v>
      </c>
      <c r="O1888" s="23">
        <f t="shared" ref="O1888" ca="1" si="1005">IF(MOD(D1882,2)=0,RANDBETWEEN($I$19,$J$19),RANDBETWEEN($G$19,$H$19))</f>
        <v>117</v>
      </c>
    </row>
    <row r="1889" spans="2:15">
      <c r="E1889" s="4">
        <f t="shared" si="980"/>
        <v>1889</v>
      </c>
      <c r="F1889" s="9" t="s">
        <v>30</v>
      </c>
      <c r="O1889" s="23" t="s">
        <v>33</v>
      </c>
    </row>
    <row r="1890" spans="2:15">
      <c r="E1890" s="4">
        <f t="shared" si="980"/>
        <v>1890</v>
      </c>
      <c r="F1890" s="9" t="s">
        <v>119</v>
      </c>
      <c r="G1890" s="9" t="s">
        <v>257</v>
      </c>
      <c r="H1890" s="9" t="s">
        <v>258</v>
      </c>
      <c r="I1890" s="9" t="s">
        <v>34</v>
      </c>
      <c r="O1890" s="23">
        <f t="shared" ref="O1890:O1953" ca="1" si="1006">RANDBETWEEN($G$21*$I$21,$H$21*$I$21)/$I$21</f>
        <v>-5.6</v>
      </c>
    </row>
    <row r="1891" spans="2:15">
      <c r="E1891" s="4">
        <f t="shared" si="980"/>
        <v>1891</v>
      </c>
      <c r="F1891" s="9" t="s">
        <v>112</v>
      </c>
      <c r="O1891" s="23">
        <v>0</v>
      </c>
    </row>
    <row r="1892" spans="2:15">
      <c r="E1892" s="4">
        <f t="shared" si="980"/>
        <v>1892</v>
      </c>
      <c r="F1892" s="9" t="s">
        <v>102</v>
      </c>
      <c r="G1892" s="9" t="s">
        <v>259</v>
      </c>
      <c r="H1892" s="9" t="s">
        <v>260</v>
      </c>
      <c r="I1892" s="9" t="s">
        <v>34</v>
      </c>
      <c r="J1892" s="9" t="s">
        <v>261</v>
      </c>
      <c r="K1892" s="9" t="s">
        <v>140</v>
      </c>
      <c r="O1892" s="23" t="str">
        <f t="shared" ref="O1892:O1955" ca="1" si="1007">CONCATENATE(RANDBETWEEN($G$23*$I$23,$H$23*$I$23)/$I$23,$J$23)</f>
        <v>1.6,6</v>
      </c>
    </row>
    <row r="1893" spans="2:15">
      <c r="E1893" s="4">
        <f t="shared" si="980"/>
        <v>1893</v>
      </c>
      <c r="F1893" s="9" t="s">
        <v>31</v>
      </c>
      <c r="L1893" s="9" t="s">
        <v>148</v>
      </c>
    </row>
    <row r="1894" spans="2:15">
      <c r="E1894" s="4">
        <f t="shared" si="980"/>
        <v>1894</v>
      </c>
      <c r="F1894" s="9" t="s">
        <v>136</v>
      </c>
      <c r="L1894" s="9" t="s">
        <v>149</v>
      </c>
    </row>
    <row r="1895" spans="2:15">
      <c r="E1895" s="4">
        <f t="shared" si="980"/>
        <v>1895</v>
      </c>
      <c r="F1895" s="9" t="s">
        <v>137</v>
      </c>
      <c r="K1895" s="9" t="s">
        <v>141</v>
      </c>
      <c r="O1895" s="23">
        <v>1</v>
      </c>
    </row>
    <row r="1896" spans="2:15">
      <c r="E1896" s="4">
        <f t="shared" si="980"/>
        <v>1896</v>
      </c>
      <c r="F1896" s="9" t="s">
        <v>137</v>
      </c>
      <c r="G1896" s="9" t="s">
        <v>262</v>
      </c>
      <c r="H1896" s="9" t="s">
        <v>32</v>
      </c>
      <c r="I1896" s="9" t="s">
        <v>34</v>
      </c>
      <c r="J1896" s="9" t="s">
        <v>263</v>
      </c>
      <c r="K1896" s="9" t="s">
        <v>140</v>
      </c>
      <c r="O1896" s="23" t="str">
        <f t="shared" ref="O1896:O1959" ca="1" si="1008">CONCATENATE(RANDBETWEEN($G$27*$I$27,$H$27*$I$27)/$I$27,$J$27)</f>
        <v>-2.2,-4.5</v>
      </c>
    </row>
    <row r="1897" spans="2:15">
      <c r="E1897" s="4">
        <f t="shared" si="980"/>
        <v>1897</v>
      </c>
      <c r="F1897" s="9" t="s">
        <v>105</v>
      </c>
      <c r="O1897" s="23">
        <f t="shared" ref="O1897" si="1009">O1883*10+1</f>
        <v>100901</v>
      </c>
    </row>
    <row r="1898" spans="2:15">
      <c r="E1898" s="4">
        <f t="shared" si="980"/>
        <v>1898</v>
      </c>
      <c r="F1898" s="9" t="s">
        <v>156</v>
      </c>
      <c r="O1898" s="23">
        <f t="shared" ref="O1898" si="1010">O1883</f>
        <v>10090</v>
      </c>
    </row>
    <row r="1899" spans="2:15">
      <c r="E1899" s="4">
        <f t="shared" si="980"/>
        <v>1899</v>
      </c>
      <c r="F1899" s="9" t="s">
        <v>131</v>
      </c>
      <c r="O1899" s="23">
        <v>0</v>
      </c>
    </row>
    <row r="1900" spans="2:15">
      <c r="E1900" s="4">
        <f t="shared" si="980"/>
        <v>1900</v>
      </c>
      <c r="F1900" s="9" t="s">
        <v>35</v>
      </c>
      <c r="O1900" s="23" t="s">
        <v>252</v>
      </c>
    </row>
    <row r="1901" spans="2:15">
      <c r="E1901" s="4">
        <f t="shared" si="980"/>
        <v>1901</v>
      </c>
      <c r="F1901" s="9" t="s">
        <v>119</v>
      </c>
      <c r="O1901" s="23" t="s">
        <v>22</v>
      </c>
    </row>
    <row r="1902" spans="2:15">
      <c r="E1902" s="4">
        <f t="shared" si="980"/>
        <v>1902</v>
      </c>
      <c r="F1902" s="9" t="s">
        <v>117</v>
      </c>
      <c r="L1902" s="9" t="s">
        <v>138</v>
      </c>
      <c r="O1902" s="23">
        <f t="shared" ref="O1902" ca="1" si="1011">O1888</f>
        <v>117</v>
      </c>
    </row>
    <row r="1903" spans="2:15">
      <c r="B1903" s="22">
        <f t="shared" ref="B1903:B1966" si="1012">QUOTIENT( D1903-1,G1904)+1</f>
        <v>31</v>
      </c>
      <c r="C1903" s="22">
        <f t="shared" ref="C1903" si="1013">D1903-(B1903-1)*G1904</f>
        <v>1</v>
      </c>
      <c r="D1903" s="22">
        <f>COUNT($D$12:$D1902)+1</f>
        <v>91</v>
      </c>
      <c r="E1903" s="4"/>
    </row>
    <row r="1904" spans="2:15">
      <c r="E1904" s="4">
        <f t="shared" si="980"/>
        <v>1904</v>
      </c>
      <c r="F1904" s="9" t="s">
        <v>96</v>
      </c>
      <c r="G1904" s="9" t="s">
        <v>38</v>
      </c>
      <c r="H1904" s="9" t="s">
        <v>282</v>
      </c>
      <c r="J1904" s="9" t="s">
        <v>247</v>
      </c>
      <c r="O1904" s="23">
        <f t="shared" ref="O1904:O1967" si="1014">J1904+D1903</f>
        <v>10091</v>
      </c>
    </row>
    <row r="1905" spans="1:15">
      <c r="E1905" s="4">
        <f t="shared" ref="E1905:E1968" si="1015">ROW(E1905)</f>
        <v>1905</v>
      </c>
      <c r="F1905" s="9" t="s">
        <v>165</v>
      </c>
      <c r="G1905" s="9" t="s">
        <v>280</v>
      </c>
      <c r="H1905" s="9" t="s">
        <v>249</v>
      </c>
      <c r="O1905" s="23">
        <f t="shared" ref="O1905" si="1016">G1905+B1903*H1905</f>
        <v>965</v>
      </c>
    </row>
    <row r="1906" spans="1:15">
      <c r="A1906" s="9"/>
      <c r="B1906" s="9"/>
      <c r="C1906" s="9"/>
      <c r="D1906" s="9"/>
      <c r="E1906" s="4">
        <f t="shared" si="1015"/>
        <v>1906</v>
      </c>
      <c r="F1906" s="9" t="s">
        <v>35</v>
      </c>
      <c r="O1906" s="23" t="s">
        <v>251</v>
      </c>
    </row>
    <row r="1907" spans="1:15">
      <c r="E1907" s="4">
        <f t="shared" si="1015"/>
        <v>1907</v>
      </c>
      <c r="F1907" s="9" t="s">
        <v>29</v>
      </c>
      <c r="O1907" s="23" t="s">
        <v>157</v>
      </c>
    </row>
    <row r="1908" spans="1:15">
      <c r="E1908" s="4">
        <f t="shared" si="1015"/>
        <v>1908</v>
      </c>
      <c r="F1908" s="9" t="s">
        <v>122</v>
      </c>
      <c r="O1908" s="23" t="s">
        <v>158</v>
      </c>
    </row>
    <row r="1909" spans="1:15">
      <c r="E1909" s="4">
        <f t="shared" si="1015"/>
        <v>1909</v>
      </c>
      <c r="F1909" s="9" t="s">
        <v>117</v>
      </c>
      <c r="G1909" s="9" t="s">
        <v>253</v>
      </c>
      <c r="H1909" s="9" t="s">
        <v>254</v>
      </c>
      <c r="I1909" s="9" t="s">
        <v>255</v>
      </c>
      <c r="J1909" s="9" t="s">
        <v>256</v>
      </c>
      <c r="L1909" s="9" t="s">
        <v>138</v>
      </c>
      <c r="O1909" s="23">
        <f t="shared" ref="O1909" ca="1" si="1017">IF(MOD(D1903,2)=0,RANDBETWEEN($I$19,$J$19),RANDBETWEEN($G$19,$H$19))</f>
        <v>-81</v>
      </c>
    </row>
    <row r="1910" spans="1:15">
      <c r="E1910" s="4">
        <f t="shared" si="1015"/>
        <v>1910</v>
      </c>
      <c r="F1910" s="9" t="s">
        <v>30</v>
      </c>
      <c r="O1910" s="23" t="s">
        <v>33</v>
      </c>
    </row>
    <row r="1911" spans="1:15">
      <c r="E1911" s="4">
        <f t="shared" si="1015"/>
        <v>1911</v>
      </c>
      <c r="F1911" s="9" t="s">
        <v>119</v>
      </c>
      <c r="G1911" s="9" t="s">
        <v>257</v>
      </c>
      <c r="H1911" s="9" t="s">
        <v>258</v>
      </c>
      <c r="I1911" s="9" t="s">
        <v>34</v>
      </c>
      <c r="O1911" s="23">
        <f t="shared" ref="O1911:O1974" ca="1" si="1018">RANDBETWEEN($G$21*$I$21,$H$21*$I$21)/$I$21</f>
        <v>-6.3</v>
      </c>
    </row>
    <row r="1912" spans="1:15">
      <c r="E1912" s="4">
        <f t="shared" si="1015"/>
        <v>1912</v>
      </c>
      <c r="F1912" s="9" t="s">
        <v>112</v>
      </c>
      <c r="O1912" s="23">
        <v>0</v>
      </c>
    </row>
    <row r="1913" spans="1:15">
      <c r="E1913" s="4">
        <f t="shared" si="1015"/>
        <v>1913</v>
      </c>
      <c r="F1913" s="9" t="s">
        <v>102</v>
      </c>
      <c r="G1913" s="9" t="s">
        <v>259</v>
      </c>
      <c r="H1913" s="9" t="s">
        <v>260</v>
      </c>
      <c r="I1913" s="9" t="s">
        <v>34</v>
      </c>
      <c r="J1913" s="9" t="s">
        <v>261</v>
      </c>
      <c r="K1913" s="9" t="s">
        <v>140</v>
      </c>
      <c r="O1913" s="23" t="str">
        <f t="shared" ref="O1913:O1976" ca="1" si="1019">CONCATENATE(RANDBETWEEN($G$23*$I$23,$H$23*$I$23)/$I$23,$J$23)</f>
        <v>-3.3,6</v>
      </c>
    </row>
    <row r="1914" spans="1:15">
      <c r="E1914" s="4">
        <f t="shared" si="1015"/>
        <v>1914</v>
      </c>
      <c r="F1914" s="9" t="s">
        <v>31</v>
      </c>
      <c r="L1914" s="9" t="s">
        <v>148</v>
      </c>
    </row>
    <row r="1915" spans="1:15">
      <c r="E1915" s="4">
        <f t="shared" si="1015"/>
        <v>1915</v>
      </c>
      <c r="F1915" s="9" t="s">
        <v>136</v>
      </c>
      <c r="L1915" s="9" t="s">
        <v>149</v>
      </c>
    </row>
    <row r="1916" spans="1:15">
      <c r="E1916" s="4">
        <f t="shared" si="1015"/>
        <v>1916</v>
      </c>
      <c r="F1916" s="9" t="s">
        <v>137</v>
      </c>
      <c r="K1916" s="9" t="s">
        <v>141</v>
      </c>
      <c r="O1916" s="23">
        <v>1</v>
      </c>
    </row>
    <row r="1917" spans="1:15">
      <c r="E1917" s="4">
        <f t="shared" si="1015"/>
        <v>1917</v>
      </c>
      <c r="F1917" s="9" t="s">
        <v>137</v>
      </c>
      <c r="G1917" s="9" t="s">
        <v>262</v>
      </c>
      <c r="H1917" s="9" t="s">
        <v>32</v>
      </c>
      <c r="I1917" s="9" t="s">
        <v>34</v>
      </c>
      <c r="J1917" s="9" t="s">
        <v>263</v>
      </c>
      <c r="K1917" s="9" t="s">
        <v>140</v>
      </c>
      <c r="O1917" s="23" t="str">
        <f t="shared" ref="O1917:O1980" ca="1" si="1020">CONCATENATE(RANDBETWEEN($G$27*$I$27,$H$27*$I$27)/$I$27,$J$27)</f>
        <v>5,-4.5</v>
      </c>
    </row>
    <row r="1918" spans="1:15">
      <c r="E1918" s="4">
        <f t="shared" si="1015"/>
        <v>1918</v>
      </c>
      <c r="F1918" s="9" t="s">
        <v>105</v>
      </c>
      <c r="O1918" s="23">
        <f t="shared" ref="O1918" si="1021">O1904*10+1</f>
        <v>100911</v>
      </c>
    </row>
    <row r="1919" spans="1:15">
      <c r="E1919" s="4">
        <f t="shared" si="1015"/>
        <v>1919</v>
      </c>
      <c r="F1919" s="9" t="s">
        <v>156</v>
      </c>
      <c r="O1919" s="23">
        <f t="shared" ref="O1919" si="1022">O1904</f>
        <v>10091</v>
      </c>
    </row>
    <row r="1920" spans="1:15">
      <c r="E1920" s="4">
        <f t="shared" si="1015"/>
        <v>1920</v>
      </c>
      <c r="F1920" s="9" t="s">
        <v>131</v>
      </c>
      <c r="O1920" s="23">
        <v>0</v>
      </c>
    </row>
    <row r="1921" spans="1:15">
      <c r="E1921" s="4">
        <f t="shared" si="1015"/>
        <v>1921</v>
      </c>
      <c r="F1921" s="9" t="s">
        <v>35</v>
      </c>
      <c r="O1921" s="23" t="s">
        <v>252</v>
      </c>
    </row>
    <row r="1922" spans="1:15">
      <c r="E1922" s="4">
        <f t="shared" si="1015"/>
        <v>1922</v>
      </c>
      <c r="F1922" s="9" t="s">
        <v>119</v>
      </c>
      <c r="O1922" s="23" t="s">
        <v>22</v>
      </c>
    </row>
    <row r="1923" spans="1:15">
      <c r="E1923" s="4">
        <f t="shared" si="1015"/>
        <v>1923</v>
      </c>
      <c r="F1923" s="9" t="s">
        <v>117</v>
      </c>
      <c r="L1923" s="9" t="s">
        <v>138</v>
      </c>
      <c r="O1923" s="23">
        <f t="shared" ref="O1923" ca="1" si="1023">O1909</f>
        <v>-81</v>
      </c>
    </row>
    <row r="1924" spans="1:15">
      <c r="B1924" s="22">
        <f t="shared" ref="B1924:B1987" si="1024">QUOTIENT( D1924-1,G1925)+1</f>
        <v>31</v>
      </c>
      <c r="C1924" s="22">
        <f t="shared" ref="C1924" si="1025">D1924-(B1924-1)*G1925</f>
        <v>2</v>
      </c>
      <c r="D1924" s="22">
        <f>COUNT($D$12:$D1923)+1</f>
        <v>92</v>
      </c>
      <c r="E1924" s="4"/>
    </row>
    <row r="1925" spans="1:15">
      <c r="E1925" s="4">
        <f t="shared" si="1015"/>
        <v>1925</v>
      </c>
      <c r="F1925" s="9" t="s">
        <v>96</v>
      </c>
      <c r="G1925" s="9" t="s">
        <v>38</v>
      </c>
      <c r="H1925" s="9" t="s">
        <v>282</v>
      </c>
      <c r="J1925" s="9" t="s">
        <v>247</v>
      </c>
      <c r="O1925" s="23">
        <f t="shared" ref="O1925:O1988" si="1026">J1925+D1924</f>
        <v>10092</v>
      </c>
    </row>
    <row r="1926" spans="1:15">
      <c r="E1926" s="4">
        <f t="shared" si="1015"/>
        <v>1926</v>
      </c>
      <c r="F1926" s="9" t="s">
        <v>165</v>
      </c>
      <c r="G1926" s="9" t="s">
        <v>280</v>
      </c>
      <c r="H1926" s="9" t="s">
        <v>249</v>
      </c>
      <c r="O1926" s="23">
        <f t="shared" ref="O1926" si="1027">G1926+B1924*H1926</f>
        <v>965</v>
      </c>
    </row>
    <row r="1927" spans="1:15">
      <c r="E1927" s="4">
        <f t="shared" si="1015"/>
        <v>1927</v>
      </c>
      <c r="F1927" s="9" t="s">
        <v>35</v>
      </c>
      <c r="O1927" s="23" t="s">
        <v>251</v>
      </c>
    </row>
    <row r="1928" spans="1:15">
      <c r="A1928" s="9"/>
      <c r="B1928" s="9"/>
      <c r="C1928" s="9"/>
      <c r="D1928" s="9"/>
      <c r="E1928" s="4">
        <f t="shared" si="1015"/>
        <v>1928</v>
      </c>
      <c r="F1928" s="9" t="s">
        <v>29</v>
      </c>
      <c r="O1928" s="23" t="s">
        <v>157</v>
      </c>
    </row>
    <row r="1929" spans="1:15">
      <c r="E1929" s="4">
        <f t="shared" si="1015"/>
        <v>1929</v>
      </c>
      <c r="F1929" s="9" t="s">
        <v>122</v>
      </c>
      <c r="O1929" s="23" t="s">
        <v>158</v>
      </c>
    </row>
    <row r="1930" spans="1:15">
      <c r="E1930" s="4">
        <f t="shared" si="1015"/>
        <v>1930</v>
      </c>
      <c r="F1930" s="9" t="s">
        <v>117</v>
      </c>
      <c r="G1930" s="9" t="s">
        <v>253</v>
      </c>
      <c r="H1930" s="9" t="s">
        <v>254</v>
      </c>
      <c r="I1930" s="9" t="s">
        <v>255</v>
      </c>
      <c r="J1930" s="9" t="s">
        <v>256</v>
      </c>
      <c r="L1930" s="9" t="s">
        <v>138</v>
      </c>
      <c r="O1930" s="23">
        <f t="shared" ref="O1930" ca="1" si="1028">IF(MOD(D1924,2)=0,RANDBETWEEN($I$19,$J$19),RANDBETWEEN($G$19,$H$19))</f>
        <v>90</v>
      </c>
    </row>
    <row r="1931" spans="1:15">
      <c r="E1931" s="4">
        <f t="shared" si="1015"/>
        <v>1931</v>
      </c>
      <c r="F1931" s="9" t="s">
        <v>30</v>
      </c>
      <c r="O1931" s="23" t="s">
        <v>33</v>
      </c>
    </row>
    <row r="1932" spans="1:15">
      <c r="E1932" s="4">
        <f t="shared" si="1015"/>
        <v>1932</v>
      </c>
      <c r="F1932" s="9" t="s">
        <v>119</v>
      </c>
      <c r="G1932" s="9" t="s">
        <v>257</v>
      </c>
      <c r="H1932" s="9" t="s">
        <v>258</v>
      </c>
      <c r="I1932" s="9" t="s">
        <v>34</v>
      </c>
      <c r="O1932" s="23">
        <f t="shared" ref="O1932:O1995" ca="1" si="1029">RANDBETWEEN($G$21*$I$21,$H$21*$I$21)/$I$21</f>
        <v>-5.8</v>
      </c>
    </row>
    <row r="1933" spans="1:15">
      <c r="E1933" s="4">
        <f t="shared" si="1015"/>
        <v>1933</v>
      </c>
      <c r="F1933" s="9" t="s">
        <v>112</v>
      </c>
      <c r="O1933" s="23">
        <v>0</v>
      </c>
    </row>
    <row r="1934" spans="1:15">
      <c r="E1934" s="4">
        <f t="shared" si="1015"/>
        <v>1934</v>
      </c>
      <c r="F1934" s="9" t="s">
        <v>102</v>
      </c>
      <c r="G1934" s="9" t="s">
        <v>259</v>
      </c>
      <c r="H1934" s="9" t="s">
        <v>260</v>
      </c>
      <c r="I1934" s="9" t="s">
        <v>34</v>
      </c>
      <c r="J1934" s="9" t="s">
        <v>261</v>
      </c>
      <c r="K1934" s="9" t="s">
        <v>140</v>
      </c>
      <c r="O1934" s="23" t="str">
        <f t="shared" ref="O1934:O1997" ca="1" si="1030">CONCATENATE(RANDBETWEEN($G$23*$I$23,$H$23*$I$23)/$I$23,$J$23)</f>
        <v>4.4,6</v>
      </c>
    </row>
    <row r="1935" spans="1:15">
      <c r="E1935" s="4">
        <f t="shared" si="1015"/>
        <v>1935</v>
      </c>
      <c r="F1935" s="9" t="s">
        <v>31</v>
      </c>
      <c r="L1935" s="9" t="s">
        <v>148</v>
      </c>
    </row>
    <row r="1936" spans="1:15">
      <c r="E1936" s="4">
        <f t="shared" si="1015"/>
        <v>1936</v>
      </c>
      <c r="F1936" s="9" t="s">
        <v>136</v>
      </c>
      <c r="L1936" s="9" t="s">
        <v>149</v>
      </c>
    </row>
    <row r="1937" spans="1:15">
      <c r="E1937" s="4">
        <f t="shared" si="1015"/>
        <v>1937</v>
      </c>
      <c r="F1937" s="9" t="s">
        <v>137</v>
      </c>
      <c r="K1937" s="9" t="s">
        <v>141</v>
      </c>
      <c r="O1937" s="23">
        <v>1</v>
      </c>
    </row>
    <row r="1938" spans="1:15">
      <c r="E1938" s="4">
        <f t="shared" si="1015"/>
        <v>1938</v>
      </c>
      <c r="F1938" s="9" t="s">
        <v>137</v>
      </c>
      <c r="G1938" s="9" t="s">
        <v>262</v>
      </c>
      <c r="H1938" s="9" t="s">
        <v>32</v>
      </c>
      <c r="I1938" s="9" t="s">
        <v>34</v>
      </c>
      <c r="J1938" s="9" t="s">
        <v>263</v>
      </c>
      <c r="K1938" s="9" t="s">
        <v>140</v>
      </c>
      <c r="O1938" s="23" t="str">
        <f t="shared" ref="O1938:O2001" ca="1" si="1031">CONCATENATE(RANDBETWEEN($G$27*$I$27,$H$27*$I$27)/$I$27,$J$27)</f>
        <v>4.1,-4.5</v>
      </c>
    </row>
    <row r="1939" spans="1:15">
      <c r="E1939" s="4">
        <f t="shared" si="1015"/>
        <v>1939</v>
      </c>
      <c r="F1939" s="9" t="s">
        <v>105</v>
      </c>
      <c r="O1939" s="23">
        <f t="shared" ref="O1939" si="1032">O1925*10+1</f>
        <v>100921</v>
      </c>
    </row>
    <row r="1940" spans="1:15">
      <c r="E1940" s="4">
        <f t="shared" si="1015"/>
        <v>1940</v>
      </c>
      <c r="F1940" s="9" t="s">
        <v>156</v>
      </c>
      <c r="O1940" s="23">
        <f t="shared" ref="O1940" si="1033">O1925</f>
        <v>10092</v>
      </c>
    </row>
    <row r="1941" spans="1:15">
      <c r="E1941" s="4">
        <f t="shared" si="1015"/>
        <v>1941</v>
      </c>
      <c r="F1941" s="9" t="s">
        <v>131</v>
      </c>
      <c r="O1941" s="23">
        <v>0</v>
      </c>
    </row>
    <row r="1942" spans="1:15">
      <c r="E1942" s="4">
        <f t="shared" si="1015"/>
        <v>1942</v>
      </c>
      <c r="F1942" s="9" t="s">
        <v>35</v>
      </c>
      <c r="O1942" s="23" t="s">
        <v>252</v>
      </c>
    </row>
    <row r="1943" spans="1:15">
      <c r="E1943" s="4">
        <f t="shared" si="1015"/>
        <v>1943</v>
      </c>
      <c r="F1943" s="9" t="s">
        <v>119</v>
      </c>
      <c r="O1943" s="23" t="s">
        <v>22</v>
      </c>
    </row>
    <row r="1944" spans="1:15">
      <c r="E1944" s="4">
        <f t="shared" si="1015"/>
        <v>1944</v>
      </c>
      <c r="F1944" s="9" t="s">
        <v>117</v>
      </c>
      <c r="L1944" s="9" t="s">
        <v>138</v>
      </c>
      <c r="O1944" s="23">
        <f t="shared" ref="O1944" ca="1" si="1034">O1930</f>
        <v>90</v>
      </c>
    </row>
    <row r="1945" spans="1:15">
      <c r="B1945" s="22">
        <f t="shared" ref="B1945:B2008" si="1035">QUOTIENT( D1945-1,G1946)+1</f>
        <v>31</v>
      </c>
      <c r="C1945" s="22">
        <f t="shared" ref="C1945" si="1036">D1945-(B1945-1)*G1946</f>
        <v>3</v>
      </c>
      <c r="D1945" s="22">
        <f>COUNT($D$12:$D1944)+1</f>
        <v>93</v>
      </c>
      <c r="E1945" s="4"/>
    </row>
    <row r="1946" spans="1:15">
      <c r="E1946" s="4">
        <f t="shared" si="1015"/>
        <v>1946</v>
      </c>
      <c r="F1946" s="9" t="s">
        <v>96</v>
      </c>
      <c r="G1946" s="9" t="s">
        <v>38</v>
      </c>
      <c r="H1946" s="9" t="s">
        <v>282</v>
      </c>
      <c r="J1946" s="9" t="s">
        <v>247</v>
      </c>
      <c r="O1946" s="23">
        <f t="shared" ref="O1946:O2009" si="1037">J1946+D1945</f>
        <v>10093</v>
      </c>
    </row>
    <row r="1947" spans="1:15">
      <c r="E1947" s="4">
        <f t="shared" si="1015"/>
        <v>1947</v>
      </c>
      <c r="F1947" s="9" t="s">
        <v>165</v>
      </c>
      <c r="G1947" s="9" t="s">
        <v>280</v>
      </c>
      <c r="H1947" s="9" t="s">
        <v>249</v>
      </c>
      <c r="O1947" s="23">
        <f t="shared" ref="O1947" si="1038">G1947+B1945*H1947</f>
        <v>965</v>
      </c>
    </row>
    <row r="1948" spans="1:15">
      <c r="E1948" s="4">
        <f t="shared" si="1015"/>
        <v>1948</v>
      </c>
      <c r="F1948" s="9" t="s">
        <v>35</v>
      </c>
      <c r="O1948" s="23" t="s">
        <v>251</v>
      </c>
    </row>
    <row r="1949" spans="1:15">
      <c r="E1949" s="4">
        <f t="shared" si="1015"/>
        <v>1949</v>
      </c>
      <c r="F1949" s="9" t="s">
        <v>29</v>
      </c>
      <c r="O1949" s="23" t="s">
        <v>157</v>
      </c>
    </row>
    <row r="1950" spans="1:15">
      <c r="A1950" s="9"/>
      <c r="B1950" s="9"/>
      <c r="C1950" s="9"/>
      <c r="D1950" s="9"/>
      <c r="E1950" s="4">
        <f t="shared" si="1015"/>
        <v>1950</v>
      </c>
      <c r="F1950" s="9" t="s">
        <v>122</v>
      </c>
      <c r="O1950" s="23" t="s">
        <v>158</v>
      </c>
    </row>
    <row r="1951" spans="1:15">
      <c r="E1951" s="4">
        <f t="shared" si="1015"/>
        <v>1951</v>
      </c>
      <c r="F1951" s="9" t="s">
        <v>117</v>
      </c>
      <c r="G1951" s="9" t="s">
        <v>253</v>
      </c>
      <c r="H1951" s="9" t="s">
        <v>254</v>
      </c>
      <c r="I1951" s="9" t="s">
        <v>255</v>
      </c>
      <c r="J1951" s="9" t="s">
        <v>256</v>
      </c>
      <c r="L1951" s="9" t="s">
        <v>138</v>
      </c>
      <c r="O1951" s="23">
        <f t="shared" ref="O1951" ca="1" si="1039">IF(MOD(D1945,2)=0,RANDBETWEEN($I$19,$J$19),RANDBETWEEN($G$19,$H$19))</f>
        <v>-86</v>
      </c>
    </row>
    <row r="1952" spans="1:15">
      <c r="E1952" s="4">
        <f t="shared" si="1015"/>
        <v>1952</v>
      </c>
      <c r="F1952" s="9" t="s">
        <v>30</v>
      </c>
      <c r="O1952" s="23" t="s">
        <v>33</v>
      </c>
    </row>
    <row r="1953" spans="2:15">
      <c r="E1953" s="4">
        <f t="shared" si="1015"/>
        <v>1953</v>
      </c>
      <c r="F1953" s="9" t="s">
        <v>119</v>
      </c>
      <c r="G1953" s="9" t="s">
        <v>257</v>
      </c>
      <c r="H1953" s="9" t="s">
        <v>258</v>
      </c>
      <c r="I1953" s="9" t="s">
        <v>34</v>
      </c>
      <c r="O1953" s="23">
        <f t="shared" ref="O1953:O2016" ca="1" si="1040">RANDBETWEEN($G$21*$I$21,$H$21*$I$21)/$I$21</f>
        <v>-8.3000000000000007</v>
      </c>
    </row>
    <row r="1954" spans="2:15">
      <c r="E1954" s="4">
        <f t="shared" si="1015"/>
        <v>1954</v>
      </c>
      <c r="F1954" s="9" t="s">
        <v>112</v>
      </c>
      <c r="O1954" s="23">
        <v>0</v>
      </c>
    </row>
    <row r="1955" spans="2:15">
      <c r="E1955" s="4">
        <f t="shared" si="1015"/>
        <v>1955</v>
      </c>
      <c r="F1955" s="9" t="s">
        <v>102</v>
      </c>
      <c r="G1955" s="9" t="s">
        <v>259</v>
      </c>
      <c r="H1955" s="9" t="s">
        <v>260</v>
      </c>
      <c r="I1955" s="9" t="s">
        <v>34</v>
      </c>
      <c r="J1955" s="9" t="s">
        <v>261</v>
      </c>
      <c r="K1955" s="9" t="s">
        <v>140</v>
      </c>
      <c r="O1955" s="23" t="str">
        <f t="shared" ref="O1955:O2018" ca="1" si="1041">CONCATENATE(RANDBETWEEN($G$23*$I$23,$H$23*$I$23)/$I$23,$J$23)</f>
        <v>-0.4,6</v>
      </c>
    </row>
    <row r="1956" spans="2:15">
      <c r="E1956" s="4">
        <f t="shared" si="1015"/>
        <v>1956</v>
      </c>
      <c r="F1956" s="9" t="s">
        <v>31</v>
      </c>
      <c r="L1956" s="9" t="s">
        <v>148</v>
      </c>
    </row>
    <row r="1957" spans="2:15">
      <c r="E1957" s="4">
        <f t="shared" si="1015"/>
        <v>1957</v>
      </c>
      <c r="F1957" s="9" t="s">
        <v>136</v>
      </c>
      <c r="L1957" s="9" t="s">
        <v>149</v>
      </c>
    </row>
    <row r="1958" spans="2:15">
      <c r="E1958" s="4">
        <f t="shared" si="1015"/>
        <v>1958</v>
      </c>
      <c r="F1958" s="9" t="s">
        <v>137</v>
      </c>
      <c r="K1958" s="9" t="s">
        <v>141</v>
      </c>
      <c r="O1958" s="23">
        <v>1</v>
      </c>
    </row>
    <row r="1959" spans="2:15">
      <c r="E1959" s="4">
        <f t="shared" si="1015"/>
        <v>1959</v>
      </c>
      <c r="F1959" s="9" t="s">
        <v>137</v>
      </c>
      <c r="G1959" s="9" t="s">
        <v>262</v>
      </c>
      <c r="H1959" s="9" t="s">
        <v>32</v>
      </c>
      <c r="I1959" s="9" t="s">
        <v>34</v>
      </c>
      <c r="J1959" s="9" t="s">
        <v>263</v>
      </c>
      <c r="K1959" s="9" t="s">
        <v>140</v>
      </c>
      <c r="O1959" s="23" t="str">
        <f t="shared" ref="O1959:O2022" ca="1" si="1042">CONCATENATE(RANDBETWEEN($G$27*$I$27,$H$27*$I$27)/$I$27,$J$27)</f>
        <v>-5.5,-4.5</v>
      </c>
    </row>
    <row r="1960" spans="2:15">
      <c r="E1960" s="4">
        <f t="shared" si="1015"/>
        <v>1960</v>
      </c>
      <c r="F1960" s="9" t="s">
        <v>105</v>
      </c>
      <c r="O1960" s="23">
        <f t="shared" ref="O1960" si="1043">O1946*10+1</f>
        <v>100931</v>
      </c>
    </row>
    <row r="1961" spans="2:15">
      <c r="E1961" s="4">
        <f t="shared" si="1015"/>
        <v>1961</v>
      </c>
      <c r="F1961" s="9" t="s">
        <v>156</v>
      </c>
      <c r="O1961" s="23">
        <f t="shared" ref="O1961" si="1044">O1946</f>
        <v>10093</v>
      </c>
    </row>
    <row r="1962" spans="2:15">
      <c r="E1962" s="4">
        <f t="shared" si="1015"/>
        <v>1962</v>
      </c>
      <c r="F1962" s="9" t="s">
        <v>131</v>
      </c>
      <c r="O1962" s="23">
        <v>0</v>
      </c>
    </row>
    <row r="1963" spans="2:15">
      <c r="E1963" s="4">
        <f t="shared" si="1015"/>
        <v>1963</v>
      </c>
      <c r="F1963" s="9" t="s">
        <v>35</v>
      </c>
      <c r="O1963" s="23" t="s">
        <v>252</v>
      </c>
    </row>
    <row r="1964" spans="2:15">
      <c r="E1964" s="4">
        <f t="shared" si="1015"/>
        <v>1964</v>
      </c>
      <c r="F1964" s="9" t="s">
        <v>119</v>
      </c>
      <c r="O1964" s="23" t="s">
        <v>22</v>
      </c>
    </row>
    <row r="1965" spans="2:15">
      <c r="E1965" s="4">
        <f t="shared" si="1015"/>
        <v>1965</v>
      </c>
      <c r="F1965" s="9" t="s">
        <v>117</v>
      </c>
      <c r="L1965" s="9" t="s">
        <v>138</v>
      </c>
      <c r="O1965" s="23">
        <f t="shared" ref="O1965" ca="1" si="1045">O1951</f>
        <v>-86</v>
      </c>
    </row>
    <row r="1966" spans="2:15">
      <c r="B1966" s="22">
        <f t="shared" ref="B1966:B2029" si="1046">QUOTIENT( D1966-1,G1967)+1</f>
        <v>32</v>
      </c>
      <c r="C1966" s="22">
        <f t="shared" ref="C1966" si="1047">D1966-(B1966-1)*G1967</f>
        <v>1</v>
      </c>
      <c r="D1966" s="22">
        <f>COUNT($D$12:$D1965)+1</f>
        <v>94</v>
      </c>
      <c r="E1966" s="4"/>
    </row>
    <row r="1967" spans="2:15">
      <c r="E1967" s="4">
        <f t="shared" si="1015"/>
        <v>1967</v>
      </c>
      <c r="F1967" s="9" t="s">
        <v>96</v>
      </c>
      <c r="G1967" s="9" t="s">
        <v>38</v>
      </c>
      <c r="H1967" s="9" t="s">
        <v>282</v>
      </c>
      <c r="J1967" s="9" t="s">
        <v>247</v>
      </c>
      <c r="O1967" s="23">
        <f t="shared" ref="O1967:O2030" si="1048">J1967+D1966</f>
        <v>10094</v>
      </c>
    </row>
    <row r="1968" spans="2:15">
      <c r="E1968" s="4">
        <f t="shared" si="1015"/>
        <v>1968</v>
      </c>
      <c r="F1968" s="9" t="s">
        <v>165</v>
      </c>
      <c r="G1968" s="9" t="s">
        <v>280</v>
      </c>
      <c r="H1968" s="9" t="s">
        <v>249</v>
      </c>
      <c r="O1968" s="23">
        <f t="shared" ref="O1968" si="1049">G1968+B1966*H1968</f>
        <v>980</v>
      </c>
    </row>
    <row r="1969" spans="1:15">
      <c r="E1969" s="4">
        <f t="shared" ref="E1969:E2032" si="1050">ROW(E1969)</f>
        <v>1969</v>
      </c>
      <c r="F1969" s="9" t="s">
        <v>35</v>
      </c>
      <c r="O1969" s="23" t="s">
        <v>251</v>
      </c>
    </row>
    <row r="1970" spans="1:15">
      <c r="E1970" s="4">
        <f t="shared" si="1050"/>
        <v>1970</v>
      </c>
      <c r="F1970" s="9" t="s">
        <v>29</v>
      </c>
      <c r="O1970" s="23" t="s">
        <v>157</v>
      </c>
    </row>
    <row r="1971" spans="1:15">
      <c r="E1971" s="4">
        <f t="shared" si="1050"/>
        <v>1971</v>
      </c>
      <c r="F1971" s="9" t="s">
        <v>122</v>
      </c>
      <c r="O1971" s="23" t="s">
        <v>158</v>
      </c>
    </row>
    <row r="1972" spans="1:15">
      <c r="A1972" s="9"/>
      <c r="B1972" s="9"/>
      <c r="C1972" s="9"/>
      <c r="D1972" s="9"/>
      <c r="E1972" s="4">
        <f t="shared" si="1050"/>
        <v>1972</v>
      </c>
      <c r="F1972" s="9" t="s">
        <v>117</v>
      </c>
      <c r="G1972" s="9" t="s">
        <v>253</v>
      </c>
      <c r="H1972" s="9" t="s">
        <v>254</v>
      </c>
      <c r="I1972" s="9" t="s">
        <v>255</v>
      </c>
      <c r="J1972" s="9" t="s">
        <v>256</v>
      </c>
      <c r="L1972" s="9" t="s">
        <v>138</v>
      </c>
      <c r="O1972" s="23">
        <f t="shared" ref="O1972" ca="1" si="1051">IF(MOD(D1966,2)=0,RANDBETWEEN($I$19,$J$19),RANDBETWEEN($G$19,$H$19))</f>
        <v>115</v>
      </c>
    </row>
    <row r="1973" spans="1:15">
      <c r="E1973" s="4">
        <f t="shared" si="1050"/>
        <v>1973</v>
      </c>
      <c r="F1973" s="9" t="s">
        <v>30</v>
      </c>
      <c r="O1973" s="23" t="s">
        <v>33</v>
      </c>
    </row>
    <row r="1974" spans="1:15">
      <c r="E1974" s="4">
        <f t="shared" si="1050"/>
        <v>1974</v>
      </c>
      <c r="F1974" s="9" t="s">
        <v>119</v>
      </c>
      <c r="G1974" s="9" t="s">
        <v>257</v>
      </c>
      <c r="H1974" s="9" t="s">
        <v>258</v>
      </c>
      <c r="I1974" s="9" t="s">
        <v>34</v>
      </c>
      <c r="O1974" s="23">
        <f t="shared" ref="O1974:O2037" ca="1" si="1052">RANDBETWEEN($G$21*$I$21,$H$21*$I$21)/$I$21</f>
        <v>-5.7</v>
      </c>
    </row>
    <row r="1975" spans="1:15">
      <c r="E1975" s="4">
        <f t="shared" si="1050"/>
        <v>1975</v>
      </c>
      <c r="F1975" s="9" t="s">
        <v>112</v>
      </c>
      <c r="O1975" s="23">
        <v>0</v>
      </c>
    </row>
    <row r="1976" spans="1:15">
      <c r="E1976" s="4">
        <f t="shared" si="1050"/>
        <v>1976</v>
      </c>
      <c r="F1976" s="9" t="s">
        <v>102</v>
      </c>
      <c r="G1976" s="9" t="s">
        <v>259</v>
      </c>
      <c r="H1976" s="9" t="s">
        <v>260</v>
      </c>
      <c r="I1976" s="9" t="s">
        <v>34</v>
      </c>
      <c r="J1976" s="9" t="s">
        <v>261</v>
      </c>
      <c r="K1976" s="9" t="s">
        <v>140</v>
      </c>
      <c r="O1976" s="23" t="str">
        <f t="shared" ref="O1976:O2039" ca="1" si="1053">CONCATENATE(RANDBETWEEN($G$23*$I$23,$H$23*$I$23)/$I$23,$J$23)</f>
        <v>0.1,6</v>
      </c>
    </row>
    <row r="1977" spans="1:15">
      <c r="E1977" s="4">
        <f t="shared" si="1050"/>
        <v>1977</v>
      </c>
      <c r="F1977" s="9" t="s">
        <v>31</v>
      </c>
      <c r="L1977" s="9" t="s">
        <v>148</v>
      </c>
    </row>
    <row r="1978" spans="1:15">
      <c r="E1978" s="4">
        <f t="shared" si="1050"/>
        <v>1978</v>
      </c>
      <c r="F1978" s="9" t="s">
        <v>136</v>
      </c>
      <c r="L1978" s="9" t="s">
        <v>149</v>
      </c>
    </row>
    <row r="1979" spans="1:15">
      <c r="E1979" s="4">
        <f t="shared" si="1050"/>
        <v>1979</v>
      </c>
      <c r="F1979" s="9" t="s">
        <v>137</v>
      </c>
      <c r="K1979" s="9" t="s">
        <v>141</v>
      </c>
      <c r="O1979" s="23">
        <v>1</v>
      </c>
    </row>
    <row r="1980" spans="1:15">
      <c r="E1980" s="4">
        <f t="shared" si="1050"/>
        <v>1980</v>
      </c>
      <c r="F1980" s="9" t="s">
        <v>137</v>
      </c>
      <c r="G1980" s="9" t="s">
        <v>262</v>
      </c>
      <c r="H1980" s="9" t="s">
        <v>32</v>
      </c>
      <c r="I1980" s="9" t="s">
        <v>34</v>
      </c>
      <c r="J1980" s="9" t="s">
        <v>263</v>
      </c>
      <c r="K1980" s="9" t="s">
        <v>140</v>
      </c>
      <c r="O1980" s="23" t="str">
        <f t="shared" ref="O1980:O2043" ca="1" si="1054">CONCATENATE(RANDBETWEEN($G$27*$I$27,$H$27*$I$27)/$I$27,$J$27)</f>
        <v>-0.5,-4.5</v>
      </c>
    </row>
    <row r="1981" spans="1:15">
      <c r="E1981" s="4">
        <f t="shared" si="1050"/>
        <v>1981</v>
      </c>
      <c r="F1981" s="9" t="s">
        <v>105</v>
      </c>
      <c r="O1981" s="23">
        <f t="shared" ref="O1981" si="1055">O1967*10+1</f>
        <v>100941</v>
      </c>
    </row>
    <row r="1982" spans="1:15">
      <c r="E1982" s="4">
        <f t="shared" si="1050"/>
        <v>1982</v>
      </c>
      <c r="F1982" s="9" t="s">
        <v>156</v>
      </c>
      <c r="O1982" s="23">
        <f t="shared" ref="O1982" si="1056">O1967</f>
        <v>10094</v>
      </c>
    </row>
    <row r="1983" spans="1:15">
      <c r="E1983" s="4">
        <f t="shared" si="1050"/>
        <v>1983</v>
      </c>
      <c r="F1983" s="9" t="s">
        <v>131</v>
      </c>
      <c r="O1983" s="23">
        <v>0</v>
      </c>
    </row>
    <row r="1984" spans="1:15">
      <c r="E1984" s="4">
        <f t="shared" si="1050"/>
        <v>1984</v>
      </c>
      <c r="F1984" s="9" t="s">
        <v>35</v>
      </c>
      <c r="O1984" s="23" t="s">
        <v>252</v>
      </c>
    </row>
    <row r="1985" spans="1:15">
      <c r="E1985" s="4">
        <f t="shared" si="1050"/>
        <v>1985</v>
      </c>
      <c r="F1985" s="9" t="s">
        <v>119</v>
      </c>
      <c r="O1985" s="23" t="s">
        <v>22</v>
      </c>
    </row>
    <row r="1986" spans="1:15">
      <c r="E1986" s="4">
        <f t="shared" si="1050"/>
        <v>1986</v>
      </c>
      <c r="F1986" s="9" t="s">
        <v>117</v>
      </c>
      <c r="L1986" s="9" t="s">
        <v>138</v>
      </c>
      <c r="O1986" s="23">
        <f t="shared" ref="O1986" ca="1" si="1057">O1972</f>
        <v>115</v>
      </c>
    </row>
    <row r="1987" spans="1:15">
      <c r="B1987" s="22">
        <f t="shared" ref="B1987:B2050" si="1058">QUOTIENT( D1987-1,G1988)+1</f>
        <v>32</v>
      </c>
      <c r="C1987" s="22">
        <f t="shared" ref="C1987" si="1059">D1987-(B1987-1)*G1988</f>
        <v>2</v>
      </c>
      <c r="D1987" s="22">
        <f>COUNT($D$12:$D1986)+1</f>
        <v>95</v>
      </c>
      <c r="E1987" s="4"/>
    </row>
    <row r="1988" spans="1:15">
      <c r="E1988" s="4">
        <f t="shared" si="1050"/>
        <v>1988</v>
      </c>
      <c r="F1988" s="9" t="s">
        <v>96</v>
      </c>
      <c r="G1988" s="9" t="s">
        <v>38</v>
      </c>
      <c r="H1988" s="9" t="s">
        <v>282</v>
      </c>
      <c r="J1988" s="9" t="s">
        <v>247</v>
      </c>
      <c r="O1988" s="23">
        <f t="shared" ref="O1988:O2051" si="1060">J1988+D1987</f>
        <v>10095</v>
      </c>
    </row>
    <row r="1989" spans="1:15">
      <c r="E1989" s="4">
        <f t="shared" si="1050"/>
        <v>1989</v>
      </c>
      <c r="F1989" s="9" t="s">
        <v>165</v>
      </c>
      <c r="G1989" s="9" t="s">
        <v>280</v>
      </c>
      <c r="H1989" s="9" t="s">
        <v>249</v>
      </c>
      <c r="O1989" s="23">
        <f t="shared" ref="O1989" si="1061">G1989+B1987*H1989</f>
        <v>980</v>
      </c>
    </row>
    <row r="1990" spans="1:15">
      <c r="E1990" s="4">
        <f t="shared" si="1050"/>
        <v>1990</v>
      </c>
      <c r="F1990" s="9" t="s">
        <v>35</v>
      </c>
      <c r="O1990" s="23" t="s">
        <v>251</v>
      </c>
    </row>
    <row r="1991" spans="1:15">
      <c r="E1991" s="4">
        <f t="shared" si="1050"/>
        <v>1991</v>
      </c>
      <c r="F1991" s="9" t="s">
        <v>29</v>
      </c>
      <c r="O1991" s="23" t="s">
        <v>157</v>
      </c>
    </row>
    <row r="1992" spans="1:15">
      <c r="E1992" s="4">
        <f t="shared" si="1050"/>
        <v>1992</v>
      </c>
      <c r="F1992" s="9" t="s">
        <v>122</v>
      </c>
      <c r="O1992" s="23" t="s">
        <v>158</v>
      </c>
    </row>
    <row r="1993" spans="1:15">
      <c r="E1993" s="4">
        <f t="shared" si="1050"/>
        <v>1993</v>
      </c>
      <c r="F1993" s="9" t="s">
        <v>117</v>
      </c>
      <c r="G1993" s="9" t="s">
        <v>253</v>
      </c>
      <c r="H1993" s="9" t="s">
        <v>254</v>
      </c>
      <c r="I1993" s="9" t="s">
        <v>255</v>
      </c>
      <c r="J1993" s="9" t="s">
        <v>256</v>
      </c>
      <c r="L1993" s="9" t="s">
        <v>138</v>
      </c>
      <c r="O1993" s="23">
        <f t="shared" ref="O1993" ca="1" si="1062">IF(MOD(D1987,2)=0,RANDBETWEEN($I$19,$J$19),RANDBETWEEN($G$19,$H$19))</f>
        <v>-117</v>
      </c>
    </row>
    <row r="1994" spans="1:15">
      <c r="A1994" s="9"/>
      <c r="B1994" s="9"/>
      <c r="C1994" s="9"/>
      <c r="D1994" s="9"/>
      <c r="E1994" s="4">
        <f t="shared" si="1050"/>
        <v>1994</v>
      </c>
      <c r="F1994" s="9" t="s">
        <v>30</v>
      </c>
      <c r="O1994" s="23" t="s">
        <v>33</v>
      </c>
    </row>
    <row r="1995" spans="1:15">
      <c r="E1995" s="4">
        <f t="shared" si="1050"/>
        <v>1995</v>
      </c>
      <c r="F1995" s="9" t="s">
        <v>119</v>
      </c>
      <c r="G1995" s="9" t="s">
        <v>257</v>
      </c>
      <c r="H1995" s="9" t="s">
        <v>258</v>
      </c>
      <c r="I1995" s="9" t="s">
        <v>34</v>
      </c>
      <c r="O1995" s="23">
        <f t="shared" ref="O1995:O2058" ca="1" si="1063">RANDBETWEEN($G$21*$I$21,$H$21*$I$21)/$I$21</f>
        <v>-4.5999999999999996</v>
      </c>
    </row>
    <row r="1996" spans="1:15">
      <c r="E1996" s="4">
        <f t="shared" si="1050"/>
        <v>1996</v>
      </c>
      <c r="F1996" s="9" t="s">
        <v>112</v>
      </c>
      <c r="O1996" s="23">
        <v>0</v>
      </c>
    </row>
    <row r="1997" spans="1:15">
      <c r="E1997" s="4">
        <f t="shared" si="1050"/>
        <v>1997</v>
      </c>
      <c r="F1997" s="9" t="s">
        <v>102</v>
      </c>
      <c r="G1997" s="9" t="s">
        <v>259</v>
      </c>
      <c r="H1997" s="9" t="s">
        <v>260</v>
      </c>
      <c r="I1997" s="9" t="s">
        <v>34</v>
      </c>
      <c r="J1997" s="9" t="s">
        <v>261</v>
      </c>
      <c r="K1997" s="9" t="s">
        <v>140</v>
      </c>
      <c r="O1997" s="23" t="str">
        <f t="shared" ref="O1997:O2060" ca="1" si="1064">CONCATENATE(RANDBETWEEN($G$23*$I$23,$H$23*$I$23)/$I$23,$J$23)</f>
        <v>-2.3,6</v>
      </c>
    </row>
    <row r="1998" spans="1:15">
      <c r="E1998" s="4">
        <f t="shared" si="1050"/>
        <v>1998</v>
      </c>
      <c r="F1998" s="9" t="s">
        <v>31</v>
      </c>
      <c r="L1998" s="9" t="s">
        <v>148</v>
      </c>
    </row>
    <row r="1999" spans="1:15">
      <c r="E1999" s="4">
        <f t="shared" si="1050"/>
        <v>1999</v>
      </c>
      <c r="F1999" s="9" t="s">
        <v>136</v>
      </c>
      <c r="L1999" s="9" t="s">
        <v>149</v>
      </c>
    </row>
    <row r="2000" spans="1:15">
      <c r="E2000" s="4">
        <f t="shared" si="1050"/>
        <v>2000</v>
      </c>
      <c r="F2000" s="9" t="s">
        <v>137</v>
      </c>
      <c r="K2000" s="9" t="s">
        <v>141</v>
      </c>
      <c r="O2000" s="23">
        <v>1</v>
      </c>
    </row>
    <row r="2001" spans="1:15">
      <c r="E2001" s="4">
        <f t="shared" si="1050"/>
        <v>2001</v>
      </c>
      <c r="F2001" s="9" t="s">
        <v>137</v>
      </c>
      <c r="G2001" s="9" t="s">
        <v>262</v>
      </c>
      <c r="H2001" s="9" t="s">
        <v>32</v>
      </c>
      <c r="I2001" s="9" t="s">
        <v>34</v>
      </c>
      <c r="J2001" s="9" t="s">
        <v>263</v>
      </c>
      <c r="K2001" s="9" t="s">
        <v>140</v>
      </c>
      <c r="O2001" s="23" t="str">
        <f t="shared" ref="O2001:O2064" ca="1" si="1065">CONCATENATE(RANDBETWEEN($G$27*$I$27,$H$27*$I$27)/$I$27,$J$27)</f>
        <v>2.9,-4.5</v>
      </c>
    </row>
    <row r="2002" spans="1:15">
      <c r="E2002" s="4">
        <f t="shared" si="1050"/>
        <v>2002</v>
      </c>
      <c r="F2002" s="9" t="s">
        <v>105</v>
      </c>
      <c r="O2002" s="23">
        <f t="shared" ref="O2002" si="1066">O1988*10+1</f>
        <v>100951</v>
      </c>
    </row>
    <row r="2003" spans="1:15">
      <c r="E2003" s="4">
        <f t="shared" si="1050"/>
        <v>2003</v>
      </c>
      <c r="F2003" s="9" t="s">
        <v>156</v>
      </c>
      <c r="O2003" s="23">
        <f t="shared" ref="O2003" si="1067">O1988</f>
        <v>10095</v>
      </c>
    </row>
    <row r="2004" spans="1:15">
      <c r="E2004" s="4">
        <f t="shared" si="1050"/>
        <v>2004</v>
      </c>
      <c r="F2004" s="9" t="s">
        <v>131</v>
      </c>
      <c r="O2004" s="23">
        <v>0</v>
      </c>
    </row>
    <row r="2005" spans="1:15">
      <c r="E2005" s="4">
        <f t="shared" si="1050"/>
        <v>2005</v>
      </c>
      <c r="F2005" s="9" t="s">
        <v>35</v>
      </c>
      <c r="O2005" s="23" t="s">
        <v>252</v>
      </c>
    </row>
    <row r="2006" spans="1:15">
      <c r="E2006" s="4">
        <f t="shared" si="1050"/>
        <v>2006</v>
      </c>
      <c r="F2006" s="9" t="s">
        <v>119</v>
      </c>
      <c r="O2006" s="23" t="s">
        <v>22</v>
      </c>
    </row>
    <row r="2007" spans="1:15">
      <c r="E2007" s="4">
        <f t="shared" si="1050"/>
        <v>2007</v>
      </c>
      <c r="F2007" s="9" t="s">
        <v>117</v>
      </c>
      <c r="L2007" s="9" t="s">
        <v>138</v>
      </c>
      <c r="O2007" s="23">
        <f t="shared" ref="O2007" ca="1" si="1068">O1993</f>
        <v>-117</v>
      </c>
    </row>
    <row r="2008" spans="1:15">
      <c r="B2008" s="22">
        <f t="shared" ref="B2008:B2071" si="1069">QUOTIENT( D2008-1,G2009)+1</f>
        <v>32</v>
      </c>
      <c r="C2008" s="22">
        <f t="shared" ref="C2008" si="1070">D2008-(B2008-1)*G2009</f>
        <v>3</v>
      </c>
      <c r="D2008" s="22">
        <f>COUNT($D$12:$D2007)+1</f>
        <v>96</v>
      </c>
      <c r="E2008" s="4"/>
    </row>
    <row r="2009" spans="1:15">
      <c r="E2009" s="4">
        <f t="shared" si="1050"/>
        <v>2009</v>
      </c>
      <c r="F2009" s="9" t="s">
        <v>96</v>
      </c>
      <c r="G2009" s="9" t="s">
        <v>38</v>
      </c>
      <c r="H2009" s="9" t="s">
        <v>282</v>
      </c>
      <c r="J2009" s="9" t="s">
        <v>247</v>
      </c>
      <c r="O2009" s="23">
        <f t="shared" ref="O2009:O2072" si="1071">J2009+D2008</f>
        <v>10096</v>
      </c>
    </row>
    <row r="2010" spans="1:15">
      <c r="E2010" s="4">
        <f t="shared" si="1050"/>
        <v>2010</v>
      </c>
      <c r="F2010" s="9" t="s">
        <v>165</v>
      </c>
      <c r="G2010" s="9" t="s">
        <v>280</v>
      </c>
      <c r="H2010" s="9" t="s">
        <v>249</v>
      </c>
      <c r="O2010" s="23">
        <f t="shared" ref="O2010" si="1072">G2010+B2008*H2010</f>
        <v>980</v>
      </c>
    </row>
    <row r="2011" spans="1:15">
      <c r="E2011" s="4">
        <f t="shared" si="1050"/>
        <v>2011</v>
      </c>
      <c r="F2011" s="9" t="s">
        <v>35</v>
      </c>
      <c r="O2011" s="23" t="s">
        <v>251</v>
      </c>
    </row>
    <row r="2012" spans="1:15">
      <c r="E2012" s="4">
        <f t="shared" si="1050"/>
        <v>2012</v>
      </c>
      <c r="F2012" s="9" t="s">
        <v>29</v>
      </c>
      <c r="O2012" s="23" t="s">
        <v>157</v>
      </c>
    </row>
    <row r="2013" spans="1:15">
      <c r="E2013" s="4">
        <f t="shared" si="1050"/>
        <v>2013</v>
      </c>
      <c r="F2013" s="9" t="s">
        <v>122</v>
      </c>
      <c r="O2013" s="23" t="s">
        <v>158</v>
      </c>
    </row>
    <row r="2014" spans="1:15">
      <c r="E2014" s="4">
        <f t="shared" si="1050"/>
        <v>2014</v>
      </c>
      <c r="F2014" s="9" t="s">
        <v>117</v>
      </c>
      <c r="G2014" s="9" t="s">
        <v>253</v>
      </c>
      <c r="H2014" s="9" t="s">
        <v>254</v>
      </c>
      <c r="I2014" s="9" t="s">
        <v>255</v>
      </c>
      <c r="J2014" s="9" t="s">
        <v>256</v>
      </c>
      <c r="L2014" s="9" t="s">
        <v>138</v>
      </c>
      <c r="O2014" s="23">
        <f t="shared" ref="O2014" ca="1" si="1073">IF(MOD(D2008,2)=0,RANDBETWEEN($I$19,$J$19),RANDBETWEEN($G$19,$H$19))</f>
        <v>84</v>
      </c>
    </row>
    <row r="2015" spans="1:15">
      <c r="E2015" s="4">
        <f t="shared" si="1050"/>
        <v>2015</v>
      </c>
      <c r="F2015" s="9" t="s">
        <v>30</v>
      </c>
      <c r="O2015" s="23" t="s">
        <v>33</v>
      </c>
    </row>
    <row r="2016" spans="1:15">
      <c r="A2016" s="9"/>
      <c r="B2016" s="9"/>
      <c r="C2016" s="9"/>
      <c r="D2016" s="9"/>
      <c r="E2016" s="4">
        <f t="shared" si="1050"/>
        <v>2016</v>
      </c>
      <c r="F2016" s="9" t="s">
        <v>119</v>
      </c>
      <c r="G2016" s="9" t="s">
        <v>257</v>
      </c>
      <c r="H2016" s="9" t="s">
        <v>258</v>
      </c>
      <c r="I2016" s="9" t="s">
        <v>34</v>
      </c>
      <c r="O2016" s="23">
        <f t="shared" ref="O2016:O2079" ca="1" si="1074">RANDBETWEEN($G$21*$I$21,$H$21*$I$21)/$I$21</f>
        <v>-4.5</v>
      </c>
    </row>
    <row r="2017" spans="2:15">
      <c r="E2017" s="4">
        <f t="shared" si="1050"/>
        <v>2017</v>
      </c>
      <c r="F2017" s="9" t="s">
        <v>112</v>
      </c>
      <c r="O2017" s="23">
        <v>0</v>
      </c>
    </row>
    <row r="2018" spans="2:15">
      <c r="E2018" s="4">
        <f t="shared" si="1050"/>
        <v>2018</v>
      </c>
      <c r="F2018" s="9" t="s">
        <v>102</v>
      </c>
      <c r="G2018" s="9" t="s">
        <v>259</v>
      </c>
      <c r="H2018" s="9" t="s">
        <v>260</v>
      </c>
      <c r="I2018" s="9" t="s">
        <v>34</v>
      </c>
      <c r="J2018" s="9" t="s">
        <v>261</v>
      </c>
      <c r="K2018" s="9" t="s">
        <v>140</v>
      </c>
      <c r="O2018" s="23" t="str">
        <f t="shared" ref="O2018:O2049" ca="1" si="1075">CONCATENATE(RANDBETWEEN($G$23*$I$23,$H$23*$I$23)/$I$23,$J$23)</f>
        <v>0.6,6</v>
      </c>
    </row>
    <row r="2019" spans="2:15">
      <c r="E2019" s="4">
        <f t="shared" si="1050"/>
        <v>2019</v>
      </c>
      <c r="F2019" s="9" t="s">
        <v>31</v>
      </c>
      <c r="L2019" s="9" t="s">
        <v>148</v>
      </c>
    </row>
    <row r="2020" spans="2:15">
      <c r="E2020" s="4">
        <f t="shared" si="1050"/>
        <v>2020</v>
      </c>
      <c r="F2020" s="9" t="s">
        <v>136</v>
      </c>
      <c r="L2020" s="9" t="s">
        <v>149</v>
      </c>
    </row>
    <row r="2021" spans="2:15">
      <c r="E2021" s="4">
        <f t="shared" si="1050"/>
        <v>2021</v>
      </c>
      <c r="F2021" s="9" t="s">
        <v>137</v>
      </c>
      <c r="K2021" s="9" t="s">
        <v>141</v>
      </c>
      <c r="O2021" s="23">
        <v>1</v>
      </c>
    </row>
    <row r="2022" spans="2:15">
      <c r="E2022" s="4">
        <f t="shared" si="1050"/>
        <v>2022</v>
      </c>
      <c r="F2022" s="9" t="s">
        <v>137</v>
      </c>
      <c r="G2022" s="9" t="s">
        <v>262</v>
      </c>
      <c r="H2022" s="9" t="s">
        <v>32</v>
      </c>
      <c r="I2022" s="9" t="s">
        <v>34</v>
      </c>
      <c r="J2022" s="9" t="s">
        <v>263</v>
      </c>
      <c r="K2022" s="9" t="s">
        <v>140</v>
      </c>
      <c r="O2022" s="23" t="str">
        <f t="shared" ref="O2022:O2053" ca="1" si="1076">CONCATENATE(RANDBETWEEN($G$27*$I$27,$H$27*$I$27)/$I$27,$J$27)</f>
        <v>-2.6,-4.5</v>
      </c>
    </row>
    <row r="2023" spans="2:15">
      <c r="E2023" s="4">
        <f t="shared" si="1050"/>
        <v>2023</v>
      </c>
      <c r="F2023" s="9" t="s">
        <v>105</v>
      </c>
      <c r="O2023" s="23">
        <f t="shared" ref="O2023" si="1077">O2009*10+1</f>
        <v>100961</v>
      </c>
    </row>
    <row r="2024" spans="2:15">
      <c r="E2024" s="4">
        <f t="shared" si="1050"/>
        <v>2024</v>
      </c>
      <c r="F2024" s="9" t="s">
        <v>156</v>
      </c>
      <c r="O2024" s="23">
        <f t="shared" ref="O2024" si="1078">O2009</f>
        <v>10096</v>
      </c>
    </row>
    <row r="2025" spans="2:15">
      <c r="E2025" s="4">
        <f t="shared" si="1050"/>
        <v>2025</v>
      </c>
      <c r="F2025" s="9" t="s">
        <v>131</v>
      </c>
      <c r="O2025" s="23">
        <v>0</v>
      </c>
    </row>
    <row r="2026" spans="2:15">
      <c r="E2026" s="4">
        <f t="shared" si="1050"/>
        <v>2026</v>
      </c>
      <c r="F2026" s="9" t="s">
        <v>35</v>
      </c>
      <c r="O2026" s="23" t="s">
        <v>252</v>
      </c>
    </row>
    <row r="2027" spans="2:15">
      <c r="E2027" s="4">
        <f t="shared" si="1050"/>
        <v>2027</v>
      </c>
      <c r="F2027" s="9" t="s">
        <v>119</v>
      </c>
      <c r="O2027" s="23" t="s">
        <v>22</v>
      </c>
    </row>
    <row r="2028" spans="2:15">
      <c r="E2028" s="4">
        <f t="shared" si="1050"/>
        <v>2028</v>
      </c>
      <c r="F2028" s="9" t="s">
        <v>117</v>
      </c>
      <c r="L2028" s="9" t="s">
        <v>138</v>
      </c>
      <c r="O2028" s="23">
        <f t="shared" ref="O2028" ca="1" si="1079">O2014</f>
        <v>84</v>
      </c>
    </row>
    <row r="2029" spans="2:15">
      <c r="B2029" s="22">
        <f t="shared" ref="B2029:B2060" si="1080">QUOTIENT( D2029-1,G2030)+1</f>
        <v>33</v>
      </c>
      <c r="C2029" s="22">
        <f t="shared" ref="C2029" si="1081">D2029-(B2029-1)*G2030</f>
        <v>1</v>
      </c>
      <c r="D2029" s="22">
        <f>COUNT($D$12:$D2028)+1</f>
        <v>97</v>
      </c>
      <c r="E2029" s="4"/>
    </row>
    <row r="2030" spans="2:15">
      <c r="E2030" s="4">
        <f t="shared" si="1050"/>
        <v>2030</v>
      </c>
      <c r="F2030" s="9" t="s">
        <v>96</v>
      </c>
      <c r="G2030" s="9" t="s">
        <v>38</v>
      </c>
      <c r="H2030" s="9" t="s">
        <v>282</v>
      </c>
      <c r="J2030" s="9" t="s">
        <v>247</v>
      </c>
      <c r="O2030" s="23">
        <f t="shared" ref="O2030:O2061" si="1082">J2030+D2029</f>
        <v>10097</v>
      </c>
    </row>
    <row r="2031" spans="2:15">
      <c r="E2031" s="4">
        <f t="shared" si="1050"/>
        <v>2031</v>
      </c>
      <c r="F2031" s="9" t="s">
        <v>165</v>
      </c>
      <c r="G2031" s="9" t="s">
        <v>280</v>
      </c>
      <c r="H2031" s="9" t="s">
        <v>249</v>
      </c>
      <c r="O2031" s="23">
        <f t="shared" ref="O2031" si="1083">G2031+B2029*H2031</f>
        <v>995</v>
      </c>
    </row>
    <row r="2032" spans="2:15">
      <c r="E2032" s="4">
        <f t="shared" si="1050"/>
        <v>2032</v>
      </c>
      <c r="F2032" s="9" t="s">
        <v>35</v>
      </c>
      <c r="O2032" s="23" t="s">
        <v>251</v>
      </c>
    </row>
    <row r="2033" spans="1:15">
      <c r="E2033" s="4">
        <f t="shared" ref="E2033:E2096" si="1084">ROW(E2033)</f>
        <v>2033</v>
      </c>
      <c r="F2033" s="9" t="s">
        <v>29</v>
      </c>
      <c r="O2033" s="23" t="s">
        <v>157</v>
      </c>
    </row>
    <row r="2034" spans="1:15">
      <c r="E2034" s="4">
        <f t="shared" si="1084"/>
        <v>2034</v>
      </c>
      <c r="F2034" s="9" t="s">
        <v>122</v>
      </c>
      <c r="O2034" s="23" t="s">
        <v>158</v>
      </c>
    </row>
    <row r="2035" spans="1:15">
      <c r="E2035" s="4">
        <f t="shared" si="1084"/>
        <v>2035</v>
      </c>
      <c r="F2035" s="9" t="s">
        <v>117</v>
      </c>
      <c r="G2035" s="9" t="s">
        <v>253</v>
      </c>
      <c r="H2035" s="9" t="s">
        <v>254</v>
      </c>
      <c r="I2035" s="9" t="s">
        <v>255</v>
      </c>
      <c r="J2035" s="9" t="s">
        <v>256</v>
      </c>
      <c r="L2035" s="9" t="s">
        <v>138</v>
      </c>
      <c r="O2035" s="23">
        <f t="shared" ref="O2035" ca="1" si="1085">IF(MOD(D2029,2)=0,RANDBETWEEN($I$19,$J$19),RANDBETWEEN($G$19,$H$19))</f>
        <v>-118</v>
      </c>
    </row>
    <row r="2036" spans="1:15">
      <c r="E2036" s="4">
        <f t="shared" si="1084"/>
        <v>2036</v>
      </c>
      <c r="F2036" s="9" t="s">
        <v>30</v>
      </c>
      <c r="O2036" s="23" t="s">
        <v>33</v>
      </c>
    </row>
    <row r="2037" spans="1:15">
      <c r="E2037" s="4">
        <f t="shared" si="1084"/>
        <v>2037</v>
      </c>
      <c r="F2037" s="9" t="s">
        <v>119</v>
      </c>
      <c r="G2037" s="9" t="s">
        <v>257</v>
      </c>
      <c r="H2037" s="9" t="s">
        <v>258</v>
      </c>
      <c r="I2037" s="9" t="s">
        <v>34</v>
      </c>
      <c r="O2037" s="23">
        <f t="shared" ref="O2037:O2068" ca="1" si="1086">RANDBETWEEN($G$21*$I$21,$H$21*$I$21)/$I$21</f>
        <v>-4.0999999999999996</v>
      </c>
    </row>
    <row r="2038" spans="1:15">
      <c r="A2038" s="9"/>
      <c r="B2038" s="9"/>
      <c r="C2038" s="9"/>
      <c r="D2038" s="9"/>
      <c r="E2038" s="4">
        <f t="shared" si="1084"/>
        <v>2038</v>
      </c>
      <c r="F2038" s="9" t="s">
        <v>112</v>
      </c>
      <c r="O2038" s="23">
        <v>0</v>
      </c>
    </row>
    <row r="2039" spans="1:15">
      <c r="E2039" s="4">
        <f t="shared" si="1084"/>
        <v>2039</v>
      </c>
      <c r="F2039" s="9" t="s">
        <v>102</v>
      </c>
      <c r="G2039" s="9" t="s">
        <v>259</v>
      </c>
      <c r="H2039" s="9" t="s">
        <v>260</v>
      </c>
      <c r="I2039" s="9" t="s">
        <v>34</v>
      </c>
      <c r="J2039" s="9" t="s">
        <v>261</v>
      </c>
      <c r="K2039" s="9" t="s">
        <v>140</v>
      </c>
      <c r="O2039" s="23" t="str">
        <f t="shared" ref="O2039:O2070" ca="1" si="1087">CONCATENATE(RANDBETWEEN($G$23*$I$23,$H$23*$I$23)/$I$23,$J$23)</f>
        <v>-1.8,6</v>
      </c>
    </row>
    <row r="2040" spans="1:15">
      <c r="E2040" s="4">
        <f t="shared" si="1084"/>
        <v>2040</v>
      </c>
      <c r="F2040" s="9" t="s">
        <v>31</v>
      </c>
      <c r="L2040" s="9" t="s">
        <v>148</v>
      </c>
    </row>
    <row r="2041" spans="1:15">
      <c r="E2041" s="4">
        <f t="shared" si="1084"/>
        <v>2041</v>
      </c>
      <c r="F2041" s="9" t="s">
        <v>136</v>
      </c>
      <c r="L2041" s="9" t="s">
        <v>149</v>
      </c>
    </row>
    <row r="2042" spans="1:15">
      <c r="E2042" s="4">
        <f t="shared" si="1084"/>
        <v>2042</v>
      </c>
      <c r="F2042" s="9" t="s">
        <v>137</v>
      </c>
      <c r="K2042" s="9" t="s">
        <v>141</v>
      </c>
      <c r="O2042" s="23">
        <v>1</v>
      </c>
    </row>
    <row r="2043" spans="1:15">
      <c r="E2043" s="4">
        <f t="shared" si="1084"/>
        <v>2043</v>
      </c>
      <c r="F2043" s="9" t="s">
        <v>137</v>
      </c>
      <c r="G2043" s="9" t="s">
        <v>262</v>
      </c>
      <c r="H2043" s="9" t="s">
        <v>32</v>
      </c>
      <c r="I2043" s="9" t="s">
        <v>34</v>
      </c>
      <c r="J2043" s="9" t="s">
        <v>263</v>
      </c>
      <c r="K2043" s="9" t="s">
        <v>140</v>
      </c>
      <c r="O2043" s="23" t="str">
        <f t="shared" ref="O2043:O2074" ca="1" si="1088">CONCATENATE(RANDBETWEEN($G$27*$I$27,$H$27*$I$27)/$I$27,$J$27)</f>
        <v>4.4,-4.5</v>
      </c>
    </row>
    <row r="2044" spans="1:15">
      <c r="E2044" s="4">
        <f t="shared" si="1084"/>
        <v>2044</v>
      </c>
      <c r="F2044" s="9" t="s">
        <v>105</v>
      </c>
      <c r="O2044" s="23">
        <f t="shared" ref="O2044" si="1089">O2030*10+1</f>
        <v>100971</v>
      </c>
    </row>
    <row r="2045" spans="1:15">
      <c r="E2045" s="4">
        <f t="shared" si="1084"/>
        <v>2045</v>
      </c>
      <c r="F2045" s="9" t="s">
        <v>156</v>
      </c>
      <c r="O2045" s="23">
        <f t="shared" ref="O2045" si="1090">O2030</f>
        <v>10097</v>
      </c>
    </row>
    <row r="2046" spans="1:15">
      <c r="E2046" s="4">
        <f t="shared" si="1084"/>
        <v>2046</v>
      </c>
      <c r="F2046" s="9" t="s">
        <v>131</v>
      </c>
      <c r="O2046" s="23">
        <v>0</v>
      </c>
    </row>
    <row r="2047" spans="1:15">
      <c r="E2047" s="4">
        <f t="shared" si="1084"/>
        <v>2047</v>
      </c>
      <c r="F2047" s="9" t="s">
        <v>35</v>
      </c>
      <c r="O2047" s="23" t="s">
        <v>252</v>
      </c>
    </row>
    <row r="2048" spans="1:15">
      <c r="E2048" s="4">
        <f t="shared" si="1084"/>
        <v>2048</v>
      </c>
      <c r="F2048" s="9" t="s">
        <v>119</v>
      </c>
      <c r="O2048" s="23" t="s">
        <v>22</v>
      </c>
    </row>
    <row r="2049" spans="1:15">
      <c r="E2049" s="4">
        <f t="shared" si="1084"/>
        <v>2049</v>
      </c>
      <c r="F2049" s="9" t="s">
        <v>117</v>
      </c>
      <c r="L2049" s="9" t="s">
        <v>138</v>
      </c>
      <c r="O2049" s="23">
        <f t="shared" ref="O2049" ca="1" si="1091">O2035</f>
        <v>-118</v>
      </c>
    </row>
    <row r="2050" spans="1:15">
      <c r="B2050" s="22">
        <f t="shared" ref="B2050:B2081" si="1092">QUOTIENT( D2050-1,G2051)+1</f>
        <v>33</v>
      </c>
      <c r="C2050" s="22">
        <f t="shared" ref="C2050" si="1093">D2050-(B2050-1)*G2051</f>
        <v>2</v>
      </c>
      <c r="D2050" s="22">
        <f>COUNT($D$12:$D2049)+1</f>
        <v>98</v>
      </c>
      <c r="E2050" s="4"/>
    </row>
    <row r="2051" spans="1:15">
      <c r="E2051" s="4">
        <f t="shared" si="1084"/>
        <v>2051</v>
      </c>
      <c r="F2051" s="9" t="s">
        <v>96</v>
      </c>
      <c r="G2051" s="9" t="s">
        <v>38</v>
      </c>
      <c r="H2051" s="9" t="s">
        <v>282</v>
      </c>
      <c r="J2051" s="9" t="s">
        <v>247</v>
      </c>
      <c r="O2051" s="23">
        <f t="shared" ref="O2051:O2082" si="1094">J2051+D2050</f>
        <v>10098</v>
      </c>
    </row>
    <row r="2052" spans="1:15">
      <c r="E2052" s="4">
        <f t="shared" si="1084"/>
        <v>2052</v>
      </c>
      <c r="F2052" s="9" t="s">
        <v>165</v>
      </c>
      <c r="G2052" s="9" t="s">
        <v>280</v>
      </c>
      <c r="H2052" s="9" t="s">
        <v>249</v>
      </c>
      <c r="O2052" s="23">
        <f t="shared" ref="O2052" si="1095">G2052+B2050*H2052</f>
        <v>995</v>
      </c>
    </row>
    <row r="2053" spans="1:15">
      <c r="E2053" s="4">
        <f t="shared" si="1084"/>
        <v>2053</v>
      </c>
      <c r="F2053" s="9" t="s">
        <v>35</v>
      </c>
      <c r="O2053" s="23" t="s">
        <v>251</v>
      </c>
    </row>
    <row r="2054" spans="1:15">
      <c r="E2054" s="4">
        <f t="shared" si="1084"/>
        <v>2054</v>
      </c>
      <c r="F2054" s="9" t="s">
        <v>29</v>
      </c>
      <c r="O2054" s="23" t="s">
        <v>157</v>
      </c>
    </row>
    <row r="2055" spans="1:15">
      <c r="E2055" s="4">
        <f t="shared" si="1084"/>
        <v>2055</v>
      </c>
      <c r="F2055" s="9" t="s">
        <v>122</v>
      </c>
      <c r="O2055" s="23" t="s">
        <v>158</v>
      </c>
    </row>
    <row r="2056" spans="1:15">
      <c r="E2056" s="4">
        <f t="shared" si="1084"/>
        <v>2056</v>
      </c>
      <c r="F2056" s="9" t="s">
        <v>117</v>
      </c>
      <c r="G2056" s="9" t="s">
        <v>253</v>
      </c>
      <c r="H2056" s="9" t="s">
        <v>254</v>
      </c>
      <c r="I2056" s="9" t="s">
        <v>255</v>
      </c>
      <c r="J2056" s="9" t="s">
        <v>256</v>
      </c>
      <c r="L2056" s="9" t="s">
        <v>138</v>
      </c>
      <c r="O2056" s="23">
        <f t="shared" ref="O2056" ca="1" si="1096">IF(MOD(D2050,2)=0,RANDBETWEEN($I$19,$J$19),RANDBETWEEN($G$19,$H$19))</f>
        <v>115</v>
      </c>
    </row>
    <row r="2057" spans="1:15">
      <c r="E2057" s="4">
        <f t="shared" si="1084"/>
        <v>2057</v>
      </c>
      <c r="F2057" s="9" t="s">
        <v>30</v>
      </c>
      <c r="O2057" s="23" t="s">
        <v>33</v>
      </c>
    </row>
    <row r="2058" spans="1:15">
      <c r="E2058" s="4">
        <f t="shared" si="1084"/>
        <v>2058</v>
      </c>
      <c r="F2058" s="9" t="s">
        <v>119</v>
      </c>
      <c r="G2058" s="9" t="s">
        <v>257</v>
      </c>
      <c r="H2058" s="9" t="s">
        <v>258</v>
      </c>
      <c r="I2058" s="9" t="s">
        <v>34</v>
      </c>
      <c r="O2058" s="23">
        <f t="shared" ref="O2058:O2089" ca="1" si="1097">RANDBETWEEN($G$21*$I$21,$H$21*$I$21)/$I$21</f>
        <v>-5.2</v>
      </c>
    </row>
    <row r="2059" spans="1:15">
      <c r="E2059" s="4">
        <f t="shared" si="1084"/>
        <v>2059</v>
      </c>
      <c r="F2059" s="9" t="s">
        <v>112</v>
      </c>
      <c r="O2059" s="23">
        <v>0</v>
      </c>
    </row>
    <row r="2060" spans="1:15">
      <c r="A2060" s="9"/>
      <c r="B2060" s="9"/>
      <c r="C2060" s="9"/>
      <c r="D2060" s="9"/>
      <c r="E2060" s="4">
        <f t="shared" si="1084"/>
        <v>2060</v>
      </c>
      <c r="F2060" s="9" t="s">
        <v>102</v>
      </c>
      <c r="G2060" s="9" t="s">
        <v>259</v>
      </c>
      <c r="H2060" s="9" t="s">
        <v>260</v>
      </c>
      <c r="I2060" s="9" t="s">
        <v>34</v>
      </c>
      <c r="J2060" s="9" t="s">
        <v>261</v>
      </c>
      <c r="K2060" s="9" t="s">
        <v>140</v>
      </c>
      <c r="O2060" s="23" t="str">
        <f t="shared" ref="O2060:O2091" ca="1" si="1098">CONCATENATE(RANDBETWEEN($G$23*$I$23,$H$23*$I$23)/$I$23,$J$23)</f>
        <v>-3.6,6</v>
      </c>
    </row>
    <row r="2061" spans="1:15">
      <c r="E2061" s="4">
        <f t="shared" si="1084"/>
        <v>2061</v>
      </c>
      <c r="F2061" s="9" t="s">
        <v>31</v>
      </c>
      <c r="L2061" s="9" t="s">
        <v>148</v>
      </c>
    </row>
    <row r="2062" spans="1:15">
      <c r="E2062" s="4">
        <f t="shared" si="1084"/>
        <v>2062</v>
      </c>
      <c r="F2062" s="9" t="s">
        <v>136</v>
      </c>
      <c r="L2062" s="9" t="s">
        <v>149</v>
      </c>
    </row>
    <row r="2063" spans="1:15">
      <c r="E2063" s="4">
        <f t="shared" si="1084"/>
        <v>2063</v>
      </c>
      <c r="F2063" s="9" t="s">
        <v>137</v>
      </c>
      <c r="K2063" s="9" t="s">
        <v>141</v>
      </c>
      <c r="O2063" s="23">
        <v>1</v>
      </c>
    </row>
    <row r="2064" spans="1:15">
      <c r="E2064" s="4">
        <f t="shared" si="1084"/>
        <v>2064</v>
      </c>
      <c r="F2064" s="9" t="s">
        <v>137</v>
      </c>
      <c r="G2064" s="9" t="s">
        <v>262</v>
      </c>
      <c r="H2064" s="9" t="s">
        <v>32</v>
      </c>
      <c r="I2064" s="9" t="s">
        <v>34</v>
      </c>
      <c r="J2064" s="9" t="s">
        <v>263</v>
      </c>
      <c r="K2064" s="9" t="s">
        <v>140</v>
      </c>
      <c r="O2064" s="23" t="str">
        <f t="shared" ref="O2064:O2095" ca="1" si="1099">CONCATENATE(RANDBETWEEN($G$27*$I$27,$H$27*$I$27)/$I$27,$J$27)</f>
        <v>5.2,-4.5</v>
      </c>
    </row>
    <row r="2065" spans="2:15">
      <c r="E2065" s="4">
        <f t="shared" si="1084"/>
        <v>2065</v>
      </c>
      <c r="F2065" s="9" t="s">
        <v>105</v>
      </c>
      <c r="O2065" s="23">
        <f t="shared" ref="O2065" si="1100">O2051*10+1</f>
        <v>100981</v>
      </c>
    </row>
    <row r="2066" spans="2:15">
      <c r="E2066" s="4">
        <f t="shared" si="1084"/>
        <v>2066</v>
      </c>
      <c r="F2066" s="9" t="s">
        <v>156</v>
      </c>
      <c r="O2066" s="23">
        <f t="shared" ref="O2066" si="1101">O2051</f>
        <v>10098</v>
      </c>
    </row>
    <row r="2067" spans="2:15">
      <c r="E2067" s="4">
        <f t="shared" si="1084"/>
        <v>2067</v>
      </c>
      <c r="F2067" s="9" t="s">
        <v>131</v>
      </c>
      <c r="O2067" s="23">
        <v>0</v>
      </c>
    </row>
    <row r="2068" spans="2:15">
      <c r="E2068" s="4">
        <f t="shared" si="1084"/>
        <v>2068</v>
      </c>
      <c r="F2068" s="9" t="s">
        <v>35</v>
      </c>
      <c r="O2068" s="23" t="s">
        <v>252</v>
      </c>
    </row>
    <row r="2069" spans="2:15">
      <c r="E2069" s="4">
        <f t="shared" si="1084"/>
        <v>2069</v>
      </c>
      <c r="F2069" s="9" t="s">
        <v>119</v>
      </c>
      <c r="O2069" s="23" t="s">
        <v>22</v>
      </c>
    </row>
    <row r="2070" spans="2:15">
      <c r="E2070" s="4">
        <f t="shared" si="1084"/>
        <v>2070</v>
      </c>
      <c r="F2070" s="9" t="s">
        <v>117</v>
      </c>
      <c r="L2070" s="9" t="s">
        <v>138</v>
      </c>
      <c r="O2070" s="23">
        <f t="shared" ref="O2070" ca="1" si="1102">O2056</f>
        <v>115</v>
      </c>
    </row>
    <row r="2071" spans="2:15">
      <c r="B2071" s="22">
        <f t="shared" ref="B2071:B2102" si="1103">QUOTIENT( D2071-1,G2072)+1</f>
        <v>33</v>
      </c>
      <c r="C2071" s="22">
        <f t="shared" ref="C2071" si="1104">D2071-(B2071-1)*G2072</f>
        <v>3</v>
      </c>
      <c r="D2071" s="22">
        <f>COUNT($D$12:$D2070)+1</f>
        <v>99</v>
      </c>
      <c r="E2071" s="4"/>
    </row>
    <row r="2072" spans="2:15">
      <c r="E2072" s="4">
        <f t="shared" si="1084"/>
        <v>2072</v>
      </c>
      <c r="F2072" s="9" t="s">
        <v>96</v>
      </c>
      <c r="G2072" s="9" t="s">
        <v>38</v>
      </c>
      <c r="H2072" s="9" t="s">
        <v>282</v>
      </c>
      <c r="J2072" s="9" t="s">
        <v>247</v>
      </c>
      <c r="O2072" s="23">
        <f t="shared" ref="O2072:O2103" si="1105">J2072+D2071</f>
        <v>10099</v>
      </c>
    </row>
    <row r="2073" spans="2:15">
      <c r="E2073" s="4">
        <f t="shared" si="1084"/>
        <v>2073</v>
      </c>
      <c r="F2073" s="9" t="s">
        <v>165</v>
      </c>
      <c r="G2073" s="9" t="s">
        <v>280</v>
      </c>
      <c r="H2073" s="9" t="s">
        <v>249</v>
      </c>
      <c r="O2073" s="23">
        <f t="shared" ref="O2073" si="1106">G2073+B2071*H2073</f>
        <v>995</v>
      </c>
    </row>
    <row r="2074" spans="2:15">
      <c r="E2074" s="4">
        <f t="shared" si="1084"/>
        <v>2074</v>
      </c>
      <c r="F2074" s="9" t="s">
        <v>35</v>
      </c>
      <c r="O2074" s="23" t="s">
        <v>251</v>
      </c>
    </row>
    <row r="2075" spans="2:15">
      <c r="E2075" s="4">
        <f t="shared" si="1084"/>
        <v>2075</v>
      </c>
      <c r="F2075" s="9" t="s">
        <v>29</v>
      </c>
      <c r="O2075" s="23" t="s">
        <v>157</v>
      </c>
    </row>
    <row r="2076" spans="2:15">
      <c r="E2076" s="4">
        <f t="shared" si="1084"/>
        <v>2076</v>
      </c>
      <c r="F2076" s="9" t="s">
        <v>122</v>
      </c>
      <c r="O2076" s="23" t="s">
        <v>158</v>
      </c>
    </row>
    <row r="2077" spans="2:15">
      <c r="E2077" s="4">
        <f t="shared" si="1084"/>
        <v>2077</v>
      </c>
      <c r="F2077" s="9" t="s">
        <v>117</v>
      </c>
      <c r="G2077" s="9" t="s">
        <v>253</v>
      </c>
      <c r="H2077" s="9" t="s">
        <v>254</v>
      </c>
      <c r="I2077" s="9" t="s">
        <v>255</v>
      </c>
      <c r="J2077" s="9" t="s">
        <v>256</v>
      </c>
      <c r="L2077" s="9" t="s">
        <v>138</v>
      </c>
      <c r="O2077" s="23">
        <f t="shared" ref="O2077" ca="1" si="1107">IF(MOD(D2071,2)=0,RANDBETWEEN($I$19,$J$19),RANDBETWEEN($G$19,$H$19))</f>
        <v>-99</v>
      </c>
    </row>
    <row r="2078" spans="2:15">
      <c r="E2078" s="4">
        <f t="shared" si="1084"/>
        <v>2078</v>
      </c>
      <c r="F2078" s="9" t="s">
        <v>30</v>
      </c>
      <c r="O2078" s="23" t="s">
        <v>33</v>
      </c>
    </row>
    <row r="2079" spans="2:15">
      <c r="E2079" s="4">
        <f t="shared" si="1084"/>
        <v>2079</v>
      </c>
      <c r="F2079" s="9" t="s">
        <v>119</v>
      </c>
      <c r="G2079" s="9" t="s">
        <v>257</v>
      </c>
      <c r="H2079" s="9" t="s">
        <v>258</v>
      </c>
      <c r="I2079" s="9" t="s">
        <v>34</v>
      </c>
      <c r="O2079" s="23">
        <f t="shared" ref="O2079:O2110" ca="1" si="1108">RANDBETWEEN($G$21*$I$21,$H$21*$I$21)/$I$21</f>
        <v>-6.2</v>
      </c>
    </row>
    <row r="2080" spans="2:15">
      <c r="E2080" s="4">
        <f t="shared" si="1084"/>
        <v>2080</v>
      </c>
      <c r="F2080" s="9" t="s">
        <v>112</v>
      </c>
      <c r="O2080" s="23">
        <v>0</v>
      </c>
    </row>
    <row r="2081" spans="1:15">
      <c r="E2081" s="4">
        <f t="shared" si="1084"/>
        <v>2081</v>
      </c>
      <c r="F2081" s="9" t="s">
        <v>102</v>
      </c>
      <c r="G2081" s="9" t="s">
        <v>259</v>
      </c>
      <c r="H2081" s="9" t="s">
        <v>260</v>
      </c>
      <c r="I2081" s="9" t="s">
        <v>34</v>
      </c>
      <c r="J2081" s="9" t="s">
        <v>261</v>
      </c>
      <c r="K2081" s="9" t="s">
        <v>140</v>
      </c>
      <c r="O2081" s="23" t="str">
        <f t="shared" ref="O2081:O2112" ca="1" si="1109">CONCATENATE(RANDBETWEEN($G$23*$I$23,$H$23*$I$23)/$I$23,$J$23)</f>
        <v>-4.4,6</v>
      </c>
    </row>
    <row r="2082" spans="1:15">
      <c r="A2082" s="9"/>
      <c r="B2082" s="9"/>
      <c r="C2082" s="9"/>
      <c r="D2082" s="9"/>
      <c r="E2082" s="4">
        <f t="shared" si="1084"/>
        <v>2082</v>
      </c>
      <c r="F2082" s="9" t="s">
        <v>31</v>
      </c>
      <c r="L2082" s="9" t="s">
        <v>148</v>
      </c>
    </row>
    <row r="2083" spans="1:15">
      <c r="E2083" s="4">
        <f t="shared" si="1084"/>
        <v>2083</v>
      </c>
      <c r="F2083" s="9" t="s">
        <v>136</v>
      </c>
      <c r="L2083" s="9" t="s">
        <v>149</v>
      </c>
    </row>
    <row r="2084" spans="1:15">
      <c r="E2084" s="4">
        <f t="shared" si="1084"/>
        <v>2084</v>
      </c>
      <c r="F2084" s="9" t="s">
        <v>137</v>
      </c>
      <c r="K2084" s="9" t="s">
        <v>141</v>
      </c>
      <c r="O2084" s="23">
        <v>1</v>
      </c>
    </row>
    <row r="2085" spans="1:15">
      <c r="E2085" s="4">
        <f t="shared" si="1084"/>
        <v>2085</v>
      </c>
      <c r="F2085" s="9" t="s">
        <v>137</v>
      </c>
      <c r="G2085" s="9" t="s">
        <v>262</v>
      </c>
      <c r="H2085" s="9" t="s">
        <v>32</v>
      </c>
      <c r="I2085" s="9" t="s">
        <v>34</v>
      </c>
      <c r="J2085" s="9" t="s">
        <v>263</v>
      </c>
      <c r="K2085" s="9" t="s">
        <v>140</v>
      </c>
      <c r="O2085" s="23" t="str">
        <f t="shared" ref="O2085:O2116" ca="1" si="1110">CONCATENATE(RANDBETWEEN($G$27*$I$27,$H$27*$I$27)/$I$27,$J$27)</f>
        <v>2.5,-4.5</v>
      </c>
    </row>
    <row r="2086" spans="1:15">
      <c r="E2086" s="4">
        <f t="shared" si="1084"/>
        <v>2086</v>
      </c>
      <c r="F2086" s="9" t="s">
        <v>105</v>
      </c>
      <c r="O2086" s="23">
        <f t="shared" ref="O2086" si="1111">O2072*10+1</f>
        <v>100991</v>
      </c>
    </row>
    <row r="2087" spans="1:15">
      <c r="E2087" s="4">
        <f t="shared" si="1084"/>
        <v>2087</v>
      </c>
      <c r="F2087" s="9" t="s">
        <v>156</v>
      </c>
      <c r="O2087" s="23">
        <f t="shared" ref="O2087" si="1112">O2072</f>
        <v>10099</v>
      </c>
    </row>
    <row r="2088" spans="1:15">
      <c r="E2088" s="4">
        <f t="shared" si="1084"/>
        <v>2088</v>
      </c>
      <c r="F2088" s="9" t="s">
        <v>131</v>
      </c>
      <c r="O2088" s="23">
        <v>0</v>
      </c>
    </row>
    <row r="2089" spans="1:15">
      <c r="E2089" s="4">
        <f t="shared" si="1084"/>
        <v>2089</v>
      </c>
      <c r="F2089" s="9" t="s">
        <v>35</v>
      </c>
      <c r="O2089" s="23" t="s">
        <v>252</v>
      </c>
    </row>
    <row r="2090" spans="1:15">
      <c r="E2090" s="4">
        <f t="shared" si="1084"/>
        <v>2090</v>
      </c>
      <c r="F2090" s="9" t="s">
        <v>119</v>
      </c>
      <c r="O2090" s="23" t="s">
        <v>22</v>
      </c>
    </row>
    <row r="2091" spans="1:15">
      <c r="E2091" s="4">
        <f t="shared" si="1084"/>
        <v>2091</v>
      </c>
      <c r="F2091" s="9" t="s">
        <v>117</v>
      </c>
      <c r="L2091" s="9" t="s">
        <v>138</v>
      </c>
      <c r="O2091" s="23">
        <f t="shared" ref="O2091" ca="1" si="1113">O2077</f>
        <v>-99</v>
      </c>
    </row>
    <row r="2092" spans="1:15">
      <c r="B2092" s="22">
        <f t="shared" ref="B2092:B2123" si="1114">QUOTIENT( D2092-1,G2093)+1</f>
        <v>34</v>
      </c>
      <c r="C2092" s="22">
        <f t="shared" ref="C2092" si="1115">D2092-(B2092-1)*G2093</f>
        <v>1</v>
      </c>
      <c r="D2092" s="22">
        <f>COUNT($D$12:$D2091)+1</f>
        <v>100</v>
      </c>
      <c r="E2092" s="4"/>
    </row>
    <row r="2093" spans="1:15">
      <c r="E2093" s="4">
        <f t="shared" si="1084"/>
        <v>2093</v>
      </c>
      <c r="F2093" s="9" t="s">
        <v>96</v>
      </c>
      <c r="G2093" s="9" t="s">
        <v>38</v>
      </c>
      <c r="H2093" s="9" t="s">
        <v>282</v>
      </c>
      <c r="J2093" s="9" t="s">
        <v>247</v>
      </c>
      <c r="O2093" s="23">
        <f t="shared" ref="O2093:O2124" si="1116">J2093+D2092</f>
        <v>10100</v>
      </c>
    </row>
    <row r="2094" spans="1:15">
      <c r="E2094" s="4">
        <f t="shared" si="1084"/>
        <v>2094</v>
      </c>
      <c r="F2094" s="9" t="s">
        <v>165</v>
      </c>
      <c r="G2094" s="9" t="s">
        <v>280</v>
      </c>
      <c r="H2094" s="9" t="s">
        <v>249</v>
      </c>
      <c r="O2094" s="23">
        <f t="shared" ref="O2094" si="1117">G2094+B2092*H2094</f>
        <v>1010</v>
      </c>
    </row>
    <row r="2095" spans="1:15">
      <c r="E2095" s="4">
        <f t="shared" si="1084"/>
        <v>2095</v>
      </c>
      <c r="F2095" s="9" t="s">
        <v>35</v>
      </c>
      <c r="O2095" s="23" t="s">
        <v>251</v>
      </c>
    </row>
    <row r="2096" spans="1:15">
      <c r="E2096" s="4">
        <f t="shared" si="1084"/>
        <v>2096</v>
      </c>
      <c r="F2096" s="9" t="s">
        <v>29</v>
      </c>
      <c r="O2096" s="23" t="s">
        <v>157</v>
      </c>
    </row>
    <row r="2097" spans="1:15">
      <c r="E2097" s="4">
        <f t="shared" ref="E2097:E2160" si="1118">ROW(E2097)</f>
        <v>2097</v>
      </c>
      <c r="F2097" s="9" t="s">
        <v>122</v>
      </c>
      <c r="O2097" s="23" t="s">
        <v>158</v>
      </c>
    </row>
    <row r="2098" spans="1:15">
      <c r="E2098" s="4">
        <f t="shared" si="1118"/>
        <v>2098</v>
      </c>
      <c r="F2098" s="9" t="s">
        <v>117</v>
      </c>
      <c r="G2098" s="9" t="s">
        <v>253</v>
      </c>
      <c r="H2098" s="9" t="s">
        <v>254</v>
      </c>
      <c r="I2098" s="9" t="s">
        <v>255</v>
      </c>
      <c r="J2098" s="9" t="s">
        <v>256</v>
      </c>
      <c r="L2098" s="9" t="s">
        <v>138</v>
      </c>
      <c r="O2098" s="23">
        <f t="shared" ref="O2098" ca="1" si="1119">IF(MOD(D2092,2)=0,RANDBETWEEN($I$19,$J$19),RANDBETWEEN($G$19,$H$19))</f>
        <v>111</v>
      </c>
    </row>
    <row r="2099" spans="1:15">
      <c r="E2099" s="4">
        <f t="shared" si="1118"/>
        <v>2099</v>
      </c>
      <c r="F2099" s="9" t="s">
        <v>30</v>
      </c>
      <c r="O2099" s="23" t="s">
        <v>33</v>
      </c>
    </row>
    <row r="2100" spans="1:15">
      <c r="E2100" s="4">
        <f t="shared" si="1118"/>
        <v>2100</v>
      </c>
      <c r="F2100" s="9" t="s">
        <v>119</v>
      </c>
      <c r="G2100" s="9" t="s">
        <v>257</v>
      </c>
      <c r="H2100" s="9" t="s">
        <v>258</v>
      </c>
      <c r="I2100" s="9" t="s">
        <v>34</v>
      </c>
      <c r="O2100" s="23">
        <f t="shared" ref="O2100:O2131" ca="1" si="1120">RANDBETWEEN($G$21*$I$21,$H$21*$I$21)/$I$21</f>
        <v>-5.8</v>
      </c>
    </row>
    <row r="2101" spans="1:15">
      <c r="E2101" s="4">
        <f t="shared" si="1118"/>
        <v>2101</v>
      </c>
      <c r="F2101" s="9" t="s">
        <v>112</v>
      </c>
      <c r="O2101" s="23">
        <v>0</v>
      </c>
    </row>
    <row r="2102" spans="1:15">
      <c r="E2102" s="4">
        <f t="shared" si="1118"/>
        <v>2102</v>
      </c>
      <c r="F2102" s="9" t="s">
        <v>102</v>
      </c>
      <c r="G2102" s="9" t="s">
        <v>259</v>
      </c>
      <c r="H2102" s="9" t="s">
        <v>260</v>
      </c>
      <c r="I2102" s="9" t="s">
        <v>34</v>
      </c>
      <c r="J2102" s="9" t="s">
        <v>261</v>
      </c>
      <c r="K2102" s="9" t="s">
        <v>140</v>
      </c>
      <c r="O2102" s="23" t="str">
        <f t="shared" ref="O2102:O2133" ca="1" si="1121">CONCATENATE(RANDBETWEEN($G$23*$I$23,$H$23*$I$23)/$I$23,$J$23)</f>
        <v>-1.4,6</v>
      </c>
    </row>
    <row r="2103" spans="1:15">
      <c r="E2103" s="4">
        <f t="shared" si="1118"/>
        <v>2103</v>
      </c>
      <c r="F2103" s="9" t="s">
        <v>31</v>
      </c>
      <c r="L2103" s="9" t="s">
        <v>148</v>
      </c>
    </row>
    <row r="2104" spans="1:15">
      <c r="A2104" s="9"/>
      <c r="B2104" s="9"/>
      <c r="C2104" s="9"/>
      <c r="D2104" s="9"/>
      <c r="E2104" s="4">
        <f t="shared" si="1118"/>
        <v>2104</v>
      </c>
      <c r="F2104" s="9" t="s">
        <v>136</v>
      </c>
      <c r="L2104" s="9" t="s">
        <v>149</v>
      </c>
    </row>
    <row r="2105" spans="1:15">
      <c r="E2105" s="4">
        <f t="shared" si="1118"/>
        <v>2105</v>
      </c>
      <c r="F2105" s="9" t="s">
        <v>137</v>
      </c>
      <c r="K2105" s="9" t="s">
        <v>141</v>
      </c>
      <c r="O2105" s="23">
        <v>1</v>
      </c>
    </row>
    <row r="2106" spans="1:15">
      <c r="E2106" s="4">
        <f t="shared" si="1118"/>
        <v>2106</v>
      </c>
      <c r="F2106" s="9" t="s">
        <v>137</v>
      </c>
      <c r="G2106" s="9" t="s">
        <v>262</v>
      </c>
      <c r="H2106" s="9" t="s">
        <v>32</v>
      </c>
      <c r="I2106" s="9" t="s">
        <v>34</v>
      </c>
      <c r="J2106" s="9" t="s">
        <v>263</v>
      </c>
      <c r="K2106" s="9" t="s">
        <v>140</v>
      </c>
      <c r="O2106" s="23" t="str">
        <f t="shared" ref="O2106:O2137" ca="1" si="1122">CONCATENATE(RANDBETWEEN($G$27*$I$27,$H$27*$I$27)/$I$27,$J$27)</f>
        <v>0.4,-4.5</v>
      </c>
    </row>
    <row r="2107" spans="1:15">
      <c r="E2107" s="4">
        <f t="shared" si="1118"/>
        <v>2107</v>
      </c>
      <c r="F2107" s="9" t="s">
        <v>105</v>
      </c>
      <c r="O2107" s="23">
        <f t="shared" ref="O2107" si="1123">O2093*10+1</f>
        <v>101001</v>
      </c>
    </row>
    <row r="2108" spans="1:15">
      <c r="E2108" s="4">
        <f t="shared" si="1118"/>
        <v>2108</v>
      </c>
      <c r="F2108" s="9" t="s">
        <v>156</v>
      </c>
      <c r="O2108" s="23">
        <f t="shared" ref="O2108" si="1124">O2093</f>
        <v>10100</v>
      </c>
    </row>
    <row r="2109" spans="1:15">
      <c r="E2109" s="4">
        <f t="shared" si="1118"/>
        <v>2109</v>
      </c>
      <c r="F2109" s="9" t="s">
        <v>131</v>
      </c>
      <c r="O2109" s="23">
        <v>0</v>
      </c>
    </row>
    <row r="2110" spans="1:15">
      <c r="E2110" s="4">
        <f t="shared" si="1118"/>
        <v>2110</v>
      </c>
      <c r="F2110" s="9" t="s">
        <v>35</v>
      </c>
      <c r="O2110" s="23" t="s">
        <v>252</v>
      </c>
    </row>
    <row r="2111" spans="1:15">
      <c r="E2111" s="4">
        <f t="shared" si="1118"/>
        <v>2111</v>
      </c>
      <c r="F2111" s="9" t="s">
        <v>119</v>
      </c>
      <c r="O2111" s="23" t="s">
        <v>22</v>
      </c>
    </row>
    <row r="2112" spans="1:15">
      <c r="E2112" s="4">
        <f t="shared" si="1118"/>
        <v>2112</v>
      </c>
      <c r="F2112" s="9" t="s">
        <v>117</v>
      </c>
      <c r="L2112" s="9" t="s">
        <v>138</v>
      </c>
      <c r="O2112" s="23">
        <f t="shared" ref="O2112" ca="1" si="1125">O2098</f>
        <v>111</v>
      </c>
    </row>
    <row r="2113" spans="1:15">
      <c r="B2113" s="22">
        <f t="shared" ref="B2113:B2144" si="1126">QUOTIENT( D2113-1,G2114)+1</f>
        <v>34</v>
      </c>
      <c r="C2113" s="22">
        <f t="shared" ref="C2113" si="1127">D2113-(B2113-1)*G2114</f>
        <v>2</v>
      </c>
      <c r="D2113" s="22">
        <f>COUNT($D$12:$D2112)+1</f>
        <v>101</v>
      </c>
      <c r="E2113" s="4"/>
    </row>
    <row r="2114" spans="1:15">
      <c r="E2114" s="4">
        <f t="shared" si="1118"/>
        <v>2114</v>
      </c>
      <c r="F2114" s="9" t="s">
        <v>96</v>
      </c>
      <c r="G2114" s="9" t="s">
        <v>38</v>
      </c>
      <c r="H2114" s="9" t="s">
        <v>282</v>
      </c>
      <c r="J2114" s="9" t="s">
        <v>247</v>
      </c>
      <c r="O2114" s="23">
        <f t="shared" ref="O2114:O2145" si="1128">J2114+D2113</f>
        <v>10101</v>
      </c>
    </row>
    <row r="2115" spans="1:15">
      <c r="E2115" s="4">
        <f t="shared" si="1118"/>
        <v>2115</v>
      </c>
      <c r="F2115" s="9" t="s">
        <v>165</v>
      </c>
      <c r="G2115" s="9" t="s">
        <v>280</v>
      </c>
      <c r="H2115" s="9" t="s">
        <v>249</v>
      </c>
      <c r="O2115" s="23">
        <f t="shared" ref="O2115" si="1129">G2115+B2113*H2115</f>
        <v>1010</v>
      </c>
    </row>
    <row r="2116" spans="1:15">
      <c r="E2116" s="4">
        <f t="shared" si="1118"/>
        <v>2116</v>
      </c>
      <c r="F2116" s="9" t="s">
        <v>35</v>
      </c>
      <c r="O2116" s="23" t="s">
        <v>251</v>
      </c>
    </row>
    <row r="2117" spans="1:15">
      <c r="E2117" s="4">
        <f t="shared" si="1118"/>
        <v>2117</v>
      </c>
      <c r="F2117" s="9" t="s">
        <v>29</v>
      </c>
      <c r="O2117" s="23" t="s">
        <v>157</v>
      </c>
    </row>
    <row r="2118" spans="1:15">
      <c r="E2118" s="4">
        <f t="shared" si="1118"/>
        <v>2118</v>
      </c>
      <c r="F2118" s="9" t="s">
        <v>122</v>
      </c>
      <c r="O2118" s="23" t="s">
        <v>158</v>
      </c>
    </row>
    <row r="2119" spans="1:15">
      <c r="E2119" s="4">
        <f t="shared" si="1118"/>
        <v>2119</v>
      </c>
      <c r="F2119" s="9" t="s">
        <v>117</v>
      </c>
      <c r="G2119" s="9" t="s">
        <v>253</v>
      </c>
      <c r="H2119" s="9" t="s">
        <v>254</v>
      </c>
      <c r="I2119" s="9" t="s">
        <v>255</v>
      </c>
      <c r="J2119" s="9" t="s">
        <v>256</v>
      </c>
      <c r="L2119" s="9" t="s">
        <v>138</v>
      </c>
      <c r="O2119" s="23">
        <f t="shared" ref="O2119" ca="1" si="1130">IF(MOD(D2113,2)=0,RANDBETWEEN($I$19,$J$19),RANDBETWEEN($G$19,$H$19))</f>
        <v>-80</v>
      </c>
    </row>
    <row r="2120" spans="1:15">
      <c r="E2120" s="4">
        <f t="shared" si="1118"/>
        <v>2120</v>
      </c>
      <c r="F2120" s="9" t="s">
        <v>30</v>
      </c>
      <c r="O2120" s="23" t="s">
        <v>33</v>
      </c>
    </row>
    <row r="2121" spans="1:15">
      <c r="E2121" s="4">
        <f t="shared" si="1118"/>
        <v>2121</v>
      </c>
      <c r="F2121" s="9" t="s">
        <v>119</v>
      </c>
      <c r="G2121" s="9" t="s">
        <v>257</v>
      </c>
      <c r="H2121" s="9" t="s">
        <v>258</v>
      </c>
      <c r="I2121" s="9" t="s">
        <v>34</v>
      </c>
      <c r="O2121" s="23">
        <f t="shared" ref="O2121:O2152" ca="1" si="1131">RANDBETWEEN($G$21*$I$21,$H$21*$I$21)/$I$21</f>
        <v>-5</v>
      </c>
    </row>
    <row r="2122" spans="1:15">
      <c r="E2122" s="4">
        <f t="shared" si="1118"/>
        <v>2122</v>
      </c>
      <c r="F2122" s="9" t="s">
        <v>112</v>
      </c>
      <c r="O2122" s="23">
        <v>0</v>
      </c>
    </row>
    <row r="2123" spans="1:15">
      <c r="E2123" s="4">
        <f t="shared" si="1118"/>
        <v>2123</v>
      </c>
      <c r="F2123" s="9" t="s">
        <v>102</v>
      </c>
      <c r="G2123" s="9" t="s">
        <v>259</v>
      </c>
      <c r="H2123" s="9" t="s">
        <v>260</v>
      </c>
      <c r="I2123" s="9" t="s">
        <v>34</v>
      </c>
      <c r="J2123" s="9" t="s">
        <v>261</v>
      </c>
      <c r="K2123" s="9" t="s">
        <v>140</v>
      </c>
      <c r="O2123" s="23" t="str">
        <f t="shared" ref="O2123:O2154" ca="1" si="1132">CONCATENATE(RANDBETWEEN($G$23*$I$23,$H$23*$I$23)/$I$23,$J$23)</f>
        <v>-4.5,6</v>
      </c>
    </row>
    <row r="2124" spans="1:15">
      <c r="E2124" s="4">
        <f t="shared" si="1118"/>
        <v>2124</v>
      </c>
      <c r="F2124" s="9" t="s">
        <v>31</v>
      </c>
      <c r="L2124" s="9" t="s">
        <v>148</v>
      </c>
    </row>
    <row r="2125" spans="1:15">
      <c r="E2125" s="4">
        <f t="shared" si="1118"/>
        <v>2125</v>
      </c>
      <c r="F2125" s="9" t="s">
        <v>136</v>
      </c>
      <c r="L2125" s="9" t="s">
        <v>149</v>
      </c>
    </row>
    <row r="2126" spans="1:15">
      <c r="A2126" s="9"/>
      <c r="B2126" s="9"/>
      <c r="C2126" s="9"/>
      <c r="D2126" s="9"/>
      <c r="E2126" s="4">
        <f t="shared" si="1118"/>
        <v>2126</v>
      </c>
      <c r="F2126" s="9" t="s">
        <v>137</v>
      </c>
      <c r="K2126" s="9" t="s">
        <v>141</v>
      </c>
      <c r="O2126" s="23">
        <v>1</v>
      </c>
    </row>
    <row r="2127" spans="1:15">
      <c r="E2127" s="4">
        <f t="shared" si="1118"/>
        <v>2127</v>
      </c>
      <c r="F2127" s="9" t="s">
        <v>137</v>
      </c>
      <c r="G2127" s="9" t="s">
        <v>262</v>
      </c>
      <c r="H2127" s="9" t="s">
        <v>32</v>
      </c>
      <c r="I2127" s="9" t="s">
        <v>34</v>
      </c>
      <c r="J2127" s="9" t="s">
        <v>263</v>
      </c>
      <c r="K2127" s="9" t="s">
        <v>140</v>
      </c>
      <c r="O2127" s="23" t="str">
        <f t="shared" ref="O2127:O2158" ca="1" si="1133">CONCATENATE(RANDBETWEEN($G$27*$I$27,$H$27*$I$27)/$I$27,$J$27)</f>
        <v>-4.1,-4.5</v>
      </c>
    </row>
    <row r="2128" spans="1:15">
      <c r="E2128" s="4">
        <f t="shared" si="1118"/>
        <v>2128</v>
      </c>
      <c r="F2128" s="9" t="s">
        <v>105</v>
      </c>
      <c r="O2128" s="23">
        <f t="shared" ref="O2128" si="1134">O2114*10+1</f>
        <v>101011</v>
      </c>
    </row>
    <row r="2129" spans="2:15">
      <c r="E2129" s="4">
        <f t="shared" si="1118"/>
        <v>2129</v>
      </c>
      <c r="F2129" s="9" t="s">
        <v>156</v>
      </c>
      <c r="O2129" s="23">
        <f t="shared" ref="O2129" si="1135">O2114</f>
        <v>10101</v>
      </c>
    </row>
    <row r="2130" spans="2:15">
      <c r="E2130" s="4">
        <f t="shared" si="1118"/>
        <v>2130</v>
      </c>
      <c r="F2130" s="9" t="s">
        <v>131</v>
      </c>
      <c r="O2130" s="23">
        <v>0</v>
      </c>
    </row>
    <row r="2131" spans="2:15">
      <c r="E2131" s="4">
        <f t="shared" si="1118"/>
        <v>2131</v>
      </c>
      <c r="F2131" s="9" t="s">
        <v>35</v>
      </c>
      <c r="O2131" s="23" t="s">
        <v>252</v>
      </c>
    </row>
    <row r="2132" spans="2:15">
      <c r="E2132" s="4">
        <f t="shared" si="1118"/>
        <v>2132</v>
      </c>
      <c r="F2132" s="9" t="s">
        <v>119</v>
      </c>
      <c r="O2132" s="23" t="s">
        <v>22</v>
      </c>
    </row>
    <row r="2133" spans="2:15">
      <c r="E2133" s="4">
        <f t="shared" si="1118"/>
        <v>2133</v>
      </c>
      <c r="F2133" s="9" t="s">
        <v>117</v>
      </c>
      <c r="L2133" s="9" t="s">
        <v>138</v>
      </c>
      <c r="O2133" s="23">
        <f t="shared" ref="O2133" ca="1" si="1136">O2119</f>
        <v>-80</v>
      </c>
    </row>
    <row r="2134" spans="2:15">
      <c r="B2134" s="22">
        <f t="shared" ref="B2134:B2165" si="1137">QUOTIENT( D2134-1,G2135)+1</f>
        <v>34</v>
      </c>
      <c r="C2134" s="22">
        <f t="shared" ref="C2134" si="1138">D2134-(B2134-1)*G2135</f>
        <v>3</v>
      </c>
      <c r="D2134" s="22">
        <f>COUNT($D$12:$D2133)+1</f>
        <v>102</v>
      </c>
      <c r="E2134" s="4"/>
    </row>
    <row r="2135" spans="2:15">
      <c r="E2135" s="4">
        <f t="shared" si="1118"/>
        <v>2135</v>
      </c>
      <c r="F2135" s="9" t="s">
        <v>96</v>
      </c>
      <c r="G2135" s="9" t="s">
        <v>38</v>
      </c>
      <c r="H2135" s="9" t="s">
        <v>282</v>
      </c>
      <c r="J2135" s="9" t="s">
        <v>247</v>
      </c>
      <c r="O2135" s="23">
        <f t="shared" ref="O2135:O2166" si="1139">J2135+D2134</f>
        <v>10102</v>
      </c>
    </row>
    <row r="2136" spans="2:15">
      <c r="E2136" s="4">
        <f t="shared" si="1118"/>
        <v>2136</v>
      </c>
      <c r="F2136" s="9" t="s">
        <v>165</v>
      </c>
      <c r="G2136" s="9" t="s">
        <v>280</v>
      </c>
      <c r="H2136" s="9" t="s">
        <v>249</v>
      </c>
      <c r="O2136" s="23">
        <f t="shared" ref="O2136" si="1140">G2136+B2134*H2136</f>
        <v>1010</v>
      </c>
    </row>
    <row r="2137" spans="2:15">
      <c r="E2137" s="4">
        <f t="shared" si="1118"/>
        <v>2137</v>
      </c>
      <c r="F2137" s="9" t="s">
        <v>35</v>
      </c>
      <c r="O2137" s="23" t="s">
        <v>251</v>
      </c>
    </row>
    <row r="2138" spans="2:15">
      <c r="E2138" s="4">
        <f t="shared" si="1118"/>
        <v>2138</v>
      </c>
      <c r="F2138" s="9" t="s">
        <v>29</v>
      </c>
      <c r="O2138" s="23" t="s">
        <v>157</v>
      </c>
    </row>
    <row r="2139" spans="2:15">
      <c r="E2139" s="4">
        <f t="shared" si="1118"/>
        <v>2139</v>
      </c>
      <c r="F2139" s="9" t="s">
        <v>122</v>
      </c>
      <c r="O2139" s="23" t="s">
        <v>158</v>
      </c>
    </row>
    <row r="2140" spans="2:15">
      <c r="E2140" s="4">
        <f t="shared" si="1118"/>
        <v>2140</v>
      </c>
      <c r="F2140" s="9" t="s">
        <v>117</v>
      </c>
      <c r="G2140" s="9" t="s">
        <v>253</v>
      </c>
      <c r="H2140" s="9" t="s">
        <v>254</v>
      </c>
      <c r="I2140" s="9" t="s">
        <v>255</v>
      </c>
      <c r="J2140" s="9" t="s">
        <v>256</v>
      </c>
      <c r="L2140" s="9" t="s">
        <v>138</v>
      </c>
      <c r="O2140" s="23">
        <f t="shared" ref="O2140" ca="1" si="1141">IF(MOD(D2134,2)=0,RANDBETWEEN($I$19,$J$19),RANDBETWEEN($G$19,$H$19))</f>
        <v>101</v>
      </c>
    </row>
    <row r="2141" spans="2:15">
      <c r="E2141" s="4">
        <f t="shared" si="1118"/>
        <v>2141</v>
      </c>
      <c r="F2141" s="9" t="s">
        <v>30</v>
      </c>
      <c r="O2141" s="23" t="s">
        <v>33</v>
      </c>
    </row>
    <row r="2142" spans="2:15">
      <c r="E2142" s="4">
        <f t="shared" si="1118"/>
        <v>2142</v>
      </c>
      <c r="F2142" s="9" t="s">
        <v>119</v>
      </c>
      <c r="G2142" s="9" t="s">
        <v>257</v>
      </c>
      <c r="H2142" s="9" t="s">
        <v>258</v>
      </c>
      <c r="I2142" s="9" t="s">
        <v>34</v>
      </c>
      <c r="O2142" s="23">
        <f t="shared" ref="O2142:O2173" ca="1" si="1142">RANDBETWEEN($G$21*$I$21,$H$21*$I$21)/$I$21</f>
        <v>-5.5</v>
      </c>
    </row>
    <row r="2143" spans="2:15">
      <c r="E2143" s="4">
        <f t="shared" si="1118"/>
        <v>2143</v>
      </c>
      <c r="F2143" s="9" t="s">
        <v>112</v>
      </c>
      <c r="O2143" s="23">
        <v>0</v>
      </c>
    </row>
    <row r="2144" spans="2:15">
      <c r="E2144" s="4">
        <f t="shared" si="1118"/>
        <v>2144</v>
      </c>
      <c r="F2144" s="9" t="s">
        <v>102</v>
      </c>
      <c r="G2144" s="9" t="s">
        <v>259</v>
      </c>
      <c r="H2144" s="9" t="s">
        <v>260</v>
      </c>
      <c r="I2144" s="9" t="s">
        <v>34</v>
      </c>
      <c r="J2144" s="9" t="s">
        <v>261</v>
      </c>
      <c r="K2144" s="9" t="s">
        <v>140</v>
      </c>
      <c r="O2144" s="23" t="str">
        <f t="shared" ref="O2144:O2175" ca="1" si="1143">CONCATENATE(RANDBETWEEN($G$23*$I$23,$H$23*$I$23)/$I$23,$J$23)</f>
        <v>0.5,6</v>
      </c>
    </row>
    <row r="2145" spans="1:15">
      <c r="E2145" s="4">
        <f t="shared" si="1118"/>
        <v>2145</v>
      </c>
      <c r="F2145" s="9" t="s">
        <v>31</v>
      </c>
      <c r="L2145" s="9" t="s">
        <v>148</v>
      </c>
    </row>
    <row r="2146" spans="1:15">
      <c r="E2146" s="4">
        <f t="shared" si="1118"/>
        <v>2146</v>
      </c>
      <c r="F2146" s="9" t="s">
        <v>136</v>
      </c>
      <c r="L2146" s="9" t="s">
        <v>149</v>
      </c>
    </row>
    <row r="2147" spans="1:15">
      <c r="E2147" s="4">
        <f t="shared" si="1118"/>
        <v>2147</v>
      </c>
      <c r="F2147" s="9" t="s">
        <v>137</v>
      </c>
      <c r="K2147" s="9" t="s">
        <v>141</v>
      </c>
      <c r="O2147" s="23">
        <v>1</v>
      </c>
    </row>
    <row r="2148" spans="1:15">
      <c r="A2148" s="9"/>
      <c r="B2148" s="9"/>
      <c r="C2148" s="9"/>
      <c r="D2148" s="9"/>
      <c r="E2148" s="4">
        <f t="shared" si="1118"/>
        <v>2148</v>
      </c>
      <c r="F2148" s="9" t="s">
        <v>137</v>
      </c>
      <c r="G2148" s="9" t="s">
        <v>262</v>
      </c>
      <c r="H2148" s="9" t="s">
        <v>32</v>
      </c>
      <c r="I2148" s="9" t="s">
        <v>34</v>
      </c>
      <c r="J2148" s="9" t="s">
        <v>263</v>
      </c>
      <c r="K2148" s="9" t="s">
        <v>140</v>
      </c>
      <c r="O2148" s="23" t="str">
        <f t="shared" ref="O2148:O2179" ca="1" si="1144">CONCATENATE(RANDBETWEEN($G$27*$I$27,$H$27*$I$27)/$I$27,$J$27)</f>
        <v>-2.5,-4.5</v>
      </c>
    </row>
    <row r="2149" spans="1:15">
      <c r="E2149" s="4">
        <f t="shared" si="1118"/>
        <v>2149</v>
      </c>
      <c r="F2149" s="9" t="s">
        <v>105</v>
      </c>
      <c r="O2149" s="23">
        <f t="shared" ref="O2149" si="1145">O2135*10+1</f>
        <v>101021</v>
      </c>
    </row>
    <row r="2150" spans="1:15">
      <c r="E2150" s="4">
        <f t="shared" si="1118"/>
        <v>2150</v>
      </c>
      <c r="F2150" s="9" t="s">
        <v>156</v>
      </c>
      <c r="O2150" s="23">
        <f t="shared" ref="O2150" si="1146">O2135</f>
        <v>10102</v>
      </c>
    </row>
    <row r="2151" spans="1:15">
      <c r="E2151" s="4">
        <f t="shared" si="1118"/>
        <v>2151</v>
      </c>
      <c r="F2151" s="9" t="s">
        <v>131</v>
      </c>
      <c r="O2151" s="23">
        <v>0</v>
      </c>
    </row>
    <row r="2152" spans="1:15">
      <c r="E2152" s="4">
        <f t="shared" si="1118"/>
        <v>2152</v>
      </c>
      <c r="F2152" s="9" t="s">
        <v>35</v>
      </c>
      <c r="O2152" s="23" t="s">
        <v>252</v>
      </c>
    </row>
    <row r="2153" spans="1:15">
      <c r="E2153" s="4">
        <f t="shared" si="1118"/>
        <v>2153</v>
      </c>
      <c r="F2153" s="9" t="s">
        <v>119</v>
      </c>
      <c r="O2153" s="23" t="s">
        <v>22</v>
      </c>
    </row>
    <row r="2154" spans="1:15">
      <c r="E2154" s="4">
        <f t="shared" si="1118"/>
        <v>2154</v>
      </c>
      <c r="F2154" s="9" t="s">
        <v>117</v>
      </c>
      <c r="L2154" s="9" t="s">
        <v>138</v>
      </c>
      <c r="O2154" s="23">
        <f t="shared" ref="O2154" ca="1" si="1147">O2140</f>
        <v>101</v>
      </c>
    </row>
    <row r="2155" spans="1:15">
      <c r="B2155" s="22">
        <f t="shared" ref="B2155:B2186" si="1148">QUOTIENT( D2155-1,G2156)+1</f>
        <v>35</v>
      </c>
      <c r="C2155" s="22">
        <f t="shared" ref="C2155" si="1149">D2155-(B2155-1)*G2156</f>
        <v>1</v>
      </c>
      <c r="D2155" s="22">
        <f>COUNT($D$12:$D2154)+1</f>
        <v>103</v>
      </c>
      <c r="E2155" s="4"/>
    </row>
    <row r="2156" spans="1:15">
      <c r="E2156" s="4">
        <f t="shared" si="1118"/>
        <v>2156</v>
      </c>
      <c r="F2156" s="9" t="s">
        <v>96</v>
      </c>
      <c r="G2156" s="9" t="s">
        <v>38</v>
      </c>
      <c r="H2156" s="9" t="s">
        <v>282</v>
      </c>
      <c r="J2156" s="9" t="s">
        <v>247</v>
      </c>
      <c r="O2156" s="23">
        <f t="shared" ref="O2156:O2187" si="1150">J2156+D2155</f>
        <v>10103</v>
      </c>
    </row>
    <row r="2157" spans="1:15">
      <c r="E2157" s="4">
        <f t="shared" si="1118"/>
        <v>2157</v>
      </c>
      <c r="F2157" s="9" t="s">
        <v>165</v>
      </c>
      <c r="G2157" s="9" t="s">
        <v>280</v>
      </c>
      <c r="H2157" s="9" t="s">
        <v>249</v>
      </c>
      <c r="O2157" s="23">
        <f t="shared" ref="O2157" si="1151">G2157+B2155*H2157</f>
        <v>1025</v>
      </c>
    </row>
    <row r="2158" spans="1:15">
      <c r="E2158" s="4">
        <f t="shared" si="1118"/>
        <v>2158</v>
      </c>
      <c r="F2158" s="9" t="s">
        <v>35</v>
      </c>
      <c r="O2158" s="23" t="s">
        <v>251</v>
      </c>
    </row>
    <row r="2159" spans="1:15">
      <c r="E2159" s="4">
        <f t="shared" si="1118"/>
        <v>2159</v>
      </c>
      <c r="F2159" s="9" t="s">
        <v>29</v>
      </c>
      <c r="O2159" s="23" t="s">
        <v>157</v>
      </c>
    </row>
    <row r="2160" spans="1:15">
      <c r="E2160" s="4">
        <f t="shared" si="1118"/>
        <v>2160</v>
      </c>
      <c r="F2160" s="9" t="s">
        <v>122</v>
      </c>
      <c r="O2160" s="23" t="s">
        <v>158</v>
      </c>
    </row>
    <row r="2161" spans="1:15">
      <c r="E2161" s="4">
        <f t="shared" ref="E2161:E2217" si="1152">ROW(E2161)</f>
        <v>2161</v>
      </c>
      <c r="F2161" s="9" t="s">
        <v>117</v>
      </c>
      <c r="G2161" s="9" t="s">
        <v>253</v>
      </c>
      <c r="H2161" s="9" t="s">
        <v>254</v>
      </c>
      <c r="I2161" s="9" t="s">
        <v>255</v>
      </c>
      <c r="J2161" s="9" t="s">
        <v>256</v>
      </c>
      <c r="L2161" s="9" t="s">
        <v>138</v>
      </c>
      <c r="O2161" s="23">
        <f t="shared" ref="O2161" ca="1" si="1153">IF(MOD(D2155,2)=0,RANDBETWEEN($I$19,$J$19),RANDBETWEEN($G$19,$H$19))</f>
        <v>-108</v>
      </c>
    </row>
    <row r="2162" spans="1:15">
      <c r="E2162" s="4">
        <f t="shared" si="1152"/>
        <v>2162</v>
      </c>
      <c r="F2162" s="9" t="s">
        <v>30</v>
      </c>
      <c r="O2162" s="23" t="s">
        <v>33</v>
      </c>
    </row>
    <row r="2163" spans="1:15">
      <c r="E2163" s="4">
        <f t="shared" si="1152"/>
        <v>2163</v>
      </c>
      <c r="F2163" s="9" t="s">
        <v>119</v>
      </c>
      <c r="G2163" s="9" t="s">
        <v>257</v>
      </c>
      <c r="H2163" s="9" t="s">
        <v>258</v>
      </c>
      <c r="I2163" s="9" t="s">
        <v>34</v>
      </c>
      <c r="O2163" s="23">
        <f t="shared" ref="O2163:O2194" ca="1" si="1154">RANDBETWEEN($G$21*$I$21,$H$21*$I$21)/$I$21</f>
        <v>-8.6999999999999993</v>
      </c>
    </row>
    <row r="2164" spans="1:15">
      <c r="E2164" s="4">
        <f t="shared" si="1152"/>
        <v>2164</v>
      </c>
      <c r="F2164" s="9" t="s">
        <v>112</v>
      </c>
      <c r="O2164" s="23">
        <v>0</v>
      </c>
    </row>
    <row r="2165" spans="1:15">
      <c r="E2165" s="4">
        <f t="shared" si="1152"/>
        <v>2165</v>
      </c>
      <c r="F2165" s="9" t="s">
        <v>102</v>
      </c>
      <c r="G2165" s="9" t="s">
        <v>259</v>
      </c>
      <c r="H2165" s="9" t="s">
        <v>260</v>
      </c>
      <c r="I2165" s="9" t="s">
        <v>34</v>
      </c>
      <c r="J2165" s="9" t="s">
        <v>261</v>
      </c>
      <c r="K2165" s="9" t="s">
        <v>140</v>
      </c>
      <c r="O2165" s="23" t="str">
        <f t="shared" ref="O2165:O2196" ca="1" si="1155">CONCATENATE(RANDBETWEEN($G$23*$I$23,$H$23*$I$23)/$I$23,$J$23)</f>
        <v>1.3,6</v>
      </c>
    </row>
    <row r="2166" spans="1:15">
      <c r="E2166" s="4">
        <f t="shared" si="1152"/>
        <v>2166</v>
      </c>
      <c r="F2166" s="9" t="s">
        <v>31</v>
      </c>
      <c r="L2166" s="9" t="s">
        <v>148</v>
      </c>
    </row>
    <row r="2167" spans="1:15">
      <c r="E2167" s="4">
        <f t="shared" si="1152"/>
        <v>2167</v>
      </c>
      <c r="F2167" s="9" t="s">
        <v>136</v>
      </c>
      <c r="L2167" s="9" t="s">
        <v>149</v>
      </c>
    </row>
    <row r="2168" spans="1:15">
      <c r="E2168" s="4">
        <f t="shared" si="1152"/>
        <v>2168</v>
      </c>
      <c r="F2168" s="9" t="s">
        <v>137</v>
      </c>
      <c r="K2168" s="9" t="s">
        <v>141</v>
      </c>
      <c r="O2168" s="23">
        <v>1</v>
      </c>
    </row>
    <row r="2169" spans="1:15">
      <c r="E2169" s="4">
        <f t="shared" si="1152"/>
        <v>2169</v>
      </c>
      <c r="F2169" s="9" t="s">
        <v>137</v>
      </c>
      <c r="G2169" s="9" t="s">
        <v>262</v>
      </c>
      <c r="H2169" s="9" t="s">
        <v>32</v>
      </c>
      <c r="I2169" s="9" t="s">
        <v>34</v>
      </c>
      <c r="J2169" s="9" t="s">
        <v>263</v>
      </c>
      <c r="K2169" s="9" t="s">
        <v>140</v>
      </c>
      <c r="O2169" s="23" t="str">
        <f t="shared" ref="O2169:O2200" ca="1" si="1156">CONCATENATE(RANDBETWEEN($G$27*$I$27,$H$27*$I$27)/$I$27,$J$27)</f>
        <v>1.8,-4.5</v>
      </c>
    </row>
    <row r="2170" spans="1:15">
      <c r="A2170" s="9"/>
      <c r="B2170" s="9"/>
      <c r="C2170" s="9"/>
      <c r="D2170" s="9"/>
      <c r="E2170" s="4">
        <f t="shared" si="1152"/>
        <v>2170</v>
      </c>
      <c r="F2170" s="9" t="s">
        <v>105</v>
      </c>
      <c r="O2170" s="23">
        <f t="shared" ref="O2170" si="1157">O2156*10+1</f>
        <v>101031</v>
      </c>
    </row>
    <row r="2171" spans="1:15">
      <c r="E2171" s="4">
        <f t="shared" si="1152"/>
        <v>2171</v>
      </c>
      <c r="F2171" s="9" t="s">
        <v>156</v>
      </c>
      <c r="O2171" s="23">
        <f t="shared" ref="O2171" si="1158">O2156</f>
        <v>10103</v>
      </c>
    </row>
    <row r="2172" spans="1:15">
      <c r="E2172" s="4">
        <f t="shared" si="1152"/>
        <v>2172</v>
      </c>
      <c r="F2172" s="9" t="s">
        <v>131</v>
      </c>
      <c r="O2172" s="23">
        <v>0</v>
      </c>
    </row>
    <row r="2173" spans="1:15">
      <c r="E2173" s="4">
        <f t="shared" si="1152"/>
        <v>2173</v>
      </c>
      <c r="F2173" s="9" t="s">
        <v>35</v>
      </c>
      <c r="O2173" s="23" t="s">
        <v>252</v>
      </c>
    </row>
    <row r="2174" spans="1:15">
      <c r="E2174" s="4">
        <f t="shared" si="1152"/>
        <v>2174</v>
      </c>
      <c r="F2174" s="9" t="s">
        <v>119</v>
      </c>
      <c r="O2174" s="23" t="s">
        <v>22</v>
      </c>
    </row>
    <row r="2175" spans="1:15">
      <c r="E2175" s="4">
        <f t="shared" si="1152"/>
        <v>2175</v>
      </c>
      <c r="F2175" s="9" t="s">
        <v>117</v>
      </c>
      <c r="L2175" s="9" t="s">
        <v>138</v>
      </c>
      <c r="O2175" s="23">
        <f t="shared" ref="O2175" ca="1" si="1159">O2161</f>
        <v>-108</v>
      </c>
    </row>
    <row r="2176" spans="1:15">
      <c r="B2176" s="22">
        <f t="shared" ref="B2176:B2217" si="1160">QUOTIENT( D2176-1,G2177)+1</f>
        <v>35</v>
      </c>
      <c r="C2176" s="22">
        <f t="shared" ref="C2176" si="1161">D2176-(B2176-1)*G2177</f>
        <v>2</v>
      </c>
      <c r="D2176" s="22">
        <f>COUNT($D$12:$D2175)+1</f>
        <v>104</v>
      </c>
      <c r="E2176" s="4"/>
    </row>
    <row r="2177" spans="1:15">
      <c r="E2177" s="4">
        <f t="shared" si="1152"/>
        <v>2177</v>
      </c>
      <c r="F2177" s="9" t="s">
        <v>96</v>
      </c>
      <c r="G2177" s="9" t="s">
        <v>38</v>
      </c>
      <c r="H2177" s="9" t="s">
        <v>282</v>
      </c>
      <c r="J2177" s="9" t="s">
        <v>247</v>
      </c>
      <c r="O2177" s="23">
        <f t="shared" ref="O2177:O2217" si="1162">J2177+D2176</f>
        <v>10104</v>
      </c>
    </row>
    <row r="2178" spans="1:15">
      <c r="E2178" s="4">
        <f t="shared" si="1152"/>
        <v>2178</v>
      </c>
      <c r="F2178" s="9" t="s">
        <v>165</v>
      </c>
      <c r="G2178" s="9" t="s">
        <v>280</v>
      </c>
      <c r="H2178" s="9" t="s">
        <v>249</v>
      </c>
      <c r="O2178" s="23">
        <f t="shared" ref="O2178" si="1163">G2178+B2176*H2178</f>
        <v>1025</v>
      </c>
    </row>
    <row r="2179" spans="1:15">
      <c r="E2179" s="4">
        <f t="shared" si="1152"/>
        <v>2179</v>
      </c>
      <c r="F2179" s="9" t="s">
        <v>35</v>
      </c>
      <c r="O2179" s="23" t="s">
        <v>251</v>
      </c>
    </row>
    <row r="2180" spans="1:15">
      <c r="E2180" s="4">
        <f t="shared" si="1152"/>
        <v>2180</v>
      </c>
      <c r="F2180" s="9" t="s">
        <v>29</v>
      </c>
      <c r="O2180" s="23" t="s">
        <v>157</v>
      </c>
    </row>
    <row r="2181" spans="1:15">
      <c r="E2181" s="4">
        <f t="shared" si="1152"/>
        <v>2181</v>
      </c>
      <c r="F2181" s="9" t="s">
        <v>122</v>
      </c>
      <c r="O2181" s="23" t="s">
        <v>158</v>
      </c>
    </row>
    <row r="2182" spans="1:15">
      <c r="E2182" s="4">
        <f t="shared" si="1152"/>
        <v>2182</v>
      </c>
      <c r="F2182" s="9" t="s">
        <v>117</v>
      </c>
      <c r="G2182" s="9" t="s">
        <v>253</v>
      </c>
      <c r="H2182" s="9" t="s">
        <v>254</v>
      </c>
      <c r="I2182" s="9" t="s">
        <v>255</v>
      </c>
      <c r="J2182" s="9" t="s">
        <v>256</v>
      </c>
      <c r="L2182" s="9" t="s">
        <v>138</v>
      </c>
      <c r="O2182" s="23">
        <f t="shared" ref="O2182" ca="1" si="1164">IF(MOD(D2176,2)=0,RANDBETWEEN($I$19,$J$19),RANDBETWEEN($G$19,$H$19))</f>
        <v>102</v>
      </c>
    </row>
    <row r="2183" spans="1:15">
      <c r="E2183" s="4">
        <f t="shared" si="1152"/>
        <v>2183</v>
      </c>
      <c r="F2183" s="9" t="s">
        <v>30</v>
      </c>
      <c r="O2183" s="23" t="s">
        <v>33</v>
      </c>
    </row>
    <row r="2184" spans="1:15">
      <c r="E2184" s="4">
        <f t="shared" si="1152"/>
        <v>2184</v>
      </c>
      <c r="F2184" s="9" t="s">
        <v>119</v>
      </c>
      <c r="G2184" s="9" t="s">
        <v>257</v>
      </c>
      <c r="H2184" s="9" t="s">
        <v>258</v>
      </c>
      <c r="I2184" s="9" t="s">
        <v>34</v>
      </c>
      <c r="O2184" s="23">
        <f t="shared" ref="O2184:O2217" ca="1" si="1165">RANDBETWEEN($G$21*$I$21,$H$21*$I$21)/$I$21</f>
        <v>-7.8</v>
      </c>
    </row>
    <row r="2185" spans="1:15">
      <c r="E2185" s="4">
        <f t="shared" si="1152"/>
        <v>2185</v>
      </c>
      <c r="F2185" s="9" t="s">
        <v>112</v>
      </c>
      <c r="O2185" s="23">
        <v>0</v>
      </c>
    </row>
    <row r="2186" spans="1:15">
      <c r="E2186" s="4">
        <f t="shared" si="1152"/>
        <v>2186</v>
      </c>
      <c r="F2186" s="9" t="s">
        <v>102</v>
      </c>
      <c r="G2186" s="9" t="s">
        <v>259</v>
      </c>
      <c r="H2186" s="9" t="s">
        <v>260</v>
      </c>
      <c r="I2186" s="9" t="s">
        <v>34</v>
      </c>
      <c r="J2186" s="9" t="s">
        <v>261</v>
      </c>
      <c r="K2186" s="9" t="s">
        <v>140</v>
      </c>
      <c r="O2186" s="23" t="str">
        <f t="shared" ref="O2186:O2217" ca="1" si="1166">CONCATENATE(RANDBETWEEN($G$23*$I$23,$H$23*$I$23)/$I$23,$J$23)</f>
        <v>-2.2,6</v>
      </c>
    </row>
    <row r="2187" spans="1:15">
      <c r="E2187" s="4">
        <f t="shared" si="1152"/>
        <v>2187</v>
      </c>
      <c r="F2187" s="9" t="s">
        <v>31</v>
      </c>
      <c r="L2187" s="9" t="s">
        <v>148</v>
      </c>
    </row>
    <row r="2188" spans="1:15">
      <c r="E2188" s="4">
        <f t="shared" si="1152"/>
        <v>2188</v>
      </c>
      <c r="F2188" s="9" t="s">
        <v>136</v>
      </c>
      <c r="L2188" s="9" t="s">
        <v>149</v>
      </c>
    </row>
    <row r="2189" spans="1:15">
      <c r="E2189" s="4">
        <f t="shared" si="1152"/>
        <v>2189</v>
      </c>
      <c r="F2189" s="9" t="s">
        <v>137</v>
      </c>
      <c r="K2189" s="9" t="s">
        <v>141</v>
      </c>
      <c r="O2189" s="23">
        <v>1</v>
      </c>
    </row>
    <row r="2190" spans="1:15">
      <c r="E2190" s="4">
        <f t="shared" si="1152"/>
        <v>2190</v>
      </c>
      <c r="F2190" s="9" t="s">
        <v>137</v>
      </c>
      <c r="G2190" s="9" t="s">
        <v>262</v>
      </c>
      <c r="H2190" s="9" t="s">
        <v>32</v>
      </c>
      <c r="I2190" s="9" t="s">
        <v>34</v>
      </c>
      <c r="J2190" s="9" t="s">
        <v>263</v>
      </c>
      <c r="K2190" s="9" t="s">
        <v>140</v>
      </c>
      <c r="O2190" s="23" t="str">
        <f t="shared" ref="O2190:O2217" ca="1" si="1167">CONCATENATE(RANDBETWEEN($G$27*$I$27,$H$27*$I$27)/$I$27,$J$27)</f>
        <v>5.2,-4.5</v>
      </c>
    </row>
    <row r="2191" spans="1:15">
      <c r="E2191" s="4">
        <f t="shared" si="1152"/>
        <v>2191</v>
      </c>
      <c r="F2191" s="9" t="s">
        <v>105</v>
      </c>
      <c r="O2191" s="23">
        <f t="shared" ref="O2191" si="1168">O2177*10+1</f>
        <v>101041</v>
      </c>
    </row>
    <row r="2192" spans="1:15">
      <c r="A2192" s="9"/>
      <c r="B2192" s="9"/>
      <c r="C2192" s="9"/>
      <c r="D2192" s="9"/>
      <c r="E2192" s="4">
        <f t="shared" si="1152"/>
        <v>2192</v>
      </c>
      <c r="F2192" s="9" t="s">
        <v>156</v>
      </c>
      <c r="O2192" s="23">
        <f t="shared" ref="O2192" si="1169">O2177</f>
        <v>10104</v>
      </c>
    </row>
    <row r="2193" spans="2:15">
      <c r="E2193" s="4">
        <f t="shared" si="1152"/>
        <v>2193</v>
      </c>
      <c r="F2193" s="9" t="s">
        <v>131</v>
      </c>
      <c r="O2193" s="23">
        <v>0</v>
      </c>
    </row>
    <row r="2194" spans="2:15">
      <c r="E2194" s="4">
        <f t="shared" si="1152"/>
        <v>2194</v>
      </c>
      <c r="F2194" s="9" t="s">
        <v>35</v>
      </c>
      <c r="O2194" s="23" t="s">
        <v>252</v>
      </c>
    </row>
    <row r="2195" spans="2:15">
      <c r="E2195" s="4">
        <f t="shared" si="1152"/>
        <v>2195</v>
      </c>
      <c r="F2195" s="9" t="s">
        <v>119</v>
      </c>
      <c r="O2195" s="23" t="s">
        <v>22</v>
      </c>
    </row>
    <row r="2196" spans="2:15">
      <c r="E2196" s="4">
        <f t="shared" si="1152"/>
        <v>2196</v>
      </c>
      <c r="F2196" s="9" t="s">
        <v>117</v>
      </c>
      <c r="L2196" s="9" t="s">
        <v>138</v>
      </c>
      <c r="O2196" s="23">
        <f t="shared" ref="O2196" ca="1" si="1170">O2182</f>
        <v>102</v>
      </c>
    </row>
    <row r="2197" spans="2:15">
      <c r="B2197" s="22">
        <f t="shared" ref="B2197:B2217" si="1171">QUOTIENT( D2197-1,G2198)+1</f>
        <v>35</v>
      </c>
      <c r="C2197" s="22">
        <f t="shared" ref="C2197" si="1172">D2197-(B2197-1)*G2198</f>
        <v>3</v>
      </c>
      <c r="D2197" s="22">
        <f>COUNT($D$12:$D2196)+1</f>
        <v>105</v>
      </c>
      <c r="E2197" s="4"/>
    </row>
    <row r="2198" spans="2:15">
      <c r="E2198" s="4">
        <f t="shared" si="1152"/>
        <v>2198</v>
      </c>
      <c r="F2198" s="9" t="s">
        <v>96</v>
      </c>
      <c r="G2198" s="9" t="s">
        <v>38</v>
      </c>
      <c r="H2198" s="9" t="s">
        <v>282</v>
      </c>
      <c r="J2198" s="9" t="s">
        <v>247</v>
      </c>
      <c r="O2198" s="23">
        <f t="shared" ref="O2198:O2217" si="1173">J2198+D2197</f>
        <v>10105</v>
      </c>
    </row>
    <row r="2199" spans="2:15">
      <c r="E2199" s="4">
        <f t="shared" si="1152"/>
        <v>2199</v>
      </c>
      <c r="F2199" s="9" t="s">
        <v>165</v>
      </c>
      <c r="G2199" s="9" t="s">
        <v>280</v>
      </c>
      <c r="H2199" s="9" t="s">
        <v>249</v>
      </c>
      <c r="O2199" s="23">
        <f t="shared" ref="O2199" si="1174">G2199+B2197*H2199</f>
        <v>1025</v>
      </c>
    </row>
    <row r="2200" spans="2:15">
      <c r="E2200" s="4">
        <f t="shared" si="1152"/>
        <v>2200</v>
      </c>
      <c r="F2200" s="9" t="s">
        <v>35</v>
      </c>
      <c r="O2200" s="23" t="s">
        <v>251</v>
      </c>
    </row>
    <row r="2201" spans="2:15">
      <c r="E2201" s="4">
        <f t="shared" si="1152"/>
        <v>2201</v>
      </c>
      <c r="F2201" s="9" t="s">
        <v>29</v>
      </c>
      <c r="O2201" s="23" t="s">
        <v>157</v>
      </c>
    </row>
    <row r="2202" spans="2:15">
      <c r="E2202" s="4">
        <f t="shared" si="1152"/>
        <v>2202</v>
      </c>
      <c r="F2202" s="9" t="s">
        <v>122</v>
      </c>
      <c r="O2202" s="23" t="s">
        <v>158</v>
      </c>
    </row>
    <row r="2203" spans="2:15">
      <c r="E2203" s="4">
        <f t="shared" si="1152"/>
        <v>2203</v>
      </c>
      <c r="F2203" s="9" t="s">
        <v>117</v>
      </c>
      <c r="G2203" s="9" t="s">
        <v>253</v>
      </c>
      <c r="H2203" s="9" t="s">
        <v>254</v>
      </c>
      <c r="I2203" s="9" t="s">
        <v>255</v>
      </c>
      <c r="J2203" s="9" t="s">
        <v>256</v>
      </c>
      <c r="L2203" s="9" t="s">
        <v>138</v>
      </c>
      <c r="O2203" s="23">
        <f t="shared" ref="O2203" ca="1" si="1175">IF(MOD(D2197,2)=0,RANDBETWEEN($I$19,$J$19),RANDBETWEEN($G$19,$H$19))</f>
        <v>-97</v>
      </c>
    </row>
    <row r="2204" spans="2:15">
      <c r="E2204" s="4">
        <f t="shared" si="1152"/>
        <v>2204</v>
      </c>
      <c r="F2204" s="9" t="s">
        <v>30</v>
      </c>
      <c r="O2204" s="23" t="s">
        <v>33</v>
      </c>
    </row>
    <row r="2205" spans="2:15">
      <c r="E2205" s="4">
        <f t="shared" si="1152"/>
        <v>2205</v>
      </c>
      <c r="F2205" s="9" t="s">
        <v>119</v>
      </c>
      <c r="G2205" s="9" t="s">
        <v>257</v>
      </c>
      <c r="H2205" s="9" t="s">
        <v>258</v>
      </c>
      <c r="I2205" s="9" t="s">
        <v>34</v>
      </c>
      <c r="O2205" s="23">
        <f t="shared" ref="O2205:O2217" ca="1" si="1176">RANDBETWEEN($G$21*$I$21,$H$21*$I$21)/$I$21</f>
        <v>-8.5</v>
      </c>
    </row>
    <row r="2206" spans="2:15">
      <c r="E2206" s="4">
        <f t="shared" si="1152"/>
        <v>2206</v>
      </c>
      <c r="F2206" s="9" t="s">
        <v>112</v>
      </c>
      <c r="O2206" s="23">
        <v>0</v>
      </c>
    </row>
    <row r="2207" spans="2:15">
      <c r="E2207" s="4">
        <f t="shared" si="1152"/>
        <v>2207</v>
      </c>
      <c r="F2207" s="9" t="s">
        <v>102</v>
      </c>
      <c r="G2207" s="9" t="s">
        <v>259</v>
      </c>
      <c r="H2207" s="9" t="s">
        <v>260</v>
      </c>
      <c r="I2207" s="9" t="s">
        <v>34</v>
      </c>
      <c r="J2207" s="9" t="s">
        <v>261</v>
      </c>
      <c r="K2207" s="9" t="s">
        <v>140</v>
      </c>
      <c r="O2207" s="23" t="str">
        <f t="shared" ref="O2207:O2217" ca="1" si="1177">CONCATENATE(RANDBETWEEN($G$23*$I$23,$H$23*$I$23)/$I$23,$J$23)</f>
        <v>1.1,6</v>
      </c>
    </row>
    <row r="2208" spans="2:15">
      <c r="E2208" s="4">
        <f t="shared" si="1152"/>
        <v>2208</v>
      </c>
      <c r="F2208" s="9" t="s">
        <v>31</v>
      </c>
      <c r="L2208" s="9" t="s">
        <v>148</v>
      </c>
    </row>
    <row r="2209" spans="1:15">
      <c r="E2209" s="4">
        <f t="shared" si="1152"/>
        <v>2209</v>
      </c>
      <c r="F2209" s="9" t="s">
        <v>136</v>
      </c>
      <c r="L2209" s="9" t="s">
        <v>149</v>
      </c>
    </row>
    <row r="2210" spans="1:15">
      <c r="E2210" s="4">
        <f t="shared" si="1152"/>
        <v>2210</v>
      </c>
      <c r="F2210" s="9" t="s">
        <v>137</v>
      </c>
      <c r="K2210" s="9" t="s">
        <v>141</v>
      </c>
      <c r="O2210" s="23">
        <v>1</v>
      </c>
    </row>
    <row r="2211" spans="1:15">
      <c r="E2211" s="4">
        <f t="shared" si="1152"/>
        <v>2211</v>
      </c>
      <c r="F2211" s="9" t="s">
        <v>137</v>
      </c>
      <c r="G2211" s="9" t="s">
        <v>262</v>
      </c>
      <c r="H2211" s="9" t="s">
        <v>32</v>
      </c>
      <c r="I2211" s="9" t="s">
        <v>34</v>
      </c>
      <c r="J2211" s="9" t="s">
        <v>263</v>
      </c>
      <c r="K2211" s="9" t="s">
        <v>140</v>
      </c>
      <c r="O2211" s="23" t="str">
        <f t="shared" ref="O2211:O2217" ca="1" si="1178">CONCATENATE(RANDBETWEEN($G$27*$I$27,$H$27*$I$27)/$I$27,$J$27)</f>
        <v>-2.2,-4.5</v>
      </c>
    </row>
    <row r="2212" spans="1:15">
      <c r="E2212" s="4">
        <f t="shared" si="1152"/>
        <v>2212</v>
      </c>
      <c r="F2212" s="9" t="s">
        <v>105</v>
      </c>
      <c r="O2212" s="23">
        <f t="shared" ref="O2212" si="1179">O2198*10+1</f>
        <v>101051</v>
      </c>
    </row>
    <row r="2213" spans="1:15">
      <c r="E2213" s="4">
        <f t="shared" si="1152"/>
        <v>2213</v>
      </c>
      <c r="F2213" s="9" t="s">
        <v>156</v>
      </c>
      <c r="O2213" s="23">
        <f t="shared" ref="O2213" si="1180">O2198</f>
        <v>10105</v>
      </c>
    </row>
    <row r="2214" spans="1:15">
      <c r="A2214" s="9"/>
      <c r="B2214" s="9"/>
      <c r="C2214" s="9"/>
      <c r="D2214" s="9"/>
      <c r="E2214" s="4">
        <f t="shared" si="1152"/>
        <v>2214</v>
      </c>
      <c r="F2214" s="9" t="s">
        <v>131</v>
      </c>
      <c r="O2214" s="23">
        <v>0</v>
      </c>
    </row>
    <row r="2215" spans="1:15">
      <c r="E2215" s="4">
        <f t="shared" si="1152"/>
        <v>2215</v>
      </c>
      <c r="F2215" s="9" t="s">
        <v>35</v>
      </c>
      <c r="O2215" s="23" t="s">
        <v>252</v>
      </c>
    </row>
    <row r="2216" spans="1:15">
      <c r="E2216" s="4">
        <f t="shared" si="1152"/>
        <v>2216</v>
      </c>
      <c r="F2216" s="9" t="s">
        <v>119</v>
      </c>
      <c r="O2216" s="23" t="s">
        <v>22</v>
      </c>
    </row>
    <row r="2217" spans="1:15">
      <c r="E2217" s="4">
        <f t="shared" si="1152"/>
        <v>2217</v>
      </c>
      <c r="F2217" s="9" t="s">
        <v>117</v>
      </c>
      <c r="L2217" s="9" t="s">
        <v>138</v>
      </c>
      <c r="O2217" s="23">
        <f t="shared" ref="O2217" ca="1" si="1181">O2203</f>
        <v>-97</v>
      </c>
    </row>
    <row r="2218" spans="1:15">
      <c r="E2218" s="4"/>
    </row>
    <row r="2219" spans="1:15">
      <c r="E2219" s="4"/>
    </row>
    <row r="2220" spans="1:15">
      <c r="E2220" s="4"/>
    </row>
    <row r="2221" spans="1:15">
      <c r="E2221" s="4"/>
    </row>
    <row r="2222" spans="1:15">
      <c r="E2222" s="4"/>
    </row>
    <row r="2223" spans="1:15">
      <c r="E2223" s="4"/>
    </row>
    <row r="2224" spans="1:15">
      <c r="E2224" s="4"/>
    </row>
    <row r="2225" spans="1:5">
      <c r="E2225" s="4"/>
    </row>
    <row r="2226" spans="1:5">
      <c r="E2226" s="4"/>
    </row>
    <row r="2227" spans="1:5">
      <c r="E2227" s="4"/>
    </row>
    <row r="2228" spans="1:5">
      <c r="E2228" s="4"/>
    </row>
    <row r="2229" spans="1:5">
      <c r="E2229" s="4"/>
    </row>
    <row r="2230" spans="1:5">
      <c r="E2230" s="4"/>
    </row>
    <row r="2231" spans="1:5">
      <c r="E2231" s="4"/>
    </row>
    <row r="2232" spans="1:5">
      <c r="E2232" s="4"/>
    </row>
    <row r="2233" spans="1:5">
      <c r="E2233" s="4"/>
    </row>
    <row r="2234" spans="1:5">
      <c r="E2234" s="4"/>
    </row>
    <row r="2235" spans="1:5">
      <c r="E2235" s="4"/>
    </row>
    <row r="2236" spans="1:5">
      <c r="A2236" s="9"/>
      <c r="B2236" s="9"/>
      <c r="C2236" s="9"/>
      <c r="D2236" s="9"/>
      <c r="E2236" s="4"/>
    </row>
    <row r="2237" spans="1:5">
      <c r="E2237" s="4"/>
    </row>
    <row r="2238" spans="1:5">
      <c r="E2238" s="4"/>
    </row>
    <row r="2239" spans="1:5">
      <c r="E2239" s="4"/>
    </row>
    <row r="2240" spans="1:5">
      <c r="E2240" s="4"/>
    </row>
    <row r="2241" spans="5:5">
      <c r="E2241" s="4"/>
    </row>
    <row r="2242" spans="5:5">
      <c r="E2242" s="4"/>
    </row>
    <row r="2243" spans="5:5">
      <c r="E2243" s="4"/>
    </row>
    <row r="2244" spans="5:5">
      <c r="E2244" s="4"/>
    </row>
    <row r="2245" spans="5:5">
      <c r="E2245" s="4"/>
    </row>
    <row r="2246" spans="5:5">
      <c r="E2246" s="4"/>
    </row>
    <row r="2247" spans="5:5">
      <c r="E2247" s="4"/>
    </row>
    <row r="2248" spans="5:5">
      <c r="E2248" s="4"/>
    </row>
    <row r="2249" spans="5:5">
      <c r="E2249" s="4"/>
    </row>
    <row r="2250" spans="5:5">
      <c r="E2250" s="4"/>
    </row>
    <row r="2251" spans="5:5">
      <c r="E2251" s="4"/>
    </row>
    <row r="2252" spans="5:5">
      <c r="E2252" s="4"/>
    </row>
    <row r="2253" spans="5:5">
      <c r="E2253" s="4"/>
    </row>
    <row r="2254" spans="5:5">
      <c r="E2254" s="4"/>
    </row>
    <row r="2255" spans="5:5">
      <c r="E2255" s="4"/>
    </row>
    <row r="2256" spans="5:5">
      <c r="E2256" s="4"/>
    </row>
    <row r="2257" spans="1:5">
      <c r="E2257" s="4"/>
    </row>
    <row r="2258" spans="1:5">
      <c r="A2258" s="9"/>
      <c r="B2258" s="9"/>
      <c r="C2258" s="9"/>
      <c r="D2258" s="9"/>
      <c r="E2258" s="4"/>
    </row>
    <row r="2259" spans="1:5">
      <c r="E2259" s="4"/>
    </row>
    <row r="2260" spans="1:5">
      <c r="E2260" s="4"/>
    </row>
    <row r="2261" spans="1:5">
      <c r="E2261" s="4"/>
    </row>
    <row r="2262" spans="1:5">
      <c r="E2262" s="4"/>
    </row>
    <row r="2263" spans="1:5">
      <c r="E2263" s="4"/>
    </row>
    <row r="2264" spans="1:5">
      <c r="E2264" s="4"/>
    </row>
    <row r="2265" spans="1:5">
      <c r="E2265" s="4"/>
    </row>
    <row r="2266" spans="1:5">
      <c r="E2266" s="4"/>
    </row>
    <row r="2267" spans="1:5">
      <c r="E2267" s="4"/>
    </row>
    <row r="2268" spans="1:5">
      <c r="E2268" s="4"/>
    </row>
    <row r="2269" spans="1:5">
      <c r="E2269" s="4"/>
    </row>
    <row r="2270" spans="1:5">
      <c r="E2270" s="4"/>
    </row>
    <row r="2271" spans="1:5">
      <c r="E2271" s="4"/>
    </row>
    <row r="2272" spans="1:5">
      <c r="E2272" s="4"/>
    </row>
    <row r="2273" spans="1:5">
      <c r="E2273" s="4"/>
    </row>
    <row r="2274" spans="1:5">
      <c r="E2274" s="4"/>
    </row>
    <row r="2275" spans="1:5">
      <c r="E2275" s="4"/>
    </row>
    <row r="2276" spans="1:5">
      <c r="E2276" s="4"/>
    </row>
    <row r="2277" spans="1:5">
      <c r="E2277" s="4"/>
    </row>
    <row r="2278" spans="1:5">
      <c r="E2278" s="4"/>
    </row>
    <row r="2279" spans="1:5">
      <c r="E2279" s="4"/>
    </row>
    <row r="2280" spans="1:5">
      <c r="A2280" s="9"/>
      <c r="B2280" s="9"/>
      <c r="C2280" s="9"/>
      <c r="D2280" s="9"/>
      <c r="E2280" s="4"/>
    </row>
    <row r="2281" spans="1:5">
      <c r="E2281" s="4"/>
    </row>
    <row r="2282" spans="1:5">
      <c r="E2282" s="4"/>
    </row>
    <row r="2283" spans="1:5">
      <c r="E2283" s="4"/>
    </row>
    <row r="2284" spans="1:5">
      <c r="E2284" s="4"/>
    </row>
    <row r="2285" spans="1:5">
      <c r="E2285" s="4"/>
    </row>
    <row r="2286" spans="1:5">
      <c r="E2286" s="4"/>
    </row>
    <row r="2287" spans="1:5">
      <c r="E2287" s="4"/>
    </row>
    <row r="2288" spans="1:5">
      <c r="E2288" s="4"/>
    </row>
    <row r="2289" spans="1:5">
      <c r="E2289" s="4"/>
    </row>
    <row r="2290" spans="1:5">
      <c r="E2290" s="4"/>
    </row>
    <row r="2291" spans="1:5">
      <c r="E2291" s="4"/>
    </row>
    <row r="2292" spans="1:5">
      <c r="E2292" s="4"/>
    </row>
    <row r="2293" spans="1:5">
      <c r="E2293" s="4"/>
    </row>
    <row r="2294" spans="1:5">
      <c r="E2294" s="4"/>
    </row>
    <row r="2295" spans="1:5">
      <c r="E2295" s="4"/>
    </row>
    <row r="2296" spans="1:5">
      <c r="E2296" s="4"/>
    </row>
    <row r="2297" spans="1:5">
      <c r="E2297" s="4"/>
    </row>
    <row r="2298" spans="1:5">
      <c r="E2298" s="4"/>
    </row>
    <row r="2299" spans="1:5">
      <c r="E2299" s="4"/>
    </row>
    <row r="2300" spans="1:5">
      <c r="E2300" s="4"/>
    </row>
    <row r="2301" spans="1:5">
      <c r="E2301" s="4"/>
    </row>
    <row r="2302" spans="1:5">
      <c r="A2302" s="9"/>
      <c r="B2302" s="9"/>
      <c r="C2302" s="9"/>
      <c r="D2302" s="9"/>
      <c r="E2302" s="4"/>
    </row>
    <row r="2303" spans="1:5">
      <c r="E2303" s="4"/>
    </row>
    <row r="2304" spans="1:5">
      <c r="E2304" s="4"/>
    </row>
    <row r="2305" spans="5:5">
      <c r="E2305" s="4"/>
    </row>
    <row r="2306" spans="5:5">
      <c r="E2306" s="4"/>
    </row>
    <row r="2307" spans="5:5">
      <c r="E2307" s="4"/>
    </row>
    <row r="2308" spans="5:5">
      <c r="E2308" s="4"/>
    </row>
    <row r="2309" spans="5:5">
      <c r="E2309" s="4"/>
    </row>
    <row r="2310" spans="5:5">
      <c r="E2310" s="4"/>
    </row>
    <row r="2311" spans="5:5">
      <c r="E2311" s="4"/>
    </row>
    <row r="2312" spans="5:5">
      <c r="E2312" s="4"/>
    </row>
    <row r="2313" spans="5:5">
      <c r="E2313" s="4"/>
    </row>
    <row r="2314" spans="5:5">
      <c r="E2314" s="4"/>
    </row>
    <row r="2315" spans="5:5">
      <c r="E2315" s="4"/>
    </row>
    <row r="2316" spans="5:5">
      <c r="E2316" s="4"/>
    </row>
    <row r="2317" spans="5:5">
      <c r="E2317" s="4"/>
    </row>
    <row r="2318" spans="5:5">
      <c r="E2318" s="4"/>
    </row>
    <row r="2319" spans="5:5">
      <c r="E2319" s="4"/>
    </row>
    <row r="2320" spans="5:5">
      <c r="E2320" s="4"/>
    </row>
    <row r="2321" spans="1:5">
      <c r="E2321" s="4"/>
    </row>
    <row r="2322" spans="1:5">
      <c r="E2322" s="4"/>
    </row>
    <row r="2323" spans="1:5">
      <c r="E2323" s="4"/>
    </row>
    <row r="2324" spans="1:5">
      <c r="A2324" s="9"/>
      <c r="B2324" s="9"/>
      <c r="C2324" s="9"/>
      <c r="D2324" s="9"/>
      <c r="E2324" s="4"/>
    </row>
    <row r="2325" spans="1:5">
      <c r="E2325" s="4"/>
    </row>
    <row r="2326" spans="1:5">
      <c r="E2326" s="4"/>
    </row>
    <row r="2327" spans="1:5">
      <c r="E2327" s="4"/>
    </row>
    <row r="2328" spans="1:5">
      <c r="E2328" s="4"/>
    </row>
    <row r="2329" spans="1:5">
      <c r="E2329" s="4"/>
    </row>
    <row r="2330" spans="1:5">
      <c r="E2330" s="4"/>
    </row>
    <row r="2331" spans="1:5">
      <c r="E2331" s="4"/>
    </row>
    <row r="2332" spans="1:5">
      <c r="E2332" s="4"/>
    </row>
    <row r="2333" spans="1:5">
      <c r="E2333" s="4"/>
    </row>
    <row r="2334" spans="1:5">
      <c r="E2334" s="4"/>
    </row>
    <row r="2335" spans="1:5">
      <c r="E2335" s="4"/>
    </row>
    <row r="2336" spans="1:5">
      <c r="E2336" s="4"/>
    </row>
    <row r="2337" spans="1:5">
      <c r="E2337" s="4"/>
    </row>
    <row r="2338" spans="1:5">
      <c r="E2338" s="4"/>
    </row>
    <row r="2339" spans="1:5">
      <c r="E2339" s="4"/>
    </row>
    <row r="2340" spans="1:5">
      <c r="E2340" s="4"/>
    </row>
    <row r="2341" spans="1:5">
      <c r="E2341" s="4"/>
    </row>
    <row r="2342" spans="1:5">
      <c r="E2342" s="4"/>
    </row>
    <row r="2343" spans="1:5">
      <c r="E2343" s="4"/>
    </row>
    <row r="2344" spans="1:5">
      <c r="E2344" s="4"/>
    </row>
    <row r="2345" spans="1:5">
      <c r="E2345" s="4"/>
    </row>
    <row r="2346" spans="1:5">
      <c r="A2346" s="9"/>
      <c r="B2346" s="9"/>
      <c r="C2346" s="9"/>
      <c r="D2346" s="9"/>
      <c r="E2346" s="4"/>
    </row>
    <row r="2347" spans="1:5">
      <c r="E2347" s="4"/>
    </row>
    <row r="2348" spans="1:5">
      <c r="E2348" s="4"/>
    </row>
    <row r="2349" spans="1:5">
      <c r="E2349" s="4"/>
    </row>
    <row r="2350" spans="1:5">
      <c r="E2350" s="4"/>
    </row>
    <row r="2351" spans="1:5">
      <c r="E2351" s="4"/>
    </row>
    <row r="2352" spans="1:5">
      <c r="E2352" s="4"/>
    </row>
    <row r="2353" spans="1:5">
      <c r="E2353" s="4"/>
    </row>
    <row r="2354" spans="1:5">
      <c r="E2354" s="4"/>
    </row>
    <row r="2355" spans="1:5">
      <c r="E2355" s="4"/>
    </row>
    <row r="2356" spans="1:5">
      <c r="E2356" s="4"/>
    </row>
    <row r="2357" spans="1:5">
      <c r="E2357" s="4"/>
    </row>
    <row r="2358" spans="1:5">
      <c r="E2358" s="4"/>
    </row>
    <row r="2359" spans="1:5">
      <c r="E2359" s="4"/>
    </row>
    <row r="2360" spans="1:5">
      <c r="E2360" s="4"/>
    </row>
    <row r="2361" spans="1:5">
      <c r="E2361" s="4"/>
    </row>
    <row r="2362" spans="1:5">
      <c r="E2362" s="4"/>
    </row>
    <row r="2363" spans="1:5">
      <c r="E2363" s="4"/>
    </row>
    <row r="2364" spans="1:5">
      <c r="E2364" s="4"/>
    </row>
    <row r="2365" spans="1:5">
      <c r="E2365" s="4"/>
    </row>
    <row r="2366" spans="1:5">
      <c r="E2366" s="4"/>
    </row>
    <row r="2367" spans="1:5">
      <c r="E2367" s="4"/>
    </row>
    <row r="2368" spans="1:5">
      <c r="A2368" s="9"/>
      <c r="B2368" s="9"/>
      <c r="C2368" s="9"/>
      <c r="D2368" s="9"/>
      <c r="E2368" s="4"/>
    </row>
    <row r="2369" spans="5:5">
      <c r="E2369" s="4"/>
    </row>
    <row r="2370" spans="5:5">
      <c r="E2370" s="4"/>
    </row>
    <row r="2371" spans="5:5">
      <c r="E2371" s="4"/>
    </row>
    <row r="2372" spans="5:5">
      <c r="E2372" s="4"/>
    </row>
    <row r="2373" spans="5:5">
      <c r="E2373" s="4"/>
    </row>
    <row r="2374" spans="5:5">
      <c r="E2374" s="4"/>
    </row>
    <row r="2375" spans="5:5">
      <c r="E2375" s="4"/>
    </row>
    <row r="2376" spans="5:5">
      <c r="E2376" s="4"/>
    </row>
    <row r="2377" spans="5:5">
      <c r="E2377" s="4"/>
    </row>
    <row r="2378" spans="5:5">
      <c r="E2378" s="4"/>
    </row>
    <row r="2379" spans="5:5">
      <c r="E2379" s="4"/>
    </row>
    <row r="2380" spans="5:5">
      <c r="E2380" s="4"/>
    </row>
    <row r="2381" spans="5:5">
      <c r="E2381" s="4"/>
    </row>
    <row r="2382" spans="5:5">
      <c r="E2382" s="4"/>
    </row>
    <row r="2383" spans="5:5">
      <c r="E2383" s="4"/>
    </row>
    <row r="2384" spans="5:5">
      <c r="E2384" s="4"/>
    </row>
    <row r="2385" spans="1:5">
      <c r="E2385" s="4"/>
    </row>
    <row r="2386" spans="1:5">
      <c r="E2386" s="4"/>
    </row>
    <row r="2387" spans="1:5">
      <c r="E2387" s="4"/>
    </row>
    <row r="2388" spans="1:5">
      <c r="E2388" s="4"/>
    </row>
    <row r="2389" spans="1:5">
      <c r="E2389" s="4"/>
    </row>
    <row r="2390" spans="1:5">
      <c r="A2390" s="9"/>
      <c r="B2390" s="9"/>
      <c r="C2390" s="9"/>
      <c r="D2390" s="9"/>
      <c r="E2390" s="4"/>
    </row>
    <row r="2391" spans="1:5">
      <c r="E2391" s="4"/>
    </row>
    <row r="2392" spans="1:5">
      <c r="E2392" s="4"/>
    </row>
    <row r="2393" spans="1:5">
      <c r="E2393" s="4"/>
    </row>
    <row r="2394" spans="1:5">
      <c r="E2394" s="4"/>
    </row>
    <row r="2395" spans="1:5">
      <c r="E2395" s="4"/>
    </row>
    <row r="2396" spans="1:5">
      <c r="E2396" s="4"/>
    </row>
    <row r="2397" spans="1:5">
      <c r="E2397" s="4"/>
    </row>
    <row r="2398" spans="1:5">
      <c r="E2398" s="4"/>
    </row>
    <row r="2399" spans="1:5">
      <c r="E2399" s="4"/>
    </row>
    <row r="2400" spans="1:5">
      <c r="E2400" s="4"/>
    </row>
    <row r="2401" spans="1:5">
      <c r="E2401" s="4"/>
    </row>
    <row r="2402" spans="1:5">
      <c r="E2402" s="4"/>
    </row>
    <row r="2403" spans="1:5">
      <c r="E2403" s="4"/>
    </row>
    <row r="2404" spans="1:5">
      <c r="E2404" s="4"/>
    </row>
    <row r="2405" spans="1:5">
      <c r="E2405" s="4"/>
    </row>
    <row r="2406" spans="1:5">
      <c r="E2406" s="4"/>
    </row>
    <row r="2407" spans="1:5">
      <c r="E2407" s="4"/>
    </row>
    <row r="2408" spans="1:5">
      <c r="E2408" s="4"/>
    </row>
    <row r="2409" spans="1:5">
      <c r="E2409" s="4"/>
    </row>
    <row r="2410" spans="1:5">
      <c r="E2410" s="4"/>
    </row>
    <row r="2411" spans="1:5">
      <c r="E2411" s="4"/>
    </row>
    <row r="2412" spans="1:5">
      <c r="A2412" s="9"/>
      <c r="B2412" s="9"/>
      <c r="C2412" s="9"/>
      <c r="D2412" s="9"/>
      <c r="E2412" s="4"/>
    </row>
    <row r="2413" spans="1:5">
      <c r="E2413" s="4"/>
    </row>
    <row r="2414" spans="1:5">
      <c r="E2414" s="4"/>
    </row>
    <row r="2415" spans="1:5">
      <c r="E2415" s="4"/>
    </row>
    <row r="2416" spans="1:5">
      <c r="E2416" s="4"/>
    </row>
    <row r="2417" spans="5:5">
      <c r="E2417" s="4"/>
    </row>
    <row r="2418" spans="5:5">
      <c r="E2418" s="4"/>
    </row>
    <row r="2419" spans="5:5">
      <c r="E2419" s="4"/>
    </row>
    <row r="2420" spans="5:5">
      <c r="E2420" s="4"/>
    </row>
    <row r="2421" spans="5:5">
      <c r="E2421" s="4"/>
    </row>
    <row r="2422" spans="5:5">
      <c r="E2422" s="4"/>
    </row>
    <row r="2423" spans="5:5">
      <c r="E2423" s="4"/>
    </row>
    <row r="2424" spans="5:5">
      <c r="E2424" s="4"/>
    </row>
    <row r="2425" spans="5:5">
      <c r="E2425" s="4"/>
    </row>
    <row r="2426" spans="5:5">
      <c r="E2426" s="4"/>
    </row>
    <row r="2427" spans="5:5">
      <c r="E2427" s="4"/>
    </row>
    <row r="2428" spans="5:5">
      <c r="E2428" s="4"/>
    </row>
    <row r="2429" spans="5:5">
      <c r="E2429" s="4"/>
    </row>
    <row r="2430" spans="5:5">
      <c r="E2430" s="4"/>
    </row>
    <row r="2431" spans="5:5">
      <c r="E2431" s="4"/>
    </row>
    <row r="2432" spans="5:5">
      <c r="E2432" s="4"/>
    </row>
    <row r="2433" spans="1:5">
      <c r="E2433" s="4"/>
    </row>
    <row r="2434" spans="1:5">
      <c r="A2434" s="9"/>
      <c r="B2434" s="9"/>
      <c r="C2434" s="9"/>
      <c r="D2434" s="9"/>
      <c r="E2434" s="4"/>
    </row>
    <row r="2435" spans="1:5">
      <c r="E2435" s="4"/>
    </row>
    <row r="2436" spans="1:5">
      <c r="E2436" s="4"/>
    </row>
    <row r="2437" spans="1:5">
      <c r="E2437" s="4"/>
    </row>
    <row r="2438" spans="1:5">
      <c r="E2438" s="4"/>
    </row>
    <row r="2439" spans="1:5">
      <c r="E2439" s="4"/>
    </row>
    <row r="2440" spans="1:5">
      <c r="E2440" s="4"/>
    </row>
    <row r="2441" spans="1:5">
      <c r="E2441" s="4"/>
    </row>
    <row r="2442" spans="1:5">
      <c r="E2442" s="4"/>
    </row>
    <row r="2443" spans="1:5">
      <c r="E2443" s="4"/>
    </row>
    <row r="2444" spans="1:5">
      <c r="E2444" s="4"/>
    </row>
    <row r="2445" spans="1:5">
      <c r="E2445" s="4"/>
    </row>
    <row r="2446" spans="1:5">
      <c r="E2446" s="4"/>
    </row>
    <row r="2447" spans="1:5">
      <c r="E2447" s="4"/>
    </row>
    <row r="2448" spans="1:5">
      <c r="E2448" s="4"/>
    </row>
    <row r="2449" spans="1:5">
      <c r="E2449" s="4"/>
    </row>
    <row r="2450" spans="1:5">
      <c r="E2450" s="4"/>
    </row>
    <row r="2451" spans="1:5">
      <c r="E2451" s="4"/>
    </row>
    <row r="2452" spans="1:5">
      <c r="E2452" s="4"/>
    </row>
    <row r="2453" spans="1:5">
      <c r="E2453" s="4"/>
    </row>
    <row r="2454" spans="1:5">
      <c r="E2454" s="4"/>
    </row>
    <row r="2455" spans="1:5">
      <c r="E2455" s="4"/>
    </row>
    <row r="2456" spans="1:5">
      <c r="A2456" s="9"/>
      <c r="B2456" s="9"/>
      <c r="C2456" s="9"/>
      <c r="D2456" s="9"/>
      <c r="E2456" s="4"/>
    </row>
    <row r="2457" spans="1:5">
      <c r="E2457" s="4"/>
    </row>
    <row r="2458" spans="1:5">
      <c r="E2458" s="4"/>
    </row>
    <row r="2459" spans="1:5">
      <c r="E2459" s="4"/>
    </row>
    <row r="2460" spans="1:5">
      <c r="E2460" s="4"/>
    </row>
    <row r="2461" spans="1:5">
      <c r="E2461" s="4"/>
    </row>
    <row r="2462" spans="1:5">
      <c r="E2462" s="4"/>
    </row>
    <row r="2463" spans="1:5">
      <c r="E2463" s="4"/>
    </row>
    <row r="2464" spans="1:5">
      <c r="E2464" s="4"/>
    </row>
    <row r="2465" spans="1:5">
      <c r="E2465" s="4"/>
    </row>
    <row r="2466" spans="1:5">
      <c r="E2466" s="4"/>
    </row>
    <row r="2467" spans="1:5">
      <c r="E2467" s="4"/>
    </row>
    <row r="2468" spans="1:5">
      <c r="E2468" s="4"/>
    </row>
    <row r="2469" spans="1:5">
      <c r="E2469" s="4"/>
    </row>
    <row r="2470" spans="1:5">
      <c r="E2470" s="4"/>
    </row>
    <row r="2471" spans="1:5">
      <c r="E2471" s="4"/>
    </row>
    <row r="2472" spans="1:5">
      <c r="E2472" s="4"/>
    </row>
    <row r="2473" spans="1:5">
      <c r="E2473" s="4"/>
    </row>
    <row r="2474" spans="1:5">
      <c r="E2474" s="4"/>
    </row>
    <row r="2475" spans="1:5">
      <c r="E2475" s="4"/>
    </row>
    <row r="2476" spans="1:5">
      <c r="E2476" s="4"/>
    </row>
    <row r="2477" spans="1:5">
      <c r="E2477" s="4"/>
    </row>
    <row r="2478" spans="1:5">
      <c r="A2478" s="9"/>
      <c r="B2478" s="9"/>
      <c r="C2478" s="9"/>
      <c r="D2478" s="9"/>
      <c r="E2478" s="4"/>
    </row>
    <row r="2479" spans="1:5">
      <c r="E2479" s="4"/>
    </row>
    <row r="2480" spans="1:5">
      <c r="E2480" s="4"/>
    </row>
    <row r="2481" spans="5:5">
      <c r="E2481" s="4"/>
    </row>
    <row r="2482" spans="5:5">
      <c r="E2482" s="4"/>
    </row>
    <row r="2483" spans="5:5">
      <c r="E2483" s="4"/>
    </row>
    <row r="2484" spans="5:5">
      <c r="E2484" s="4"/>
    </row>
    <row r="2485" spans="5:5">
      <c r="E2485" s="4"/>
    </row>
    <row r="2486" spans="5:5">
      <c r="E2486" s="4"/>
    </row>
    <row r="2487" spans="5:5">
      <c r="E2487" s="4"/>
    </row>
    <row r="2488" spans="5:5">
      <c r="E2488" s="4"/>
    </row>
    <row r="2489" spans="5:5">
      <c r="E2489" s="4"/>
    </row>
    <row r="2490" spans="5:5">
      <c r="E2490" s="4"/>
    </row>
    <row r="2491" spans="5:5">
      <c r="E2491" s="4"/>
    </row>
    <row r="2492" spans="5:5">
      <c r="E2492" s="4"/>
    </row>
    <row r="2493" spans="5:5">
      <c r="E2493" s="4"/>
    </row>
    <row r="2494" spans="5:5">
      <c r="E2494" s="4"/>
    </row>
    <row r="2495" spans="5:5">
      <c r="E2495" s="4"/>
    </row>
    <row r="2496" spans="5:5">
      <c r="E2496" s="4"/>
    </row>
    <row r="2497" spans="1:5">
      <c r="E2497" s="4"/>
    </row>
    <row r="2498" spans="1:5">
      <c r="E2498" s="4"/>
    </row>
    <row r="2499" spans="1:5">
      <c r="E2499" s="4"/>
    </row>
    <row r="2500" spans="1:5">
      <c r="A2500" s="9"/>
      <c r="B2500" s="9"/>
      <c r="C2500" s="9"/>
      <c r="D2500" s="9"/>
      <c r="E2500" s="4"/>
    </row>
    <row r="2501" spans="1:5">
      <c r="E2501" s="4"/>
    </row>
    <row r="2502" spans="1:5">
      <c r="E2502" s="4"/>
    </row>
    <row r="2503" spans="1:5">
      <c r="E2503" s="4"/>
    </row>
    <row r="2504" spans="1:5">
      <c r="E2504" s="4"/>
    </row>
    <row r="2505" spans="1:5">
      <c r="E2505" s="4"/>
    </row>
    <row r="2506" spans="1:5">
      <c r="E2506" s="4"/>
    </row>
    <row r="2507" spans="1:5">
      <c r="E2507" s="4"/>
    </row>
    <row r="2508" spans="1:5">
      <c r="E2508" s="4"/>
    </row>
    <row r="2509" spans="1:5">
      <c r="E2509" s="4"/>
    </row>
    <row r="2510" spans="1:5">
      <c r="E2510" s="4"/>
    </row>
    <row r="2511" spans="1:5">
      <c r="E2511" s="4"/>
    </row>
    <row r="2512" spans="1:5">
      <c r="E2512" s="4"/>
    </row>
    <row r="2513" spans="1:5">
      <c r="E2513" s="4"/>
    </row>
    <row r="2514" spans="1:5">
      <c r="E2514" s="4"/>
    </row>
    <row r="2515" spans="1:5">
      <c r="E2515" s="4"/>
    </row>
    <row r="2516" spans="1:5">
      <c r="E2516" s="4"/>
    </row>
    <row r="2517" spans="1:5">
      <c r="E2517" s="4"/>
    </row>
    <row r="2518" spans="1:5">
      <c r="E2518" s="4"/>
    </row>
    <row r="2519" spans="1:5">
      <c r="E2519" s="4"/>
    </row>
    <row r="2520" spans="1:5">
      <c r="E2520" s="4"/>
    </row>
    <row r="2521" spans="1:5">
      <c r="E2521" s="4"/>
    </row>
    <row r="2522" spans="1:5">
      <c r="A2522" s="9"/>
      <c r="B2522" s="9"/>
      <c r="C2522" s="9"/>
      <c r="D2522" s="9"/>
      <c r="E2522" s="4"/>
    </row>
    <row r="2523" spans="1:5">
      <c r="E2523" s="4"/>
    </row>
    <row r="2524" spans="1:5">
      <c r="E2524" s="4"/>
    </row>
    <row r="2525" spans="1:5">
      <c r="E2525" s="4"/>
    </row>
    <row r="2526" spans="1:5">
      <c r="E2526" s="4"/>
    </row>
    <row r="2527" spans="1:5">
      <c r="E2527" s="4"/>
    </row>
    <row r="2528" spans="1:5">
      <c r="E2528" s="4"/>
    </row>
    <row r="2529" spans="1:5">
      <c r="E2529" s="4"/>
    </row>
    <row r="2530" spans="1:5">
      <c r="E2530" s="4"/>
    </row>
    <row r="2531" spans="1:5">
      <c r="E2531" s="4"/>
    </row>
    <row r="2532" spans="1:5">
      <c r="E2532" s="4"/>
    </row>
    <row r="2533" spans="1:5">
      <c r="E2533" s="4"/>
    </row>
    <row r="2534" spans="1:5">
      <c r="E2534" s="4"/>
    </row>
    <row r="2535" spans="1:5">
      <c r="E2535" s="4"/>
    </row>
    <row r="2536" spans="1:5">
      <c r="E2536" s="4"/>
    </row>
    <row r="2537" spans="1:5">
      <c r="E2537" s="4"/>
    </row>
    <row r="2538" spans="1:5">
      <c r="E2538" s="4"/>
    </row>
    <row r="2539" spans="1:5">
      <c r="E2539" s="4"/>
    </row>
    <row r="2540" spans="1:5">
      <c r="E2540" s="4"/>
    </row>
    <row r="2541" spans="1:5">
      <c r="E2541" s="4"/>
    </row>
    <row r="2542" spans="1:5">
      <c r="E2542" s="4"/>
    </row>
    <row r="2543" spans="1:5">
      <c r="E2543" s="4"/>
    </row>
    <row r="2544" spans="1:5">
      <c r="A2544" s="9"/>
      <c r="B2544" s="9"/>
      <c r="C2544" s="9"/>
      <c r="D2544" s="9"/>
      <c r="E2544" s="4"/>
    </row>
    <row r="2545" spans="5:5">
      <c r="E2545" s="4"/>
    </row>
    <row r="2546" spans="5:5">
      <c r="E2546" s="4"/>
    </row>
    <row r="2547" spans="5:5">
      <c r="E2547" s="4"/>
    </row>
    <row r="2548" spans="5:5">
      <c r="E2548" s="4"/>
    </row>
    <row r="2549" spans="5:5">
      <c r="E2549" s="4"/>
    </row>
    <row r="2550" spans="5:5">
      <c r="E2550" s="4"/>
    </row>
    <row r="2551" spans="5:5">
      <c r="E2551" s="4"/>
    </row>
    <row r="2552" spans="5:5">
      <c r="E2552" s="4"/>
    </row>
    <row r="2553" spans="5:5">
      <c r="E2553" s="4"/>
    </row>
    <row r="2554" spans="5:5">
      <c r="E2554" s="4"/>
    </row>
    <row r="2555" spans="5:5">
      <c r="E2555" s="4"/>
    </row>
    <row r="2556" spans="5:5">
      <c r="E2556" s="4"/>
    </row>
    <row r="2557" spans="5:5">
      <c r="E2557" s="4"/>
    </row>
    <row r="2558" spans="5:5">
      <c r="E2558" s="4"/>
    </row>
    <row r="2559" spans="5:5">
      <c r="E2559" s="4"/>
    </row>
    <row r="2560" spans="5:5">
      <c r="E2560" s="4"/>
    </row>
    <row r="2561" spans="1:5">
      <c r="E2561" s="4"/>
    </row>
    <row r="2562" spans="1:5">
      <c r="E2562" s="4"/>
    </row>
    <row r="2563" spans="1:5">
      <c r="E2563" s="4"/>
    </row>
    <row r="2564" spans="1:5">
      <c r="E2564" s="4"/>
    </row>
    <row r="2565" spans="1:5">
      <c r="E2565" s="4"/>
    </row>
    <row r="2566" spans="1:5">
      <c r="A2566" s="9"/>
      <c r="B2566" s="9"/>
      <c r="C2566" s="9"/>
      <c r="D2566" s="9"/>
      <c r="E2566" s="4"/>
    </row>
    <row r="2567" spans="1:5">
      <c r="E2567" s="4"/>
    </row>
    <row r="2568" spans="1:5">
      <c r="E2568" s="4"/>
    </row>
    <row r="2569" spans="1:5">
      <c r="E2569" s="4"/>
    </row>
    <row r="2570" spans="1:5">
      <c r="E2570" s="4"/>
    </row>
    <row r="2571" spans="1:5">
      <c r="E2571" s="4"/>
    </row>
    <row r="2572" spans="1:5">
      <c r="E2572" s="4"/>
    </row>
    <row r="2573" spans="1:5">
      <c r="E2573" s="4"/>
    </row>
    <row r="2574" spans="1:5">
      <c r="E2574" s="4"/>
    </row>
    <row r="2575" spans="1:5">
      <c r="E2575" s="4"/>
    </row>
    <row r="2576" spans="1:5">
      <c r="E2576" s="4"/>
    </row>
    <row r="2577" spans="1:5">
      <c r="E2577" s="4"/>
    </row>
    <row r="2578" spans="1:5">
      <c r="E2578" s="4"/>
    </row>
    <row r="2579" spans="1:5">
      <c r="E2579" s="4"/>
    </row>
    <row r="2580" spans="1:5">
      <c r="E2580" s="4"/>
    </row>
    <row r="2581" spans="1:5">
      <c r="E2581" s="4"/>
    </row>
    <row r="2582" spans="1:5">
      <c r="E2582" s="4"/>
    </row>
    <row r="2583" spans="1:5">
      <c r="E2583" s="4"/>
    </row>
    <row r="2584" spans="1:5">
      <c r="E2584" s="4"/>
    </row>
    <row r="2585" spans="1:5">
      <c r="E2585" s="4"/>
    </row>
    <row r="2586" spans="1:5">
      <c r="E2586" s="4"/>
    </row>
    <row r="2587" spans="1:5">
      <c r="E2587" s="4"/>
    </row>
    <row r="2588" spans="1:5">
      <c r="A2588" s="9"/>
      <c r="B2588" s="9"/>
      <c r="C2588" s="9"/>
      <c r="D2588" s="9"/>
      <c r="E2588" s="4"/>
    </row>
    <row r="2589" spans="1:5">
      <c r="E2589" s="4"/>
    </row>
    <row r="2590" spans="1:5">
      <c r="E2590" s="4"/>
    </row>
    <row r="2591" spans="1:5">
      <c r="E2591" s="4"/>
    </row>
    <row r="2592" spans="1:5">
      <c r="E2592" s="4"/>
    </row>
    <row r="2593" spans="5:5">
      <c r="E2593" s="4"/>
    </row>
    <row r="2594" spans="5:5">
      <c r="E2594" s="4"/>
    </row>
    <row r="2595" spans="5:5">
      <c r="E2595" s="4"/>
    </row>
    <row r="2596" spans="5:5">
      <c r="E2596" s="4"/>
    </row>
    <row r="2597" spans="5:5">
      <c r="E2597" s="4"/>
    </row>
    <row r="2598" spans="5:5">
      <c r="E2598" s="4"/>
    </row>
    <row r="2599" spans="5:5">
      <c r="E2599" s="4"/>
    </row>
    <row r="2600" spans="5:5">
      <c r="E2600" s="4"/>
    </row>
    <row r="2601" spans="5:5">
      <c r="E2601" s="4"/>
    </row>
    <row r="2602" spans="5:5">
      <c r="E2602" s="4"/>
    </row>
    <row r="2603" spans="5:5">
      <c r="E2603" s="4"/>
    </row>
    <row r="2604" spans="5:5">
      <c r="E2604" s="4"/>
    </row>
    <row r="2605" spans="5:5">
      <c r="E2605" s="4"/>
    </row>
    <row r="2606" spans="5:5">
      <c r="E2606" s="4"/>
    </row>
    <row r="2607" spans="5:5">
      <c r="E2607" s="4"/>
    </row>
    <row r="2608" spans="5:5">
      <c r="E2608" s="4"/>
    </row>
    <row r="2609" spans="1:5">
      <c r="E2609" s="4"/>
    </row>
    <row r="2610" spans="1:5">
      <c r="A2610" s="9"/>
      <c r="B2610" s="9"/>
      <c r="C2610" s="9"/>
      <c r="D2610" s="9"/>
      <c r="E2610" s="4"/>
    </row>
    <row r="2611" spans="1:5">
      <c r="E2611" s="4"/>
    </row>
    <row r="2612" spans="1:5">
      <c r="E2612" s="4"/>
    </row>
    <row r="2613" spans="1:5">
      <c r="E2613" s="4"/>
    </row>
    <row r="2614" spans="1:5">
      <c r="E2614" s="4"/>
    </row>
    <row r="2615" spans="1:5">
      <c r="E2615" s="4"/>
    </row>
    <row r="2616" spans="1:5">
      <c r="E2616" s="4"/>
    </row>
    <row r="2617" spans="1:5">
      <c r="E2617" s="4"/>
    </row>
    <row r="2618" spans="1:5">
      <c r="E2618" s="4"/>
    </row>
    <row r="2619" spans="1:5">
      <c r="E2619" s="4"/>
    </row>
    <row r="2620" spans="1:5">
      <c r="E2620" s="4"/>
    </row>
    <row r="2621" spans="1:5">
      <c r="E2621" s="4"/>
    </row>
    <row r="2622" spans="1:5">
      <c r="E2622" s="4"/>
    </row>
    <row r="2623" spans="1:5">
      <c r="E2623" s="4"/>
    </row>
    <row r="2624" spans="1:5">
      <c r="E2624" s="4"/>
    </row>
    <row r="2625" spans="1:5">
      <c r="E2625" s="4"/>
    </row>
    <row r="2626" spans="1:5">
      <c r="E2626" s="4"/>
    </row>
    <row r="2627" spans="1:5">
      <c r="E2627" s="4"/>
    </row>
    <row r="2628" spans="1:5">
      <c r="E2628" s="4"/>
    </row>
    <row r="2629" spans="1:5">
      <c r="E2629" s="4"/>
    </row>
    <row r="2630" spans="1:5">
      <c r="E2630" s="4"/>
    </row>
    <row r="2631" spans="1:5">
      <c r="E2631" s="4"/>
    </row>
    <row r="2632" spans="1:5">
      <c r="A2632" s="9"/>
      <c r="B2632" s="9"/>
      <c r="C2632" s="9"/>
      <c r="D2632" s="9"/>
      <c r="E2632" s="4"/>
    </row>
    <row r="2633" spans="1:5">
      <c r="E2633" s="4"/>
    </row>
    <row r="2634" spans="1:5">
      <c r="E2634" s="4"/>
    </row>
    <row r="2635" spans="1:5">
      <c r="E2635" s="4"/>
    </row>
    <row r="2636" spans="1:5">
      <c r="E2636" s="4"/>
    </row>
    <row r="2637" spans="1:5">
      <c r="E2637" s="4"/>
    </row>
    <row r="2638" spans="1:5">
      <c r="E2638" s="4"/>
    </row>
    <row r="2639" spans="1:5">
      <c r="E2639" s="4"/>
    </row>
    <row r="2640" spans="1:5">
      <c r="E2640" s="4"/>
    </row>
    <row r="2641" spans="5:5">
      <c r="E2641" s="4"/>
    </row>
    <row r="2642" spans="5:5">
      <c r="E2642" s="4"/>
    </row>
    <row r="2643" spans="5:5">
      <c r="E2643" s="4"/>
    </row>
    <row r="2644" spans="5:5">
      <c r="E2644" s="4"/>
    </row>
    <row r="2645" spans="5:5">
      <c r="E2645" s="4"/>
    </row>
    <row r="2646" spans="5:5">
      <c r="E2646" s="4"/>
    </row>
    <row r="2647" spans="5:5">
      <c r="E2647" s="4"/>
    </row>
    <row r="2648" spans="5:5">
      <c r="E2648" s="4"/>
    </row>
    <row r="2649" spans="5:5">
      <c r="E2649" s="4"/>
    </row>
    <row r="2650" spans="5:5">
      <c r="E2650" s="4"/>
    </row>
    <row r="2651" spans="5:5">
      <c r="E2651" s="4"/>
    </row>
  </sheetData>
  <phoneticPr fontId="2" type="noConversion"/>
  <conditionalFormatting sqref="N1">
    <cfRule type="duplicateValues" dxfId="57" priority="562"/>
  </conditionalFormatting>
  <conditionalFormatting sqref="P1:BF1">
    <cfRule type="duplicateValues" dxfId="56" priority="561"/>
  </conditionalFormatting>
  <conditionalFormatting sqref="BG1:XFD1 E1:F1 K1:M1">
    <cfRule type="duplicateValues" dxfId="55" priority="641"/>
  </conditionalFormatting>
  <conditionalFormatting sqref="F23:F25 F17:F21 F45:F47 F67:F69 F39:F43 F61:F65 F34:F37 F56:F59 F89:F91 F155:F157 F221:F223 F287:F289 F353:F355 F419:F421 F485:F487 F551:F553 F617:F619 F683:F685 F749:F751 F815:F817 F881:F883 F947:F949 F1013:F1015 F1079:F1081 F1145:F1147 F1211:F1213 F1277:F1279 F1343:F1345 F1409:F1411 F1475:F1477 F1541:F1543 F1607:F1609 F1673:F1675 F83:F87 F149:F153 F215:F219 F281:F285 F347:F351 F413:F417 F479:F483 F545:F549 F611:F615 F677:F681 F743:F747 F809:F813 F875:F879 F941:F945 F1007:F1011 F1073:F1077 F1139:F1143 F1205:F1209 F1271:F1275 F1337:F1341 F1403:F1407 F1469:F1473 F1535:F1539 F1601:F1605 F1667:F1671 F78:F81 F144:F147 F210:F213 F276:F279 F342:F345 F408:F411 F474:F477 F540:F543 F606:F609 F672:F675 F738:F741 F804:F807 F870:F873 F936:F939 F1002:F1005 F1068:F1071 F1134:F1137 F1200:F1203 F1266:F1269 F1332:F1335 F1398:F1401 F1464:F1467 F1530:F1533 F1596:F1599 F1662:F1665 F111:F113 F177:F179 F243:F245 F309:F311 F375:F377 F441:F443 F507:F509 F573:F575 F639:F641 F705:F707 F771:F773 F837:F839 F903:F905 F969:F971 F1035:F1037 F1101:F1103 F1167:F1169 F1233:F1235 F1299:F1301 F1365:F1367 F1431:F1433 F1497:F1499 F1563:F1565 F1629:F1631 F1695:F1697 F133:F135 F199:F201 F265:F267 F331:F333 F397:F399 F463:F465 F529:F531 F595:F597 F661:F663 F727:F729 F793:F795 F859:F861 F925:F927 F991:F993 F1057:F1059 F1123:F1125 F1189:F1191 F1255:F1257 F1321:F1323 F1387:F1389 F1453:F1455 F1519:F1521 F1585:F1587 F1651:F1653 F1717:F1719 F105:F109 F171:F175 F237:F241 F303:F307 F369:F373 F435:F439 F501:F505 F567:F571 F633:F637 F699:F703 F765:F769 F831:F835 F897:F901 F963:F967 F1029:F1033 F1095:F1099 F1161:F1165 F1227:F1231 F1293:F1297 F1359:F1363 F1425:F1429 F1491:F1495 F1557:F1561 F1623:F1627 F1689:F1693 F127:F131 F193:F197 F259:F263 F325:F329 F391:F395 F457:F461 F523:F527 F589:F593 F655:F659 F721:F725 F787:F791 F853:F857 F919:F923 F985:F989 F1051:F1055 F1117:F1121 F1183:F1187 F1249:F1253 F1315:F1319 F1381:F1385 F1447:F1451 F1513:F1517 F1579:F1583 F1645:F1649 F1711:F1715 F100:F103 F166:F169 F232:F235 F298:F301 F364:F367 F430:F433 F496:F499 F562:F565 F628:F631 F694:F697 F760:F763 F826:F829 F892:F895 F958:F961 F1024:F1027 F1090:F1093 F1156:F1159 F1222:F1225 F1288:F1291 F1354:F1357 F1420:F1423 F1486:F1489 F1552:F1555 F1618:F1621 F1684:F1687 F122:F125 F188:F191 F254:F257 F320:F323 F386:F389 F452:F455 F518:F521 F584:F587 F650:F653 F716:F719 F782:F785 F848:F851 F914:F917 F980:F983 F1046:F1049 F1112:F1115 F1178:F1181 F1244:F1247 F1310:F1313 F1376:F1379 F1442:F1445 F1508:F1511 F1574:F1577 F1640:F1643 F1706:F1709 F1739:F1741 F1805:F1807 F1871:F1873 F1937:F1939 F2003:F2005 F2069:F2071 F2135:F2137 F2201:F2203 F2267:F2269 F2333:F2335 F2399:F2401 F2465:F2467 F2531:F2533 F2597:F2599 F1733:F1737 F1799:F1803 F1865:F1869 F1931:F1935 F1997:F2001 F2063:F2067 F2129:F2133 F2195:F2199 F2261:F2265 F2327:F2331 F2393:F2397 F2459:F2463 F2525:F2529 F2591:F2595 F1728:F1731 F1794:F1797 F1860:F1863 F1926:F1929 F1992:F1995 F2058:F2061 F2124:F2127 F2190:F2193 F2256:F2259 F2322:F2325 F2388:F2391 F2454:F2457 F2520:F2523 F2586:F2589 F1761:F1763 F1827:F1829 F1893:F1895 F1959:F1961 F2025:F2027 F2091:F2093 F2157:F2159 F2223:F2225 F2289:F2291 F2355:F2357 F2421:F2423 F2487:F2489 F2553:F2555 F2619:F2621 F1783:F1785 F1849:F1851 F1915:F1917 F1981:F1983 F2047:F2049 F2113:F2115 F2179:F2181 F2245:F2247 F2311:F2313 F2377:F2379 F2443:F2445 F2509:F2511 F2575:F2577 F2641:F2643 F1755:F1759 F1821:F1825 F1887:F1891 F1953:F1957 F2019:F2023 F2085:F2089 F2151:F2155 F2217:F2221 F2283:F2287 F2349:F2353 F2415:F2419 F2481:F2485 F2547:F2551 F2613:F2617 F1777:F1781 F1843:F1847 F1909:F1913 F1975:F1979 F2041:F2045 F2107:F2111 F2173:F2177 F2239:F2243 F2305:F2309 F2371:F2375 F2437:F2441 F2503:F2507 F2569:F2573 F2635:F2639 F1750:F1753 F1816:F1819 F1882:F1885 F1948:F1951 F2014:F2017 F2080:F2083 F2146:F2149 F2212:F2215 F2278:F2281 F2344:F2347 F2410:F2413 F2476:F2479 F2542:F2545 F2608:F2611 F1772:F1775 F1838:F1841 F1904:F1907 F1970:F1973 F2036:F2039 F2102:F2105 F2168:F2171 F2234:F2237 F2300:F2303 F2366:F2369 F2432:F2435 F2498:F2501 F2564:F2567 F2630:F2633 F12:F15 F1:F9">
    <cfRule type="cellIs" dxfId="54" priority="134" operator="equal">
      <formula>"行動ID"</formula>
    </cfRule>
    <cfRule type="cellIs" dxfId="53" priority="142" operator="equal">
      <formula>"ID"</formula>
    </cfRule>
    <cfRule type="cellIs" dxfId="52" priority="557" operator="equal">
      <formula>"行動序號"</formula>
    </cfRule>
  </conditionalFormatting>
  <conditionalFormatting sqref="J23">
    <cfRule type="expression" dxfId="51" priority="864">
      <formula>#REF!="行動序號"</formula>
    </cfRule>
  </conditionalFormatting>
  <conditionalFormatting sqref="J23">
    <cfRule type="expression" dxfId="50" priority="869">
      <formula>OR(#REF!="行動序號",#REF!="ID")</formula>
    </cfRule>
  </conditionalFormatting>
  <conditionalFormatting sqref="F32 F54 F76 F98 F164 F230 F296 F362 F428 F494 F560 F626 F692 F758 F824 F890 F956 F1022 F1088 F1154 F1220 F1286 F1352 F1418 F1484 F1550 F1616 F1682 F120 F186 F252 F318 F384 F450 F516 F582 F648 F714 F780 F846 F912 F978 F1044 F1110 F1176 F1242 F1308 F1374 F1440 F1506 F1572 F1638 F1704 F142 F208 F274 F340 F406 F472 F538 F604 F670 F736 F802 F868 F934 F1000 F1066 F1132 F1198 F1264 F1330 F1396 F1462 F1528 F1594 F1660 F1726 F1748 F1814 F1880 F1946 F2012 F2078 F2144 F2210 F2276 F2342 F2408 F2474 F2540 F2606 F1770 F1836 F1902 F1968 F2034 F2100 F2166 F2232 F2298 F2364 F2430 F2496 F2562 F2628 F1792 F1858 F1924 F1990 F2056 F2122 F2188 F2254 F2320 F2386 F2452 F2518 F2584 F2650">
    <cfRule type="cellIs" dxfId="49" priority="17" operator="equal">
      <formula>"行動ID"</formula>
    </cfRule>
    <cfRule type="cellIs" dxfId="48" priority="18" operator="equal">
      <formula>"ID"</formula>
    </cfRule>
    <cfRule type="cellIs" dxfId="47" priority="20" operator="equal">
      <formula>"行動序號"</formula>
    </cfRule>
  </conditionalFormatting>
  <conditionalFormatting sqref="F33 F55 F77 F99 F165 F231 F297 F363 F429 F495 F561 F627 F693 F759 F825 F891 F957 F1023 F1089 F1155 F1221 F1287 F1353 F1419 F1485 F1551 F1617 F1683 F121 F187 F253 F319 F385 F451 F517 F583 F649 F715 F781 F847 F913 F979 F1045 F1111 F1177 F1243 F1309 F1375 F1441 F1507 F1573 F1639 F1705 F143 F209 F275 F341 F407 F473 F539 F605 F671 F737 F803 F869 F935 F1001 F1067 F1133 F1199 F1265 F1331 F1397 F1463 F1529 F1595 F1661 F1727 F1749 F1815 F1881 F1947 F2013 F2079 F2145 F2211 F2277 F2343 F2409 F2475 F2541 F2607 F1771 F1837 F1903 F1969 F2035 F2101 F2167 F2233 F2299 F2365 F2431 F2497 F2563 F2629 F1793 F1859 F1925 F1991 F2057 F2123 F2189 F2255 F2321 F2387 F2453 F2519 F2585 F2651">
    <cfRule type="cellIs" dxfId="46" priority="11" operator="equal">
      <formula>"行動ID"</formula>
    </cfRule>
    <cfRule type="cellIs" dxfId="45" priority="12" operator="equal">
      <formula>"ID"</formula>
    </cfRule>
    <cfRule type="cellIs" dxfId="44" priority="13" operator="equal">
      <formula>"行動序號"</formula>
    </cfRule>
  </conditionalFormatting>
  <conditionalFormatting sqref="F12:F1048576 F1:F9">
    <cfRule type="containsText" dxfId="43" priority="10" operator="containsText" text="行動ID">
      <formula>NOT(ISERROR(SEARCH("行動ID",F1)))</formula>
    </cfRule>
  </conditionalFormatting>
  <conditionalFormatting sqref="O1:O1048576">
    <cfRule type="expression" dxfId="42" priority="3">
      <formula>OR(#REF!="行動序號",#REF!="ID")</formula>
    </cfRule>
  </conditionalFormatting>
  <conditionalFormatting sqref="O1:O1048576">
    <cfRule type="expression" dxfId="41" priority="2">
      <formula>_xlfn.ISFORMULA(O1)</formula>
    </cfRule>
  </conditionalFormatting>
  <conditionalFormatting sqref="O1:O1048576">
    <cfRule type="expression" dxfId="40" priority="1">
      <formula>#REF!="行動ID"</formula>
    </cfRule>
  </conditionalFormatting>
  <conditionalFormatting sqref="G1:J1">
    <cfRule type="duplicateValues" dxfId="39" priority="872"/>
  </conditionalFormatting>
  <dataValidations count="1">
    <dataValidation type="list" allowBlank="1" showInputMessage="1" showErrorMessage="1" sqref="F2:F9 G2:K11 M2:M11 O8:O11 O2:O6" xr:uid="{D2EB83DA-2EB8-4809-B92F-F98BD28CE7C1}">
      <formula1>_OPTION_</formula1>
    </dataValidation>
  </dataValidations>
  <pageMargins left="0.75" right="0.75" top="1" bottom="1" header="0.5" footer="0.5"/>
  <pageSetup paperSize="9" orientation="portrait" horizontalDpi="200" verticalDpi="2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086596-560C-4F20-AD75-5E1C7F0E2E11}">
  <sheetPr codeName="AliasSheet"/>
  <dimension ref="A1:E84"/>
  <sheetViews>
    <sheetView workbookViewId="0">
      <selection activeCell="F12" sqref="F12"/>
    </sheetView>
  </sheetViews>
  <sheetFormatPr defaultRowHeight="16.5"/>
  <cols>
    <col min="1" max="1" width="9" style="9"/>
    <col min="2" max="2" width="13.25" style="9" bestFit="1" customWidth="1"/>
    <col min="3" max="3" width="13.875" style="9" bestFit="1" customWidth="1"/>
    <col min="4" max="4" width="13.875" style="9" customWidth="1"/>
    <col min="5" max="5" width="13" bestFit="1" customWidth="1"/>
  </cols>
  <sheetData>
    <row r="1" spans="1:5" s="6" customFormat="1" ht="19.5">
      <c r="A1" s="17" t="s">
        <v>51</v>
      </c>
      <c r="B1" s="17" t="s">
        <v>27</v>
      </c>
      <c r="C1" s="17" t="s">
        <v>145</v>
      </c>
      <c r="D1" s="17" t="s">
        <v>144</v>
      </c>
      <c r="E1" s="6" t="s">
        <v>36</v>
      </c>
    </row>
    <row r="2" spans="1:5">
      <c r="A2" s="9" t="s">
        <v>53</v>
      </c>
      <c r="B2" s="9" t="s">
        <v>28</v>
      </c>
      <c r="C2" s="9" t="s">
        <v>145</v>
      </c>
      <c r="D2" s="9" t="s">
        <v>143</v>
      </c>
      <c r="E2" s="9" t="s">
        <v>36</v>
      </c>
    </row>
    <row r="56" spans="1:4">
      <c r="A56" s="14"/>
      <c r="B56" s="14"/>
      <c r="C56" s="14"/>
      <c r="D56" s="14"/>
    </row>
    <row r="63" spans="1:4">
      <c r="A63" s="14"/>
      <c r="B63" s="14"/>
      <c r="C63" s="14"/>
      <c r="D63" s="14"/>
    </row>
    <row r="73" spans="1:4">
      <c r="A73" s="14"/>
      <c r="B73" s="14"/>
      <c r="C73" s="14"/>
      <c r="D73" s="14"/>
    </row>
    <row r="84" spans="1:4">
      <c r="A84" s="13"/>
      <c r="B84" s="13"/>
      <c r="C84" s="13"/>
      <c r="D84" s="13"/>
    </row>
  </sheetData>
  <phoneticPr fontId="2" type="noConversion"/>
  <conditionalFormatting sqref="E1:XFD1">
    <cfRule type="duplicateValues" dxfId="38" priority="1"/>
  </conditionalFormatting>
  <conditionalFormatting sqref="A1:D1">
    <cfRule type="duplicateValues" dxfId="37" priority="2"/>
  </conditionalFormatting>
  <dataValidations count="1">
    <dataValidation type="list" allowBlank="1" showInputMessage="1" showErrorMessage="1" sqref="B2" xr:uid="{ECAC1112-C065-4EF3-9F8D-4028BDC3D828}">
      <formula1>_OPTION_</formula1>
    </dataValidation>
  </dataValidations>
  <pageMargins left="0.75" right="0.75" top="1" bottom="1" header="0.5" footer="0.5"/>
  <pageSetup paperSize="9" orientation="portrait" horizontalDpi="200" verticalDpi="2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74A55F-181C-498F-BFAB-0B51FFD352AC}">
  <sheetPr codeName="DefineSheet"/>
  <dimension ref="A1:L116"/>
  <sheetViews>
    <sheetView topLeftCell="A94" workbookViewId="0">
      <selection activeCell="B116" sqref="B116"/>
    </sheetView>
  </sheetViews>
  <sheetFormatPr defaultRowHeight="16.5"/>
  <cols>
    <col min="1" max="1" width="19.75" style="7" bestFit="1" customWidth="1"/>
    <col min="2" max="2" width="20.625" style="7" customWidth="1"/>
    <col min="3" max="3" width="24.625" style="7" bestFit="1" customWidth="1"/>
    <col min="4" max="4" width="9" style="7"/>
    <col min="6" max="16384" width="9" style="7"/>
  </cols>
  <sheetData>
    <row r="1" spans="1:12" s="6" customFormat="1">
      <c r="A1" s="6" t="s">
        <v>1</v>
      </c>
      <c r="B1" s="6" t="s">
        <v>18</v>
      </c>
      <c r="C1" s="6" t="s">
        <v>17</v>
      </c>
      <c r="E1" s="5"/>
      <c r="L1" s="7"/>
    </row>
    <row r="3" spans="1:12">
      <c r="A3" s="7" t="s">
        <v>27</v>
      </c>
      <c r="B3" t="s">
        <v>166</v>
      </c>
      <c r="C3" s="7" t="s">
        <v>21</v>
      </c>
      <c r="E3" t="str">
        <f t="shared" ref="E3:E88" si="0">B3&amp;","</f>
        <v>ID,</v>
      </c>
      <c r="H3"/>
      <c r="J3"/>
    </row>
    <row r="4" spans="1:12">
      <c r="A4" s="7" t="s">
        <v>27</v>
      </c>
      <c r="B4" s="7" t="s">
        <v>105</v>
      </c>
      <c r="C4" s="7" t="s">
        <v>37</v>
      </c>
      <c r="E4" t="str">
        <f t="shared" si="0"/>
        <v>行動ID,</v>
      </c>
      <c r="H4"/>
    </row>
    <row r="5" spans="1:12">
      <c r="A5" s="7" t="s">
        <v>27</v>
      </c>
      <c r="B5" s="7" t="s">
        <v>103</v>
      </c>
      <c r="C5" s="7" t="s">
        <v>38</v>
      </c>
      <c r="E5" t="str">
        <f t="shared" si="0"/>
        <v>玩家,</v>
      </c>
      <c r="H5"/>
    </row>
    <row r="6" spans="1:12">
      <c r="A6" s="7" t="s">
        <v>27</v>
      </c>
      <c r="B6" s="7" t="s">
        <v>106</v>
      </c>
      <c r="C6" s="7" t="s">
        <v>22</v>
      </c>
      <c r="E6" t="str">
        <f t="shared" si="0"/>
        <v>玩家子彈,</v>
      </c>
      <c r="H6"/>
    </row>
    <row r="7" spans="1:12">
      <c r="A7" s="7" t="s">
        <v>27</v>
      </c>
      <c r="B7" s="7" t="s">
        <v>50</v>
      </c>
      <c r="C7" s="7" t="s">
        <v>23</v>
      </c>
      <c r="E7" t="str">
        <f t="shared" si="0"/>
        <v>BOSS,</v>
      </c>
      <c r="H7"/>
      <c r="I7" s="10"/>
    </row>
    <row r="8" spans="1:12">
      <c r="A8" s="7" t="s">
        <v>27</v>
      </c>
      <c r="B8" s="7" t="s">
        <v>167</v>
      </c>
      <c r="C8" s="7" t="s">
        <v>32</v>
      </c>
      <c r="E8" t="str">
        <f t="shared" si="0"/>
        <v>復位,</v>
      </c>
      <c r="H8"/>
      <c r="I8" s="11"/>
    </row>
    <row r="9" spans="1:12">
      <c r="A9" s="7" t="s">
        <v>27</v>
      </c>
      <c r="B9" s="7" t="s">
        <v>114</v>
      </c>
      <c r="C9" s="7" t="s">
        <v>39</v>
      </c>
      <c r="E9" t="str">
        <f t="shared" si="0"/>
        <v>BOSSDEAD,</v>
      </c>
      <c r="H9"/>
      <c r="I9" s="11"/>
    </row>
    <row r="10" spans="1:12">
      <c r="A10" s="7" t="s">
        <v>27</v>
      </c>
      <c r="B10" s="7" t="s">
        <v>264</v>
      </c>
      <c r="C10" s="7" t="s">
        <v>33</v>
      </c>
      <c r="E10" t="str">
        <f t="shared" si="0"/>
        <v>BOSSLEAVE,</v>
      </c>
      <c r="H10"/>
      <c r="I10" s="11"/>
    </row>
    <row r="11" spans="1:12">
      <c r="A11" s="7" t="s">
        <v>27</v>
      </c>
      <c r="B11" s="7" t="s">
        <v>168</v>
      </c>
      <c r="C11" s="7" t="s">
        <v>40</v>
      </c>
      <c r="E11" t="str">
        <f t="shared" si="0"/>
        <v>Power,</v>
      </c>
      <c r="H11"/>
      <c r="I11" s="11"/>
    </row>
    <row r="12" spans="1:12">
      <c r="A12" s="7" t="s">
        <v>27</v>
      </c>
      <c r="B12" s="7" t="s">
        <v>46</v>
      </c>
      <c r="C12" s="7" t="s">
        <v>34</v>
      </c>
      <c r="E12" t="str">
        <f t="shared" si="0"/>
        <v>符卡,</v>
      </c>
      <c r="H12"/>
      <c r="I12" s="11"/>
    </row>
    <row r="13" spans="1:12">
      <c r="A13" s="7" t="s">
        <v>27</v>
      </c>
      <c r="B13" s="7" t="s">
        <v>107</v>
      </c>
      <c r="C13" s="7" t="s">
        <v>41</v>
      </c>
      <c r="E13" t="str">
        <f t="shared" si="0"/>
        <v>標題,</v>
      </c>
      <c r="H13"/>
      <c r="I13" s="11"/>
    </row>
    <row r="14" spans="1:12">
      <c r="A14" s="7" t="s">
        <v>27</v>
      </c>
      <c r="B14" s="7" t="s">
        <v>108</v>
      </c>
      <c r="C14" s="7" t="s">
        <v>42</v>
      </c>
      <c r="E14" t="str">
        <f t="shared" si="0"/>
        <v>對話,</v>
      </c>
      <c r="H14"/>
    </row>
    <row r="15" spans="1:12">
      <c r="A15" s="7" t="s">
        <v>27</v>
      </c>
      <c r="B15" s="7" t="s">
        <v>134</v>
      </c>
      <c r="C15" s="7" t="s">
        <v>43</v>
      </c>
      <c r="E15" t="str">
        <f t="shared" si="0"/>
        <v>播放音樂,</v>
      </c>
      <c r="H15"/>
    </row>
    <row r="16" spans="1:12">
      <c r="A16" s="7" t="s">
        <v>27</v>
      </c>
      <c r="B16" s="7" t="s">
        <v>135</v>
      </c>
      <c r="C16" s="7" t="s">
        <v>44</v>
      </c>
      <c r="E16" t="str">
        <f t="shared" si="0"/>
        <v>關卡結束,</v>
      </c>
      <c r="H16"/>
    </row>
    <row r="17" spans="1:8">
      <c r="A17" s="7" t="s">
        <v>27</v>
      </c>
      <c r="B17" s="7" t="s">
        <v>169</v>
      </c>
      <c r="C17" s="7" t="s">
        <v>249</v>
      </c>
      <c r="E17" t="str">
        <f t="shared" si="0"/>
        <v>下一關,</v>
      </c>
      <c r="H17"/>
    </row>
    <row r="18" spans="1:8">
      <c r="H18"/>
    </row>
    <row r="19" spans="1:8">
      <c r="H19"/>
    </row>
    <row r="20" spans="1:8">
      <c r="A20" s="7" t="s">
        <v>27</v>
      </c>
      <c r="B20" s="7" t="s">
        <v>156</v>
      </c>
      <c r="C20" s="7" t="s">
        <v>170</v>
      </c>
      <c r="E20" t="str">
        <f t="shared" si="0"/>
        <v>啟動依ID,</v>
      </c>
      <c r="H20"/>
    </row>
    <row r="21" spans="1:8">
      <c r="A21" s="7" t="s">
        <v>27</v>
      </c>
      <c r="B21" s="7" t="s">
        <v>165</v>
      </c>
      <c r="C21" s="7" t="s">
        <v>171</v>
      </c>
      <c r="E21" t="str">
        <f t="shared" si="0"/>
        <v>啟動依遊戲時間,</v>
      </c>
      <c r="H21"/>
    </row>
    <row r="22" spans="1:8">
      <c r="A22" s="7" t="s">
        <v>27</v>
      </c>
      <c r="B22" s="7" t="s">
        <v>130</v>
      </c>
      <c r="C22" s="7" t="s">
        <v>172</v>
      </c>
      <c r="E22" t="str">
        <f t="shared" si="0"/>
        <v>啟動依開始時間後,</v>
      </c>
      <c r="H22"/>
    </row>
    <row r="23" spans="1:8">
      <c r="A23" s="7" t="s">
        <v>27</v>
      </c>
      <c r="B23" s="7" t="s">
        <v>131</v>
      </c>
      <c r="C23" s="7" t="s">
        <v>173</v>
      </c>
      <c r="E23" t="str">
        <f t="shared" si="0"/>
        <v>啟動依結束時間前,</v>
      </c>
      <c r="H23"/>
    </row>
    <row r="24" spans="1:8">
      <c r="A24" s="7" t="s">
        <v>27</v>
      </c>
      <c r="B24" s="7" t="s">
        <v>132</v>
      </c>
      <c r="C24" s="7" t="s">
        <v>174</v>
      </c>
      <c r="E24" t="str">
        <f t="shared" si="0"/>
        <v>啟動依位置,</v>
      </c>
      <c r="H24"/>
    </row>
    <row r="25" spans="1:8">
      <c r="A25" s="7" t="s">
        <v>27</v>
      </c>
      <c r="B25" s="7" t="s">
        <v>133</v>
      </c>
      <c r="C25" s="7" t="s">
        <v>175</v>
      </c>
      <c r="E25" t="str">
        <f t="shared" si="0"/>
        <v>啟動依位置距離,</v>
      </c>
      <c r="H25"/>
    </row>
    <row r="26" spans="1:8">
      <c r="A26" s="7" t="s">
        <v>27</v>
      </c>
      <c r="B26" s="7" t="s">
        <v>176</v>
      </c>
      <c r="C26" s="7" t="s">
        <v>177</v>
      </c>
      <c r="E26" t="str">
        <f t="shared" si="0"/>
        <v>啟動依玩家死亡,</v>
      </c>
      <c r="H26"/>
    </row>
    <row r="27" spans="1:8">
      <c r="A27" s="7" t="s">
        <v>27</v>
      </c>
      <c r="B27" s="7" t="s">
        <v>178</v>
      </c>
      <c r="C27" s="7" t="s">
        <v>179</v>
      </c>
      <c r="E27" t="str">
        <f t="shared" si="0"/>
        <v>啟動位置是活動,</v>
      </c>
      <c r="H27"/>
    </row>
    <row r="28" spans="1:8">
      <c r="H28"/>
    </row>
    <row r="29" spans="1:8">
      <c r="H29"/>
    </row>
    <row r="30" spans="1:8">
      <c r="A30" s="7" t="s">
        <v>27</v>
      </c>
      <c r="B30" s="7" t="s">
        <v>29</v>
      </c>
      <c r="C30" s="7" t="s">
        <v>180</v>
      </c>
      <c r="E30" t="str">
        <f t="shared" si="0"/>
        <v>物件,</v>
      </c>
      <c r="H30"/>
    </row>
    <row r="31" spans="1:8">
      <c r="A31" s="7" t="s">
        <v>27</v>
      </c>
      <c r="B31" s="7" t="s">
        <v>122</v>
      </c>
      <c r="C31" s="7" t="s">
        <v>181</v>
      </c>
      <c r="E31" t="str">
        <f t="shared" si="0"/>
        <v>Sprite,</v>
      </c>
      <c r="H31"/>
    </row>
    <row r="32" spans="1:8">
      <c r="A32" s="7" t="s">
        <v>27</v>
      </c>
      <c r="B32" s="7" t="s">
        <v>104</v>
      </c>
      <c r="C32" s="7" t="s">
        <v>182</v>
      </c>
      <c r="E32" t="str">
        <f t="shared" si="0"/>
        <v>動畫,</v>
      </c>
      <c r="H32"/>
    </row>
    <row r="33" spans="1:8">
      <c r="A33" s="7" t="s">
        <v>27</v>
      </c>
      <c r="B33" s="7" t="s">
        <v>110</v>
      </c>
      <c r="C33" s="7" t="s">
        <v>183</v>
      </c>
      <c r="E33" t="str">
        <f t="shared" si="0"/>
        <v>Name,</v>
      </c>
      <c r="F33" s="4"/>
      <c r="H33"/>
    </row>
    <row r="34" spans="1:8">
      <c r="A34" s="7" t="s">
        <v>27</v>
      </c>
      <c r="B34" s="7" t="s">
        <v>109</v>
      </c>
      <c r="C34" s="7" t="s">
        <v>184</v>
      </c>
      <c r="E34" t="str">
        <f t="shared" si="0"/>
        <v>傷害,</v>
      </c>
      <c r="F34" s="4"/>
      <c r="H34"/>
    </row>
    <row r="35" spans="1:8">
      <c r="A35" s="7" t="s">
        <v>27</v>
      </c>
      <c r="B35" s="7" t="s">
        <v>48</v>
      </c>
      <c r="C35" s="7" t="s">
        <v>185</v>
      </c>
      <c r="E35" t="str">
        <f t="shared" si="0"/>
        <v>HP,</v>
      </c>
      <c r="F35" s="4"/>
      <c r="H35"/>
    </row>
    <row r="36" spans="1:8">
      <c r="A36" s="7" t="s">
        <v>27</v>
      </c>
      <c r="B36" s="7" t="s">
        <v>186</v>
      </c>
      <c r="C36" s="7" t="s">
        <v>187</v>
      </c>
      <c r="E36" t="str">
        <f t="shared" si="0"/>
        <v>Power掉落,</v>
      </c>
      <c r="F36" s="4"/>
      <c r="H36"/>
    </row>
    <row r="37" spans="1:8">
      <c r="A37" s="7" t="s">
        <v>27</v>
      </c>
      <c r="B37" s="7" t="s">
        <v>188</v>
      </c>
      <c r="C37" s="7" t="s">
        <v>189</v>
      </c>
      <c r="E37" t="str">
        <f t="shared" si="0"/>
        <v>加ID,</v>
      </c>
      <c r="F37" s="4"/>
      <c r="H37"/>
    </row>
    <row r="38" spans="1:8">
      <c r="F38" s="4"/>
      <c r="H38"/>
    </row>
    <row r="39" spans="1:8">
      <c r="F39" s="4"/>
      <c r="H39"/>
    </row>
    <row r="40" spans="1:8">
      <c r="A40" s="7" t="s">
        <v>27</v>
      </c>
      <c r="B40" s="7" t="s">
        <v>35</v>
      </c>
      <c r="C40" s="7" t="s">
        <v>190</v>
      </c>
      <c r="E40" t="str">
        <f t="shared" si="0"/>
        <v>行動時間,</v>
      </c>
      <c r="F40" s="4"/>
      <c r="H40"/>
    </row>
    <row r="41" spans="1:8">
      <c r="A41" s="7" t="s">
        <v>27</v>
      </c>
      <c r="B41" s="7" t="s">
        <v>101</v>
      </c>
      <c r="C41" s="7" t="s">
        <v>191</v>
      </c>
      <c r="E41" t="str">
        <f t="shared" si="0"/>
        <v>回收時間,</v>
      </c>
      <c r="H41"/>
    </row>
    <row r="42" spans="1:8">
      <c r="A42" s="7" t="s">
        <v>27</v>
      </c>
      <c r="B42" s="7" t="s">
        <v>111</v>
      </c>
      <c r="C42" s="7" t="s">
        <v>192</v>
      </c>
      <c r="E42" t="str">
        <f t="shared" si="0"/>
        <v>死亡時間,</v>
      </c>
      <c r="H42"/>
    </row>
    <row r="43" spans="1:8">
      <c r="A43" s="7" t="s">
        <v>27</v>
      </c>
      <c r="B43" s="7" t="s">
        <v>244</v>
      </c>
      <c r="C43" s="7" t="s">
        <v>245</v>
      </c>
      <c r="E43" t="str">
        <f t="shared" si="0"/>
        <v>符卡時間,</v>
      </c>
      <c r="H43"/>
    </row>
    <row r="44" spans="1:8">
      <c r="B44" s="26"/>
      <c r="H44"/>
    </row>
    <row r="45" spans="1:8">
      <c r="H45"/>
    </row>
    <row r="46" spans="1:8">
      <c r="A46" s="7" t="s">
        <v>27</v>
      </c>
      <c r="B46" s="7" t="s">
        <v>102</v>
      </c>
      <c r="C46" s="7" t="s">
        <v>193</v>
      </c>
      <c r="E46" t="str">
        <f t="shared" si="0"/>
        <v>移位置,</v>
      </c>
      <c r="H46"/>
    </row>
    <row r="47" spans="1:8">
      <c r="A47" s="7" t="s">
        <v>27</v>
      </c>
      <c r="B47" s="7" t="s">
        <v>120</v>
      </c>
      <c r="C47" s="7" t="s">
        <v>194</v>
      </c>
      <c r="E47" t="str">
        <f t="shared" si="0"/>
        <v>相對位置,</v>
      </c>
      <c r="H47"/>
    </row>
    <row r="48" spans="1:8">
      <c r="A48" s="7" t="s">
        <v>27</v>
      </c>
      <c r="B48" s="7" t="s">
        <v>137</v>
      </c>
      <c r="C48" s="7" t="s">
        <v>195</v>
      </c>
      <c r="E48" t="str">
        <f t="shared" si="0"/>
        <v>位置參數,</v>
      </c>
      <c r="H48"/>
    </row>
    <row r="49" spans="1:8">
      <c r="A49" s="7" t="s">
        <v>27</v>
      </c>
      <c r="B49" s="7" t="s">
        <v>196</v>
      </c>
      <c r="C49" s="7" t="s">
        <v>197</v>
      </c>
      <c r="E49" t="str">
        <f t="shared" si="0"/>
        <v>加位置,</v>
      </c>
      <c r="H49"/>
    </row>
    <row r="50" spans="1:8">
      <c r="A50" s="7" t="s">
        <v>27</v>
      </c>
      <c r="B50" s="7" t="s">
        <v>270</v>
      </c>
      <c r="C50" s="7" t="s">
        <v>271</v>
      </c>
      <c r="E50" t="str">
        <f t="shared" si="0"/>
        <v>記錄位置,</v>
      </c>
      <c r="H50"/>
    </row>
    <row r="51" spans="1:8">
      <c r="A51" s="7" t="s">
        <v>27</v>
      </c>
      <c r="B51" s="7" t="s">
        <v>272</v>
      </c>
      <c r="C51" s="7" t="s">
        <v>273</v>
      </c>
      <c r="E51" t="str">
        <f t="shared" si="0"/>
        <v>記錄位置序號,</v>
      </c>
      <c r="H51"/>
    </row>
    <row r="52" spans="1:8">
      <c r="H52"/>
    </row>
    <row r="53" spans="1:8">
      <c r="H53"/>
    </row>
    <row r="54" spans="1:8">
      <c r="A54" s="7" t="s">
        <v>27</v>
      </c>
      <c r="B54" s="7" t="s">
        <v>31</v>
      </c>
      <c r="C54" s="7" t="s">
        <v>198</v>
      </c>
      <c r="E54" t="str">
        <f t="shared" si="0"/>
        <v>移動角度,</v>
      </c>
      <c r="H54"/>
    </row>
    <row r="55" spans="1:8">
      <c r="A55" s="7" t="s">
        <v>27</v>
      </c>
      <c r="B55" s="7" t="s">
        <v>115</v>
      </c>
      <c r="C55" s="7" t="s">
        <v>199</v>
      </c>
      <c r="E55" t="str">
        <f t="shared" si="0"/>
        <v>加移動角度,</v>
      </c>
      <c r="F55" s="9"/>
      <c r="H55"/>
    </row>
    <row r="56" spans="1:8">
      <c r="A56" s="7" t="s">
        <v>27</v>
      </c>
      <c r="B56" s="7" t="s">
        <v>116</v>
      </c>
      <c r="C56" s="7" t="s">
        <v>200</v>
      </c>
      <c r="E56" t="str">
        <f t="shared" si="0"/>
        <v>旋轉角度,</v>
      </c>
      <c r="F56" s="9"/>
      <c r="H56"/>
    </row>
    <row r="57" spans="1:8">
      <c r="A57" s="7" t="s">
        <v>27</v>
      </c>
      <c r="B57" s="7" t="s">
        <v>117</v>
      </c>
      <c r="C57" s="7" t="s">
        <v>201</v>
      </c>
      <c r="E57" t="str">
        <f t="shared" si="0"/>
        <v>加旋轉角度,</v>
      </c>
      <c r="F57" s="9"/>
      <c r="H57"/>
    </row>
    <row r="58" spans="1:8">
      <c r="A58" s="7" t="s">
        <v>27</v>
      </c>
      <c r="B58" s="7" t="s">
        <v>136</v>
      </c>
      <c r="C58" s="7" t="s">
        <v>202</v>
      </c>
      <c r="E58" t="str">
        <f t="shared" si="0"/>
        <v>角度參數,</v>
      </c>
      <c r="F58" s="9"/>
      <c r="H58"/>
    </row>
    <row r="59" spans="1:8">
      <c r="A59" s="7" t="s">
        <v>27</v>
      </c>
      <c r="B59" s="7" t="s">
        <v>203</v>
      </c>
      <c r="C59" s="7" t="s">
        <v>204</v>
      </c>
      <c r="E59" t="str">
        <f t="shared" si="0"/>
        <v>加角度,</v>
      </c>
      <c r="F59" s="9"/>
      <c r="H59"/>
    </row>
    <row r="60" spans="1:8">
      <c r="A60" s="7" t="s">
        <v>27</v>
      </c>
      <c r="B60" s="7" t="s">
        <v>118</v>
      </c>
      <c r="C60" s="7" t="s">
        <v>205</v>
      </c>
      <c r="E60" t="str">
        <f t="shared" si="0"/>
        <v>旋轉是移動角度,</v>
      </c>
      <c r="H60"/>
    </row>
    <row r="61" spans="1:8">
      <c r="A61" s="7" t="s">
        <v>27</v>
      </c>
      <c r="B61" s="27" t="s">
        <v>265</v>
      </c>
      <c r="C61" s="7" t="s">
        <v>266</v>
      </c>
      <c r="E61" t="str">
        <f t="shared" si="0"/>
        <v>子旋轉角度,</v>
      </c>
      <c r="H61"/>
    </row>
    <row r="62" spans="1:8">
      <c r="A62" s="7" t="s">
        <v>27</v>
      </c>
      <c r="B62" s="27" t="s">
        <v>267</v>
      </c>
      <c r="C62" s="7" t="s">
        <v>268</v>
      </c>
      <c r="E62" t="str">
        <f t="shared" si="0"/>
        <v>子加旋轉角度,</v>
      </c>
      <c r="H62"/>
    </row>
    <row r="63" spans="1:8">
      <c r="A63" s="7" t="s">
        <v>27</v>
      </c>
      <c r="B63" s="7" t="s">
        <v>274</v>
      </c>
      <c r="C63" s="7" t="s">
        <v>275</v>
      </c>
      <c r="E63" t="str">
        <f t="shared" si="0"/>
        <v>記錄角度,</v>
      </c>
      <c r="H63"/>
    </row>
    <row r="64" spans="1:8">
      <c r="A64" s="7" t="s">
        <v>27</v>
      </c>
      <c r="B64" s="7" t="s">
        <v>277</v>
      </c>
      <c r="C64" s="7" t="s">
        <v>276</v>
      </c>
      <c r="E64" t="str">
        <f t="shared" si="0"/>
        <v>記錄角度ID,</v>
      </c>
      <c r="H64"/>
    </row>
    <row r="65" spans="1:11">
      <c r="B65" s="27"/>
      <c r="H65"/>
    </row>
    <row r="66" spans="1:11">
      <c r="H66"/>
    </row>
    <row r="67" spans="1:11">
      <c r="A67" s="7" t="s">
        <v>27</v>
      </c>
      <c r="B67" s="7" t="s">
        <v>30</v>
      </c>
      <c r="C67" s="7" t="s">
        <v>206</v>
      </c>
      <c r="E67" t="str">
        <f t="shared" si="0"/>
        <v>速度,</v>
      </c>
      <c r="H67"/>
    </row>
    <row r="68" spans="1:11">
      <c r="A68" s="7" t="s">
        <v>27</v>
      </c>
      <c r="B68" s="7" t="s">
        <v>119</v>
      </c>
      <c r="C68" s="7" t="s">
        <v>207</v>
      </c>
      <c r="E68" t="str">
        <f t="shared" si="0"/>
        <v>加速度,</v>
      </c>
      <c r="H68"/>
    </row>
    <row r="69" spans="1:11">
      <c r="A69" s="7" t="s">
        <v>27</v>
      </c>
      <c r="B69" s="7" t="s">
        <v>112</v>
      </c>
      <c r="C69" s="7" t="s">
        <v>208</v>
      </c>
      <c r="E69" t="str">
        <f t="shared" si="0"/>
        <v>最小速度,</v>
      </c>
      <c r="H69"/>
    </row>
    <row r="70" spans="1:11">
      <c r="A70" s="7" t="s">
        <v>27</v>
      </c>
      <c r="B70" s="7" t="s">
        <v>113</v>
      </c>
      <c r="C70" s="7" t="s">
        <v>209</v>
      </c>
      <c r="E70" t="str">
        <f t="shared" si="0"/>
        <v>最大速度,</v>
      </c>
      <c r="H70"/>
    </row>
    <row r="71" spans="1:11">
      <c r="H71"/>
    </row>
    <row r="72" spans="1:11">
      <c r="H72"/>
    </row>
    <row r="73" spans="1:11">
      <c r="A73" s="7" t="s">
        <v>27</v>
      </c>
      <c r="B73" s="7" t="s">
        <v>210</v>
      </c>
      <c r="C73" s="7" t="s">
        <v>211</v>
      </c>
      <c r="E73" t="str">
        <f t="shared" si="0"/>
        <v>是界內,</v>
      </c>
      <c r="H73"/>
    </row>
    <row r="74" spans="1:11">
      <c r="A74" s="7" t="s">
        <v>27</v>
      </c>
      <c r="B74" s="7" t="s">
        <v>49</v>
      </c>
      <c r="C74" s="7" t="s">
        <v>212</v>
      </c>
      <c r="E74" t="str">
        <f t="shared" si="0"/>
        <v>無敵,</v>
      </c>
      <c r="H74"/>
    </row>
    <row r="75" spans="1:11">
      <c r="A75" s="7" t="s">
        <v>27</v>
      </c>
      <c r="B75" s="7" t="s">
        <v>121</v>
      </c>
      <c r="C75" s="7" t="s">
        <v>213</v>
      </c>
      <c r="E75" t="str">
        <f t="shared" si="0"/>
        <v>貫穿,</v>
      </c>
      <c r="H75"/>
    </row>
    <row r="76" spans="1:11">
      <c r="A76" s="7" t="s">
        <v>27</v>
      </c>
      <c r="B76" s="7" t="s">
        <v>129</v>
      </c>
      <c r="C76" s="7" t="s">
        <v>214</v>
      </c>
      <c r="E76" t="str">
        <f t="shared" si="0"/>
        <v>回收距離,</v>
      </c>
      <c r="H76"/>
    </row>
    <row r="77" spans="1:11">
      <c r="A77" s="7" t="s">
        <v>27</v>
      </c>
      <c r="B77" s="7" t="s">
        <v>215</v>
      </c>
      <c r="C77" s="7" t="s">
        <v>216</v>
      </c>
      <c r="E77" t="str">
        <f t="shared" si="0"/>
        <v>出生動畫速率,</v>
      </c>
      <c r="H77"/>
    </row>
    <row r="78" spans="1:11">
      <c r="A78" s="7" t="s">
        <v>27</v>
      </c>
      <c r="B78" s="7" t="s">
        <v>217</v>
      </c>
      <c r="C78" s="7" t="s">
        <v>218</v>
      </c>
      <c r="E78" t="str">
        <f t="shared" si="0"/>
        <v>出生動畫時間,</v>
      </c>
      <c r="H78"/>
    </row>
    <row r="79" spans="1:11">
      <c r="A79" s="7" t="s">
        <v>27</v>
      </c>
      <c r="B79" s="7" t="s">
        <v>219</v>
      </c>
      <c r="C79" s="7" t="s">
        <v>220</v>
      </c>
      <c r="E79" t="str">
        <f t="shared" si="0"/>
        <v>出生動畫開始,</v>
      </c>
      <c r="H79"/>
    </row>
    <row r="80" spans="1:11">
      <c r="A80" s="7" t="s">
        <v>27</v>
      </c>
      <c r="B80" s="7" t="s">
        <v>221</v>
      </c>
      <c r="C80" s="7" t="s">
        <v>222</v>
      </c>
      <c r="E80" t="str">
        <f t="shared" si="0"/>
        <v>行動ID結束,</v>
      </c>
      <c r="H80"/>
      <c r="K80" s="4"/>
    </row>
    <row r="81" spans="1:11">
      <c r="H81"/>
      <c r="K81" s="4"/>
    </row>
    <row r="82" spans="1:11">
      <c r="H82"/>
      <c r="K82" s="4"/>
    </row>
    <row r="83" spans="1:11">
      <c r="A83" s="7" t="s">
        <v>27</v>
      </c>
      <c r="B83" s="7" t="s">
        <v>123</v>
      </c>
      <c r="C83" s="7" t="s">
        <v>223</v>
      </c>
      <c r="E83" t="str">
        <f t="shared" si="0"/>
        <v>時位時間,</v>
      </c>
      <c r="H83"/>
      <c r="K83" s="4"/>
    </row>
    <row r="84" spans="1:11">
      <c r="A84" s="7" t="s">
        <v>27</v>
      </c>
      <c r="B84" s="7" t="s">
        <v>124</v>
      </c>
      <c r="C84" s="7" t="s">
        <v>224</v>
      </c>
      <c r="E84" t="str">
        <f t="shared" si="0"/>
        <v>時位位置,</v>
      </c>
      <c r="H84"/>
      <c r="K84" s="4"/>
    </row>
    <row r="85" spans="1:11">
      <c r="A85" s="7" t="s">
        <v>27</v>
      </c>
      <c r="B85" s="7" t="s">
        <v>125</v>
      </c>
      <c r="C85" s="7" t="s">
        <v>225</v>
      </c>
      <c r="E85" t="str">
        <f t="shared" si="0"/>
        <v>時位變速點,</v>
      </c>
      <c r="H85"/>
      <c r="K85" s="9"/>
    </row>
    <row r="86" spans="1:11">
      <c r="A86" s="7" t="s">
        <v>27</v>
      </c>
      <c r="B86" s="7" t="s">
        <v>126</v>
      </c>
      <c r="C86" s="7" t="s">
        <v>226</v>
      </c>
      <c r="E86" t="str">
        <f t="shared" si="0"/>
        <v>時位開始速度,</v>
      </c>
      <c r="H86"/>
      <c r="K86" s="9"/>
    </row>
    <row r="87" spans="1:11">
      <c r="A87" s="7" t="s">
        <v>27</v>
      </c>
      <c r="B87" s="7" t="s">
        <v>127</v>
      </c>
      <c r="C87" s="7" t="s">
        <v>227</v>
      </c>
      <c r="E87" t="str">
        <f t="shared" si="0"/>
        <v>時位結束速度,</v>
      </c>
      <c r="H87"/>
      <c r="K87" s="9"/>
    </row>
    <row r="88" spans="1:11">
      <c r="A88" s="7" t="s">
        <v>27</v>
      </c>
      <c r="B88" s="7" t="s">
        <v>128</v>
      </c>
      <c r="C88" s="7" t="s">
        <v>228</v>
      </c>
      <c r="E88" t="str">
        <f t="shared" si="0"/>
        <v>時位移動角度,</v>
      </c>
      <c r="H88"/>
    </row>
    <row r="89" spans="1:11">
      <c r="H89"/>
    </row>
    <row r="90" spans="1:11">
      <c r="H90"/>
    </row>
    <row r="91" spans="1:11">
      <c r="A91" s="7" t="s">
        <v>27</v>
      </c>
      <c r="B91" s="7" t="s">
        <v>229</v>
      </c>
      <c r="C91" s="7" t="s">
        <v>230</v>
      </c>
      <c r="E91" t="str">
        <f t="shared" ref="E91:E95" si="1">B91&amp;","</f>
        <v>玩家遊戲時間,</v>
      </c>
      <c r="H91"/>
    </row>
    <row r="92" spans="1:11">
      <c r="A92" s="7" t="s">
        <v>27</v>
      </c>
      <c r="B92" s="7" t="s">
        <v>231</v>
      </c>
      <c r="C92" s="7" t="s">
        <v>232</v>
      </c>
      <c r="E92" t="str">
        <f t="shared" si="1"/>
        <v>玩家子彈間隔,</v>
      </c>
      <c r="H92"/>
    </row>
    <row r="93" spans="1:11">
      <c r="A93" s="7" t="s">
        <v>27</v>
      </c>
      <c r="B93" s="7" t="s">
        <v>233</v>
      </c>
      <c r="C93" s="7" t="s">
        <v>234</v>
      </c>
      <c r="E93" t="str">
        <f t="shared" si="1"/>
        <v>玩家Power需求,</v>
      </c>
      <c r="H93"/>
    </row>
    <row r="94" spans="1:11">
      <c r="A94" s="7" t="s">
        <v>27</v>
      </c>
      <c r="B94" s="7" t="s">
        <v>235</v>
      </c>
      <c r="C94" s="7" t="s">
        <v>236</v>
      </c>
      <c r="E94" t="str">
        <f t="shared" si="1"/>
        <v>玩家Shift,</v>
      </c>
      <c r="H94"/>
    </row>
    <row r="95" spans="1:11">
      <c r="A95" s="7" t="s">
        <v>27</v>
      </c>
      <c r="B95" s="7" t="s">
        <v>237</v>
      </c>
      <c r="C95" s="7" t="s">
        <v>238</v>
      </c>
      <c r="E95" t="str">
        <f t="shared" si="1"/>
        <v>玩家子彈延遲,</v>
      </c>
      <c r="H95"/>
    </row>
    <row r="96" spans="1:11">
      <c r="H96"/>
    </row>
    <row r="97" spans="1:12">
      <c r="H97"/>
    </row>
    <row r="98" spans="1:12">
      <c r="H98"/>
    </row>
    <row r="99" spans="1:12">
      <c r="H99"/>
    </row>
    <row r="100" spans="1:12">
      <c r="H100"/>
    </row>
    <row r="101" spans="1:12">
      <c r="H101"/>
    </row>
    <row r="102" spans="1:12">
      <c r="H102"/>
    </row>
    <row r="103" spans="1:12">
      <c r="A103" s="7" t="s">
        <v>144</v>
      </c>
      <c r="B103" s="7" t="s">
        <v>140</v>
      </c>
      <c r="C103" s="7" t="s">
        <v>21</v>
      </c>
      <c r="H103"/>
    </row>
    <row r="104" spans="1:12" customFormat="1">
      <c r="A104" s="7" t="s">
        <v>144</v>
      </c>
      <c r="B104" t="s">
        <v>141</v>
      </c>
      <c r="C104" s="7" t="s">
        <v>25</v>
      </c>
      <c r="D104" s="7"/>
      <c r="L104" s="7"/>
    </row>
    <row r="105" spans="1:12" customFormat="1">
      <c r="A105" s="7" t="s">
        <v>144</v>
      </c>
      <c r="B105" t="s">
        <v>142</v>
      </c>
      <c r="C105" s="7" t="s">
        <v>26</v>
      </c>
      <c r="D105" s="7"/>
      <c r="L105" s="7"/>
    </row>
    <row r="106" spans="1:12" customFormat="1">
      <c r="A106" s="7" t="s">
        <v>144</v>
      </c>
      <c r="B106" t="s">
        <v>239</v>
      </c>
      <c r="C106" s="7" t="s">
        <v>99</v>
      </c>
      <c r="D106" s="7"/>
      <c r="L106" s="7"/>
    </row>
    <row r="107" spans="1:12" customFormat="1">
      <c r="A107" s="7" t="s">
        <v>144</v>
      </c>
      <c r="B107" t="s">
        <v>240</v>
      </c>
      <c r="C107" s="7" t="s">
        <v>23</v>
      </c>
      <c r="D107" s="7"/>
      <c r="L107" s="7"/>
    </row>
    <row r="108" spans="1:12" customFormat="1">
      <c r="A108" s="7" t="s">
        <v>144</v>
      </c>
      <c r="B108" t="s">
        <v>241</v>
      </c>
      <c r="C108" s="7" t="s">
        <v>24</v>
      </c>
      <c r="D108" s="7"/>
      <c r="L108" s="7"/>
    </row>
    <row r="109" spans="1:12" customFormat="1">
      <c r="A109" s="7"/>
      <c r="C109" s="7"/>
      <c r="D109" s="7"/>
      <c r="L109" s="7"/>
    </row>
    <row r="110" spans="1:12" customFormat="1">
      <c r="A110" s="7"/>
      <c r="C110" s="7"/>
      <c r="D110" s="7"/>
      <c r="L110" s="7"/>
    </row>
    <row r="111" spans="1:12" customFormat="1">
      <c r="A111" s="7" t="s">
        <v>145</v>
      </c>
      <c r="B111" t="s">
        <v>138</v>
      </c>
      <c r="C111" s="7" t="s">
        <v>21</v>
      </c>
      <c r="D111" s="4"/>
      <c r="L111" s="7"/>
    </row>
    <row r="112" spans="1:12" customFormat="1">
      <c r="A112" s="7" t="s">
        <v>145</v>
      </c>
      <c r="B112" t="s">
        <v>139</v>
      </c>
      <c r="C112" s="7" t="s">
        <v>37</v>
      </c>
      <c r="D112" s="7"/>
      <c r="L112" s="7"/>
    </row>
    <row r="113" spans="1:12" customFormat="1">
      <c r="A113" s="7" t="s">
        <v>145</v>
      </c>
      <c r="B113" t="s">
        <v>150</v>
      </c>
      <c r="C113" s="7" t="s">
        <v>38</v>
      </c>
      <c r="D113" s="7"/>
      <c r="L113" s="7"/>
    </row>
    <row r="114" spans="1:12" customFormat="1">
      <c r="A114" s="7" t="s">
        <v>145</v>
      </c>
      <c r="B114" t="s">
        <v>148</v>
      </c>
      <c r="C114" s="7" t="s">
        <v>22</v>
      </c>
      <c r="D114" s="7"/>
      <c r="L114" s="7"/>
    </row>
    <row r="115" spans="1:12">
      <c r="A115" s="7" t="s">
        <v>145</v>
      </c>
      <c r="B115" s="7" t="s">
        <v>242</v>
      </c>
      <c r="C115" s="7" t="s">
        <v>23</v>
      </c>
      <c r="H115"/>
    </row>
    <row r="116" spans="1:12">
      <c r="A116" s="7" t="s">
        <v>145</v>
      </c>
      <c r="B116" s="7" t="s">
        <v>278</v>
      </c>
      <c r="C116" s="7" t="s">
        <v>24</v>
      </c>
      <c r="H116"/>
    </row>
  </sheetData>
  <phoneticPr fontId="2" type="noConversion"/>
  <conditionalFormatting sqref="K85:K87">
    <cfRule type="cellIs" dxfId="36" priority="1" operator="equal">
      <formula>"行動序號"</formula>
    </cfRule>
  </conditionalFormatting>
  <pageMargins left="0.7" right="0.7" top="0.75" bottom="0.75" header="0.3" footer="0.3"/>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DD9E95-63F6-4C59-9B63-007E7693A8B4}">
  <sheetPr codeName="OptionSheet"/>
  <dimension ref="A1:J112"/>
  <sheetViews>
    <sheetView topLeftCell="A40" zoomScale="115" zoomScaleNormal="115" workbookViewId="0">
      <selection activeCell="A52" sqref="A52"/>
    </sheetView>
  </sheetViews>
  <sheetFormatPr defaultRowHeight="16.5"/>
  <cols>
    <col min="1" max="1" width="20.5" style="20" bestFit="1" customWidth="1"/>
    <col min="2" max="2" width="18.375" style="4" customWidth="1"/>
    <col min="3" max="3" width="16.5" style="4" customWidth="1"/>
    <col min="4" max="4" width="20.875" style="4" bestFit="1" customWidth="1"/>
    <col min="5" max="5" width="20.875" style="4" customWidth="1"/>
    <col min="6" max="6" width="20.875" style="4" bestFit="1" customWidth="1"/>
    <col min="7" max="7" width="13.875" style="4" bestFit="1" customWidth="1"/>
    <col min="8" max="10" width="18.625" style="4" bestFit="1" customWidth="1"/>
    <col min="11" max="16384" width="9" style="4"/>
  </cols>
  <sheetData>
    <row r="1" spans="1:10" s="5" customFormat="1" ht="19.5">
      <c r="A1" s="17" t="s">
        <v>27</v>
      </c>
      <c r="B1" s="6" t="s">
        <v>144</v>
      </c>
      <c r="C1" s="6" t="s">
        <v>145</v>
      </c>
      <c r="D1" s="8"/>
      <c r="E1" s="8"/>
      <c r="F1" s="8"/>
      <c r="G1" s="6"/>
      <c r="H1" s="8"/>
      <c r="I1" s="8"/>
      <c r="J1" s="8"/>
    </row>
    <row r="2" spans="1:10" ht="85.5">
      <c r="B2" s="20" t="s">
        <v>140</v>
      </c>
      <c r="C2" s="20" t="s">
        <v>138</v>
      </c>
      <c r="D2" s="20"/>
      <c r="G2" s="25" t="s">
        <v>243</v>
      </c>
    </row>
    <row r="3" spans="1:10">
      <c r="A3" s="20" t="s">
        <v>96</v>
      </c>
      <c r="B3" s="20" t="s">
        <v>141</v>
      </c>
      <c r="C3" s="20" t="s">
        <v>139</v>
      </c>
      <c r="D3" s="20"/>
      <c r="G3" s="9"/>
    </row>
    <row r="4" spans="1:10">
      <c r="A4" s="20" t="s">
        <v>105</v>
      </c>
      <c r="B4" s="20" t="s">
        <v>142</v>
      </c>
      <c r="C4" s="20" t="s">
        <v>149</v>
      </c>
      <c r="D4" s="20"/>
      <c r="G4" s="9"/>
      <c r="H4" s="18"/>
    </row>
    <row r="5" spans="1:10" ht="17.25" customHeight="1">
      <c r="A5" s="20" t="s">
        <v>103</v>
      </c>
      <c r="B5" s="20" t="s">
        <v>239</v>
      </c>
      <c r="C5" s="20" t="s">
        <v>148</v>
      </c>
      <c r="D5" s="20"/>
      <c r="G5" s="9"/>
    </row>
    <row r="6" spans="1:10">
      <c r="A6" s="20" t="s">
        <v>106</v>
      </c>
      <c r="B6" s="20" t="s">
        <v>240</v>
      </c>
      <c r="C6" s="20" t="s">
        <v>242</v>
      </c>
      <c r="D6" s="20"/>
      <c r="G6" s="9"/>
    </row>
    <row r="7" spans="1:10">
      <c r="A7" s="20" t="s">
        <v>50</v>
      </c>
      <c r="B7" s="20" t="s">
        <v>241</v>
      </c>
      <c r="C7" s="26" t="s">
        <v>278</v>
      </c>
      <c r="D7" s="20"/>
      <c r="G7" s="9"/>
    </row>
    <row r="8" spans="1:10">
      <c r="A8" s="20" t="s">
        <v>167</v>
      </c>
      <c r="B8" s="26"/>
      <c r="C8" s="20"/>
      <c r="D8" s="20"/>
      <c r="G8" s="9"/>
    </row>
    <row r="9" spans="1:10">
      <c r="A9" s="20" t="s">
        <v>114</v>
      </c>
      <c r="B9" s="20"/>
      <c r="C9" s="20"/>
      <c r="D9" s="20"/>
      <c r="G9" s="9"/>
    </row>
    <row r="10" spans="1:10">
      <c r="A10" s="20" t="s">
        <v>264</v>
      </c>
      <c r="B10" s="20"/>
      <c r="C10" s="20"/>
      <c r="D10" s="20"/>
      <c r="G10" s="9"/>
    </row>
    <row r="11" spans="1:10">
      <c r="A11" s="20" t="s">
        <v>168</v>
      </c>
      <c r="G11" s="9"/>
    </row>
    <row r="12" spans="1:10">
      <c r="A12" s="20" t="s">
        <v>46</v>
      </c>
      <c r="G12" s="9"/>
    </row>
    <row r="13" spans="1:10">
      <c r="A13" s="20" t="s">
        <v>107</v>
      </c>
      <c r="G13" s="9"/>
    </row>
    <row r="14" spans="1:10">
      <c r="A14" s="20" t="s">
        <v>108</v>
      </c>
      <c r="C14" s="9"/>
      <c r="G14" s="9"/>
    </row>
    <row r="15" spans="1:10">
      <c r="A15" s="20" t="s">
        <v>134</v>
      </c>
      <c r="G15" s="9"/>
    </row>
    <row r="16" spans="1:10">
      <c r="A16" s="20" t="s">
        <v>135</v>
      </c>
      <c r="C16"/>
      <c r="G16" s="9"/>
    </row>
    <row r="17" spans="1:7">
      <c r="A17" s="20" t="s">
        <v>169</v>
      </c>
      <c r="C17"/>
      <c r="G17" s="9"/>
    </row>
    <row r="18" spans="1:7">
      <c r="C18"/>
      <c r="G18" s="9"/>
    </row>
    <row r="19" spans="1:7">
      <c r="C19"/>
      <c r="G19" s="9"/>
    </row>
    <row r="20" spans="1:7">
      <c r="A20" s="20" t="s">
        <v>156</v>
      </c>
      <c r="C20"/>
      <c r="G20" s="9"/>
    </row>
    <row r="21" spans="1:7">
      <c r="A21" s="20" t="s">
        <v>165</v>
      </c>
      <c r="C21"/>
      <c r="G21" s="9"/>
    </row>
    <row r="22" spans="1:7">
      <c r="A22" s="20" t="s">
        <v>130</v>
      </c>
      <c r="C22"/>
      <c r="G22" s="9"/>
    </row>
    <row r="23" spans="1:7">
      <c r="A23" s="20" t="s">
        <v>131</v>
      </c>
      <c r="C23"/>
      <c r="G23" s="9"/>
    </row>
    <row r="24" spans="1:7">
      <c r="A24" s="20" t="s">
        <v>132</v>
      </c>
      <c r="C24"/>
      <c r="G24" s="9"/>
    </row>
    <row r="25" spans="1:7" s="9" customFormat="1">
      <c r="A25" s="20" t="s">
        <v>133</v>
      </c>
      <c r="C25"/>
      <c r="F25" s="4"/>
    </row>
    <row r="26" spans="1:7">
      <c r="A26" s="20" t="s">
        <v>176</v>
      </c>
      <c r="C26"/>
      <c r="G26" s="9"/>
    </row>
    <row r="27" spans="1:7">
      <c r="A27" s="20" t="s">
        <v>178</v>
      </c>
      <c r="B27" s="9"/>
      <c r="C27"/>
      <c r="G27" s="9"/>
    </row>
    <row r="28" spans="1:7">
      <c r="C28"/>
      <c r="G28" s="9"/>
    </row>
    <row r="29" spans="1:7">
      <c r="C29"/>
      <c r="G29" s="9"/>
    </row>
    <row r="30" spans="1:7">
      <c r="A30" s="20" t="s">
        <v>29</v>
      </c>
      <c r="C30"/>
      <c r="G30" s="9"/>
    </row>
    <row r="31" spans="1:7">
      <c r="A31" s="20" t="s">
        <v>122</v>
      </c>
      <c r="C31"/>
      <c r="G31" s="9"/>
    </row>
    <row r="32" spans="1:7">
      <c r="A32" s="20" t="s">
        <v>104</v>
      </c>
      <c r="C32"/>
      <c r="G32" s="9"/>
    </row>
    <row r="33" spans="1:7">
      <c r="A33" s="20" t="s">
        <v>110</v>
      </c>
      <c r="C33"/>
      <c r="G33" s="9"/>
    </row>
    <row r="34" spans="1:7">
      <c r="A34" s="20" t="s">
        <v>109</v>
      </c>
      <c r="C34"/>
      <c r="G34" s="9"/>
    </row>
    <row r="35" spans="1:7">
      <c r="A35" s="20" t="s">
        <v>48</v>
      </c>
      <c r="C35"/>
      <c r="G35" s="9"/>
    </row>
    <row r="36" spans="1:7">
      <c r="A36" s="20" t="s">
        <v>186</v>
      </c>
      <c r="C36"/>
    </row>
    <row r="37" spans="1:7">
      <c r="A37" s="20" t="s">
        <v>188</v>
      </c>
      <c r="C37"/>
      <c r="G37" s="9"/>
    </row>
    <row r="38" spans="1:7">
      <c r="C38"/>
      <c r="G38" s="9"/>
    </row>
    <row r="39" spans="1:7">
      <c r="C39"/>
      <c r="G39" s="9"/>
    </row>
    <row r="40" spans="1:7">
      <c r="A40" s="20" t="s">
        <v>35</v>
      </c>
      <c r="C40"/>
      <c r="G40" s="9"/>
    </row>
    <row r="41" spans="1:7">
      <c r="A41" s="20" t="s">
        <v>101</v>
      </c>
      <c r="C41"/>
      <c r="G41" s="9"/>
    </row>
    <row r="42" spans="1:7">
      <c r="A42" s="20" t="s">
        <v>111</v>
      </c>
      <c r="C42"/>
      <c r="G42" s="9"/>
    </row>
    <row r="43" spans="1:7">
      <c r="A43" s="26" t="s">
        <v>244</v>
      </c>
      <c r="C43"/>
      <c r="G43" s="9"/>
    </row>
    <row r="44" spans="1:7">
      <c r="C44"/>
      <c r="G44" s="9"/>
    </row>
    <row r="45" spans="1:7">
      <c r="C45"/>
      <c r="G45" s="9"/>
    </row>
    <row r="46" spans="1:7">
      <c r="A46" s="20" t="s">
        <v>102</v>
      </c>
      <c r="C46"/>
      <c r="G46" s="9"/>
    </row>
    <row r="47" spans="1:7">
      <c r="A47" s="20" t="s">
        <v>120</v>
      </c>
      <c r="C47"/>
      <c r="G47" s="9"/>
    </row>
    <row r="48" spans="1:7">
      <c r="A48" s="20" t="s">
        <v>137</v>
      </c>
      <c r="C48"/>
      <c r="G48" s="9"/>
    </row>
    <row r="49" spans="1:8">
      <c r="A49" s="20" t="s">
        <v>196</v>
      </c>
      <c r="C49"/>
      <c r="G49" s="9"/>
    </row>
    <row r="50" spans="1:8">
      <c r="A50" s="27" t="s">
        <v>274</v>
      </c>
      <c r="C50"/>
      <c r="G50" s="9"/>
    </row>
    <row r="51" spans="1:8">
      <c r="A51" s="27" t="s">
        <v>279</v>
      </c>
      <c r="C51"/>
      <c r="G51" s="9"/>
    </row>
    <row r="52" spans="1:8">
      <c r="A52" s="27"/>
      <c r="C52"/>
      <c r="G52" s="9"/>
    </row>
    <row r="53" spans="1:8">
      <c r="C53"/>
      <c r="G53" s="9"/>
    </row>
    <row r="54" spans="1:8">
      <c r="A54" s="20" t="s">
        <v>31</v>
      </c>
      <c r="C54"/>
      <c r="G54" s="9"/>
      <c r="H54" s="10"/>
    </row>
    <row r="55" spans="1:8">
      <c r="A55" s="20" t="s">
        <v>115</v>
      </c>
      <c r="C55"/>
      <c r="G55" s="9"/>
      <c r="H55" s="11"/>
    </row>
    <row r="56" spans="1:8">
      <c r="A56" s="20" t="s">
        <v>116</v>
      </c>
      <c r="C56"/>
      <c r="G56" s="9"/>
      <c r="H56" s="11"/>
    </row>
    <row r="57" spans="1:8">
      <c r="A57" s="28" t="s">
        <v>269</v>
      </c>
      <c r="C57"/>
      <c r="G57" s="9"/>
    </row>
    <row r="58" spans="1:8">
      <c r="A58" s="20" t="s">
        <v>136</v>
      </c>
      <c r="G58" s="9"/>
    </row>
    <row r="59" spans="1:8">
      <c r="A59" s="20" t="s">
        <v>203</v>
      </c>
      <c r="G59" s="9"/>
    </row>
    <row r="60" spans="1:8">
      <c r="A60" s="20" t="s">
        <v>118</v>
      </c>
      <c r="G60" s="9"/>
    </row>
    <row r="61" spans="1:8">
      <c r="A61" s="27" t="s">
        <v>265</v>
      </c>
      <c r="G61" s="9"/>
    </row>
    <row r="62" spans="1:8">
      <c r="A62" s="27" t="s">
        <v>267</v>
      </c>
      <c r="G62" s="9"/>
    </row>
    <row r="63" spans="1:8">
      <c r="A63" s="27" t="s">
        <v>274</v>
      </c>
      <c r="G63" s="9"/>
    </row>
    <row r="64" spans="1:8">
      <c r="A64" s="27" t="s">
        <v>277</v>
      </c>
      <c r="G64" s="9"/>
    </row>
    <row r="65" spans="1:7">
      <c r="A65" s="27"/>
      <c r="G65" s="9"/>
    </row>
    <row r="66" spans="1:7">
      <c r="G66" s="9"/>
    </row>
    <row r="67" spans="1:7">
      <c r="A67" s="20" t="s">
        <v>30</v>
      </c>
      <c r="G67" s="9"/>
    </row>
    <row r="68" spans="1:7">
      <c r="A68" s="20" t="s">
        <v>119</v>
      </c>
      <c r="C68"/>
      <c r="G68" s="9"/>
    </row>
    <row r="69" spans="1:7">
      <c r="A69" s="20" t="s">
        <v>112</v>
      </c>
      <c r="C69"/>
      <c r="G69" s="9"/>
    </row>
    <row r="70" spans="1:7">
      <c r="A70" s="20" t="s">
        <v>113</v>
      </c>
      <c r="G70" s="9"/>
    </row>
    <row r="71" spans="1:7">
      <c r="G71" s="9"/>
    </row>
    <row r="72" spans="1:7">
      <c r="G72" s="9"/>
    </row>
    <row r="73" spans="1:7">
      <c r="A73" s="20" t="s">
        <v>210</v>
      </c>
    </row>
    <row r="74" spans="1:7">
      <c r="A74" s="20" t="s">
        <v>49</v>
      </c>
    </row>
    <row r="75" spans="1:7">
      <c r="A75" s="20" t="s">
        <v>121</v>
      </c>
    </row>
    <row r="76" spans="1:7">
      <c r="A76" s="20" t="s">
        <v>129</v>
      </c>
      <c r="G76" s="9"/>
    </row>
    <row r="77" spans="1:7">
      <c r="A77" s="20" t="s">
        <v>215</v>
      </c>
      <c r="G77" s="9"/>
    </row>
    <row r="78" spans="1:7">
      <c r="A78" s="20" t="s">
        <v>217</v>
      </c>
      <c r="G78" s="9"/>
    </row>
    <row r="79" spans="1:7">
      <c r="A79" s="20" t="s">
        <v>219</v>
      </c>
    </row>
    <row r="80" spans="1:7">
      <c r="A80" s="20" t="s">
        <v>221</v>
      </c>
    </row>
    <row r="83" spans="1:1">
      <c r="A83" s="20" t="s">
        <v>123</v>
      </c>
    </row>
    <row r="84" spans="1:1">
      <c r="A84" s="20" t="s">
        <v>124</v>
      </c>
    </row>
    <row r="85" spans="1:1">
      <c r="A85" s="20" t="s">
        <v>125</v>
      </c>
    </row>
    <row r="86" spans="1:1">
      <c r="A86" s="20" t="s">
        <v>126</v>
      </c>
    </row>
    <row r="87" spans="1:1">
      <c r="A87" s="20" t="s">
        <v>127</v>
      </c>
    </row>
    <row r="88" spans="1:1">
      <c r="A88" s="20" t="s">
        <v>128</v>
      </c>
    </row>
    <row r="91" spans="1:1">
      <c r="A91" s="20" t="s">
        <v>229</v>
      </c>
    </row>
    <row r="92" spans="1:1">
      <c r="A92" s="20" t="s">
        <v>231</v>
      </c>
    </row>
    <row r="93" spans="1:1">
      <c r="A93" s="20" t="s">
        <v>233</v>
      </c>
    </row>
    <row r="94" spans="1:1">
      <c r="A94" s="20" t="s">
        <v>235</v>
      </c>
    </row>
    <row r="95" spans="1:1">
      <c r="A95" s="20" t="s">
        <v>237</v>
      </c>
    </row>
    <row r="112" spans="2:2">
      <c r="B112" s="9"/>
    </row>
  </sheetData>
  <phoneticPr fontId="2" type="noConversion"/>
  <conditionalFormatting sqref="D1:F1">
    <cfRule type="duplicateValues" dxfId="35" priority="32"/>
  </conditionalFormatting>
  <conditionalFormatting sqref="G1">
    <cfRule type="duplicateValues" dxfId="34" priority="31"/>
  </conditionalFormatting>
  <conditionalFormatting sqref="H1:J1">
    <cfRule type="duplicateValues" dxfId="33" priority="30"/>
  </conditionalFormatting>
  <conditionalFormatting sqref="F1">
    <cfRule type="duplicateValues" dxfId="32" priority="29"/>
  </conditionalFormatting>
  <conditionalFormatting sqref="D1:E1">
    <cfRule type="duplicateValues" dxfId="31" priority="28"/>
  </conditionalFormatting>
  <conditionalFormatting sqref="G28">
    <cfRule type="cellIs" dxfId="30" priority="27" operator="equal">
      <formula>"行動序號"</formula>
    </cfRule>
  </conditionalFormatting>
  <conditionalFormatting sqref="G29">
    <cfRule type="cellIs" dxfId="29" priority="26" operator="equal">
      <formula>"行動序號"</formula>
    </cfRule>
  </conditionalFormatting>
  <conditionalFormatting sqref="G46">
    <cfRule type="cellIs" dxfId="28" priority="25" operator="equal">
      <formula>"行動序號"</formula>
    </cfRule>
  </conditionalFormatting>
  <conditionalFormatting sqref="G47">
    <cfRule type="cellIs" dxfId="27" priority="24" operator="equal">
      <formula>"行動序號"</formula>
    </cfRule>
  </conditionalFormatting>
  <conditionalFormatting sqref="G30:G31">
    <cfRule type="cellIs" dxfId="26" priority="23" operator="equal">
      <formula>"行動序號"</formula>
    </cfRule>
  </conditionalFormatting>
  <conditionalFormatting sqref="G32">
    <cfRule type="cellIs" dxfId="25" priority="22" operator="equal">
      <formula>"行動序號"</formula>
    </cfRule>
  </conditionalFormatting>
  <conditionalFormatting sqref="G58:G59">
    <cfRule type="cellIs" dxfId="24" priority="21" operator="equal">
      <formula>"行動序號"</formula>
    </cfRule>
  </conditionalFormatting>
  <conditionalFormatting sqref="G54:G57">
    <cfRule type="cellIs" dxfId="23" priority="20" operator="equal">
      <formula>"行動序號"</formula>
    </cfRule>
  </conditionalFormatting>
  <conditionalFormatting sqref="G17">
    <cfRule type="cellIs" dxfId="22" priority="19" operator="equal">
      <formula>"行動序號"</formula>
    </cfRule>
  </conditionalFormatting>
  <conditionalFormatting sqref="G60:G65">
    <cfRule type="cellIs" dxfId="21" priority="18" operator="equal">
      <formula>"行動序號"</formula>
    </cfRule>
  </conditionalFormatting>
  <conditionalFormatting sqref="G66:G67">
    <cfRule type="cellIs" dxfId="20" priority="17" operator="equal">
      <formula>"行動序號"</formula>
    </cfRule>
  </conditionalFormatting>
  <conditionalFormatting sqref="G76:G78">
    <cfRule type="cellIs" dxfId="19" priority="16" operator="equal">
      <formula>"行動序號"</formula>
    </cfRule>
  </conditionalFormatting>
  <conditionalFormatting sqref="A99">
    <cfRule type="cellIs" dxfId="18" priority="15" operator="equal">
      <formula>"行動序號"</formula>
    </cfRule>
  </conditionalFormatting>
  <conditionalFormatting sqref="A100">
    <cfRule type="cellIs" dxfId="17" priority="14" operator="equal">
      <formula>"行動序號"</formula>
    </cfRule>
  </conditionalFormatting>
  <conditionalFormatting sqref="A117">
    <cfRule type="cellIs" dxfId="16" priority="13" operator="equal">
      <formula>"行動序號"</formula>
    </cfRule>
  </conditionalFormatting>
  <conditionalFormatting sqref="A118">
    <cfRule type="cellIs" dxfId="15" priority="12" operator="equal">
      <formula>"行動序號"</formula>
    </cfRule>
  </conditionalFormatting>
  <conditionalFormatting sqref="A101:A102">
    <cfRule type="cellIs" dxfId="14" priority="11" operator="equal">
      <formula>"行動序號"</formula>
    </cfRule>
  </conditionalFormatting>
  <conditionalFormatting sqref="A103">
    <cfRule type="cellIs" dxfId="13" priority="10" operator="equal">
      <formula>"行動序號"</formula>
    </cfRule>
  </conditionalFormatting>
  <conditionalFormatting sqref="A127:A128">
    <cfRule type="cellIs" dxfId="12" priority="9" operator="equal">
      <formula>"行動序號"</formula>
    </cfRule>
  </conditionalFormatting>
  <conditionalFormatting sqref="A123:A126">
    <cfRule type="cellIs" dxfId="11" priority="8" operator="equal">
      <formula>"行動序號"</formula>
    </cfRule>
  </conditionalFormatting>
  <conditionalFormatting sqref="A129:A130">
    <cfRule type="cellIs" dxfId="10" priority="7" operator="equal">
      <formula>"行動序號"</formula>
    </cfRule>
  </conditionalFormatting>
  <conditionalFormatting sqref="A131:A132">
    <cfRule type="cellIs" dxfId="9" priority="6" operator="equal">
      <formula>"行動序號"</formula>
    </cfRule>
  </conditionalFormatting>
  <conditionalFormatting sqref="A141:A143">
    <cfRule type="cellIs" dxfId="8" priority="5" operator="equal">
      <formula>"行動序號"</formula>
    </cfRule>
  </conditionalFormatting>
  <conditionalFormatting sqref="A112:A1048576 A86:A87 A89:A95 A99:A110">
    <cfRule type="duplicateValues" dxfId="7" priority="4"/>
  </conditionalFormatting>
  <conditionalFormatting sqref="A111">
    <cfRule type="duplicateValues" dxfId="6" priority="3"/>
  </conditionalFormatting>
  <conditionalFormatting sqref="A72:A73">
    <cfRule type="cellIs" dxfId="5" priority="2" operator="equal">
      <formula>"行動序號"</formula>
    </cfRule>
  </conditionalFormatting>
  <conditionalFormatting sqref="A96:A97">
    <cfRule type="cellIs" dxfId="4" priority="1" operator="equal">
      <formula>"行動序號"</formula>
    </cfRule>
  </conditionalFormatting>
  <conditionalFormatting sqref="A1">
    <cfRule type="duplicateValues" dxfId="3" priority="33"/>
  </conditionalFormatting>
  <conditionalFormatting sqref="B112">
    <cfRule type="duplicateValues" dxfId="2" priority="34"/>
  </conditionalFormatting>
  <conditionalFormatting sqref="A99:A1048576 A86:A87 A89:A95">
    <cfRule type="duplicateValues" dxfId="1" priority="35"/>
  </conditionalFormatting>
  <conditionalFormatting sqref="A98">
    <cfRule type="duplicateValues" dxfId="0" priority="36"/>
  </conditionalFormatting>
  <dataValidations count="1">
    <dataValidation type="list" allowBlank="1" showInputMessage="1" showErrorMessage="1" sqref="A99 D25:E25 J25:XFD25 G50:G52 G28 A121 B25 B27" xr:uid="{F34E9259-2491-475B-9D74-E14228078BEC}">
      <formula1>_OPTION_</formula1>
    </dataValidation>
  </dataValidations>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A1FA8C-9D8D-42D0-8E2A-21AA7D6B2417}">
  <sheetPr codeName="ParamTitleSheet"/>
  <dimension ref="A1:C15"/>
  <sheetViews>
    <sheetView workbookViewId="0">
      <selection activeCell="G19" sqref="G19"/>
    </sheetView>
  </sheetViews>
  <sheetFormatPr defaultRowHeight="16.5"/>
  <cols>
    <col min="1" max="2" width="18.375" bestFit="1" customWidth="1"/>
    <col min="3" max="3" width="27.25" bestFit="1" customWidth="1"/>
    <col min="4" max="4" width="16.125" bestFit="1" customWidth="1"/>
    <col min="5" max="5" width="11.625" bestFit="1" customWidth="1"/>
  </cols>
  <sheetData>
    <row r="1" spans="1:3" s="5" customFormat="1">
      <c r="A1" s="5" t="s">
        <v>1</v>
      </c>
      <c r="B1" s="5" t="s">
        <v>2</v>
      </c>
      <c r="C1" s="5" t="s">
        <v>3</v>
      </c>
    </row>
    <row r="2" spans="1:3">
      <c r="B2" s="4"/>
    </row>
    <row r="3" spans="1:3">
      <c r="B3" s="4"/>
    </row>
    <row r="4" spans="1:3">
      <c r="B4" s="4"/>
    </row>
    <row r="5" spans="1:3">
      <c r="B5" s="4"/>
    </row>
    <row r="6" spans="1:3">
      <c r="B6" s="4"/>
    </row>
    <row r="7" spans="1:3">
      <c r="B7" s="4"/>
    </row>
    <row r="8" spans="1:3">
      <c r="B8" s="4"/>
    </row>
    <row r="9" spans="1:3">
      <c r="B9" s="4"/>
    </row>
    <row r="10" spans="1:3">
      <c r="B10" s="4"/>
    </row>
    <row r="11" spans="1:3">
      <c r="B11" s="4"/>
    </row>
    <row r="12" spans="1:3">
      <c r="B12" s="4"/>
    </row>
    <row r="13" spans="1:3">
      <c r="B13" s="4"/>
    </row>
    <row r="14" spans="1:3">
      <c r="B14" s="4"/>
    </row>
    <row r="15" spans="1:3">
      <c r="B15" s="4"/>
    </row>
  </sheetData>
  <phoneticPr fontId="2" type="noConversion"/>
  <pageMargins left="0.75" right="0.75" top="1" bottom="1" header="0.5" footer="0.5"/>
  <pageSetup orientation="portrait" horizontalDpi="200" verticalDpi="2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DB1AC-5F04-4F0F-B050-0A445275DFF8}">
  <sheetPr codeName="OutputSheet"/>
  <dimension ref="A1:A2"/>
  <sheetViews>
    <sheetView workbookViewId="0">
      <selection activeCell="G19" sqref="G19"/>
    </sheetView>
  </sheetViews>
  <sheetFormatPr defaultRowHeight="16.5"/>
  <cols>
    <col min="1" max="1" width="64.625" customWidth="1"/>
  </cols>
  <sheetData>
    <row r="1" spans="1:1">
      <c r="A1" s="1" t="s">
        <v>11</v>
      </c>
    </row>
    <row r="2" spans="1:1">
      <c r="A2" t="s">
        <v>20</v>
      </c>
    </row>
  </sheetData>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AC3A9-409D-4525-9C0B-5958D512E837}">
  <sheetPr codeName="HelpSheet"/>
  <dimension ref="A1:A15"/>
  <sheetViews>
    <sheetView topLeftCell="A4" workbookViewId="0">
      <selection activeCell="G19" sqref="G19"/>
    </sheetView>
  </sheetViews>
  <sheetFormatPr defaultRowHeight="16.5"/>
  <cols>
    <col min="1" max="1" width="146.25" customWidth="1"/>
  </cols>
  <sheetData>
    <row r="1" spans="1:1" ht="66">
      <c r="A1" s="3" t="s">
        <v>4</v>
      </c>
    </row>
    <row r="2" spans="1:1" ht="99">
      <c r="A2" s="3" t="s">
        <v>6</v>
      </c>
    </row>
    <row r="3" spans="1:1" ht="49.5">
      <c r="A3" s="3" t="s">
        <v>5</v>
      </c>
    </row>
    <row r="4" spans="1:1" ht="82.5">
      <c r="A4" s="3" t="s">
        <v>14</v>
      </c>
    </row>
    <row r="5" spans="1:1" ht="82.5">
      <c r="A5" s="3" t="s">
        <v>7</v>
      </c>
    </row>
    <row r="6" spans="1:1" ht="66">
      <c r="A6" s="3" t="s">
        <v>12</v>
      </c>
    </row>
    <row r="7" spans="1:1">
      <c r="A7" s="2"/>
    </row>
    <row r="8" spans="1:1">
      <c r="A8" t="s">
        <v>0</v>
      </c>
    </row>
    <row r="9" spans="1:1">
      <c r="A9" t="s">
        <v>16</v>
      </c>
    </row>
    <row r="10" spans="1:1">
      <c r="A10" s="2" t="s">
        <v>8</v>
      </c>
    </row>
    <row r="11" spans="1:1" ht="82.5">
      <c r="A11" s="2" t="s">
        <v>19</v>
      </c>
    </row>
    <row r="12" spans="1:1">
      <c r="A12" s="2" t="s">
        <v>15</v>
      </c>
    </row>
    <row r="13" spans="1:1" ht="82.5">
      <c r="A13" s="2" t="s">
        <v>13</v>
      </c>
    </row>
    <row r="14" spans="1:1">
      <c r="A14" s="2" t="s">
        <v>10</v>
      </c>
    </row>
    <row r="15" spans="1:1">
      <c r="A15" t="s">
        <v>9</v>
      </c>
    </row>
  </sheetData>
  <phoneticPr fontId="2" type="noConversion"/>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7</vt:i4>
      </vt:variant>
      <vt:variant>
        <vt:lpstr>具名範圍</vt:lpstr>
      </vt:variant>
      <vt:variant>
        <vt:i4>1</vt:i4>
      </vt:variant>
    </vt:vector>
  </HeadingPairs>
  <TitlesOfParts>
    <vt:vector size="8" baseType="lpstr">
      <vt:lpstr>stage7_1</vt:lpstr>
      <vt:lpstr>#ALIAS</vt:lpstr>
      <vt:lpstr>#DEFINE</vt:lpstr>
      <vt:lpstr>#OPTION</vt:lpstr>
      <vt:lpstr>#PARAM</vt:lpstr>
      <vt:lpstr>#OUTPUT</vt:lpstr>
      <vt:lpstr>#使用說明</vt:lpstr>
      <vt:lpstr>'#OPTION'!_OPTION_</vt:lpstr>
    </vt:vector>
  </TitlesOfParts>
  <Company>CMT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WORK00</dc:creator>
  <cp:lastModifiedBy>霆豫 韓</cp:lastModifiedBy>
  <dcterms:created xsi:type="dcterms:W3CDTF">2015-05-05T13:05:01Z</dcterms:created>
  <dcterms:modified xsi:type="dcterms:W3CDTF">2025-05-05T14:58:58Z</dcterms:modified>
</cp:coreProperties>
</file>