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DE4600CF-225E-45E3-9393-115A374F47E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shot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1" l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D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M30" i="1"/>
  <c r="M44" i="1" s="1"/>
  <c r="E30" i="1"/>
  <c r="D29" i="1"/>
  <c r="B29" i="1"/>
  <c r="C29" i="1" s="1"/>
  <c r="M43" i="1" l="1" a="1"/>
  <c r="M43" i="1" s="1"/>
  <c r="M34" i="1" a="1"/>
  <c r="M34" i="1" s="1"/>
  <c r="M32" i="1"/>
  <c r="D109" i="1"/>
  <c r="D69" i="1"/>
  <c r="M45" i="1"/>
  <c r="M39" i="1"/>
  <c r="D129" i="1"/>
  <c r="M36" i="1"/>
  <c r="M50" i="1"/>
  <c r="B49" i="1"/>
  <c r="D89" i="1"/>
  <c r="M59" i="1" l="1"/>
  <c r="M56" i="1"/>
  <c r="B109" i="1"/>
  <c r="C109" i="1" s="1"/>
  <c r="M110" i="1"/>
  <c r="M65" i="1"/>
  <c r="M64" i="1"/>
  <c r="C49" i="1"/>
  <c r="M130" i="1"/>
  <c r="B129" i="1"/>
  <c r="D149" i="1"/>
  <c r="B89" i="1"/>
  <c r="M90" i="1"/>
  <c r="M70" i="1"/>
  <c r="B69" i="1"/>
  <c r="M112" i="1" l="1"/>
  <c r="M123" i="1" a="1"/>
  <c r="M123" i="1" s="1"/>
  <c r="M114" i="1" a="1"/>
  <c r="M114" i="1" s="1"/>
  <c r="M96" i="1"/>
  <c r="M99" i="1"/>
  <c r="M145" i="1"/>
  <c r="M144" i="1"/>
  <c r="M136" i="1"/>
  <c r="M139" i="1"/>
  <c r="C89" i="1"/>
  <c r="M52" i="1"/>
  <c r="M63" i="1" a="1"/>
  <c r="M63" i="1" s="1"/>
  <c r="M54" i="1" a="1"/>
  <c r="M54" i="1" s="1"/>
  <c r="B149" i="1"/>
  <c r="C149" i="1" s="1"/>
  <c r="M150" i="1"/>
  <c r="D169" i="1"/>
  <c r="M125" i="1"/>
  <c r="M124" i="1"/>
  <c r="M76" i="1"/>
  <c r="M79" i="1"/>
  <c r="M104" i="1"/>
  <c r="M105" i="1"/>
  <c r="C129" i="1"/>
  <c r="M119" i="1"/>
  <c r="M116" i="1"/>
  <c r="C69" i="1"/>
  <c r="M84" i="1"/>
  <c r="M85" i="1"/>
  <c r="M152" i="1" l="1"/>
  <c r="M163" i="1" a="1"/>
  <c r="M163" i="1" s="1"/>
  <c r="M154" i="1" a="1"/>
  <c r="M154" i="1" s="1"/>
  <c r="M83" i="1" a="1"/>
  <c r="M83" i="1" s="1"/>
  <c r="M74" i="1" a="1"/>
  <c r="M74" i="1" s="1"/>
  <c r="M72" i="1"/>
  <c r="M164" i="1"/>
  <c r="M165" i="1"/>
  <c r="M92" i="1"/>
  <c r="M103" i="1" a="1"/>
  <c r="M103" i="1" s="1"/>
  <c r="M94" i="1" a="1"/>
  <c r="M94" i="1" s="1"/>
  <c r="M159" i="1"/>
  <c r="M156" i="1"/>
  <c r="M143" i="1" a="1"/>
  <c r="M143" i="1" s="1"/>
  <c r="M134" i="1" a="1"/>
  <c r="M134" i="1" s="1"/>
  <c r="M132" i="1"/>
  <c r="D189" i="1"/>
  <c r="B169" i="1"/>
  <c r="M170" i="1"/>
  <c r="M190" i="1" l="1"/>
  <c r="B189" i="1"/>
  <c r="M185" i="1"/>
  <c r="M184" i="1"/>
  <c r="M179" i="1"/>
  <c r="M176" i="1"/>
  <c r="C169" i="1"/>
  <c r="D209" i="1"/>
  <c r="E22" i="1"/>
  <c r="M196" i="1" l="1"/>
  <c r="M199" i="1"/>
  <c r="C189" i="1"/>
  <c r="B209" i="1"/>
  <c r="M210" i="1"/>
  <c r="D229" i="1"/>
  <c r="M205" i="1"/>
  <c r="M204" i="1"/>
  <c r="M172" i="1"/>
  <c r="M183" i="1" a="1"/>
  <c r="M183" i="1" s="1"/>
  <c r="M174" i="1" a="1"/>
  <c r="M174" i="1" s="1"/>
  <c r="E27" i="1"/>
  <c r="E16" i="1"/>
  <c r="E28" i="1"/>
  <c r="E23" i="1"/>
  <c r="E24" i="1"/>
  <c r="E25" i="1"/>
  <c r="E26" i="1"/>
  <c r="E21" i="1"/>
  <c r="E20" i="1"/>
  <c r="E14" i="1"/>
  <c r="E18" i="1"/>
  <c r="E19" i="1"/>
  <c r="M224" i="1" l="1"/>
  <c r="M225" i="1"/>
  <c r="M216" i="1"/>
  <c r="M219" i="1"/>
  <c r="B229" i="1"/>
  <c r="C229" i="1" s="1"/>
  <c r="M230" i="1"/>
  <c r="D249" i="1"/>
  <c r="C209" i="1"/>
  <c r="M203" i="1" a="1"/>
  <c r="M203" i="1" s="1"/>
  <c r="M194" i="1" a="1"/>
  <c r="M194" i="1" s="1"/>
  <c r="M192" i="1"/>
  <c r="E17" i="1"/>
  <c r="M232" i="1" l="1"/>
  <c r="M243" i="1" a="1"/>
  <c r="M243" i="1" s="1"/>
  <c r="M234" i="1" a="1"/>
  <c r="M234" i="1" s="1"/>
  <c r="M250" i="1"/>
  <c r="B249" i="1"/>
  <c r="D269" i="1"/>
  <c r="M245" i="1"/>
  <c r="M244" i="1"/>
  <c r="M212" i="1"/>
  <c r="M223" i="1" a="1"/>
  <c r="M223" i="1" s="1"/>
  <c r="M214" i="1" a="1"/>
  <c r="M214" i="1" s="1"/>
  <c r="M239" i="1"/>
  <c r="M236" i="1"/>
  <c r="E15" i="1"/>
  <c r="E13" i="1"/>
  <c r="E12" i="1"/>
  <c r="E11" i="1"/>
  <c r="E10" i="1"/>
  <c r="D9" i="1"/>
  <c r="M265" i="1" l="1"/>
  <c r="M264" i="1"/>
  <c r="M256" i="1"/>
  <c r="M259" i="1"/>
  <c r="C249" i="1"/>
  <c r="B269" i="1"/>
  <c r="M270" i="1"/>
  <c r="D289" i="1"/>
  <c r="B9" i="1"/>
  <c r="M10" i="1"/>
  <c r="A8" i="1"/>
  <c r="M279" i="1" l="1"/>
  <c r="M276" i="1"/>
  <c r="C269" i="1"/>
  <c r="M263" i="1" a="1"/>
  <c r="M263" i="1" s="1"/>
  <c r="M252" i="1"/>
  <c r="M254" i="1" a="1"/>
  <c r="M254" i="1" s="1"/>
  <c r="C289" i="1"/>
  <c r="M290" i="1"/>
  <c r="B289" i="1"/>
  <c r="D309" i="1"/>
  <c r="M284" i="1"/>
  <c r="M285" i="1"/>
  <c r="M19" i="1"/>
  <c r="M16" i="1"/>
  <c r="M25" i="1"/>
  <c r="M24" i="1"/>
  <c r="C9" i="1"/>
  <c r="M310" i="1" l="1"/>
  <c r="B309" i="1"/>
  <c r="D329" i="1"/>
  <c r="M299" i="1"/>
  <c r="M296" i="1"/>
  <c r="M272" i="1"/>
  <c r="M283" i="1" a="1"/>
  <c r="M283" i="1" s="1"/>
  <c r="M274" i="1" a="1"/>
  <c r="M274" i="1" s="1"/>
  <c r="M305" i="1"/>
  <c r="M304" i="1"/>
  <c r="M292" i="1"/>
  <c r="M303" i="1" a="1"/>
  <c r="M303" i="1" s="1"/>
  <c r="M294" i="1" a="1"/>
  <c r="M294" i="1" s="1"/>
  <c r="M14" i="1" a="1"/>
  <c r="M14" i="1" s="1"/>
  <c r="M23" i="1" a="1"/>
  <c r="M23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C329" i="1" l="1"/>
  <c r="B329" i="1"/>
  <c r="M330" i="1"/>
  <c r="D349" i="1"/>
  <c r="M316" i="1"/>
  <c r="M319" i="1"/>
  <c r="C309" i="1"/>
  <c r="M325" i="1"/>
  <c r="M324" i="1"/>
  <c r="B349" i="1" l="1"/>
  <c r="M350" i="1"/>
  <c r="D369" i="1"/>
  <c r="M332" i="1"/>
  <c r="M343" i="1" a="1"/>
  <c r="M343" i="1" s="1"/>
  <c r="M334" i="1" a="1"/>
  <c r="M334" i="1" s="1"/>
  <c r="M344" i="1"/>
  <c r="M345" i="1"/>
  <c r="M323" i="1" a="1"/>
  <c r="M323" i="1" s="1"/>
  <c r="M314" i="1" a="1"/>
  <c r="M314" i="1" s="1"/>
  <c r="M312" i="1"/>
  <c r="M336" i="1"/>
  <c r="M339" i="1"/>
  <c r="M356" i="1" l="1"/>
  <c r="M359" i="1"/>
  <c r="B369" i="1"/>
  <c r="M370" i="1"/>
  <c r="D389" i="1"/>
  <c r="M365" i="1"/>
  <c r="M364" i="1"/>
  <c r="C349" i="1"/>
  <c r="B389" i="1" l="1"/>
  <c r="M390" i="1"/>
  <c r="D409" i="1"/>
  <c r="M376" i="1"/>
  <c r="M379" i="1"/>
  <c r="M384" i="1"/>
  <c r="M385" i="1"/>
  <c r="M363" i="1" a="1"/>
  <c r="M363" i="1" s="1"/>
  <c r="M352" i="1"/>
  <c r="M354" i="1" a="1"/>
  <c r="M354" i="1" s="1"/>
  <c r="C369" i="1"/>
  <c r="M410" i="1" l="1"/>
  <c r="B409" i="1"/>
  <c r="C409" i="1" s="1"/>
  <c r="D429" i="1"/>
  <c r="M372" i="1"/>
  <c r="M383" i="1" a="1"/>
  <c r="M383" i="1" s="1"/>
  <c r="M374" i="1" a="1"/>
  <c r="M374" i="1" s="1"/>
  <c r="M404" i="1"/>
  <c r="M405" i="1"/>
  <c r="M399" i="1"/>
  <c r="M396" i="1"/>
  <c r="C389" i="1"/>
  <c r="M414" i="1" l="1" a="1"/>
  <c r="M414" i="1" s="1"/>
  <c r="M423" i="1" a="1"/>
  <c r="M423" i="1" s="1"/>
  <c r="M412" i="1"/>
  <c r="M392" i="1"/>
  <c r="M403" i="1" a="1"/>
  <c r="M403" i="1" s="1"/>
  <c r="M394" i="1" a="1"/>
  <c r="M394" i="1" s="1"/>
  <c r="B429" i="1"/>
  <c r="C429" i="1" s="1"/>
  <c r="M430" i="1"/>
  <c r="D449" i="1"/>
  <c r="M416" i="1"/>
  <c r="M419" i="1"/>
  <c r="M425" i="1"/>
  <c r="M424" i="1"/>
  <c r="M443" i="1" l="1" a="1"/>
  <c r="M443" i="1" s="1"/>
  <c r="M434" i="1" a="1"/>
  <c r="M434" i="1" s="1"/>
  <c r="M432" i="1"/>
  <c r="B449" i="1"/>
  <c r="C449" i="1" s="1"/>
  <c r="M450" i="1"/>
  <c r="D469" i="1"/>
  <c r="M436" i="1"/>
  <c r="M439" i="1"/>
  <c r="M444" i="1"/>
  <c r="M445" i="1"/>
  <c r="M454" i="1" l="1" a="1"/>
  <c r="M454" i="1" s="1"/>
  <c r="M452" i="1"/>
  <c r="M463" i="1" a="1"/>
  <c r="M463" i="1" s="1"/>
  <c r="M470" i="1"/>
  <c r="B469" i="1"/>
  <c r="C469" i="1" s="1"/>
  <c r="D489" i="1"/>
  <c r="M465" i="1"/>
  <c r="M464" i="1"/>
  <c r="M459" i="1"/>
  <c r="M456" i="1"/>
  <c r="M474" i="1" l="1" a="1"/>
  <c r="M474" i="1" s="1"/>
  <c r="M483" i="1" a="1"/>
  <c r="M483" i="1" s="1"/>
  <c r="M472" i="1"/>
  <c r="B489" i="1"/>
  <c r="C489" i="1" s="1"/>
  <c r="M490" i="1"/>
  <c r="D509" i="1"/>
  <c r="M476" i="1"/>
  <c r="M479" i="1"/>
  <c r="M485" i="1"/>
  <c r="M484" i="1"/>
  <c r="M494" i="1" l="1" a="1"/>
  <c r="M494" i="1" s="1"/>
  <c r="M503" i="1" a="1"/>
  <c r="M503" i="1" s="1"/>
  <c r="M492" i="1"/>
  <c r="B509" i="1"/>
  <c r="C509" i="1" s="1"/>
  <c r="M510" i="1"/>
  <c r="D529" i="1"/>
  <c r="M496" i="1"/>
  <c r="M499" i="1"/>
  <c r="M504" i="1"/>
  <c r="M505" i="1"/>
  <c r="M514" i="1" l="1" a="1"/>
  <c r="M514" i="1" s="1"/>
  <c r="M512" i="1"/>
  <c r="M523" i="1" a="1"/>
  <c r="M523" i="1" s="1"/>
  <c r="M525" i="1"/>
  <c r="M524" i="1"/>
  <c r="M519" i="1"/>
  <c r="M516" i="1"/>
  <c r="M530" i="1"/>
  <c r="B529" i="1"/>
  <c r="C529" i="1" s="1"/>
  <c r="D549" i="1"/>
  <c r="M534" i="1" l="1" a="1"/>
  <c r="M534" i="1" s="1"/>
  <c r="M543" i="1" a="1"/>
  <c r="M543" i="1" s="1"/>
  <c r="M532" i="1"/>
  <c r="B549" i="1"/>
  <c r="C549" i="1" s="1"/>
  <c r="M550" i="1"/>
  <c r="D569" i="1"/>
  <c r="M536" i="1"/>
  <c r="M539" i="1"/>
  <c r="M545" i="1"/>
  <c r="M544" i="1"/>
  <c r="M552" i="1" l="1"/>
  <c r="M554" i="1" a="1"/>
  <c r="M554" i="1" s="1"/>
  <c r="M563" i="1" a="1"/>
  <c r="M563" i="1" s="1"/>
  <c r="M564" i="1"/>
  <c r="M565" i="1"/>
  <c r="M556" i="1"/>
  <c r="M559" i="1"/>
  <c r="B569" i="1"/>
  <c r="C569" i="1" s="1"/>
  <c r="M570" i="1"/>
  <c r="D589" i="1"/>
  <c r="M574" i="1" l="1" a="1"/>
  <c r="M574" i="1" s="1"/>
  <c r="M572" i="1"/>
  <c r="M583" i="1" a="1"/>
  <c r="M583" i="1" s="1"/>
  <c r="M590" i="1"/>
  <c r="B589" i="1"/>
  <c r="D609" i="1"/>
  <c r="M585" i="1"/>
  <c r="M584" i="1"/>
  <c r="M579" i="1"/>
  <c r="M576" i="1"/>
  <c r="M596" i="1" l="1"/>
  <c r="M599" i="1"/>
  <c r="C589" i="1"/>
  <c r="M605" i="1"/>
  <c r="M604" i="1"/>
  <c r="C609" i="1"/>
  <c r="B609" i="1"/>
  <c r="M610" i="1"/>
  <c r="D629" i="1"/>
  <c r="B629" i="1" l="1"/>
  <c r="M630" i="1"/>
  <c r="C629" i="1"/>
  <c r="D649" i="1"/>
  <c r="M594" i="1" a="1"/>
  <c r="M594" i="1" s="1"/>
  <c r="M603" i="1" a="1"/>
  <c r="M603" i="1" s="1"/>
  <c r="M592" i="1"/>
  <c r="M624" i="1"/>
  <c r="M625" i="1"/>
  <c r="M612" i="1"/>
  <c r="M614" i="1" a="1"/>
  <c r="M614" i="1" s="1"/>
  <c r="M623" i="1" a="1"/>
  <c r="M623" i="1" s="1"/>
  <c r="M616" i="1"/>
  <c r="M619" i="1"/>
  <c r="M650" i="1" l="1"/>
  <c r="B649" i="1"/>
  <c r="C649" i="1" s="1"/>
  <c r="D669" i="1"/>
  <c r="M643" i="1" a="1"/>
  <c r="M643" i="1" s="1"/>
  <c r="M634" i="1" a="1"/>
  <c r="M634" i="1" s="1"/>
  <c r="M632" i="1"/>
  <c r="M645" i="1"/>
  <c r="M644" i="1"/>
  <c r="M639" i="1"/>
  <c r="M636" i="1"/>
  <c r="M654" i="1" l="1" a="1"/>
  <c r="M654" i="1" s="1"/>
  <c r="M663" i="1" a="1"/>
  <c r="M663" i="1" s="1"/>
  <c r="M652" i="1"/>
  <c r="B669" i="1"/>
  <c r="M670" i="1"/>
  <c r="D689" i="1"/>
  <c r="M656" i="1"/>
  <c r="M659" i="1"/>
  <c r="M665" i="1"/>
  <c r="M664" i="1"/>
  <c r="M684" i="1" l="1"/>
  <c r="M685" i="1"/>
  <c r="M676" i="1"/>
  <c r="M679" i="1"/>
  <c r="C669" i="1"/>
  <c r="B689" i="1"/>
  <c r="M690" i="1"/>
  <c r="D709" i="1"/>
  <c r="M699" i="1" l="1"/>
  <c r="M696" i="1"/>
  <c r="M672" i="1"/>
  <c r="M674" i="1" a="1"/>
  <c r="M674" i="1" s="1"/>
  <c r="M683" i="1" a="1"/>
  <c r="M683" i="1" s="1"/>
  <c r="C689" i="1"/>
  <c r="M710" i="1"/>
  <c r="B709" i="1"/>
  <c r="D729" i="1"/>
  <c r="M705" i="1"/>
  <c r="M704" i="1"/>
  <c r="M703" i="1" l="1" a="1"/>
  <c r="M703" i="1" s="1"/>
  <c r="M694" i="1" a="1"/>
  <c r="M694" i="1" s="1"/>
  <c r="M692" i="1"/>
  <c r="M716" i="1"/>
  <c r="M719" i="1"/>
  <c r="C709" i="1"/>
  <c r="B729" i="1"/>
  <c r="M730" i="1"/>
  <c r="D749" i="1"/>
  <c r="M725" i="1"/>
  <c r="M724" i="1"/>
  <c r="M714" i="1" l="1" a="1"/>
  <c r="M714" i="1" s="1"/>
  <c r="M723" i="1" a="1"/>
  <c r="M723" i="1" s="1"/>
  <c r="M712" i="1"/>
  <c r="B749" i="1"/>
  <c r="C749" i="1" s="1"/>
  <c r="M750" i="1"/>
  <c r="D769" i="1"/>
  <c r="M744" i="1"/>
  <c r="M745" i="1"/>
  <c r="M736" i="1"/>
  <c r="M739" i="1"/>
  <c r="C729" i="1"/>
  <c r="M763" i="1" l="1" a="1"/>
  <c r="M763" i="1" s="1"/>
  <c r="M754" i="1" a="1"/>
  <c r="M754" i="1" s="1"/>
  <c r="M752" i="1"/>
  <c r="M732" i="1"/>
  <c r="M734" i="1" a="1"/>
  <c r="M734" i="1" s="1"/>
  <c r="M743" i="1" a="1"/>
  <c r="M743" i="1" s="1"/>
  <c r="M765" i="1"/>
  <c r="M764" i="1"/>
  <c r="M759" i="1"/>
  <c r="M756" i="1"/>
  <c r="M770" i="1"/>
  <c r="B769" i="1"/>
  <c r="D789" i="1"/>
  <c r="M776" i="1" l="1"/>
  <c r="M779" i="1"/>
  <c r="M785" i="1"/>
  <c r="M784" i="1"/>
  <c r="B789" i="1"/>
  <c r="C789" i="1" s="1"/>
  <c r="M790" i="1"/>
  <c r="D809" i="1"/>
  <c r="C769" i="1"/>
  <c r="M792" i="1" l="1"/>
  <c r="M794" i="1" a="1"/>
  <c r="M794" i="1" s="1"/>
  <c r="M803" i="1" a="1"/>
  <c r="M803" i="1" s="1"/>
  <c r="M774" i="1" a="1"/>
  <c r="M774" i="1" s="1"/>
  <c r="M783" i="1" a="1"/>
  <c r="M783" i="1" s="1"/>
  <c r="M772" i="1"/>
  <c r="B809" i="1"/>
  <c r="M810" i="1"/>
  <c r="C809" i="1"/>
  <c r="D829" i="1"/>
  <c r="M796" i="1"/>
  <c r="M799" i="1"/>
  <c r="M804" i="1"/>
  <c r="M805" i="1"/>
  <c r="M830" i="1" l="1"/>
  <c r="B829" i="1"/>
  <c r="C829" i="1" s="1"/>
  <c r="D849" i="1"/>
  <c r="M823" i="1" a="1"/>
  <c r="M823" i="1" s="1"/>
  <c r="M814" i="1" a="1"/>
  <c r="M814" i="1" s="1"/>
  <c r="M812" i="1"/>
  <c r="M825" i="1"/>
  <c r="M824" i="1"/>
  <c r="M819" i="1"/>
  <c r="M816" i="1"/>
  <c r="M834" i="1" l="1" a="1"/>
  <c r="M834" i="1" s="1"/>
  <c r="M843" i="1" a="1"/>
  <c r="M843" i="1" s="1"/>
  <c r="M832" i="1"/>
  <c r="M836" i="1"/>
  <c r="M839" i="1"/>
  <c r="C849" i="1"/>
  <c r="B849" i="1"/>
  <c r="M850" i="1"/>
  <c r="D869" i="1"/>
  <c r="M845" i="1"/>
  <c r="M844" i="1"/>
  <c r="B869" i="1" l="1"/>
  <c r="M870" i="1"/>
  <c r="C869" i="1"/>
  <c r="D889" i="1"/>
  <c r="M864" i="1"/>
  <c r="M865" i="1"/>
  <c r="M852" i="1"/>
  <c r="M854" i="1" a="1"/>
  <c r="M854" i="1" s="1"/>
  <c r="M863" i="1" a="1"/>
  <c r="M863" i="1" s="1"/>
  <c r="M856" i="1"/>
  <c r="M859" i="1"/>
  <c r="B889" i="1" l="1"/>
  <c r="M890" i="1"/>
  <c r="D909" i="1"/>
  <c r="M872" i="1"/>
  <c r="M883" i="1" a="1"/>
  <c r="M883" i="1" s="1"/>
  <c r="M874" i="1" a="1"/>
  <c r="M874" i="1" s="1"/>
  <c r="M884" i="1"/>
  <c r="M885" i="1"/>
  <c r="M879" i="1"/>
  <c r="M876" i="1"/>
  <c r="M910" i="1" l="1"/>
  <c r="B909" i="1"/>
  <c r="C909" i="1" s="1"/>
  <c r="D929" i="1"/>
  <c r="M904" i="1"/>
  <c r="M905" i="1"/>
  <c r="M899" i="1"/>
  <c r="M896" i="1"/>
  <c r="C889" i="1"/>
  <c r="M923" i="1" l="1" a="1"/>
  <c r="M923" i="1" s="1"/>
  <c r="M914" i="1" a="1"/>
  <c r="M914" i="1" s="1"/>
  <c r="M912" i="1"/>
  <c r="M892" i="1"/>
  <c r="M903" i="1" a="1"/>
  <c r="M903" i="1" s="1"/>
  <c r="M894" i="1" a="1"/>
  <c r="M894" i="1" s="1"/>
  <c r="M916" i="1"/>
  <c r="M919" i="1"/>
  <c r="B929" i="1"/>
  <c r="M930" i="1"/>
  <c r="D949" i="1"/>
  <c r="M925" i="1"/>
  <c r="M924" i="1"/>
  <c r="M944" i="1" l="1"/>
  <c r="M945" i="1"/>
  <c r="B949" i="1"/>
  <c r="M950" i="1"/>
  <c r="D969" i="1"/>
  <c r="M936" i="1"/>
  <c r="M939" i="1"/>
  <c r="C929" i="1"/>
  <c r="M959" i="1" l="1"/>
  <c r="M956" i="1"/>
  <c r="C949" i="1"/>
  <c r="M970" i="1"/>
  <c r="B969" i="1"/>
  <c r="D989" i="1"/>
  <c r="M965" i="1"/>
  <c r="M964" i="1"/>
  <c r="M932" i="1"/>
  <c r="M934" i="1" a="1"/>
  <c r="M934" i="1" s="1"/>
  <c r="M943" i="1" a="1"/>
  <c r="M943" i="1" s="1"/>
  <c r="M976" i="1" l="1"/>
  <c r="M979" i="1"/>
  <c r="M985" i="1"/>
  <c r="M984" i="1"/>
  <c r="M952" i="1"/>
  <c r="M963" i="1" a="1"/>
  <c r="M963" i="1" s="1"/>
  <c r="M954" i="1" a="1"/>
  <c r="M954" i="1" s="1"/>
  <c r="C969" i="1"/>
  <c r="B989" i="1"/>
  <c r="C989" i="1" s="1"/>
  <c r="M990" i="1"/>
  <c r="D1009" i="1"/>
  <c r="M992" i="1" l="1"/>
  <c r="M994" i="1" a="1"/>
  <c r="M994" i="1" s="1"/>
  <c r="M1003" i="1" a="1"/>
  <c r="M1003" i="1" s="1"/>
  <c r="M1004" i="1"/>
  <c r="M1005" i="1"/>
  <c r="C1009" i="1"/>
  <c r="B1009" i="1"/>
  <c r="M1010" i="1"/>
  <c r="D1029" i="1"/>
  <c r="M996" i="1"/>
  <c r="M999" i="1"/>
  <c r="M983" i="1" a="1"/>
  <c r="M983" i="1" s="1"/>
  <c r="M974" i="1" a="1"/>
  <c r="M974" i="1" s="1"/>
  <c r="M972" i="1"/>
  <c r="M1012" i="1" l="1"/>
  <c r="M1023" i="1" a="1"/>
  <c r="M1023" i="1" s="1"/>
  <c r="M1014" i="1" a="1"/>
  <c r="M1014" i="1" s="1"/>
  <c r="M1025" i="1"/>
  <c r="M1024" i="1"/>
  <c r="M1030" i="1"/>
  <c r="B1029" i="1"/>
  <c r="C1029" i="1"/>
  <c r="D1049" i="1"/>
  <c r="M1019" i="1"/>
  <c r="M1016" i="1"/>
  <c r="M1045" i="1" l="1"/>
  <c r="M1044" i="1"/>
  <c r="B1049" i="1"/>
  <c r="M1050" i="1"/>
  <c r="D1069" i="1"/>
  <c r="M1043" i="1" a="1"/>
  <c r="M1043" i="1" s="1"/>
  <c r="M1034" i="1" a="1"/>
  <c r="M1034" i="1" s="1"/>
  <c r="M1032" i="1"/>
  <c r="M1036" i="1"/>
  <c r="M1039" i="1"/>
  <c r="M1064" i="1" l="1"/>
  <c r="M1065" i="1"/>
  <c r="M1056" i="1"/>
  <c r="M1059" i="1"/>
  <c r="C1049" i="1"/>
  <c r="C1069" i="1"/>
  <c r="B1069" i="1"/>
  <c r="M1070" i="1"/>
  <c r="D1089" i="1"/>
  <c r="M1072" i="1" l="1"/>
  <c r="M1083" i="1" a="1"/>
  <c r="M1083" i="1" s="1"/>
  <c r="M1074" i="1" a="1"/>
  <c r="M1074" i="1" s="1"/>
  <c r="M1052" i="1"/>
  <c r="M1054" i="1" a="1"/>
  <c r="M1054" i="1" s="1"/>
  <c r="M1063" i="1" a="1"/>
  <c r="M1063" i="1" s="1"/>
  <c r="M1085" i="1"/>
  <c r="M1084" i="1"/>
  <c r="M1090" i="1"/>
  <c r="B1089" i="1"/>
  <c r="D1109" i="1"/>
  <c r="M1079" i="1"/>
  <c r="M1076" i="1"/>
  <c r="B1109" i="1" l="1"/>
  <c r="M1110" i="1"/>
  <c r="D1129" i="1"/>
  <c r="M1096" i="1"/>
  <c r="M1099" i="1"/>
  <c r="C1089" i="1"/>
  <c r="M1105" i="1"/>
  <c r="M1104" i="1"/>
  <c r="M1116" i="1" l="1"/>
  <c r="M1119" i="1"/>
  <c r="B1129" i="1"/>
  <c r="C1129" i="1" s="1"/>
  <c r="M1130" i="1"/>
  <c r="D1149" i="1"/>
  <c r="M1124" i="1"/>
  <c r="M1125" i="1"/>
  <c r="M1103" i="1" a="1"/>
  <c r="M1103" i="1" s="1"/>
  <c r="M1094" i="1" a="1"/>
  <c r="M1094" i="1" s="1"/>
  <c r="M1092" i="1"/>
  <c r="C1109" i="1"/>
  <c r="M1132" i="1" l="1"/>
  <c r="M1143" i="1" a="1"/>
  <c r="M1143" i="1" s="1"/>
  <c r="M1134" i="1" a="1"/>
  <c r="M1134" i="1" s="1"/>
  <c r="M1112" i="1"/>
  <c r="M1114" i="1" a="1"/>
  <c r="M1114" i="1" s="1"/>
  <c r="M1123" i="1" a="1"/>
  <c r="M1123" i="1" s="1"/>
  <c r="M1145" i="1"/>
  <c r="M1144" i="1"/>
  <c r="M1150" i="1"/>
  <c r="B1149" i="1"/>
  <c r="D1169" i="1"/>
  <c r="M1139" i="1"/>
  <c r="M1136" i="1"/>
  <c r="M1156" i="1" l="1"/>
  <c r="M1159" i="1"/>
  <c r="B1169" i="1"/>
  <c r="C1169" i="1" s="1"/>
  <c r="M1170" i="1"/>
  <c r="D1189" i="1"/>
  <c r="C1149" i="1"/>
  <c r="M1165" i="1"/>
  <c r="M1164" i="1"/>
  <c r="M1172" i="1" l="1"/>
  <c r="M1174" i="1" a="1"/>
  <c r="M1174" i="1" s="1"/>
  <c r="M1183" i="1" a="1"/>
  <c r="M1183" i="1" s="1"/>
  <c r="B1189" i="1"/>
  <c r="M1190" i="1"/>
  <c r="D1209" i="1"/>
  <c r="M1176" i="1"/>
  <c r="M1179" i="1"/>
  <c r="M1184" i="1"/>
  <c r="M1185" i="1"/>
  <c r="M1163" i="1" a="1"/>
  <c r="M1163" i="1" s="1"/>
  <c r="M1154" i="1" a="1"/>
  <c r="M1154" i="1" s="1"/>
  <c r="M1152" i="1"/>
  <c r="M1199" i="1" l="1"/>
  <c r="M1196" i="1"/>
  <c r="M1205" i="1"/>
  <c r="M1204" i="1"/>
  <c r="C1189" i="1"/>
  <c r="M1210" i="1"/>
  <c r="B1209" i="1"/>
  <c r="C1209" i="1"/>
  <c r="D1229" i="1"/>
  <c r="B1229" i="1" l="1"/>
  <c r="M1230" i="1"/>
  <c r="D1249" i="1"/>
  <c r="M1192" i="1"/>
  <c r="M1203" i="1" a="1"/>
  <c r="M1203" i="1" s="1"/>
  <c r="M1194" i="1" a="1"/>
  <c r="M1194" i="1" s="1"/>
  <c r="M1225" i="1"/>
  <c r="M1224" i="1"/>
  <c r="M1223" i="1" a="1"/>
  <c r="M1223" i="1" s="1"/>
  <c r="M1214" i="1" a="1"/>
  <c r="M1214" i="1" s="1"/>
  <c r="M1212" i="1"/>
  <c r="M1216" i="1"/>
  <c r="M1219" i="1"/>
  <c r="B1249" i="1" l="1"/>
  <c r="M1250" i="1"/>
  <c r="D1269" i="1"/>
  <c r="M1244" i="1"/>
  <c r="M1245" i="1"/>
  <c r="M1236" i="1"/>
  <c r="M1239" i="1"/>
  <c r="C1229" i="1"/>
  <c r="M1270" i="1" l="1"/>
  <c r="B1269" i="1"/>
  <c r="C1269" i="1" s="1"/>
  <c r="D1289" i="1"/>
  <c r="M1265" i="1"/>
  <c r="M1264" i="1"/>
  <c r="M1259" i="1"/>
  <c r="M1256" i="1"/>
  <c r="M1232" i="1"/>
  <c r="M1234" i="1" a="1"/>
  <c r="M1234" i="1" s="1"/>
  <c r="M1243" i="1" a="1"/>
  <c r="M1243" i="1" s="1"/>
  <c r="C1249" i="1"/>
  <c r="M1283" i="1" l="1" a="1"/>
  <c r="M1283" i="1" s="1"/>
  <c r="M1274" i="1" a="1"/>
  <c r="M1274" i="1" s="1"/>
  <c r="M1272" i="1"/>
  <c r="M1252" i="1"/>
  <c r="M1263" i="1" a="1"/>
  <c r="M1263" i="1" s="1"/>
  <c r="M1254" i="1" a="1"/>
  <c r="M1254" i="1" s="1"/>
  <c r="B1289" i="1"/>
  <c r="M1290" i="1"/>
  <c r="D1309" i="1"/>
  <c r="M1276" i="1"/>
  <c r="M1279" i="1"/>
  <c r="M1285" i="1"/>
  <c r="M1284" i="1"/>
  <c r="B1309" i="1" l="1"/>
  <c r="M1310" i="1"/>
  <c r="D1329" i="1"/>
  <c r="M1304" i="1"/>
  <c r="M1305" i="1"/>
  <c r="M1296" i="1"/>
  <c r="M1299" i="1"/>
  <c r="C1289" i="1"/>
  <c r="M1292" i="1" l="1"/>
  <c r="M1294" i="1" a="1"/>
  <c r="M1294" i="1" s="1"/>
  <c r="M1303" i="1" a="1"/>
  <c r="M1303" i="1" s="1"/>
  <c r="M1325" i="1"/>
  <c r="M1324" i="1"/>
  <c r="M1319" i="1"/>
  <c r="M1316" i="1"/>
  <c r="M1330" i="1"/>
  <c r="B1329" i="1"/>
  <c r="C1329" i="1" s="1"/>
  <c r="D1349" i="1"/>
  <c r="C1309" i="1"/>
  <c r="M1343" i="1" l="1" a="1"/>
  <c r="M1343" i="1" s="1"/>
  <c r="M1334" i="1" a="1"/>
  <c r="M1334" i="1" s="1"/>
  <c r="M1332" i="1"/>
  <c r="B1349" i="1"/>
  <c r="M1350" i="1"/>
  <c r="D1369" i="1"/>
  <c r="M1312" i="1"/>
  <c r="M1323" i="1" a="1"/>
  <c r="M1323" i="1" s="1"/>
  <c r="M1314" i="1" a="1"/>
  <c r="M1314" i="1" s="1"/>
  <c r="M1336" i="1"/>
  <c r="M1339" i="1"/>
  <c r="M1345" i="1"/>
  <c r="M1344" i="1"/>
  <c r="M1356" i="1" l="1"/>
  <c r="M1359" i="1"/>
  <c r="C1349" i="1"/>
  <c r="M1364" i="1"/>
  <c r="M1365" i="1"/>
  <c r="C1369" i="1"/>
  <c r="B1369" i="1"/>
  <c r="M1370" i="1"/>
  <c r="D1389" i="1"/>
  <c r="M1372" i="1" l="1"/>
  <c r="M1383" i="1" a="1"/>
  <c r="M1383" i="1" s="1"/>
  <c r="M1374" i="1" a="1"/>
  <c r="M1374" i="1" s="1"/>
  <c r="M1390" i="1"/>
  <c r="B1389" i="1"/>
  <c r="C1389" i="1"/>
  <c r="D1409" i="1"/>
  <c r="M1352" i="1"/>
  <c r="M1354" i="1" a="1"/>
  <c r="M1354" i="1" s="1"/>
  <c r="M1363" i="1" a="1"/>
  <c r="M1363" i="1" s="1"/>
  <c r="M1385" i="1"/>
  <c r="M1384" i="1"/>
  <c r="M1379" i="1"/>
  <c r="M1376" i="1"/>
  <c r="M1403" i="1" l="1" a="1"/>
  <c r="M1403" i="1" s="1"/>
  <c r="M1394" i="1" a="1"/>
  <c r="M1394" i="1" s="1"/>
  <c r="M1392" i="1"/>
  <c r="M1396" i="1"/>
  <c r="M1399" i="1"/>
  <c r="M1405" i="1"/>
  <c r="M1404" i="1"/>
  <c r="B1409" i="1"/>
  <c r="M1410" i="1"/>
  <c r="D1429" i="1"/>
  <c r="B1429" i="1" l="1"/>
  <c r="M1430" i="1"/>
  <c r="M1416" i="1"/>
  <c r="M1419" i="1"/>
  <c r="M1424" i="1"/>
  <c r="M1425" i="1"/>
  <c r="C1409" i="1"/>
  <c r="M1439" i="1" l="1"/>
  <c r="M1436" i="1"/>
  <c r="M1445" i="1"/>
  <c r="M1444" i="1"/>
  <c r="M1412" i="1"/>
  <c r="M1414" i="1" a="1"/>
  <c r="M1414" i="1" s="1"/>
  <c r="M1423" i="1" a="1"/>
  <c r="M1423" i="1" s="1"/>
  <c r="C1429" i="1"/>
  <c r="M1432" i="1" l="1"/>
  <c r="M1443" i="1" a="1"/>
  <c r="M1443" i="1" s="1"/>
  <c r="M1434" i="1" a="1"/>
  <c r="M14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<sst xmlns="http://schemas.openxmlformats.org/spreadsheetml/2006/main" count="2884" uniqueCount="259">
  <si>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</si>
  <si>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</si>
  <si>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</si>
  <si>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</si>
  <si>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</si>
  <si>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</si>
  <si>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</si>
  <si>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</si>
  <si>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</si>
  <si>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</si>
  <si>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</si>
  <si>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</si>
  <si>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</si>
  <si>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</si>
  <si>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</si>
  <si>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</si>
  <si>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</si>
  <si>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</si>
  <si>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</si>
  <si>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</si>
  <si>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</si>
  <si>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</si>
  <si>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</si>
  <si>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</si>
  <si>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</si>
  <si>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</si>
  <si>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</si>
  <si>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</si>
  <si>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</si>
  <si>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</si>
  <si>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</si>
  <si>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</si>
  <si>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</si>
  <si>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</si>
  <si>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</si>
  <si>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</si>
  <si>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</si>
  <si>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</si>
  <si>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</si>
  <si>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</si>
  <si>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</si>
  <si>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</si>
  <si>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</si>
  <si>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</si>
  <si>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</si>
  <si>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</si>
  <si>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</si>
  <si>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</si>
  <si>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</si>
  <si>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</si>
  <si>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</si>
  <si>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</si>
  <si>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</si>
  <si>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</si>
  <si>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</si>
  <si>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</si>
  <si>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</si>
  <si>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</si>
  <si>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</si>
  <si>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</si>
  <si>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</si>
  <si>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</si>
  <si>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</si>
  <si>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</si>
  <si>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</si>
  <si>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</si>
  <si>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</si>
  <si>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</si>
  <si>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</si>
  <si>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</si>
  <si>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</si>
  <si>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</si>
  <si>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</si>
  <si>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</si>
  <si>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</si>
  <si>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</si>
  <si>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</si>
  <si>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</si>
  <si>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</si>
  <si>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</si>
  <si>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</si>
  <si>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</si>
  <si>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</si>
  <si>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</si>
  <si>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</si>
  <si>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</si>
  <si>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</si>
  <si>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</si>
  <si>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</si>
  <si>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</si>
  <si>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</si>
  <si>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</si>
  <si>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</si>
  <si>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</si>
  <si>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</si>
  <si>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</si>
  <si>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</si>
  <si>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</si>
  <si>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</si>
  <si>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</si>
  <si>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</si>
  <si>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</si>
  <si>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</si>
  <si>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</si>
  <si>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</si>
  <si>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</si>
  <si>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</si>
  <si>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</si>
  <si>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</si>
  <si>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</si>
  <si>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</si>
  <si>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</si>
  <si>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</si>
  <si>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</si>
  <si>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</si>
  <si>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</si>
  <si>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</si>
  <si>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</si>
  <si>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</si>
  <si>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</si>
  <si>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</si>
  <si>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</si>
  <si>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</si>
  <si>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</si>
  <si>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</si>
  <si>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</si>
  <si>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</si>
  <si>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</si>
  <si>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</si>
  <si>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</si>
  <si>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</si>
  <si>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</si>
  <si>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</si>
  <si>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</si>
  <si>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</si>
  <si>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</si>
  <si>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</si>
  <si>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</si>
  <si>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</si>
  <si>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</si>
  <si>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</si>
  <si>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</si>
  <si>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</si>
  <si>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</si>
  <si>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</si>
  <si>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</si>
  <si>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</si>
  <si>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</si>
  <si>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</si>
  <si>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</si>
  <si>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</si>
  <si>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</si>
  <si>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</si>
  <si>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</si>
  <si>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</si>
  <si>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</si>
  <si>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</si>
  <si>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</si>
  <si>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</si>
  <si>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</si>
  <si>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</si>
  <si>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</si>
  <si>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</si>
  <si>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</si>
  <si>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</si>
  <si>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</si>
  <si>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</si>
  <si>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</si>
  <si>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</si>
  <si>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</si>
  <si>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</si>
  <si>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</si>
  <si>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</si>
  <si>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</si>
  <si>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</si>
  <si>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</si>
  <si>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</si>
  <si>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</si>
  <si>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</si>
  <si>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</si>
  <si>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</si>
  <si>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</si>
  <si>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</si>
  <si>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</si>
  <si>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</si>
  <si>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</si>
  <si>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</si>
  <si>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</si>
  <si>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</si>
  <si>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</si>
  <si>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</si>
  <si>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</si>
  <si>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</si>
  <si>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</si>
  <si>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</si>
  <si>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</si>
  <si>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</si>
  <si>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</si>
  <si>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</si>
  <si>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</si>
  <si>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</si>
  <si>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</si>
  <si>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</si>
  <si>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</si>
  <si>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</si>
  <si>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</si>
  <si>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</si>
  <si>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</si>
  <si>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</si>
  <si>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</si>
  <si>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</si>
  <si>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</si>
  <si>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</si>
  <si>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</si>
  <si>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</si>
  <si>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</si>
  <si>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</si>
  <si>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</si>
  <si>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</si>
  <si>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</si>
  <si>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</si>
  <si>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</si>
  <si>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</si>
  <si>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</si>
  <si>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</si>
  <si>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</si>
  <si>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</si>
  <si>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</si>
  <si>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</si>
  <si>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</si>
  <si>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</si>
  <si>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</si>
  <si>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</si>
  <si>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</si>
  <si>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</si>
  <si>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</si>
  <si>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</si>
  <si>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</si>
  <si>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</si>
  <si>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</si>
  <si>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</si>
  <si>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</si>
  <si>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</si>
  <si>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</si>
  <si>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</si>
  <si>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</si>
  <si>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</si>
  <si>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20000</t>
    <phoneticPr fontId="2" type="noConversion"/>
  </si>
  <si>
    <t>EnemyShot2</t>
    <phoneticPr fontId="2" type="noConversion"/>
  </si>
  <si>
    <t>Shot2_purple</t>
    <phoneticPr fontId="2" type="noConversion"/>
  </si>
  <si>
    <t>20000</t>
  </si>
  <si>
    <t>EnemyShot2</t>
  </si>
  <si>
    <t>0.3,0</t>
  </si>
  <si>
    <t>0.3,0</t>
    <phoneticPr fontId="2" type="noConversion"/>
  </si>
  <si>
    <t>-0.3,0</t>
  </si>
  <si>
    <t>-0.3,0</t>
    <phoneticPr fontId="2" type="noConversion"/>
  </si>
  <si>
    <t>Shot2_purple</t>
  </si>
  <si>
    <t>215</t>
  </si>
  <si>
    <t>215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</si>
</sst>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448"/>
  <sheetViews>
    <sheetView tabSelected="1" zoomScale="115" zoomScaleNormal="115" workbookViewId="0">
      <pane ySplit="1" topLeftCell="A5" activePane="bottomLeft" state="frozen"/>
      <selection pane="bottomLeft" activeCell="M12" sqref="M1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72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17" si="2">ROW(E10)</f>
        <v>10</v>
      </c>
      <c r="F10" s="9" t="s">
        <v>93</v>
      </c>
      <c r="G10" s="21">
        <v>36</v>
      </c>
      <c r="H10" s="21">
        <v>2</v>
      </c>
      <c r="J10" s="9" t="s">
        <v>247</v>
      </c>
      <c r="M10" s="21">
        <f t="shared" ref="M10" si="3">J10+D9</f>
        <v>20001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199109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G12" s="21">
        <v>5</v>
      </c>
      <c r="M12" s="21">
        <f>G12*C9</f>
        <v>5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248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118</v>
      </c>
      <c r="G14" s="21" t="s">
        <v>249</v>
      </c>
      <c r="H14" s="21" t="s">
        <v>249</v>
      </c>
      <c r="I14" s="21" t="s">
        <v>249</v>
      </c>
      <c r="J14" s="21" t="s">
        <v>249</v>
      </c>
      <c r="M14" s="21" t="str" cm="1">
        <f t="array" ref="M14">_xlfn.SWITCH(MOD(C9,4),1,G14,2,H14,3,J14,0,I14)</f>
        <v>Shot2_purple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/>
      <c r="H15" s="9"/>
      <c r="I15" s="9"/>
      <c r="K15" s="9" t="s">
        <v>137</v>
      </c>
      <c r="M15" s="21">
        <v>2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175</v>
      </c>
      <c r="G16" s="9" t="s">
        <v>253</v>
      </c>
      <c r="H16" s="9" t="s">
        <v>255</v>
      </c>
      <c r="I16" s="9"/>
      <c r="K16" s="9" t="s">
        <v>136</v>
      </c>
      <c r="M16" s="21" t="str">
        <f>IF(MOD(B9,2)=1,G16,H16)</f>
        <v>0.3,0</v>
      </c>
      <c r="R16" s="12"/>
      <c r="S16" s="9"/>
      <c r="U16" s="12"/>
      <c r="X16" s="15"/>
      <c r="AE16" s="16"/>
      <c r="BH16" s="9"/>
    </row>
    <row r="17" spans="1:60">
      <c r="E17" s="21">
        <f t="shared" si="2"/>
        <v>17</v>
      </c>
      <c r="F17" s="9" t="s">
        <v>117</v>
      </c>
      <c r="M17" s="21" t="b">
        <v>1</v>
      </c>
      <c r="R17" s="12"/>
      <c r="S17" s="9"/>
      <c r="U17" s="12"/>
      <c r="X17" s="15"/>
      <c r="AE17" s="16"/>
      <c r="BH17" s="9"/>
    </row>
    <row r="18" spans="1:60">
      <c r="E18" s="21">
        <f t="shared" ref="E18:E23" si="4">ROW(E18)</f>
        <v>18</v>
      </c>
      <c r="F18" s="9" t="s">
        <v>31</v>
      </c>
      <c r="L18" s="9" t="s">
        <v>134</v>
      </c>
      <c r="M18" s="21">
        <v>270</v>
      </c>
      <c r="R18" s="12"/>
      <c r="S18" s="9"/>
      <c r="U18" s="12"/>
      <c r="X18" s="15"/>
      <c r="AE18" s="16"/>
      <c r="BH18" s="9"/>
    </row>
    <row r="19" spans="1:60">
      <c r="E19" s="21">
        <f t="shared" si="4"/>
        <v>19</v>
      </c>
      <c r="F19" s="9" t="s">
        <v>111</v>
      </c>
      <c r="G19" s="21">
        <v>120</v>
      </c>
      <c r="H19" s="21">
        <v>-120</v>
      </c>
      <c r="L19" s="9" t="s">
        <v>134</v>
      </c>
      <c r="M19" s="21">
        <f>IF(MOD(B9,2)=1,G19,H19)</f>
        <v>120</v>
      </c>
      <c r="R19" s="12"/>
      <c r="S19" s="9"/>
      <c r="U19" s="12"/>
      <c r="X19" s="15"/>
      <c r="AE19" s="16"/>
      <c r="BH19" s="9"/>
    </row>
    <row r="20" spans="1:60">
      <c r="E20" s="21">
        <f t="shared" si="4"/>
        <v>20</v>
      </c>
      <c r="F20" s="9" t="s">
        <v>114</v>
      </c>
      <c r="M20" s="21" t="b">
        <v>1</v>
      </c>
      <c r="R20" s="12"/>
      <c r="S20" s="9"/>
      <c r="U20" s="12"/>
      <c r="X20" s="15"/>
      <c r="AE20" s="16"/>
      <c r="BH20" s="9"/>
    </row>
    <row r="21" spans="1:60">
      <c r="E21" s="21">
        <f t="shared" si="4"/>
        <v>21</v>
      </c>
      <c r="F21" s="9" t="s">
        <v>30</v>
      </c>
      <c r="M21" s="21">
        <v>3</v>
      </c>
      <c r="R21" s="12"/>
      <c r="S21" s="9"/>
      <c r="U21" s="12"/>
      <c r="X21" s="15"/>
      <c r="AE21" s="16"/>
      <c r="BH21" s="9"/>
    </row>
    <row r="22" spans="1:60">
      <c r="E22" s="21">
        <f t="shared" si="4"/>
        <v>22</v>
      </c>
      <c r="F22" s="9" t="s">
        <v>196</v>
      </c>
      <c r="M22" s="21">
        <v>0</v>
      </c>
      <c r="R22" s="12"/>
      <c r="S22" s="9"/>
      <c r="U22" s="12"/>
      <c r="X22" s="15"/>
      <c r="AE22" s="16"/>
      <c r="BH22" s="9"/>
    </row>
    <row r="23" spans="1:60">
      <c r="E23" s="21">
        <f t="shared" si="4"/>
        <v>23</v>
      </c>
      <c r="F23" s="9" t="s">
        <v>35</v>
      </c>
      <c r="G23" s="21">
        <v>185</v>
      </c>
      <c r="H23" s="21">
        <v>195</v>
      </c>
      <c r="I23" s="21">
        <v>205</v>
      </c>
      <c r="J23" s="9" t="s">
        <v>258</v>
      </c>
      <c r="M23" s="21" cm="1">
        <f t="array" ref="M23">_xlfn.SWITCH(MOD(C9,4),1,G23,2,H23,3,J23,0,I23)</f>
        <v>185</v>
      </c>
      <c r="R23" s="12"/>
      <c r="S23" s="9"/>
      <c r="U23" s="12"/>
      <c r="X23" s="15"/>
      <c r="AE23" s="16"/>
      <c r="BH23" s="9"/>
    </row>
    <row r="24" spans="1:60">
      <c r="E24" s="21">
        <f t="shared" ref="E24:E26" si="5">ROW(E24)</f>
        <v>24</v>
      </c>
      <c r="F24" s="9" t="s">
        <v>101</v>
      </c>
      <c r="M24" s="21">
        <f>M10*10+1</f>
        <v>200011</v>
      </c>
      <c r="R24" s="12"/>
      <c r="S24" s="9"/>
      <c r="U24" s="12"/>
      <c r="X24" s="15"/>
      <c r="AE24" s="16"/>
      <c r="BH24" s="9"/>
    </row>
    <row r="25" spans="1:60">
      <c r="E25" s="21">
        <f t="shared" si="5"/>
        <v>25</v>
      </c>
      <c r="F25" s="9" t="s">
        <v>142</v>
      </c>
      <c r="M25" s="21">
        <f>M10</f>
        <v>20001</v>
      </c>
      <c r="R25" s="12"/>
      <c r="S25" s="9"/>
      <c r="U25" s="12"/>
      <c r="X25" s="15"/>
      <c r="AE25" s="16"/>
      <c r="BH25" s="9"/>
    </row>
    <row r="26" spans="1:60">
      <c r="E26" s="21">
        <f t="shared" si="5"/>
        <v>26</v>
      </c>
      <c r="F26" s="9" t="s">
        <v>127</v>
      </c>
      <c r="J26" s="21"/>
      <c r="M26" s="21">
        <v>0</v>
      </c>
      <c r="R26" s="12"/>
      <c r="S26" s="9"/>
      <c r="U26" s="12"/>
      <c r="X26" s="15"/>
      <c r="AE26" s="16"/>
      <c r="BH26" s="9"/>
    </row>
    <row r="27" spans="1:60">
      <c r="E27" s="21">
        <f>ROW(E27)</f>
        <v>27</v>
      </c>
      <c r="F27" s="9" t="s">
        <v>111</v>
      </c>
      <c r="L27" s="9" t="s">
        <v>134</v>
      </c>
      <c r="M27" s="21">
        <v>0</v>
      </c>
      <c r="R27" s="12"/>
      <c r="S27" s="9"/>
      <c r="U27" s="12"/>
      <c r="X27" s="15"/>
      <c r="AE27" s="16"/>
      <c r="BH27" s="9"/>
    </row>
    <row r="28" spans="1:60">
      <c r="E28" s="21">
        <f>ROW(E28)</f>
        <v>28</v>
      </c>
      <c r="F28" s="9" t="s">
        <v>115</v>
      </c>
      <c r="M28" s="26">
        <v>1.5</v>
      </c>
      <c r="R28" s="12"/>
      <c r="S28" s="9"/>
      <c r="U28" s="12"/>
      <c r="X28" s="15"/>
      <c r="AE28" s="16"/>
      <c r="BH28" s="9"/>
    </row>
    <row r="29" spans="1:60">
      <c r="A29" s="21" t="s">
        <v>227</v>
      </c>
      <c r="B29" s="21">
        <f t="shared" ref="B29" si="6">QUOTIENT( D29-1,G30)+1</f>
        <v>1</v>
      </c>
      <c r="C29" s="21">
        <f t="shared" ref="C29" si="7">D29-(B29-1)*G30</f>
        <v>2</v>
      </c>
      <c r="D29" s="21">
        <f>COUNT($D$8:$D28)+1</f>
        <v>2</v>
      </c>
    </row>
    <row r="30" spans="1:60">
      <c r="E30" s="21">
        <f t="shared" ref="E30:E48" si="8">ROW(E30)</f>
        <v>30</v>
      </c>
      <c r="F30" s="9" t="s">
        <v>93</v>
      </c>
      <c r="G30" s="21">
        <v>36</v>
      </c>
      <c r="H30" s="21">
        <v>2</v>
      </c>
      <c r="J30" s="9" t="s">
        <v>250</v>
      </c>
      <c r="M30" s="21">
        <f t="shared" ref="M30" si="9">J30+D29</f>
        <v>20002</v>
      </c>
    </row>
    <row r="31" spans="1:60">
      <c r="E31" s="21">
        <f t="shared" si="8"/>
        <v>31</v>
      </c>
      <c r="F31" s="9" t="s">
        <v>142</v>
      </c>
      <c r="M31" s="21">
        <v>199109</v>
      </c>
    </row>
    <row r="32" spans="1:60">
      <c r="E32" s="21">
        <f t="shared" si="8"/>
        <v>32</v>
      </c>
      <c r="F32" s="9" t="s">
        <v>126</v>
      </c>
      <c r="G32" s="21">
        <v>5</v>
      </c>
      <c r="M32" s="21">
        <f t="shared" ref="M32" si="10">G32*C29</f>
        <v>10</v>
      </c>
    </row>
    <row r="33" spans="5:13">
      <c r="E33" s="21">
        <f t="shared" si="8"/>
        <v>33</v>
      </c>
      <c r="F33" s="9" t="s">
        <v>29</v>
      </c>
      <c r="M33" s="21" t="s">
        <v>251</v>
      </c>
    </row>
    <row r="34" spans="5:13">
      <c r="E34" s="21">
        <f t="shared" si="8"/>
        <v>34</v>
      </c>
      <c r="F34" s="9" t="s">
        <v>118</v>
      </c>
      <c r="G34" s="21" t="s">
        <v>256</v>
      </c>
      <c r="H34" s="21" t="s">
        <v>256</v>
      </c>
      <c r="I34" s="21" t="s">
        <v>256</v>
      </c>
      <c r="J34" s="9" t="s">
        <v>256</v>
      </c>
      <c r="M34" s="21" t="str" cm="1">
        <f t="array" ref="M34">_xlfn.SWITCH(MOD(C29,4),1,G34,2,H34,3,J34,0,I34)</f>
        <v>Shot2_purple</v>
      </c>
    </row>
    <row r="35" spans="5:13">
      <c r="E35" s="21">
        <f t="shared" si="8"/>
        <v>35</v>
      </c>
      <c r="F35" s="9" t="s">
        <v>98</v>
      </c>
      <c r="K35" s="9" t="s">
        <v>137</v>
      </c>
      <c r="M35" s="21">
        <v>2</v>
      </c>
    </row>
    <row r="36" spans="5:13">
      <c r="E36" s="21">
        <f t="shared" si="8"/>
        <v>36</v>
      </c>
      <c r="F36" s="9" t="s">
        <v>175</v>
      </c>
      <c r="G36" s="21" t="s">
        <v>252</v>
      </c>
      <c r="H36" s="21" t="s">
        <v>254</v>
      </c>
      <c r="K36" s="9" t="s">
        <v>136</v>
      </c>
      <c r="M36" s="21" t="str">
        <f t="shared" ref="M36" si="11">IF(MOD(B29,2)=1,G36,H36)</f>
        <v>0.3,0</v>
      </c>
    </row>
    <row r="37" spans="5:13">
      <c r="E37" s="21">
        <f t="shared" si="8"/>
        <v>37</v>
      </c>
      <c r="F37" s="9" t="s">
        <v>117</v>
      </c>
      <c r="M37" s="21" t="b">
        <v>1</v>
      </c>
    </row>
    <row r="38" spans="5:13">
      <c r="E38" s="21">
        <f t="shared" si="8"/>
        <v>38</v>
      </c>
      <c r="F38" s="9" t="s">
        <v>31</v>
      </c>
      <c r="L38" s="9" t="s">
        <v>134</v>
      </c>
      <c r="M38" s="21">
        <v>270</v>
      </c>
    </row>
    <row r="39" spans="5:13">
      <c r="E39" s="21">
        <f t="shared" si="8"/>
        <v>39</v>
      </c>
      <c r="F39" s="9" t="s">
        <v>111</v>
      </c>
      <c r="G39" s="21">
        <v>120</v>
      </c>
      <c r="H39" s="21">
        <v>-120</v>
      </c>
      <c r="L39" s="9" t="s">
        <v>134</v>
      </c>
      <c r="M39" s="21">
        <f t="shared" ref="M39" si="12">IF(MOD(B29,2)=1,G39,H39)</f>
        <v>120</v>
      </c>
    </row>
    <row r="40" spans="5:13">
      <c r="E40" s="21">
        <f t="shared" si="8"/>
        <v>40</v>
      </c>
      <c r="F40" s="9" t="s">
        <v>114</v>
      </c>
      <c r="M40" s="21" t="b">
        <v>1</v>
      </c>
    </row>
    <row r="41" spans="5:13">
      <c r="E41" s="21">
        <f t="shared" si="8"/>
        <v>41</v>
      </c>
      <c r="F41" s="9" t="s">
        <v>30</v>
      </c>
      <c r="M41" s="21">
        <v>3</v>
      </c>
    </row>
    <row r="42" spans="5:13">
      <c r="E42" s="21">
        <f t="shared" si="8"/>
        <v>42</v>
      </c>
      <c r="F42" s="9" t="s">
        <v>196</v>
      </c>
      <c r="M42" s="21">
        <v>0</v>
      </c>
    </row>
    <row r="43" spans="5:13">
      <c r="E43" s="21">
        <f t="shared" si="8"/>
        <v>43</v>
      </c>
      <c r="F43" s="9" t="s">
        <v>35</v>
      </c>
      <c r="G43" s="21">
        <v>185</v>
      </c>
      <c r="H43" s="21">
        <v>195</v>
      </c>
      <c r="I43" s="21">
        <v>205</v>
      </c>
      <c r="J43" s="9" t="s">
        <v>257</v>
      </c>
      <c r="M43" s="21" cm="1">
        <f t="array" ref="M43">_xlfn.SWITCH(MOD(C29,4),1,G43,2,H43,3,J43,0,I43)</f>
        <v>195</v>
      </c>
    </row>
    <row r="44" spans="5:13">
      <c r="E44" s="21">
        <f t="shared" si="8"/>
        <v>44</v>
      </c>
      <c r="F44" s="9" t="s">
        <v>101</v>
      </c>
      <c r="M44" s="21">
        <f t="shared" ref="M44" si="13">M30*10+1</f>
        <v>200021</v>
      </c>
    </row>
    <row r="45" spans="5:13">
      <c r="E45" s="21">
        <f t="shared" si="8"/>
        <v>45</v>
      </c>
      <c r="F45" s="9" t="s">
        <v>142</v>
      </c>
      <c r="M45" s="21">
        <f t="shared" ref="M45" si="14">M30</f>
        <v>20002</v>
      </c>
    </row>
    <row r="46" spans="5:13">
      <c r="E46" s="21">
        <f t="shared" si="8"/>
        <v>46</v>
      </c>
      <c r="F46" s="9" t="s">
        <v>127</v>
      </c>
      <c r="M46" s="21">
        <v>0</v>
      </c>
    </row>
    <row r="47" spans="5:13">
      <c r="E47" s="21">
        <f t="shared" si="8"/>
        <v>47</v>
      </c>
      <c r="F47" s="9" t="s">
        <v>111</v>
      </c>
      <c r="L47" s="9" t="s">
        <v>134</v>
      </c>
      <c r="M47" s="21">
        <v>0</v>
      </c>
    </row>
    <row r="48" spans="5:13">
      <c r="E48" s="21">
        <f t="shared" si="8"/>
        <v>48</v>
      </c>
      <c r="F48" s="9" t="s">
        <v>115</v>
      </c>
      <c r="M48" s="21">
        <v>1.5</v>
      </c>
    </row>
    <row r="49" spans="1:13">
      <c r="A49" s="21" t="s">
        <v>227</v>
      </c>
      <c r="B49" s="21">
        <f t="shared" ref="B49" si="15">QUOTIENT( D49-1,G50)+1</f>
        <v>1</v>
      </c>
      <c r="C49" s="21">
        <f t="shared" ref="C49" si="16">D49-(B49-1)*G50</f>
        <v>3</v>
      </c>
      <c r="D49" s="21">
        <f>COUNT($D$8:$D48)+1</f>
        <v>3</v>
      </c>
    </row>
    <row r="50" spans="1:13">
      <c r="E50" s="21">
        <f t="shared" ref="E50:E68" si="17">ROW(E50)</f>
        <v>50</v>
      </c>
      <c r="F50" s="9" t="s">
        <v>93</v>
      </c>
      <c r="G50" s="21">
        <v>36</v>
      </c>
      <c r="H50" s="21">
        <v>2</v>
      </c>
      <c r="J50" s="9" t="s">
        <v>250</v>
      </c>
      <c r="M50" s="21">
        <f t="shared" ref="M50" si="18">J50+D49</f>
        <v>20003</v>
      </c>
    </row>
    <row r="51" spans="1:13">
      <c r="E51" s="21">
        <f t="shared" si="17"/>
        <v>51</v>
      </c>
      <c r="F51" s="9" t="s">
        <v>142</v>
      </c>
      <c r="M51" s="21">
        <v>199109</v>
      </c>
    </row>
    <row r="52" spans="1:13">
      <c r="E52" s="21">
        <f t="shared" si="17"/>
        <v>52</v>
      </c>
      <c r="F52" s="9" t="s">
        <v>126</v>
      </c>
      <c r="G52" s="21">
        <v>5</v>
      </c>
      <c r="M52" s="21">
        <f t="shared" ref="M52" si="19">G52*C49</f>
        <v>15</v>
      </c>
    </row>
    <row r="53" spans="1:13">
      <c r="E53" s="21">
        <f t="shared" si="17"/>
        <v>53</v>
      </c>
      <c r="F53" s="9" t="s">
        <v>29</v>
      </c>
      <c r="M53" s="21" t="s">
        <v>251</v>
      </c>
    </row>
    <row r="54" spans="1:13">
      <c r="E54" s="21">
        <f t="shared" si="17"/>
        <v>54</v>
      </c>
      <c r="F54" s="9" t="s">
        <v>118</v>
      </c>
      <c r="G54" s="21" t="s">
        <v>256</v>
      </c>
      <c r="H54" s="21" t="s">
        <v>256</v>
      </c>
      <c r="I54" s="21" t="s">
        <v>256</v>
      </c>
      <c r="J54" s="9" t="s">
        <v>256</v>
      </c>
      <c r="M54" s="21" t="str" cm="1">
        <f t="array" ref="M54">_xlfn.SWITCH(MOD(C49,4),1,G54,2,H54,3,J54,0,I54)</f>
        <v>Shot2_purple</v>
      </c>
    </row>
    <row r="55" spans="1:13">
      <c r="E55" s="21">
        <f t="shared" si="17"/>
        <v>55</v>
      </c>
      <c r="F55" s="9" t="s">
        <v>98</v>
      </c>
      <c r="K55" s="9" t="s">
        <v>137</v>
      </c>
      <c r="M55" s="21">
        <v>2</v>
      </c>
    </row>
    <row r="56" spans="1:13">
      <c r="E56" s="21">
        <f t="shared" si="17"/>
        <v>56</v>
      </c>
      <c r="F56" s="9" t="s">
        <v>175</v>
      </c>
      <c r="G56" s="21" t="s">
        <v>252</v>
      </c>
      <c r="H56" s="21" t="s">
        <v>254</v>
      </c>
      <c r="K56" s="9" t="s">
        <v>136</v>
      </c>
      <c r="M56" s="21" t="str">
        <f t="shared" ref="M56" si="20">IF(MOD(B49,2)=1,G56,H56)</f>
        <v>0.3,0</v>
      </c>
    </row>
    <row r="57" spans="1:13">
      <c r="E57" s="21">
        <f t="shared" si="17"/>
        <v>57</v>
      </c>
      <c r="F57" s="9" t="s">
        <v>117</v>
      </c>
      <c r="M57" s="21" t="b">
        <v>1</v>
      </c>
    </row>
    <row r="58" spans="1:13">
      <c r="E58" s="21">
        <f t="shared" si="17"/>
        <v>58</v>
      </c>
      <c r="F58" s="9" t="s">
        <v>31</v>
      </c>
      <c r="L58" s="9" t="s">
        <v>134</v>
      </c>
      <c r="M58" s="21">
        <v>270</v>
      </c>
    </row>
    <row r="59" spans="1:13">
      <c r="E59" s="21">
        <f t="shared" si="17"/>
        <v>59</v>
      </c>
      <c r="F59" s="9" t="s">
        <v>111</v>
      </c>
      <c r="G59" s="21">
        <v>120</v>
      </c>
      <c r="H59" s="21">
        <v>-120</v>
      </c>
      <c r="L59" s="9" t="s">
        <v>134</v>
      </c>
      <c r="M59" s="21">
        <f t="shared" ref="M59" si="21">IF(MOD(B49,2)=1,G59,H59)</f>
        <v>120</v>
      </c>
    </row>
    <row r="60" spans="1:13">
      <c r="E60" s="21">
        <f t="shared" si="17"/>
        <v>60</v>
      </c>
      <c r="F60" s="9" t="s">
        <v>114</v>
      </c>
      <c r="M60" s="21" t="b">
        <v>1</v>
      </c>
    </row>
    <row r="61" spans="1:13">
      <c r="E61" s="21">
        <f t="shared" si="17"/>
        <v>61</v>
      </c>
      <c r="F61" s="9" t="s">
        <v>30</v>
      </c>
      <c r="M61" s="21">
        <v>3</v>
      </c>
    </row>
    <row r="62" spans="1:13">
      <c r="E62" s="21">
        <f t="shared" si="17"/>
        <v>62</v>
      </c>
      <c r="F62" s="9" t="s">
        <v>196</v>
      </c>
      <c r="M62" s="21">
        <v>0</v>
      </c>
    </row>
    <row r="63" spans="1:13">
      <c r="E63" s="21">
        <f t="shared" si="17"/>
        <v>63</v>
      </c>
      <c r="F63" s="9" t="s">
        <v>35</v>
      </c>
      <c r="G63" s="21">
        <v>185</v>
      </c>
      <c r="H63" s="21">
        <v>195</v>
      </c>
      <c r="I63" s="21">
        <v>205</v>
      </c>
      <c r="J63" s="9" t="s">
        <v>257</v>
      </c>
      <c r="M63" s="21" t="str" cm="1">
        <f t="array" ref="M63">_xlfn.SWITCH(MOD(C49,4),1,G63,2,H63,3,J63,0,I63)</f>
        <v>215</v>
      </c>
    </row>
    <row r="64" spans="1:13">
      <c r="E64" s="21">
        <f t="shared" si="17"/>
        <v>64</v>
      </c>
      <c r="F64" s="9" t="s">
        <v>101</v>
      </c>
      <c r="M64" s="21">
        <f t="shared" ref="M64" si="22">M50*10+1</f>
        <v>200031</v>
      </c>
    </row>
    <row r="65" spans="1:13">
      <c r="E65" s="21">
        <f t="shared" si="17"/>
        <v>65</v>
      </c>
      <c r="F65" s="9" t="s">
        <v>142</v>
      </c>
      <c r="M65" s="21">
        <f t="shared" ref="M65" si="23">M50</f>
        <v>20003</v>
      </c>
    </row>
    <row r="66" spans="1:13">
      <c r="E66" s="21">
        <f t="shared" si="17"/>
        <v>66</v>
      </c>
      <c r="F66" s="9" t="s">
        <v>127</v>
      </c>
      <c r="M66" s="21">
        <v>0</v>
      </c>
    </row>
    <row r="67" spans="1:13">
      <c r="E67" s="21">
        <f t="shared" si="17"/>
        <v>67</v>
      </c>
      <c r="F67" s="9" t="s">
        <v>111</v>
      </c>
      <c r="L67" s="9" t="s">
        <v>134</v>
      </c>
      <c r="M67" s="21">
        <v>0</v>
      </c>
    </row>
    <row r="68" spans="1:13">
      <c r="E68" s="21">
        <f t="shared" si="17"/>
        <v>68</v>
      </c>
      <c r="F68" s="9" t="s">
        <v>115</v>
      </c>
      <c r="M68" s="21">
        <v>1.5</v>
      </c>
    </row>
    <row r="69" spans="1:13">
      <c r="A69" s="21" t="s">
        <v>227</v>
      </c>
      <c r="B69" s="21">
        <f t="shared" ref="B69" si="24">QUOTIENT( D69-1,G70)+1</f>
        <v>1</v>
      </c>
      <c r="C69" s="21">
        <f t="shared" ref="C69" si="25">D69-(B69-1)*G70</f>
        <v>4</v>
      </c>
      <c r="D69" s="21">
        <f>COUNT($D$8:$D68)+1</f>
        <v>4</v>
      </c>
    </row>
    <row r="70" spans="1:13">
      <c r="E70" s="21">
        <f t="shared" ref="E70:E88" si="26">ROW(E70)</f>
        <v>70</v>
      </c>
      <c r="F70" s="9" t="s">
        <v>93</v>
      </c>
      <c r="G70" s="21">
        <v>36</v>
      </c>
      <c r="H70" s="21">
        <v>2</v>
      </c>
      <c r="J70" s="9" t="s">
        <v>250</v>
      </c>
      <c r="M70" s="21">
        <f t="shared" ref="M70" si="27">J70+D69</f>
        <v>20004</v>
      </c>
    </row>
    <row r="71" spans="1:13">
      <c r="E71" s="21">
        <f t="shared" si="26"/>
        <v>71</v>
      </c>
      <c r="F71" s="9" t="s">
        <v>142</v>
      </c>
      <c r="M71" s="21">
        <v>199109</v>
      </c>
    </row>
    <row r="72" spans="1:13">
      <c r="E72" s="21">
        <f t="shared" si="26"/>
        <v>72</v>
      </c>
      <c r="F72" s="9" t="s">
        <v>126</v>
      </c>
      <c r="G72" s="21">
        <v>5</v>
      </c>
      <c r="M72" s="21">
        <f t="shared" ref="M72" si="28">G72*C69</f>
        <v>20</v>
      </c>
    </row>
    <row r="73" spans="1:13">
      <c r="E73" s="21">
        <f t="shared" si="26"/>
        <v>73</v>
      </c>
      <c r="F73" s="9" t="s">
        <v>29</v>
      </c>
      <c r="M73" s="21" t="s">
        <v>251</v>
      </c>
    </row>
    <row r="74" spans="1:13">
      <c r="E74" s="21">
        <f t="shared" si="26"/>
        <v>74</v>
      </c>
      <c r="F74" s="9" t="s">
        <v>118</v>
      </c>
      <c r="G74" s="21" t="s">
        <v>256</v>
      </c>
      <c r="H74" s="21" t="s">
        <v>256</v>
      </c>
      <c r="I74" s="21" t="s">
        <v>256</v>
      </c>
      <c r="J74" s="9" t="s">
        <v>256</v>
      </c>
      <c r="M74" s="21" t="str" cm="1">
        <f t="array" ref="M74">_xlfn.SWITCH(MOD(C69,4),1,G74,2,H74,3,J74,0,I74)</f>
        <v>Shot2_purple</v>
      </c>
    </row>
    <row r="75" spans="1:13">
      <c r="E75" s="21">
        <f t="shared" si="26"/>
        <v>75</v>
      </c>
      <c r="F75" s="9" t="s">
        <v>98</v>
      </c>
      <c r="K75" s="9" t="s">
        <v>137</v>
      </c>
      <c r="M75" s="21">
        <v>2</v>
      </c>
    </row>
    <row r="76" spans="1:13">
      <c r="E76" s="21">
        <f t="shared" si="26"/>
        <v>76</v>
      </c>
      <c r="F76" s="9" t="s">
        <v>175</v>
      </c>
      <c r="G76" s="21" t="s">
        <v>252</v>
      </c>
      <c r="H76" s="21" t="s">
        <v>254</v>
      </c>
      <c r="K76" s="9" t="s">
        <v>136</v>
      </c>
      <c r="M76" s="21" t="str">
        <f t="shared" ref="M76" si="29">IF(MOD(B69,2)=1,G76,H76)</f>
        <v>0.3,0</v>
      </c>
    </row>
    <row r="77" spans="1:13">
      <c r="E77" s="21">
        <f t="shared" si="26"/>
        <v>77</v>
      </c>
      <c r="F77" s="9" t="s">
        <v>117</v>
      </c>
      <c r="M77" s="21" t="b">
        <v>1</v>
      </c>
    </row>
    <row r="78" spans="1:13">
      <c r="E78" s="21">
        <f t="shared" si="26"/>
        <v>78</v>
      </c>
      <c r="F78" s="9" t="s">
        <v>31</v>
      </c>
      <c r="L78" s="9" t="s">
        <v>134</v>
      </c>
      <c r="M78" s="21">
        <v>270</v>
      </c>
    </row>
    <row r="79" spans="1:13">
      <c r="E79" s="21">
        <f t="shared" si="26"/>
        <v>79</v>
      </c>
      <c r="F79" s="9" t="s">
        <v>111</v>
      </c>
      <c r="G79" s="21">
        <v>120</v>
      </c>
      <c r="H79" s="21">
        <v>-120</v>
      </c>
      <c r="L79" s="9" t="s">
        <v>134</v>
      </c>
      <c r="M79" s="21">
        <f t="shared" ref="M79" si="30">IF(MOD(B69,2)=1,G79,H79)</f>
        <v>120</v>
      </c>
    </row>
    <row r="80" spans="1:13">
      <c r="E80" s="21">
        <f t="shared" si="26"/>
        <v>80</v>
      </c>
      <c r="F80" s="9" t="s">
        <v>114</v>
      </c>
      <c r="M80" s="21" t="b">
        <v>1</v>
      </c>
    </row>
    <row r="81" spans="1:13">
      <c r="E81" s="21">
        <f t="shared" si="26"/>
        <v>81</v>
      </c>
      <c r="F81" s="9" t="s">
        <v>30</v>
      </c>
      <c r="M81" s="21">
        <v>3</v>
      </c>
    </row>
    <row r="82" spans="1:13">
      <c r="E82" s="21">
        <f t="shared" si="26"/>
        <v>82</v>
      </c>
      <c r="F82" s="9" t="s">
        <v>196</v>
      </c>
      <c r="M82" s="21">
        <v>0</v>
      </c>
    </row>
    <row r="83" spans="1:13">
      <c r="E83" s="21">
        <f t="shared" si="26"/>
        <v>83</v>
      </c>
      <c r="F83" s="9" t="s">
        <v>35</v>
      </c>
      <c r="G83" s="21">
        <v>185</v>
      </c>
      <c r="H83" s="21">
        <v>195</v>
      </c>
      <c r="I83" s="21">
        <v>205</v>
      </c>
      <c r="J83" s="9" t="s">
        <v>257</v>
      </c>
      <c r="M83" s="21" cm="1">
        <f t="array" ref="M83">_xlfn.SWITCH(MOD(C69,4),1,G83,2,H83,3,J83,0,I83)</f>
        <v>205</v>
      </c>
    </row>
    <row r="84" spans="1:13">
      <c r="E84" s="21">
        <f t="shared" si="26"/>
        <v>84</v>
      </c>
      <c r="F84" s="9" t="s">
        <v>101</v>
      </c>
      <c r="M84" s="21">
        <f t="shared" ref="M84" si="31">M70*10+1</f>
        <v>200041</v>
      </c>
    </row>
    <row r="85" spans="1:13">
      <c r="E85" s="21">
        <f t="shared" si="26"/>
        <v>85</v>
      </c>
      <c r="F85" s="9" t="s">
        <v>142</v>
      </c>
      <c r="M85" s="21">
        <f t="shared" ref="M85" si="32">M70</f>
        <v>20004</v>
      </c>
    </row>
    <row r="86" spans="1:13">
      <c r="E86" s="21">
        <f t="shared" si="26"/>
        <v>86</v>
      </c>
      <c r="F86" s="9" t="s">
        <v>127</v>
      </c>
      <c r="M86" s="21">
        <v>0</v>
      </c>
    </row>
    <row r="87" spans="1:13">
      <c r="E87" s="21">
        <f t="shared" si="26"/>
        <v>87</v>
      </c>
      <c r="F87" s="9" t="s">
        <v>111</v>
      </c>
      <c r="L87" s="9" t="s">
        <v>134</v>
      </c>
      <c r="M87" s="21">
        <v>0</v>
      </c>
    </row>
    <row r="88" spans="1:13">
      <c r="E88" s="21">
        <f t="shared" si="26"/>
        <v>88</v>
      </c>
      <c r="F88" s="9" t="s">
        <v>115</v>
      </c>
      <c r="M88" s="21">
        <v>1.5</v>
      </c>
    </row>
    <row r="89" spans="1:13">
      <c r="A89" s="21" t="s">
        <v>227</v>
      </c>
      <c r="B89" s="21">
        <f t="shared" ref="B89" si="33">QUOTIENT( D89-1,G90)+1</f>
        <v>1</v>
      </c>
      <c r="C89" s="21">
        <f t="shared" ref="C89" si="34">D89-(B89-1)*G90</f>
        <v>5</v>
      </c>
      <c r="D89" s="21">
        <f>COUNT($D$8:$D88)+1</f>
        <v>5</v>
      </c>
    </row>
    <row r="90" spans="1:13">
      <c r="E90" s="21">
        <f t="shared" ref="E90:E108" si="35">ROW(E90)</f>
        <v>90</v>
      </c>
      <c r="F90" s="9" t="s">
        <v>93</v>
      </c>
      <c r="G90" s="21">
        <v>36</v>
      </c>
      <c r="H90" s="21">
        <v>2</v>
      </c>
      <c r="J90" s="9" t="s">
        <v>250</v>
      </c>
      <c r="M90" s="21">
        <f t="shared" ref="M90" si="36">J90+D89</f>
        <v>20005</v>
      </c>
    </row>
    <row r="91" spans="1:13">
      <c r="E91" s="21">
        <f t="shared" si="35"/>
        <v>91</v>
      </c>
      <c r="F91" s="9" t="s">
        <v>142</v>
      </c>
      <c r="M91" s="21">
        <v>199109</v>
      </c>
    </row>
    <row r="92" spans="1:13">
      <c r="E92" s="21">
        <f t="shared" si="35"/>
        <v>92</v>
      </c>
      <c r="F92" s="9" t="s">
        <v>126</v>
      </c>
      <c r="G92" s="21">
        <v>5</v>
      </c>
      <c r="M92" s="21">
        <f t="shared" ref="M92" si="37">G92*C89</f>
        <v>25</v>
      </c>
    </row>
    <row r="93" spans="1:13">
      <c r="E93" s="21">
        <f t="shared" si="35"/>
        <v>93</v>
      </c>
      <c r="F93" s="9" t="s">
        <v>29</v>
      </c>
      <c r="M93" s="21" t="s">
        <v>251</v>
      </c>
    </row>
    <row r="94" spans="1:13">
      <c r="E94" s="21">
        <f t="shared" si="35"/>
        <v>94</v>
      </c>
      <c r="F94" s="9" t="s">
        <v>118</v>
      </c>
      <c r="G94" s="21" t="s">
        <v>256</v>
      </c>
      <c r="H94" s="21" t="s">
        <v>256</v>
      </c>
      <c r="I94" s="21" t="s">
        <v>256</v>
      </c>
      <c r="J94" s="9" t="s">
        <v>256</v>
      </c>
      <c r="M94" s="21" t="str" cm="1">
        <f t="array" ref="M94">_xlfn.SWITCH(MOD(C89,4),1,G94,2,H94,3,J94,0,I94)</f>
        <v>Shot2_purple</v>
      </c>
    </row>
    <row r="95" spans="1:13">
      <c r="E95" s="21">
        <f t="shared" si="35"/>
        <v>95</v>
      </c>
      <c r="F95" s="9" t="s">
        <v>98</v>
      </c>
      <c r="K95" s="9" t="s">
        <v>137</v>
      </c>
      <c r="M95" s="21">
        <v>2</v>
      </c>
    </row>
    <row r="96" spans="1:13">
      <c r="E96" s="21">
        <f t="shared" si="35"/>
        <v>96</v>
      </c>
      <c r="F96" s="9" t="s">
        <v>175</v>
      </c>
      <c r="G96" s="21" t="s">
        <v>252</v>
      </c>
      <c r="H96" s="21" t="s">
        <v>254</v>
      </c>
      <c r="K96" s="9" t="s">
        <v>136</v>
      </c>
      <c r="M96" s="21" t="str">
        <f t="shared" ref="M96" si="38">IF(MOD(B89,2)=1,G96,H96)</f>
        <v>0.3,0</v>
      </c>
    </row>
    <row r="97" spans="1:13">
      <c r="E97" s="21">
        <f t="shared" si="35"/>
        <v>97</v>
      </c>
      <c r="F97" s="9" t="s">
        <v>117</v>
      </c>
      <c r="M97" s="21" t="b">
        <v>1</v>
      </c>
    </row>
    <row r="98" spans="1:13">
      <c r="E98" s="21">
        <f t="shared" si="35"/>
        <v>98</v>
      </c>
      <c r="F98" s="9" t="s">
        <v>31</v>
      </c>
      <c r="L98" s="9" t="s">
        <v>134</v>
      </c>
      <c r="M98" s="21">
        <v>270</v>
      </c>
    </row>
    <row r="99" spans="1:13">
      <c r="E99" s="21">
        <f t="shared" si="35"/>
        <v>99</v>
      </c>
      <c r="F99" s="9" t="s">
        <v>111</v>
      </c>
      <c r="G99" s="21">
        <v>120</v>
      </c>
      <c r="H99" s="21">
        <v>-120</v>
      </c>
      <c r="L99" s="9" t="s">
        <v>134</v>
      </c>
      <c r="M99" s="21">
        <f t="shared" ref="M99" si="39">IF(MOD(B89,2)=1,G99,H99)</f>
        <v>120</v>
      </c>
    </row>
    <row r="100" spans="1:13">
      <c r="E100" s="21">
        <f t="shared" si="35"/>
        <v>100</v>
      </c>
      <c r="F100" s="9" t="s">
        <v>114</v>
      </c>
      <c r="M100" s="21" t="b">
        <v>1</v>
      </c>
    </row>
    <row r="101" spans="1:13">
      <c r="E101" s="21">
        <f t="shared" si="35"/>
        <v>101</v>
      </c>
      <c r="F101" s="9" t="s">
        <v>30</v>
      </c>
      <c r="M101" s="21">
        <v>3</v>
      </c>
    </row>
    <row r="102" spans="1:13">
      <c r="E102" s="21">
        <f t="shared" si="35"/>
        <v>102</v>
      </c>
      <c r="F102" s="9" t="s">
        <v>196</v>
      </c>
      <c r="M102" s="21">
        <v>0</v>
      </c>
    </row>
    <row r="103" spans="1:13">
      <c r="E103" s="21">
        <f t="shared" si="35"/>
        <v>103</v>
      </c>
      <c r="F103" s="9" t="s">
        <v>35</v>
      </c>
      <c r="G103" s="21">
        <v>185</v>
      </c>
      <c r="H103" s="21">
        <v>195</v>
      </c>
      <c r="I103" s="21">
        <v>205</v>
      </c>
      <c r="J103" s="9" t="s">
        <v>257</v>
      </c>
      <c r="M103" s="21" cm="1">
        <f t="array" ref="M103">_xlfn.SWITCH(MOD(C89,4),1,G103,2,H103,3,J103,0,I103)</f>
        <v>185</v>
      </c>
    </row>
    <row r="104" spans="1:13">
      <c r="E104" s="21">
        <f t="shared" si="35"/>
        <v>104</v>
      </c>
      <c r="F104" s="9" t="s">
        <v>101</v>
      </c>
      <c r="M104" s="21">
        <f t="shared" ref="M104" si="40">M90*10+1</f>
        <v>200051</v>
      </c>
    </row>
    <row r="105" spans="1:13">
      <c r="E105" s="21">
        <f t="shared" si="35"/>
        <v>105</v>
      </c>
      <c r="F105" s="9" t="s">
        <v>142</v>
      </c>
      <c r="M105" s="21">
        <f t="shared" ref="M105" si="41">M90</f>
        <v>20005</v>
      </c>
    </row>
    <row r="106" spans="1:13">
      <c r="E106" s="21">
        <f t="shared" si="35"/>
        <v>106</v>
      </c>
      <c r="F106" s="9" t="s">
        <v>127</v>
      </c>
      <c r="M106" s="21">
        <v>0</v>
      </c>
    </row>
    <row r="107" spans="1:13">
      <c r="E107" s="21">
        <f t="shared" si="35"/>
        <v>107</v>
      </c>
      <c r="F107" s="9" t="s">
        <v>111</v>
      </c>
      <c r="L107" s="9" t="s">
        <v>134</v>
      </c>
      <c r="M107" s="21">
        <v>0</v>
      </c>
    </row>
    <row r="108" spans="1:13">
      <c r="E108" s="21">
        <f t="shared" si="35"/>
        <v>108</v>
      </c>
      <c r="F108" s="9" t="s">
        <v>115</v>
      </c>
      <c r="M108" s="21">
        <v>1.5</v>
      </c>
    </row>
    <row r="109" spans="1:13">
      <c r="A109" s="21" t="s">
        <v>227</v>
      </c>
      <c r="B109" s="21">
        <f t="shared" ref="B109" si="42">QUOTIENT( D109-1,G110)+1</f>
        <v>1</v>
      </c>
      <c r="C109" s="21">
        <f t="shared" ref="C109" si="43">D109-(B109-1)*G110</f>
        <v>6</v>
      </c>
      <c r="D109" s="21">
        <f>COUNT($D$8:$D108)+1</f>
        <v>6</v>
      </c>
    </row>
    <row r="110" spans="1:13">
      <c r="E110" s="21">
        <f t="shared" ref="E110:E128" si="44">ROW(E110)</f>
        <v>110</v>
      </c>
      <c r="F110" s="9" t="s">
        <v>93</v>
      </c>
      <c r="G110" s="21">
        <v>36</v>
      </c>
      <c r="H110" s="21">
        <v>2</v>
      </c>
      <c r="J110" s="9" t="s">
        <v>250</v>
      </c>
      <c r="M110" s="21">
        <f t="shared" ref="M110" si="45">J110+D109</f>
        <v>20006</v>
      </c>
    </row>
    <row r="111" spans="1:13">
      <c r="E111" s="21">
        <f t="shared" si="44"/>
        <v>111</v>
      </c>
      <c r="F111" s="9" t="s">
        <v>142</v>
      </c>
      <c r="M111" s="21">
        <v>199109</v>
      </c>
    </row>
    <row r="112" spans="1:13">
      <c r="E112" s="21">
        <f t="shared" si="44"/>
        <v>112</v>
      </c>
      <c r="F112" s="9" t="s">
        <v>126</v>
      </c>
      <c r="G112" s="21">
        <v>5</v>
      </c>
      <c r="M112" s="21">
        <f t="shared" ref="M112" si="46">G112*C109</f>
        <v>30</v>
      </c>
    </row>
    <row r="113" spans="5:13">
      <c r="E113" s="21">
        <f t="shared" si="44"/>
        <v>113</v>
      </c>
      <c r="F113" s="9" t="s">
        <v>29</v>
      </c>
      <c r="M113" s="21" t="s">
        <v>251</v>
      </c>
    </row>
    <row r="114" spans="5:13">
      <c r="E114" s="21">
        <f t="shared" si="44"/>
        <v>114</v>
      </c>
      <c r="F114" s="9" t="s">
        <v>118</v>
      </c>
      <c r="G114" s="21" t="s">
        <v>256</v>
      </c>
      <c r="H114" s="21" t="s">
        <v>256</v>
      </c>
      <c r="I114" s="21" t="s">
        <v>256</v>
      </c>
      <c r="J114" s="9" t="s">
        <v>256</v>
      </c>
      <c r="M114" s="21" t="str" cm="1">
        <f t="array" ref="M114">_xlfn.SWITCH(MOD(C109,4),1,G114,2,H114,3,J114,0,I114)</f>
        <v>Shot2_purple</v>
      </c>
    </row>
    <row r="115" spans="5:13">
      <c r="E115" s="21">
        <f t="shared" si="44"/>
        <v>115</v>
      </c>
      <c r="F115" s="9" t="s">
        <v>98</v>
      </c>
      <c r="K115" s="9" t="s">
        <v>137</v>
      </c>
      <c r="M115" s="21">
        <v>2</v>
      </c>
    </row>
    <row r="116" spans="5:13">
      <c r="E116" s="21">
        <f t="shared" si="44"/>
        <v>116</v>
      </c>
      <c r="F116" s="9" t="s">
        <v>175</v>
      </c>
      <c r="G116" s="21" t="s">
        <v>252</v>
      </c>
      <c r="H116" s="21" t="s">
        <v>254</v>
      </c>
      <c r="K116" s="9" t="s">
        <v>136</v>
      </c>
      <c r="M116" s="21" t="str">
        <f t="shared" ref="M116" si="47">IF(MOD(B109,2)=1,G116,H116)</f>
        <v>0.3,0</v>
      </c>
    </row>
    <row r="117" spans="5:13">
      <c r="E117" s="21">
        <f t="shared" si="44"/>
        <v>117</v>
      </c>
      <c r="F117" s="9" t="s">
        <v>117</v>
      </c>
      <c r="M117" s="21" t="b">
        <v>1</v>
      </c>
    </row>
    <row r="118" spans="5:13">
      <c r="E118" s="21">
        <f t="shared" si="44"/>
        <v>118</v>
      </c>
      <c r="F118" s="9" t="s">
        <v>31</v>
      </c>
      <c r="L118" s="9" t="s">
        <v>134</v>
      </c>
      <c r="M118" s="21">
        <v>270</v>
      </c>
    </row>
    <row r="119" spans="5:13">
      <c r="E119" s="21">
        <f t="shared" si="44"/>
        <v>119</v>
      </c>
      <c r="F119" s="9" t="s">
        <v>111</v>
      </c>
      <c r="G119" s="21">
        <v>120</v>
      </c>
      <c r="H119" s="21">
        <v>-120</v>
      </c>
      <c r="L119" s="9" t="s">
        <v>134</v>
      </c>
      <c r="M119" s="21">
        <f t="shared" ref="M119" si="48">IF(MOD(B109,2)=1,G119,H119)</f>
        <v>120</v>
      </c>
    </row>
    <row r="120" spans="5:13">
      <c r="E120" s="21">
        <f t="shared" si="44"/>
        <v>120</v>
      </c>
      <c r="F120" s="9" t="s">
        <v>114</v>
      </c>
      <c r="M120" s="21" t="b">
        <v>1</v>
      </c>
    </row>
    <row r="121" spans="5:13">
      <c r="E121" s="21">
        <f t="shared" si="44"/>
        <v>121</v>
      </c>
      <c r="F121" s="9" t="s">
        <v>30</v>
      </c>
      <c r="M121" s="21">
        <v>3</v>
      </c>
    </row>
    <row r="122" spans="5:13">
      <c r="E122" s="21">
        <f t="shared" si="44"/>
        <v>122</v>
      </c>
      <c r="F122" s="9" t="s">
        <v>196</v>
      </c>
      <c r="M122" s="21">
        <v>0</v>
      </c>
    </row>
    <row r="123" spans="5:13">
      <c r="E123" s="21">
        <f t="shared" si="44"/>
        <v>123</v>
      </c>
      <c r="F123" s="9" t="s">
        <v>35</v>
      </c>
      <c r="G123" s="21">
        <v>185</v>
      </c>
      <c r="H123" s="21">
        <v>195</v>
      </c>
      <c r="I123" s="21">
        <v>205</v>
      </c>
      <c r="J123" s="9" t="s">
        <v>257</v>
      </c>
      <c r="M123" s="21" cm="1">
        <f t="array" ref="M123">_xlfn.SWITCH(MOD(C109,4),1,G123,2,H123,3,J123,0,I123)</f>
        <v>195</v>
      </c>
    </row>
    <row r="124" spans="5:13">
      <c r="E124" s="21">
        <f t="shared" si="44"/>
        <v>124</v>
      </c>
      <c r="F124" s="9" t="s">
        <v>101</v>
      </c>
      <c r="M124" s="21">
        <f t="shared" ref="M124" si="49">M110*10+1</f>
        <v>200061</v>
      </c>
    </row>
    <row r="125" spans="5:13">
      <c r="E125" s="21">
        <f t="shared" si="44"/>
        <v>125</v>
      </c>
      <c r="F125" s="9" t="s">
        <v>142</v>
      </c>
      <c r="M125" s="21">
        <f t="shared" ref="M125" si="50">M110</f>
        <v>20006</v>
      </c>
    </row>
    <row r="126" spans="5:13">
      <c r="E126" s="21">
        <f t="shared" si="44"/>
        <v>126</v>
      </c>
      <c r="F126" s="9" t="s">
        <v>127</v>
      </c>
      <c r="M126" s="21">
        <v>0</v>
      </c>
    </row>
    <row r="127" spans="5:13">
      <c r="E127" s="21">
        <f t="shared" si="44"/>
        <v>127</v>
      </c>
      <c r="F127" s="9" t="s">
        <v>111</v>
      </c>
      <c r="L127" s="9" t="s">
        <v>134</v>
      </c>
      <c r="M127" s="21">
        <v>0</v>
      </c>
    </row>
    <row r="128" spans="5:13">
      <c r="E128" s="21">
        <f t="shared" si="44"/>
        <v>128</v>
      </c>
      <c r="F128" s="9" t="s">
        <v>115</v>
      </c>
      <c r="M128" s="21">
        <v>1.5</v>
      </c>
    </row>
    <row r="129" spans="1:13">
      <c r="A129" s="21" t="s">
        <v>227</v>
      </c>
      <c r="B129" s="21">
        <f t="shared" ref="B129" si="51">QUOTIENT( D129-1,G130)+1</f>
        <v>1</v>
      </c>
      <c r="C129" s="21">
        <f t="shared" ref="C129" si="52">D129-(B129-1)*G130</f>
        <v>7</v>
      </c>
      <c r="D129" s="21">
        <f>COUNT($D$8:$D128)+1</f>
        <v>7</v>
      </c>
    </row>
    <row r="130" spans="1:13">
      <c r="E130" s="21">
        <f t="shared" ref="E130:E148" si="53">ROW(E130)</f>
        <v>130</v>
      </c>
      <c r="F130" s="9" t="s">
        <v>93</v>
      </c>
      <c r="G130" s="21">
        <v>36</v>
      </c>
      <c r="H130" s="21">
        <v>2</v>
      </c>
      <c r="J130" s="9" t="s">
        <v>250</v>
      </c>
      <c r="M130" s="21">
        <f t="shared" ref="M130" si="54">J130+D129</f>
        <v>20007</v>
      </c>
    </row>
    <row r="131" spans="1:13">
      <c r="E131" s="21">
        <f t="shared" si="53"/>
        <v>131</v>
      </c>
      <c r="F131" s="9" t="s">
        <v>142</v>
      </c>
      <c r="M131" s="21">
        <v>199109</v>
      </c>
    </row>
    <row r="132" spans="1:13">
      <c r="E132" s="21">
        <f t="shared" si="53"/>
        <v>132</v>
      </c>
      <c r="F132" s="9" t="s">
        <v>126</v>
      </c>
      <c r="G132" s="21">
        <v>5</v>
      </c>
      <c r="M132" s="21">
        <f t="shared" ref="M132" si="55">G132*C129</f>
        <v>35</v>
      </c>
    </row>
    <row r="133" spans="1:13">
      <c r="E133" s="21">
        <f t="shared" si="53"/>
        <v>133</v>
      </c>
      <c r="F133" s="9" t="s">
        <v>29</v>
      </c>
      <c r="M133" s="21" t="s">
        <v>251</v>
      </c>
    </row>
    <row r="134" spans="1:13">
      <c r="E134" s="21">
        <f t="shared" si="53"/>
        <v>134</v>
      </c>
      <c r="F134" s="9" t="s">
        <v>118</v>
      </c>
      <c r="G134" s="21" t="s">
        <v>256</v>
      </c>
      <c r="H134" s="21" t="s">
        <v>256</v>
      </c>
      <c r="I134" s="21" t="s">
        <v>256</v>
      </c>
      <c r="J134" s="9" t="s">
        <v>256</v>
      </c>
      <c r="M134" s="21" t="str" cm="1">
        <f t="array" ref="M134">_xlfn.SWITCH(MOD(C129,4),1,G134,2,H134,3,J134,0,I134)</f>
        <v>Shot2_purple</v>
      </c>
    </row>
    <row r="135" spans="1:13">
      <c r="E135" s="21">
        <f t="shared" si="53"/>
        <v>135</v>
      </c>
      <c r="F135" s="9" t="s">
        <v>98</v>
      </c>
      <c r="K135" s="9" t="s">
        <v>137</v>
      </c>
      <c r="M135" s="21">
        <v>2</v>
      </c>
    </row>
    <row r="136" spans="1:13">
      <c r="E136" s="21">
        <f t="shared" si="53"/>
        <v>136</v>
      </c>
      <c r="F136" s="9" t="s">
        <v>175</v>
      </c>
      <c r="G136" s="21" t="s">
        <v>252</v>
      </c>
      <c r="H136" s="21" t="s">
        <v>254</v>
      </c>
      <c r="K136" s="9" t="s">
        <v>136</v>
      </c>
      <c r="M136" s="21" t="str">
        <f t="shared" ref="M136" si="56">IF(MOD(B129,2)=1,G136,H136)</f>
        <v>0.3,0</v>
      </c>
    </row>
    <row r="137" spans="1:13">
      <c r="E137" s="21">
        <f t="shared" si="53"/>
        <v>137</v>
      </c>
      <c r="F137" s="9" t="s">
        <v>117</v>
      </c>
      <c r="M137" s="21" t="b">
        <v>1</v>
      </c>
    </row>
    <row r="138" spans="1:13">
      <c r="E138" s="21">
        <f t="shared" si="53"/>
        <v>138</v>
      </c>
      <c r="F138" s="9" t="s">
        <v>31</v>
      </c>
      <c r="L138" s="9" t="s">
        <v>134</v>
      </c>
      <c r="M138" s="21">
        <v>270</v>
      </c>
    </row>
    <row r="139" spans="1:13">
      <c r="E139" s="21">
        <f t="shared" si="53"/>
        <v>139</v>
      </c>
      <c r="F139" s="9" t="s">
        <v>111</v>
      </c>
      <c r="G139" s="21">
        <v>120</v>
      </c>
      <c r="H139" s="21">
        <v>-120</v>
      </c>
      <c r="L139" s="9" t="s">
        <v>134</v>
      </c>
      <c r="M139" s="21">
        <f t="shared" ref="M139" si="57">IF(MOD(B129,2)=1,G139,H139)</f>
        <v>120</v>
      </c>
    </row>
    <row r="140" spans="1:13">
      <c r="E140" s="21">
        <f t="shared" si="53"/>
        <v>140</v>
      </c>
      <c r="F140" s="9" t="s">
        <v>114</v>
      </c>
      <c r="M140" s="21" t="b">
        <v>1</v>
      </c>
    </row>
    <row r="141" spans="1:13">
      <c r="E141" s="21">
        <f t="shared" si="53"/>
        <v>141</v>
      </c>
      <c r="F141" s="9" t="s">
        <v>30</v>
      </c>
      <c r="M141" s="21">
        <v>3</v>
      </c>
    </row>
    <row r="142" spans="1:13">
      <c r="E142" s="21">
        <f t="shared" si="53"/>
        <v>142</v>
      </c>
      <c r="F142" s="9" t="s">
        <v>196</v>
      </c>
      <c r="M142" s="21">
        <v>0</v>
      </c>
    </row>
    <row r="143" spans="1:13">
      <c r="E143" s="21">
        <f t="shared" si="53"/>
        <v>143</v>
      </c>
      <c r="F143" s="9" t="s">
        <v>35</v>
      </c>
      <c r="G143" s="21">
        <v>185</v>
      </c>
      <c r="H143" s="21">
        <v>195</v>
      </c>
      <c r="I143" s="21">
        <v>205</v>
      </c>
      <c r="J143" s="9" t="s">
        <v>257</v>
      </c>
      <c r="M143" s="21" t="str" cm="1">
        <f t="array" ref="M143">_xlfn.SWITCH(MOD(C129,4),1,G143,2,H143,3,J143,0,I143)</f>
        <v>215</v>
      </c>
    </row>
    <row r="144" spans="1:13">
      <c r="E144" s="21">
        <f t="shared" si="53"/>
        <v>144</v>
      </c>
      <c r="F144" s="9" t="s">
        <v>101</v>
      </c>
      <c r="M144" s="21">
        <f t="shared" ref="M144" si="58">M130*10+1</f>
        <v>200071</v>
      </c>
    </row>
    <row r="145" spans="1:13">
      <c r="E145" s="21">
        <f t="shared" si="53"/>
        <v>145</v>
      </c>
      <c r="F145" s="9" t="s">
        <v>142</v>
      </c>
      <c r="M145" s="21">
        <f t="shared" ref="M145" si="59">M130</f>
        <v>20007</v>
      </c>
    </row>
    <row r="146" spans="1:13">
      <c r="E146" s="21">
        <f t="shared" si="53"/>
        <v>146</v>
      </c>
      <c r="F146" s="9" t="s">
        <v>127</v>
      </c>
      <c r="M146" s="21">
        <v>0</v>
      </c>
    </row>
    <row r="147" spans="1:13">
      <c r="E147" s="21">
        <f t="shared" si="53"/>
        <v>147</v>
      </c>
      <c r="F147" s="9" t="s">
        <v>111</v>
      </c>
      <c r="L147" s="9" t="s">
        <v>134</v>
      </c>
      <c r="M147" s="21">
        <v>0</v>
      </c>
    </row>
    <row r="148" spans="1:13">
      <c r="E148" s="21">
        <f t="shared" si="53"/>
        <v>148</v>
      </c>
      <c r="F148" s="9" t="s">
        <v>115</v>
      </c>
      <c r="M148" s="21">
        <v>1.5</v>
      </c>
    </row>
    <row r="149" spans="1:13">
      <c r="A149" s="21" t="s">
        <v>227</v>
      </c>
      <c r="B149" s="21">
        <f t="shared" ref="B149" si="60">QUOTIENT( D149-1,G150)+1</f>
        <v>1</v>
      </c>
      <c r="C149" s="21">
        <f t="shared" ref="C149" si="61">D149-(B149-1)*G150</f>
        <v>8</v>
      </c>
      <c r="D149" s="21">
        <f>COUNT($D$8:$D148)+1</f>
        <v>8</v>
      </c>
    </row>
    <row r="150" spans="1:13">
      <c r="E150" s="21">
        <f t="shared" ref="E150:E168" si="62">ROW(E150)</f>
        <v>150</v>
      </c>
      <c r="F150" s="9" t="s">
        <v>93</v>
      </c>
      <c r="G150" s="21">
        <v>36</v>
      </c>
      <c r="H150" s="21">
        <v>2</v>
      </c>
      <c r="J150" s="9" t="s">
        <v>250</v>
      </c>
      <c r="M150" s="21">
        <f t="shared" ref="M150" si="63">J150+D149</f>
        <v>20008</v>
      </c>
    </row>
    <row r="151" spans="1:13">
      <c r="E151" s="21">
        <f t="shared" si="62"/>
        <v>151</v>
      </c>
      <c r="F151" s="9" t="s">
        <v>142</v>
      </c>
      <c r="M151" s="21">
        <v>199109</v>
      </c>
    </row>
    <row r="152" spans="1:13">
      <c r="E152" s="21">
        <f t="shared" si="62"/>
        <v>152</v>
      </c>
      <c r="F152" s="9" t="s">
        <v>126</v>
      </c>
      <c r="G152" s="21">
        <v>5</v>
      </c>
      <c r="M152" s="21">
        <f t="shared" ref="M152" si="64">G152*C149</f>
        <v>40</v>
      </c>
    </row>
    <row r="153" spans="1:13">
      <c r="E153" s="21">
        <f t="shared" si="62"/>
        <v>153</v>
      </c>
      <c r="F153" s="9" t="s">
        <v>29</v>
      </c>
      <c r="M153" s="21" t="s">
        <v>251</v>
      </c>
    </row>
    <row r="154" spans="1:13">
      <c r="E154" s="21">
        <f t="shared" si="62"/>
        <v>154</v>
      </c>
      <c r="F154" s="9" t="s">
        <v>118</v>
      </c>
      <c r="G154" s="21" t="s">
        <v>256</v>
      </c>
      <c r="H154" s="21" t="s">
        <v>256</v>
      </c>
      <c r="I154" s="21" t="s">
        <v>256</v>
      </c>
      <c r="J154" s="9" t="s">
        <v>256</v>
      </c>
      <c r="M154" s="21" t="str" cm="1">
        <f t="array" ref="M154">_xlfn.SWITCH(MOD(C149,4),1,G154,2,H154,3,J154,0,I154)</f>
        <v>Shot2_purple</v>
      </c>
    </row>
    <row r="155" spans="1:13">
      <c r="E155" s="21">
        <f t="shared" si="62"/>
        <v>155</v>
      </c>
      <c r="F155" s="9" t="s">
        <v>98</v>
      </c>
      <c r="K155" s="9" t="s">
        <v>137</v>
      </c>
      <c r="M155" s="21">
        <v>2</v>
      </c>
    </row>
    <row r="156" spans="1:13">
      <c r="E156" s="21">
        <f t="shared" si="62"/>
        <v>156</v>
      </c>
      <c r="F156" s="9" t="s">
        <v>175</v>
      </c>
      <c r="G156" s="21" t="s">
        <v>252</v>
      </c>
      <c r="H156" s="21" t="s">
        <v>254</v>
      </c>
      <c r="K156" s="9" t="s">
        <v>136</v>
      </c>
      <c r="M156" s="21" t="str">
        <f t="shared" ref="M156" si="65">IF(MOD(B149,2)=1,G156,H156)</f>
        <v>0.3,0</v>
      </c>
    </row>
    <row r="157" spans="1:13">
      <c r="E157" s="21">
        <f t="shared" si="62"/>
        <v>157</v>
      </c>
      <c r="F157" s="9" t="s">
        <v>117</v>
      </c>
      <c r="M157" s="21" t="b">
        <v>1</v>
      </c>
    </row>
    <row r="158" spans="1:13">
      <c r="E158" s="21">
        <f t="shared" si="62"/>
        <v>158</v>
      </c>
      <c r="F158" s="9" t="s">
        <v>31</v>
      </c>
      <c r="L158" s="9" t="s">
        <v>134</v>
      </c>
      <c r="M158" s="21">
        <v>270</v>
      </c>
    </row>
    <row r="159" spans="1:13">
      <c r="E159" s="21">
        <f t="shared" si="62"/>
        <v>159</v>
      </c>
      <c r="F159" s="9" t="s">
        <v>111</v>
      </c>
      <c r="G159" s="21">
        <v>120</v>
      </c>
      <c r="H159" s="21">
        <v>-120</v>
      </c>
      <c r="L159" s="9" t="s">
        <v>134</v>
      </c>
      <c r="M159" s="21">
        <f t="shared" ref="M159" si="66">IF(MOD(B149,2)=1,G159,H159)</f>
        <v>120</v>
      </c>
    </row>
    <row r="160" spans="1:13">
      <c r="E160" s="21">
        <f t="shared" si="62"/>
        <v>160</v>
      </c>
      <c r="F160" s="9" t="s">
        <v>114</v>
      </c>
      <c r="M160" s="21" t="b">
        <v>1</v>
      </c>
    </row>
    <row r="161" spans="1:13">
      <c r="E161" s="21">
        <f t="shared" si="62"/>
        <v>161</v>
      </c>
      <c r="F161" s="9" t="s">
        <v>30</v>
      </c>
      <c r="M161" s="21">
        <v>3</v>
      </c>
    </row>
    <row r="162" spans="1:13">
      <c r="E162" s="21">
        <f t="shared" si="62"/>
        <v>162</v>
      </c>
      <c r="F162" s="9" t="s">
        <v>196</v>
      </c>
      <c r="M162" s="21">
        <v>0</v>
      </c>
    </row>
    <row r="163" spans="1:13">
      <c r="E163" s="21">
        <f t="shared" si="62"/>
        <v>163</v>
      </c>
      <c r="F163" s="9" t="s">
        <v>35</v>
      </c>
      <c r="G163" s="21">
        <v>185</v>
      </c>
      <c r="H163" s="21">
        <v>195</v>
      </c>
      <c r="I163" s="21">
        <v>205</v>
      </c>
      <c r="J163" s="9" t="s">
        <v>257</v>
      </c>
      <c r="M163" s="21" cm="1">
        <f t="array" ref="M163">_xlfn.SWITCH(MOD(C149,4),1,G163,2,H163,3,J163,0,I163)</f>
        <v>205</v>
      </c>
    </row>
    <row r="164" spans="1:13">
      <c r="E164" s="21">
        <f t="shared" si="62"/>
        <v>164</v>
      </c>
      <c r="F164" s="9" t="s">
        <v>101</v>
      </c>
      <c r="M164" s="21">
        <f t="shared" ref="M164" si="67">M150*10+1</f>
        <v>200081</v>
      </c>
    </row>
    <row r="165" spans="1:13">
      <c r="E165" s="21">
        <f t="shared" si="62"/>
        <v>165</v>
      </c>
      <c r="F165" s="9" t="s">
        <v>142</v>
      </c>
      <c r="M165" s="21">
        <f t="shared" ref="M165" si="68">M150</f>
        <v>20008</v>
      </c>
    </row>
    <row r="166" spans="1:13">
      <c r="E166" s="21">
        <f t="shared" si="62"/>
        <v>166</v>
      </c>
      <c r="F166" s="9" t="s">
        <v>127</v>
      </c>
      <c r="M166" s="21">
        <v>0</v>
      </c>
    </row>
    <row r="167" spans="1:13">
      <c r="E167" s="21">
        <f t="shared" si="62"/>
        <v>167</v>
      </c>
      <c r="F167" s="9" t="s">
        <v>111</v>
      </c>
      <c r="L167" s="9" t="s">
        <v>134</v>
      </c>
      <c r="M167" s="21">
        <v>0</v>
      </c>
    </row>
    <row r="168" spans="1:13">
      <c r="E168" s="21">
        <f t="shared" si="62"/>
        <v>168</v>
      </c>
      <c r="F168" s="9" t="s">
        <v>115</v>
      </c>
      <c r="M168" s="21">
        <v>1.5</v>
      </c>
    </row>
    <row r="169" spans="1:13">
      <c r="A169" s="21" t="s">
        <v>227</v>
      </c>
      <c r="B169" s="21">
        <f t="shared" ref="B169" si="69">QUOTIENT( D169-1,G170)+1</f>
        <v>1</v>
      </c>
      <c r="C169" s="21">
        <f t="shared" ref="C169" si="70">D169-(B169-1)*G170</f>
        <v>9</v>
      </c>
      <c r="D169" s="21">
        <f>COUNT($D$8:$D168)+1</f>
        <v>9</v>
      </c>
    </row>
    <row r="170" spans="1:13">
      <c r="E170" s="21">
        <f t="shared" ref="E170:E188" si="71">ROW(E170)</f>
        <v>170</v>
      </c>
      <c r="F170" s="9" t="s">
        <v>93</v>
      </c>
      <c r="G170" s="21">
        <v>36</v>
      </c>
      <c r="H170" s="21">
        <v>2</v>
      </c>
      <c r="J170" s="9" t="s">
        <v>250</v>
      </c>
      <c r="M170" s="21">
        <f t="shared" ref="M170" si="72">J170+D169</f>
        <v>20009</v>
      </c>
    </row>
    <row r="171" spans="1:13">
      <c r="E171" s="21">
        <f t="shared" si="71"/>
        <v>171</v>
      </c>
      <c r="F171" s="9" t="s">
        <v>142</v>
      </c>
      <c r="M171" s="21">
        <v>199109</v>
      </c>
    </row>
    <row r="172" spans="1:13">
      <c r="E172" s="21">
        <f t="shared" si="71"/>
        <v>172</v>
      </c>
      <c r="F172" s="9" t="s">
        <v>126</v>
      </c>
      <c r="G172" s="21">
        <v>5</v>
      </c>
      <c r="M172" s="21">
        <f t="shared" ref="M172" si="73">G172*C169</f>
        <v>45</v>
      </c>
    </row>
    <row r="173" spans="1:13">
      <c r="E173" s="21">
        <f t="shared" si="71"/>
        <v>173</v>
      </c>
      <c r="F173" s="9" t="s">
        <v>29</v>
      </c>
      <c r="M173" s="21" t="s">
        <v>251</v>
      </c>
    </row>
    <row r="174" spans="1:13">
      <c r="E174" s="21">
        <f t="shared" si="71"/>
        <v>174</v>
      </c>
      <c r="F174" s="9" t="s">
        <v>118</v>
      </c>
      <c r="G174" s="21" t="s">
        <v>256</v>
      </c>
      <c r="H174" s="21" t="s">
        <v>256</v>
      </c>
      <c r="I174" s="21" t="s">
        <v>256</v>
      </c>
      <c r="J174" s="9" t="s">
        <v>256</v>
      </c>
      <c r="M174" s="21" t="str" cm="1">
        <f t="array" ref="M174">_xlfn.SWITCH(MOD(C169,4),1,G174,2,H174,3,J174,0,I174)</f>
        <v>Shot2_purple</v>
      </c>
    </row>
    <row r="175" spans="1:13">
      <c r="E175" s="21">
        <f t="shared" si="71"/>
        <v>175</v>
      </c>
      <c r="F175" s="9" t="s">
        <v>98</v>
      </c>
      <c r="K175" s="9" t="s">
        <v>137</v>
      </c>
      <c r="M175" s="21">
        <v>2</v>
      </c>
    </row>
    <row r="176" spans="1:13">
      <c r="E176" s="21">
        <f t="shared" si="71"/>
        <v>176</v>
      </c>
      <c r="F176" s="9" t="s">
        <v>175</v>
      </c>
      <c r="G176" s="21" t="s">
        <v>252</v>
      </c>
      <c r="H176" s="21" t="s">
        <v>254</v>
      </c>
      <c r="K176" s="9" t="s">
        <v>136</v>
      </c>
      <c r="M176" s="21" t="str">
        <f t="shared" ref="M176" si="74">IF(MOD(B169,2)=1,G176,H176)</f>
        <v>0.3,0</v>
      </c>
    </row>
    <row r="177" spans="1:13">
      <c r="E177" s="21">
        <f t="shared" si="71"/>
        <v>177</v>
      </c>
      <c r="F177" s="9" t="s">
        <v>117</v>
      </c>
      <c r="M177" s="21" t="b">
        <v>1</v>
      </c>
    </row>
    <row r="178" spans="1:13">
      <c r="E178" s="21">
        <f t="shared" si="71"/>
        <v>178</v>
      </c>
      <c r="F178" s="9" t="s">
        <v>31</v>
      </c>
      <c r="L178" s="9" t="s">
        <v>134</v>
      </c>
      <c r="M178" s="21">
        <v>270</v>
      </c>
    </row>
    <row r="179" spans="1:13">
      <c r="E179" s="21">
        <f t="shared" si="71"/>
        <v>179</v>
      </c>
      <c r="F179" s="9" t="s">
        <v>111</v>
      </c>
      <c r="G179" s="21">
        <v>120</v>
      </c>
      <c r="H179" s="21">
        <v>-120</v>
      </c>
      <c r="L179" s="9" t="s">
        <v>134</v>
      </c>
      <c r="M179" s="21">
        <f t="shared" ref="M179" si="75">IF(MOD(B169,2)=1,G179,H179)</f>
        <v>120</v>
      </c>
    </row>
    <row r="180" spans="1:13">
      <c r="E180" s="21">
        <f t="shared" si="71"/>
        <v>180</v>
      </c>
      <c r="F180" s="9" t="s">
        <v>114</v>
      </c>
      <c r="M180" s="21" t="b">
        <v>1</v>
      </c>
    </row>
    <row r="181" spans="1:13">
      <c r="E181" s="21">
        <f t="shared" si="71"/>
        <v>181</v>
      </c>
      <c r="F181" s="9" t="s">
        <v>30</v>
      </c>
      <c r="M181" s="21">
        <v>3</v>
      </c>
    </row>
    <row r="182" spans="1:13">
      <c r="E182" s="21">
        <f t="shared" si="71"/>
        <v>182</v>
      </c>
      <c r="F182" s="9" t="s">
        <v>196</v>
      </c>
      <c r="M182" s="21">
        <v>0</v>
      </c>
    </row>
    <row r="183" spans="1:13">
      <c r="E183" s="21">
        <f t="shared" si="71"/>
        <v>183</v>
      </c>
      <c r="F183" s="9" t="s">
        <v>35</v>
      </c>
      <c r="G183" s="21">
        <v>185</v>
      </c>
      <c r="H183" s="21">
        <v>195</v>
      </c>
      <c r="I183" s="21">
        <v>205</v>
      </c>
      <c r="J183" s="9" t="s">
        <v>257</v>
      </c>
      <c r="M183" s="21" cm="1">
        <f t="array" ref="M183">_xlfn.SWITCH(MOD(C169,4),1,G183,2,H183,3,J183,0,I183)</f>
        <v>185</v>
      </c>
    </row>
    <row r="184" spans="1:13">
      <c r="E184" s="21">
        <f t="shared" si="71"/>
        <v>184</v>
      </c>
      <c r="F184" s="9" t="s">
        <v>101</v>
      </c>
      <c r="M184" s="21">
        <f t="shared" ref="M184" si="76">M170*10+1</f>
        <v>200091</v>
      </c>
    </row>
    <row r="185" spans="1:13">
      <c r="E185" s="21">
        <f t="shared" si="71"/>
        <v>185</v>
      </c>
      <c r="F185" s="9" t="s">
        <v>142</v>
      </c>
      <c r="M185" s="21">
        <f t="shared" ref="M185" si="77">M170</f>
        <v>20009</v>
      </c>
    </row>
    <row r="186" spans="1:13">
      <c r="E186" s="21">
        <f t="shared" si="71"/>
        <v>186</v>
      </c>
      <c r="F186" s="9" t="s">
        <v>127</v>
      </c>
      <c r="M186" s="21">
        <v>0</v>
      </c>
    </row>
    <row r="187" spans="1:13">
      <c r="E187" s="21">
        <f t="shared" si="71"/>
        <v>187</v>
      </c>
      <c r="F187" s="9" t="s">
        <v>111</v>
      </c>
      <c r="L187" s="9" t="s">
        <v>134</v>
      </c>
      <c r="M187" s="21">
        <v>0</v>
      </c>
    </row>
    <row r="188" spans="1:13">
      <c r="E188" s="21">
        <f t="shared" si="71"/>
        <v>188</v>
      </c>
      <c r="F188" s="9" t="s">
        <v>115</v>
      </c>
      <c r="M188" s="21">
        <v>1.5</v>
      </c>
    </row>
    <row r="189" spans="1:13">
      <c r="A189" s="21" t="s">
        <v>227</v>
      </c>
      <c r="B189" s="21">
        <f t="shared" ref="B189" si="78">QUOTIENT( D189-1,G190)+1</f>
        <v>1</v>
      </c>
      <c r="C189" s="21">
        <f t="shared" ref="C189" si="79">D189-(B189-1)*G190</f>
        <v>10</v>
      </c>
      <c r="D189" s="21">
        <f>COUNT($D$8:$D188)+1</f>
        <v>10</v>
      </c>
    </row>
    <row r="190" spans="1:13">
      <c r="E190" s="21">
        <f t="shared" ref="E190:E208" si="80">ROW(E190)</f>
        <v>190</v>
      </c>
      <c r="F190" s="9" t="s">
        <v>93</v>
      </c>
      <c r="G190" s="21">
        <v>36</v>
      </c>
      <c r="H190" s="21">
        <v>2</v>
      </c>
      <c r="J190" s="9" t="s">
        <v>250</v>
      </c>
      <c r="M190" s="21">
        <f t="shared" ref="M190" si="81">J190+D189</f>
        <v>20010</v>
      </c>
    </row>
    <row r="191" spans="1:13">
      <c r="E191" s="21">
        <f t="shared" si="80"/>
        <v>191</v>
      </c>
      <c r="F191" s="9" t="s">
        <v>142</v>
      </c>
      <c r="M191" s="21">
        <v>199109</v>
      </c>
    </row>
    <row r="192" spans="1:13">
      <c r="E192" s="21">
        <f t="shared" si="80"/>
        <v>192</v>
      </c>
      <c r="F192" s="9" t="s">
        <v>126</v>
      </c>
      <c r="G192" s="21">
        <v>5</v>
      </c>
      <c r="M192" s="21">
        <f t="shared" ref="M192" si="82">G192*C189</f>
        <v>50</v>
      </c>
    </row>
    <row r="193" spans="5:13">
      <c r="E193" s="21">
        <f t="shared" si="80"/>
        <v>193</v>
      </c>
      <c r="F193" s="9" t="s">
        <v>29</v>
      </c>
      <c r="M193" s="21" t="s">
        <v>251</v>
      </c>
    </row>
    <row r="194" spans="5:13">
      <c r="E194" s="21">
        <f t="shared" si="80"/>
        <v>194</v>
      </c>
      <c r="F194" s="9" t="s">
        <v>118</v>
      </c>
      <c r="G194" s="21" t="s">
        <v>256</v>
      </c>
      <c r="H194" s="21" t="s">
        <v>256</v>
      </c>
      <c r="I194" s="21" t="s">
        <v>256</v>
      </c>
      <c r="J194" s="9" t="s">
        <v>256</v>
      </c>
      <c r="M194" s="21" t="str" cm="1">
        <f t="array" ref="M194">_xlfn.SWITCH(MOD(C189,4),1,G194,2,H194,3,J194,0,I194)</f>
        <v>Shot2_purple</v>
      </c>
    </row>
    <row r="195" spans="5:13">
      <c r="E195" s="21">
        <f t="shared" si="80"/>
        <v>195</v>
      </c>
      <c r="F195" s="9" t="s">
        <v>98</v>
      </c>
      <c r="K195" s="9" t="s">
        <v>137</v>
      </c>
      <c r="M195" s="21">
        <v>2</v>
      </c>
    </row>
    <row r="196" spans="5:13">
      <c r="E196" s="21">
        <f t="shared" si="80"/>
        <v>196</v>
      </c>
      <c r="F196" s="9" t="s">
        <v>175</v>
      </c>
      <c r="G196" s="21" t="s">
        <v>252</v>
      </c>
      <c r="H196" s="21" t="s">
        <v>254</v>
      </c>
      <c r="K196" s="9" t="s">
        <v>136</v>
      </c>
      <c r="M196" s="21" t="str">
        <f t="shared" ref="M196" si="83">IF(MOD(B189,2)=1,G196,H196)</f>
        <v>0.3,0</v>
      </c>
    </row>
    <row r="197" spans="5:13">
      <c r="E197" s="21">
        <f t="shared" si="80"/>
        <v>197</v>
      </c>
      <c r="F197" s="9" t="s">
        <v>117</v>
      </c>
      <c r="M197" s="21" t="b">
        <v>1</v>
      </c>
    </row>
    <row r="198" spans="5:13">
      <c r="E198" s="21">
        <f t="shared" si="80"/>
        <v>198</v>
      </c>
      <c r="F198" s="9" t="s">
        <v>31</v>
      </c>
      <c r="L198" s="9" t="s">
        <v>134</v>
      </c>
      <c r="M198" s="21">
        <v>270</v>
      </c>
    </row>
    <row r="199" spans="5:13">
      <c r="E199" s="21">
        <f t="shared" si="80"/>
        <v>199</v>
      </c>
      <c r="F199" s="9" t="s">
        <v>111</v>
      </c>
      <c r="G199" s="21">
        <v>120</v>
      </c>
      <c r="H199" s="21">
        <v>-120</v>
      </c>
      <c r="L199" s="9" t="s">
        <v>134</v>
      </c>
      <c r="M199" s="21">
        <f t="shared" ref="M199" si="84">IF(MOD(B189,2)=1,G199,H199)</f>
        <v>120</v>
      </c>
    </row>
    <row r="200" spans="5:13">
      <c r="E200" s="21">
        <f t="shared" si="80"/>
        <v>200</v>
      </c>
      <c r="F200" s="9" t="s">
        <v>114</v>
      </c>
      <c r="M200" s="21" t="b">
        <v>1</v>
      </c>
    </row>
    <row r="201" spans="5:13">
      <c r="E201" s="21">
        <f t="shared" si="80"/>
        <v>201</v>
      </c>
      <c r="F201" s="9" t="s">
        <v>30</v>
      </c>
      <c r="M201" s="21">
        <v>3</v>
      </c>
    </row>
    <row r="202" spans="5:13">
      <c r="E202" s="21">
        <f t="shared" si="80"/>
        <v>202</v>
      </c>
      <c r="F202" s="9" t="s">
        <v>196</v>
      </c>
      <c r="M202" s="21">
        <v>0</v>
      </c>
    </row>
    <row r="203" spans="5:13">
      <c r="E203" s="21">
        <f t="shared" si="80"/>
        <v>203</v>
      </c>
      <c r="F203" s="9" t="s">
        <v>35</v>
      </c>
      <c r="G203" s="21">
        <v>185</v>
      </c>
      <c r="H203" s="21">
        <v>195</v>
      </c>
      <c r="I203" s="21">
        <v>205</v>
      </c>
      <c r="J203" s="9" t="s">
        <v>257</v>
      </c>
      <c r="M203" s="21" cm="1">
        <f t="array" ref="M203">_xlfn.SWITCH(MOD(C189,4),1,G203,2,H203,3,J203,0,I203)</f>
        <v>195</v>
      </c>
    </row>
    <row r="204" spans="5:13">
      <c r="E204" s="21">
        <f t="shared" si="80"/>
        <v>204</v>
      </c>
      <c r="F204" s="9" t="s">
        <v>101</v>
      </c>
      <c r="M204" s="21">
        <f t="shared" ref="M204" si="85">M190*10+1</f>
        <v>200101</v>
      </c>
    </row>
    <row r="205" spans="5:13">
      <c r="E205" s="21">
        <f t="shared" si="80"/>
        <v>205</v>
      </c>
      <c r="F205" s="9" t="s">
        <v>142</v>
      </c>
      <c r="M205" s="21">
        <f t="shared" ref="M205" si="86">M190</f>
        <v>20010</v>
      </c>
    </row>
    <row r="206" spans="5:13">
      <c r="E206" s="21">
        <f t="shared" si="80"/>
        <v>206</v>
      </c>
      <c r="F206" s="9" t="s">
        <v>127</v>
      </c>
      <c r="M206" s="21">
        <v>0</v>
      </c>
    </row>
    <row r="207" spans="5:13">
      <c r="E207" s="21">
        <f t="shared" si="80"/>
        <v>207</v>
      </c>
      <c r="F207" s="9" t="s">
        <v>111</v>
      </c>
      <c r="L207" s="9" t="s">
        <v>134</v>
      </c>
      <c r="M207" s="21">
        <v>0</v>
      </c>
    </row>
    <row r="208" spans="5:13">
      <c r="E208" s="21">
        <f t="shared" si="80"/>
        <v>208</v>
      </c>
      <c r="F208" s="9" t="s">
        <v>115</v>
      </c>
      <c r="M208" s="21">
        <v>1.5</v>
      </c>
    </row>
    <row r="209" spans="1:13">
      <c r="A209" s="21" t="s">
        <v>227</v>
      </c>
      <c r="B209" s="21">
        <f t="shared" ref="B209" si="87">QUOTIENT( D209-1,G210)+1</f>
        <v>1</v>
      </c>
      <c r="C209" s="21">
        <f t="shared" ref="C209" si="88">D209-(B209-1)*G210</f>
        <v>11</v>
      </c>
      <c r="D209" s="21">
        <f>COUNT($D$8:$D208)+1</f>
        <v>11</v>
      </c>
    </row>
    <row r="210" spans="1:13">
      <c r="E210" s="21">
        <f t="shared" ref="E210:E228" si="89">ROW(E210)</f>
        <v>210</v>
      </c>
      <c r="F210" s="9" t="s">
        <v>93</v>
      </c>
      <c r="G210" s="21">
        <v>36</v>
      </c>
      <c r="H210" s="21">
        <v>2</v>
      </c>
      <c r="J210" s="9" t="s">
        <v>250</v>
      </c>
      <c r="M210" s="21">
        <f t="shared" ref="M210" si="90">J210+D209</f>
        <v>20011</v>
      </c>
    </row>
    <row r="211" spans="1:13">
      <c r="E211" s="21">
        <f t="shared" si="89"/>
        <v>211</v>
      </c>
      <c r="F211" s="9" t="s">
        <v>142</v>
      </c>
      <c r="M211" s="21">
        <v>199109</v>
      </c>
    </row>
    <row r="212" spans="1:13">
      <c r="E212" s="21">
        <f t="shared" si="89"/>
        <v>212</v>
      </c>
      <c r="F212" s="9" t="s">
        <v>126</v>
      </c>
      <c r="G212" s="21">
        <v>5</v>
      </c>
      <c r="M212" s="21">
        <f t="shared" ref="M212" si="91">G212*C209</f>
        <v>55</v>
      </c>
    </row>
    <row r="213" spans="1:13">
      <c r="E213" s="21">
        <f t="shared" si="89"/>
        <v>213</v>
      </c>
      <c r="F213" s="9" t="s">
        <v>29</v>
      </c>
      <c r="M213" s="21" t="s">
        <v>251</v>
      </c>
    </row>
    <row r="214" spans="1:13">
      <c r="E214" s="21">
        <f t="shared" si="89"/>
        <v>214</v>
      </c>
      <c r="F214" s="9" t="s">
        <v>118</v>
      </c>
      <c r="G214" s="21" t="s">
        <v>256</v>
      </c>
      <c r="H214" s="21" t="s">
        <v>256</v>
      </c>
      <c r="I214" s="21" t="s">
        <v>256</v>
      </c>
      <c r="J214" s="9" t="s">
        <v>256</v>
      </c>
      <c r="M214" s="21" t="str" cm="1">
        <f t="array" ref="M214">_xlfn.SWITCH(MOD(C209,4),1,G214,2,H214,3,J214,0,I214)</f>
        <v>Shot2_purple</v>
      </c>
    </row>
    <row r="215" spans="1:13">
      <c r="E215" s="21">
        <f t="shared" si="89"/>
        <v>215</v>
      </c>
      <c r="F215" s="9" t="s">
        <v>98</v>
      </c>
      <c r="K215" s="9" t="s">
        <v>137</v>
      </c>
      <c r="M215" s="21">
        <v>2</v>
      </c>
    </row>
    <row r="216" spans="1:13">
      <c r="E216" s="21">
        <f t="shared" si="89"/>
        <v>216</v>
      </c>
      <c r="F216" s="9" t="s">
        <v>175</v>
      </c>
      <c r="G216" s="21" t="s">
        <v>252</v>
      </c>
      <c r="H216" s="21" t="s">
        <v>254</v>
      </c>
      <c r="K216" s="9" t="s">
        <v>136</v>
      </c>
      <c r="M216" s="21" t="str">
        <f t="shared" ref="M216" si="92">IF(MOD(B209,2)=1,G216,H216)</f>
        <v>0.3,0</v>
      </c>
    </row>
    <row r="217" spans="1:13">
      <c r="E217" s="21">
        <f t="shared" si="89"/>
        <v>217</v>
      </c>
      <c r="F217" s="9" t="s">
        <v>117</v>
      </c>
      <c r="M217" s="21" t="b">
        <v>1</v>
      </c>
    </row>
    <row r="218" spans="1:13">
      <c r="E218" s="21">
        <f t="shared" si="89"/>
        <v>218</v>
      </c>
      <c r="F218" s="9" t="s">
        <v>31</v>
      </c>
      <c r="L218" s="9" t="s">
        <v>134</v>
      </c>
      <c r="M218" s="21">
        <v>270</v>
      </c>
    </row>
    <row r="219" spans="1:13">
      <c r="E219" s="21">
        <f t="shared" si="89"/>
        <v>219</v>
      </c>
      <c r="F219" s="9" t="s">
        <v>111</v>
      </c>
      <c r="G219" s="21">
        <v>120</v>
      </c>
      <c r="H219" s="21">
        <v>-120</v>
      </c>
      <c r="L219" s="9" t="s">
        <v>134</v>
      </c>
      <c r="M219" s="21">
        <f t="shared" ref="M219" si="93">IF(MOD(B209,2)=1,G219,H219)</f>
        <v>120</v>
      </c>
    </row>
    <row r="220" spans="1:13">
      <c r="E220" s="21">
        <f t="shared" si="89"/>
        <v>220</v>
      </c>
      <c r="F220" s="9" t="s">
        <v>114</v>
      </c>
      <c r="M220" s="21" t="b">
        <v>1</v>
      </c>
    </row>
    <row r="221" spans="1:13">
      <c r="E221" s="21">
        <f t="shared" si="89"/>
        <v>221</v>
      </c>
      <c r="F221" s="9" t="s">
        <v>30</v>
      </c>
      <c r="M221" s="21">
        <v>3</v>
      </c>
    </row>
    <row r="222" spans="1:13">
      <c r="E222" s="21">
        <f t="shared" si="89"/>
        <v>222</v>
      </c>
      <c r="F222" s="9" t="s">
        <v>196</v>
      </c>
      <c r="M222" s="21">
        <v>0</v>
      </c>
    </row>
    <row r="223" spans="1:13">
      <c r="E223" s="21">
        <f t="shared" si="89"/>
        <v>223</v>
      </c>
      <c r="F223" s="9" t="s">
        <v>35</v>
      </c>
      <c r="G223" s="21">
        <v>185</v>
      </c>
      <c r="H223" s="21">
        <v>195</v>
      </c>
      <c r="I223" s="21">
        <v>205</v>
      </c>
      <c r="J223" s="9" t="s">
        <v>257</v>
      </c>
      <c r="M223" s="21" t="str" cm="1">
        <f t="array" ref="M223">_xlfn.SWITCH(MOD(C209,4),1,G223,2,H223,3,J223,0,I223)</f>
        <v>215</v>
      </c>
    </row>
    <row r="224" spans="1:13">
      <c r="E224" s="21">
        <f t="shared" si="89"/>
        <v>224</v>
      </c>
      <c r="F224" s="9" t="s">
        <v>101</v>
      </c>
      <c r="M224" s="21">
        <f t="shared" ref="M224" si="94">M210*10+1</f>
        <v>200111</v>
      </c>
    </row>
    <row r="225" spans="1:13">
      <c r="E225" s="21">
        <f t="shared" si="89"/>
        <v>225</v>
      </c>
      <c r="F225" s="9" t="s">
        <v>142</v>
      </c>
      <c r="M225" s="21">
        <f t="shared" ref="M225" si="95">M210</f>
        <v>20011</v>
      </c>
    </row>
    <row r="226" spans="1:13">
      <c r="E226" s="21">
        <f t="shared" si="89"/>
        <v>226</v>
      </c>
      <c r="F226" s="9" t="s">
        <v>127</v>
      </c>
      <c r="M226" s="21">
        <v>0</v>
      </c>
    </row>
    <row r="227" spans="1:13">
      <c r="E227" s="21">
        <f t="shared" si="89"/>
        <v>227</v>
      </c>
      <c r="F227" s="9" t="s">
        <v>111</v>
      </c>
      <c r="L227" s="9" t="s">
        <v>134</v>
      </c>
      <c r="M227" s="21">
        <v>0</v>
      </c>
    </row>
    <row r="228" spans="1:13">
      <c r="E228" s="21">
        <f t="shared" si="89"/>
        <v>228</v>
      </c>
      <c r="F228" s="9" t="s">
        <v>115</v>
      </c>
      <c r="M228" s="21">
        <v>1.5</v>
      </c>
    </row>
    <row r="229" spans="1:13">
      <c r="A229" s="21" t="s">
        <v>227</v>
      </c>
      <c r="B229" s="21">
        <f t="shared" ref="B229" si="96">QUOTIENT( D229-1,G230)+1</f>
        <v>1</v>
      </c>
      <c r="C229" s="21">
        <f t="shared" ref="C229" si="97">D229-(B229-1)*G230</f>
        <v>12</v>
      </c>
      <c r="D229" s="21">
        <f>COUNT($D$8:$D228)+1</f>
        <v>12</v>
      </c>
    </row>
    <row r="230" spans="1:13">
      <c r="E230" s="21">
        <f t="shared" ref="E230:E248" si="98">ROW(E230)</f>
        <v>230</v>
      </c>
      <c r="F230" s="9" t="s">
        <v>93</v>
      </c>
      <c r="G230" s="21">
        <v>36</v>
      </c>
      <c r="H230" s="21">
        <v>2</v>
      </c>
      <c r="J230" s="9" t="s">
        <v>250</v>
      </c>
      <c r="M230" s="21">
        <f t="shared" ref="M230" si="99">J230+D229</f>
        <v>20012</v>
      </c>
    </row>
    <row r="231" spans="1:13">
      <c r="E231" s="21">
        <f t="shared" si="98"/>
        <v>231</v>
      </c>
      <c r="F231" s="9" t="s">
        <v>142</v>
      </c>
      <c r="M231" s="21">
        <v>199109</v>
      </c>
    </row>
    <row r="232" spans="1:13">
      <c r="E232" s="21">
        <f t="shared" si="98"/>
        <v>232</v>
      </c>
      <c r="F232" s="9" t="s">
        <v>126</v>
      </c>
      <c r="G232" s="21">
        <v>5</v>
      </c>
      <c r="M232" s="21">
        <f t="shared" ref="M232" si="100">G232*C229</f>
        <v>60</v>
      </c>
    </row>
    <row r="233" spans="1:13">
      <c r="E233" s="21">
        <f t="shared" si="98"/>
        <v>233</v>
      </c>
      <c r="F233" s="9" t="s">
        <v>29</v>
      </c>
      <c r="M233" s="21" t="s">
        <v>251</v>
      </c>
    </row>
    <row r="234" spans="1:13">
      <c r="E234" s="21">
        <f t="shared" si="98"/>
        <v>234</v>
      </c>
      <c r="F234" s="9" t="s">
        <v>118</v>
      </c>
      <c r="G234" s="21" t="s">
        <v>256</v>
      </c>
      <c r="H234" s="21" t="s">
        <v>256</v>
      </c>
      <c r="I234" s="21" t="s">
        <v>256</v>
      </c>
      <c r="J234" s="9" t="s">
        <v>256</v>
      </c>
      <c r="M234" s="21" t="str" cm="1">
        <f t="array" ref="M234">_xlfn.SWITCH(MOD(C229,4),1,G234,2,H234,3,J234,0,I234)</f>
        <v>Shot2_purple</v>
      </c>
    </row>
    <row r="235" spans="1:13">
      <c r="E235" s="21">
        <f t="shared" si="98"/>
        <v>235</v>
      </c>
      <c r="F235" s="9" t="s">
        <v>98</v>
      </c>
      <c r="K235" s="9" t="s">
        <v>137</v>
      </c>
      <c r="M235" s="21">
        <v>2</v>
      </c>
    </row>
    <row r="236" spans="1:13">
      <c r="E236" s="21">
        <f t="shared" si="98"/>
        <v>236</v>
      </c>
      <c r="F236" s="9" t="s">
        <v>175</v>
      </c>
      <c r="G236" s="21" t="s">
        <v>252</v>
      </c>
      <c r="H236" s="21" t="s">
        <v>254</v>
      </c>
      <c r="K236" s="9" t="s">
        <v>136</v>
      </c>
      <c r="M236" s="21" t="str">
        <f t="shared" ref="M236" si="101">IF(MOD(B229,2)=1,G236,H236)</f>
        <v>0.3,0</v>
      </c>
    </row>
    <row r="237" spans="1:13">
      <c r="E237" s="21">
        <f t="shared" si="98"/>
        <v>237</v>
      </c>
      <c r="F237" s="9" t="s">
        <v>117</v>
      </c>
      <c r="M237" s="21" t="b">
        <v>1</v>
      </c>
    </row>
    <row r="238" spans="1:13">
      <c r="E238" s="21">
        <f t="shared" si="98"/>
        <v>238</v>
      </c>
      <c r="F238" s="9" t="s">
        <v>31</v>
      </c>
      <c r="L238" s="9" t="s">
        <v>134</v>
      </c>
      <c r="M238" s="21">
        <v>270</v>
      </c>
    </row>
    <row r="239" spans="1:13">
      <c r="E239" s="21">
        <f t="shared" si="98"/>
        <v>239</v>
      </c>
      <c r="F239" s="9" t="s">
        <v>111</v>
      </c>
      <c r="G239" s="21">
        <v>120</v>
      </c>
      <c r="H239" s="21">
        <v>-120</v>
      </c>
      <c r="L239" s="9" t="s">
        <v>134</v>
      </c>
      <c r="M239" s="21">
        <f t="shared" ref="M239" si="102">IF(MOD(B229,2)=1,G239,H239)</f>
        <v>120</v>
      </c>
    </row>
    <row r="240" spans="1:13">
      <c r="E240" s="21">
        <f t="shared" si="98"/>
        <v>240</v>
      </c>
      <c r="F240" s="9" t="s">
        <v>114</v>
      </c>
      <c r="M240" s="21" t="b">
        <v>1</v>
      </c>
    </row>
    <row r="241" spans="1:13">
      <c r="E241" s="21">
        <f t="shared" si="98"/>
        <v>241</v>
      </c>
      <c r="F241" s="9" t="s">
        <v>30</v>
      </c>
      <c r="M241" s="21">
        <v>3</v>
      </c>
    </row>
    <row r="242" spans="1:13">
      <c r="E242" s="21">
        <f t="shared" si="98"/>
        <v>242</v>
      </c>
      <c r="F242" s="9" t="s">
        <v>196</v>
      </c>
      <c r="M242" s="21">
        <v>0</v>
      </c>
    </row>
    <row r="243" spans="1:13">
      <c r="E243" s="21">
        <f t="shared" si="98"/>
        <v>243</v>
      </c>
      <c r="F243" s="9" t="s">
        <v>35</v>
      </c>
      <c r="G243" s="21">
        <v>185</v>
      </c>
      <c r="H243" s="21">
        <v>195</v>
      </c>
      <c r="I243" s="21">
        <v>205</v>
      </c>
      <c r="J243" s="9" t="s">
        <v>257</v>
      </c>
      <c r="M243" s="21" cm="1">
        <f t="array" ref="M243">_xlfn.SWITCH(MOD(C229,4),1,G243,2,H243,3,J243,0,I243)</f>
        <v>205</v>
      </c>
    </row>
    <row r="244" spans="1:13">
      <c r="E244" s="21">
        <f t="shared" si="98"/>
        <v>244</v>
      </c>
      <c r="F244" s="9" t="s">
        <v>101</v>
      </c>
      <c r="M244" s="21">
        <f t="shared" ref="M244" si="103">M230*10+1</f>
        <v>200121</v>
      </c>
    </row>
    <row r="245" spans="1:13">
      <c r="E245" s="21">
        <f t="shared" si="98"/>
        <v>245</v>
      </c>
      <c r="F245" s="9" t="s">
        <v>142</v>
      </c>
      <c r="M245" s="21">
        <f t="shared" ref="M245" si="104">M230</f>
        <v>20012</v>
      </c>
    </row>
    <row r="246" spans="1:13">
      <c r="E246" s="21">
        <f t="shared" si="98"/>
        <v>246</v>
      </c>
      <c r="F246" s="9" t="s">
        <v>127</v>
      </c>
      <c r="M246" s="21">
        <v>0</v>
      </c>
    </row>
    <row r="247" spans="1:13">
      <c r="E247" s="21">
        <f t="shared" si="98"/>
        <v>247</v>
      </c>
      <c r="F247" s="9" t="s">
        <v>111</v>
      </c>
      <c r="L247" s="9" t="s">
        <v>134</v>
      </c>
      <c r="M247" s="21">
        <v>0</v>
      </c>
    </row>
    <row r="248" spans="1:13">
      <c r="E248" s="21">
        <f t="shared" si="98"/>
        <v>248</v>
      </c>
      <c r="F248" s="9" t="s">
        <v>115</v>
      </c>
      <c r="M248" s="21">
        <v>1.5</v>
      </c>
    </row>
    <row r="249" spans="1:13">
      <c r="A249" s="21" t="s">
        <v>227</v>
      </c>
      <c r="B249" s="21">
        <f t="shared" ref="B249" si="105">QUOTIENT( D249-1,G250)+1</f>
        <v>1</v>
      </c>
      <c r="C249" s="21">
        <f t="shared" ref="C249" si="106">D249-(B249-1)*G250</f>
        <v>13</v>
      </c>
      <c r="D249" s="21">
        <f>COUNT($D$8:$D248)+1</f>
        <v>13</v>
      </c>
    </row>
    <row r="250" spans="1:13">
      <c r="E250" s="21">
        <f t="shared" ref="E250:E268" si="107">ROW(E250)</f>
        <v>250</v>
      </c>
      <c r="F250" s="9" t="s">
        <v>93</v>
      </c>
      <c r="G250" s="21">
        <v>36</v>
      </c>
      <c r="H250" s="21">
        <v>2</v>
      </c>
      <c r="J250" s="9" t="s">
        <v>250</v>
      </c>
      <c r="M250" s="21">
        <f t="shared" ref="M250" si="108">J250+D249</f>
        <v>20013</v>
      </c>
    </row>
    <row r="251" spans="1:13">
      <c r="E251" s="21">
        <f t="shared" si="107"/>
        <v>251</v>
      </c>
      <c r="F251" s="9" t="s">
        <v>142</v>
      </c>
      <c r="M251" s="21">
        <v>199109</v>
      </c>
    </row>
    <row r="252" spans="1:13">
      <c r="E252" s="21">
        <f t="shared" si="107"/>
        <v>252</v>
      </c>
      <c r="F252" s="9" t="s">
        <v>126</v>
      </c>
      <c r="G252" s="21">
        <v>5</v>
      </c>
      <c r="M252" s="21">
        <f t="shared" ref="M252" si="109">G252*C249</f>
        <v>65</v>
      </c>
    </row>
    <row r="253" spans="1:13">
      <c r="E253" s="21">
        <f t="shared" si="107"/>
        <v>253</v>
      </c>
      <c r="F253" s="9" t="s">
        <v>29</v>
      </c>
      <c r="M253" s="21" t="s">
        <v>251</v>
      </c>
    </row>
    <row r="254" spans="1:13">
      <c r="E254" s="21">
        <f t="shared" si="107"/>
        <v>254</v>
      </c>
      <c r="F254" s="9" t="s">
        <v>118</v>
      </c>
      <c r="G254" s="21" t="s">
        <v>256</v>
      </c>
      <c r="H254" s="21" t="s">
        <v>256</v>
      </c>
      <c r="I254" s="21" t="s">
        <v>256</v>
      </c>
      <c r="J254" s="9" t="s">
        <v>256</v>
      </c>
      <c r="M254" s="21" t="str" cm="1">
        <f t="array" ref="M254">_xlfn.SWITCH(MOD(C249,4),1,G254,2,H254,3,J254,0,I254)</f>
        <v>Shot2_purple</v>
      </c>
    </row>
    <row r="255" spans="1:13">
      <c r="E255" s="21">
        <f t="shared" si="107"/>
        <v>255</v>
      </c>
      <c r="F255" s="9" t="s">
        <v>98</v>
      </c>
      <c r="K255" s="9" t="s">
        <v>137</v>
      </c>
      <c r="M255" s="21">
        <v>2</v>
      </c>
    </row>
    <row r="256" spans="1:13">
      <c r="E256" s="21">
        <f t="shared" si="107"/>
        <v>256</v>
      </c>
      <c r="F256" s="9" t="s">
        <v>175</v>
      </c>
      <c r="G256" s="21" t="s">
        <v>252</v>
      </c>
      <c r="H256" s="21" t="s">
        <v>254</v>
      </c>
      <c r="K256" s="9" t="s">
        <v>136</v>
      </c>
      <c r="M256" s="21" t="str">
        <f t="shared" ref="M256" si="110">IF(MOD(B249,2)=1,G256,H256)</f>
        <v>0.3,0</v>
      </c>
    </row>
    <row r="257" spans="1:13">
      <c r="E257" s="21">
        <f t="shared" si="107"/>
        <v>257</v>
      </c>
      <c r="F257" s="9" t="s">
        <v>117</v>
      </c>
      <c r="M257" s="21" t="b">
        <v>1</v>
      </c>
    </row>
    <row r="258" spans="1:13">
      <c r="E258" s="21">
        <f t="shared" si="107"/>
        <v>258</v>
      </c>
      <c r="F258" s="9" t="s">
        <v>31</v>
      </c>
      <c r="L258" s="9" t="s">
        <v>134</v>
      </c>
      <c r="M258" s="21">
        <v>270</v>
      </c>
    </row>
    <row r="259" spans="1:13">
      <c r="E259" s="21">
        <f t="shared" si="107"/>
        <v>259</v>
      </c>
      <c r="F259" s="9" t="s">
        <v>111</v>
      </c>
      <c r="G259" s="21">
        <v>120</v>
      </c>
      <c r="H259" s="21">
        <v>-120</v>
      </c>
      <c r="L259" s="9" t="s">
        <v>134</v>
      </c>
      <c r="M259" s="21">
        <f t="shared" ref="M259" si="111">IF(MOD(B249,2)=1,G259,H259)</f>
        <v>120</v>
      </c>
    </row>
    <row r="260" spans="1:13">
      <c r="E260" s="21">
        <f t="shared" si="107"/>
        <v>260</v>
      </c>
      <c r="F260" s="9" t="s">
        <v>114</v>
      </c>
      <c r="M260" s="21" t="b">
        <v>1</v>
      </c>
    </row>
    <row r="261" spans="1:13">
      <c r="E261" s="21">
        <f t="shared" si="107"/>
        <v>261</v>
      </c>
      <c r="F261" s="9" t="s">
        <v>30</v>
      </c>
      <c r="M261" s="21">
        <v>3</v>
      </c>
    </row>
    <row r="262" spans="1:13">
      <c r="E262" s="21">
        <f t="shared" si="107"/>
        <v>262</v>
      </c>
      <c r="F262" s="9" t="s">
        <v>196</v>
      </c>
      <c r="M262" s="21">
        <v>0</v>
      </c>
    </row>
    <row r="263" spans="1:13">
      <c r="E263" s="21">
        <f t="shared" si="107"/>
        <v>263</v>
      </c>
      <c r="F263" s="9" t="s">
        <v>35</v>
      </c>
      <c r="G263" s="21">
        <v>185</v>
      </c>
      <c r="H263" s="21">
        <v>195</v>
      </c>
      <c r="I263" s="21">
        <v>205</v>
      </c>
      <c r="J263" s="9" t="s">
        <v>257</v>
      </c>
      <c r="M263" s="21" cm="1">
        <f t="array" ref="M263">_xlfn.SWITCH(MOD(C249,4),1,G263,2,H263,3,J263,0,I263)</f>
        <v>185</v>
      </c>
    </row>
    <row r="264" spans="1:13">
      <c r="E264" s="21">
        <f t="shared" si="107"/>
        <v>264</v>
      </c>
      <c r="F264" s="9" t="s">
        <v>101</v>
      </c>
      <c r="M264" s="21">
        <f t="shared" ref="M264" si="112">M250*10+1</f>
        <v>200131</v>
      </c>
    </row>
    <row r="265" spans="1:13">
      <c r="E265" s="21">
        <f t="shared" si="107"/>
        <v>265</v>
      </c>
      <c r="F265" s="9" t="s">
        <v>142</v>
      </c>
      <c r="M265" s="21">
        <f t="shared" ref="M265" si="113">M250</f>
        <v>20013</v>
      </c>
    </row>
    <row r="266" spans="1:13">
      <c r="E266" s="21">
        <f t="shared" si="107"/>
        <v>266</v>
      </c>
      <c r="F266" s="9" t="s">
        <v>127</v>
      </c>
      <c r="M266" s="21">
        <v>0</v>
      </c>
    </row>
    <row r="267" spans="1:13">
      <c r="E267" s="21">
        <f t="shared" si="107"/>
        <v>267</v>
      </c>
      <c r="F267" s="9" t="s">
        <v>111</v>
      </c>
      <c r="L267" s="9" t="s">
        <v>134</v>
      </c>
      <c r="M267" s="21">
        <v>0</v>
      </c>
    </row>
    <row r="268" spans="1:13">
      <c r="E268" s="21">
        <f t="shared" si="107"/>
        <v>268</v>
      </c>
      <c r="F268" s="9" t="s">
        <v>115</v>
      </c>
      <c r="M268" s="21">
        <v>1.5</v>
      </c>
    </row>
    <row r="269" spans="1:13">
      <c r="A269" s="21" t="s">
        <v>227</v>
      </c>
      <c r="B269" s="21">
        <f t="shared" ref="B269" si="114">QUOTIENT( D269-1,G270)+1</f>
        <v>1</v>
      </c>
      <c r="C269" s="21">
        <f t="shared" ref="C269" si="115">D269-(B269-1)*G270</f>
        <v>14</v>
      </c>
      <c r="D269" s="21">
        <f>COUNT($D$8:$D268)+1</f>
        <v>14</v>
      </c>
    </row>
    <row r="270" spans="1:13">
      <c r="E270" s="21">
        <f t="shared" ref="E270:E288" si="116">ROW(E270)</f>
        <v>270</v>
      </c>
      <c r="F270" s="9" t="s">
        <v>93</v>
      </c>
      <c r="G270" s="21">
        <v>36</v>
      </c>
      <c r="H270" s="21">
        <v>2</v>
      </c>
      <c r="J270" s="9" t="s">
        <v>250</v>
      </c>
      <c r="M270" s="21">
        <f t="shared" ref="M270" si="117">J270+D269</f>
        <v>20014</v>
      </c>
    </row>
    <row r="271" spans="1:13">
      <c r="E271" s="21">
        <f t="shared" si="116"/>
        <v>271</v>
      </c>
      <c r="F271" s="9" t="s">
        <v>142</v>
      </c>
      <c r="M271" s="21">
        <v>199109</v>
      </c>
    </row>
    <row r="272" spans="1:13">
      <c r="E272" s="21">
        <f t="shared" si="116"/>
        <v>272</v>
      </c>
      <c r="F272" s="9" t="s">
        <v>126</v>
      </c>
      <c r="G272" s="21">
        <v>5</v>
      </c>
      <c r="M272" s="21">
        <f t="shared" ref="M272" si="118">G272*C269</f>
        <v>70</v>
      </c>
    </row>
    <row r="273" spans="5:13">
      <c r="E273" s="21">
        <f t="shared" si="116"/>
        <v>273</v>
      </c>
      <c r="F273" s="9" t="s">
        <v>29</v>
      </c>
      <c r="M273" s="21" t="s">
        <v>251</v>
      </c>
    </row>
    <row r="274" spans="5:13">
      <c r="E274" s="21">
        <f t="shared" si="116"/>
        <v>274</v>
      </c>
      <c r="F274" s="9" t="s">
        <v>118</v>
      </c>
      <c r="G274" s="21" t="s">
        <v>256</v>
      </c>
      <c r="H274" s="21" t="s">
        <v>256</v>
      </c>
      <c r="I274" s="21" t="s">
        <v>256</v>
      </c>
      <c r="J274" s="9" t="s">
        <v>256</v>
      </c>
      <c r="M274" s="21" t="str" cm="1">
        <f t="array" ref="M274">_xlfn.SWITCH(MOD(C269,4),1,G274,2,H274,3,J274,0,I274)</f>
        <v>Shot2_purple</v>
      </c>
    </row>
    <row r="275" spans="5:13">
      <c r="E275" s="21">
        <f t="shared" si="116"/>
        <v>275</v>
      </c>
      <c r="F275" s="9" t="s">
        <v>98</v>
      </c>
      <c r="K275" s="9" t="s">
        <v>137</v>
      </c>
      <c r="M275" s="21">
        <v>2</v>
      </c>
    </row>
    <row r="276" spans="5:13">
      <c r="E276" s="21">
        <f t="shared" si="116"/>
        <v>276</v>
      </c>
      <c r="F276" s="9" t="s">
        <v>175</v>
      </c>
      <c r="G276" s="21" t="s">
        <v>252</v>
      </c>
      <c r="H276" s="21" t="s">
        <v>254</v>
      </c>
      <c r="K276" s="9" t="s">
        <v>136</v>
      </c>
      <c r="M276" s="21" t="str">
        <f t="shared" ref="M276" si="119">IF(MOD(B269,2)=1,G276,H276)</f>
        <v>0.3,0</v>
      </c>
    </row>
    <row r="277" spans="5:13">
      <c r="E277" s="21">
        <f t="shared" si="116"/>
        <v>277</v>
      </c>
      <c r="F277" s="9" t="s">
        <v>117</v>
      </c>
      <c r="M277" s="21" t="b">
        <v>1</v>
      </c>
    </row>
    <row r="278" spans="5:13">
      <c r="E278" s="21">
        <f t="shared" si="116"/>
        <v>278</v>
      </c>
      <c r="F278" s="9" t="s">
        <v>31</v>
      </c>
      <c r="L278" s="9" t="s">
        <v>134</v>
      </c>
      <c r="M278" s="21">
        <v>270</v>
      </c>
    </row>
    <row r="279" spans="5:13">
      <c r="E279" s="21">
        <f t="shared" si="116"/>
        <v>279</v>
      </c>
      <c r="F279" s="9" t="s">
        <v>111</v>
      </c>
      <c r="G279" s="21">
        <v>120</v>
      </c>
      <c r="H279" s="21">
        <v>-120</v>
      </c>
      <c r="L279" s="9" t="s">
        <v>134</v>
      </c>
      <c r="M279" s="21">
        <f t="shared" ref="M279" si="120">IF(MOD(B269,2)=1,G279,H279)</f>
        <v>120</v>
      </c>
    </row>
    <row r="280" spans="5:13">
      <c r="E280" s="21">
        <f t="shared" si="116"/>
        <v>280</v>
      </c>
      <c r="F280" s="9" t="s">
        <v>114</v>
      </c>
      <c r="M280" s="21" t="b">
        <v>1</v>
      </c>
    </row>
    <row r="281" spans="5:13">
      <c r="E281" s="21">
        <f t="shared" si="116"/>
        <v>281</v>
      </c>
      <c r="F281" s="9" t="s">
        <v>30</v>
      </c>
      <c r="M281" s="21">
        <v>3</v>
      </c>
    </row>
    <row r="282" spans="5:13">
      <c r="E282" s="21">
        <f t="shared" si="116"/>
        <v>282</v>
      </c>
      <c r="F282" s="9" t="s">
        <v>196</v>
      </c>
      <c r="M282" s="21">
        <v>0</v>
      </c>
    </row>
    <row r="283" spans="5:13">
      <c r="E283" s="21">
        <f t="shared" si="116"/>
        <v>283</v>
      </c>
      <c r="F283" s="9" t="s">
        <v>35</v>
      </c>
      <c r="G283" s="21">
        <v>185</v>
      </c>
      <c r="H283" s="21">
        <v>195</v>
      </c>
      <c r="I283" s="21">
        <v>205</v>
      </c>
      <c r="J283" s="9" t="s">
        <v>257</v>
      </c>
      <c r="M283" s="21" cm="1">
        <f t="array" ref="M283">_xlfn.SWITCH(MOD(C269,4),1,G283,2,H283,3,J283,0,I283)</f>
        <v>195</v>
      </c>
    </row>
    <row r="284" spans="5:13">
      <c r="E284" s="21">
        <f t="shared" si="116"/>
        <v>284</v>
      </c>
      <c r="F284" s="9" t="s">
        <v>101</v>
      </c>
      <c r="M284" s="21">
        <f t="shared" ref="M284" si="121">M270*10+1</f>
        <v>200141</v>
      </c>
    </row>
    <row r="285" spans="5:13">
      <c r="E285" s="21">
        <f t="shared" si="116"/>
        <v>285</v>
      </c>
      <c r="F285" s="9" t="s">
        <v>142</v>
      </c>
      <c r="M285" s="21">
        <f t="shared" ref="M285" si="122">M270</f>
        <v>20014</v>
      </c>
    </row>
    <row r="286" spans="5:13">
      <c r="E286" s="21">
        <f t="shared" si="116"/>
        <v>286</v>
      </c>
      <c r="F286" s="9" t="s">
        <v>127</v>
      </c>
      <c r="M286" s="21">
        <v>0</v>
      </c>
    </row>
    <row r="287" spans="5:13">
      <c r="E287" s="21">
        <f t="shared" si="116"/>
        <v>287</v>
      </c>
      <c r="F287" s="9" t="s">
        <v>111</v>
      </c>
      <c r="L287" s="9" t="s">
        <v>134</v>
      </c>
      <c r="M287" s="21">
        <v>0</v>
      </c>
    </row>
    <row r="288" spans="5:13">
      <c r="E288" s="21">
        <f t="shared" si="116"/>
        <v>288</v>
      </c>
      <c r="F288" s="9" t="s">
        <v>115</v>
      </c>
      <c r="M288" s="21">
        <v>1.5</v>
      </c>
    </row>
    <row r="289" spans="1:13">
      <c r="A289" s="21" t="s">
        <v>227</v>
      </c>
      <c r="B289" s="21">
        <f t="shared" ref="B289" si="123">QUOTIENT( D289-1,G290)+1</f>
        <v>1</v>
      </c>
      <c r="C289" s="21">
        <f t="shared" ref="C289" si="124">D289-(B289-1)*G290</f>
        <v>15</v>
      </c>
      <c r="D289" s="21">
        <f>COUNT($D$8:$D288)+1</f>
        <v>15</v>
      </c>
    </row>
    <row r="290" spans="1:13">
      <c r="E290" s="21">
        <f t="shared" ref="E290:E308" si="125">ROW(E290)</f>
        <v>290</v>
      </c>
      <c r="F290" s="9" t="s">
        <v>93</v>
      </c>
      <c r="G290" s="21">
        <v>36</v>
      </c>
      <c r="H290" s="21">
        <v>2</v>
      </c>
      <c r="J290" s="9" t="s">
        <v>250</v>
      </c>
      <c r="M290" s="21">
        <f t="shared" ref="M290" si="126">J290+D289</f>
        <v>20015</v>
      </c>
    </row>
    <row r="291" spans="1:13">
      <c r="E291" s="21">
        <f t="shared" si="125"/>
        <v>291</v>
      </c>
      <c r="F291" s="9" t="s">
        <v>142</v>
      </c>
      <c r="M291" s="21">
        <v>199109</v>
      </c>
    </row>
    <row r="292" spans="1:13">
      <c r="E292" s="21">
        <f t="shared" si="125"/>
        <v>292</v>
      </c>
      <c r="F292" s="9" t="s">
        <v>126</v>
      </c>
      <c r="G292" s="21">
        <v>5</v>
      </c>
      <c r="M292" s="21">
        <f t="shared" ref="M292" si="127">G292*C289</f>
        <v>75</v>
      </c>
    </row>
    <row r="293" spans="1:13">
      <c r="E293" s="21">
        <f t="shared" si="125"/>
        <v>293</v>
      </c>
      <c r="F293" s="9" t="s">
        <v>29</v>
      </c>
      <c r="M293" s="21" t="s">
        <v>251</v>
      </c>
    </row>
    <row r="294" spans="1:13">
      <c r="E294" s="21">
        <f t="shared" si="125"/>
        <v>294</v>
      </c>
      <c r="F294" s="9" t="s">
        <v>118</v>
      </c>
      <c r="G294" s="21" t="s">
        <v>256</v>
      </c>
      <c r="H294" s="21" t="s">
        <v>256</v>
      </c>
      <c r="I294" s="21" t="s">
        <v>256</v>
      </c>
      <c r="J294" s="9" t="s">
        <v>256</v>
      </c>
      <c r="M294" s="21" t="str" cm="1">
        <f t="array" ref="M294">_xlfn.SWITCH(MOD(C289,4),1,G294,2,H294,3,J294,0,I294)</f>
        <v>Shot2_purple</v>
      </c>
    </row>
    <row r="295" spans="1:13">
      <c r="E295" s="21">
        <f t="shared" si="125"/>
        <v>295</v>
      </c>
      <c r="F295" s="9" t="s">
        <v>98</v>
      </c>
      <c r="K295" s="9" t="s">
        <v>137</v>
      </c>
      <c r="M295" s="21">
        <v>2</v>
      </c>
    </row>
    <row r="296" spans="1:13">
      <c r="E296" s="21">
        <f t="shared" si="125"/>
        <v>296</v>
      </c>
      <c r="F296" s="9" t="s">
        <v>175</v>
      </c>
      <c r="G296" s="21" t="s">
        <v>252</v>
      </c>
      <c r="H296" s="21" t="s">
        <v>254</v>
      </c>
      <c r="K296" s="9" t="s">
        <v>136</v>
      </c>
      <c r="M296" s="21" t="str">
        <f t="shared" ref="M296" si="128">IF(MOD(B289,2)=1,G296,H296)</f>
        <v>0.3,0</v>
      </c>
    </row>
    <row r="297" spans="1:13">
      <c r="E297" s="21">
        <f t="shared" si="125"/>
        <v>297</v>
      </c>
      <c r="F297" s="9" t="s">
        <v>117</v>
      </c>
      <c r="M297" s="21" t="b">
        <v>1</v>
      </c>
    </row>
    <row r="298" spans="1:13">
      <c r="E298" s="21">
        <f t="shared" si="125"/>
        <v>298</v>
      </c>
      <c r="F298" s="9" t="s">
        <v>31</v>
      </c>
      <c r="L298" s="9" t="s">
        <v>134</v>
      </c>
      <c r="M298" s="21">
        <v>270</v>
      </c>
    </row>
    <row r="299" spans="1:13">
      <c r="E299" s="21">
        <f t="shared" si="125"/>
        <v>299</v>
      </c>
      <c r="F299" s="9" t="s">
        <v>111</v>
      </c>
      <c r="G299" s="21">
        <v>120</v>
      </c>
      <c r="H299" s="21">
        <v>-120</v>
      </c>
      <c r="L299" s="9" t="s">
        <v>134</v>
      </c>
      <c r="M299" s="21">
        <f t="shared" ref="M299" si="129">IF(MOD(B289,2)=1,G299,H299)</f>
        <v>120</v>
      </c>
    </row>
    <row r="300" spans="1:13">
      <c r="E300" s="21">
        <f t="shared" si="125"/>
        <v>300</v>
      </c>
      <c r="F300" s="9" t="s">
        <v>114</v>
      </c>
      <c r="M300" s="21" t="b">
        <v>1</v>
      </c>
    </row>
    <row r="301" spans="1:13">
      <c r="E301" s="21">
        <f t="shared" si="125"/>
        <v>301</v>
      </c>
      <c r="F301" s="9" t="s">
        <v>30</v>
      </c>
      <c r="M301" s="21">
        <v>3</v>
      </c>
    </row>
    <row r="302" spans="1:13">
      <c r="E302" s="21">
        <f t="shared" si="125"/>
        <v>302</v>
      </c>
      <c r="F302" s="9" t="s">
        <v>196</v>
      </c>
      <c r="M302" s="21">
        <v>0</v>
      </c>
    </row>
    <row r="303" spans="1:13">
      <c r="E303" s="21">
        <f t="shared" si="125"/>
        <v>303</v>
      </c>
      <c r="F303" s="9" t="s">
        <v>35</v>
      </c>
      <c r="G303" s="21">
        <v>185</v>
      </c>
      <c r="H303" s="21">
        <v>195</v>
      </c>
      <c r="I303" s="21">
        <v>205</v>
      </c>
      <c r="J303" s="9" t="s">
        <v>257</v>
      </c>
      <c r="M303" s="21" t="str" cm="1">
        <f t="array" ref="M303">_xlfn.SWITCH(MOD(C289,4),1,G303,2,H303,3,J303,0,I303)</f>
        <v>215</v>
      </c>
    </row>
    <row r="304" spans="1:13">
      <c r="E304" s="21">
        <f t="shared" si="125"/>
        <v>304</v>
      </c>
      <c r="F304" s="9" t="s">
        <v>101</v>
      </c>
      <c r="M304" s="21">
        <f t="shared" ref="M304" si="130">M290*10+1</f>
        <v>200151</v>
      </c>
    </row>
    <row r="305" spans="1:13">
      <c r="E305" s="21">
        <f t="shared" si="125"/>
        <v>305</v>
      </c>
      <c r="F305" s="9" t="s">
        <v>142</v>
      </c>
      <c r="M305" s="21">
        <f t="shared" ref="M305" si="131">M290</f>
        <v>20015</v>
      </c>
    </row>
    <row r="306" spans="1:13">
      <c r="E306" s="21">
        <f t="shared" si="125"/>
        <v>306</v>
      </c>
      <c r="F306" s="9" t="s">
        <v>127</v>
      </c>
      <c r="M306" s="21">
        <v>0</v>
      </c>
    </row>
    <row r="307" spans="1:13">
      <c r="E307" s="21">
        <f t="shared" si="125"/>
        <v>307</v>
      </c>
      <c r="F307" s="9" t="s">
        <v>111</v>
      </c>
      <c r="L307" s="9" t="s">
        <v>134</v>
      </c>
      <c r="M307" s="21">
        <v>0</v>
      </c>
    </row>
    <row r="308" spans="1:13">
      <c r="E308" s="21">
        <f t="shared" si="125"/>
        <v>308</v>
      </c>
      <c r="F308" s="9" t="s">
        <v>115</v>
      </c>
      <c r="M308" s="21">
        <v>1.5</v>
      </c>
    </row>
    <row r="309" spans="1:13">
      <c r="A309" s="21" t="s">
        <v>227</v>
      </c>
      <c r="B309" s="21">
        <f t="shared" ref="B309" si="132">QUOTIENT( D309-1,G310)+1</f>
        <v>1</v>
      </c>
      <c r="C309" s="21">
        <f t="shared" ref="C309" si="133">D309-(B309-1)*G310</f>
        <v>16</v>
      </c>
      <c r="D309" s="21">
        <f>COUNT($D$8:$D308)+1</f>
        <v>16</v>
      </c>
    </row>
    <row r="310" spans="1:13">
      <c r="E310" s="21">
        <f t="shared" ref="E310:E328" si="134">ROW(E310)</f>
        <v>310</v>
      </c>
      <c r="F310" s="9" t="s">
        <v>93</v>
      </c>
      <c r="G310" s="21">
        <v>36</v>
      </c>
      <c r="H310" s="21">
        <v>2</v>
      </c>
      <c r="J310" s="9" t="s">
        <v>250</v>
      </c>
      <c r="M310" s="21">
        <f t="shared" ref="M310" si="135">J310+D309</f>
        <v>20016</v>
      </c>
    </row>
    <row r="311" spans="1:13">
      <c r="E311" s="21">
        <f t="shared" si="134"/>
        <v>311</v>
      </c>
      <c r="F311" s="9" t="s">
        <v>142</v>
      </c>
      <c r="M311" s="21">
        <v>199109</v>
      </c>
    </row>
    <row r="312" spans="1:13">
      <c r="E312" s="21">
        <f t="shared" si="134"/>
        <v>312</v>
      </c>
      <c r="F312" s="9" t="s">
        <v>126</v>
      </c>
      <c r="G312" s="21">
        <v>5</v>
      </c>
      <c r="M312" s="21">
        <f t="shared" ref="M312" si="136">G312*C309</f>
        <v>80</v>
      </c>
    </row>
    <row r="313" spans="1:13">
      <c r="E313" s="21">
        <f t="shared" si="134"/>
        <v>313</v>
      </c>
      <c r="F313" s="9" t="s">
        <v>29</v>
      </c>
      <c r="M313" s="21" t="s">
        <v>251</v>
      </c>
    </row>
    <row r="314" spans="1:13">
      <c r="E314" s="21">
        <f t="shared" si="134"/>
        <v>314</v>
      </c>
      <c r="F314" s="9" t="s">
        <v>118</v>
      </c>
      <c r="G314" s="21" t="s">
        <v>256</v>
      </c>
      <c r="H314" s="21" t="s">
        <v>256</v>
      </c>
      <c r="I314" s="21" t="s">
        <v>256</v>
      </c>
      <c r="J314" s="9" t="s">
        <v>256</v>
      </c>
      <c r="M314" s="21" t="str" cm="1">
        <f t="array" ref="M314">_xlfn.SWITCH(MOD(C309,4),1,G314,2,H314,3,J314,0,I314)</f>
        <v>Shot2_purple</v>
      </c>
    </row>
    <row r="315" spans="1:13">
      <c r="E315" s="21">
        <f t="shared" si="134"/>
        <v>315</v>
      </c>
      <c r="F315" s="9" t="s">
        <v>98</v>
      </c>
      <c r="K315" s="9" t="s">
        <v>137</v>
      </c>
      <c r="M315" s="21">
        <v>2</v>
      </c>
    </row>
    <row r="316" spans="1:13">
      <c r="E316" s="21">
        <f t="shared" si="134"/>
        <v>316</v>
      </c>
      <c r="F316" s="9" t="s">
        <v>175</v>
      </c>
      <c r="G316" s="21" t="s">
        <v>252</v>
      </c>
      <c r="H316" s="21" t="s">
        <v>254</v>
      </c>
      <c r="K316" s="9" t="s">
        <v>136</v>
      </c>
      <c r="M316" s="21" t="str">
        <f t="shared" ref="M316" si="137">IF(MOD(B309,2)=1,G316,H316)</f>
        <v>0.3,0</v>
      </c>
    </row>
    <row r="317" spans="1:13">
      <c r="E317" s="21">
        <f t="shared" si="134"/>
        <v>317</v>
      </c>
      <c r="F317" s="9" t="s">
        <v>117</v>
      </c>
      <c r="M317" s="21" t="b">
        <v>1</v>
      </c>
    </row>
    <row r="318" spans="1:13">
      <c r="E318" s="21">
        <f t="shared" si="134"/>
        <v>318</v>
      </c>
      <c r="F318" s="9" t="s">
        <v>31</v>
      </c>
      <c r="L318" s="9" t="s">
        <v>134</v>
      </c>
      <c r="M318" s="21">
        <v>270</v>
      </c>
    </row>
    <row r="319" spans="1:13">
      <c r="E319" s="21">
        <f t="shared" si="134"/>
        <v>319</v>
      </c>
      <c r="F319" s="9" t="s">
        <v>111</v>
      </c>
      <c r="G319" s="21">
        <v>120</v>
      </c>
      <c r="H319" s="21">
        <v>-120</v>
      </c>
      <c r="L319" s="9" t="s">
        <v>134</v>
      </c>
      <c r="M319" s="21">
        <f t="shared" ref="M319" si="138">IF(MOD(B309,2)=1,G319,H319)</f>
        <v>120</v>
      </c>
    </row>
    <row r="320" spans="1:13">
      <c r="E320" s="21">
        <f t="shared" si="134"/>
        <v>320</v>
      </c>
      <c r="F320" s="9" t="s">
        <v>114</v>
      </c>
      <c r="M320" s="21" t="b">
        <v>1</v>
      </c>
    </row>
    <row r="321" spans="1:13">
      <c r="E321" s="21">
        <f t="shared" si="134"/>
        <v>321</v>
      </c>
      <c r="F321" s="9" t="s">
        <v>30</v>
      </c>
      <c r="M321" s="21">
        <v>3</v>
      </c>
    </row>
    <row r="322" spans="1:13">
      <c r="E322" s="21">
        <f t="shared" si="134"/>
        <v>322</v>
      </c>
      <c r="F322" s="9" t="s">
        <v>196</v>
      </c>
      <c r="M322" s="21">
        <v>0</v>
      </c>
    </row>
    <row r="323" spans="1:13">
      <c r="E323" s="21">
        <f t="shared" si="134"/>
        <v>323</v>
      </c>
      <c r="F323" s="9" t="s">
        <v>35</v>
      </c>
      <c r="G323" s="21">
        <v>185</v>
      </c>
      <c r="H323" s="21">
        <v>195</v>
      </c>
      <c r="I323" s="21">
        <v>205</v>
      </c>
      <c r="J323" s="9" t="s">
        <v>257</v>
      </c>
      <c r="M323" s="21" cm="1">
        <f t="array" ref="M323">_xlfn.SWITCH(MOD(C309,4),1,G323,2,H323,3,J323,0,I323)</f>
        <v>205</v>
      </c>
    </row>
    <row r="324" spans="1:13">
      <c r="E324" s="21">
        <f t="shared" si="134"/>
        <v>324</v>
      </c>
      <c r="F324" s="9" t="s">
        <v>101</v>
      </c>
      <c r="M324" s="21">
        <f t="shared" ref="M324" si="139">M310*10+1</f>
        <v>200161</v>
      </c>
    </row>
    <row r="325" spans="1:13">
      <c r="E325" s="21">
        <f t="shared" si="134"/>
        <v>325</v>
      </c>
      <c r="F325" s="9" t="s">
        <v>142</v>
      </c>
      <c r="M325" s="21">
        <f t="shared" ref="M325" si="140">M310</f>
        <v>20016</v>
      </c>
    </row>
    <row r="326" spans="1:13">
      <c r="E326" s="21">
        <f t="shared" si="134"/>
        <v>326</v>
      </c>
      <c r="F326" s="9" t="s">
        <v>127</v>
      </c>
      <c r="M326" s="21">
        <v>0</v>
      </c>
    </row>
    <row r="327" spans="1:13">
      <c r="E327" s="21">
        <f t="shared" si="134"/>
        <v>327</v>
      </c>
      <c r="F327" s="9" t="s">
        <v>111</v>
      </c>
      <c r="L327" s="9" t="s">
        <v>134</v>
      </c>
      <c r="M327" s="21">
        <v>0</v>
      </c>
    </row>
    <row r="328" spans="1:13">
      <c r="E328" s="21">
        <f t="shared" si="134"/>
        <v>328</v>
      </c>
      <c r="F328" s="9" t="s">
        <v>115</v>
      </c>
      <c r="M328" s="21">
        <v>1.5</v>
      </c>
    </row>
    <row r="329" spans="1:13">
      <c r="A329" s="21" t="s">
        <v>227</v>
      </c>
      <c r="B329" s="21">
        <f t="shared" ref="B329" si="141">QUOTIENT( D329-1,G330)+1</f>
        <v>1</v>
      </c>
      <c r="C329" s="21">
        <f t="shared" ref="C329" si="142">D329-(B329-1)*G330</f>
        <v>17</v>
      </c>
      <c r="D329" s="21">
        <f>COUNT($D$8:$D328)+1</f>
        <v>17</v>
      </c>
    </row>
    <row r="330" spans="1:13">
      <c r="E330" s="21">
        <f t="shared" ref="E330:E348" si="143">ROW(E330)</f>
        <v>330</v>
      </c>
      <c r="F330" s="9" t="s">
        <v>93</v>
      </c>
      <c r="G330" s="21">
        <v>36</v>
      </c>
      <c r="H330" s="21">
        <v>2</v>
      </c>
      <c r="J330" s="9" t="s">
        <v>250</v>
      </c>
      <c r="M330" s="21">
        <f t="shared" ref="M330" si="144">J330+D329</f>
        <v>20017</v>
      </c>
    </row>
    <row r="331" spans="1:13">
      <c r="E331" s="21">
        <f t="shared" si="143"/>
        <v>331</v>
      </c>
      <c r="F331" s="9" t="s">
        <v>142</v>
      </c>
      <c r="M331" s="21">
        <v>199109</v>
      </c>
    </row>
    <row r="332" spans="1:13">
      <c r="E332" s="21">
        <f t="shared" si="143"/>
        <v>332</v>
      </c>
      <c r="F332" s="9" t="s">
        <v>126</v>
      </c>
      <c r="G332" s="21">
        <v>5</v>
      </c>
      <c r="M332" s="21">
        <f t="shared" ref="M332" si="145">G332*C329</f>
        <v>85</v>
      </c>
    </row>
    <row r="333" spans="1:13">
      <c r="E333" s="21">
        <f t="shared" si="143"/>
        <v>333</v>
      </c>
      <c r="F333" s="9" t="s">
        <v>29</v>
      </c>
      <c r="M333" s="21" t="s">
        <v>251</v>
      </c>
    </row>
    <row r="334" spans="1:13">
      <c r="E334" s="21">
        <f t="shared" si="143"/>
        <v>334</v>
      </c>
      <c r="F334" s="9" t="s">
        <v>118</v>
      </c>
      <c r="G334" s="21" t="s">
        <v>256</v>
      </c>
      <c r="H334" s="21" t="s">
        <v>256</v>
      </c>
      <c r="I334" s="21" t="s">
        <v>256</v>
      </c>
      <c r="J334" s="9" t="s">
        <v>256</v>
      </c>
      <c r="M334" s="21" t="str" cm="1">
        <f t="array" ref="M334">_xlfn.SWITCH(MOD(C329,4),1,G334,2,H334,3,J334,0,I334)</f>
        <v>Shot2_purple</v>
      </c>
    </row>
    <row r="335" spans="1:13">
      <c r="E335" s="21">
        <f t="shared" si="143"/>
        <v>335</v>
      </c>
      <c r="F335" s="9" t="s">
        <v>98</v>
      </c>
      <c r="K335" s="9" t="s">
        <v>137</v>
      </c>
      <c r="M335" s="21">
        <v>2</v>
      </c>
    </row>
    <row r="336" spans="1:13">
      <c r="E336" s="21">
        <f t="shared" si="143"/>
        <v>336</v>
      </c>
      <c r="F336" s="9" t="s">
        <v>175</v>
      </c>
      <c r="G336" s="21" t="s">
        <v>252</v>
      </c>
      <c r="H336" s="21" t="s">
        <v>254</v>
      </c>
      <c r="K336" s="9" t="s">
        <v>136</v>
      </c>
      <c r="M336" s="21" t="str">
        <f t="shared" ref="M336" si="146">IF(MOD(B329,2)=1,G336,H336)</f>
        <v>0.3,0</v>
      </c>
    </row>
    <row r="337" spans="1:13">
      <c r="E337" s="21">
        <f t="shared" si="143"/>
        <v>337</v>
      </c>
      <c r="F337" s="9" t="s">
        <v>117</v>
      </c>
      <c r="M337" s="21" t="b">
        <v>1</v>
      </c>
    </row>
    <row r="338" spans="1:13">
      <c r="E338" s="21">
        <f t="shared" si="143"/>
        <v>338</v>
      </c>
      <c r="F338" s="9" t="s">
        <v>31</v>
      </c>
      <c r="L338" s="9" t="s">
        <v>134</v>
      </c>
      <c r="M338" s="21">
        <v>270</v>
      </c>
    </row>
    <row r="339" spans="1:13">
      <c r="E339" s="21">
        <f t="shared" si="143"/>
        <v>339</v>
      </c>
      <c r="F339" s="9" t="s">
        <v>111</v>
      </c>
      <c r="G339" s="21">
        <v>120</v>
      </c>
      <c r="H339" s="21">
        <v>-120</v>
      </c>
      <c r="L339" s="9" t="s">
        <v>134</v>
      </c>
      <c r="M339" s="21">
        <f t="shared" ref="M339" si="147">IF(MOD(B329,2)=1,G339,H339)</f>
        <v>120</v>
      </c>
    </row>
    <row r="340" spans="1:13">
      <c r="E340" s="21">
        <f t="shared" si="143"/>
        <v>340</v>
      </c>
      <c r="F340" s="9" t="s">
        <v>114</v>
      </c>
      <c r="M340" s="21" t="b">
        <v>1</v>
      </c>
    </row>
    <row r="341" spans="1:13">
      <c r="E341" s="21">
        <f t="shared" si="143"/>
        <v>341</v>
      </c>
      <c r="F341" s="9" t="s">
        <v>30</v>
      </c>
      <c r="M341" s="21">
        <v>3</v>
      </c>
    </row>
    <row r="342" spans="1:13">
      <c r="E342" s="21">
        <f t="shared" si="143"/>
        <v>342</v>
      </c>
      <c r="F342" s="9" t="s">
        <v>196</v>
      </c>
      <c r="M342" s="21">
        <v>0</v>
      </c>
    </row>
    <row r="343" spans="1:13">
      <c r="E343" s="21">
        <f t="shared" si="143"/>
        <v>343</v>
      </c>
      <c r="F343" s="9" t="s">
        <v>35</v>
      </c>
      <c r="G343" s="21">
        <v>185</v>
      </c>
      <c r="H343" s="21">
        <v>195</v>
      </c>
      <c r="I343" s="21">
        <v>205</v>
      </c>
      <c r="J343" s="9" t="s">
        <v>257</v>
      </c>
      <c r="M343" s="21" cm="1">
        <f t="array" ref="M343">_xlfn.SWITCH(MOD(C329,4),1,G343,2,H343,3,J343,0,I343)</f>
        <v>185</v>
      </c>
    </row>
    <row r="344" spans="1:13">
      <c r="E344" s="21">
        <f t="shared" si="143"/>
        <v>344</v>
      </c>
      <c r="F344" s="9" t="s">
        <v>101</v>
      </c>
      <c r="M344" s="21">
        <f t="shared" ref="M344" si="148">M330*10+1</f>
        <v>200171</v>
      </c>
    </row>
    <row r="345" spans="1:13">
      <c r="E345" s="21">
        <f t="shared" si="143"/>
        <v>345</v>
      </c>
      <c r="F345" s="9" t="s">
        <v>142</v>
      </c>
      <c r="M345" s="21">
        <f t="shared" ref="M345" si="149">M330</f>
        <v>20017</v>
      </c>
    </row>
    <row r="346" spans="1:13">
      <c r="E346" s="21">
        <f t="shared" si="143"/>
        <v>346</v>
      </c>
      <c r="F346" s="9" t="s">
        <v>127</v>
      </c>
      <c r="M346" s="21">
        <v>0</v>
      </c>
    </row>
    <row r="347" spans="1:13">
      <c r="E347" s="21">
        <f t="shared" si="143"/>
        <v>347</v>
      </c>
      <c r="F347" s="9" t="s">
        <v>111</v>
      </c>
      <c r="L347" s="9" t="s">
        <v>134</v>
      </c>
      <c r="M347" s="21">
        <v>0</v>
      </c>
    </row>
    <row r="348" spans="1:13">
      <c r="E348" s="21">
        <f t="shared" si="143"/>
        <v>348</v>
      </c>
      <c r="F348" s="9" t="s">
        <v>115</v>
      </c>
      <c r="M348" s="21">
        <v>1.5</v>
      </c>
    </row>
    <row r="349" spans="1:13">
      <c r="A349" s="21" t="s">
        <v>227</v>
      </c>
      <c r="B349" s="21">
        <f t="shared" ref="B349" si="150">QUOTIENT( D349-1,G350)+1</f>
        <v>1</v>
      </c>
      <c r="C349" s="21">
        <f t="shared" ref="C349" si="151">D349-(B349-1)*G350</f>
        <v>18</v>
      </c>
      <c r="D349" s="21">
        <f>COUNT($D$8:$D348)+1</f>
        <v>18</v>
      </c>
    </row>
    <row r="350" spans="1:13">
      <c r="E350" s="21">
        <f t="shared" ref="E350:E368" si="152">ROW(E350)</f>
        <v>350</v>
      </c>
      <c r="F350" s="9" t="s">
        <v>93</v>
      </c>
      <c r="G350" s="21">
        <v>36</v>
      </c>
      <c r="H350" s="21">
        <v>2</v>
      </c>
      <c r="J350" s="9" t="s">
        <v>250</v>
      </c>
      <c r="M350" s="21">
        <f t="shared" ref="M350" si="153">J350+D349</f>
        <v>20018</v>
      </c>
    </row>
    <row r="351" spans="1:13">
      <c r="E351" s="21">
        <f t="shared" si="152"/>
        <v>351</v>
      </c>
      <c r="F351" s="9" t="s">
        <v>142</v>
      </c>
      <c r="M351" s="21">
        <v>199109</v>
      </c>
    </row>
    <row r="352" spans="1:13">
      <c r="E352" s="21">
        <f t="shared" si="152"/>
        <v>352</v>
      </c>
      <c r="F352" s="9" t="s">
        <v>126</v>
      </c>
      <c r="G352" s="21">
        <v>5</v>
      </c>
      <c r="M352" s="21">
        <f t="shared" ref="M352" si="154">G352*C349</f>
        <v>90</v>
      </c>
    </row>
    <row r="353" spans="5:13">
      <c r="E353" s="21">
        <f t="shared" si="152"/>
        <v>353</v>
      </c>
      <c r="F353" s="9" t="s">
        <v>29</v>
      </c>
      <c r="M353" s="21" t="s">
        <v>251</v>
      </c>
    </row>
    <row r="354" spans="5:13">
      <c r="E354" s="21">
        <f t="shared" si="152"/>
        <v>354</v>
      </c>
      <c r="F354" s="9" t="s">
        <v>118</v>
      </c>
      <c r="G354" s="21" t="s">
        <v>256</v>
      </c>
      <c r="H354" s="21" t="s">
        <v>256</v>
      </c>
      <c r="I354" s="21" t="s">
        <v>256</v>
      </c>
      <c r="J354" s="9" t="s">
        <v>256</v>
      </c>
      <c r="M354" s="21" t="str" cm="1">
        <f t="array" ref="M354">_xlfn.SWITCH(MOD(C349,4),1,G354,2,H354,3,J354,0,I354)</f>
        <v>Shot2_purple</v>
      </c>
    </row>
    <row r="355" spans="5:13">
      <c r="E355" s="21">
        <f t="shared" si="152"/>
        <v>355</v>
      </c>
      <c r="F355" s="9" t="s">
        <v>98</v>
      </c>
      <c r="K355" s="9" t="s">
        <v>137</v>
      </c>
      <c r="M355" s="21">
        <v>2</v>
      </c>
    </row>
    <row r="356" spans="5:13">
      <c r="E356" s="21">
        <f t="shared" si="152"/>
        <v>356</v>
      </c>
      <c r="F356" s="9" t="s">
        <v>175</v>
      </c>
      <c r="G356" s="21" t="s">
        <v>252</v>
      </c>
      <c r="H356" s="21" t="s">
        <v>254</v>
      </c>
      <c r="K356" s="9" t="s">
        <v>136</v>
      </c>
      <c r="M356" s="21" t="str">
        <f t="shared" ref="M356" si="155">IF(MOD(B349,2)=1,G356,H356)</f>
        <v>0.3,0</v>
      </c>
    </row>
    <row r="357" spans="5:13">
      <c r="E357" s="21">
        <f t="shared" si="152"/>
        <v>357</v>
      </c>
      <c r="F357" s="9" t="s">
        <v>117</v>
      </c>
      <c r="M357" s="21" t="b">
        <v>1</v>
      </c>
    </row>
    <row r="358" spans="5:13">
      <c r="E358" s="21">
        <f t="shared" si="152"/>
        <v>358</v>
      </c>
      <c r="F358" s="9" t="s">
        <v>31</v>
      </c>
      <c r="L358" s="9" t="s">
        <v>134</v>
      </c>
      <c r="M358" s="21">
        <v>270</v>
      </c>
    </row>
    <row r="359" spans="5:13">
      <c r="E359" s="21">
        <f t="shared" si="152"/>
        <v>359</v>
      </c>
      <c r="F359" s="9" t="s">
        <v>111</v>
      </c>
      <c r="G359" s="21">
        <v>120</v>
      </c>
      <c r="H359" s="21">
        <v>-120</v>
      </c>
      <c r="L359" s="9" t="s">
        <v>134</v>
      </c>
      <c r="M359" s="21">
        <f t="shared" ref="M359" si="156">IF(MOD(B349,2)=1,G359,H359)</f>
        <v>120</v>
      </c>
    </row>
    <row r="360" spans="5:13">
      <c r="E360" s="21">
        <f t="shared" si="152"/>
        <v>360</v>
      </c>
      <c r="F360" s="9" t="s">
        <v>114</v>
      </c>
      <c r="M360" s="21" t="b">
        <v>1</v>
      </c>
    </row>
    <row r="361" spans="5:13">
      <c r="E361" s="21">
        <f t="shared" si="152"/>
        <v>361</v>
      </c>
      <c r="F361" s="9" t="s">
        <v>30</v>
      </c>
      <c r="M361" s="21">
        <v>3</v>
      </c>
    </row>
    <row r="362" spans="5:13">
      <c r="E362" s="21">
        <f t="shared" si="152"/>
        <v>362</v>
      </c>
      <c r="F362" s="9" t="s">
        <v>196</v>
      </c>
      <c r="M362" s="21">
        <v>0</v>
      </c>
    </row>
    <row r="363" spans="5:13">
      <c r="E363" s="21">
        <f t="shared" si="152"/>
        <v>363</v>
      </c>
      <c r="F363" s="9" t="s">
        <v>35</v>
      </c>
      <c r="G363" s="21">
        <v>185</v>
      </c>
      <c r="H363" s="21">
        <v>195</v>
      </c>
      <c r="I363" s="21">
        <v>205</v>
      </c>
      <c r="J363" s="9" t="s">
        <v>257</v>
      </c>
      <c r="M363" s="21" cm="1">
        <f t="array" ref="M363">_xlfn.SWITCH(MOD(C349,4),1,G363,2,H363,3,J363,0,I363)</f>
        <v>195</v>
      </c>
    </row>
    <row r="364" spans="5:13">
      <c r="E364" s="21">
        <f t="shared" si="152"/>
        <v>364</v>
      </c>
      <c r="F364" s="9" t="s">
        <v>101</v>
      </c>
      <c r="M364" s="21">
        <f t="shared" ref="M364" si="157">M350*10+1</f>
        <v>200181</v>
      </c>
    </row>
    <row r="365" spans="5:13">
      <c r="E365" s="21">
        <f t="shared" si="152"/>
        <v>365</v>
      </c>
      <c r="F365" s="9" t="s">
        <v>142</v>
      </c>
      <c r="M365" s="21">
        <f t="shared" ref="M365" si="158">M350</f>
        <v>20018</v>
      </c>
    </row>
    <row r="366" spans="5:13">
      <c r="E366" s="21">
        <f t="shared" si="152"/>
        <v>366</v>
      </c>
      <c r="F366" s="9" t="s">
        <v>127</v>
      </c>
      <c r="M366" s="21">
        <v>0</v>
      </c>
    </row>
    <row r="367" spans="5:13">
      <c r="E367" s="21">
        <f t="shared" si="152"/>
        <v>367</v>
      </c>
      <c r="F367" s="9" t="s">
        <v>111</v>
      </c>
      <c r="L367" s="9" t="s">
        <v>134</v>
      </c>
      <c r="M367" s="21">
        <v>0</v>
      </c>
    </row>
    <row r="368" spans="5:13">
      <c r="E368" s="21">
        <f t="shared" si="152"/>
        <v>368</v>
      </c>
      <c r="F368" s="9" t="s">
        <v>115</v>
      </c>
      <c r="M368" s="21">
        <v>1.5</v>
      </c>
    </row>
    <row r="369" spans="1:13">
      <c r="A369" s="21" t="s">
        <v>227</v>
      </c>
      <c r="B369" s="21">
        <f t="shared" ref="B369" si="159">QUOTIENT( D369-1,G370)+1</f>
        <v>1</v>
      </c>
      <c r="C369" s="21">
        <f t="shared" ref="C369" si="160">D369-(B369-1)*G370</f>
        <v>19</v>
      </c>
      <c r="D369" s="21">
        <f>COUNT($D$8:$D368)+1</f>
        <v>19</v>
      </c>
    </row>
    <row r="370" spans="1:13">
      <c r="E370" s="21">
        <f t="shared" ref="E370:E388" si="161">ROW(E370)</f>
        <v>370</v>
      </c>
      <c r="F370" s="9" t="s">
        <v>93</v>
      </c>
      <c r="G370" s="21">
        <v>36</v>
      </c>
      <c r="H370" s="21">
        <v>2</v>
      </c>
      <c r="J370" s="9" t="s">
        <v>250</v>
      </c>
      <c r="M370" s="21">
        <f t="shared" ref="M370" si="162">J370+D369</f>
        <v>20019</v>
      </c>
    </row>
    <row r="371" spans="1:13">
      <c r="E371" s="21">
        <f t="shared" si="161"/>
        <v>371</v>
      </c>
      <c r="F371" s="9" t="s">
        <v>142</v>
      </c>
      <c r="M371" s="21">
        <v>199109</v>
      </c>
    </row>
    <row r="372" spans="1:13">
      <c r="E372" s="21">
        <f t="shared" si="161"/>
        <v>372</v>
      </c>
      <c r="F372" s="9" t="s">
        <v>126</v>
      </c>
      <c r="G372" s="21">
        <v>5</v>
      </c>
      <c r="M372" s="21">
        <f t="shared" ref="M372" si="163">G372*C369</f>
        <v>95</v>
      </c>
    </row>
    <row r="373" spans="1:13">
      <c r="E373" s="21">
        <f t="shared" si="161"/>
        <v>373</v>
      </c>
      <c r="F373" s="9" t="s">
        <v>29</v>
      </c>
      <c r="M373" s="21" t="s">
        <v>251</v>
      </c>
    </row>
    <row r="374" spans="1:13">
      <c r="E374" s="21">
        <f t="shared" si="161"/>
        <v>374</v>
      </c>
      <c r="F374" s="9" t="s">
        <v>118</v>
      </c>
      <c r="G374" s="21" t="s">
        <v>256</v>
      </c>
      <c r="H374" s="21" t="s">
        <v>256</v>
      </c>
      <c r="I374" s="21" t="s">
        <v>256</v>
      </c>
      <c r="J374" s="9" t="s">
        <v>256</v>
      </c>
      <c r="M374" s="21" t="str" cm="1">
        <f t="array" ref="M374">_xlfn.SWITCH(MOD(C369,4),1,G374,2,H374,3,J374,0,I374)</f>
        <v>Shot2_purple</v>
      </c>
    </row>
    <row r="375" spans="1:13">
      <c r="E375" s="21">
        <f t="shared" si="161"/>
        <v>375</v>
      </c>
      <c r="F375" s="9" t="s">
        <v>98</v>
      </c>
      <c r="K375" s="9" t="s">
        <v>137</v>
      </c>
      <c r="M375" s="21">
        <v>2</v>
      </c>
    </row>
    <row r="376" spans="1:13">
      <c r="E376" s="21">
        <f t="shared" si="161"/>
        <v>376</v>
      </c>
      <c r="F376" s="9" t="s">
        <v>175</v>
      </c>
      <c r="G376" s="21" t="s">
        <v>252</v>
      </c>
      <c r="H376" s="21" t="s">
        <v>254</v>
      </c>
      <c r="K376" s="9" t="s">
        <v>136</v>
      </c>
      <c r="M376" s="21" t="str">
        <f t="shared" ref="M376" si="164">IF(MOD(B369,2)=1,G376,H376)</f>
        <v>0.3,0</v>
      </c>
    </row>
    <row r="377" spans="1:13">
      <c r="E377" s="21">
        <f t="shared" si="161"/>
        <v>377</v>
      </c>
      <c r="F377" s="9" t="s">
        <v>117</v>
      </c>
      <c r="M377" s="21" t="b">
        <v>1</v>
      </c>
    </row>
    <row r="378" spans="1:13">
      <c r="E378" s="21">
        <f t="shared" si="161"/>
        <v>378</v>
      </c>
      <c r="F378" s="9" t="s">
        <v>31</v>
      </c>
      <c r="L378" s="9" t="s">
        <v>134</v>
      </c>
      <c r="M378" s="21">
        <v>270</v>
      </c>
    </row>
    <row r="379" spans="1:13">
      <c r="E379" s="21">
        <f t="shared" si="161"/>
        <v>379</v>
      </c>
      <c r="F379" s="9" t="s">
        <v>111</v>
      </c>
      <c r="G379" s="21">
        <v>120</v>
      </c>
      <c r="H379" s="21">
        <v>-120</v>
      </c>
      <c r="L379" s="9" t="s">
        <v>134</v>
      </c>
      <c r="M379" s="21">
        <f t="shared" ref="M379" si="165">IF(MOD(B369,2)=1,G379,H379)</f>
        <v>120</v>
      </c>
    </row>
    <row r="380" spans="1:13">
      <c r="E380" s="21">
        <f t="shared" si="161"/>
        <v>380</v>
      </c>
      <c r="F380" s="9" t="s">
        <v>114</v>
      </c>
      <c r="M380" s="21" t="b">
        <v>1</v>
      </c>
    </row>
    <row r="381" spans="1:13">
      <c r="E381" s="21">
        <f t="shared" si="161"/>
        <v>381</v>
      </c>
      <c r="F381" s="9" t="s">
        <v>30</v>
      </c>
      <c r="M381" s="21">
        <v>3</v>
      </c>
    </row>
    <row r="382" spans="1:13">
      <c r="E382" s="21">
        <f t="shared" si="161"/>
        <v>382</v>
      </c>
      <c r="F382" s="9" t="s">
        <v>196</v>
      </c>
      <c r="M382" s="21">
        <v>0</v>
      </c>
    </row>
    <row r="383" spans="1:13">
      <c r="E383" s="21">
        <f t="shared" si="161"/>
        <v>383</v>
      </c>
      <c r="F383" s="9" t="s">
        <v>35</v>
      </c>
      <c r="G383" s="21">
        <v>185</v>
      </c>
      <c r="H383" s="21">
        <v>195</v>
      </c>
      <c r="I383" s="21">
        <v>205</v>
      </c>
      <c r="J383" s="9" t="s">
        <v>257</v>
      </c>
      <c r="M383" s="21" t="str" cm="1">
        <f t="array" ref="M383">_xlfn.SWITCH(MOD(C369,4),1,G383,2,H383,3,J383,0,I383)</f>
        <v>215</v>
      </c>
    </row>
    <row r="384" spans="1:13">
      <c r="E384" s="21">
        <f t="shared" si="161"/>
        <v>384</v>
      </c>
      <c r="F384" s="9" t="s">
        <v>101</v>
      </c>
      <c r="M384" s="21">
        <f t="shared" ref="M384" si="166">M370*10+1</f>
        <v>200191</v>
      </c>
    </row>
    <row r="385" spans="1:13">
      <c r="E385" s="21">
        <f t="shared" si="161"/>
        <v>385</v>
      </c>
      <c r="F385" s="9" t="s">
        <v>142</v>
      </c>
      <c r="M385" s="21">
        <f t="shared" ref="M385" si="167">M370</f>
        <v>20019</v>
      </c>
    </row>
    <row r="386" spans="1:13">
      <c r="E386" s="21">
        <f t="shared" si="161"/>
        <v>386</v>
      </c>
      <c r="F386" s="9" t="s">
        <v>127</v>
      </c>
      <c r="M386" s="21">
        <v>0</v>
      </c>
    </row>
    <row r="387" spans="1:13">
      <c r="E387" s="21">
        <f t="shared" si="161"/>
        <v>387</v>
      </c>
      <c r="F387" s="9" t="s">
        <v>111</v>
      </c>
      <c r="L387" s="9" t="s">
        <v>134</v>
      </c>
      <c r="M387" s="21">
        <v>0</v>
      </c>
    </row>
    <row r="388" spans="1:13">
      <c r="E388" s="21">
        <f t="shared" si="161"/>
        <v>388</v>
      </c>
      <c r="F388" s="9" t="s">
        <v>115</v>
      </c>
      <c r="M388" s="21">
        <v>1.5</v>
      </c>
    </row>
    <row r="389" spans="1:13">
      <c r="A389" s="21" t="s">
        <v>227</v>
      </c>
      <c r="B389" s="21">
        <f t="shared" ref="B389" si="168">QUOTIENT( D389-1,G390)+1</f>
        <v>1</v>
      </c>
      <c r="C389" s="21">
        <f t="shared" ref="C389" si="169">D389-(B389-1)*G390</f>
        <v>20</v>
      </c>
      <c r="D389" s="21">
        <f>COUNT($D$8:$D388)+1</f>
        <v>20</v>
      </c>
    </row>
    <row r="390" spans="1:13">
      <c r="E390" s="21">
        <f t="shared" ref="E390:E408" si="170">ROW(E390)</f>
        <v>390</v>
      </c>
      <c r="F390" s="9" t="s">
        <v>93</v>
      </c>
      <c r="G390" s="21">
        <v>36</v>
      </c>
      <c r="H390" s="21">
        <v>2</v>
      </c>
      <c r="J390" s="9" t="s">
        <v>250</v>
      </c>
      <c r="M390" s="21">
        <f t="shared" ref="M390" si="171">J390+D389</f>
        <v>20020</v>
      </c>
    </row>
    <row r="391" spans="1:13">
      <c r="E391" s="21">
        <f t="shared" si="170"/>
        <v>391</v>
      </c>
      <c r="F391" s="9" t="s">
        <v>142</v>
      </c>
      <c r="M391" s="21">
        <v>199109</v>
      </c>
    </row>
    <row r="392" spans="1:13">
      <c r="E392" s="21">
        <f t="shared" si="170"/>
        <v>392</v>
      </c>
      <c r="F392" s="9" t="s">
        <v>126</v>
      </c>
      <c r="G392" s="21">
        <v>5</v>
      </c>
      <c r="M392" s="21">
        <f t="shared" ref="M392" si="172">G392*C389</f>
        <v>100</v>
      </c>
    </row>
    <row r="393" spans="1:13">
      <c r="E393" s="21">
        <f t="shared" si="170"/>
        <v>393</v>
      </c>
      <c r="F393" s="9" t="s">
        <v>29</v>
      </c>
      <c r="M393" s="21" t="s">
        <v>251</v>
      </c>
    </row>
    <row r="394" spans="1:13">
      <c r="E394" s="21">
        <f t="shared" si="170"/>
        <v>394</v>
      </c>
      <c r="F394" s="9" t="s">
        <v>118</v>
      </c>
      <c r="G394" s="21" t="s">
        <v>256</v>
      </c>
      <c r="H394" s="21" t="s">
        <v>256</v>
      </c>
      <c r="I394" s="21" t="s">
        <v>256</v>
      </c>
      <c r="J394" s="9" t="s">
        <v>256</v>
      </c>
      <c r="M394" s="21" t="str" cm="1">
        <f t="array" ref="M394">_xlfn.SWITCH(MOD(C389,4),1,G394,2,H394,3,J394,0,I394)</f>
        <v>Shot2_purple</v>
      </c>
    </row>
    <row r="395" spans="1:13">
      <c r="E395" s="21">
        <f t="shared" si="170"/>
        <v>395</v>
      </c>
      <c r="F395" s="9" t="s">
        <v>98</v>
      </c>
      <c r="K395" s="9" t="s">
        <v>137</v>
      </c>
      <c r="M395" s="21">
        <v>2</v>
      </c>
    </row>
    <row r="396" spans="1:13">
      <c r="E396" s="21">
        <f t="shared" si="170"/>
        <v>396</v>
      </c>
      <c r="F396" s="9" t="s">
        <v>175</v>
      </c>
      <c r="G396" s="21" t="s">
        <v>252</v>
      </c>
      <c r="H396" s="21" t="s">
        <v>254</v>
      </c>
      <c r="K396" s="9" t="s">
        <v>136</v>
      </c>
      <c r="M396" s="21" t="str">
        <f t="shared" ref="M396" si="173">IF(MOD(B389,2)=1,G396,H396)</f>
        <v>0.3,0</v>
      </c>
    </row>
    <row r="397" spans="1:13">
      <c r="E397" s="21">
        <f t="shared" si="170"/>
        <v>397</v>
      </c>
      <c r="F397" s="9" t="s">
        <v>117</v>
      </c>
      <c r="M397" s="21" t="b">
        <v>1</v>
      </c>
    </row>
    <row r="398" spans="1:13">
      <c r="E398" s="21">
        <f t="shared" si="170"/>
        <v>398</v>
      </c>
      <c r="F398" s="9" t="s">
        <v>31</v>
      </c>
      <c r="L398" s="9" t="s">
        <v>134</v>
      </c>
      <c r="M398" s="21">
        <v>270</v>
      </c>
    </row>
    <row r="399" spans="1:13">
      <c r="E399" s="21">
        <f t="shared" si="170"/>
        <v>399</v>
      </c>
      <c r="F399" s="9" t="s">
        <v>111</v>
      </c>
      <c r="G399" s="21">
        <v>120</v>
      </c>
      <c r="H399" s="21">
        <v>-120</v>
      </c>
      <c r="L399" s="9" t="s">
        <v>134</v>
      </c>
      <c r="M399" s="21">
        <f t="shared" ref="M399" si="174">IF(MOD(B389,2)=1,G399,H399)</f>
        <v>120</v>
      </c>
    </row>
    <row r="400" spans="1:13">
      <c r="E400" s="21">
        <f t="shared" si="170"/>
        <v>400</v>
      </c>
      <c r="F400" s="9" t="s">
        <v>114</v>
      </c>
      <c r="M400" s="21" t="b">
        <v>1</v>
      </c>
    </row>
    <row r="401" spans="1:13">
      <c r="E401" s="21">
        <f t="shared" si="170"/>
        <v>401</v>
      </c>
      <c r="F401" s="9" t="s">
        <v>30</v>
      </c>
      <c r="M401" s="21">
        <v>3</v>
      </c>
    </row>
    <row r="402" spans="1:13">
      <c r="E402" s="21">
        <f t="shared" si="170"/>
        <v>402</v>
      </c>
      <c r="F402" s="9" t="s">
        <v>196</v>
      </c>
      <c r="M402" s="21">
        <v>0</v>
      </c>
    </row>
    <row r="403" spans="1:13">
      <c r="E403" s="21">
        <f t="shared" si="170"/>
        <v>403</v>
      </c>
      <c r="F403" s="9" t="s">
        <v>35</v>
      </c>
      <c r="G403" s="21">
        <v>185</v>
      </c>
      <c r="H403" s="21">
        <v>195</v>
      </c>
      <c r="I403" s="21">
        <v>205</v>
      </c>
      <c r="J403" s="9" t="s">
        <v>257</v>
      </c>
      <c r="M403" s="21" cm="1">
        <f t="array" ref="M403">_xlfn.SWITCH(MOD(C389,4),1,G403,2,H403,3,J403,0,I403)</f>
        <v>205</v>
      </c>
    </row>
    <row r="404" spans="1:13">
      <c r="E404" s="21">
        <f t="shared" si="170"/>
        <v>404</v>
      </c>
      <c r="F404" s="9" t="s">
        <v>101</v>
      </c>
      <c r="M404" s="21">
        <f t="shared" ref="M404" si="175">M390*10+1</f>
        <v>200201</v>
      </c>
    </row>
    <row r="405" spans="1:13">
      <c r="E405" s="21">
        <f t="shared" si="170"/>
        <v>405</v>
      </c>
      <c r="F405" s="9" t="s">
        <v>142</v>
      </c>
      <c r="M405" s="21">
        <f t="shared" ref="M405" si="176">M390</f>
        <v>20020</v>
      </c>
    </row>
    <row r="406" spans="1:13">
      <c r="E406" s="21">
        <f t="shared" si="170"/>
        <v>406</v>
      </c>
      <c r="F406" s="9" t="s">
        <v>127</v>
      </c>
      <c r="M406" s="21">
        <v>0</v>
      </c>
    </row>
    <row r="407" spans="1:13">
      <c r="E407" s="21">
        <f t="shared" si="170"/>
        <v>407</v>
      </c>
      <c r="F407" s="9" t="s">
        <v>111</v>
      </c>
      <c r="L407" s="9" t="s">
        <v>134</v>
      </c>
      <c r="M407" s="21">
        <v>0</v>
      </c>
    </row>
    <row r="408" spans="1:13">
      <c r="E408" s="21">
        <f t="shared" si="170"/>
        <v>408</v>
      </c>
      <c r="F408" s="9" t="s">
        <v>115</v>
      </c>
      <c r="M408" s="21">
        <v>1.5</v>
      </c>
    </row>
    <row r="409" spans="1:13">
      <c r="A409" s="21" t="s">
        <v>227</v>
      </c>
      <c r="B409" s="21">
        <f t="shared" ref="B409" si="177">QUOTIENT( D409-1,G410)+1</f>
        <v>1</v>
      </c>
      <c r="C409" s="21">
        <f t="shared" ref="C409" si="178">D409-(B409-1)*G410</f>
        <v>21</v>
      </c>
      <c r="D409" s="21">
        <f>COUNT($D$8:$D408)+1</f>
        <v>21</v>
      </c>
    </row>
    <row r="410" spans="1:13">
      <c r="E410" s="21">
        <f t="shared" ref="E410:E428" si="179">ROW(E410)</f>
        <v>410</v>
      </c>
      <c r="F410" s="9" t="s">
        <v>93</v>
      </c>
      <c r="G410" s="21">
        <v>36</v>
      </c>
      <c r="H410" s="21">
        <v>2</v>
      </c>
      <c r="J410" s="9" t="s">
        <v>250</v>
      </c>
      <c r="M410" s="21">
        <f t="shared" ref="M410" si="180">J410+D409</f>
        <v>20021</v>
      </c>
    </row>
    <row r="411" spans="1:13">
      <c r="E411" s="21">
        <f t="shared" si="179"/>
        <v>411</v>
      </c>
      <c r="F411" s="9" t="s">
        <v>142</v>
      </c>
      <c r="M411" s="21">
        <v>199109</v>
      </c>
    </row>
    <row r="412" spans="1:13">
      <c r="E412" s="21">
        <f t="shared" si="179"/>
        <v>412</v>
      </c>
      <c r="F412" s="9" t="s">
        <v>126</v>
      </c>
      <c r="G412" s="21">
        <v>5</v>
      </c>
      <c r="M412" s="21">
        <f t="shared" ref="M412" si="181">G412*C409</f>
        <v>105</v>
      </c>
    </row>
    <row r="413" spans="1:13">
      <c r="E413" s="21">
        <f t="shared" si="179"/>
        <v>413</v>
      </c>
      <c r="F413" s="9" t="s">
        <v>29</v>
      </c>
      <c r="M413" s="21" t="s">
        <v>251</v>
      </c>
    </row>
    <row r="414" spans="1:13">
      <c r="E414" s="21">
        <f t="shared" si="179"/>
        <v>414</v>
      </c>
      <c r="F414" s="9" t="s">
        <v>118</v>
      </c>
      <c r="G414" s="21" t="s">
        <v>256</v>
      </c>
      <c r="H414" s="21" t="s">
        <v>256</v>
      </c>
      <c r="I414" s="21" t="s">
        <v>256</v>
      </c>
      <c r="J414" s="9" t="s">
        <v>256</v>
      </c>
      <c r="M414" s="21" t="str" cm="1">
        <f t="array" ref="M414">_xlfn.SWITCH(MOD(C409,4),1,G414,2,H414,3,J414,0,I414)</f>
        <v>Shot2_purple</v>
      </c>
    </row>
    <row r="415" spans="1:13">
      <c r="E415" s="21">
        <f t="shared" si="179"/>
        <v>415</v>
      </c>
      <c r="F415" s="9" t="s">
        <v>98</v>
      </c>
      <c r="K415" s="9" t="s">
        <v>137</v>
      </c>
      <c r="M415" s="21">
        <v>2</v>
      </c>
    </row>
    <row r="416" spans="1:13">
      <c r="E416" s="21">
        <f t="shared" si="179"/>
        <v>416</v>
      </c>
      <c r="F416" s="9" t="s">
        <v>175</v>
      </c>
      <c r="G416" s="21" t="s">
        <v>252</v>
      </c>
      <c r="H416" s="21" t="s">
        <v>254</v>
      </c>
      <c r="K416" s="9" t="s">
        <v>136</v>
      </c>
      <c r="M416" s="21" t="str">
        <f t="shared" ref="M416" si="182">IF(MOD(B409,2)=1,G416,H416)</f>
        <v>0.3,0</v>
      </c>
    </row>
    <row r="417" spans="1:13">
      <c r="E417" s="21">
        <f t="shared" si="179"/>
        <v>417</v>
      </c>
      <c r="F417" s="9" t="s">
        <v>117</v>
      </c>
      <c r="M417" s="21" t="b">
        <v>1</v>
      </c>
    </row>
    <row r="418" spans="1:13">
      <c r="E418" s="21">
        <f t="shared" si="179"/>
        <v>418</v>
      </c>
      <c r="F418" s="9" t="s">
        <v>31</v>
      </c>
      <c r="L418" s="9" t="s">
        <v>134</v>
      </c>
      <c r="M418" s="21">
        <v>270</v>
      </c>
    </row>
    <row r="419" spans="1:13">
      <c r="E419" s="21">
        <f t="shared" si="179"/>
        <v>419</v>
      </c>
      <c r="F419" s="9" t="s">
        <v>111</v>
      </c>
      <c r="G419" s="21">
        <v>120</v>
      </c>
      <c r="H419" s="21">
        <v>-120</v>
      </c>
      <c r="L419" s="9" t="s">
        <v>134</v>
      </c>
      <c r="M419" s="21">
        <f t="shared" ref="M419" si="183">IF(MOD(B409,2)=1,G419,H419)</f>
        <v>120</v>
      </c>
    </row>
    <row r="420" spans="1:13">
      <c r="E420" s="21">
        <f t="shared" si="179"/>
        <v>420</v>
      </c>
      <c r="F420" s="9" t="s">
        <v>114</v>
      </c>
      <c r="M420" s="21" t="b">
        <v>1</v>
      </c>
    </row>
    <row r="421" spans="1:13">
      <c r="E421" s="21">
        <f t="shared" si="179"/>
        <v>421</v>
      </c>
      <c r="F421" s="9" t="s">
        <v>30</v>
      </c>
      <c r="M421" s="21">
        <v>3</v>
      </c>
    </row>
    <row r="422" spans="1:13">
      <c r="E422" s="21">
        <f t="shared" si="179"/>
        <v>422</v>
      </c>
      <c r="F422" s="9" t="s">
        <v>196</v>
      </c>
      <c r="M422" s="21">
        <v>0</v>
      </c>
    </row>
    <row r="423" spans="1:13">
      <c r="E423" s="21">
        <f t="shared" si="179"/>
        <v>423</v>
      </c>
      <c r="F423" s="9" t="s">
        <v>35</v>
      </c>
      <c r="G423" s="21">
        <v>185</v>
      </c>
      <c r="H423" s="21">
        <v>195</v>
      </c>
      <c r="I423" s="21">
        <v>205</v>
      </c>
      <c r="J423" s="9" t="s">
        <v>257</v>
      </c>
      <c r="M423" s="21" cm="1">
        <f t="array" ref="M423">_xlfn.SWITCH(MOD(C409,4),1,G423,2,H423,3,J423,0,I423)</f>
        <v>185</v>
      </c>
    </row>
    <row r="424" spans="1:13">
      <c r="E424" s="21">
        <f t="shared" si="179"/>
        <v>424</v>
      </c>
      <c r="F424" s="9" t="s">
        <v>101</v>
      </c>
      <c r="M424" s="21">
        <f t="shared" ref="M424" si="184">M410*10+1</f>
        <v>200211</v>
      </c>
    </row>
    <row r="425" spans="1:13">
      <c r="E425" s="21">
        <f t="shared" si="179"/>
        <v>425</v>
      </c>
      <c r="F425" s="9" t="s">
        <v>142</v>
      </c>
      <c r="M425" s="21">
        <f t="shared" ref="M425" si="185">M410</f>
        <v>20021</v>
      </c>
    </row>
    <row r="426" spans="1:13">
      <c r="E426" s="21">
        <f t="shared" si="179"/>
        <v>426</v>
      </c>
      <c r="F426" s="9" t="s">
        <v>127</v>
      </c>
      <c r="M426" s="21">
        <v>0</v>
      </c>
    </row>
    <row r="427" spans="1:13">
      <c r="E427" s="21">
        <f t="shared" si="179"/>
        <v>427</v>
      </c>
      <c r="F427" s="9" t="s">
        <v>111</v>
      </c>
      <c r="L427" s="9" t="s">
        <v>134</v>
      </c>
      <c r="M427" s="21">
        <v>0</v>
      </c>
    </row>
    <row r="428" spans="1:13">
      <c r="E428" s="21">
        <f t="shared" si="179"/>
        <v>428</v>
      </c>
      <c r="F428" s="9" t="s">
        <v>115</v>
      </c>
      <c r="M428" s="21">
        <v>1.5</v>
      </c>
    </row>
    <row r="429" spans="1:13">
      <c r="A429" s="21" t="s">
        <v>227</v>
      </c>
      <c r="B429" s="21">
        <f t="shared" ref="B429" si="186">QUOTIENT( D429-1,G430)+1</f>
        <v>1</v>
      </c>
      <c r="C429" s="21">
        <f t="shared" ref="C429" si="187">D429-(B429-1)*G430</f>
        <v>22</v>
      </c>
      <c r="D429" s="21">
        <f>COUNT($D$8:$D428)+1</f>
        <v>22</v>
      </c>
    </row>
    <row r="430" spans="1:13">
      <c r="E430" s="21">
        <f t="shared" ref="E430:E448" si="188">ROW(E430)</f>
        <v>430</v>
      </c>
      <c r="F430" s="9" t="s">
        <v>93</v>
      </c>
      <c r="G430" s="21">
        <v>36</v>
      </c>
      <c r="H430" s="21">
        <v>2</v>
      </c>
      <c r="J430" s="9" t="s">
        <v>250</v>
      </c>
      <c r="M430" s="21">
        <f t="shared" ref="M430" si="189">J430+D429</f>
        <v>20022</v>
      </c>
    </row>
    <row r="431" spans="1:13">
      <c r="E431" s="21">
        <f t="shared" si="188"/>
        <v>431</v>
      </c>
      <c r="F431" s="9" t="s">
        <v>142</v>
      </c>
      <c r="M431" s="21">
        <v>199109</v>
      </c>
    </row>
    <row r="432" spans="1:13">
      <c r="E432" s="21">
        <f t="shared" si="188"/>
        <v>432</v>
      </c>
      <c r="F432" s="9" t="s">
        <v>126</v>
      </c>
      <c r="G432" s="21">
        <v>5</v>
      </c>
      <c r="M432" s="21">
        <f t="shared" ref="M432" si="190">G432*C429</f>
        <v>110</v>
      </c>
    </row>
    <row r="433" spans="5:13">
      <c r="E433" s="21">
        <f t="shared" si="188"/>
        <v>433</v>
      </c>
      <c r="F433" s="9" t="s">
        <v>29</v>
      </c>
      <c r="M433" s="21" t="s">
        <v>251</v>
      </c>
    </row>
    <row r="434" spans="5:13">
      <c r="E434" s="21">
        <f t="shared" si="188"/>
        <v>434</v>
      </c>
      <c r="F434" s="9" t="s">
        <v>118</v>
      </c>
      <c r="G434" s="21" t="s">
        <v>256</v>
      </c>
      <c r="H434" s="21" t="s">
        <v>256</v>
      </c>
      <c r="I434" s="21" t="s">
        <v>256</v>
      </c>
      <c r="J434" s="9" t="s">
        <v>256</v>
      </c>
      <c r="M434" s="21" t="str" cm="1">
        <f t="array" ref="M434">_xlfn.SWITCH(MOD(C429,4),1,G434,2,H434,3,J434,0,I434)</f>
        <v>Shot2_purple</v>
      </c>
    </row>
    <row r="435" spans="5:13">
      <c r="E435" s="21">
        <f t="shared" si="188"/>
        <v>435</v>
      </c>
      <c r="F435" s="9" t="s">
        <v>98</v>
      </c>
      <c r="K435" s="9" t="s">
        <v>137</v>
      </c>
      <c r="M435" s="21">
        <v>2</v>
      </c>
    </row>
    <row r="436" spans="5:13">
      <c r="E436" s="21">
        <f t="shared" si="188"/>
        <v>436</v>
      </c>
      <c r="F436" s="9" t="s">
        <v>175</v>
      </c>
      <c r="G436" s="21" t="s">
        <v>252</v>
      </c>
      <c r="H436" s="21" t="s">
        <v>254</v>
      </c>
      <c r="K436" s="9" t="s">
        <v>136</v>
      </c>
      <c r="M436" s="21" t="str">
        <f t="shared" ref="M436" si="191">IF(MOD(B429,2)=1,G436,H436)</f>
        <v>0.3,0</v>
      </c>
    </row>
    <row r="437" spans="5:13">
      <c r="E437" s="21">
        <f t="shared" si="188"/>
        <v>437</v>
      </c>
      <c r="F437" s="9" t="s">
        <v>117</v>
      </c>
      <c r="M437" s="21" t="b">
        <v>1</v>
      </c>
    </row>
    <row r="438" spans="5:13">
      <c r="E438" s="21">
        <f t="shared" si="188"/>
        <v>438</v>
      </c>
      <c r="F438" s="9" t="s">
        <v>31</v>
      </c>
      <c r="L438" s="9" t="s">
        <v>134</v>
      </c>
      <c r="M438" s="21">
        <v>270</v>
      </c>
    </row>
    <row r="439" spans="5:13">
      <c r="E439" s="21">
        <f t="shared" si="188"/>
        <v>439</v>
      </c>
      <c r="F439" s="9" t="s">
        <v>111</v>
      </c>
      <c r="G439" s="21">
        <v>120</v>
      </c>
      <c r="H439" s="21">
        <v>-120</v>
      </c>
      <c r="L439" s="9" t="s">
        <v>134</v>
      </c>
      <c r="M439" s="21">
        <f t="shared" ref="M439" si="192">IF(MOD(B429,2)=1,G439,H439)</f>
        <v>120</v>
      </c>
    </row>
    <row r="440" spans="5:13">
      <c r="E440" s="21">
        <f t="shared" si="188"/>
        <v>440</v>
      </c>
      <c r="F440" s="9" t="s">
        <v>114</v>
      </c>
      <c r="M440" s="21" t="b">
        <v>1</v>
      </c>
    </row>
    <row r="441" spans="5:13">
      <c r="E441" s="21">
        <f t="shared" si="188"/>
        <v>441</v>
      </c>
      <c r="F441" s="9" t="s">
        <v>30</v>
      </c>
      <c r="M441" s="21">
        <v>3</v>
      </c>
    </row>
    <row r="442" spans="5:13">
      <c r="E442" s="21">
        <f t="shared" si="188"/>
        <v>442</v>
      </c>
      <c r="F442" s="9" t="s">
        <v>196</v>
      </c>
      <c r="M442" s="21">
        <v>0</v>
      </c>
    </row>
    <row r="443" spans="5:13">
      <c r="E443" s="21">
        <f t="shared" si="188"/>
        <v>443</v>
      </c>
      <c r="F443" s="9" t="s">
        <v>35</v>
      </c>
      <c r="G443" s="21">
        <v>185</v>
      </c>
      <c r="H443" s="21">
        <v>195</v>
      </c>
      <c r="I443" s="21">
        <v>205</v>
      </c>
      <c r="J443" s="9" t="s">
        <v>257</v>
      </c>
      <c r="M443" s="21" cm="1">
        <f t="array" ref="M443">_xlfn.SWITCH(MOD(C429,4),1,G443,2,H443,3,J443,0,I443)</f>
        <v>195</v>
      </c>
    </row>
    <row r="444" spans="5:13">
      <c r="E444" s="21">
        <f t="shared" si="188"/>
        <v>444</v>
      </c>
      <c r="F444" s="9" t="s">
        <v>101</v>
      </c>
      <c r="M444" s="21">
        <f t="shared" ref="M444" si="193">M430*10+1</f>
        <v>200221</v>
      </c>
    </row>
    <row r="445" spans="5:13">
      <c r="E445" s="21">
        <f t="shared" si="188"/>
        <v>445</v>
      </c>
      <c r="F445" s="9" t="s">
        <v>142</v>
      </c>
      <c r="M445" s="21">
        <f t="shared" ref="M445" si="194">M430</f>
        <v>20022</v>
      </c>
    </row>
    <row r="446" spans="5:13">
      <c r="E446" s="21">
        <f t="shared" si="188"/>
        <v>446</v>
      </c>
      <c r="F446" s="9" t="s">
        <v>127</v>
      </c>
      <c r="M446" s="21">
        <v>0</v>
      </c>
    </row>
    <row r="447" spans="5:13">
      <c r="E447" s="21">
        <f t="shared" si="188"/>
        <v>447</v>
      </c>
      <c r="F447" s="9" t="s">
        <v>111</v>
      </c>
      <c r="L447" s="9" t="s">
        <v>134</v>
      </c>
      <c r="M447" s="21">
        <v>0</v>
      </c>
    </row>
    <row r="448" spans="5:13">
      <c r="E448" s="21">
        <f t="shared" si="188"/>
        <v>448</v>
      </c>
      <c r="F448" s="9" t="s">
        <v>115</v>
      </c>
      <c r="M448" s="21">
        <v>1.5</v>
      </c>
    </row>
    <row r="449" spans="1:13">
      <c r="A449" s="21" t="s">
        <v>227</v>
      </c>
      <c r="B449" s="21">
        <f t="shared" ref="B449" si="195">QUOTIENT( D449-1,G450)+1</f>
        <v>1</v>
      </c>
      <c r="C449" s="21">
        <f t="shared" ref="C449" si="196">D449-(B449-1)*G450</f>
        <v>23</v>
      </c>
      <c r="D449" s="21">
        <f>COUNT($D$8:$D448)+1</f>
        <v>23</v>
      </c>
    </row>
    <row r="450" spans="1:13">
      <c r="E450" s="21">
        <f t="shared" ref="E450:E468" si="197">ROW(E450)</f>
        <v>450</v>
      </c>
      <c r="F450" s="9" t="s">
        <v>93</v>
      </c>
      <c r="G450" s="21">
        <v>36</v>
      </c>
      <c r="H450" s="21">
        <v>2</v>
      </c>
      <c r="J450" s="9" t="s">
        <v>250</v>
      </c>
      <c r="M450" s="21">
        <f t="shared" ref="M450" si="198">J450+D449</f>
        <v>20023</v>
      </c>
    </row>
    <row r="451" spans="1:13">
      <c r="E451" s="21">
        <f t="shared" si="197"/>
        <v>451</v>
      </c>
      <c r="F451" s="9" t="s">
        <v>142</v>
      </c>
      <c r="M451" s="21">
        <v>199109</v>
      </c>
    </row>
    <row r="452" spans="1:13">
      <c r="E452" s="21">
        <f t="shared" si="197"/>
        <v>452</v>
      </c>
      <c r="F452" s="9" t="s">
        <v>126</v>
      </c>
      <c r="G452" s="21">
        <v>5</v>
      </c>
      <c r="M452" s="21">
        <f t="shared" ref="M452" si="199">G452*C449</f>
        <v>115</v>
      </c>
    </row>
    <row r="453" spans="1:13">
      <c r="E453" s="21">
        <f t="shared" si="197"/>
        <v>453</v>
      </c>
      <c r="F453" s="9" t="s">
        <v>29</v>
      </c>
      <c r="M453" s="21" t="s">
        <v>251</v>
      </c>
    </row>
    <row r="454" spans="1:13">
      <c r="E454" s="21">
        <f t="shared" si="197"/>
        <v>454</v>
      </c>
      <c r="F454" s="9" t="s">
        <v>118</v>
      </c>
      <c r="G454" s="21" t="s">
        <v>256</v>
      </c>
      <c r="H454" s="21" t="s">
        <v>256</v>
      </c>
      <c r="I454" s="21" t="s">
        <v>256</v>
      </c>
      <c r="J454" s="9" t="s">
        <v>256</v>
      </c>
      <c r="M454" s="21" t="str" cm="1">
        <f t="array" ref="M454">_xlfn.SWITCH(MOD(C449,4),1,G454,2,H454,3,J454,0,I454)</f>
        <v>Shot2_purple</v>
      </c>
    </row>
    <row r="455" spans="1:13">
      <c r="E455" s="21">
        <f t="shared" si="197"/>
        <v>455</v>
      </c>
      <c r="F455" s="9" t="s">
        <v>98</v>
      </c>
      <c r="K455" s="9" t="s">
        <v>137</v>
      </c>
      <c r="M455" s="21">
        <v>2</v>
      </c>
    </row>
    <row r="456" spans="1:13">
      <c r="E456" s="21">
        <f t="shared" si="197"/>
        <v>456</v>
      </c>
      <c r="F456" s="9" t="s">
        <v>175</v>
      </c>
      <c r="G456" s="21" t="s">
        <v>252</v>
      </c>
      <c r="H456" s="21" t="s">
        <v>254</v>
      </c>
      <c r="K456" s="9" t="s">
        <v>136</v>
      </c>
      <c r="M456" s="21" t="str">
        <f t="shared" ref="M456" si="200">IF(MOD(B449,2)=1,G456,H456)</f>
        <v>0.3,0</v>
      </c>
    </row>
    <row r="457" spans="1:13">
      <c r="E457" s="21">
        <f t="shared" si="197"/>
        <v>457</v>
      </c>
      <c r="F457" s="9" t="s">
        <v>117</v>
      </c>
      <c r="M457" s="21" t="b">
        <v>1</v>
      </c>
    </row>
    <row r="458" spans="1:13">
      <c r="E458" s="21">
        <f t="shared" si="197"/>
        <v>458</v>
      </c>
      <c r="F458" s="9" t="s">
        <v>31</v>
      </c>
      <c r="L458" s="9" t="s">
        <v>134</v>
      </c>
      <c r="M458" s="21">
        <v>270</v>
      </c>
    </row>
    <row r="459" spans="1:13">
      <c r="E459" s="21">
        <f t="shared" si="197"/>
        <v>459</v>
      </c>
      <c r="F459" s="9" t="s">
        <v>111</v>
      </c>
      <c r="G459" s="21">
        <v>120</v>
      </c>
      <c r="H459" s="21">
        <v>-120</v>
      </c>
      <c r="L459" s="9" t="s">
        <v>134</v>
      </c>
      <c r="M459" s="21">
        <f t="shared" ref="M459" si="201">IF(MOD(B449,2)=1,G459,H459)</f>
        <v>120</v>
      </c>
    </row>
    <row r="460" spans="1:13">
      <c r="E460" s="21">
        <f t="shared" si="197"/>
        <v>460</v>
      </c>
      <c r="F460" s="9" t="s">
        <v>114</v>
      </c>
      <c r="M460" s="21" t="b">
        <v>1</v>
      </c>
    </row>
    <row r="461" spans="1:13">
      <c r="E461" s="21">
        <f t="shared" si="197"/>
        <v>461</v>
      </c>
      <c r="F461" s="9" t="s">
        <v>30</v>
      </c>
      <c r="M461" s="21">
        <v>3</v>
      </c>
    </row>
    <row r="462" spans="1:13">
      <c r="E462" s="21">
        <f t="shared" si="197"/>
        <v>462</v>
      </c>
      <c r="F462" s="9" t="s">
        <v>196</v>
      </c>
      <c r="M462" s="21">
        <v>0</v>
      </c>
    </row>
    <row r="463" spans="1:13">
      <c r="E463" s="21">
        <f t="shared" si="197"/>
        <v>463</v>
      </c>
      <c r="F463" s="9" t="s">
        <v>35</v>
      </c>
      <c r="G463" s="21">
        <v>185</v>
      </c>
      <c r="H463" s="21">
        <v>195</v>
      </c>
      <c r="I463" s="21">
        <v>205</v>
      </c>
      <c r="J463" s="9" t="s">
        <v>257</v>
      </c>
      <c r="M463" s="21" t="str" cm="1">
        <f t="array" ref="M463">_xlfn.SWITCH(MOD(C449,4),1,G463,2,H463,3,J463,0,I463)</f>
        <v>215</v>
      </c>
    </row>
    <row r="464" spans="1:13">
      <c r="E464" s="21">
        <f t="shared" si="197"/>
        <v>464</v>
      </c>
      <c r="F464" s="9" t="s">
        <v>101</v>
      </c>
      <c r="M464" s="21">
        <f t="shared" ref="M464" si="202">M450*10+1</f>
        <v>200231</v>
      </c>
    </row>
    <row r="465" spans="1:13">
      <c r="E465" s="21">
        <f t="shared" si="197"/>
        <v>465</v>
      </c>
      <c r="F465" s="9" t="s">
        <v>142</v>
      </c>
      <c r="M465" s="21">
        <f t="shared" ref="M465" si="203">M450</f>
        <v>20023</v>
      </c>
    </row>
    <row r="466" spans="1:13">
      <c r="E466" s="21">
        <f t="shared" si="197"/>
        <v>466</v>
      </c>
      <c r="F466" s="9" t="s">
        <v>127</v>
      </c>
      <c r="M466" s="21">
        <v>0</v>
      </c>
    </row>
    <row r="467" spans="1:13">
      <c r="E467" s="21">
        <f t="shared" si="197"/>
        <v>467</v>
      </c>
      <c r="F467" s="9" t="s">
        <v>111</v>
      </c>
      <c r="L467" s="9" t="s">
        <v>134</v>
      </c>
      <c r="M467" s="21">
        <v>0</v>
      </c>
    </row>
    <row r="468" spans="1:13">
      <c r="E468" s="21">
        <f t="shared" si="197"/>
        <v>468</v>
      </c>
      <c r="F468" s="9" t="s">
        <v>115</v>
      </c>
      <c r="M468" s="21">
        <v>1.5</v>
      </c>
    </row>
    <row r="469" spans="1:13">
      <c r="A469" s="21" t="s">
        <v>227</v>
      </c>
      <c r="B469" s="21">
        <f t="shared" ref="B469" si="204">QUOTIENT( D469-1,G470)+1</f>
        <v>1</v>
      </c>
      <c r="C469" s="21">
        <f t="shared" ref="C469" si="205">D469-(B469-1)*G470</f>
        <v>24</v>
      </c>
      <c r="D469" s="21">
        <f>COUNT($D$8:$D468)+1</f>
        <v>24</v>
      </c>
    </row>
    <row r="470" spans="1:13">
      <c r="E470" s="21">
        <f t="shared" ref="E470:E488" si="206">ROW(E470)</f>
        <v>470</v>
      </c>
      <c r="F470" s="9" t="s">
        <v>93</v>
      </c>
      <c r="G470" s="21">
        <v>36</v>
      </c>
      <c r="H470" s="21">
        <v>2</v>
      </c>
      <c r="J470" s="9" t="s">
        <v>250</v>
      </c>
      <c r="M470" s="21">
        <f t="shared" ref="M470" si="207">J470+D469</f>
        <v>20024</v>
      </c>
    </row>
    <row r="471" spans="1:13">
      <c r="E471" s="21">
        <f t="shared" si="206"/>
        <v>471</v>
      </c>
      <c r="F471" s="9" t="s">
        <v>142</v>
      </c>
      <c r="M471" s="21">
        <v>199109</v>
      </c>
    </row>
    <row r="472" spans="1:13">
      <c r="E472" s="21">
        <f t="shared" si="206"/>
        <v>472</v>
      </c>
      <c r="F472" s="9" t="s">
        <v>126</v>
      </c>
      <c r="G472" s="21">
        <v>5</v>
      </c>
      <c r="M472" s="21">
        <f t="shared" ref="M472" si="208">G472*C469</f>
        <v>120</v>
      </c>
    </row>
    <row r="473" spans="1:13">
      <c r="E473" s="21">
        <f t="shared" si="206"/>
        <v>473</v>
      </c>
      <c r="F473" s="9" t="s">
        <v>29</v>
      </c>
      <c r="M473" s="21" t="s">
        <v>251</v>
      </c>
    </row>
    <row r="474" spans="1:13">
      <c r="E474" s="21">
        <f t="shared" si="206"/>
        <v>474</v>
      </c>
      <c r="F474" s="9" t="s">
        <v>118</v>
      </c>
      <c r="G474" s="21" t="s">
        <v>256</v>
      </c>
      <c r="H474" s="21" t="s">
        <v>256</v>
      </c>
      <c r="I474" s="21" t="s">
        <v>256</v>
      </c>
      <c r="J474" s="9" t="s">
        <v>256</v>
      </c>
      <c r="M474" s="21" t="str" cm="1">
        <f t="array" ref="M474">_xlfn.SWITCH(MOD(C469,4),1,G474,2,H474,3,J474,0,I474)</f>
        <v>Shot2_purple</v>
      </c>
    </row>
    <row r="475" spans="1:13">
      <c r="E475" s="21">
        <f t="shared" si="206"/>
        <v>475</v>
      </c>
      <c r="F475" s="9" t="s">
        <v>98</v>
      </c>
      <c r="K475" s="9" t="s">
        <v>137</v>
      </c>
      <c r="M475" s="21">
        <v>2</v>
      </c>
    </row>
    <row r="476" spans="1:13">
      <c r="E476" s="21">
        <f t="shared" si="206"/>
        <v>476</v>
      </c>
      <c r="F476" s="9" t="s">
        <v>175</v>
      </c>
      <c r="G476" s="21" t="s">
        <v>252</v>
      </c>
      <c r="H476" s="21" t="s">
        <v>254</v>
      </c>
      <c r="K476" s="9" t="s">
        <v>136</v>
      </c>
      <c r="M476" s="21" t="str">
        <f t="shared" ref="M476" si="209">IF(MOD(B469,2)=1,G476,H476)</f>
        <v>0.3,0</v>
      </c>
    </row>
    <row r="477" spans="1:13">
      <c r="E477" s="21">
        <f t="shared" si="206"/>
        <v>477</v>
      </c>
      <c r="F477" s="9" t="s">
        <v>117</v>
      </c>
      <c r="M477" s="21" t="b">
        <v>1</v>
      </c>
    </row>
    <row r="478" spans="1:13">
      <c r="E478" s="21">
        <f t="shared" si="206"/>
        <v>478</v>
      </c>
      <c r="F478" s="9" t="s">
        <v>31</v>
      </c>
      <c r="L478" s="9" t="s">
        <v>134</v>
      </c>
      <c r="M478" s="21">
        <v>270</v>
      </c>
    </row>
    <row r="479" spans="1:13">
      <c r="E479" s="21">
        <f t="shared" si="206"/>
        <v>479</v>
      </c>
      <c r="F479" s="9" t="s">
        <v>111</v>
      </c>
      <c r="G479" s="21">
        <v>120</v>
      </c>
      <c r="H479" s="21">
        <v>-120</v>
      </c>
      <c r="L479" s="9" t="s">
        <v>134</v>
      </c>
      <c r="M479" s="21">
        <f t="shared" ref="M479" si="210">IF(MOD(B469,2)=1,G479,H479)</f>
        <v>120</v>
      </c>
    </row>
    <row r="480" spans="1:13">
      <c r="E480" s="21">
        <f t="shared" si="206"/>
        <v>480</v>
      </c>
      <c r="F480" s="9" t="s">
        <v>114</v>
      </c>
      <c r="M480" s="21" t="b">
        <v>1</v>
      </c>
    </row>
    <row r="481" spans="1:13">
      <c r="E481" s="21">
        <f t="shared" si="206"/>
        <v>481</v>
      </c>
      <c r="F481" s="9" t="s">
        <v>30</v>
      </c>
      <c r="M481" s="21">
        <v>3</v>
      </c>
    </row>
    <row r="482" spans="1:13">
      <c r="E482" s="21">
        <f t="shared" si="206"/>
        <v>482</v>
      </c>
      <c r="F482" s="9" t="s">
        <v>196</v>
      </c>
      <c r="M482" s="21">
        <v>0</v>
      </c>
    </row>
    <row r="483" spans="1:13">
      <c r="E483" s="21">
        <f t="shared" si="206"/>
        <v>483</v>
      </c>
      <c r="F483" s="9" t="s">
        <v>35</v>
      </c>
      <c r="G483" s="21">
        <v>185</v>
      </c>
      <c r="H483" s="21">
        <v>195</v>
      </c>
      <c r="I483" s="21">
        <v>205</v>
      </c>
      <c r="J483" s="9" t="s">
        <v>257</v>
      </c>
      <c r="M483" s="21" cm="1">
        <f t="array" ref="M483">_xlfn.SWITCH(MOD(C469,4),1,G483,2,H483,3,J483,0,I483)</f>
        <v>205</v>
      </c>
    </row>
    <row r="484" spans="1:13">
      <c r="E484" s="21">
        <f t="shared" si="206"/>
        <v>484</v>
      </c>
      <c r="F484" s="9" t="s">
        <v>101</v>
      </c>
      <c r="M484" s="21">
        <f t="shared" ref="M484" si="211">M470*10+1</f>
        <v>200241</v>
      </c>
    </row>
    <row r="485" spans="1:13">
      <c r="E485" s="21">
        <f t="shared" si="206"/>
        <v>485</v>
      </c>
      <c r="F485" s="9" t="s">
        <v>142</v>
      </c>
      <c r="M485" s="21">
        <f t="shared" ref="M485" si="212">M470</f>
        <v>20024</v>
      </c>
    </row>
    <row r="486" spans="1:13">
      <c r="E486" s="21">
        <f t="shared" si="206"/>
        <v>486</v>
      </c>
      <c r="F486" s="9" t="s">
        <v>127</v>
      </c>
      <c r="M486" s="21">
        <v>0</v>
      </c>
    </row>
    <row r="487" spans="1:13">
      <c r="E487" s="21">
        <f t="shared" si="206"/>
        <v>487</v>
      </c>
      <c r="F487" s="9" t="s">
        <v>111</v>
      </c>
      <c r="L487" s="9" t="s">
        <v>134</v>
      </c>
      <c r="M487" s="21">
        <v>0</v>
      </c>
    </row>
    <row r="488" spans="1:13">
      <c r="E488" s="21">
        <f t="shared" si="206"/>
        <v>488</v>
      </c>
      <c r="F488" s="9" t="s">
        <v>115</v>
      </c>
      <c r="M488" s="21">
        <v>1.5</v>
      </c>
    </row>
    <row r="489" spans="1:13">
      <c r="A489" s="21" t="s">
        <v>227</v>
      </c>
      <c r="B489" s="21">
        <f t="shared" ref="B489" si="213">QUOTIENT( D489-1,G490)+1</f>
        <v>1</v>
      </c>
      <c r="C489" s="21">
        <f t="shared" ref="C489" si="214">D489-(B489-1)*G490</f>
        <v>25</v>
      </c>
      <c r="D489" s="21">
        <f>COUNT($D$8:$D488)+1</f>
        <v>25</v>
      </c>
    </row>
    <row r="490" spans="1:13">
      <c r="E490" s="21">
        <f t="shared" ref="E490:E508" si="215">ROW(E490)</f>
        <v>490</v>
      </c>
      <c r="F490" s="9" t="s">
        <v>93</v>
      </c>
      <c r="G490" s="21">
        <v>36</v>
      </c>
      <c r="H490" s="21">
        <v>2</v>
      </c>
      <c r="J490" s="9" t="s">
        <v>250</v>
      </c>
      <c r="M490" s="21">
        <f t="shared" ref="M490" si="216">J490+D489</f>
        <v>20025</v>
      </c>
    </row>
    <row r="491" spans="1:13">
      <c r="E491" s="21">
        <f t="shared" si="215"/>
        <v>491</v>
      </c>
      <c r="F491" s="9" t="s">
        <v>142</v>
      </c>
      <c r="M491" s="21">
        <v>199109</v>
      </c>
    </row>
    <row r="492" spans="1:13">
      <c r="E492" s="21">
        <f t="shared" si="215"/>
        <v>492</v>
      </c>
      <c r="F492" s="9" t="s">
        <v>126</v>
      </c>
      <c r="G492" s="21">
        <v>5</v>
      </c>
      <c r="M492" s="21">
        <f t="shared" ref="M492" si="217">G492*C489</f>
        <v>125</v>
      </c>
    </row>
    <row r="493" spans="1:13">
      <c r="E493" s="21">
        <f t="shared" si="215"/>
        <v>493</v>
      </c>
      <c r="F493" s="9" t="s">
        <v>29</v>
      </c>
      <c r="M493" s="21" t="s">
        <v>251</v>
      </c>
    </row>
    <row r="494" spans="1:13">
      <c r="E494" s="21">
        <f t="shared" si="215"/>
        <v>494</v>
      </c>
      <c r="F494" s="9" t="s">
        <v>118</v>
      </c>
      <c r="G494" s="21" t="s">
        <v>256</v>
      </c>
      <c r="H494" s="21" t="s">
        <v>256</v>
      </c>
      <c r="I494" s="21" t="s">
        <v>256</v>
      </c>
      <c r="J494" s="9" t="s">
        <v>256</v>
      </c>
      <c r="M494" s="21" t="str" cm="1">
        <f t="array" ref="M494">_xlfn.SWITCH(MOD(C489,4),1,G494,2,H494,3,J494,0,I494)</f>
        <v>Shot2_purple</v>
      </c>
    </row>
    <row r="495" spans="1:13">
      <c r="E495" s="21">
        <f t="shared" si="215"/>
        <v>495</v>
      </c>
      <c r="F495" s="9" t="s">
        <v>98</v>
      </c>
      <c r="K495" s="9" t="s">
        <v>137</v>
      </c>
      <c r="M495" s="21">
        <v>2</v>
      </c>
    </row>
    <row r="496" spans="1:13">
      <c r="E496" s="21">
        <f t="shared" si="215"/>
        <v>496</v>
      </c>
      <c r="F496" s="9" t="s">
        <v>175</v>
      </c>
      <c r="G496" s="21" t="s">
        <v>252</v>
      </c>
      <c r="H496" s="21" t="s">
        <v>254</v>
      </c>
      <c r="K496" s="9" t="s">
        <v>136</v>
      </c>
      <c r="M496" s="21" t="str">
        <f t="shared" ref="M496" si="218">IF(MOD(B489,2)=1,G496,H496)</f>
        <v>0.3,0</v>
      </c>
    </row>
    <row r="497" spans="1:13">
      <c r="E497" s="21">
        <f t="shared" si="215"/>
        <v>497</v>
      </c>
      <c r="F497" s="9" t="s">
        <v>117</v>
      </c>
      <c r="M497" s="21" t="b">
        <v>1</v>
      </c>
    </row>
    <row r="498" spans="1:13">
      <c r="E498" s="21">
        <f t="shared" si="215"/>
        <v>498</v>
      </c>
      <c r="F498" s="9" t="s">
        <v>31</v>
      </c>
      <c r="L498" s="9" t="s">
        <v>134</v>
      </c>
      <c r="M498" s="21">
        <v>270</v>
      </c>
    </row>
    <row r="499" spans="1:13">
      <c r="E499" s="21">
        <f t="shared" si="215"/>
        <v>499</v>
      </c>
      <c r="F499" s="9" t="s">
        <v>111</v>
      </c>
      <c r="G499" s="21">
        <v>120</v>
      </c>
      <c r="H499" s="21">
        <v>-120</v>
      </c>
      <c r="L499" s="9" t="s">
        <v>134</v>
      </c>
      <c r="M499" s="21">
        <f t="shared" ref="M499" si="219">IF(MOD(B489,2)=1,G499,H499)</f>
        <v>120</v>
      </c>
    </row>
    <row r="500" spans="1:13">
      <c r="E500" s="21">
        <f t="shared" si="215"/>
        <v>500</v>
      </c>
      <c r="F500" s="9" t="s">
        <v>114</v>
      </c>
      <c r="M500" s="21" t="b">
        <v>1</v>
      </c>
    </row>
    <row r="501" spans="1:13">
      <c r="E501" s="21">
        <f t="shared" si="215"/>
        <v>501</v>
      </c>
      <c r="F501" s="9" t="s">
        <v>30</v>
      </c>
      <c r="M501" s="21">
        <v>3</v>
      </c>
    </row>
    <row r="502" spans="1:13">
      <c r="E502" s="21">
        <f t="shared" si="215"/>
        <v>502</v>
      </c>
      <c r="F502" s="9" t="s">
        <v>196</v>
      </c>
      <c r="M502" s="21">
        <v>0</v>
      </c>
    </row>
    <row r="503" spans="1:13">
      <c r="E503" s="21">
        <f t="shared" si="215"/>
        <v>503</v>
      </c>
      <c r="F503" s="9" t="s">
        <v>35</v>
      </c>
      <c r="G503" s="21">
        <v>185</v>
      </c>
      <c r="H503" s="21">
        <v>195</v>
      </c>
      <c r="I503" s="21">
        <v>205</v>
      </c>
      <c r="J503" s="9" t="s">
        <v>257</v>
      </c>
      <c r="M503" s="21" cm="1">
        <f t="array" ref="M503">_xlfn.SWITCH(MOD(C489,4),1,G503,2,H503,3,J503,0,I503)</f>
        <v>185</v>
      </c>
    </row>
    <row r="504" spans="1:13">
      <c r="E504" s="21">
        <f t="shared" si="215"/>
        <v>504</v>
      </c>
      <c r="F504" s="9" t="s">
        <v>101</v>
      </c>
      <c r="M504" s="21">
        <f t="shared" ref="M504" si="220">M490*10+1</f>
        <v>200251</v>
      </c>
    </row>
    <row r="505" spans="1:13">
      <c r="E505" s="21">
        <f t="shared" si="215"/>
        <v>505</v>
      </c>
      <c r="F505" s="9" t="s">
        <v>142</v>
      </c>
      <c r="M505" s="21">
        <f t="shared" ref="M505" si="221">M490</f>
        <v>20025</v>
      </c>
    </row>
    <row r="506" spans="1:13">
      <c r="E506" s="21">
        <f t="shared" si="215"/>
        <v>506</v>
      </c>
      <c r="F506" s="9" t="s">
        <v>127</v>
      </c>
      <c r="M506" s="21">
        <v>0</v>
      </c>
    </row>
    <row r="507" spans="1:13">
      <c r="E507" s="21">
        <f t="shared" si="215"/>
        <v>507</v>
      </c>
      <c r="F507" s="9" t="s">
        <v>111</v>
      </c>
      <c r="L507" s="9" t="s">
        <v>134</v>
      </c>
      <c r="M507" s="21">
        <v>0</v>
      </c>
    </row>
    <row r="508" spans="1:13">
      <c r="E508" s="21">
        <f t="shared" si="215"/>
        <v>508</v>
      </c>
      <c r="F508" s="9" t="s">
        <v>115</v>
      </c>
      <c r="M508" s="21">
        <v>1.5</v>
      </c>
    </row>
    <row r="509" spans="1:13">
      <c r="A509" s="21" t="s">
        <v>227</v>
      </c>
      <c r="B509" s="21">
        <f t="shared" ref="B509" si="222">QUOTIENT( D509-1,G510)+1</f>
        <v>1</v>
      </c>
      <c r="C509" s="21">
        <f t="shared" ref="C509" si="223">D509-(B509-1)*G510</f>
        <v>26</v>
      </c>
      <c r="D509" s="21">
        <f>COUNT($D$8:$D508)+1</f>
        <v>26</v>
      </c>
    </row>
    <row r="510" spans="1:13">
      <c r="E510" s="21">
        <f t="shared" ref="E510:E528" si="224">ROW(E510)</f>
        <v>510</v>
      </c>
      <c r="F510" s="9" t="s">
        <v>93</v>
      </c>
      <c r="G510" s="21">
        <v>36</v>
      </c>
      <c r="H510" s="21">
        <v>2</v>
      </c>
      <c r="J510" s="9" t="s">
        <v>250</v>
      </c>
      <c r="M510" s="21">
        <f t="shared" ref="M510" si="225">J510+D509</f>
        <v>20026</v>
      </c>
    </row>
    <row r="511" spans="1:13">
      <c r="E511" s="21">
        <f t="shared" si="224"/>
        <v>511</v>
      </c>
      <c r="F511" s="9" t="s">
        <v>142</v>
      </c>
      <c r="M511" s="21">
        <v>199109</v>
      </c>
    </row>
    <row r="512" spans="1:13">
      <c r="E512" s="21">
        <f t="shared" si="224"/>
        <v>512</v>
      </c>
      <c r="F512" s="9" t="s">
        <v>126</v>
      </c>
      <c r="G512" s="21">
        <v>5</v>
      </c>
      <c r="M512" s="21">
        <f t="shared" ref="M512" si="226">G512*C509</f>
        <v>130</v>
      </c>
    </row>
    <row r="513" spans="5:13">
      <c r="E513" s="21">
        <f t="shared" si="224"/>
        <v>513</v>
      </c>
      <c r="F513" s="9" t="s">
        <v>29</v>
      </c>
      <c r="M513" s="21" t="s">
        <v>251</v>
      </c>
    </row>
    <row r="514" spans="5:13">
      <c r="E514" s="21">
        <f t="shared" si="224"/>
        <v>514</v>
      </c>
      <c r="F514" s="9" t="s">
        <v>118</v>
      </c>
      <c r="G514" s="21" t="s">
        <v>256</v>
      </c>
      <c r="H514" s="21" t="s">
        <v>256</v>
      </c>
      <c r="I514" s="21" t="s">
        <v>256</v>
      </c>
      <c r="J514" s="9" t="s">
        <v>256</v>
      </c>
      <c r="M514" s="21" t="str" cm="1">
        <f t="array" ref="M514">_xlfn.SWITCH(MOD(C509,4),1,G514,2,H514,3,J514,0,I514)</f>
        <v>Shot2_purple</v>
      </c>
    </row>
    <row r="515" spans="5:13">
      <c r="E515" s="21">
        <f t="shared" si="224"/>
        <v>515</v>
      </c>
      <c r="F515" s="9" t="s">
        <v>98</v>
      </c>
      <c r="K515" s="9" t="s">
        <v>137</v>
      </c>
      <c r="M515" s="21">
        <v>2</v>
      </c>
    </row>
    <row r="516" spans="5:13">
      <c r="E516" s="21">
        <f t="shared" si="224"/>
        <v>516</v>
      </c>
      <c r="F516" s="9" t="s">
        <v>175</v>
      </c>
      <c r="G516" s="21" t="s">
        <v>252</v>
      </c>
      <c r="H516" s="21" t="s">
        <v>254</v>
      </c>
      <c r="K516" s="9" t="s">
        <v>136</v>
      </c>
      <c r="M516" s="21" t="str">
        <f t="shared" ref="M516" si="227">IF(MOD(B509,2)=1,G516,H516)</f>
        <v>0.3,0</v>
      </c>
    </row>
    <row r="517" spans="5:13">
      <c r="E517" s="21">
        <f t="shared" si="224"/>
        <v>517</v>
      </c>
      <c r="F517" s="9" t="s">
        <v>117</v>
      </c>
      <c r="M517" s="21" t="b">
        <v>1</v>
      </c>
    </row>
    <row r="518" spans="5:13">
      <c r="E518" s="21">
        <f t="shared" si="224"/>
        <v>518</v>
      </c>
      <c r="F518" s="9" t="s">
        <v>31</v>
      </c>
      <c r="L518" s="9" t="s">
        <v>134</v>
      </c>
      <c r="M518" s="21">
        <v>270</v>
      </c>
    </row>
    <row r="519" spans="5:13">
      <c r="E519" s="21">
        <f t="shared" si="224"/>
        <v>519</v>
      </c>
      <c r="F519" s="9" t="s">
        <v>111</v>
      </c>
      <c r="G519" s="21">
        <v>120</v>
      </c>
      <c r="H519" s="21">
        <v>-120</v>
      </c>
      <c r="L519" s="9" t="s">
        <v>134</v>
      </c>
      <c r="M519" s="21">
        <f t="shared" ref="M519" si="228">IF(MOD(B509,2)=1,G519,H519)</f>
        <v>120</v>
      </c>
    </row>
    <row r="520" spans="5:13">
      <c r="E520" s="21">
        <f t="shared" si="224"/>
        <v>520</v>
      </c>
      <c r="F520" s="9" t="s">
        <v>114</v>
      </c>
      <c r="M520" s="21" t="b">
        <v>1</v>
      </c>
    </row>
    <row r="521" spans="5:13">
      <c r="E521" s="21">
        <f t="shared" si="224"/>
        <v>521</v>
      </c>
      <c r="F521" s="9" t="s">
        <v>30</v>
      </c>
      <c r="M521" s="21">
        <v>3</v>
      </c>
    </row>
    <row r="522" spans="5:13">
      <c r="E522" s="21">
        <f t="shared" si="224"/>
        <v>522</v>
      </c>
      <c r="F522" s="9" t="s">
        <v>196</v>
      </c>
      <c r="M522" s="21">
        <v>0</v>
      </c>
    </row>
    <row r="523" spans="5:13">
      <c r="E523" s="21">
        <f t="shared" si="224"/>
        <v>523</v>
      </c>
      <c r="F523" s="9" t="s">
        <v>35</v>
      </c>
      <c r="G523" s="21">
        <v>185</v>
      </c>
      <c r="H523" s="21">
        <v>195</v>
      </c>
      <c r="I523" s="21">
        <v>205</v>
      </c>
      <c r="J523" s="9" t="s">
        <v>257</v>
      </c>
      <c r="M523" s="21" cm="1">
        <f t="array" ref="M523">_xlfn.SWITCH(MOD(C509,4),1,G523,2,H523,3,J523,0,I523)</f>
        <v>195</v>
      </c>
    </row>
    <row r="524" spans="5:13">
      <c r="E524" s="21">
        <f t="shared" si="224"/>
        <v>524</v>
      </c>
      <c r="F524" s="9" t="s">
        <v>101</v>
      </c>
      <c r="M524" s="21">
        <f t="shared" ref="M524" si="229">M510*10+1</f>
        <v>200261</v>
      </c>
    </row>
    <row r="525" spans="5:13">
      <c r="E525" s="21">
        <f t="shared" si="224"/>
        <v>525</v>
      </c>
      <c r="F525" s="9" t="s">
        <v>142</v>
      </c>
      <c r="M525" s="21">
        <f t="shared" ref="M525" si="230">M510</f>
        <v>20026</v>
      </c>
    </row>
    <row r="526" spans="5:13">
      <c r="E526" s="21">
        <f t="shared" si="224"/>
        <v>526</v>
      </c>
      <c r="F526" s="9" t="s">
        <v>127</v>
      </c>
      <c r="M526" s="21">
        <v>0</v>
      </c>
    </row>
    <row r="527" spans="5:13">
      <c r="E527" s="21">
        <f t="shared" si="224"/>
        <v>527</v>
      </c>
      <c r="F527" s="9" t="s">
        <v>111</v>
      </c>
      <c r="L527" s="9" t="s">
        <v>134</v>
      </c>
      <c r="M527" s="21">
        <v>0</v>
      </c>
    </row>
    <row r="528" spans="5:13">
      <c r="E528" s="21">
        <f t="shared" si="224"/>
        <v>528</v>
      </c>
      <c r="F528" s="9" t="s">
        <v>115</v>
      </c>
      <c r="M528" s="21">
        <v>1.5</v>
      </c>
    </row>
    <row r="529" spans="1:13">
      <c r="A529" s="21" t="s">
        <v>227</v>
      </c>
      <c r="B529" s="21">
        <f t="shared" ref="B529" si="231">QUOTIENT( D529-1,G530)+1</f>
        <v>1</v>
      </c>
      <c r="C529" s="21">
        <f t="shared" ref="C529" si="232">D529-(B529-1)*G530</f>
        <v>27</v>
      </c>
      <c r="D529" s="21">
        <f>COUNT($D$8:$D528)+1</f>
        <v>27</v>
      </c>
    </row>
    <row r="530" spans="1:13">
      <c r="E530" s="21">
        <f t="shared" ref="E530:E548" si="233">ROW(E530)</f>
        <v>530</v>
      </c>
      <c r="F530" s="9" t="s">
        <v>93</v>
      </c>
      <c r="G530" s="21">
        <v>36</v>
      </c>
      <c r="H530" s="21">
        <v>2</v>
      </c>
      <c r="J530" s="9" t="s">
        <v>250</v>
      </c>
      <c r="M530" s="21">
        <f t="shared" ref="M530" si="234">J530+D529</f>
        <v>20027</v>
      </c>
    </row>
    <row r="531" spans="1:13">
      <c r="E531" s="21">
        <f t="shared" si="233"/>
        <v>531</v>
      </c>
      <c r="F531" s="9" t="s">
        <v>142</v>
      </c>
      <c r="M531" s="21">
        <v>199109</v>
      </c>
    </row>
    <row r="532" spans="1:13">
      <c r="E532" s="21">
        <f t="shared" si="233"/>
        <v>532</v>
      </c>
      <c r="F532" s="9" t="s">
        <v>126</v>
      </c>
      <c r="G532" s="21">
        <v>5</v>
      </c>
      <c r="M532" s="21">
        <f t="shared" ref="M532" si="235">G532*C529</f>
        <v>135</v>
      </c>
    </row>
    <row r="533" spans="1:13">
      <c r="E533" s="21">
        <f t="shared" si="233"/>
        <v>533</v>
      </c>
      <c r="F533" s="9" t="s">
        <v>29</v>
      </c>
      <c r="M533" s="21" t="s">
        <v>251</v>
      </c>
    </row>
    <row r="534" spans="1:13">
      <c r="E534" s="21">
        <f t="shared" si="233"/>
        <v>534</v>
      </c>
      <c r="F534" s="9" t="s">
        <v>118</v>
      </c>
      <c r="G534" s="21" t="s">
        <v>256</v>
      </c>
      <c r="H534" s="21" t="s">
        <v>256</v>
      </c>
      <c r="I534" s="21" t="s">
        <v>256</v>
      </c>
      <c r="J534" s="9" t="s">
        <v>256</v>
      </c>
      <c r="M534" s="21" t="str" cm="1">
        <f t="array" ref="M534">_xlfn.SWITCH(MOD(C529,4),1,G534,2,H534,3,J534,0,I534)</f>
        <v>Shot2_purple</v>
      </c>
    </row>
    <row r="535" spans="1:13">
      <c r="E535" s="21">
        <f t="shared" si="233"/>
        <v>535</v>
      </c>
      <c r="F535" s="9" t="s">
        <v>98</v>
      </c>
      <c r="K535" s="9" t="s">
        <v>137</v>
      </c>
      <c r="M535" s="21">
        <v>2</v>
      </c>
    </row>
    <row r="536" spans="1:13">
      <c r="E536" s="21">
        <f t="shared" si="233"/>
        <v>536</v>
      </c>
      <c r="F536" s="9" t="s">
        <v>175</v>
      </c>
      <c r="G536" s="21" t="s">
        <v>252</v>
      </c>
      <c r="H536" s="21" t="s">
        <v>254</v>
      </c>
      <c r="K536" s="9" t="s">
        <v>136</v>
      </c>
      <c r="M536" s="21" t="str">
        <f t="shared" ref="M536" si="236">IF(MOD(B529,2)=1,G536,H536)</f>
        <v>0.3,0</v>
      </c>
    </row>
    <row r="537" spans="1:13">
      <c r="E537" s="21">
        <f t="shared" si="233"/>
        <v>537</v>
      </c>
      <c r="F537" s="9" t="s">
        <v>117</v>
      </c>
      <c r="M537" s="21" t="b">
        <v>1</v>
      </c>
    </row>
    <row r="538" spans="1:13">
      <c r="E538" s="21">
        <f t="shared" si="233"/>
        <v>538</v>
      </c>
      <c r="F538" s="9" t="s">
        <v>31</v>
      </c>
      <c r="L538" s="9" t="s">
        <v>134</v>
      </c>
      <c r="M538" s="21">
        <v>270</v>
      </c>
    </row>
    <row r="539" spans="1:13">
      <c r="E539" s="21">
        <f t="shared" si="233"/>
        <v>539</v>
      </c>
      <c r="F539" s="9" t="s">
        <v>111</v>
      </c>
      <c r="G539" s="21">
        <v>120</v>
      </c>
      <c r="H539" s="21">
        <v>-120</v>
      </c>
      <c r="L539" s="9" t="s">
        <v>134</v>
      </c>
      <c r="M539" s="21">
        <f t="shared" ref="M539" si="237">IF(MOD(B529,2)=1,G539,H539)</f>
        <v>120</v>
      </c>
    </row>
    <row r="540" spans="1:13">
      <c r="E540" s="21">
        <f t="shared" si="233"/>
        <v>540</v>
      </c>
      <c r="F540" s="9" t="s">
        <v>114</v>
      </c>
      <c r="M540" s="21" t="b">
        <v>1</v>
      </c>
    </row>
    <row r="541" spans="1:13">
      <c r="E541" s="21">
        <f t="shared" si="233"/>
        <v>541</v>
      </c>
      <c r="F541" s="9" t="s">
        <v>30</v>
      </c>
      <c r="M541" s="21">
        <v>3</v>
      </c>
    </row>
    <row r="542" spans="1:13">
      <c r="E542" s="21">
        <f t="shared" si="233"/>
        <v>542</v>
      </c>
      <c r="F542" s="9" t="s">
        <v>196</v>
      </c>
      <c r="M542" s="21">
        <v>0</v>
      </c>
    </row>
    <row r="543" spans="1:13">
      <c r="E543" s="21">
        <f t="shared" si="233"/>
        <v>543</v>
      </c>
      <c r="F543" s="9" t="s">
        <v>35</v>
      </c>
      <c r="G543" s="21">
        <v>185</v>
      </c>
      <c r="H543" s="21">
        <v>195</v>
      </c>
      <c r="I543" s="21">
        <v>205</v>
      </c>
      <c r="J543" s="9" t="s">
        <v>257</v>
      </c>
      <c r="M543" s="21" t="str" cm="1">
        <f t="array" ref="M543">_xlfn.SWITCH(MOD(C529,4),1,G543,2,H543,3,J543,0,I543)</f>
        <v>215</v>
      </c>
    </row>
    <row r="544" spans="1:13">
      <c r="E544" s="21">
        <f t="shared" si="233"/>
        <v>544</v>
      </c>
      <c r="F544" s="9" t="s">
        <v>101</v>
      </c>
      <c r="M544" s="21">
        <f t="shared" ref="M544" si="238">M530*10+1</f>
        <v>200271</v>
      </c>
    </row>
    <row r="545" spans="1:13">
      <c r="E545" s="21">
        <f t="shared" si="233"/>
        <v>545</v>
      </c>
      <c r="F545" s="9" t="s">
        <v>142</v>
      </c>
      <c r="M545" s="21">
        <f t="shared" ref="M545" si="239">M530</f>
        <v>20027</v>
      </c>
    </row>
    <row r="546" spans="1:13">
      <c r="E546" s="21">
        <f t="shared" si="233"/>
        <v>546</v>
      </c>
      <c r="F546" s="9" t="s">
        <v>127</v>
      </c>
      <c r="M546" s="21">
        <v>0</v>
      </c>
    </row>
    <row r="547" spans="1:13">
      <c r="E547" s="21">
        <f t="shared" si="233"/>
        <v>547</v>
      </c>
      <c r="F547" s="9" t="s">
        <v>111</v>
      </c>
      <c r="L547" s="9" t="s">
        <v>134</v>
      </c>
      <c r="M547" s="21">
        <v>0</v>
      </c>
    </row>
    <row r="548" spans="1:13">
      <c r="E548" s="21">
        <f t="shared" si="233"/>
        <v>548</v>
      </c>
      <c r="F548" s="9" t="s">
        <v>115</v>
      </c>
      <c r="M548" s="21">
        <v>1.5</v>
      </c>
    </row>
    <row r="549" spans="1:13">
      <c r="A549" s="21" t="s">
        <v>227</v>
      </c>
      <c r="B549" s="21">
        <f t="shared" ref="B549" si="240">QUOTIENT( D549-1,G550)+1</f>
        <v>1</v>
      </c>
      <c r="C549" s="21">
        <f t="shared" ref="C549" si="241">D549-(B549-1)*G550</f>
        <v>28</v>
      </c>
      <c r="D549" s="21">
        <f>COUNT($D$8:$D548)+1</f>
        <v>28</v>
      </c>
    </row>
    <row r="550" spans="1:13">
      <c r="E550" s="21">
        <f t="shared" ref="E550:E568" si="242">ROW(E550)</f>
        <v>550</v>
      </c>
      <c r="F550" s="9" t="s">
        <v>93</v>
      </c>
      <c r="G550" s="21">
        <v>36</v>
      </c>
      <c r="H550" s="21">
        <v>2</v>
      </c>
      <c r="J550" s="9" t="s">
        <v>250</v>
      </c>
      <c r="M550" s="21">
        <f t="shared" ref="M550" si="243">J550+D549</f>
        <v>20028</v>
      </c>
    </row>
    <row r="551" spans="1:13">
      <c r="E551" s="21">
        <f t="shared" si="242"/>
        <v>551</v>
      </c>
      <c r="F551" s="9" t="s">
        <v>142</v>
      </c>
      <c r="M551" s="21">
        <v>199109</v>
      </c>
    </row>
    <row r="552" spans="1:13">
      <c r="E552" s="21">
        <f t="shared" si="242"/>
        <v>552</v>
      </c>
      <c r="F552" s="9" t="s">
        <v>126</v>
      </c>
      <c r="G552" s="21">
        <v>5</v>
      </c>
      <c r="M552" s="21">
        <f t="shared" ref="M552" si="244">G552*C549</f>
        <v>140</v>
      </c>
    </row>
    <row r="553" spans="1:13">
      <c r="E553" s="21">
        <f t="shared" si="242"/>
        <v>553</v>
      </c>
      <c r="F553" s="9" t="s">
        <v>29</v>
      </c>
      <c r="M553" s="21" t="s">
        <v>251</v>
      </c>
    </row>
    <row r="554" spans="1:13">
      <c r="E554" s="21">
        <f t="shared" si="242"/>
        <v>554</v>
      </c>
      <c r="F554" s="9" t="s">
        <v>118</v>
      </c>
      <c r="G554" s="21" t="s">
        <v>256</v>
      </c>
      <c r="H554" s="21" t="s">
        <v>256</v>
      </c>
      <c r="I554" s="21" t="s">
        <v>256</v>
      </c>
      <c r="J554" s="9" t="s">
        <v>256</v>
      </c>
      <c r="M554" s="21" t="str" cm="1">
        <f t="array" ref="M554">_xlfn.SWITCH(MOD(C549,4),1,G554,2,H554,3,J554,0,I554)</f>
        <v>Shot2_purple</v>
      </c>
    </row>
    <row r="555" spans="1:13">
      <c r="E555" s="21">
        <f t="shared" si="242"/>
        <v>555</v>
      </c>
      <c r="F555" s="9" t="s">
        <v>98</v>
      </c>
      <c r="K555" s="9" t="s">
        <v>137</v>
      </c>
      <c r="M555" s="21">
        <v>2</v>
      </c>
    </row>
    <row r="556" spans="1:13">
      <c r="E556" s="21">
        <f t="shared" si="242"/>
        <v>556</v>
      </c>
      <c r="F556" s="9" t="s">
        <v>175</v>
      </c>
      <c r="G556" s="21" t="s">
        <v>252</v>
      </c>
      <c r="H556" s="21" t="s">
        <v>254</v>
      </c>
      <c r="K556" s="9" t="s">
        <v>136</v>
      </c>
      <c r="M556" s="21" t="str">
        <f t="shared" ref="M556" si="245">IF(MOD(B549,2)=1,G556,H556)</f>
        <v>0.3,0</v>
      </c>
    </row>
    <row r="557" spans="1:13">
      <c r="E557" s="21">
        <f t="shared" si="242"/>
        <v>557</v>
      </c>
      <c r="F557" s="9" t="s">
        <v>117</v>
      </c>
      <c r="M557" s="21" t="b">
        <v>1</v>
      </c>
    </row>
    <row r="558" spans="1:13">
      <c r="E558" s="21">
        <f t="shared" si="242"/>
        <v>558</v>
      </c>
      <c r="F558" s="9" t="s">
        <v>31</v>
      </c>
      <c r="L558" s="9" t="s">
        <v>134</v>
      </c>
      <c r="M558" s="21">
        <v>270</v>
      </c>
    </row>
    <row r="559" spans="1:13">
      <c r="E559" s="21">
        <f t="shared" si="242"/>
        <v>559</v>
      </c>
      <c r="F559" s="9" t="s">
        <v>111</v>
      </c>
      <c r="G559" s="21">
        <v>120</v>
      </c>
      <c r="H559" s="21">
        <v>-120</v>
      </c>
      <c r="L559" s="9" t="s">
        <v>134</v>
      </c>
      <c r="M559" s="21">
        <f t="shared" ref="M559" si="246">IF(MOD(B549,2)=1,G559,H559)</f>
        <v>120</v>
      </c>
    </row>
    <row r="560" spans="1:13">
      <c r="E560" s="21">
        <f t="shared" si="242"/>
        <v>560</v>
      </c>
      <c r="F560" s="9" t="s">
        <v>114</v>
      </c>
      <c r="M560" s="21" t="b">
        <v>1</v>
      </c>
    </row>
    <row r="561" spans="1:13">
      <c r="E561" s="21">
        <f t="shared" si="242"/>
        <v>561</v>
      </c>
      <c r="F561" s="9" t="s">
        <v>30</v>
      </c>
      <c r="M561" s="21">
        <v>3</v>
      </c>
    </row>
    <row r="562" spans="1:13">
      <c r="E562" s="21">
        <f t="shared" si="242"/>
        <v>562</v>
      </c>
      <c r="F562" s="9" t="s">
        <v>196</v>
      </c>
      <c r="M562" s="21">
        <v>0</v>
      </c>
    </row>
    <row r="563" spans="1:13">
      <c r="E563" s="21">
        <f t="shared" si="242"/>
        <v>563</v>
      </c>
      <c r="F563" s="9" t="s">
        <v>35</v>
      </c>
      <c r="G563" s="21">
        <v>185</v>
      </c>
      <c r="H563" s="21">
        <v>195</v>
      </c>
      <c r="I563" s="21">
        <v>205</v>
      </c>
      <c r="J563" s="9" t="s">
        <v>257</v>
      </c>
      <c r="M563" s="21" cm="1">
        <f t="array" ref="M563">_xlfn.SWITCH(MOD(C549,4),1,G563,2,H563,3,J563,0,I563)</f>
        <v>205</v>
      </c>
    </row>
    <row r="564" spans="1:13">
      <c r="E564" s="21">
        <f t="shared" si="242"/>
        <v>564</v>
      </c>
      <c r="F564" s="9" t="s">
        <v>101</v>
      </c>
      <c r="M564" s="21">
        <f t="shared" ref="M564" si="247">M550*10+1</f>
        <v>200281</v>
      </c>
    </row>
    <row r="565" spans="1:13">
      <c r="E565" s="21">
        <f t="shared" si="242"/>
        <v>565</v>
      </c>
      <c r="F565" s="9" t="s">
        <v>142</v>
      </c>
      <c r="M565" s="21">
        <f t="shared" ref="M565" si="248">M550</f>
        <v>20028</v>
      </c>
    </row>
    <row r="566" spans="1:13">
      <c r="E566" s="21">
        <f t="shared" si="242"/>
        <v>566</v>
      </c>
      <c r="F566" s="9" t="s">
        <v>127</v>
      </c>
      <c r="M566" s="21">
        <v>0</v>
      </c>
    </row>
    <row r="567" spans="1:13">
      <c r="E567" s="21">
        <f t="shared" si="242"/>
        <v>567</v>
      </c>
      <c r="F567" s="9" t="s">
        <v>111</v>
      </c>
      <c r="L567" s="9" t="s">
        <v>134</v>
      </c>
      <c r="M567" s="21">
        <v>0</v>
      </c>
    </row>
    <row r="568" spans="1:13">
      <c r="E568" s="21">
        <f t="shared" si="242"/>
        <v>568</v>
      </c>
      <c r="F568" s="9" t="s">
        <v>115</v>
      </c>
      <c r="M568" s="21">
        <v>1.5</v>
      </c>
    </row>
    <row r="569" spans="1:13">
      <c r="A569" s="21" t="s">
        <v>227</v>
      </c>
      <c r="B569" s="21">
        <f t="shared" ref="B569" si="249">QUOTIENT( D569-1,G570)+1</f>
        <v>1</v>
      </c>
      <c r="C569" s="21">
        <f t="shared" ref="C569" si="250">D569-(B569-1)*G570</f>
        <v>29</v>
      </c>
      <c r="D569" s="21">
        <f>COUNT($D$8:$D568)+1</f>
        <v>29</v>
      </c>
    </row>
    <row r="570" spans="1:13">
      <c r="E570" s="21">
        <f t="shared" ref="E570:E588" si="251">ROW(E570)</f>
        <v>570</v>
      </c>
      <c r="F570" s="9" t="s">
        <v>93</v>
      </c>
      <c r="G570" s="21">
        <v>36</v>
      </c>
      <c r="H570" s="21">
        <v>2</v>
      </c>
      <c r="J570" s="9" t="s">
        <v>250</v>
      </c>
      <c r="M570" s="21">
        <f t="shared" ref="M570" si="252">J570+D569</f>
        <v>20029</v>
      </c>
    </row>
    <row r="571" spans="1:13">
      <c r="E571" s="21">
        <f t="shared" si="251"/>
        <v>571</v>
      </c>
      <c r="F571" s="9" t="s">
        <v>142</v>
      </c>
      <c r="M571" s="21">
        <v>199109</v>
      </c>
    </row>
    <row r="572" spans="1:13">
      <c r="E572" s="21">
        <f t="shared" si="251"/>
        <v>572</v>
      </c>
      <c r="F572" s="9" t="s">
        <v>126</v>
      </c>
      <c r="G572" s="21">
        <v>5</v>
      </c>
      <c r="M572" s="21">
        <f t="shared" ref="M572" si="253">G572*C569</f>
        <v>145</v>
      </c>
    </row>
    <row r="573" spans="1:13">
      <c r="E573" s="21">
        <f t="shared" si="251"/>
        <v>573</v>
      </c>
      <c r="F573" s="9" t="s">
        <v>29</v>
      </c>
      <c r="M573" s="21" t="s">
        <v>251</v>
      </c>
    </row>
    <row r="574" spans="1:13">
      <c r="E574" s="21">
        <f t="shared" si="251"/>
        <v>574</v>
      </c>
      <c r="F574" s="9" t="s">
        <v>118</v>
      </c>
      <c r="G574" s="21" t="s">
        <v>256</v>
      </c>
      <c r="H574" s="21" t="s">
        <v>256</v>
      </c>
      <c r="I574" s="21" t="s">
        <v>256</v>
      </c>
      <c r="J574" s="9" t="s">
        <v>256</v>
      </c>
      <c r="M574" s="21" t="str" cm="1">
        <f t="array" ref="M574">_xlfn.SWITCH(MOD(C569,4),1,G574,2,H574,3,J574,0,I574)</f>
        <v>Shot2_purple</v>
      </c>
    </row>
    <row r="575" spans="1:13">
      <c r="E575" s="21">
        <f t="shared" si="251"/>
        <v>575</v>
      </c>
      <c r="F575" s="9" t="s">
        <v>98</v>
      </c>
      <c r="K575" s="9" t="s">
        <v>137</v>
      </c>
      <c r="M575" s="21">
        <v>2</v>
      </c>
    </row>
    <row r="576" spans="1:13">
      <c r="E576" s="21">
        <f t="shared" si="251"/>
        <v>576</v>
      </c>
      <c r="F576" s="9" t="s">
        <v>175</v>
      </c>
      <c r="G576" s="21" t="s">
        <v>252</v>
      </c>
      <c r="H576" s="21" t="s">
        <v>254</v>
      </c>
      <c r="K576" s="9" t="s">
        <v>136</v>
      </c>
      <c r="M576" s="21" t="str">
        <f t="shared" ref="M576" si="254">IF(MOD(B569,2)=1,G576,H576)</f>
        <v>0.3,0</v>
      </c>
    </row>
    <row r="577" spans="1:13">
      <c r="E577" s="21">
        <f t="shared" si="251"/>
        <v>577</v>
      </c>
      <c r="F577" s="9" t="s">
        <v>117</v>
      </c>
      <c r="M577" s="21" t="b">
        <v>1</v>
      </c>
    </row>
    <row r="578" spans="1:13">
      <c r="E578" s="21">
        <f t="shared" si="251"/>
        <v>578</v>
      </c>
      <c r="F578" s="9" t="s">
        <v>31</v>
      </c>
      <c r="L578" s="9" t="s">
        <v>134</v>
      </c>
      <c r="M578" s="21">
        <v>270</v>
      </c>
    </row>
    <row r="579" spans="1:13">
      <c r="E579" s="21">
        <f t="shared" si="251"/>
        <v>579</v>
      </c>
      <c r="F579" s="9" t="s">
        <v>111</v>
      </c>
      <c r="G579" s="21">
        <v>120</v>
      </c>
      <c r="H579" s="21">
        <v>-120</v>
      </c>
      <c r="L579" s="9" t="s">
        <v>134</v>
      </c>
      <c r="M579" s="21">
        <f t="shared" ref="M579" si="255">IF(MOD(B569,2)=1,G579,H579)</f>
        <v>120</v>
      </c>
    </row>
    <row r="580" spans="1:13">
      <c r="E580" s="21">
        <f t="shared" si="251"/>
        <v>580</v>
      </c>
      <c r="F580" s="9" t="s">
        <v>114</v>
      </c>
      <c r="M580" s="21" t="b">
        <v>1</v>
      </c>
    </row>
    <row r="581" spans="1:13">
      <c r="E581" s="21">
        <f t="shared" si="251"/>
        <v>581</v>
      </c>
      <c r="F581" s="9" t="s">
        <v>30</v>
      </c>
      <c r="M581" s="21">
        <v>3</v>
      </c>
    </row>
    <row r="582" spans="1:13">
      <c r="E582" s="21">
        <f t="shared" si="251"/>
        <v>582</v>
      </c>
      <c r="F582" s="9" t="s">
        <v>196</v>
      </c>
      <c r="M582" s="21">
        <v>0</v>
      </c>
    </row>
    <row r="583" spans="1:13">
      <c r="E583" s="21">
        <f t="shared" si="251"/>
        <v>583</v>
      </c>
      <c r="F583" s="9" t="s">
        <v>35</v>
      </c>
      <c r="G583" s="21">
        <v>185</v>
      </c>
      <c r="H583" s="21">
        <v>195</v>
      </c>
      <c r="I583" s="21">
        <v>205</v>
      </c>
      <c r="J583" s="9" t="s">
        <v>257</v>
      </c>
      <c r="M583" s="21" cm="1">
        <f t="array" ref="M583">_xlfn.SWITCH(MOD(C569,4),1,G583,2,H583,3,J583,0,I583)</f>
        <v>185</v>
      </c>
    </row>
    <row r="584" spans="1:13">
      <c r="E584" s="21">
        <f t="shared" si="251"/>
        <v>584</v>
      </c>
      <c r="F584" s="9" t="s">
        <v>101</v>
      </c>
      <c r="M584" s="21">
        <f t="shared" ref="M584" si="256">M570*10+1</f>
        <v>200291</v>
      </c>
    </row>
    <row r="585" spans="1:13">
      <c r="E585" s="21">
        <f t="shared" si="251"/>
        <v>585</v>
      </c>
      <c r="F585" s="9" t="s">
        <v>142</v>
      </c>
      <c r="M585" s="21">
        <f t="shared" ref="M585" si="257">M570</f>
        <v>20029</v>
      </c>
    </row>
    <row r="586" spans="1:13">
      <c r="E586" s="21">
        <f t="shared" si="251"/>
        <v>586</v>
      </c>
      <c r="F586" s="9" t="s">
        <v>127</v>
      </c>
      <c r="M586" s="21">
        <v>0</v>
      </c>
    </row>
    <row r="587" spans="1:13">
      <c r="E587" s="21">
        <f t="shared" si="251"/>
        <v>587</v>
      </c>
      <c r="F587" s="9" t="s">
        <v>111</v>
      </c>
      <c r="L587" s="9" t="s">
        <v>134</v>
      </c>
      <c r="M587" s="21">
        <v>0</v>
      </c>
    </row>
    <row r="588" spans="1:13">
      <c r="E588" s="21">
        <f t="shared" si="251"/>
        <v>588</v>
      </c>
      <c r="F588" s="9" t="s">
        <v>115</v>
      </c>
      <c r="M588" s="21">
        <v>1.5</v>
      </c>
    </row>
    <row r="589" spans="1:13">
      <c r="A589" s="21" t="s">
        <v>227</v>
      </c>
      <c r="B589" s="21">
        <f t="shared" ref="B589" si="258">QUOTIENT( D589-1,G590)+1</f>
        <v>1</v>
      </c>
      <c r="C589" s="21">
        <f t="shared" ref="C589" si="259">D589-(B589-1)*G590</f>
        <v>30</v>
      </c>
      <c r="D589" s="21">
        <f>COUNT($D$8:$D588)+1</f>
        <v>30</v>
      </c>
    </row>
    <row r="590" spans="1:13">
      <c r="E590" s="21">
        <f t="shared" ref="E590:E608" si="260">ROW(E590)</f>
        <v>590</v>
      </c>
      <c r="F590" s="9" t="s">
        <v>93</v>
      </c>
      <c r="G590" s="21">
        <v>36</v>
      </c>
      <c r="H590" s="21">
        <v>2</v>
      </c>
      <c r="J590" s="9" t="s">
        <v>250</v>
      </c>
      <c r="M590" s="21">
        <f t="shared" ref="M590" si="261">J590+D589</f>
        <v>20030</v>
      </c>
    </row>
    <row r="591" spans="1:13">
      <c r="E591" s="21">
        <f t="shared" si="260"/>
        <v>591</v>
      </c>
      <c r="F591" s="9" t="s">
        <v>142</v>
      </c>
      <c r="M591" s="21">
        <v>199109</v>
      </c>
    </row>
    <row r="592" spans="1:13">
      <c r="E592" s="21">
        <f t="shared" si="260"/>
        <v>592</v>
      </c>
      <c r="F592" s="9" t="s">
        <v>126</v>
      </c>
      <c r="G592" s="21">
        <v>5</v>
      </c>
      <c r="M592" s="21">
        <f t="shared" ref="M592" si="262">G592*C589</f>
        <v>150</v>
      </c>
    </row>
    <row r="593" spans="5:13">
      <c r="E593" s="21">
        <f t="shared" si="260"/>
        <v>593</v>
      </c>
      <c r="F593" s="9" t="s">
        <v>29</v>
      </c>
      <c r="M593" s="21" t="s">
        <v>251</v>
      </c>
    </row>
    <row r="594" spans="5:13">
      <c r="E594" s="21">
        <f t="shared" si="260"/>
        <v>594</v>
      </c>
      <c r="F594" s="9" t="s">
        <v>118</v>
      </c>
      <c r="G594" s="21" t="s">
        <v>256</v>
      </c>
      <c r="H594" s="21" t="s">
        <v>256</v>
      </c>
      <c r="I594" s="21" t="s">
        <v>256</v>
      </c>
      <c r="J594" s="9" t="s">
        <v>256</v>
      </c>
      <c r="M594" s="21" t="str" cm="1">
        <f t="array" ref="M594">_xlfn.SWITCH(MOD(C589,4),1,G594,2,H594,3,J594,0,I594)</f>
        <v>Shot2_purple</v>
      </c>
    </row>
    <row r="595" spans="5:13">
      <c r="E595" s="21">
        <f t="shared" si="260"/>
        <v>595</v>
      </c>
      <c r="F595" s="9" t="s">
        <v>98</v>
      </c>
      <c r="K595" s="9" t="s">
        <v>137</v>
      </c>
      <c r="M595" s="21">
        <v>2</v>
      </c>
    </row>
    <row r="596" spans="5:13">
      <c r="E596" s="21">
        <f t="shared" si="260"/>
        <v>596</v>
      </c>
      <c r="F596" s="9" t="s">
        <v>175</v>
      </c>
      <c r="G596" s="21" t="s">
        <v>252</v>
      </c>
      <c r="H596" s="21" t="s">
        <v>254</v>
      </c>
      <c r="K596" s="9" t="s">
        <v>136</v>
      </c>
      <c r="M596" s="21" t="str">
        <f t="shared" ref="M596" si="263">IF(MOD(B589,2)=1,G596,H596)</f>
        <v>0.3,0</v>
      </c>
    </row>
    <row r="597" spans="5:13">
      <c r="E597" s="21">
        <f t="shared" si="260"/>
        <v>597</v>
      </c>
      <c r="F597" s="9" t="s">
        <v>117</v>
      </c>
      <c r="M597" s="21" t="b">
        <v>1</v>
      </c>
    </row>
    <row r="598" spans="5:13">
      <c r="E598" s="21">
        <f t="shared" si="260"/>
        <v>598</v>
      </c>
      <c r="F598" s="9" t="s">
        <v>31</v>
      </c>
      <c r="L598" s="9" t="s">
        <v>134</v>
      </c>
      <c r="M598" s="21">
        <v>270</v>
      </c>
    </row>
    <row r="599" spans="5:13">
      <c r="E599" s="21">
        <f t="shared" si="260"/>
        <v>599</v>
      </c>
      <c r="F599" s="9" t="s">
        <v>111</v>
      </c>
      <c r="G599" s="21">
        <v>120</v>
      </c>
      <c r="H599" s="21">
        <v>-120</v>
      </c>
      <c r="L599" s="9" t="s">
        <v>134</v>
      </c>
      <c r="M599" s="21">
        <f t="shared" ref="M599" si="264">IF(MOD(B589,2)=1,G599,H599)</f>
        <v>120</v>
      </c>
    </row>
    <row r="600" spans="5:13">
      <c r="E600" s="21">
        <f t="shared" si="260"/>
        <v>600</v>
      </c>
      <c r="F600" s="9" t="s">
        <v>114</v>
      </c>
      <c r="M600" s="21" t="b">
        <v>1</v>
      </c>
    </row>
    <row r="601" spans="5:13">
      <c r="E601" s="21">
        <f t="shared" si="260"/>
        <v>601</v>
      </c>
      <c r="F601" s="9" t="s">
        <v>30</v>
      </c>
      <c r="M601" s="21">
        <v>3</v>
      </c>
    </row>
    <row r="602" spans="5:13">
      <c r="E602" s="21">
        <f t="shared" si="260"/>
        <v>602</v>
      </c>
      <c r="F602" s="9" t="s">
        <v>196</v>
      </c>
      <c r="M602" s="21">
        <v>0</v>
      </c>
    </row>
    <row r="603" spans="5:13">
      <c r="E603" s="21">
        <f t="shared" si="260"/>
        <v>603</v>
      </c>
      <c r="F603" s="9" t="s">
        <v>35</v>
      </c>
      <c r="G603" s="21">
        <v>185</v>
      </c>
      <c r="H603" s="21">
        <v>195</v>
      </c>
      <c r="I603" s="21">
        <v>205</v>
      </c>
      <c r="J603" s="9" t="s">
        <v>257</v>
      </c>
      <c r="M603" s="21" cm="1">
        <f t="array" ref="M603">_xlfn.SWITCH(MOD(C589,4),1,G603,2,H603,3,J603,0,I603)</f>
        <v>195</v>
      </c>
    </row>
    <row r="604" spans="5:13">
      <c r="E604" s="21">
        <f t="shared" si="260"/>
        <v>604</v>
      </c>
      <c r="F604" s="9" t="s">
        <v>101</v>
      </c>
      <c r="M604" s="21">
        <f t="shared" ref="M604" si="265">M590*10+1</f>
        <v>200301</v>
      </c>
    </row>
    <row r="605" spans="5:13">
      <c r="E605" s="21">
        <f t="shared" si="260"/>
        <v>605</v>
      </c>
      <c r="F605" s="9" t="s">
        <v>142</v>
      </c>
      <c r="M605" s="21">
        <f t="shared" ref="M605" si="266">M590</f>
        <v>20030</v>
      </c>
    </row>
    <row r="606" spans="5:13">
      <c r="E606" s="21">
        <f t="shared" si="260"/>
        <v>606</v>
      </c>
      <c r="F606" s="9" t="s">
        <v>127</v>
      </c>
      <c r="M606" s="21">
        <v>0</v>
      </c>
    </row>
    <row r="607" spans="5:13">
      <c r="E607" s="21">
        <f t="shared" si="260"/>
        <v>607</v>
      </c>
      <c r="F607" s="9" t="s">
        <v>111</v>
      </c>
      <c r="L607" s="9" t="s">
        <v>134</v>
      </c>
      <c r="M607" s="21">
        <v>0</v>
      </c>
    </row>
    <row r="608" spans="5:13">
      <c r="E608" s="21">
        <f t="shared" si="260"/>
        <v>608</v>
      </c>
      <c r="F608" s="9" t="s">
        <v>115</v>
      </c>
      <c r="M608" s="21">
        <v>1.5</v>
      </c>
    </row>
    <row r="609" spans="1:13">
      <c r="A609" s="21" t="s">
        <v>227</v>
      </c>
      <c r="B609" s="21">
        <f t="shared" ref="B609" si="267">QUOTIENT( D609-1,G610)+1</f>
        <v>1</v>
      </c>
      <c r="C609" s="21">
        <f t="shared" ref="C609" si="268">D609-(B609-1)*G610</f>
        <v>31</v>
      </c>
      <c r="D609" s="21">
        <f>COUNT($D$8:$D608)+1</f>
        <v>31</v>
      </c>
    </row>
    <row r="610" spans="1:13">
      <c r="E610" s="21">
        <f t="shared" ref="E610:E628" si="269">ROW(E610)</f>
        <v>610</v>
      </c>
      <c r="F610" s="9" t="s">
        <v>93</v>
      </c>
      <c r="G610" s="21">
        <v>36</v>
      </c>
      <c r="H610" s="21">
        <v>2</v>
      </c>
      <c r="J610" s="9" t="s">
        <v>250</v>
      </c>
      <c r="M610" s="21">
        <f t="shared" ref="M610" si="270">J610+D609</f>
        <v>20031</v>
      </c>
    </row>
    <row r="611" spans="1:13">
      <c r="E611" s="21">
        <f t="shared" si="269"/>
        <v>611</v>
      </c>
      <c r="F611" s="9" t="s">
        <v>142</v>
      </c>
      <c r="M611" s="21">
        <v>199109</v>
      </c>
    </row>
    <row r="612" spans="1:13">
      <c r="E612" s="21">
        <f t="shared" si="269"/>
        <v>612</v>
      </c>
      <c r="F612" s="9" t="s">
        <v>126</v>
      </c>
      <c r="G612" s="21">
        <v>5</v>
      </c>
      <c r="M612" s="21">
        <f t="shared" ref="M612" si="271">G612*C609</f>
        <v>155</v>
      </c>
    </row>
    <row r="613" spans="1:13">
      <c r="E613" s="21">
        <f t="shared" si="269"/>
        <v>613</v>
      </c>
      <c r="F613" s="9" t="s">
        <v>29</v>
      </c>
      <c r="M613" s="21" t="s">
        <v>251</v>
      </c>
    </row>
    <row r="614" spans="1:13">
      <c r="E614" s="21">
        <f t="shared" si="269"/>
        <v>614</v>
      </c>
      <c r="F614" s="9" t="s">
        <v>118</v>
      </c>
      <c r="G614" s="21" t="s">
        <v>256</v>
      </c>
      <c r="H614" s="21" t="s">
        <v>256</v>
      </c>
      <c r="I614" s="21" t="s">
        <v>256</v>
      </c>
      <c r="J614" s="9" t="s">
        <v>256</v>
      </c>
      <c r="M614" s="21" t="str" cm="1">
        <f t="array" ref="M614">_xlfn.SWITCH(MOD(C609,4),1,G614,2,H614,3,J614,0,I614)</f>
        <v>Shot2_purple</v>
      </c>
    </row>
    <row r="615" spans="1:13">
      <c r="E615" s="21">
        <f t="shared" si="269"/>
        <v>615</v>
      </c>
      <c r="F615" s="9" t="s">
        <v>98</v>
      </c>
      <c r="K615" s="9" t="s">
        <v>137</v>
      </c>
      <c r="M615" s="21">
        <v>2</v>
      </c>
    </row>
    <row r="616" spans="1:13">
      <c r="E616" s="21">
        <f t="shared" si="269"/>
        <v>616</v>
      </c>
      <c r="F616" s="9" t="s">
        <v>175</v>
      </c>
      <c r="G616" s="21" t="s">
        <v>252</v>
      </c>
      <c r="H616" s="21" t="s">
        <v>254</v>
      </c>
      <c r="K616" s="9" t="s">
        <v>136</v>
      </c>
      <c r="M616" s="21" t="str">
        <f t="shared" ref="M616" si="272">IF(MOD(B609,2)=1,G616,H616)</f>
        <v>0.3,0</v>
      </c>
    </row>
    <row r="617" spans="1:13">
      <c r="E617" s="21">
        <f t="shared" si="269"/>
        <v>617</v>
      </c>
      <c r="F617" s="9" t="s">
        <v>117</v>
      </c>
      <c r="M617" s="21" t="b">
        <v>1</v>
      </c>
    </row>
    <row r="618" spans="1:13">
      <c r="E618" s="21">
        <f t="shared" si="269"/>
        <v>618</v>
      </c>
      <c r="F618" s="9" t="s">
        <v>31</v>
      </c>
      <c r="L618" s="9" t="s">
        <v>134</v>
      </c>
      <c r="M618" s="21">
        <v>270</v>
      </c>
    </row>
    <row r="619" spans="1:13">
      <c r="E619" s="21">
        <f t="shared" si="269"/>
        <v>619</v>
      </c>
      <c r="F619" s="9" t="s">
        <v>111</v>
      </c>
      <c r="G619" s="21">
        <v>120</v>
      </c>
      <c r="H619" s="21">
        <v>-120</v>
      </c>
      <c r="L619" s="9" t="s">
        <v>134</v>
      </c>
      <c r="M619" s="21">
        <f t="shared" ref="M619" si="273">IF(MOD(B609,2)=1,G619,H619)</f>
        <v>120</v>
      </c>
    </row>
    <row r="620" spans="1:13">
      <c r="E620" s="21">
        <f t="shared" si="269"/>
        <v>620</v>
      </c>
      <c r="F620" s="9" t="s">
        <v>114</v>
      </c>
      <c r="M620" s="21" t="b">
        <v>1</v>
      </c>
    </row>
    <row r="621" spans="1:13">
      <c r="E621" s="21">
        <f t="shared" si="269"/>
        <v>621</v>
      </c>
      <c r="F621" s="9" t="s">
        <v>30</v>
      </c>
      <c r="M621" s="21">
        <v>3</v>
      </c>
    </row>
    <row r="622" spans="1:13">
      <c r="E622" s="21">
        <f t="shared" si="269"/>
        <v>622</v>
      </c>
      <c r="F622" s="9" t="s">
        <v>196</v>
      </c>
      <c r="M622" s="21">
        <v>0</v>
      </c>
    </row>
    <row r="623" spans="1:13">
      <c r="E623" s="21">
        <f t="shared" si="269"/>
        <v>623</v>
      </c>
      <c r="F623" s="9" t="s">
        <v>35</v>
      </c>
      <c r="G623" s="21">
        <v>185</v>
      </c>
      <c r="H623" s="21">
        <v>195</v>
      </c>
      <c r="I623" s="21">
        <v>205</v>
      </c>
      <c r="J623" s="9" t="s">
        <v>257</v>
      </c>
      <c r="M623" s="21" t="str" cm="1">
        <f t="array" ref="M623">_xlfn.SWITCH(MOD(C609,4),1,G623,2,H623,3,J623,0,I623)</f>
        <v>215</v>
      </c>
    </row>
    <row r="624" spans="1:13">
      <c r="E624" s="21">
        <f t="shared" si="269"/>
        <v>624</v>
      </c>
      <c r="F624" s="9" t="s">
        <v>101</v>
      </c>
      <c r="M624" s="21">
        <f t="shared" ref="M624" si="274">M610*10+1</f>
        <v>200311</v>
      </c>
    </row>
    <row r="625" spans="1:13">
      <c r="E625" s="21">
        <f t="shared" si="269"/>
        <v>625</v>
      </c>
      <c r="F625" s="9" t="s">
        <v>142</v>
      </c>
      <c r="M625" s="21">
        <f t="shared" ref="M625" si="275">M610</f>
        <v>20031</v>
      </c>
    </row>
    <row r="626" spans="1:13">
      <c r="E626" s="21">
        <f t="shared" si="269"/>
        <v>626</v>
      </c>
      <c r="F626" s="9" t="s">
        <v>127</v>
      </c>
      <c r="M626" s="21">
        <v>0</v>
      </c>
    </row>
    <row r="627" spans="1:13">
      <c r="E627" s="21">
        <f t="shared" si="269"/>
        <v>627</v>
      </c>
      <c r="F627" s="9" t="s">
        <v>111</v>
      </c>
      <c r="L627" s="9" t="s">
        <v>134</v>
      </c>
      <c r="M627" s="21">
        <v>0</v>
      </c>
    </row>
    <row r="628" spans="1:13">
      <c r="E628" s="21">
        <f t="shared" si="269"/>
        <v>628</v>
      </c>
      <c r="F628" s="9" t="s">
        <v>115</v>
      </c>
      <c r="M628" s="21">
        <v>1.5</v>
      </c>
    </row>
    <row r="629" spans="1:13">
      <c r="A629" s="21" t="s">
        <v>227</v>
      </c>
      <c r="B629" s="21">
        <f t="shared" ref="B629" si="276">QUOTIENT( D629-1,G630)+1</f>
        <v>1</v>
      </c>
      <c r="C629" s="21">
        <f t="shared" ref="C629" si="277">D629-(B629-1)*G630</f>
        <v>32</v>
      </c>
      <c r="D629" s="21">
        <f>COUNT($D$8:$D628)+1</f>
        <v>32</v>
      </c>
    </row>
    <row r="630" spans="1:13">
      <c r="E630" s="21">
        <f t="shared" ref="E630:E648" si="278">ROW(E630)</f>
        <v>630</v>
      </c>
      <c r="F630" s="9" t="s">
        <v>93</v>
      </c>
      <c r="G630" s="21">
        <v>36</v>
      </c>
      <c r="H630" s="21">
        <v>2</v>
      </c>
      <c r="J630" s="9" t="s">
        <v>250</v>
      </c>
      <c r="M630" s="21">
        <f t="shared" ref="M630" si="279">J630+D629</f>
        <v>20032</v>
      </c>
    </row>
    <row r="631" spans="1:13">
      <c r="E631" s="21">
        <f t="shared" si="278"/>
        <v>631</v>
      </c>
      <c r="F631" s="9" t="s">
        <v>142</v>
      </c>
      <c r="M631" s="21">
        <v>199109</v>
      </c>
    </row>
    <row r="632" spans="1:13">
      <c r="E632" s="21">
        <f t="shared" si="278"/>
        <v>632</v>
      </c>
      <c r="F632" s="9" t="s">
        <v>126</v>
      </c>
      <c r="G632" s="21">
        <v>5</v>
      </c>
      <c r="M632" s="21">
        <f t="shared" ref="M632" si="280">G632*C629</f>
        <v>160</v>
      </c>
    </row>
    <row r="633" spans="1:13">
      <c r="E633" s="21">
        <f t="shared" si="278"/>
        <v>633</v>
      </c>
      <c r="F633" s="9" t="s">
        <v>29</v>
      </c>
      <c r="M633" s="21" t="s">
        <v>251</v>
      </c>
    </row>
    <row r="634" spans="1:13">
      <c r="E634" s="21">
        <f t="shared" si="278"/>
        <v>634</v>
      </c>
      <c r="F634" s="9" t="s">
        <v>118</v>
      </c>
      <c r="G634" s="21" t="s">
        <v>256</v>
      </c>
      <c r="H634" s="21" t="s">
        <v>256</v>
      </c>
      <c r="I634" s="21" t="s">
        <v>256</v>
      </c>
      <c r="J634" s="9" t="s">
        <v>256</v>
      </c>
      <c r="M634" s="21" t="str" cm="1">
        <f t="array" ref="M634">_xlfn.SWITCH(MOD(C629,4),1,G634,2,H634,3,J634,0,I634)</f>
        <v>Shot2_purple</v>
      </c>
    </row>
    <row r="635" spans="1:13">
      <c r="E635" s="21">
        <f t="shared" si="278"/>
        <v>635</v>
      </c>
      <c r="F635" s="9" t="s">
        <v>98</v>
      </c>
      <c r="K635" s="9" t="s">
        <v>137</v>
      </c>
      <c r="M635" s="21">
        <v>2</v>
      </c>
    </row>
    <row r="636" spans="1:13">
      <c r="E636" s="21">
        <f t="shared" si="278"/>
        <v>636</v>
      </c>
      <c r="F636" s="9" t="s">
        <v>175</v>
      </c>
      <c r="G636" s="21" t="s">
        <v>252</v>
      </c>
      <c r="H636" s="21" t="s">
        <v>254</v>
      </c>
      <c r="K636" s="9" t="s">
        <v>136</v>
      </c>
      <c r="M636" s="21" t="str">
        <f t="shared" ref="M636" si="281">IF(MOD(B629,2)=1,G636,H636)</f>
        <v>0.3,0</v>
      </c>
    </row>
    <row r="637" spans="1:13">
      <c r="E637" s="21">
        <f t="shared" si="278"/>
        <v>637</v>
      </c>
      <c r="F637" s="9" t="s">
        <v>117</v>
      </c>
      <c r="M637" s="21" t="b">
        <v>1</v>
      </c>
    </row>
    <row r="638" spans="1:13">
      <c r="E638" s="21">
        <f t="shared" si="278"/>
        <v>638</v>
      </c>
      <c r="F638" s="9" t="s">
        <v>31</v>
      </c>
      <c r="L638" s="9" t="s">
        <v>134</v>
      </c>
      <c r="M638" s="21">
        <v>270</v>
      </c>
    </row>
    <row r="639" spans="1:13">
      <c r="E639" s="21">
        <f t="shared" si="278"/>
        <v>639</v>
      </c>
      <c r="F639" s="9" t="s">
        <v>111</v>
      </c>
      <c r="G639" s="21">
        <v>120</v>
      </c>
      <c r="H639" s="21">
        <v>-120</v>
      </c>
      <c r="L639" s="9" t="s">
        <v>134</v>
      </c>
      <c r="M639" s="21">
        <f t="shared" ref="M639" si="282">IF(MOD(B629,2)=1,G639,H639)</f>
        <v>120</v>
      </c>
    </row>
    <row r="640" spans="1:13">
      <c r="E640" s="21">
        <f t="shared" si="278"/>
        <v>640</v>
      </c>
      <c r="F640" s="9" t="s">
        <v>114</v>
      </c>
      <c r="M640" s="21" t="b">
        <v>1</v>
      </c>
    </row>
    <row r="641" spans="1:13">
      <c r="E641" s="21">
        <f t="shared" si="278"/>
        <v>641</v>
      </c>
      <c r="F641" s="9" t="s">
        <v>30</v>
      </c>
      <c r="M641" s="21">
        <v>3</v>
      </c>
    </row>
    <row r="642" spans="1:13">
      <c r="E642" s="21">
        <f t="shared" si="278"/>
        <v>642</v>
      </c>
      <c r="F642" s="9" t="s">
        <v>196</v>
      </c>
      <c r="M642" s="21">
        <v>0</v>
      </c>
    </row>
    <row r="643" spans="1:13">
      <c r="E643" s="21">
        <f t="shared" si="278"/>
        <v>643</v>
      </c>
      <c r="F643" s="9" t="s">
        <v>35</v>
      </c>
      <c r="G643" s="21">
        <v>185</v>
      </c>
      <c r="H643" s="21">
        <v>195</v>
      </c>
      <c r="I643" s="21">
        <v>205</v>
      </c>
      <c r="J643" s="9" t="s">
        <v>257</v>
      </c>
      <c r="M643" s="21" cm="1">
        <f t="array" ref="M643">_xlfn.SWITCH(MOD(C629,4),1,G643,2,H643,3,J643,0,I643)</f>
        <v>205</v>
      </c>
    </row>
    <row r="644" spans="1:13">
      <c r="E644" s="21">
        <f t="shared" si="278"/>
        <v>644</v>
      </c>
      <c r="F644" s="9" t="s">
        <v>101</v>
      </c>
      <c r="M644" s="21">
        <f t="shared" ref="M644" si="283">M630*10+1</f>
        <v>200321</v>
      </c>
    </row>
    <row r="645" spans="1:13">
      <c r="E645" s="21">
        <f t="shared" si="278"/>
        <v>645</v>
      </c>
      <c r="F645" s="9" t="s">
        <v>142</v>
      </c>
      <c r="M645" s="21">
        <f t="shared" ref="M645" si="284">M630</f>
        <v>20032</v>
      </c>
    </row>
    <row r="646" spans="1:13">
      <c r="E646" s="21">
        <f t="shared" si="278"/>
        <v>646</v>
      </c>
      <c r="F646" s="9" t="s">
        <v>127</v>
      </c>
      <c r="M646" s="21">
        <v>0</v>
      </c>
    </row>
    <row r="647" spans="1:13">
      <c r="E647" s="21">
        <f t="shared" si="278"/>
        <v>647</v>
      </c>
      <c r="F647" s="9" t="s">
        <v>111</v>
      </c>
      <c r="L647" s="9" t="s">
        <v>134</v>
      </c>
      <c r="M647" s="21">
        <v>0</v>
      </c>
    </row>
    <row r="648" spans="1:13">
      <c r="E648" s="21">
        <f t="shared" si="278"/>
        <v>648</v>
      </c>
      <c r="F648" s="9" t="s">
        <v>115</v>
      </c>
      <c r="M648" s="21">
        <v>1.5</v>
      </c>
    </row>
    <row r="649" spans="1:13">
      <c r="A649" s="21" t="s">
        <v>227</v>
      </c>
      <c r="B649" s="21">
        <f t="shared" ref="B649" si="285">QUOTIENT( D649-1,G650)+1</f>
        <v>1</v>
      </c>
      <c r="C649" s="21">
        <f t="shared" ref="C649" si="286">D649-(B649-1)*G650</f>
        <v>33</v>
      </c>
      <c r="D649" s="21">
        <f>COUNT($D$8:$D648)+1</f>
        <v>33</v>
      </c>
    </row>
    <row r="650" spans="1:13">
      <c r="E650" s="21">
        <f t="shared" ref="E650:E668" si="287">ROW(E650)</f>
        <v>650</v>
      </c>
      <c r="F650" s="9" t="s">
        <v>93</v>
      </c>
      <c r="G650" s="21">
        <v>36</v>
      </c>
      <c r="H650" s="21">
        <v>2</v>
      </c>
      <c r="J650" s="9" t="s">
        <v>250</v>
      </c>
      <c r="M650" s="21">
        <f t="shared" ref="M650" si="288">J650+D649</f>
        <v>20033</v>
      </c>
    </row>
    <row r="651" spans="1:13">
      <c r="E651" s="21">
        <f t="shared" si="287"/>
        <v>651</v>
      </c>
      <c r="F651" s="9" t="s">
        <v>142</v>
      </c>
      <c r="M651" s="21">
        <v>199109</v>
      </c>
    </row>
    <row r="652" spans="1:13">
      <c r="E652" s="21">
        <f t="shared" si="287"/>
        <v>652</v>
      </c>
      <c r="F652" s="9" t="s">
        <v>126</v>
      </c>
      <c r="G652" s="21">
        <v>5</v>
      </c>
      <c r="M652" s="21">
        <f t="shared" ref="M652" si="289">G652*C649</f>
        <v>165</v>
      </c>
    </row>
    <row r="653" spans="1:13">
      <c r="E653" s="21">
        <f t="shared" si="287"/>
        <v>653</v>
      </c>
      <c r="F653" s="9" t="s">
        <v>29</v>
      </c>
      <c r="M653" s="21" t="s">
        <v>251</v>
      </c>
    </row>
    <row r="654" spans="1:13">
      <c r="E654" s="21">
        <f t="shared" si="287"/>
        <v>654</v>
      </c>
      <c r="F654" s="9" t="s">
        <v>118</v>
      </c>
      <c r="G654" s="21" t="s">
        <v>256</v>
      </c>
      <c r="H654" s="21" t="s">
        <v>256</v>
      </c>
      <c r="I654" s="21" t="s">
        <v>256</v>
      </c>
      <c r="J654" s="9" t="s">
        <v>256</v>
      </c>
      <c r="M654" s="21" t="str" cm="1">
        <f t="array" ref="M654">_xlfn.SWITCH(MOD(C649,4),1,G654,2,H654,3,J654,0,I654)</f>
        <v>Shot2_purple</v>
      </c>
    </row>
    <row r="655" spans="1:13">
      <c r="E655" s="21">
        <f t="shared" si="287"/>
        <v>655</v>
      </c>
      <c r="F655" s="9" t="s">
        <v>98</v>
      </c>
      <c r="K655" s="9" t="s">
        <v>137</v>
      </c>
      <c r="M655" s="21">
        <v>2</v>
      </c>
    </row>
    <row r="656" spans="1:13">
      <c r="E656" s="21">
        <f t="shared" si="287"/>
        <v>656</v>
      </c>
      <c r="F656" s="9" t="s">
        <v>175</v>
      </c>
      <c r="G656" s="21" t="s">
        <v>252</v>
      </c>
      <c r="H656" s="21" t="s">
        <v>254</v>
      </c>
      <c r="K656" s="9" t="s">
        <v>136</v>
      </c>
      <c r="M656" s="21" t="str">
        <f t="shared" ref="M656" si="290">IF(MOD(B649,2)=1,G656,H656)</f>
        <v>0.3,0</v>
      </c>
    </row>
    <row r="657" spans="1:13">
      <c r="E657" s="21">
        <f t="shared" si="287"/>
        <v>657</v>
      </c>
      <c r="F657" s="9" t="s">
        <v>117</v>
      </c>
      <c r="M657" s="21" t="b">
        <v>1</v>
      </c>
    </row>
    <row r="658" spans="1:13">
      <c r="E658" s="21">
        <f t="shared" si="287"/>
        <v>658</v>
      </c>
      <c r="F658" s="9" t="s">
        <v>31</v>
      </c>
      <c r="L658" s="9" t="s">
        <v>134</v>
      </c>
      <c r="M658" s="21">
        <v>270</v>
      </c>
    </row>
    <row r="659" spans="1:13">
      <c r="E659" s="21">
        <f t="shared" si="287"/>
        <v>659</v>
      </c>
      <c r="F659" s="9" t="s">
        <v>111</v>
      </c>
      <c r="G659" s="21">
        <v>120</v>
      </c>
      <c r="H659" s="21">
        <v>-120</v>
      </c>
      <c r="L659" s="9" t="s">
        <v>134</v>
      </c>
      <c r="M659" s="21">
        <f t="shared" ref="M659" si="291">IF(MOD(B649,2)=1,G659,H659)</f>
        <v>120</v>
      </c>
    </row>
    <row r="660" spans="1:13">
      <c r="E660" s="21">
        <f t="shared" si="287"/>
        <v>660</v>
      </c>
      <c r="F660" s="9" t="s">
        <v>114</v>
      </c>
      <c r="M660" s="21" t="b">
        <v>1</v>
      </c>
    </row>
    <row r="661" spans="1:13">
      <c r="E661" s="21">
        <f t="shared" si="287"/>
        <v>661</v>
      </c>
      <c r="F661" s="9" t="s">
        <v>30</v>
      </c>
      <c r="M661" s="21">
        <v>3</v>
      </c>
    </row>
    <row r="662" spans="1:13">
      <c r="E662" s="21">
        <f t="shared" si="287"/>
        <v>662</v>
      </c>
      <c r="F662" s="9" t="s">
        <v>196</v>
      </c>
      <c r="M662" s="21">
        <v>0</v>
      </c>
    </row>
    <row r="663" spans="1:13">
      <c r="E663" s="21">
        <f t="shared" si="287"/>
        <v>663</v>
      </c>
      <c r="F663" s="9" t="s">
        <v>35</v>
      </c>
      <c r="G663" s="21">
        <v>185</v>
      </c>
      <c r="H663" s="21">
        <v>195</v>
      </c>
      <c r="I663" s="21">
        <v>205</v>
      </c>
      <c r="J663" s="9" t="s">
        <v>257</v>
      </c>
      <c r="M663" s="21" cm="1">
        <f t="array" ref="M663">_xlfn.SWITCH(MOD(C649,4),1,G663,2,H663,3,J663,0,I663)</f>
        <v>185</v>
      </c>
    </row>
    <row r="664" spans="1:13">
      <c r="E664" s="21">
        <f t="shared" si="287"/>
        <v>664</v>
      </c>
      <c r="F664" s="9" t="s">
        <v>101</v>
      </c>
      <c r="M664" s="21">
        <f t="shared" ref="M664" si="292">M650*10+1</f>
        <v>200331</v>
      </c>
    </row>
    <row r="665" spans="1:13">
      <c r="E665" s="21">
        <f t="shared" si="287"/>
        <v>665</v>
      </c>
      <c r="F665" s="9" t="s">
        <v>142</v>
      </c>
      <c r="M665" s="21">
        <f t="shared" ref="M665" si="293">M650</f>
        <v>20033</v>
      </c>
    </row>
    <row r="666" spans="1:13">
      <c r="E666" s="21">
        <f t="shared" si="287"/>
        <v>666</v>
      </c>
      <c r="F666" s="9" t="s">
        <v>127</v>
      </c>
      <c r="M666" s="21">
        <v>0</v>
      </c>
    </row>
    <row r="667" spans="1:13">
      <c r="E667" s="21">
        <f t="shared" si="287"/>
        <v>667</v>
      </c>
      <c r="F667" s="9" t="s">
        <v>111</v>
      </c>
      <c r="L667" s="9" t="s">
        <v>134</v>
      </c>
      <c r="M667" s="21">
        <v>0</v>
      </c>
    </row>
    <row r="668" spans="1:13">
      <c r="E668" s="21">
        <f t="shared" si="287"/>
        <v>668</v>
      </c>
      <c r="F668" s="9" t="s">
        <v>115</v>
      </c>
      <c r="M668" s="21">
        <v>1.5</v>
      </c>
    </row>
    <row r="669" spans="1:13">
      <c r="A669" s="21" t="s">
        <v>227</v>
      </c>
      <c r="B669" s="21">
        <f t="shared" ref="B669" si="294">QUOTIENT( D669-1,G670)+1</f>
        <v>1</v>
      </c>
      <c r="C669" s="21">
        <f t="shared" ref="C669" si="295">D669-(B669-1)*G670</f>
        <v>34</v>
      </c>
      <c r="D669" s="21">
        <f>COUNT($D$8:$D668)+1</f>
        <v>34</v>
      </c>
    </row>
    <row r="670" spans="1:13">
      <c r="E670" s="21">
        <f t="shared" ref="E670:E688" si="296">ROW(E670)</f>
        <v>670</v>
      </c>
      <c r="F670" s="9" t="s">
        <v>93</v>
      </c>
      <c r="G670" s="21">
        <v>36</v>
      </c>
      <c r="H670" s="21">
        <v>2</v>
      </c>
      <c r="J670" s="9" t="s">
        <v>250</v>
      </c>
      <c r="M670" s="21">
        <f t="shared" ref="M670" si="297">J670+D669</f>
        <v>20034</v>
      </c>
    </row>
    <row r="671" spans="1:13">
      <c r="E671" s="21">
        <f t="shared" si="296"/>
        <v>671</v>
      </c>
      <c r="F671" s="9" t="s">
        <v>142</v>
      </c>
      <c r="M671" s="21">
        <v>199109</v>
      </c>
    </row>
    <row r="672" spans="1:13">
      <c r="E672" s="21">
        <f t="shared" si="296"/>
        <v>672</v>
      </c>
      <c r="F672" s="9" t="s">
        <v>126</v>
      </c>
      <c r="G672" s="21">
        <v>5</v>
      </c>
      <c r="M672" s="21">
        <f t="shared" ref="M672" si="298">G672*C669</f>
        <v>170</v>
      </c>
    </row>
    <row r="673" spans="5:13">
      <c r="E673" s="21">
        <f t="shared" si="296"/>
        <v>673</v>
      </c>
      <c r="F673" s="9" t="s">
        <v>29</v>
      </c>
      <c r="M673" s="21" t="s">
        <v>251</v>
      </c>
    </row>
    <row r="674" spans="5:13">
      <c r="E674" s="21">
        <f t="shared" si="296"/>
        <v>674</v>
      </c>
      <c r="F674" s="9" t="s">
        <v>118</v>
      </c>
      <c r="G674" s="21" t="s">
        <v>256</v>
      </c>
      <c r="H674" s="21" t="s">
        <v>256</v>
      </c>
      <c r="I674" s="21" t="s">
        <v>256</v>
      </c>
      <c r="J674" s="9" t="s">
        <v>256</v>
      </c>
      <c r="M674" s="21" t="str" cm="1">
        <f t="array" ref="M674">_xlfn.SWITCH(MOD(C669,4),1,G674,2,H674,3,J674,0,I674)</f>
        <v>Shot2_purple</v>
      </c>
    </row>
    <row r="675" spans="5:13">
      <c r="E675" s="21">
        <f t="shared" si="296"/>
        <v>675</v>
      </c>
      <c r="F675" s="9" t="s">
        <v>98</v>
      </c>
      <c r="K675" s="9" t="s">
        <v>137</v>
      </c>
      <c r="M675" s="21">
        <v>2</v>
      </c>
    </row>
    <row r="676" spans="5:13">
      <c r="E676" s="21">
        <f t="shared" si="296"/>
        <v>676</v>
      </c>
      <c r="F676" s="9" t="s">
        <v>175</v>
      </c>
      <c r="G676" s="21" t="s">
        <v>252</v>
      </c>
      <c r="H676" s="21" t="s">
        <v>254</v>
      </c>
      <c r="K676" s="9" t="s">
        <v>136</v>
      </c>
      <c r="M676" s="21" t="str">
        <f t="shared" ref="M676" si="299">IF(MOD(B669,2)=1,G676,H676)</f>
        <v>0.3,0</v>
      </c>
    </row>
    <row r="677" spans="5:13">
      <c r="E677" s="21">
        <f t="shared" si="296"/>
        <v>677</v>
      </c>
      <c r="F677" s="9" t="s">
        <v>117</v>
      </c>
      <c r="M677" s="21" t="b">
        <v>1</v>
      </c>
    </row>
    <row r="678" spans="5:13">
      <c r="E678" s="21">
        <f t="shared" si="296"/>
        <v>678</v>
      </c>
      <c r="F678" s="9" t="s">
        <v>31</v>
      </c>
      <c r="L678" s="9" t="s">
        <v>134</v>
      </c>
      <c r="M678" s="21">
        <v>270</v>
      </c>
    </row>
    <row r="679" spans="5:13">
      <c r="E679" s="21">
        <f t="shared" si="296"/>
        <v>679</v>
      </c>
      <c r="F679" s="9" t="s">
        <v>111</v>
      </c>
      <c r="G679" s="21">
        <v>120</v>
      </c>
      <c r="H679" s="21">
        <v>-120</v>
      </c>
      <c r="L679" s="9" t="s">
        <v>134</v>
      </c>
      <c r="M679" s="21">
        <f t="shared" ref="M679" si="300">IF(MOD(B669,2)=1,G679,H679)</f>
        <v>120</v>
      </c>
    </row>
    <row r="680" spans="5:13">
      <c r="E680" s="21">
        <f t="shared" si="296"/>
        <v>680</v>
      </c>
      <c r="F680" s="9" t="s">
        <v>114</v>
      </c>
      <c r="M680" s="21" t="b">
        <v>1</v>
      </c>
    </row>
    <row r="681" spans="5:13">
      <c r="E681" s="21">
        <f t="shared" si="296"/>
        <v>681</v>
      </c>
      <c r="F681" s="9" t="s">
        <v>30</v>
      </c>
      <c r="M681" s="21">
        <v>3</v>
      </c>
    </row>
    <row r="682" spans="5:13">
      <c r="E682" s="21">
        <f t="shared" si="296"/>
        <v>682</v>
      </c>
      <c r="F682" s="9" t="s">
        <v>196</v>
      </c>
      <c r="M682" s="21">
        <v>0</v>
      </c>
    </row>
    <row r="683" spans="5:13">
      <c r="E683" s="21">
        <f t="shared" si="296"/>
        <v>683</v>
      </c>
      <c r="F683" s="9" t="s">
        <v>35</v>
      </c>
      <c r="G683" s="21">
        <v>185</v>
      </c>
      <c r="H683" s="21">
        <v>195</v>
      </c>
      <c r="I683" s="21">
        <v>205</v>
      </c>
      <c r="J683" s="9" t="s">
        <v>257</v>
      </c>
      <c r="M683" s="21" cm="1">
        <f t="array" ref="M683">_xlfn.SWITCH(MOD(C669,4),1,G683,2,H683,3,J683,0,I683)</f>
        <v>195</v>
      </c>
    </row>
    <row r="684" spans="5:13">
      <c r="E684" s="21">
        <f t="shared" si="296"/>
        <v>684</v>
      </c>
      <c r="F684" s="9" t="s">
        <v>101</v>
      </c>
      <c r="M684" s="21">
        <f t="shared" ref="M684" si="301">M670*10+1</f>
        <v>200341</v>
      </c>
    </row>
    <row r="685" spans="5:13">
      <c r="E685" s="21">
        <f t="shared" si="296"/>
        <v>685</v>
      </c>
      <c r="F685" s="9" t="s">
        <v>142</v>
      </c>
      <c r="M685" s="21">
        <f t="shared" ref="M685" si="302">M670</f>
        <v>20034</v>
      </c>
    </row>
    <row r="686" spans="5:13">
      <c r="E686" s="21">
        <f t="shared" si="296"/>
        <v>686</v>
      </c>
      <c r="F686" s="9" t="s">
        <v>127</v>
      </c>
      <c r="M686" s="21">
        <v>0</v>
      </c>
    </row>
    <row r="687" spans="5:13">
      <c r="E687" s="21">
        <f t="shared" si="296"/>
        <v>687</v>
      </c>
      <c r="F687" s="9" t="s">
        <v>111</v>
      </c>
      <c r="L687" s="9" t="s">
        <v>134</v>
      </c>
      <c r="M687" s="21">
        <v>0</v>
      </c>
    </row>
    <row r="688" spans="5:13">
      <c r="E688" s="21">
        <f t="shared" si="296"/>
        <v>688</v>
      </c>
      <c r="F688" s="9" t="s">
        <v>115</v>
      </c>
      <c r="M688" s="21">
        <v>1.5</v>
      </c>
    </row>
    <row r="689" spans="1:13">
      <c r="A689" s="21" t="s">
        <v>227</v>
      </c>
      <c r="B689" s="21">
        <f t="shared" ref="B689" si="303">QUOTIENT( D689-1,G690)+1</f>
        <v>1</v>
      </c>
      <c r="C689" s="21">
        <f t="shared" ref="C689" si="304">D689-(B689-1)*G690</f>
        <v>35</v>
      </c>
      <c r="D689" s="21">
        <f>COUNT($D$8:$D688)+1</f>
        <v>35</v>
      </c>
    </row>
    <row r="690" spans="1:13">
      <c r="E690" s="21">
        <f t="shared" ref="E690:E708" si="305">ROW(E690)</f>
        <v>690</v>
      </c>
      <c r="F690" s="9" t="s">
        <v>93</v>
      </c>
      <c r="G690" s="21">
        <v>36</v>
      </c>
      <c r="H690" s="21">
        <v>2</v>
      </c>
      <c r="J690" s="9" t="s">
        <v>250</v>
      </c>
      <c r="M690" s="21">
        <f t="shared" ref="M690" si="306">J690+D689</f>
        <v>20035</v>
      </c>
    </row>
    <row r="691" spans="1:13">
      <c r="E691" s="21">
        <f t="shared" si="305"/>
        <v>691</v>
      </c>
      <c r="F691" s="9" t="s">
        <v>142</v>
      </c>
      <c r="M691" s="21">
        <v>199109</v>
      </c>
    </row>
    <row r="692" spans="1:13">
      <c r="E692" s="21">
        <f t="shared" si="305"/>
        <v>692</v>
      </c>
      <c r="F692" s="9" t="s">
        <v>126</v>
      </c>
      <c r="G692" s="21">
        <v>5</v>
      </c>
      <c r="M692" s="21">
        <f t="shared" ref="M692" si="307">G692*C689</f>
        <v>175</v>
      </c>
    </row>
    <row r="693" spans="1:13">
      <c r="E693" s="21">
        <f t="shared" si="305"/>
        <v>693</v>
      </c>
      <c r="F693" s="9" t="s">
        <v>29</v>
      </c>
      <c r="M693" s="21" t="s">
        <v>251</v>
      </c>
    </row>
    <row r="694" spans="1:13">
      <c r="E694" s="21">
        <f t="shared" si="305"/>
        <v>694</v>
      </c>
      <c r="F694" s="9" t="s">
        <v>118</v>
      </c>
      <c r="G694" s="21" t="s">
        <v>256</v>
      </c>
      <c r="H694" s="21" t="s">
        <v>256</v>
      </c>
      <c r="I694" s="21" t="s">
        <v>256</v>
      </c>
      <c r="J694" s="9" t="s">
        <v>256</v>
      </c>
      <c r="M694" s="21" t="str" cm="1">
        <f t="array" ref="M694">_xlfn.SWITCH(MOD(C689,4),1,G694,2,H694,3,J694,0,I694)</f>
        <v>Shot2_purple</v>
      </c>
    </row>
    <row r="695" spans="1:13">
      <c r="E695" s="21">
        <f t="shared" si="305"/>
        <v>695</v>
      </c>
      <c r="F695" s="9" t="s">
        <v>98</v>
      </c>
      <c r="K695" s="9" t="s">
        <v>137</v>
      </c>
      <c r="M695" s="21">
        <v>2</v>
      </c>
    </row>
    <row r="696" spans="1:13">
      <c r="E696" s="21">
        <f t="shared" si="305"/>
        <v>696</v>
      </c>
      <c r="F696" s="9" t="s">
        <v>175</v>
      </c>
      <c r="G696" s="21" t="s">
        <v>252</v>
      </c>
      <c r="H696" s="21" t="s">
        <v>254</v>
      </c>
      <c r="K696" s="9" t="s">
        <v>136</v>
      </c>
      <c r="M696" s="21" t="str">
        <f t="shared" ref="M696" si="308">IF(MOD(B689,2)=1,G696,H696)</f>
        <v>0.3,0</v>
      </c>
    </row>
    <row r="697" spans="1:13">
      <c r="E697" s="21">
        <f t="shared" si="305"/>
        <v>697</v>
      </c>
      <c r="F697" s="9" t="s">
        <v>117</v>
      </c>
      <c r="M697" s="21" t="b">
        <v>1</v>
      </c>
    </row>
    <row r="698" spans="1:13">
      <c r="E698" s="21">
        <f t="shared" si="305"/>
        <v>698</v>
      </c>
      <c r="F698" s="9" t="s">
        <v>31</v>
      </c>
      <c r="L698" s="9" t="s">
        <v>134</v>
      </c>
      <c r="M698" s="21">
        <v>270</v>
      </c>
    </row>
    <row r="699" spans="1:13">
      <c r="E699" s="21">
        <f t="shared" si="305"/>
        <v>699</v>
      </c>
      <c r="F699" s="9" t="s">
        <v>111</v>
      </c>
      <c r="G699" s="21">
        <v>120</v>
      </c>
      <c r="H699" s="21">
        <v>-120</v>
      </c>
      <c r="L699" s="9" t="s">
        <v>134</v>
      </c>
      <c r="M699" s="21">
        <f t="shared" ref="M699" si="309">IF(MOD(B689,2)=1,G699,H699)</f>
        <v>120</v>
      </c>
    </row>
    <row r="700" spans="1:13">
      <c r="E700" s="21">
        <f t="shared" si="305"/>
        <v>700</v>
      </c>
      <c r="F700" s="9" t="s">
        <v>114</v>
      </c>
      <c r="M700" s="21" t="b">
        <v>1</v>
      </c>
    </row>
    <row r="701" spans="1:13">
      <c r="E701" s="21">
        <f t="shared" si="305"/>
        <v>701</v>
      </c>
      <c r="F701" s="9" t="s">
        <v>30</v>
      </c>
      <c r="M701" s="21">
        <v>3</v>
      </c>
    </row>
    <row r="702" spans="1:13">
      <c r="E702" s="21">
        <f t="shared" si="305"/>
        <v>702</v>
      </c>
      <c r="F702" s="9" t="s">
        <v>196</v>
      </c>
      <c r="M702" s="21">
        <v>0</v>
      </c>
    </row>
    <row r="703" spans="1:13">
      <c r="E703" s="21">
        <f t="shared" si="305"/>
        <v>703</v>
      </c>
      <c r="F703" s="9" t="s">
        <v>35</v>
      </c>
      <c r="G703" s="21">
        <v>185</v>
      </c>
      <c r="H703" s="21">
        <v>195</v>
      </c>
      <c r="I703" s="21">
        <v>205</v>
      </c>
      <c r="J703" s="9" t="s">
        <v>257</v>
      </c>
      <c r="M703" s="21" t="str" cm="1">
        <f t="array" ref="M703">_xlfn.SWITCH(MOD(C689,4),1,G703,2,H703,3,J703,0,I703)</f>
        <v>215</v>
      </c>
    </row>
    <row r="704" spans="1:13">
      <c r="E704" s="21">
        <f t="shared" si="305"/>
        <v>704</v>
      </c>
      <c r="F704" s="9" t="s">
        <v>101</v>
      </c>
      <c r="M704" s="21">
        <f t="shared" ref="M704" si="310">M690*10+1</f>
        <v>200351</v>
      </c>
    </row>
    <row r="705" spans="1:13">
      <c r="E705" s="21">
        <f t="shared" si="305"/>
        <v>705</v>
      </c>
      <c r="F705" s="9" t="s">
        <v>142</v>
      </c>
      <c r="M705" s="21">
        <f t="shared" ref="M705" si="311">M690</f>
        <v>20035</v>
      </c>
    </row>
    <row r="706" spans="1:13">
      <c r="E706" s="21">
        <f t="shared" si="305"/>
        <v>706</v>
      </c>
      <c r="F706" s="9" t="s">
        <v>127</v>
      </c>
      <c r="M706" s="21">
        <v>0</v>
      </c>
    </row>
    <row r="707" spans="1:13">
      <c r="E707" s="21">
        <f t="shared" si="305"/>
        <v>707</v>
      </c>
      <c r="F707" s="9" t="s">
        <v>111</v>
      </c>
      <c r="L707" s="9" t="s">
        <v>134</v>
      </c>
      <c r="M707" s="21">
        <v>0</v>
      </c>
    </row>
    <row r="708" spans="1:13">
      <c r="E708" s="21">
        <f t="shared" si="305"/>
        <v>708</v>
      </c>
      <c r="F708" s="9" t="s">
        <v>115</v>
      </c>
      <c r="M708" s="21">
        <v>1.5</v>
      </c>
    </row>
    <row r="709" spans="1:13">
      <c r="A709" s="21" t="s">
        <v>227</v>
      </c>
      <c r="B709" s="21">
        <f t="shared" ref="B709" si="312">QUOTIENT( D709-1,G710)+1</f>
        <v>1</v>
      </c>
      <c r="C709" s="21">
        <f t="shared" ref="C709" si="313">D709-(B709-1)*G710</f>
        <v>36</v>
      </c>
      <c r="D709" s="21">
        <f>COUNT($D$8:$D708)+1</f>
        <v>36</v>
      </c>
    </row>
    <row r="710" spans="1:13">
      <c r="E710" s="21">
        <f t="shared" ref="E710:E728" si="314">ROW(E710)</f>
        <v>710</v>
      </c>
      <c r="F710" s="9" t="s">
        <v>93</v>
      </c>
      <c r="G710" s="21">
        <v>36</v>
      </c>
      <c r="H710" s="21">
        <v>2</v>
      </c>
      <c r="J710" s="9" t="s">
        <v>250</v>
      </c>
      <c r="M710" s="21">
        <f t="shared" ref="M710" si="315">J710+D709</f>
        <v>20036</v>
      </c>
    </row>
    <row r="711" spans="1:13">
      <c r="E711" s="21">
        <f t="shared" si="314"/>
        <v>711</v>
      </c>
      <c r="F711" s="9" t="s">
        <v>142</v>
      </c>
      <c r="M711" s="21">
        <v>199109</v>
      </c>
    </row>
    <row r="712" spans="1:13">
      <c r="E712" s="21">
        <f t="shared" si="314"/>
        <v>712</v>
      </c>
      <c r="F712" s="9" t="s">
        <v>126</v>
      </c>
      <c r="G712" s="21">
        <v>5</v>
      </c>
      <c r="M712" s="21">
        <f t="shared" ref="M712" si="316">G712*C709</f>
        <v>180</v>
      </c>
    </row>
    <row r="713" spans="1:13">
      <c r="E713" s="21">
        <f t="shared" si="314"/>
        <v>713</v>
      </c>
      <c r="F713" s="9" t="s">
        <v>29</v>
      </c>
      <c r="M713" s="21" t="s">
        <v>251</v>
      </c>
    </row>
    <row r="714" spans="1:13">
      <c r="E714" s="21">
        <f t="shared" si="314"/>
        <v>714</v>
      </c>
      <c r="F714" s="9" t="s">
        <v>118</v>
      </c>
      <c r="G714" s="21" t="s">
        <v>256</v>
      </c>
      <c r="H714" s="21" t="s">
        <v>256</v>
      </c>
      <c r="I714" s="21" t="s">
        <v>256</v>
      </c>
      <c r="J714" s="9" t="s">
        <v>256</v>
      </c>
      <c r="M714" s="21" t="str" cm="1">
        <f t="array" ref="M714">_xlfn.SWITCH(MOD(C709,4),1,G714,2,H714,3,J714,0,I714)</f>
        <v>Shot2_purple</v>
      </c>
    </row>
    <row r="715" spans="1:13">
      <c r="E715" s="21">
        <f t="shared" si="314"/>
        <v>715</v>
      </c>
      <c r="F715" s="9" t="s">
        <v>98</v>
      </c>
      <c r="K715" s="9" t="s">
        <v>137</v>
      </c>
      <c r="M715" s="21">
        <v>2</v>
      </c>
    </row>
    <row r="716" spans="1:13">
      <c r="E716" s="21">
        <f t="shared" si="314"/>
        <v>716</v>
      </c>
      <c r="F716" s="9" t="s">
        <v>175</v>
      </c>
      <c r="G716" s="21" t="s">
        <v>252</v>
      </c>
      <c r="H716" s="21" t="s">
        <v>254</v>
      </c>
      <c r="K716" s="9" t="s">
        <v>136</v>
      </c>
      <c r="M716" s="21" t="str">
        <f t="shared" ref="M716" si="317">IF(MOD(B709,2)=1,G716,H716)</f>
        <v>0.3,0</v>
      </c>
    </row>
    <row r="717" spans="1:13">
      <c r="E717" s="21">
        <f t="shared" si="314"/>
        <v>717</v>
      </c>
      <c r="F717" s="9" t="s">
        <v>117</v>
      </c>
      <c r="M717" s="21" t="b">
        <v>1</v>
      </c>
    </row>
    <row r="718" spans="1:13">
      <c r="E718" s="21">
        <f t="shared" si="314"/>
        <v>718</v>
      </c>
      <c r="F718" s="9" t="s">
        <v>31</v>
      </c>
      <c r="L718" s="9" t="s">
        <v>134</v>
      </c>
      <c r="M718" s="21">
        <v>270</v>
      </c>
    </row>
    <row r="719" spans="1:13">
      <c r="E719" s="21">
        <f t="shared" si="314"/>
        <v>719</v>
      </c>
      <c r="F719" s="9" t="s">
        <v>111</v>
      </c>
      <c r="G719" s="21">
        <v>120</v>
      </c>
      <c r="H719" s="21">
        <v>-120</v>
      </c>
      <c r="L719" s="9" t="s">
        <v>134</v>
      </c>
      <c r="M719" s="21">
        <f t="shared" ref="M719" si="318">IF(MOD(B709,2)=1,G719,H719)</f>
        <v>120</v>
      </c>
    </row>
    <row r="720" spans="1:13">
      <c r="E720" s="21">
        <f t="shared" si="314"/>
        <v>720</v>
      </c>
      <c r="F720" s="9" t="s">
        <v>114</v>
      </c>
      <c r="M720" s="21" t="b">
        <v>1</v>
      </c>
    </row>
    <row r="721" spans="1:13">
      <c r="E721" s="21">
        <f t="shared" si="314"/>
        <v>721</v>
      </c>
      <c r="F721" s="9" t="s">
        <v>30</v>
      </c>
      <c r="M721" s="21">
        <v>3</v>
      </c>
    </row>
    <row r="722" spans="1:13">
      <c r="E722" s="21">
        <f t="shared" si="314"/>
        <v>722</v>
      </c>
      <c r="F722" s="9" t="s">
        <v>196</v>
      </c>
      <c r="M722" s="21">
        <v>0</v>
      </c>
    </row>
    <row r="723" spans="1:13">
      <c r="E723" s="21">
        <f t="shared" si="314"/>
        <v>723</v>
      </c>
      <c r="F723" s="9" t="s">
        <v>35</v>
      </c>
      <c r="G723" s="21">
        <v>185</v>
      </c>
      <c r="H723" s="21">
        <v>195</v>
      </c>
      <c r="I723" s="21">
        <v>205</v>
      </c>
      <c r="J723" s="9" t="s">
        <v>257</v>
      </c>
      <c r="M723" s="21" cm="1">
        <f t="array" ref="M723">_xlfn.SWITCH(MOD(C709,4),1,G723,2,H723,3,J723,0,I723)</f>
        <v>205</v>
      </c>
    </row>
    <row r="724" spans="1:13">
      <c r="E724" s="21">
        <f t="shared" si="314"/>
        <v>724</v>
      </c>
      <c r="F724" s="9" t="s">
        <v>101</v>
      </c>
      <c r="M724" s="21">
        <f t="shared" ref="M724" si="319">M710*10+1</f>
        <v>200361</v>
      </c>
    </row>
    <row r="725" spans="1:13">
      <c r="E725" s="21">
        <f t="shared" si="314"/>
        <v>725</v>
      </c>
      <c r="F725" s="9" t="s">
        <v>142</v>
      </c>
      <c r="M725" s="21">
        <f t="shared" ref="M725" si="320">M710</f>
        <v>20036</v>
      </c>
    </row>
    <row r="726" spans="1:13">
      <c r="E726" s="21">
        <f t="shared" si="314"/>
        <v>726</v>
      </c>
      <c r="F726" s="9" t="s">
        <v>127</v>
      </c>
      <c r="M726" s="21">
        <v>0</v>
      </c>
    </row>
    <row r="727" spans="1:13">
      <c r="E727" s="21">
        <f t="shared" si="314"/>
        <v>727</v>
      </c>
      <c r="F727" s="9" t="s">
        <v>111</v>
      </c>
      <c r="L727" s="9" t="s">
        <v>134</v>
      </c>
      <c r="M727" s="21">
        <v>0</v>
      </c>
    </row>
    <row r="728" spans="1:13">
      <c r="E728" s="21">
        <f t="shared" si="314"/>
        <v>728</v>
      </c>
      <c r="F728" s="9" t="s">
        <v>115</v>
      </c>
      <c r="M728" s="21">
        <v>1.5</v>
      </c>
    </row>
    <row r="729" spans="1:13">
      <c r="A729" s="21" t="s">
        <v>227</v>
      </c>
      <c r="B729" s="21">
        <f t="shared" ref="B729" si="321">QUOTIENT( D729-1,G730)+1</f>
        <v>2</v>
      </c>
      <c r="C729" s="21">
        <f t="shared" ref="C729" si="322">D729-(B729-1)*G730</f>
        <v>1</v>
      </c>
      <c r="D729" s="21">
        <f>COUNT($D$8:$D728)+1</f>
        <v>37</v>
      </c>
    </row>
    <row r="730" spans="1:13">
      <c r="E730" s="21">
        <f t="shared" ref="E730:E748" si="323">ROW(E730)</f>
        <v>730</v>
      </c>
      <c r="F730" s="9" t="s">
        <v>93</v>
      </c>
      <c r="G730" s="21">
        <v>36</v>
      </c>
      <c r="H730" s="21">
        <v>2</v>
      </c>
      <c r="J730" s="9" t="s">
        <v>250</v>
      </c>
      <c r="M730" s="21">
        <f t="shared" ref="M730" si="324">J730+D729</f>
        <v>20037</v>
      </c>
    </row>
    <row r="731" spans="1:13">
      <c r="E731" s="21">
        <f t="shared" si="323"/>
        <v>731</v>
      </c>
      <c r="F731" s="9" t="s">
        <v>142</v>
      </c>
      <c r="M731" s="21">
        <v>199109</v>
      </c>
    </row>
    <row r="732" spans="1:13">
      <c r="E732" s="21">
        <f t="shared" si="323"/>
        <v>732</v>
      </c>
      <c r="F732" s="9" t="s">
        <v>126</v>
      </c>
      <c r="G732" s="21">
        <v>5</v>
      </c>
      <c r="M732" s="21">
        <f t="shared" ref="M732" si="325">G732*C729</f>
        <v>5</v>
      </c>
    </row>
    <row r="733" spans="1:13">
      <c r="E733" s="21">
        <f t="shared" si="323"/>
        <v>733</v>
      </c>
      <c r="F733" s="9" t="s">
        <v>29</v>
      </c>
      <c r="M733" s="21" t="s">
        <v>251</v>
      </c>
    </row>
    <row r="734" spans="1:13">
      <c r="E734" s="21">
        <f t="shared" si="323"/>
        <v>734</v>
      </c>
      <c r="F734" s="9" t="s">
        <v>118</v>
      </c>
      <c r="G734" s="21" t="s">
        <v>256</v>
      </c>
      <c r="H734" s="21" t="s">
        <v>256</v>
      </c>
      <c r="I734" s="21" t="s">
        <v>256</v>
      </c>
      <c r="J734" s="9" t="s">
        <v>256</v>
      </c>
      <c r="M734" s="21" t="str" cm="1">
        <f t="array" ref="M734">_xlfn.SWITCH(MOD(C729,4),1,G734,2,H734,3,J734,0,I734)</f>
        <v>Shot2_purple</v>
      </c>
    </row>
    <row r="735" spans="1:13">
      <c r="E735" s="21">
        <f t="shared" si="323"/>
        <v>735</v>
      </c>
      <c r="F735" s="9" t="s">
        <v>98</v>
      </c>
      <c r="K735" s="9" t="s">
        <v>137</v>
      </c>
      <c r="M735" s="21">
        <v>2</v>
      </c>
    </row>
    <row r="736" spans="1:13">
      <c r="E736" s="21">
        <f t="shared" si="323"/>
        <v>736</v>
      </c>
      <c r="F736" s="9" t="s">
        <v>175</v>
      </c>
      <c r="G736" s="21" t="s">
        <v>252</v>
      </c>
      <c r="H736" s="21" t="s">
        <v>254</v>
      </c>
      <c r="K736" s="9" t="s">
        <v>136</v>
      </c>
      <c r="M736" s="21" t="str">
        <f t="shared" ref="M736" si="326">IF(MOD(B729,2)=1,G736,H736)</f>
        <v>-0.3,0</v>
      </c>
    </row>
    <row r="737" spans="1:13">
      <c r="E737" s="21">
        <f t="shared" si="323"/>
        <v>737</v>
      </c>
      <c r="F737" s="9" t="s">
        <v>117</v>
      </c>
      <c r="M737" s="21" t="b">
        <v>1</v>
      </c>
    </row>
    <row r="738" spans="1:13">
      <c r="E738" s="21">
        <f t="shared" si="323"/>
        <v>738</v>
      </c>
      <c r="F738" s="9" t="s">
        <v>31</v>
      </c>
      <c r="L738" s="9" t="s">
        <v>134</v>
      </c>
      <c r="M738" s="21">
        <v>270</v>
      </c>
    </row>
    <row r="739" spans="1:13">
      <c r="E739" s="21">
        <f t="shared" si="323"/>
        <v>739</v>
      </c>
      <c r="F739" s="9" t="s">
        <v>111</v>
      </c>
      <c r="G739" s="21">
        <v>120</v>
      </c>
      <c r="H739" s="21">
        <v>-120</v>
      </c>
      <c r="L739" s="9" t="s">
        <v>134</v>
      </c>
      <c r="M739" s="21">
        <f t="shared" ref="M739" si="327">IF(MOD(B729,2)=1,G739,H739)</f>
        <v>-120</v>
      </c>
    </row>
    <row r="740" spans="1:13">
      <c r="E740" s="21">
        <f t="shared" si="323"/>
        <v>740</v>
      </c>
      <c r="F740" s="9" t="s">
        <v>114</v>
      </c>
      <c r="M740" s="21" t="b">
        <v>1</v>
      </c>
    </row>
    <row r="741" spans="1:13">
      <c r="E741" s="21">
        <f t="shared" si="323"/>
        <v>741</v>
      </c>
      <c r="F741" s="9" t="s">
        <v>30</v>
      </c>
      <c r="M741" s="21">
        <v>3</v>
      </c>
    </row>
    <row r="742" spans="1:13">
      <c r="E742" s="21">
        <f t="shared" si="323"/>
        <v>742</v>
      </c>
      <c r="F742" s="9" t="s">
        <v>196</v>
      </c>
      <c r="M742" s="21">
        <v>0</v>
      </c>
    </row>
    <row r="743" spans="1:13">
      <c r="E743" s="21">
        <f t="shared" si="323"/>
        <v>743</v>
      </c>
      <c r="F743" s="9" t="s">
        <v>35</v>
      </c>
      <c r="G743" s="21">
        <v>185</v>
      </c>
      <c r="H743" s="21">
        <v>195</v>
      </c>
      <c r="I743" s="21">
        <v>205</v>
      </c>
      <c r="J743" s="9" t="s">
        <v>257</v>
      </c>
      <c r="M743" s="21" cm="1">
        <f t="array" ref="M743">_xlfn.SWITCH(MOD(C729,4),1,G743,2,H743,3,J743,0,I743)</f>
        <v>185</v>
      </c>
    </row>
    <row r="744" spans="1:13">
      <c r="E744" s="21">
        <f t="shared" si="323"/>
        <v>744</v>
      </c>
      <c r="F744" s="9" t="s">
        <v>101</v>
      </c>
      <c r="M744" s="21">
        <f t="shared" ref="M744" si="328">M730*10+1</f>
        <v>200371</v>
      </c>
    </row>
    <row r="745" spans="1:13">
      <c r="E745" s="21">
        <f t="shared" si="323"/>
        <v>745</v>
      </c>
      <c r="F745" s="9" t="s">
        <v>142</v>
      </c>
      <c r="M745" s="21">
        <f t="shared" ref="M745" si="329">M730</f>
        <v>20037</v>
      </c>
    </row>
    <row r="746" spans="1:13">
      <c r="E746" s="21">
        <f t="shared" si="323"/>
        <v>746</v>
      </c>
      <c r="F746" s="9" t="s">
        <v>127</v>
      </c>
      <c r="M746" s="21">
        <v>0</v>
      </c>
    </row>
    <row r="747" spans="1:13">
      <c r="E747" s="21">
        <f t="shared" si="323"/>
        <v>747</v>
      </c>
      <c r="F747" s="9" t="s">
        <v>111</v>
      </c>
      <c r="L747" s="9" t="s">
        <v>134</v>
      </c>
      <c r="M747" s="21">
        <v>0</v>
      </c>
    </row>
    <row r="748" spans="1:13">
      <c r="E748" s="21">
        <f t="shared" si="323"/>
        <v>748</v>
      </c>
      <c r="F748" s="9" t="s">
        <v>115</v>
      </c>
      <c r="M748" s="21">
        <v>1.5</v>
      </c>
    </row>
    <row r="749" spans="1:13">
      <c r="A749" s="21" t="s">
        <v>227</v>
      </c>
      <c r="B749" s="21">
        <f t="shared" ref="B749" si="330">QUOTIENT( D749-1,G750)+1</f>
        <v>2</v>
      </c>
      <c r="C749" s="21">
        <f t="shared" ref="C749" si="331">D749-(B749-1)*G750</f>
        <v>2</v>
      </c>
      <c r="D749" s="21">
        <f>COUNT($D$8:$D748)+1</f>
        <v>38</v>
      </c>
    </row>
    <row r="750" spans="1:13">
      <c r="E750" s="21">
        <f t="shared" ref="E750:E768" si="332">ROW(E750)</f>
        <v>750</v>
      </c>
      <c r="F750" s="9" t="s">
        <v>93</v>
      </c>
      <c r="G750" s="21">
        <v>36</v>
      </c>
      <c r="H750" s="21">
        <v>2</v>
      </c>
      <c r="J750" s="9" t="s">
        <v>250</v>
      </c>
      <c r="M750" s="21">
        <f t="shared" ref="M750" si="333">J750+D749</f>
        <v>20038</v>
      </c>
    </row>
    <row r="751" spans="1:13">
      <c r="E751" s="21">
        <f t="shared" si="332"/>
        <v>751</v>
      </c>
      <c r="F751" s="9" t="s">
        <v>142</v>
      </c>
      <c r="M751" s="21">
        <v>199109</v>
      </c>
    </row>
    <row r="752" spans="1:13">
      <c r="E752" s="21">
        <f t="shared" si="332"/>
        <v>752</v>
      </c>
      <c r="F752" s="9" t="s">
        <v>126</v>
      </c>
      <c r="G752" s="21">
        <v>5</v>
      </c>
      <c r="M752" s="21">
        <f t="shared" ref="M752" si="334">G752*C749</f>
        <v>10</v>
      </c>
    </row>
    <row r="753" spans="5:13">
      <c r="E753" s="21">
        <f t="shared" si="332"/>
        <v>753</v>
      </c>
      <c r="F753" s="9" t="s">
        <v>29</v>
      </c>
      <c r="M753" s="21" t="s">
        <v>251</v>
      </c>
    </row>
    <row r="754" spans="5:13">
      <c r="E754" s="21">
        <f t="shared" si="332"/>
        <v>754</v>
      </c>
      <c r="F754" s="9" t="s">
        <v>118</v>
      </c>
      <c r="G754" s="21" t="s">
        <v>256</v>
      </c>
      <c r="H754" s="21" t="s">
        <v>256</v>
      </c>
      <c r="I754" s="21" t="s">
        <v>256</v>
      </c>
      <c r="J754" s="9" t="s">
        <v>256</v>
      </c>
      <c r="M754" s="21" t="str" cm="1">
        <f t="array" ref="M754">_xlfn.SWITCH(MOD(C749,4),1,G754,2,H754,3,J754,0,I754)</f>
        <v>Shot2_purple</v>
      </c>
    </row>
    <row r="755" spans="5:13">
      <c r="E755" s="21">
        <f t="shared" si="332"/>
        <v>755</v>
      </c>
      <c r="F755" s="9" t="s">
        <v>98</v>
      </c>
      <c r="K755" s="9" t="s">
        <v>137</v>
      </c>
      <c r="M755" s="21">
        <v>2</v>
      </c>
    </row>
    <row r="756" spans="5:13">
      <c r="E756" s="21">
        <f t="shared" si="332"/>
        <v>756</v>
      </c>
      <c r="F756" s="9" t="s">
        <v>175</v>
      </c>
      <c r="G756" s="21" t="s">
        <v>252</v>
      </c>
      <c r="H756" s="21" t="s">
        <v>254</v>
      </c>
      <c r="K756" s="9" t="s">
        <v>136</v>
      </c>
      <c r="M756" s="21" t="str">
        <f t="shared" ref="M756" si="335">IF(MOD(B749,2)=1,G756,H756)</f>
        <v>-0.3,0</v>
      </c>
    </row>
    <row r="757" spans="5:13">
      <c r="E757" s="21">
        <f t="shared" si="332"/>
        <v>757</v>
      </c>
      <c r="F757" s="9" t="s">
        <v>117</v>
      </c>
      <c r="M757" s="21" t="b">
        <v>1</v>
      </c>
    </row>
    <row r="758" spans="5:13">
      <c r="E758" s="21">
        <f t="shared" si="332"/>
        <v>758</v>
      </c>
      <c r="F758" s="9" t="s">
        <v>31</v>
      </c>
      <c r="L758" s="9" t="s">
        <v>134</v>
      </c>
      <c r="M758" s="21">
        <v>270</v>
      </c>
    </row>
    <row r="759" spans="5:13">
      <c r="E759" s="21">
        <f t="shared" si="332"/>
        <v>759</v>
      </c>
      <c r="F759" s="9" t="s">
        <v>111</v>
      </c>
      <c r="G759" s="21">
        <v>120</v>
      </c>
      <c r="H759" s="21">
        <v>-120</v>
      </c>
      <c r="L759" s="9" t="s">
        <v>134</v>
      </c>
      <c r="M759" s="21">
        <f t="shared" ref="M759" si="336">IF(MOD(B749,2)=1,G759,H759)</f>
        <v>-120</v>
      </c>
    </row>
    <row r="760" spans="5:13">
      <c r="E760" s="21">
        <f t="shared" si="332"/>
        <v>760</v>
      </c>
      <c r="F760" s="9" t="s">
        <v>114</v>
      </c>
      <c r="M760" s="21" t="b">
        <v>1</v>
      </c>
    </row>
    <row r="761" spans="5:13">
      <c r="E761" s="21">
        <f t="shared" si="332"/>
        <v>761</v>
      </c>
      <c r="F761" s="9" t="s">
        <v>30</v>
      </c>
      <c r="M761" s="21">
        <v>3</v>
      </c>
    </row>
    <row r="762" spans="5:13">
      <c r="E762" s="21">
        <f t="shared" si="332"/>
        <v>762</v>
      </c>
      <c r="F762" s="9" t="s">
        <v>196</v>
      </c>
      <c r="M762" s="21">
        <v>0</v>
      </c>
    </row>
    <row r="763" spans="5:13">
      <c r="E763" s="21">
        <f t="shared" si="332"/>
        <v>763</v>
      </c>
      <c r="F763" s="9" t="s">
        <v>35</v>
      </c>
      <c r="G763" s="21">
        <v>185</v>
      </c>
      <c r="H763" s="21">
        <v>195</v>
      </c>
      <c r="I763" s="21">
        <v>205</v>
      </c>
      <c r="J763" s="9" t="s">
        <v>257</v>
      </c>
      <c r="M763" s="21" cm="1">
        <f t="array" ref="M763">_xlfn.SWITCH(MOD(C749,4),1,G763,2,H763,3,J763,0,I763)</f>
        <v>195</v>
      </c>
    </row>
    <row r="764" spans="5:13">
      <c r="E764" s="21">
        <f t="shared" si="332"/>
        <v>764</v>
      </c>
      <c r="F764" s="9" t="s">
        <v>101</v>
      </c>
      <c r="M764" s="21">
        <f t="shared" ref="M764" si="337">M750*10+1</f>
        <v>200381</v>
      </c>
    </row>
    <row r="765" spans="5:13">
      <c r="E765" s="21">
        <f t="shared" si="332"/>
        <v>765</v>
      </c>
      <c r="F765" s="9" t="s">
        <v>142</v>
      </c>
      <c r="M765" s="21">
        <f t="shared" ref="M765" si="338">M750</f>
        <v>20038</v>
      </c>
    </row>
    <row r="766" spans="5:13">
      <c r="E766" s="21">
        <f t="shared" si="332"/>
        <v>766</v>
      </c>
      <c r="F766" s="9" t="s">
        <v>127</v>
      </c>
      <c r="M766" s="21">
        <v>0</v>
      </c>
    </row>
    <row r="767" spans="5:13">
      <c r="E767" s="21">
        <f t="shared" si="332"/>
        <v>767</v>
      </c>
      <c r="F767" s="9" t="s">
        <v>111</v>
      </c>
      <c r="L767" s="9" t="s">
        <v>134</v>
      </c>
      <c r="M767" s="21">
        <v>0</v>
      </c>
    </row>
    <row r="768" spans="5:13">
      <c r="E768" s="21">
        <f t="shared" si="332"/>
        <v>768</v>
      </c>
      <c r="F768" s="9" t="s">
        <v>115</v>
      </c>
      <c r="M768" s="21">
        <v>1.5</v>
      </c>
    </row>
    <row r="769" spans="1:13">
      <c r="A769" s="21" t="s">
        <v>227</v>
      </c>
      <c r="B769" s="21">
        <f t="shared" ref="B769" si="339">QUOTIENT( D769-1,G770)+1</f>
        <v>2</v>
      </c>
      <c r="C769" s="21">
        <f t="shared" ref="C769" si="340">D769-(B769-1)*G770</f>
        <v>3</v>
      </c>
      <c r="D769" s="21">
        <f>COUNT($D$8:$D768)+1</f>
        <v>39</v>
      </c>
    </row>
    <row r="770" spans="1:13">
      <c r="E770" s="21">
        <f t="shared" ref="E770:E788" si="341">ROW(E770)</f>
        <v>770</v>
      </c>
      <c r="F770" s="9" t="s">
        <v>93</v>
      </c>
      <c r="G770" s="21">
        <v>36</v>
      </c>
      <c r="H770" s="21">
        <v>2</v>
      </c>
      <c r="J770" s="9" t="s">
        <v>250</v>
      </c>
      <c r="M770" s="21">
        <f t="shared" ref="M770" si="342">J770+D769</f>
        <v>20039</v>
      </c>
    </row>
    <row r="771" spans="1:13">
      <c r="E771" s="21">
        <f t="shared" si="341"/>
        <v>771</v>
      </c>
      <c r="F771" s="9" t="s">
        <v>142</v>
      </c>
      <c r="M771" s="21">
        <v>199109</v>
      </c>
    </row>
    <row r="772" spans="1:13">
      <c r="E772" s="21">
        <f t="shared" si="341"/>
        <v>772</v>
      </c>
      <c r="F772" s="9" t="s">
        <v>126</v>
      </c>
      <c r="G772" s="21">
        <v>5</v>
      </c>
      <c r="M772" s="21">
        <f t="shared" ref="M772" si="343">G772*C769</f>
        <v>15</v>
      </c>
    </row>
    <row r="773" spans="1:13">
      <c r="E773" s="21">
        <f t="shared" si="341"/>
        <v>773</v>
      </c>
      <c r="F773" s="9" t="s">
        <v>29</v>
      </c>
      <c r="M773" s="21" t="s">
        <v>251</v>
      </c>
    </row>
    <row r="774" spans="1:13">
      <c r="E774" s="21">
        <f t="shared" si="341"/>
        <v>774</v>
      </c>
      <c r="F774" s="9" t="s">
        <v>118</v>
      </c>
      <c r="G774" s="21" t="s">
        <v>256</v>
      </c>
      <c r="H774" s="21" t="s">
        <v>256</v>
      </c>
      <c r="I774" s="21" t="s">
        <v>256</v>
      </c>
      <c r="J774" s="9" t="s">
        <v>256</v>
      </c>
      <c r="M774" s="21" t="str" cm="1">
        <f t="array" ref="M774">_xlfn.SWITCH(MOD(C769,4),1,G774,2,H774,3,J774,0,I774)</f>
        <v>Shot2_purple</v>
      </c>
    </row>
    <row r="775" spans="1:13">
      <c r="E775" s="21">
        <f t="shared" si="341"/>
        <v>775</v>
      </c>
      <c r="F775" s="9" t="s">
        <v>98</v>
      </c>
      <c r="K775" s="9" t="s">
        <v>137</v>
      </c>
      <c r="M775" s="21">
        <v>2</v>
      </c>
    </row>
    <row r="776" spans="1:13">
      <c r="E776" s="21">
        <f t="shared" si="341"/>
        <v>776</v>
      </c>
      <c r="F776" s="9" t="s">
        <v>175</v>
      </c>
      <c r="G776" s="21" t="s">
        <v>252</v>
      </c>
      <c r="H776" s="21" t="s">
        <v>254</v>
      </c>
      <c r="K776" s="9" t="s">
        <v>136</v>
      </c>
      <c r="M776" s="21" t="str">
        <f t="shared" ref="M776" si="344">IF(MOD(B769,2)=1,G776,H776)</f>
        <v>-0.3,0</v>
      </c>
    </row>
    <row r="777" spans="1:13">
      <c r="E777" s="21">
        <f t="shared" si="341"/>
        <v>777</v>
      </c>
      <c r="F777" s="9" t="s">
        <v>117</v>
      </c>
      <c r="M777" s="21" t="b">
        <v>1</v>
      </c>
    </row>
    <row r="778" spans="1:13">
      <c r="E778" s="21">
        <f t="shared" si="341"/>
        <v>778</v>
      </c>
      <c r="F778" s="9" t="s">
        <v>31</v>
      </c>
      <c r="L778" s="9" t="s">
        <v>134</v>
      </c>
      <c r="M778" s="21">
        <v>270</v>
      </c>
    </row>
    <row r="779" spans="1:13">
      <c r="E779" s="21">
        <f t="shared" si="341"/>
        <v>779</v>
      </c>
      <c r="F779" s="9" t="s">
        <v>111</v>
      </c>
      <c r="G779" s="21">
        <v>120</v>
      </c>
      <c r="H779" s="21">
        <v>-120</v>
      </c>
      <c r="L779" s="9" t="s">
        <v>134</v>
      </c>
      <c r="M779" s="21">
        <f t="shared" ref="M779" si="345">IF(MOD(B769,2)=1,G779,H779)</f>
        <v>-120</v>
      </c>
    </row>
    <row r="780" spans="1:13">
      <c r="E780" s="21">
        <f t="shared" si="341"/>
        <v>780</v>
      </c>
      <c r="F780" s="9" t="s">
        <v>114</v>
      </c>
      <c r="M780" s="21" t="b">
        <v>1</v>
      </c>
    </row>
    <row r="781" spans="1:13">
      <c r="E781" s="21">
        <f t="shared" si="341"/>
        <v>781</v>
      </c>
      <c r="F781" s="9" t="s">
        <v>30</v>
      </c>
      <c r="M781" s="21">
        <v>3</v>
      </c>
    </row>
    <row r="782" spans="1:13">
      <c r="E782" s="21">
        <f t="shared" si="341"/>
        <v>782</v>
      </c>
      <c r="F782" s="9" t="s">
        <v>196</v>
      </c>
      <c r="M782" s="21">
        <v>0</v>
      </c>
    </row>
    <row r="783" spans="1:13">
      <c r="E783" s="21">
        <f t="shared" si="341"/>
        <v>783</v>
      </c>
      <c r="F783" s="9" t="s">
        <v>35</v>
      </c>
      <c r="G783" s="21">
        <v>185</v>
      </c>
      <c r="H783" s="21">
        <v>195</v>
      </c>
      <c r="I783" s="21">
        <v>205</v>
      </c>
      <c r="J783" s="9" t="s">
        <v>257</v>
      </c>
      <c r="M783" s="21" t="str" cm="1">
        <f t="array" ref="M783">_xlfn.SWITCH(MOD(C769,4),1,G783,2,H783,3,J783,0,I783)</f>
        <v>215</v>
      </c>
    </row>
    <row r="784" spans="1:13">
      <c r="E784" s="21">
        <f t="shared" si="341"/>
        <v>784</v>
      </c>
      <c r="F784" s="9" t="s">
        <v>101</v>
      </c>
      <c r="M784" s="21">
        <f t="shared" ref="M784" si="346">M770*10+1</f>
        <v>200391</v>
      </c>
    </row>
    <row r="785" spans="1:13">
      <c r="E785" s="21">
        <f t="shared" si="341"/>
        <v>785</v>
      </c>
      <c r="F785" s="9" t="s">
        <v>142</v>
      </c>
      <c r="M785" s="21">
        <f t="shared" ref="M785" si="347">M770</f>
        <v>20039</v>
      </c>
    </row>
    <row r="786" spans="1:13">
      <c r="E786" s="21">
        <f t="shared" si="341"/>
        <v>786</v>
      </c>
      <c r="F786" s="9" t="s">
        <v>127</v>
      </c>
      <c r="M786" s="21">
        <v>0</v>
      </c>
    </row>
    <row r="787" spans="1:13">
      <c r="E787" s="21">
        <f t="shared" si="341"/>
        <v>787</v>
      </c>
      <c r="F787" s="9" t="s">
        <v>111</v>
      </c>
      <c r="L787" s="9" t="s">
        <v>134</v>
      </c>
      <c r="M787" s="21">
        <v>0</v>
      </c>
    </row>
    <row r="788" spans="1:13">
      <c r="E788" s="21">
        <f t="shared" si="341"/>
        <v>788</v>
      </c>
      <c r="F788" s="9" t="s">
        <v>115</v>
      </c>
      <c r="M788" s="21">
        <v>1.5</v>
      </c>
    </row>
    <row r="789" spans="1:13">
      <c r="A789" s="21" t="s">
        <v>227</v>
      </c>
      <c r="B789" s="21">
        <f t="shared" ref="B789" si="348">QUOTIENT( D789-1,G790)+1</f>
        <v>2</v>
      </c>
      <c r="C789" s="21">
        <f t="shared" ref="C789" si="349">D789-(B789-1)*G790</f>
        <v>4</v>
      </c>
      <c r="D789" s="21">
        <f>COUNT($D$8:$D788)+1</f>
        <v>40</v>
      </c>
    </row>
    <row r="790" spans="1:13">
      <c r="E790" s="21">
        <f t="shared" ref="E790:E808" si="350">ROW(E790)</f>
        <v>790</v>
      </c>
      <c r="F790" s="9" t="s">
        <v>93</v>
      </c>
      <c r="G790" s="21">
        <v>36</v>
      </c>
      <c r="H790" s="21">
        <v>2</v>
      </c>
      <c r="J790" s="9" t="s">
        <v>250</v>
      </c>
      <c r="M790" s="21">
        <f t="shared" ref="M790" si="351">J790+D789</f>
        <v>20040</v>
      </c>
    </row>
    <row r="791" spans="1:13">
      <c r="E791" s="21">
        <f t="shared" si="350"/>
        <v>791</v>
      </c>
      <c r="F791" s="9" t="s">
        <v>142</v>
      </c>
      <c r="M791" s="21">
        <v>199109</v>
      </c>
    </row>
    <row r="792" spans="1:13">
      <c r="E792" s="21">
        <f t="shared" si="350"/>
        <v>792</v>
      </c>
      <c r="F792" s="9" t="s">
        <v>126</v>
      </c>
      <c r="G792" s="21">
        <v>5</v>
      </c>
      <c r="M792" s="21">
        <f t="shared" ref="M792" si="352">G792*C789</f>
        <v>20</v>
      </c>
    </row>
    <row r="793" spans="1:13">
      <c r="E793" s="21">
        <f t="shared" si="350"/>
        <v>793</v>
      </c>
      <c r="F793" s="9" t="s">
        <v>29</v>
      </c>
      <c r="M793" s="21" t="s">
        <v>251</v>
      </c>
    </row>
    <row r="794" spans="1:13">
      <c r="E794" s="21">
        <f t="shared" si="350"/>
        <v>794</v>
      </c>
      <c r="F794" s="9" t="s">
        <v>118</v>
      </c>
      <c r="G794" s="21" t="s">
        <v>256</v>
      </c>
      <c r="H794" s="21" t="s">
        <v>256</v>
      </c>
      <c r="I794" s="21" t="s">
        <v>256</v>
      </c>
      <c r="J794" s="9" t="s">
        <v>256</v>
      </c>
      <c r="M794" s="21" t="str" cm="1">
        <f t="array" ref="M794">_xlfn.SWITCH(MOD(C789,4),1,G794,2,H794,3,J794,0,I794)</f>
        <v>Shot2_purple</v>
      </c>
    </row>
    <row r="795" spans="1:13">
      <c r="E795" s="21">
        <f t="shared" si="350"/>
        <v>795</v>
      </c>
      <c r="F795" s="9" t="s">
        <v>98</v>
      </c>
      <c r="K795" s="9" t="s">
        <v>137</v>
      </c>
      <c r="M795" s="21">
        <v>2</v>
      </c>
    </row>
    <row r="796" spans="1:13">
      <c r="E796" s="21">
        <f t="shared" si="350"/>
        <v>796</v>
      </c>
      <c r="F796" s="9" t="s">
        <v>175</v>
      </c>
      <c r="G796" s="21" t="s">
        <v>252</v>
      </c>
      <c r="H796" s="21" t="s">
        <v>254</v>
      </c>
      <c r="K796" s="9" t="s">
        <v>136</v>
      </c>
      <c r="M796" s="21" t="str">
        <f t="shared" ref="M796" si="353">IF(MOD(B789,2)=1,G796,H796)</f>
        <v>-0.3,0</v>
      </c>
    </row>
    <row r="797" spans="1:13">
      <c r="E797" s="21">
        <f t="shared" si="350"/>
        <v>797</v>
      </c>
      <c r="F797" s="9" t="s">
        <v>117</v>
      </c>
      <c r="M797" s="21" t="b">
        <v>1</v>
      </c>
    </row>
    <row r="798" spans="1:13">
      <c r="E798" s="21">
        <f t="shared" si="350"/>
        <v>798</v>
      </c>
      <c r="F798" s="9" t="s">
        <v>31</v>
      </c>
      <c r="L798" s="9" t="s">
        <v>134</v>
      </c>
      <c r="M798" s="21">
        <v>270</v>
      </c>
    </row>
    <row r="799" spans="1:13">
      <c r="E799" s="21">
        <f t="shared" si="350"/>
        <v>799</v>
      </c>
      <c r="F799" s="9" t="s">
        <v>111</v>
      </c>
      <c r="G799" s="21">
        <v>120</v>
      </c>
      <c r="H799" s="21">
        <v>-120</v>
      </c>
      <c r="L799" s="9" t="s">
        <v>134</v>
      </c>
      <c r="M799" s="21">
        <f t="shared" ref="M799" si="354">IF(MOD(B789,2)=1,G799,H799)</f>
        <v>-120</v>
      </c>
    </row>
    <row r="800" spans="1:13">
      <c r="E800" s="21">
        <f t="shared" si="350"/>
        <v>800</v>
      </c>
      <c r="F800" s="9" t="s">
        <v>114</v>
      </c>
      <c r="M800" s="21" t="b">
        <v>1</v>
      </c>
    </row>
    <row r="801" spans="1:13">
      <c r="E801" s="21">
        <f t="shared" si="350"/>
        <v>801</v>
      </c>
      <c r="F801" s="9" t="s">
        <v>30</v>
      </c>
      <c r="M801" s="21">
        <v>3</v>
      </c>
    </row>
    <row r="802" spans="1:13">
      <c r="E802" s="21">
        <f t="shared" si="350"/>
        <v>802</v>
      </c>
      <c r="F802" s="9" t="s">
        <v>196</v>
      </c>
      <c r="M802" s="21">
        <v>0</v>
      </c>
    </row>
    <row r="803" spans="1:13">
      <c r="E803" s="21">
        <f t="shared" si="350"/>
        <v>803</v>
      </c>
      <c r="F803" s="9" t="s">
        <v>35</v>
      </c>
      <c r="G803" s="21">
        <v>185</v>
      </c>
      <c r="H803" s="21">
        <v>195</v>
      </c>
      <c r="I803" s="21">
        <v>205</v>
      </c>
      <c r="J803" s="9" t="s">
        <v>257</v>
      </c>
      <c r="M803" s="21" cm="1">
        <f t="array" ref="M803">_xlfn.SWITCH(MOD(C789,4),1,G803,2,H803,3,J803,0,I803)</f>
        <v>205</v>
      </c>
    </row>
    <row r="804" spans="1:13">
      <c r="E804" s="21">
        <f t="shared" si="350"/>
        <v>804</v>
      </c>
      <c r="F804" s="9" t="s">
        <v>101</v>
      </c>
      <c r="M804" s="21">
        <f t="shared" ref="M804" si="355">M790*10+1</f>
        <v>200401</v>
      </c>
    </row>
    <row r="805" spans="1:13">
      <c r="E805" s="21">
        <f t="shared" si="350"/>
        <v>805</v>
      </c>
      <c r="F805" s="9" t="s">
        <v>142</v>
      </c>
      <c r="M805" s="21">
        <f t="shared" ref="M805" si="356">M790</f>
        <v>20040</v>
      </c>
    </row>
    <row r="806" spans="1:13">
      <c r="E806" s="21">
        <f t="shared" si="350"/>
        <v>806</v>
      </c>
      <c r="F806" s="9" t="s">
        <v>127</v>
      </c>
      <c r="M806" s="21">
        <v>0</v>
      </c>
    </row>
    <row r="807" spans="1:13">
      <c r="E807" s="21">
        <f t="shared" si="350"/>
        <v>807</v>
      </c>
      <c r="F807" s="9" t="s">
        <v>111</v>
      </c>
      <c r="L807" s="9" t="s">
        <v>134</v>
      </c>
      <c r="M807" s="21">
        <v>0</v>
      </c>
    </row>
    <row r="808" spans="1:13">
      <c r="E808" s="21">
        <f t="shared" si="350"/>
        <v>808</v>
      </c>
      <c r="F808" s="9" t="s">
        <v>115</v>
      </c>
      <c r="M808" s="21">
        <v>1.5</v>
      </c>
    </row>
    <row r="809" spans="1:13">
      <c r="A809" s="21" t="s">
        <v>227</v>
      </c>
      <c r="B809" s="21">
        <f t="shared" ref="B809" si="357">QUOTIENT( D809-1,G810)+1</f>
        <v>2</v>
      </c>
      <c r="C809" s="21">
        <f t="shared" ref="C809" si="358">D809-(B809-1)*G810</f>
        <v>5</v>
      </c>
      <c r="D809" s="21">
        <f>COUNT($D$8:$D808)+1</f>
        <v>41</v>
      </c>
    </row>
    <row r="810" spans="1:13">
      <c r="E810" s="21">
        <f t="shared" ref="E810:E828" si="359">ROW(E810)</f>
        <v>810</v>
      </c>
      <c r="F810" s="9" t="s">
        <v>93</v>
      </c>
      <c r="G810" s="21">
        <v>36</v>
      </c>
      <c r="H810" s="21">
        <v>2</v>
      </c>
      <c r="J810" s="9" t="s">
        <v>250</v>
      </c>
      <c r="M810" s="21">
        <f t="shared" ref="M810" si="360">J810+D809</f>
        <v>20041</v>
      </c>
    </row>
    <row r="811" spans="1:13">
      <c r="E811" s="21">
        <f t="shared" si="359"/>
        <v>811</v>
      </c>
      <c r="F811" s="9" t="s">
        <v>142</v>
      </c>
      <c r="M811" s="21">
        <v>199109</v>
      </c>
    </row>
    <row r="812" spans="1:13">
      <c r="E812" s="21">
        <f t="shared" si="359"/>
        <v>812</v>
      </c>
      <c r="F812" s="9" t="s">
        <v>126</v>
      </c>
      <c r="G812" s="21">
        <v>5</v>
      </c>
      <c r="M812" s="21">
        <f t="shared" ref="M812" si="361">G812*C809</f>
        <v>25</v>
      </c>
    </row>
    <row r="813" spans="1:13">
      <c r="E813" s="21">
        <f t="shared" si="359"/>
        <v>813</v>
      </c>
      <c r="F813" s="9" t="s">
        <v>29</v>
      </c>
      <c r="M813" s="21" t="s">
        <v>251</v>
      </c>
    </row>
    <row r="814" spans="1:13">
      <c r="E814" s="21">
        <f t="shared" si="359"/>
        <v>814</v>
      </c>
      <c r="F814" s="9" t="s">
        <v>118</v>
      </c>
      <c r="G814" s="21" t="s">
        <v>256</v>
      </c>
      <c r="H814" s="21" t="s">
        <v>256</v>
      </c>
      <c r="I814" s="21" t="s">
        <v>256</v>
      </c>
      <c r="J814" s="9" t="s">
        <v>256</v>
      </c>
      <c r="M814" s="21" t="str" cm="1">
        <f t="array" ref="M814">_xlfn.SWITCH(MOD(C809,4),1,G814,2,H814,3,J814,0,I814)</f>
        <v>Shot2_purple</v>
      </c>
    </row>
    <row r="815" spans="1:13">
      <c r="E815" s="21">
        <f t="shared" si="359"/>
        <v>815</v>
      </c>
      <c r="F815" s="9" t="s">
        <v>98</v>
      </c>
      <c r="K815" s="9" t="s">
        <v>137</v>
      </c>
      <c r="M815" s="21">
        <v>2</v>
      </c>
    </row>
    <row r="816" spans="1:13">
      <c r="E816" s="21">
        <f t="shared" si="359"/>
        <v>816</v>
      </c>
      <c r="F816" s="9" t="s">
        <v>175</v>
      </c>
      <c r="G816" s="21" t="s">
        <v>252</v>
      </c>
      <c r="H816" s="21" t="s">
        <v>254</v>
      </c>
      <c r="K816" s="9" t="s">
        <v>136</v>
      </c>
      <c r="M816" s="21" t="str">
        <f t="shared" ref="M816" si="362">IF(MOD(B809,2)=1,G816,H816)</f>
        <v>-0.3,0</v>
      </c>
    </row>
    <row r="817" spans="1:13">
      <c r="E817" s="21">
        <f t="shared" si="359"/>
        <v>817</v>
      </c>
      <c r="F817" s="9" t="s">
        <v>117</v>
      </c>
      <c r="M817" s="21" t="b">
        <v>1</v>
      </c>
    </row>
    <row r="818" spans="1:13">
      <c r="E818" s="21">
        <f t="shared" si="359"/>
        <v>818</v>
      </c>
      <c r="F818" s="9" t="s">
        <v>31</v>
      </c>
      <c r="L818" s="9" t="s">
        <v>134</v>
      </c>
      <c r="M818" s="21">
        <v>270</v>
      </c>
    </row>
    <row r="819" spans="1:13">
      <c r="E819" s="21">
        <f t="shared" si="359"/>
        <v>819</v>
      </c>
      <c r="F819" s="9" t="s">
        <v>111</v>
      </c>
      <c r="G819" s="21">
        <v>120</v>
      </c>
      <c r="H819" s="21">
        <v>-120</v>
      </c>
      <c r="L819" s="9" t="s">
        <v>134</v>
      </c>
      <c r="M819" s="21">
        <f t="shared" ref="M819" si="363">IF(MOD(B809,2)=1,G819,H819)</f>
        <v>-120</v>
      </c>
    </row>
    <row r="820" spans="1:13">
      <c r="E820" s="21">
        <f t="shared" si="359"/>
        <v>820</v>
      </c>
      <c r="F820" s="9" t="s">
        <v>114</v>
      </c>
      <c r="M820" s="21" t="b">
        <v>1</v>
      </c>
    </row>
    <row r="821" spans="1:13">
      <c r="E821" s="21">
        <f t="shared" si="359"/>
        <v>821</v>
      </c>
      <c r="F821" s="9" t="s">
        <v>30</v>
      </c>
      <c r="M821" s="21">
        <v>3</v>
      </c>
    </row>
    <row r="822" spans="1:13">
      <c r="E822" s="21">
        <f t="shared" si="359"/>
        <v>822</v>
      </c>
      <c r="F822" s="9" t="s">
        <v>196</v>
      </c>
      <c r="M822" s="21">
        <v>0</v>
      </c>
    </row>
    <row r="823" spans="1:13">
      <c r="E823" s="21">
        <f t="shared" si="359"/>
        <v>823</v>
      </c>
      <c r="F823" s="9" t="s">
        <v>35</v>
      </c>
      <c r="G823" s="21">
        <v>185</v>
      </c>
      <c r="H823" s="21">
        <v>195</v>
      </c>
      <c r="I823" s="21">
        <v>205</v>
      </c>
      <c r="J823" s="9" t="s">
        <v>257</v>
      </c>
      <c r="M823" s="21" cm="1">
        <f t="array" ref="M823">_xlfn.SWITCH(MOD(C809,4),1,G823,2,H823,3,J823,0,I823)</f>
        <v>185</v>
      </c>
    </row>
    <row r="824" spans="1:13">
      <c r="E824" s="21">
        <f t="shared" si="359"/>
        <v>824</v>
      </c>
      <c r="F824" s="9" t="s">
        <v>101</v>
      </c>
      <c r="M824" s="21">
        <f t="shared" ref="M824" si="364">M810*10+1</f>
        <v>200411</v>
      </c>
    </row>
    <row r="825" spans="1:13">
      <c r="E825" s="21">
        <f t="shared" si="359"/>
        <v>825</v>
      </c>
      <c r="F825" s="9" t="s">
        <v>142</v>
      </c>
      <c r="M825" s="21">
        <f t="shared" ref="M825" si="365">M810</f>
        <v>20041</v>
      </c>
    </row>
    <row r="826" spans="1:13">
      <c r="E826" s="21">
        <f t="shared" si="359"/>
        <v>826</v>
      </c>
      <c r="F826" s="9" t="s">
        <v>127</v>
      </c>
      <c r="M826" s="21">
        <v>0</v>
      </c>
    </row>
    <row r="827" spans="1:13">
      <c r="E827" s="21">
        <f t="shared" si="359"/>
        <v>827</v>
      </c>
      <c r="F827" s="9" t="s">
        <v>111</v>
      </c>
      <c r="L827" s="9" t="s">
        <v>134</v>
      </c>
      <c r="M827" s="21">
        <v>0</v>
      </c>
    </row>
    <row r="828" spans="1:13">
      <c r="E828" s="21">
        <f t="shared" si="359"/>
        <v>828</v>
      </c>
      <c r="F828" s="9" t="s">
        <v>115</v>
      </c>
      <c r="M828" s="21">
        <v>1.5</v>
      </c>
    </row>
    <row r="829" spans="1:13">
      <c r="A829" s="21" t="s">
        <v>227</v>
      </c>
      <c r="B829" s="21">
        <f t="shared" ref="B829" si="366">QUOTIENT( D829-1,G830)+1</f>
        <v>2</v>
      </c>
      <c r="C829" s="21">
        <f t="shared" ref="C829" si="367">D829-(B829-1)*G830</f>
        <v>6</v>
      </c>
      <c r="D829" s="21">
        <f>COUNT($D$8:$D828)+1</f>
        <v>42</v>
      </c>
    </row>
    <row r="830" spans="1:13">
      <c r="E830" s="21">
        <f t="shared" ref="E830:E848" si="368">ROW(E830)</f>
        <v>830</v>
      </c>
      <c r="F830" s="9" t="s">
        <v>93</v>
      </c>
      <c r="G830" s="21">
        <v>36</v>
      </c>
      <c r="H830" s="21">
        <v>2</v>
      </c>
      <c r="J830" s="9" t="s">
        <v>250</v>
      </c>
      <c r="M830" s="21">
        <f t="shared" ref="M830" si="369">J830+D829</f>
        <v>20042</v>
      </c>
    </row>
    <row r="831" spans="1:13">
      <c r="E831" s="21">
        <f t="shared" si="368"/>
        <v>831</v>
      </c>
      <c r="F831" s="9" t="s">
        <v>142</v>
      </c>
      <c r="M831" s="21">
        <v>199109</v>
      </c>
    </row>
    <row r="832" spans="1:13">
      <c r="E832" s="21">
        <f t="shared" si="368"/>
        <v>832</v>
      </c>
      <c r="F832" s="9" t="s">
        <v>126</v>
      </c>
      <c r="G832" s="21">
        <v>5</v>
      </c>
      <c r="M832" s="21">
        <f t="shared" ref="M832" si="370">G832*C829</f>
        <v>30</v>
      </c>
    </row>
    <row r="833" spans="5:13">
      <c r="E833" s="21">
        <f t="shared" si="368"/>
        <v>833</v>
      </c>
      <c r="F833" s="9" t="s">
        <v>29</v>
      </c>
      <c r="M833" s="21" t="s">
        <v>251</v>
      </c>
    </row>
    <row r="834" spans="5:13">
      <c r="E834" s="21">
        <f t="shared" si="368"/>
        <v>834</v>
      </c>
      <c r="F834" s="9" t="s">
        <v>118</v>
      </c>
      <c r="G834" s="21" t="s">
        <v>256</v>
      </c>
      <c r="H834" s="21" t="s">
        <v>256</v>
      </c>
      <c r="I834" s="21" t="s">
        <v>256</v>
      </c>
      <c r="J834" s="9" t="s">
        <v>256</v>
      </c>
      <c r="M834" s="21" t="str" cm="1">
        <f t="array" ref="M834">_xlfn.SWITCH(MOD(C829,4),1,G834,2,H834,3,J834,0,I834)</f>
        <v>Shot2_purple</v>
      </c>
    </row>
    <row r="835" spans="5:13">
      <c r="E835" s="21">
        <f t="shared" si="368"/>
        <v>835</v>
      </c>
      <c r="F835" s="9" t="s">
        <v>98</v>
      </c>
      <c r="K835" s="9" t="s">
        <v>137</v>
      </c>
      <c r="M835" s="21">
        <v>2</v>
      </c>
    </row>
    <row r="836" spans="5:13">
      <c r="E836" s="21">
        <f t="shared" si="368"/>
        <v>836</v>
      </c>
      <c r="F836" s="9" t="s">
        <v>175</v>
      </c>
      <c r="G836" s="21" t="s">
        <v>252</v>
      </c>
      <c r="H836" s="21" t="s">
        <v>254</v>
      </c>
      <c r="K836" s="9" t="s">
        <v>136</v>
      </c>
      <c r="M836" s="21" t="str">
        <f t="shared" ref="M836" si="371">IF(MOD(B829,2)=1,G836,H836)</f>
        <v>-0.3,0</v>
      </c>
    </row>
    <row r="837" spans="5:13">
      <c r="E837" s="21">
        <f t="shared" si="368"/>
        <v>837</v>
      </c>
      <c r="F837" s="9" t="s">
        <v>117</v>
      </c>
      <c r="M837" s="21" t="b">
        <v>1</v>
      </c>
    </row>
    <row r="838" spans="5:13">
      <c r="E838" s="21">
        <f t="shared" si="368"/>
        <v>838</v>
      </c>
      <c r="F838" s="9" t="s">
        <v>31</v>
      </c>
      <c r="L838" s="9" t="s">
        <v>134</v>
      </c>
      <c r="M838" s="21">
        <v>270</v>
      </c>
    </row>
    <row r="839" spans="5:13">
      <c r="E839" s="21">
        <f t="shared" si="368"/>
        <v>839</v>
      </c>
      <c r="F839" s="9" t="s">
        <v>111</v>
      </c>
      <c r="G839" s="21">
        <v>120</v>
      </c>
      <c r="H839" s="21">
        <v>-120</v>
      </c>
      <c r="L839" s="9" t="s">
        <v>134</v>
      </c>
      <c r="M839" s="21">
        <f t="shared" ref="M839" si="372">IF(MOD(B829,2)=1,G839,H839)</f>
        <v>-120</v>
      </c>
    </row>
    <row r="840" spans="5:13">
      <c r="E840" s="21">
        <f t="shared" si="368"/>
        <v>840</v>
      </c>
      <c r="F840" s="9" t="s">
        <v>114</v>
      </c>
      <c r="M840" s="21" t="b">
        <v>1</v>
      </c>
    </row>
    <row r="841" spans="5:13">
      <c r="E841" s="21">
        <f t="shared" si="368"/>
        <v>841</v>
      </c>
      <c r="F841" s="9" t="s">
        <v>30</v>
      </c>
      <c r="M841" s="21">
        <v>3</v>
      </c>
    </row>
    <row r="842" spans="5:13">
      <c r="E842" s="21">
        <f t="shared" si="368"/>
        <v>842</v>
      </c>
      <c r="F842" s="9" t="s">
        <v>196</v>
      </c>
      <c r="M842" s="21">
        <v>0</v>
      </c>
    </row>
    <row r="843" spans="5:13">
      <c r="E843" s="21">
        <f t="shared" si="368"/>
        <v>843</v>
      </c>
      <c r="F843" s="9" t="s">
        <v>35</v>
      </c>
      <c r="G843" s="21">
        <v>185</v>
      </c>
      <c r="H843" s="21">
        <v>195</v>
      </c>
      <c r="I843" s="21">
        <v>205</v>
      </c>
      <c r="J843" s="9" t="s">
        <v>257</v>
      </c>
      <c r="M843" s="21" cm="1">
        <f t="array" ref="M843">_xlfn.SWITCH(MOD(C829,4),1,G843,2,H843,3,J843,0,I843)</f>
        <v>195</v>
      </c>
    </row>
    <row r="844" spans="5:13">
      <c r="E844" s="21">
        <f t="shared" si="368"/>
        <v>844</v>
      </c>
      <c r="F844" s="9" t="s">
        <v>101</v>
      </c>
      <c r="M844" s="21">
        <f t="shared" ref="M844" si="373">M830*10+1</f>
        <v>200421</v>
      </c>
    </row>
    <row r="845" spans="5:13">
      <c r="E845" s="21">
        <f t="shared" si="368"/>
        <v>845</v>
      </c>
      <c r="F845" s="9" t="s">
        <v>142</v>
      </c>
      <c r="M845" s="21">
        <f t="shared" ref="M845" si="374">M830</f>
        <v>20042</v>
      </c>
    </row>
    <row r="846" spans="5:13">
      <c r="E846" s="21">
        <f t="shared" si="368"/>
        <v>846</v>
      </c>
      <c r="F846" s="9" t="s">
        <v>127</v>
      </c>
      <c r="M846" s="21">
        <v>0</v>
      </c>
    </row>
    <row r="847" spans="5:13">
      <c r="E847" s="21">
        <f t="shared" si="368"/>
        <v>847</v>
      </c>
      <c r="F847" s="9" t="s">
        <v>111</v>
      </c>
      <c r="L847" s="9" t="s">
        <v>134</v>
      </c>
      <c r="M847" s="21">
        <v>0</v>
      </c>
    </row>
    <row r="848" spans="5:13">
      <c r="E848" s="21">
        <f t="shared" si="368"/>
        <v>848</v>
      </c>
      <c r="F848" s="9" t="s">
        <v>115</v>
      </c>
      <c r="M848" s="21">
        <v>1.5</v>
      </c>
    </row>
    <row r="849" spans="1:13">
      <c r="A849" s="21" t="s">
        <v>227</v>
      </c>
      <c r="B849" s="21">
        <f t="shared" ref="B849" si="375">QUOTIENT( D849-1,G850)+1</f>
        <v>2</v>
      </c>
      <c r="C849" s="21">
        <f t="shared" ref="C849" si="376">D849-(B849-1)*G850</f>
        <v>7</v>
      </c>
      <c r="D849" s="21">
        <f>COUNT($D$8:$D848)+1</f>
        <v>43</v>
      </c>
    </row>
    <row r="850" spans="1:13">
      <c r="E850" s="21">
        <f t="shared" ref="E850:E868" si="377">ROW(E850)</f>
        <v>850</v>
      </c>
      <c r="F850" s="9" t="s">
        <v>93</v>
      </c>
      <c r="G850" s="21">
        <v>36</v>
      </c>
      <c r="H850" s="21">
        <v>2</v>
      </c>
      <c r="J850" s="9" t="s">
        <v>250</v>
      </c>
      <c r="M850" s="21">
        <f t="shared" ref="M850" si="378">J850+D849</f>
        <v>20043</v>
      </c>
    </row>
    <row r="851" spans="1:13">
      <c r="E851" s="21">
        <f t="shared" si="377"/>
        <v>851</v>
      </c>
      <c r="F851" s="9" t="s">
        <v>142</v>
      </c>
      <c r="M851" s="21">
        <v>199109</v>
      </c>
    </row>
    <row r="852" spans="1:13">
      <c r="E852" s="21">
        <f t="shared" si="377"/>
        <v>852</v>
      </c>
      <c r="F852" s="9" t="s">
        <v>126</v>
      </c>
      <c r="G852" s="21">
        <v>5</v>
      </c>
      <c r="M852" s="21">
        <f t="shared" ref="M852" si="379">G852*C849</f>
        <v>35</v>
      </c>
    </row>
    <row r="853" spans="1:13">
      <c r="E853" s="21">
        <f t="shared" si="377"/>
        <v>853</v>
      </c>
      <c r="F853" s="9" t="s">
        <v>29</v>
      </c>
      <c r="M853" s="21" t="s">
        <v>251</v>
      </c>
    </row>
    <row r="854" spans="1:13">
      <c r="E854" s="21">
        <f t="shared" si="377"/>
        <v>854</v>
      </c>
      <c r="F854" s="9" t="s">
        <v>118</v>
      </c>
      <c r="G854" s="21" t="s">
        <v>256</v>
      </c>
      <c r="H854" s="21" t="s">
        <v>256</v>
      </c>
      <c r="I854" s="21" t="s">
        <v>256</v>
      </c>
      <c r="J854" s="9" t="s">
        <v>256</v>
      </c>
      <c r="M854" s="21" t="str" cm="1">
        <f t="array" ref="M854">_xlfn.SWITCH(MOD(C849,4),1,G854,2,H854,3,J854,0,I854)</f>
        <v>Shot2_purple</v>
      </c>
    </row>
    <row r="855" spans="1:13">
      <c r="E855" s="21">
        <f t="shared" si="377"/>
        <v>855</v>
      </c>
      <c r="F855" s="9" t="s">
        <v>98</v>
      </c>
      <c r="K855" s="9" t="s">
        <v>137</v>
      </c>
      <c r="M855" s="21">
        <v>2</v>
      </c>
    </row>
    <row r="856" spans="1:13">
      <c r="E856" s="21">
        <f t="shared" si="377"/>
        <v>856</v>
      </c>
      <c r="F856" s="9" t="s">
        <v>175</v>
      </c>
      <c r="G856" s="21" t="s">
        <v>252</v>
      </c>
      <c r="H856" s="21" t="s">
        <v>254</v>
      </c>
      <c r="K856" s="9" t="s">
        <v>136</v>
      </c>
      <c r="M856" s="21" t="str">
        <f t="shared" ref="M856" si="380">IF(MOD(B849,2)=1,G856,H856)</f>
        <v>-0.3,0</v>
      </c>
    </row>
    <row r="857" spans="1:13">
      <c r="E857" s="21">
        <f t="shared" si="377"/>
        <v>857</v>
      </c>
      <c r="F857" s="9" t="s">
        <v>117</v>
      </c>
      <c r="M857" s="21" t="b">
        <v>1</v>
      </c>
    </row>
    <row r="858" spans="1:13">
      <c r="E858" s="21">
        <f t="shared" si="377"/>
        <v>858</v>
      </c>
      <c r="F858" s="9" t="s">
        <v>31</v>
      </c>
      <c r="L858" s="9" t="s">
        <v>134</v>
      </c>
      <c r="M858" s="21">
        <v>270</v>
      </c>
    </row>
    <row r="859" spans="1:13">
      <c r="E859" s="21">
        <f t="shared" si="377"/>
        <v>859</v>
      </c>
      <c r="F859" s="9" t="s">
        <v>111</v>
      </c>
      <c r="G859" s="21">
        <v>120</v>
      </c>
      <c r="H859" s="21">
        <v>-120</v>
      </c>
      <c r="L859" s="9" t="s">
        <v>134</v>
      </c>
      <c r="M859" s="21">
        <f t="shared" ref="M859" si="381">IF(MOD(B849,2)=1,G859,H859)</f>
        <v>-120</v>
      </c>
    </row>
    <row r="860" spans="1:13">
      <c r="E860" s="21">
        <f t="shared" si="377"/>
        <v>860</v>
      </c>
      <c r="F860" s="9" t="s">
        <v>114</v>
      </c>
      <c r="M860" s="21" t="b">
        <v>1</v>
      </c>
    </row>
    <row r="861" spans="1:13">
      <c r="E861" s="21">
        <f t="shared" si="377"/>
        <v>861</v>
      </c>
      <c r="F861" s="9" t="s">
        <v>30</v>
      </c>
      <c r="M861" s="21">
        <v>3</v>
      </c>
    </row>
    <row r="862" spans="1:13">
      <c r="E862" s="21">
        <f t="shared" si="377"/>
        <v>862</v>
      </c>
      <c r="F862" s="9" t="s">
        <v>196</v>
      </c>
      <c r="M862" s="21">
        <v>0</v>
      </c>
    </row>
    <row r="863" spans="1:13">
      <c r="E863" s="21">
        <f t="shared" si="377"/>
        <v>863</v>
      </c>
      <c r="F863" s="9" t="s">
        <v>35</v>
      </c>
      <c r="G863" s="21">
        <v>185</v>
      </c>
      <c r="H863" s="21">
        <v>195</v>
      </c>
      <c r="I863" s="21">
        <v>205</v>
      </c>
      <c r="J863" s="9" t="s">
        <v>257</v>
      </c>
      <c r="M863" s="21" t="str" cm="1">
        <f t="array" ref="M863">_xlfn.SWITCH(MOD(C849,4),1,G863,2,H863,3,J863,0,I863)</f>
        <v>215</v>
      </c>
    </row>
    <row r="864" spans="1:13">
      <c r="E864" s="21">
        <f t="shared" si="377"/>
        <v>864</v>
      </c>
      <c r="F864" s="9" t="s">
        <v>101</v>
      </c>
      <c r="M864" s="21">
        <f t="shared" ref="M864" si="382">M850*10+1</f>
        <v>200431</v>
      </c>
    </row>
    <row r="865" spans="1:13">
      <c r="E865" s="21">
        <f t="shared" si="377"/>
        <v>865</v>
      </c>
      <c r="F865" s="9" t="s">
        <v>142</v>
      </c>
      <c r="M865" s="21">
        <f t="shared" ref="M865" si="383">M850</f>
        <v>20043</v>
      </c>
    </row>
    <row r="866" spans="1:13">
      <c r="E866" s="21">
        <f t="shared" si="377"/>
        <v>866</v>
      </c>
      <c r="F866" s="9" t="s">
        <v>127</v>
      </c>
      <c r="M866" s="21">
        <v>0</v>
      </c>
    </row>
    <row r="867" spans="1:13">
      <c r="E867" s="21">
        <f t="shared" si="377"/>
        <v>867</v>
      </c>
      <c r="F867" s="9" t="s">
        <v>111</v>
      </c>
      <c r="L867" s="9" t="s">
        <v>134</v>
      </c>
      <c r="M867" s="21">
        <v>0</v>
      </c>
    </row>
    <row r="868" spans="1:13">
      <c r="E868" s="21">
        <f t="shared" si="377"/>
        <v>868</v>
      </c>
      <c r="F868" s="9" t="s">
        <v>115</v>
      </c>
      <c r="M868" s="21">
        <v>1.5</v>
      </c>
    </row>
    <row r="869" spans="1:13">
      <c r="A869" s="21" t="s">
        <v>227</v>
      </c>
      <c r="B869" s="21">
        <f t="shared" ref="B869" si="384">QUOTIENT( D869-1,G870)+1</f>
        <v>2</v>
      </c>
      <c r="C869" s="21">
        <f t="shared" ref="C869" si="385">D869-(B869-1)*G870</f>
        <v>8</v>
      </c>
      <c r="D869" s="21">
        <f>COUNT($D$8:$D868)+1</f>
        <v>44</v>
      </c>
    </row>
    <row r="870" spans="1:13">
      <c r="E870" s="21">
        <f t="shared" ref="E870:E888" si="386">ROW(E870)</f>
        <v>870</v>
      </c>
      <c r="F870" s="9" t="s">
        <v>93</v>
      </c>
      <c r="G870" s="21">
        <v>36</v>
      </c>
      <c r="H870" s="21">
        <v>2</v>
      </c>
      <c r="J870" s="9" t="s">
        <v>250</v>
      </c>
      <c r="M870" s="21">
        <f t="shared" ref="M870" si="387">J870+D869</f>
        <v>20044</v>
      </c>
    </row>
    <row r="871" spans="1:13">
      <c r="E871" s="21">
        <f t="shared" si="386"/>
        <v>871</v>
      </c>
      <c r="F871" s="9" t="s">
        <v>142</v>
      </c>
      <c r="M871" s="21">
        <v>199109</v>
      </c>
    </row>
    <row r="872" spans="1:13">
      <c r="E872" s="21">
        <f t="shared" si="386"/>
        <v>872</v>
      </c>
      <c r="F872" s="9" t="s">
        <v>126</v>
      </c>
      <c r="G872" s="21">
        <v>5</v>
      </c>
      <c r="M872" s="21">
        <f t="shared" ref="M872" si="388">G872*C869</f>
        <v>40</v>
      </c>
    </row>
    <row r="873" spans="1:13">
      <c r="E873" s="21">
        <f t="shared" si="386"/>
        <v>873</v>
      </c>
      <c r="F873" s="9" t="s">
        <v>29</v>
      </c>
      <c r="M873" s="21" t="s">
        <v>251</v>
      </c>
    </row>
    <row r="874" spans="1:13">
      <c r="E874" s="21">
        <f t="shared" si="386"/>
        <v>874</v>
      </c>
      <c r="F874" s="9" t="s">
        <v>118</v>
      </c>
      <c r="G874" s="21" t="s">
        <v>256</v>
      </c>
      <c r="H874" s="21" t="s">
        <v>256</v>
      </c>
      <c r="I874" s="21" t="s">
        <v>256</v>
      </c>
      <c r="J874" s="9" t="s">
        <v>256</v>
      </c>
      <c r="M874" s="21" t="str" cm="1">
        <f t="array" ref="M874">_xlfn.SWITCH(MOD(C869,4),1,G874,2,H874,3,J874,0,I874)</f>
        <v>Shot2_purple</v>
      </c>
    </row>
    <row r="875" spans="1:13">
      <c r="E875" s="21">
        <f t="shared" si="386"/>
        <v>875</v>
      </c>
      <c r="F875" s="9" t="s">
        <v>98</v>
      </c>
      <c r="K875" s="9" t="s">
        <v>137</v>
      </c>
      <c r="M875" s="21">
        <v>2</v>
      </c>
    </row>
    <row r="876" spans="1:13">
      <c r="E876" s="21">
        <f t="shared" si="386"/>
        <v>876</v>
      </c>
      <c r="F876" s="9" t="s">
        <v>175</v>
      </c>
      <c r="G876" s="21" t="s">
        <v>252</v>
      </c>
      <c r="H876" s="21" t="s">
        <v>254</v>
      </c>
      <c r="K876" s="9" t="s">
        <v>136</v>
      </c>
      <c r="M876" s="21" t="str">
        <f t="shared" ref="M876" si="389">IF(MOD(B869,2)=1,G876,H876)</f>
        <v>-0.3,0</v>
      </c>
    </row>
    <row r="877" spans="1:13">
      <c r="E877" s="21">
        <f t="shared" si="386"/>
        <v>877</v>
      </c>
      <c r="F877" s="9" t="s">
        <v>117</v>
      </c>
      <c r="M877" s="21" t="b">
        <v>1</v>
      </c>
    </row>
    <row r="878" spans="1:13">
      <c r="E878" s="21">
        <f t="shared" si="386"/>
        <v>878</v>
      </c>
      <c r="F878" s="9" t="s">
        <v>31</v>
      </c>
      <c r="L878" s="9" t="s">
        <v>134</v>
      </c>
      <c r="M878" s="21">
        <v>270</v>
      </c>
    </row>
    <row r="879" spans="1:13">
      <c r="E879" s="21">
        <f t="shared" si="386"/>
        <v>879</v>
      </c>
      <c r="F879" s="9" t="s">
        <v>111</v>
      </c>
      <c r="G879" s="21">
        <v>120</v>
      </c>
      <c r="H879" s="21">
        <v>-120</v>
      </c>
      <c r="L879" s="9" t="s">
        <v>134</v>
      </c>
      <c r="M879" s="21">
        <f t="shared" ref="M879" si="390">IF(MOD(B869,2)=1,G879,H879)</f>
        <v>-120</v>
      </c>
    </row>
    <row r="880" spans="1:13">
      <c r="E880" s="21">
        <f t="shared" si="386"/>
        <v>880</v>
      </c>
      <c r="F880" s="9" t="s">
        <v>114</v>
      </c>
      <c r="M880" s="21" t="b">
        <v>1</v>
      </c>
    </row>
    <row r="881" spans="1:13">
      <c r="E881" s="21">
        <f t="shared" si="386"/>
        <v>881</v>
      </c>
      <c r="F881" s="9" t="s">
        <v>30</v>
      </c>
      <c r="M881" s="21">
        <v>3</v>
      </c>
    </row>
    <row r="882" spans="1:13">
      <c r="E882" s="21">
        <f t="shared" si="386"/>
        <v>882</v>
      </c>
      <c r="F882" s="9" t="s">
        <v>196</v>
      </c>
      <c r="M882" s="21">
        <v>0</v>
      </c>
    </row>
    <row r="883" spans="1:13">
      <c r="E883" s="21">
        <f t="shared" si="386"/>
        <v>883</v>
      </c>
      <c r="F883" s="9" t="s">
        <v>35</v>
      </c>
      <c r="G883" s="21">
        <v>185</v>
      </c>
      <c r="H883" s="21">
        <v>195</v>
      </c>
      <c r="I883" s="21">
        <v>205</v>
      </c>
      <c r="J883" s="9" t="s">
        <v>257</v>
      </c>
      <c r="M883" s="21" cm="1">
        <f t="array" ref="M883">_xlfn.SWITCH(MOD(C869,4),1,G883,2,H883,3,J883,0,I883)</f>
        <v>205</v>
      </c>
    </row>
    <row r="884" spans="1:13">
      <c r="E884" s="21">
        <f t="shared" si="386"/>
        <v>884</v>
      </c>
      <c r="F884" s="9" t="s">
        <v>101</v>
      </c>
      <c r="M884" s="21">
        <f t="shared" ref="M884" si="391">M870*10+1</f>
        <v>200441</v>
      </c>
    </row>
    <row r="885" spans="1:13">
      <c r="E885" s="21">
        <f t="shared" si="386"/>
        <v>885</v>
      </c>
      <c r="F885" s="9" t="s">
        <v>142</v>
      </c>
      <c r="M885" s="21">
        <f t="shared" ref="M885" si="392">M870</f>
        <v>20044</v>
      </c>
    </row>
    <row r="886" spans="1:13">
      <c r="E886" s="21">
        <f t="shared" si="386"/>
        <v>886</v>
      </c>
      <c r="F886" s="9" t="s">
        <v>127</v>
      </c>
      <c r="M886" s="21">
        <v>0</v>
      </c>
    </row>
    <row r="887" spans="1:13">
      <c r="E887" s="21">
        <f t="shared" si="386"/>
        <v>887</v>
      </c>
      <c r="F887" s="9" t="s">
        <v>111</v>
      </c>
      <c r="L887" s="9" t="s">
        <v>134</v>
      </c>
      <c r="M887" s="21">
        <v>0</v>
      </c>
    </row>
    <row r="888" spans="1:13">
      <c r="E888" s="21">
        <f t="shared" si="386"/>
        <v>888</v>
      </c>
      <c r="F888" s="9" t="s">
        <v>115</v>
      </c>
      <c r="M888" s="21">
        <v>1.5</v>
      </c>
    </row>
    <row r="889" spans="1:13">
      <c r="A889" s="21" t="s">
        <v>227</v>
      </c>
      <c r="B889" s="21">
        <f t="shared" ref="B889" si="393">QUOTIENT( D889-1,G890)+1</f>
        <v>2</v>
      </c>
      <c r="C889" s="21">
        <f t="shared" ref="C889" si="394">D889-(B889-1)*G890</f>
        <v>9</v>
      </c>
      <c r="D889" s="21">
        <f>COUNT($D$8:$D888)+1</f>
        <v>45</v>
      </c>
    </row>
    <row r="890" spans="1:13">
      <c r="E890" s="21">
        <f t="shared" ref="E890:E908" si="395">ROW(E890)</f>
        <v>890</v>
      </c>
      <c r="F890" s="9" t="s">
        <v>93</v>
      </c>
      <c r="G890" s="21">
        <v>36</v>
      </c>
      <c r="H890" s="21">
        <v>2</v>
      </c>
      <c r="J890" s="9" t="s">
        <v>250</v>
      </c>
      <c r="M890" s="21">
        <f t="shared" ref="M890" si="396">J890+D889</f>
        <v>20045</v>
      </c>
    </row>
    <row r="891" spans="1:13">
      <c r="E891" s="21">
        <f t="shared" si="395"/>
        <v>891</v>
      </c>
      <c r="F891" s="9" t="s">
        <v>142</v>
      </c>
      <c r="M891" s="21">
        <v>199109</v>
      </c>
    </row>
    <row r="892" spans="1:13">
      <c r="E892" s="21">
        <f t="shared" si="395"/>
        <v>892</v>
      </c>
      <c r="F892" s="9" t="s">
        <v>126</v>
      </c>
      <c r="G892" s="21">
        <v>5</v>
      </c>
      <c r="M892" s="21">
        <f t="shared" ref="M892" si="397">G892*C889</f>
        <v>45</v>
      </c>
    </row>
    <row r="893" spans="1:13">
      <c r="E893" s="21">
        <f t="shared" si="395"/>
        <v>893</v>
      </c>
      <c r="F893" s="9" t="s">
        <v>29</v>
      </c>
      <c r="M893" s="21" t="s">
        <v>251</v>
      </c>
    </row>
    <row r="894" spans="1:13">
      <c r="E894" s="21">
        <f t="shared" si="395"/>
        <v>894</v>
      </c>
      <c r="F894" s="9" t="s">
        <v>118</v>
      </c>
      <c r="G894" s="21" t="s">
        <v>256</v>
      </c>
      <c r="H894" s="21" t="s">
        <v>256</v>
      </c>
      <c r="I894" s="21" t="s">
        <v>256</v>
      </c>
      <c r="J894" s="9" t="s">
        <v>256</v>
      </c>
      <c r="M894" s="21" t="str" cm="1">
        <f t="array" ref="M894">_xlfn.SWITCH(MOD(C889,4),1,G894,2,H894,3,J894,0,I894)</f>
        <v>Shot2_purple</v>
      </c>
    </row>
    <row r="895" spans="1:13">
      <c r="E895" s="21">
        <f t="shared" si="395"/>
        <v>895</v>
      </c>
      <c r="F895" s="9" t="s">
        <v>98</v>
      </c>
      <c r="K895" s="9" t="s">
        <v>137</v>
      </c>
      <c r="M895" s="21">
        <v>2</v>
      </c>
    </row>
    <row r="896" spans="1:13">
      <c r="E896" s="21">
        <f t="shared" si="395"/>
        <v>896</v>
      </c>
      <c r="F896" s="9" t="s">
        <v>175</v>
      </c>
      <c r="G896" s="21" t="s">
        <v>252</v>
      </c>
      <c r="H896" s="21" t="s">
        <v>254</v>
      </c>
      <c r="K896" s="9" t="s">
        <v>136</v>
      </c>
      <c r="M896" s="21" t="str">
        <f t="shared" ref="M896" si="398">IF(MOD(B889,2)=1,G896,H896)</f>
        <v>-0.3,0</v>
      </c>
    </row>
    <row r="897" spans="1:13">
      <c r="E897" s="21">
        <f t="shared" si="395"/>
        <v>897</v>
      </c>
      <c r="F897" s="9" t="s">
        <v>117</v>
      </c>
      <c r="M897" s="21" t="b">
        <v>1</v>
      </c>
    </row>
    <row r="898" spans="1:13">
      <c r="E898" s="21">
        <f t="shared" si="395"/>
        <v>898</v>
      </c>
      <c r="F898" s="9" t="s">
        <v>31</v>
      </c>
      <c r="L898" s="9" t="s">
        <v>134</v>
      </c>
      <c r="M898" s="21">
        <v>270</v>
      </c>
    </row>
    <row r="899" spans="1:13">
      <c r="E899" s="21">
        <f t="shared" si="395"/>
        <v>899</v>
      </c>
      <c r="F899" s="9" t="s">
        <v>111</v>
      </c>
      <c r="G899" s="21">
        <v>120</v>
      </c>
      <c r="H899" s="21">
        <v>-120</v>
      </c>
      <c r="L899" s="9" t="s">
        <v>134</v>
      </c>
      <c r="M899" s="21">
        <f t="shared" ref="M899" si="399">IF(MOD(B889,2)=1,G899,H899)</f>
        <v>-120</v>
      </c>
    </row>
    <row r="900" spans="1:13">
      <c r="E900" s="21">
        <f t="shared" si="395"/>
        <v>900</v>
      </c>
      <c r="F900" s="9" t="s">
        <v>114</v>
      </c>
      <c r="M900" s="21" t="b">
        <v>1</v>
      </c>
    </row>
    <row r="901" spans="1:13">
      <c r="E901" s="21">
        <f t="shared" si="395"/>
        <v>901</v>
      </c>
      <c r="F901" s="9" t="s">
        <v>30</v>
      </c>
      <c r="M901" s="21">
        <v>3</v>
      </c>
    </row>
    <row r="902" spans="1:13">
      <c r="E902" s="21">
        <f t="shared" si="395"/>
        <v>902</v>
      </c>
      <c r="F902" s="9" t="s">
        <v>196</v>
      </c>
      <c r="M902" s="21">
        <v>0</v>
      </c>
    </row>
    <row r="903" spans="1:13">
      <c r="E903" s="21">
        <f t="shared" si="395"/>
        <v>903</v>
      </c>
      <c r="F903" s="9" t="s">
        <v>35</v>
      </c>
      <c r="G903" s="21">
        <v>185</v>
      </c>
      <c r="H903" s="21">
        <v>195</v>
      </c>
      <c r="I903" s="21">
        <v>205</v>
      </c>
      <c r="J903" s="9" t="s">
        <v>257</v>
      </c>
      <c r="M903" s="21" cm="1">
        <f t="array" ref="M903">_xlfn.SWITCH(MOD(C889,4),1,G903,2,H903,3,J903,0,I903)</f>
        <v>185</v>
      </c>
    </row>
    <row r="904" spans="1:13">
      <c r="E904" s="21">
        <f t="shared" si="395"/>
        <v>904</v>
      </c>
      <c r="F904" s="9" t="s">
        <v>101</v>
      </c>
      <c r="M904" s="21">
        <f t="shared" ref="M904" si="400">M890*10+1</f>
        <v>200451</v>
      </c>
    </row>
    <row r="905" spans="1:13">
      <c r="E905" s="21">
        <f t="shared" si="395"/>
        <v>905</v>
      </c>
      <c r="F905" s="9" t="s">
        <v>142</v>
      </c>
      <c r="M905" s="21">
        <f t="shared" ref="M905" si="401">M890</f>
        <v>20045</v>
      </c>
    </row>
    <row r="906" spans="1:13">
      <c r="E906" s="21">
        <f t="shared" si="395"/>
        <v>906</v>
      </c>
      <c r="F906" s="9" t="s">
        <v>127</v>
      </c>
      <c r="M906" s="21">
        <v>0</v>
      </c>
    </row>
    <row r="907" spans="1:13">
      <c r="E907" s="21">
        <f t="shared" si="395"/>
        <v>907</v>
      </c>
      <c r="F907" s="9" t="s">
        <v>111</v>
      </c>
      <c r="L907" s="9" t="s">
        <v>134</v>
      </c>
      <c r="M907" s="21">
        <v>0</v>
      </c>
    </row>
    <row r="908" spans="1:13">
      <c r="E908" s="21">
        <f t="shared" si="395"/>
        <v>908</v>
      </c>
      <c r="F908" s="9" t="s">
        <v>115</v>
      </c>
      <c r="M908" s="21">
        <v>1.5</v>
      </c>
    </row>
    <row r="909" spans="1:13">
      <c r="A909" s="21" t="s">
        <v>227</v>
      </c>
      <c r="B909" s="21">
        <f t="shared" ref="B909" si="402">QUOTIENT( D909-1,G910)+1</f>
        <v>2</v>
      </c>
      <c r="C909" s="21">
        <f t="shared" ref="C909" si="403">D909-(B909-1)*G910</f>
        <v>10</v>
      </c>
      <c r="D909" s="21">
        <f>COUNT($D$8:$D908)+1</f>
        <v>46</v>
      </c>
    </row>
    <row r="910" spans="1:13">
      <c r="E910" s="21">
        <f t="shared" ref="E910:E928" si="404">ROW(E910)</f>
        <v>910</v>
      </c>
      <c r="F910" s="9" t="s">
        <v>93</v>
      </c>
      <c r="G910" s="21">
        <v>36</v>
      </c>
      <c r="H910" s="21">
        <v>2</v>
      </c>
      <c r="J910" s="9" t="s">
        <v>250</v>
      </c>
      <c r="M910" s="21">
        <f t="shared" ref="M910" si="405">J910+D909</f>
        <v>20046</v>
      </c>
    </row>
    <row r="911" spans="1:13">
      <c r="E911" s="21">
        <f t="shared" si="404"/>
        <v>911</v>
      </c>
      <c r="F911" s="9" t="s">
        <v>142</v>
      </c>
      <c r="M911" s="21">
        <v>199109</v>
      </c>
    </row>
    <row r="912" spans="1:13">
      <c r="E912" s="21">
        <f t="shared" si="404"/>
        <v>912</v>
      </c>
      <c r="F912" s="9" t="s">
        <v>126</v>
      </c>
      <c r="G912" s="21">
        <v>5</v>
      </c>
      <c r="M912" s="21">
        <f t="shared" ref="M912" si="406">G912*C909</f>
        <v>50</v>
      </c>
    </row>
    <row r="913" spans="5:13">
      <c r="E913" s="21">
        <f t="shared" si="404"/>
        <v>913</v>
      </c>
      <c r="F913" s="9" t="s">
        <v>29</v>
      </c>
      <c r="M913" s="21" t="s">
        <v>251</v>
      </c>
    </row>
    <row r="914" spans="5:13">
      <c r="E914" s="21">
        <f t="shared" si="404"/>
        <v>914</v>
      </c>
      <c r="F914" s="9" t="s">
        <v>118</v>
      </c>
      <c r="G914" s="21" t="s">
        <v>256</v>
      </c>
      <c r="H914" s="21" t="s">
        <v>256</v>
      </c>
      <c r="I914" s="21" t="s">
        <v>256</v>
      </c>
      <c r="J914" s="9" t="s">
        <v>256</v>
      </c>
      <c r="M914" s="21" t="str" cm="1">
        <f t="array" ref="M914">_xlfn.SWITCH(MOD(C909,4),1,G914,2,H914,3,J914,0,I914)</f>
        <v>Shot2_purple</v>
      </c>
    </row>
    <row r="915" spans="5:13">
      <c r="E915" s="21">
        <f t="shared" si="404"/>
        <v>915</v>
      </c>
      <c r="F915" s="9" t="s">
        <v>98</v>
      </c>
      <c r="K915" s="9" t="s">
        <v>137</v>
      </c>
      <c r="M915" s="21">
        <v>2</v>
      </c>
    </row>
    <row r="916" spans="5:13">
      <c r="E916" s="21">
        <f t="shared" si="404"/>
        <v>916</v>
      </c>
      <c r="F916" s="9" t="s">
        <v>175</v>
      </c>
      <c r="G916" s="21" t="s">
        <v>252</v>
      </c>
      <c r="H916" s="21" t="s">
        <v>254</v>
      </c>
      <c r="K916" s="9" t="s">
        <v>136</v>
      </c>
      <c r="M916" s="21" t="str">
        <f t="shared" ref="M916" si="407">IF(MOD(B909,2)=1,G916,H916)</f>
        <v>-0.3,0</v>
      </c>
    </row>
    <row r="917" spans="5:13">
      <c r="E917" s="21">
        <f t="shared" si="404"/>
        <v>917</v>
      </c>
      <c r="F917" s="9" t="s">
        <v>117</v>
      </c>
      <c r="M917" s="21" t="b">
        <v>1</v>
      </c>
    </row>
    <row r="918" spans="5:13">
      <c r="E918" s="21">
        <f t="shared" si="404"/>
        <v>918</v>
      </c>
      <c r="F918" s="9" t="s">
        <v>31</v>
      </c>
      <c r="L918" s="9" t="s">
        <v>134</v>
      </c>
      <c r="M918" s="21">
        <v>270</v>
      </c>
    </row>
    <row r="919" spans="5:13">
      <c r="E919" s="21">
        <f t="shared" si="404"/>
        <v>919</v>
      </c>
      <c r="F919" s="9" t="s">
        <v>111</v>
      </c>
      <c r="G919" s="21">
        <v>120</v>
      </c>
      <c r="H919" s="21">
        <v>-120</v>
      </c>
      <c r="L919" s="9" t="s">
        <v>134</v>
      </c>
      <c r="M919" s="21">
        <f t="shared" ref="M919" si="408">IF(MOD(B909,2)=1,G919,H919)</f>
        <v>-120</v>
      </c>
    </row>
    <row r="920" spans="5:13">
      <c r="E920" s="21">
        <f t="shared" si="404"/>
        <v>920</v>
      </c>
      <c r="F920" s="9" t="s">
        <v>114</v>
      </c>
      <c r="M920" s="21" t="b">
        <v>1</v>
      </c>
    </row>
    <row r="921" spans="5:13">
      <c r="E921" s="21">
        <f t="shared" si="404"/>
        <v>921</v>
      </c>
      <c r="F921" s="9" t="s">
        <v>30</v>
      </c>
      <c r="M921" s="21">
        <v>3</v>
      </c>
    </row>
    <row r="922" spans="5:13">
      <c r="E922" s="21">
        <f t="shared" si="404"/>
        <v>922</v>
      </c>
      <c r="F922" s="9" t="s">
        <v>196</v>
      </c>
      <c r="M922" s="21">
        <v>0</v>
      </c>
    </row>
    <row r="923" spans="5:13">
      <c r="E923" s="21">
        <f t="shared" si="404"/>
        <v>923</v>
      </c>
      <c r="F923" s="9" t="s">
        <v>35</v>
      </c>
      <c r="G923" s="21">
        <v>185</v>
      </c>
      <c r="H923" s="21">
        <v>195</v>
      </c>
      <c r="I923" s="21">
        <v>205</v>
      </c>
      <c r="J923" s="9" t="s">
        <v>257</v>
      </c>
      <c r="M923" s="21" cm="1">
        <f t="array" ref="M923">_xlfn.SWITCH(MOD(C909,4),1,G923,2,H923,3,J923,0,I923)</f>
        <v>195</v>
      </c>
    </row>
    <row r="924" spans="5:13">
      <c r="E924" s="21">
        <f t="shared" si="404"/>
        <v>924</v>
      </c>
      <c r="F924" s="9" t="s">
        <v>101</v>
      </c>
      <c r="M924" s="21">
        <f t="shared" ref="M924" si="409">M910*10+1</f>
        <v>200461</v>
      </c>
    </row>
    <row r="925" spans="5:13">
      <c r="E925" s="21">
        <f t="shared" si="404"/>
        <v>925</v>
      </c>
      <c r="F925" s="9" t="s">
        <v>142</v>
      </c>
      <c r="M925" s="21">
        <f t="shared" ref="M925" si="410">M910</f>
        <v>20046</v>
      </c>
    </row>
    <row r="926" spans="5:13">
      <c r="E926" s="21">
        <f t="shared" si="404"/>
        <v>926</v>
      </c>
      <c r="F926" s="9" t="s">
        <v>127</v>
      </c>
      <c r="M926" s="21">
        <v>0</v>
      </c>
    </row>
    <row r="927" spans="5:13">
      <c r="E927" s="21">
        <f t="shared" si="404"/>
        <v>927</v>
      </c>
      <c r="F927" s="9" t="s">
        <v>111</v>
      </c>
      <c r="L927" s="9" t="s">
        <v>134</v>
      </c>
      <c r="M927" s="21">
        <v>0</v>
      </c>
    </row>
    <row r="928" spans="5:13">
      <c r="E928" s="21">
        <f t="shared" si="404"/>
        <v>928</v>
      </c>
      <c r="F928" s="9" t="s">
        <v>115</v>
      </c>
      <c r="M928" s="21">
        <v>1.5</v>
      </c>
    </row>
    <row r="929" spans="1:13">
      <c r="A929" s="21" t="s">
        <v>227</v>
      </c>
      <c r="B929" s="21">
        <f t="shared" ref="B929" si="411">QUOTIENT( D929-1,G930)+1</f>
        <v>2</v>
      </c>
      <c r="C929" s="21">
        <f t="shared" ref="C929" si="412">D929-(B929-1)*G930</f>
        <v>11</v>
      </c>
      <c r="D929" s="21">
        <f>COUNT($D$8:$D928)+1</f>
        <v>47</v>
      </c>
    </row>
    <row r="930" spans="1:13">
      <c r="E930" s="21">
        <f t="shared" ref="E930:E948" si="413">ROW(E930)</f>
        <v>930</v>
      </c>
      <c r="F930" s="9" t="s">
        <v>93</v>
      </c>
      <c r="G930" s="21">
        <v>36</v>
      </c>
      <c r="H930" s="21">
        <v>2</v>
      </c>
      <c r="J930" s="9" t="s">
        <v>250</v>
      </c>
      <c r="M930" s="21">
        <f t="shared" ref="M930" si="414">J930+D929</f>
        <v>20047</v>
      </c>
    </row>
    <row r="931" spans="1:13">
      <c r="E931" s="21">
        <f t="shared" si="413"/>
        <v>931</v>
      </c>
      <c r="F931" s="9" t="s">
        <v>142</v>
      </c>
      <c r="M931" s="21">
        <v>199109</v>
      </c>
    </row>
    <row r="932" spans="1:13">
      <c r="E932" s="21">
        <f t="shared" si="413"/>
        <v>932</v>
      </c>
      <c r="F932" s="9" t="s">
        <v>126</v>
      </c>
      <c r="G932" s="21">
        <v>5</v>
      </c>
      <c r="M932" s="21">
        <f t="shared" ref="M932" si="415">G932*C929</f>
        <v>55</v>
      </c>
    </row>
    <row r="933" spans="1:13">
      <c r="E933" s="21">
        <f t="shared" si="413"/>
        <v>933</v>
      </c>
      <c r="F933" s="9" t="s">
        <v>29</v>
      </c>
      <c r="M933" s="21" t="s">
        <v>251</v>
      </c>
    </row>
    <row r="934" spans="1:13">
      <c r="E934" s="21">
        <f t="shared" si="413"/>
        <v>934</v>
      </c>
      <c r="F934" s="9" t="s">
        <v>118</v>
      </c>
      <c r="G934" s="21" t="s">
        <v>256</v>
      </c>
      <c r="H934" s="21" t="s">
        <v>256</v>
      </c>
      <c r="I934" s="21" t="s">
        <v>256</v>
      </c>
      <c r="J934" s="9" t="s">
        <v>256</v>
      </c>
      <c r="M934" s="21" t="str" cm="1">
        <f t="array" ref="M934">_xlfn.SWITCH(MOD(C929,4),1,G934,2,H934,3,J934,0,I934)</f>
        <v>Shot2_purple</v>
      </c>
    </row>
    <row r="935" spans="1:13">
      <c r="E935" s="21">
        <f t="shared" si="413"/>
        <v>935</v>
      </c>
      <c r="F935" s="9" t="s">
        <v>98</v>
      </c>
      <c r="K935" s="9" t="s">
        <v>137</v>
      </c>
      <c r="M935" s="21">
        <v>2</v>
      </c>
    </row>
    <row r="936" spans="1:13">
      <c r="E936" s="21">
        <f t="shared" si="413"/>
        <v>936</v>
      </c>
      <c r="F936" s="9" t="s">
        <v>175</v>
      </c>
      <c r="G936" s="21" t="s">
        <v>252</v>
      </c>
      <c r="H936" s="21" t="s">
        <v>254</v>
      </c>
      <c r="K936" s="9" t="s">
        <v>136</v>
      </c>
      <c r="M936" s="21" t="str">
        <f t="shared" ref="M936" si="416">IF(MOD(B929,2)=1,G936,H936)</f>
        <v>-0.3,0</v>
      </c>
    </row>
    <row r="937" spans="1:13">
      <c r="E937" s="21">
        <f t="shared" si="413"/>
        <v>937</v>
      </c>
      <c r="F937" s="9" t="s">
        <v>117</v>
      </c>
      <c r="M937" s="21" t="b">
        <v>1</v>
      </c>
    </row>
    <row r="938" spans="1:13">
      <c r="E938" s="21">
        <f t="shared" si="413"/>
        <v>938</v>
      </c>
      <c r="F938" s="9" t="s">
        <v>31</v>
      </c>
      <c r="L938" s="9" t="s">
        <v>134</v>
      </c>
      <c r="M938" s="21">
        <v>270</v>
      </c>
    </row>
    <row r="939" spans="1:13">
      <c r="E939" s="21">
        <f t="shared" si="413"/>
        <v>939</v>
      </c>
      <c r="F939" s="9" t="s">
        <v>111</v>
      </c>
      <c r="G939" s="21">
        <v>120</v>
      </c>
      <c r="H939" s="21">
        <v>-120</v>
      </c>
      <c r="L939" s="9" t="s">
        <v>134</v>
      </c>
      <c r="M939" s="21">
        <f t="shared" ref="M939" si="417">IF(MOD(B929,2)=1,G939,H939)</f>
        <v>-120</v>
      </c>
    </row>
    <row r="940" spans="1:13">
      <c r="E940" s="21">
        <f t="shared" si="413"/>
        <v>940</v>
      </c>
      <c r="F940" s="9" t="s">
        <v>114</v>
      </c>
      <c r="M940" s="21" t="b">
        <v>1</v>
      </c>
    </row>
    <row r="941" spans="1:13">
      <c r="E941" s="21">
        <f t="shared" si="413"/>
        <v>941</v>
      </c>
      <c r="F941" s="9" t="s">
        <v>30</v>
      </c>
      <c r="M941" s="21">
        <v>3</v>
      </c>
    </row>
    <row r="942" spans="1:13">
      <c r="E942" s="21">
        <f t="shared" si="413"/>
        <v>942</v>
      </c>
      <c r="F942" s="9" t="s">
        <v>196</v>
      </c>
      <c r="M942" s="21">
        <v>0</v>
      </c>
    </row>
    <row r="943" spans="1:13">
      <c r="E943" s="21">
        <f t="shared" si="413"/>
        <v>943</v>
      </c>
      <c r="F943" s="9" t="s">
        <v>35</v>
      </c>
      <c r="G943" s="21">
        <v>185</v>
      </c>
      <c r="H943" s="21">
        <v>195</v>
      </c>
      <c r="I943" s="21">
        <v>205</v>
      </c>
      <c r="J943" s="9" t="s">
        <v>257</v>
      </c>
      <c r="M943" s="21" t="str" cm="1">
        <f t="array" ref="M943">_xlfn.SWITCH(MOD(C929,4),1,G943,2,H943,3,J943,0,I943)</f>
        <v>215</v>
      </c>
    </row>
    <row r="944" spans="1:13">
      <c r="E944" s="21">
        <f t="shared" si="413"/>
        <v>944</v>
      </c>
      <c r="F944" s="9" t="s">
        <v>101</v>
      </c>
      <c r="M944" s="21">
        <f t="shared" ref="M944" si="418">M930*10+1</f>
        <v>200471</v>
      </c>
    </row>
    <row r="945" spans="1:13">
      <c r="E945" s="21">
        <f t="shared" si="413"/>
        <v>945</v>
      </c>
      <c r="F945" s="9" t="s">
        <v>142</v>
      </c>
      <c r="M945" s="21">
        <f t="shared" ref="M945" si="419">M930</f>
        <v>20047</v>
      </c>
    </row>
    <row r="946" spans="1:13">
      <c r="E946" s="21">
        <f t="shared" si="413"/>
        <v>946</v>
      </c>
      <c r="F946" s="9" t="s">
        <v>127</v>
      </c>
      <c r="M946" s="21">
        <v>0</v>
      </c>
    </row>
    <row r="947" spans="1:13">
      <c r="E947" s="21">
        <f t="shared" si="413"/>
        <v>947</v>
      </c>
      <c r="F947" s="9" t="s">
        <v>111</v>
      </c>
      <c r="L947" s="9" t="s">
        <v>134</v>
      </c>
      <c r="M947" s="21">
        <v>0</v>
      </c>
    </row>
    <row r="948" spans="1:13">
      <c r="E948" s="21">
        <f t="shared" si="413"/>
        <v>948</v>
      </c>
      <c r="F948" s="9" t="s">
        <v>115</v>
      </c>
      <c r="M948" s="21">
        <v>1.5</v>
      </c>
    </row>
    <row r="949" spans="1:13">
      <c r="A949" s="21" t="s">
        <v>227</v>
      </c>
      <c r="B949" s="21">
        <f t="shared" ref="B949" si="420">QUOTIENT( D949-1,G950)+1</f>
        <v>2</v>
      </c>
      <c r="C949" s="21">
        <f t="shared" ref="C949" si="421">D949-(B949-1)*G950</f>
        <v>12</v>
      </c>
      <c r="D949" s="21">
        <f>COUNT($D$8:$D948)+1</f>
        <v>48</v>
      </c>
    </row>
    <row r="950" spans="1:13">
      <c r="E950" s="21">
        <f t="shared" ref="E950:E968" si="422">ROW(E950)</f>
        <v>950</v>
      </c>
      <c r="F950" s="9" t="s">
        <v>93</v>
      </c>
      <c r="G950" s="21">
        <v>36</v>
      </c>
      <c r="H950" s="21">
        <v>2</v>
      </c>
      <c r="J950" s="9" t="s">
        <v>250</v>
      </c>
      <c r="M950" s="21">
        <f t="shared" ref="M950" si="423">J950+D949</f>
        <v>20048</v>
      </c>
    </row>
    <row r="951" spans="1:13">
      <c r="E951" s="21">
        <f t="shared" si="422"/>
        <v>951</v>
      </c>
      <c r="F951" s="9" t="s">
        <v>142</v>
      </c>
      <c r="M951" s="21">
        <v>199109</v>
      </c>
    </row>
    <row r="952" spans="1:13">
      <c r="E952" s="21">
        <f t="shared" si="422"/>
        <v>952</v>
      </c>
      <c r="F952" s="9" t="s">
        <v>126</v>
      </c>
      <c r="G952" s="21">
        <v>5</v>
      </c>
      <c r="M952" s="21">
        <f t="shared" ref="M952" si="424">G952*C949</f>
        <v>60</v>
      </c>
    </row>
    <row r="953" spans="1:13">
      <c r="E953" s="21">
        <f t="shared" si="422"/>
        <v>953</v>
      </c>
      <c r="F953" s="9" t="s">
        <v>29</v>
      </c>
      <c r="M953" s="21" t="s">
        <v>251</v>
      </c>
    </row>
    <row r="954" spans="1:13">
      <c r="E954" s="21">
        <f t="shared" si="422"/>
        <v>954</v>
      </c>
      <c r="F954" s="9" t="s">
        <v>118</v>
      </c>
      <c r="G954" s="21" t="s">
        <v>256</v>
      </c>
      <c r="H954" s="21" t="s">
        <v>256</v>
      </c>
      <c r="I954" s="21" t="s">
        <v>256</v>
      </c>
      <c r="J954" s="9" t="s">
        <v>256</v>
      </c>
      <c r="M954" s="21" t="str" cm="1">
        <f t="array" ref="M954">_xlfn.SWITCH(MOD(C949,4),1,G954,2,H954,3,J954,0,I954)</f>
        <v>Shot2_purple</v>
      </c>
    </row>
    <row r="955" spans="1:13">
      <c r="E955" s="21">
        <f t="shared" si="422"/>
        <v>955</v>
      </c>
      <c r="F955" s="9" t="s">
        <v>98</v>
      </c>
      <c r="K955" s="9" t="s">
        <v>137</v>
      </c>
      <c r="M955" s="21">
        <v>2</v>
      </c>
    </row>
    <row r="956" spans="1:13">
      <c r="E956" s="21">
        <f t="shared" si="422"/>
        <v>956</v>
      </c>
      <c r="F956" s="9" t="s">
        <v>175</v>
      </c>
      <c r="G956" s="21" t="s">
        <v>252</v>
      </c>
      <c r="H956" s="21" t="s">
        <v>254</v>
      </c>
      <c r="K956" s="9" t="s">
        <v>136</v>
      </c>
      <c r="M956" s="21" t="str">
        <f t="shared" ref="M956" si="425">IF(MOD(B949,2)=1,G956,H956)</f>
        <v>-0.3,0</v>
      </c>
    </row>
    <row r="957" spans="1:13">
      <c r="E957" s="21">
        <f t="shared" si="422"/>
        <v>957</v>
      </c>
      <c r="F957" s="9" t="s">
        <v>117</v>
      </c>
      <c r="M957" s="21" t="b">
        <v>1</v>
      </c>
    </row>
    <row r="958" spans="1:13">
      <c r="E958" s="21">
        <f t="shared" si="422"/>
        <v>958</v>
      </c>
      <c r="F958" s="9" t="s">
        <v>31</v>
      </c>
      <c r="L958" s="9" t="s">
        <v>134</v>
      </c>
      <c r="M958" s="21">
        <v>270</v>
      </c>
    </row>
    <row r="959" spans="1:13">
      <c r="E959" s="21">
        <f t="shared" si="422"/>
        <v>959</v>
      </c>
      <c r="F959" s="9" t="s">
        <v>111</v>
      </c>
      <c r="G959" s="21">
        <v>120</v>
      </c>
      <c r="H959" s="21">
        <v>-120</v>
      </c>
      <c r="L959" s="9" t="s">
        <v>134</v>
      </c>
      <c r="M959" s="21">
        <f t="shared" ref="M959" si="426">IF(MOD(B949,2)=1,G959,H959)</f>
        <v>-120</v>
      </c>
    </row>
    <row r="960" spans="1:13">
      <c r="E960" s="21">
        <f t="shared" si="422"/>
        <v>960</v>
      </c>
      <c r="F960" s="9" t="s">
        <v>114</v>
      </c>
      <c r="M960" s="21" t="b">
        <v>1</v>
      </c>
    </row>
    <row r="961" spans="1:13">
      <c r="E961" s="21">
        <f t="shared" si="422"/>
        <v>961</v>
      </c>
      <c r="F961" s="9" t="s">
        <v>30</v>
      </c>
      <c r="M961" s="21">
        <v>3</v>
      </c>
    </row>
    <row r="962" spans="1:13">
      <c r="E962" s="21">
        <f t="shared" si="422"/>
        <v>962</v>
      </c>
      <c r="F962" s="9" t="s">
        <v>196</v>
      </c>
      <c r="M962" s="21">
        <v>0</v>
      </c>
    </row>
    <row r="963" spans="1:13">
      <c r="E963" s="21">
        <f t="shared" si="422"/>
        <v>963</v>
      </c>
      <c r="F963" s="9" t="s">
        <v>35</v>
      </c>
      <c r="G963" s="21">
        <v>185</v>
      </c>
      <c r="H963" s="21">
        <v>195</v>
      </c>
      <c r="I963" s="21">
        <v>205</v>
      </c>
      <c r="J963" s="9" t="s">
        <v>257</v>
      </c>
      <c r="M963" s="21" cm="1">
        <f t="array" ref="M963">_xlfn.SWITCH(MOD(C949,4),1,G963,2,H963,3,J963,0,I963)</f>
        <v>205</v>
      </c>
    </row>
    <row r="964" spans="1:13">
      <c r="E964" s="21">
        <f t="shared" si="422"/>
        <v>964</v>
      </c>
      <c r="F964" s="9" t="s">
        <v>101</v>
      </c>
      <c r="M964" s="21">
        <f t="shared" ref="M964" si="427">M950*10+1</f>
        <v>200481</v>
      </c>
    </row>
    <row r="965" spans="1:13">
      <c r="E965" s="21">
        <f t="shared" si="422"/>
        <v>965</v>
      </c>
      <c r="F965" s="9" t="s">
        <v>142</v>
      </c>
      <c r="M965" s="21">
        <f t="shared" ref="M965" si="428">M950</f>
        <v>20048</v>
      </c>
    </row>
    <row r="966" spans="1:13">
      <c r="E966" s="21">
        <f t="shared" si="422"/>
        <v>966</v>
      </c>
      <c r="F966" s="9" t="s">
        <v>127</v>
      </c>
      <c r="M966" s="21">
        <v>0</v>
      </c>
    </row>
    <row r="967" spans="1:13">
      <c r="E967" s="21">
        <f t="shared" si="422"/>
        <v>967</v>
      </c>
      <c r="F967" s="9" t="s">
        <v>111</v>
      </c>
      <c r="L967" s="9" t="s">
        <v>134</v>
      </c>
      <c r="M967" s="21">
        <v>0</v>
      </c>
    </row>
    <row r="968" spans="1:13">
      <c r="E968" s="21">
        <f t="shared" si="422"/>
        <v>968</v>
      </c>
      <c r="F968" s="9" t="s">
        <v>115</v>
      </c>
      <c r="M968" s="21">
        <v>1.5</v>
      </c>
    </row>
    <row r="969" spans="1:13">
      <c r="A969" s="21" t="s">
        <v>227</v>
      </c>
      <c r="B969" s="21">
        <f t="shared" ref="B969" si="429">QUOTIENT( D969-1,G970)+1</f>
        <v>2</v>
      </c>
      <c r="C969" s="21">
        <f t="shared" ref="C969" si="430">D969-(B969-1)*G970</f>
        <v>13</v>
      </c>
      <c r="D969" s="21">
        <f>COUNT($D$8:$D968)+1</f>
        <v>49</v>
      </c>
    </row>
    <row r="970" spans="1:13">
      <c r="E970" s="21">
        <f t="shared" ref="E970:E988" si="431">ROW(E970)</f>
        <v>970</v>
      </c>
      <c r="F970" s="9" t="s">
        <v>93</v>
      </c>
      <c r="G970" s="21">
        <v>36</v>
      </c>
      <c r="H970" s="21">
        <v>2</v>
      </c>
      <c r="J970" s="9" t="s">
        <v>250</v>
      </c>
      <c r="M970" s="21">
        <f t="shared" ref="M970" si="432">J970+D969</f>
        <v>20049</v>
      </c>
    </row>
    <row r="971" spans="1:13">
      <c r="E971" s="21">
        <f t="shared" si="431"/>
        <v>971</v>
      </c>
      <c r="F971" s="9" t="s">
        <v>142</v>
      </c>
      <c r="M971" s="21">
        <v>199109</v>
      </c>
    </row>
    <row r="972" spans="1:13">
      <c r="E972" s="21">
        <f t="shared" si="431"/>
        <v>972</v>
      </c>
      <c r="F972" s="9" t="s">
        <v>126</v>
      </c>
      <c r="G972" s="21">
        <v>5</v>
      </c>
      <c r="M972" s="21">
        <f t="shared" ref="M972" si="433">G972*C969</f>
        <v>65</v>
      </c>
    </row>
    <row r="973" spans="1:13">
      <c r="E973" s="21">
        <f t="shared" si="431"/>
        <v>973</v>
      </c>
      <c r="F973" s="9" t="s">
        <v>29</v>
      </c>
      <c r="M973" s="21" t="s">
        <v>251</v>
      </c>
    </row>
    <row r="974" spans="1:13">
      <c r="E974" s="21">
        <f t="shared" si="431"/>
        <v>974</v>
      </c>
      <c r="F974" s="9" t="s">
        <v>118</v>
      </c>
      <c r="G974" s="21" t="s">
        <v>256</v>
      </c>
      <c r="H974" s="21" t="s">
        <v>256</v>
      </c>
      <c r="I974" s="21" t="s">
        <v>256</v>
      </c>
      <c r="J974" s="9" t="s">
        <v>256</v>
      </c>
      <c r="M974" s="21" t="str" cm="1">
        <f t="array" ref="M974">_xlfn.SWITCH(MOD(C969,4),1,G974,2,H974,3,J974,0,I974)</f>
        <v>Shot2_purple</v>
      </c>
    </row>
    <row r="975" spans="1:13">
      <c r="E975" s="21">
        <f t="shared" si="431"/>
        <v>975</v>
      </c>
      <c r="F975" s="9" t="s">
        <v>98</v>
      </c>
      <c r="K975" s="9" t="s">
        <v>137</v>
      </c>
      <c r="M975" s="21">
        <v>2</v>
      </c>
    </row>
    <row r="976" spans="1:13">
      <c r="E976" s="21">
        <f t="shared" si="431"/>
        <v>976</v>
      </c>
      <c r="F976" s="9" t="s">
        <v>175</v>
      </c>
      <c r="G976" s="21" t="s">
        <v>252</v>
      </c>
      <c r="H976" s="21" t="s">
        <v>254</v>
      </c>
      <c r="K976" s="9" t="s">
        <v>136</v>
      </c>
      <c r="M976" s="21" t="str">
        <f t="shared" ref="M976" si="434">IF(MOD(B969,2)=1,G976,H976)</f>
        <v>-0.3,0</v>
      </c>
    </row>
    <row r="977" spans="1:13">
      <c r="E977" s="21">
        <f t="shared" si="431"/>
        <v>977</v>
      </c>
      <c r="F977" s="9" t="s">
        <v>117</v>
      </c>
      <c r="M977" s="21" t="b">
        <v>1</v>
      </c>
    </row>
    <row r="978" spans="1:13">
      <c r="E978" s="21">
        <f t="shared" si="431"/>
        <v>978</v>
      </c>
      <c r="F978" s="9" t="s">
        <v>31</v>
      </c>
      <c r="L978" s="9" t="s">
        <v>134</v>
      </c>
      <c r="M978" s="21">
        <v>270</v>
      </c>
    </row>
    <row r="979" spans="1:13">
      <c r="E979" s="21">
        <f t="shared" si="431"/>
        <v>979</v>
      </c>
      <c r="F979" s="9" t="s">
        <v>111</v>
      </c>
      <c r="G979" s="21">
        <v>120</v>
      </c>
      <c r="H979" s="21">
        <v>-120</v>
      </c>
      <c r="L979" s="9" t="s">
        <v>134</v>
      </c>
      <c r="M979" s="21">
        <f t="shared" ref="M979" si="435">IF(MOD(B969,2)=1,G979,H979)</f>
        <v>-120</v>
      </c>
    </row>
    <row r="980" spans="1:13">
      <c r="E980" s="21">
        <f t="shared" si="431"/>
        <v>980</v>
      </c>
      <c r="F980" s="9" t="s">
        <v>114</v>
      </c>
      <c r="M980" s="21" t="b">
        <v>1</v>
      </c>
    </row>
    <row r="981" spans="1:13">
      <c r="E981" s="21">
        <f t="shared" si="431"/>
        <v>981</v>
      </c>
      <c r="F981" s="9" t="s">
        <v>30</v>
      </c>
      <c r="M981" s="21">
        <v>3</v>
      </c>
    </row>
    <row r="982" spans="1:13">
      <c r="E982" s="21">
        <f t="shared" si="431"/>
        <v>982</v>
      </c>
      <c r="F982" s="9" t="s">
        <v>196</v>
      </c>
      <c r="M982" s="21">
        <v>0</v>
      </c>
    </row>
    <row r="983" spans="1:13">
      <c r="E983" s="21">
        <f t="shared" si="431"/>
        <v>983</v>
      </c>
      <c r="F983" s="9" t="s">
        <v>35</v>
      </c>
      <c r="G983" s="21">
        <v>185</v>
      </c>
      <c r="H983" s="21">
        <v>195</v>
      </c>
      <c r="I983" s="21">
        <v>205</v>
      </c>
      <c r="J983" s="9" t="s">
        <v>257</v>
      </c>
      <c r="M983" s="21" cm="1">
        <f t="array" ref="M983">_xlfn.SWITCH(MOD(C969,4),1,G983,2,H983,3,J983,0,I983)</f>
        <v>185</v>
      </c>
    </row>
    <row r="984" spans="1:13">
      <c r="E984" s="21">
        <f t="shared" si="431"/>
        <v>984</v>
      </c>
      <c r="F984" s="9" t="s">
        <v>101</v>
      </c>
      <c r="M984" s="21">
        <f t="shared" ref="M984" si="436">M970*10+1</f>
        <v>200491</v>
      </c>
    </row>
    <row r="985" spans="1:13">
      <c r="E985" s="21">
        <f t="shared" si="431"/>
        <v>985</v>
      </c>
      <c r="F985" s="9" t="s">
        <v>142</v>
      </c>
      <c r="M985" s="21">
        <f t="shared" ref="M985" si="437">M970</f>
        <v>20049</v>
      </c>
    </row>
    <row r="986" spans="1:13">
      <c r="E986" s="21">
        <f t="shared" si="431"/>
        <v>986</v>
      </c>
      <c r="F986" s="9" t="s">
        <v>127</v>
      </c>
      <c r="M986" s="21">
        <v>0</v>
      </c>
    </row>
    <row r="987" spans="1:13">
      <c r="E987" s="21">
        <f t="shared" si="431"/>
        <v>987</v>
      </c>
      <c r="F987" s="9" t="s">
        <v>111</v>
      </c>
      <c r="L987" s="9" t="s">
        <v>134</v>
      </c>
      <c r="M987" s="21">
        <v>0</v>
      </c>
    </row>
    <row r="988" spans="1:13">
      <c r="E988" s="21">
        <f t="shared" si="431"/>
        <v>988</v>
      </c>
      <c r="F988" s="9" t="s">
        <v>115</v>
      </c>
      <c r="M988" s="21">
        <v>1.5</v>
      </c>
    </row>
    <row r="989" spans="1:13">
      <c r="A989" s="21" t="s">
        <v>227</v>
      </c>
      <c r="B989" s="21">
        <f t="shared" ref="B989" si="438">QUOTIENT( D989-1,G990)+1</f>
        <v>2</v>
      </c>
      <c r="C989" s="21">
        <f t="shared" ref="C989" si="439">D989-(B989-1)*G990</f>
        <v>14</v>
      </c>
      <c r="D989" s="21">
        <f>COUNT($D$8:$D988)+1</f>
        <v>50</v>
      </c>
    </row>
    <row r="990" spans="1:13">
      <c r="E990" s="21">
        <f t="shared" ref="E990:E1008" si="440">ROW(E990)</f>
        <v>990</v>
      </c>
      <c r="F990" s="9" t="s">
        <v>93</v>
      </c>
      <c r="G990" s="21">
        <v>36</v>
      </c>
      <c r="H990" s="21">
        <v>2</v>
      </c>
      <c r="J990" s="9" t="s">
        <v>250</v>
      </c>
      <c r="M990" s="21">
        <f t="shared" ref="M990" si="441">J990+D989</f>
        <v>20050</v>
      </c>
    </row>
    <row r="991" spans="1:13">
      <c r="E991" s="21">
        <f t="shared" si="440"/>
        <v>991</v>
      </c>
      <c r="F991" s="9" t="s">
        <v>142</v>
      </c>
      <c r="M991" s="21">
        <v>199109</v>
      </c>
    </row>
    <row r="992" spans="1:13">
      <c r="E992" s="21">
        <f t="shared" si="440"/>
        <v>992</v>
      </c>
      <c r="F992" s="9" t="s">
        <v>126</v>
      </c>
      <c r="G992" s="21">
        <v>5</v>
      </c>
      <c r="M992" s="21">
        <f t="shared" ref="M992" si="442">G992*C989</f>
        <v>70</v>
      </c>
    </row>
    <row r="993" spans="5:13">
      <c r="E993" s="21">
        <f t="shared" si="440"/>
        <v>993</v>
      </c>
      <c r="F993" s="9" t="s">
        <v>29</v>
      </c>
      <c r="M993" s="21" t="s">
        <v>251</v>
      </c>
    </row>
    <row r="994" spans="5:13">
      <c r="E994" s="21">
        <f t="shared" si="440"/>
        <v>994</v>
      </c>
      <c r="F994" s="9" t="s">
        <v>118</v>
      </c>
      <c r="G994" s="21" t="s">
        <v>256</v>
      </c>
      <c r="H994" s="21" t="s">
        <v>256</v>
      </c>
      <c r="I994" s="21" t="s">
        <v>256</v>
      </c>
      <c r="J994" s="9" t="s">
        <v>256</v>
      </c>
      <c r="M994" s="21" t="str" cm="1">
        <f t="array" ref="M994">_xlfn.SWITCH(MOD(C989,4),1,G994,2,H994,3,J994,0,I994)</f>
        <v>Shot2_purple</v>
      </c>
    </row>
    <row r="995" spans="5:13">
      <c r="E995" s="21">
        <f t="shared" si="440"/>
        <v>995</v>
      </c>
      <c r="F995" s="9" t="s">
        <v>98</v>
      </c>
      <c r="K995" s="9" t="s">
        <v>137</v>
      </c>
      <c r="M995" s="21">
        <v>2</v>
      </c>
    </row>
    <row r="996" spans="5:13">
      <c r="E996" s="21">
        <f t="shared" si="440"/>
        <v>996</v>
      </c>
      <c r="F996" s="9" t="s">
        <v>175</v>
      </c>
      <c r="G996" s="21" t="s">
        <v>252</v>
      </c>
      <c r="H996" s="21" t="s">
        <v>254</v>
      </c>
      <c r="K996" s="9" t="s">
        <v>136</v>
      </c>
      <c r="M996" s="21" t="str">
        <f t="shared" ref="M996" si="443">IF(MOD(B989,2)=1,G996,H996)</f>
        <v>-0.3,0</v>
      </c>
    </row>
    <row r="997" spans="5:13">
      <c r="E997" s="21">
        <f t="shared" si="440"/>
        <v>997</v>
      </c>
      <c r="F997" s="9" t="s">
        <v>117</v>
      </c>
      <c r="M997" s="21" t="b">
        <v>1</v>
      </c>
    </row>
    <row r="998" spans="5:13">
      <c r="E998" s="21">
        <f t="shared" si="440"/>
        <v>998</v>
      </c>
      <c r="F998" s="9" t="s">
        <v>31</v>
      </c>
      <c r="L998" s="9" t="s">
        <v>134</v>
      </c>
      <c r="M998" s="21">
        <v>270</v>
      </c>
    </row>
    <row r="999" spans="5:13">
      <c r="E999" s="21">
        <f t="shared" si="440"/>
        <v>999</v>
      </c>
      <c r="F999" s="9" t="s">
        <v>111</v>
      </c>
      <c r="G999" s="21">
        <v>120</v>
      </c>
      <c r="H999" s="21">
        <v>-120</v>
      </c>
      <c r="L999" s="9" t="s">
        <v>134</v>
      </c>
      <c r="M999" s="21">
        <f t="shared" ref="M999" si="444">IF(MOD(B989,2)=1,G999,H999)</f>
        <v>-120</v>
      </c>
    </row>
    <row r="1000" spans="5:13">
      <c r="E1000" s="21">
        <f t="shared" si="440"/>
        <v>1000</v>
      </c>
      <c r="F1000" s="9" t="s">
        <v>114</v>
      </c>
      <c r="M1000" s="21" t="b">
        <v>1</v>
      </c>
    </row>
    <row r="1001" spans="5:13">
      <c r="E1001" s="21">
        <f t="shared" si="440"/>
        <v>1001</v>
      </c>
      <c r="F1001" s="9" t="s">
        <v>30</v>
      </c>
      <c r="M1001" s="21">
        <v>3</v>
      </c>
    </row>
    <row r="1002" spans="5:13">
      <c r="E1002" s="21">
        <f t="shared" si="440"/>
        <v>1002</v>
      </c>
      <c r="F1002" s="9" t="s">
        <v>196</v>
      </c>
      <c r="M1002" s="21">
        <v>0</v>
      </c>
    </row>
    <row r="1003" spans="5:13">
      <c r="E1003" s="21">
        <f t="shared" si="440"/>
        <v>1003</v>
      </c>
      <c r="F1003" s="9" t="s">
        <v>35</v>
      </c>
      <c r="G1003" s="21">
        <v>185</v>
      </c>
      <c r="H1003" s="21">
        <v>195</v>
      </c>
      <c r="I1003" s="21">
        <v>205</v>
      </c>
      <c r="J1003" s="9" t="s">
        <v>257</v>
      </c>
      <c r="M1003" s="21" cm="1">
        <f t="array" ref="M1003">_xlfn.SWITCH(MOD(C989,4),1,G1003,2,H1003,3,J1003,0,I1003)</f>
        <v>195</v>
      </c>
    </row>
    <row r="1004" spans="5:13">
      <c r="E1004" s="21">
        <f t="shared" si="440"/>
        <v>1004</v>
      </c>
      <c r="F1004" s="9" t="s">
        <v>101</v>
      </c>
      <c r="M1004" s="21">
        <f t="shared" ref="M1004" si="445">M990*10+1</f>
        <v>200501</v>
      </c>
    </row>
    <row r="1005" spans="5:13">
      <c r="E1005" s="21">
        <f t="shared" si="440"/>
        <v>1005</v>
      </c>
      <c r="F1005" s="9" t="s">
        <v>142</v>
      </c>
      <c r="M1005" s="21">
        <f t="shared" ref="M1005" si="446">M990</f>
        <v>20050</v>
      </c>
    </row>
    <row r="1006" spans="5:13">
      <c r="E1006" s="21">
        <f t="shared" si="440"/>
        <v>1006</v>
      </c>
      <c r="F1006" s="9" t="s">
        <v>127</v>
      </c>
      <c r="M1006" s="21">
        <v>0</v>
      </c>
    </row>
    <row r="1007" spans="5:13">
      <c r="E1007" s="21">
        <f t="shared" si="440"/>
        <v>1007</v>
      </c>
      <c r="F1007" s="9" t="s">
        <v>111</v>
      </c>
      <c r="L1007" s="9" t="s">
        <v>134</v>
      </c>
      <c r="M1007" s="21">
        <v>0</v>
      </c>
    </row>
    <row r="1008" spans="5:13">
      <c r="E1008" s="21">
        <f t="shared" si="440"/>
        <v>1008</v>
      </c>
      <c r="F1008" s="9" t="s">
        <v>115</v>
      </c>
      <c r="M1008" s="21">
        <v>1.5</v>
      </c>
    </row>
    <row r="1009" spans="1:13">
      <c r="A1009" s="21" t="s">
        <v>227</v>
      </c>
      <c r="B1009" s="21">
        <f t="shared" ref="B1009" si="447">QUOTIENT( D1009-1,G1010)+1</f>
        <v>2</v>
      </c>
      <c r="C1009" s="21">
        <f t="shared" ref="C1009" si="448">D1009-(B1009-1)*G1010</f>
        <v>15</v>
      </c>
      <c r="D1009" s="21">
        <f>COUNT($D$8:$D1008)+1</f>
        <v>51</v>
      </c>
    </row>
    <row r="1010" spans="1:13">
      <c r="E1010" s="21">
        <f t="shared" ref="E1010:E1028" si="449">ROW(E1010)</f>
        <v>1010</v>
      </c>
      <c r="F1010" s="9" t="s">
        <v>93</v>
      </c>
      <c r="G1010" s="21">
        <v>36</v>
      </c>
      <c r="H1010" s="21">
        <v>2</v>
      </c>
      <c r="J1010" s="9" t="s">
        <v>250</v>
      </c>
      <c r="M1010" s="21">
        <f t="shared" ref="M1010" si="450">J1010+D1009</f>
        <v>20051</v>
      </c>
    </row>
    <row r="1011" spans="1:13">
      <c r="E1011" s="21">
        <f t="shared" si="449"/>
        <v>1011</v>
      </c>
      <c r="F1011" s="9" t="s">
        <v>142</v>
      </c>
      <c r="M1011" s="21">
        <v>199109</v>
      </c>
    </row>
    <row r="1012" spans="1:13">
      <c r="E1012" s="21">
        <f t="shared" si="449"/>
        <v>1012</v>
      </c>
      <c r="F1012" s="9" t="s">
        <v>126</v>
      </c>
      <c r="G1012" s="21">
        <v>5</v>
      </c>
      <c r="M1012" s="21">
        <f t="shared" ref="M1012" si="451">G1012*C1009</f>
        <v>75</v>
      </c>
    </row>
    <row r="1013" spans="1:13">
      <c r="E1013" s="21">
        <f t="shared" si="449"/>
        <v>1013</v>
      </c>
      <c r="F1013" s="9" t="s">
        <v>29</v>
      </c>
      <c r="M1013" s="21" t="s">
        <v>251</v>
      </c>
    </row>
    <row r="1014" spans="1:13">
      <c r="E1014" s="21">
        <f t="shared" si="449"/>
        <v>1014</v>
      </c>
      <c r="F1014" s="9" t="s">
        <v>118</v>
      </c>
      <c r="G1014" s="21" t="s">
        <v>256</v>
      </c>
      <c r="H1014" s="21" t="s">
        <v>256</v>
      </c>
      <c r="I1014" s="21" t="s">
        <v>256</v>
      </c>
      <c r="J1014" s="9" t="s">
        <v>256</v>
      </c>
      <c r="M1014" s="21" t="str" cm="1">
        <f t="array" ref="M1014">_xlfn.SWITCH(MOD(C1009,4),1,G1014,2,H1014,3,J1014,0,I1014)</f>
        <v>Shot2_purple</v>
      </c>
    </row>
    <row r="1015" spans="1:13">
      <c r="E1015" s="21">
        <f t="shared" si="449"/>
        <v>1015</v>
      </c>
      <c r="F1015" s="9" t="s">
        <v>98</v>
      </c>
      <c r="K1015" s="9" t="s">
        <v>137</v>
      </c>
      <c r="M1015" s="21">
        <v>2</v>
      </c>
    </row>
    <row r="1016" spans="1:13">
      <c r="E1016" s="21">
        <f t="shared" si="449"/>
        <v>1016</v>
      </c>
      <c r="F1016" s="9" t="s">
        <v>175</v>
      </c>
      <c r="G1016" s="21" t="s">
        <v>252</v>
      </c>
      <c r="H1016" s="21" t="s">
        <v>254</v>
      </c>
      <c r="K1016" s="9" t="s">
        <v>136</v>
      </c>
      <c r="M1016" s="21" t="str">
        <f t="shared" ref="M1016" si="452">IF(MOD(B1009,2)=1,G1016,H1016)</f>
        <v>-0.3,0</v>
      </c>
    </row>
    <row r="1017" spans="1:13">
      <c r="E1017" s="21">
        <f t="shared" si="449"/>
        <v>1017</v>
      </c>
      <c r="F1017" s="9" t="s">
        <v>117</v>
      </c>
      <c r="M1017" s="21" t="b">
        <v>1</v>
      </c>
    </row>
    <row r="1018" spans="1:13">
      <c r="E1018" s="21">
        <f t="shared" si="449"/>
        <v>1018</v>
      </c>
      <c r="F1018" s="9" t="s">
        <v>31</v>
      </c>
      <c r="L1018" s="9" t="s">
        <v>134</v>
      </c>
      <c r="M1018" s="21">
        <v>270</v>
      </c>
    </row>
    <row r="1019" spans="1:13">
      <c r="E1019" s="21">
        <f t="shared" si="449"/>
        <v>1019</v>
      </c>
      <c r="F1019" s="9" t="s">
        <v>111</v>
      </c>
      <c r="G1019" s="21">
        <v>120</v>
      </c>
      <c r="H1019" s="21">
        <v>-120</v>
      </c>
      <c r="L1019" s="9" t="s">
        <v>134</v>
      </c>
      <c r="M1019" s="21">
        <f t="shared" ref="M1019" si="453">IF(MOD(B1009,2)=1,G1019,H1019)</f>
        <v>-120</v>
      </c>
    </row>
    <row r="1020" spans="1:13">
      <c r="E1020" s="21">
        <f t="shared" si="449"/>
        <v>1020</v>
      </c>
      <c r="F1020" s="9" t="s">
        <v>114</v>
      </c>
      <c r="M1020" s="21" t="b">
        <v>1</v>
      </c>
    </row>
    <row r="1021" spans="1:13">
      <c r="E1021" s="21">
        <f t="shared" si="449"/>
        <v>1021</v>
      </c>
      <c r="F1021" s="9" t="s">
        <v>30</v>
      </c>
      <c r="M1021" s="21">
        <v>3</v>
      </c>
    </row>
    <row r="1022" spans="1:13">
      <c r="E1022" s="21">
        <f t="shared" si="449"/>
        <v>1022</v>
      </c>
      <c r="F1022" s="9" t="s">
        <v>196</v>
      </c>
      <c r="M1022" s="21">
        <v>0</v>
      </c>
    </row>
    <row r="1023" spans="1:13">
      <c r="E1023" s="21">
        <f t="shared" si="449"/>
        <v>1023</v>
      </c>
      <c r="F1023" s="9" t="s">
        <v>35</v>
      </c>
      <c r="G1023" s="21">
        <v>185</v>
      </c>
      <c r="H1023" s="21">
        <v>195</v>
      </c>
      <c r="I1023" s="21">
        <v>205</v>
      </c>
      <c r="J1023" s="9" t="s">
        <v>257</v>
      </c>
      <c r="M1023" s="21" t="str" cm="1">
        <f t="array" ref="M1023">_xlfn.SWITCH(MOD(C1009,4),1,G1023,2,H1023,3,J1023,0,I1023)</f>
        <v>215</v>
      </c>
    </row>
    <row r="1024" spans="1:13">
      <c r="E1024" s="21">
        <f t="shared" si="449"/>
        <v>1024</v>
      </c>
      <c r="F1024" s="9" t="s">
        <v>101</v>
      </c>
      <c r="M1024" s="21">
        <f t="shared" ref="M1024" si="454">M1010*10+1</f>
        <v>200511</v>
      </c>
    </row>
    <row r="1025" spans="1:13">
      <c r="E1025" s="21">
        <f t="shared" si="449"/>
        <v>1025</v>
      </c>
      <c r="F1025" s="9" t="s">
        <v>142</v>
      </c>
      <c r="M1025" s="21">
        <f t="shared" ref="M1025" si="455">M1010</f>
        <v>20051</v>
      </c>
    </row>
    <row r="1026" spans="1:13">
      <c r="E1026" s="21">
        <f t="shared" si="449"/>
        <v>1026</v>
      </c>
      <c r="F1026" s="9" t="s">
        <v>127</v>
      </c>
      <c r="M1026" s="21">
        <v>0</v>
      </c>
    </row>
    <row r="1027" spans="1:13">
      <c r="E1027" s="21">
        <f t="shared" si="449"/>
        <v>1027</v>
      </c>
      <c r="F1027" s="9" t="s">
        <v>111</v>
      </c>
      <c r="L1027" s="9" t="s">
        <v>134</v>
      </c>
      <c r="M1027" s="21">
        <v>0</v>
      </c>
    </row>
    <row r="1028" spans="1:13">
      <c r="E1028" s="21">
        <f t="shared" si="449"/>
        <v>1028</v>
      </c>
      <c r="F1028" s="9" t="s">
        <v>115</v>
      </c>
      <c r="M1028" s="21">
        <v>1.5</v>
      </c>
    </row>
    <row r="1029" spans="1:13">
      <c r="A1029" s="21" t="s">
        <v>227</v>
      </c>
      <c r="B1029" s="21">
        <f t="shared" ref="B1029" si="456">QUOTIENT( D1029-1,G1030)+1</f>
        <v>2</v>
      </c>
      <c r="C1029" s="21">
        <f t="shared" ref="C1029" si="457">D1029-(B1029-1)*G1030</f>
        <v>16</v>
      </c>
      <c r="D1029" s="21">
        <f>COUNT($D$8:$D1028)+1</f>
        <v>52</v>
      </c>
    </row>
    <row r="1030" spans="1:13">
      <c r="E1030" s="21">
        <f t="shared" ref="E1030:E1048" si="458">ROW(E1030)</f>
        <v>1030</v>
      </c>
      <c r="F1030" s="9" t="s">
        <v>93</v>
      </c>
      <c r="G1030" s="21">
        <v>36</v>
      </c>
      <c r="H1030" s="21">
        <v>2</v>
      </c>
      <c r="J1030" s="9" t="s">
        <v>250</v>
      </c>
      <c r="M1030" s="21">
        <f t="shared" ref="M1030" si="459">J1030+D1029</f>
        <v>20052</v>
      </c>
    </row>
    <row r="1031" spans="1:13">
      <c r="E1031" s="21">
        <f t="shared" si="458"/>
        <v>1031</v>
      </c>
      <c r="F1031" s="9" t="s">
        <v>142</v>
      </c>
      <c r="M1031" s="21">
        <v>199109</v>
      </c>
    </row>
    <row r="1032" spans="1:13">
      <c r="E1032" s="21">
        <f t="shared" si="458"/>
        <v>1032</v>
      </c>
      <c r="F1032" s="9" t="s">
        <v>126</v>
      </c>
      <c r="G1032" s="21">
        <v>5</v>
      </c>
      <c r="M1032" s="21">
        <f t="shared" ref="M1032" si="460">G1032*C1029</f>
        <v>80</v>
      </c>
    </row>
    <row r="1033" spans="1:13">
      <c r="E1033" s="21">
        <f t="shared" si="458"/>
        <v>1033</v>
      </c>
      <c r="F1033" s="9" t="s">
        <v>29</v>
      </c>
      <c r="M1033" s="21" t="s">
        <v>251</v>
      </c>
    </row>
    <row r="1034" spans="1:13">
      <c r="E1034" s="21">
        <f t="shared" si="458"/>
        <v>1034</v>
      </c>
      <c r="F1034" s="9" t="s">
        <v>118</v>
      </c>
      <c r="G1034" s="21" t="s">
        <v>256</v>
      </c>
      <c r="H1034" s="21" t="s">
        <v>256</v>
      </c>
      <c r="I1034" s="21" t="s">
        <v>256</v>
      </c>
      <c r="J1034" s="9" t="s">
        <v>256</v>
      </c>
      <c r="M1034" s="21" t="str" cm="1">
        <f t="array" ref="M1034">_xlfn.SWITCH(MOD(C1029,4),1,G1034,2,H1034,3,J1034,0,I1034)</f>
        <v>Shot2_purple</v>
      </c>
    </row>
    <row r="1035" spans="1:13">
      <c r="E1035" s="21">
        <f t="shared" si="458"/>
        <v>1035</v>
      </c>
      <c r="F1035" s="9" t="s">
        <v>98</v>
      </c>
      <c r="K1035" s="9" t="s">
        <v>137</v>
      </c>
      <c r="M1035" s="21">
        <v>2</v>
      </c>
    </row>
    <row r="1036" spans="1:13">
      <c r="E1036" s="21">
        <f t="shared" si="458"/>
        <v>1036</v>
      </c>
      <c r="F1036" s="9" t="s">
        <v>175</v>
      </c>
      <c r="G1036" s="21" t="s">
        <v>252</v>
      </c>
      <c r="H1036" s="21" t="s">
        <v>254</v>
      </c>
      <c r="K1036" s="9" t="s">
        <v>136</v>
      </c>
      <c r="M1036" s="21" t="str">
        <f t="shared" ref="M1036" si="461">IF(MOD(B1029,2)=1,G1036,H1036)</f>
        <v>-0.3,0</v>
      </c>
    </row>
    <row r="1037" spans="1:13">
      <c r="E1037" s="21">
        <f t="shared" si="458"/>
        <v>1037</v>
      </c>
      <c r="F1037" s="9" t="s">
        <v>117</v>
      </c>
      <c r="M1037" s="21" t="b">
        <v>1</v>
      </c>
    </row>
    <row r="1038" spans="1:13">
      <c r="E1038" s="21">
        <f t="shared" si="458"/>
        <v>1038</v>
      </c>
      <c r="F1038" s="9" t="s">
        <v>31</v>
      </c>
      <c r="L1038" s="9" t="s">
        <v>134</v>
      </c>
      <c r="M1038" s="21">
        <v>270</v>
      </c>
    </row>
    <row r="1039" spans="1:13">
      <c r="E1039" s="21">
        <f t="shared" si="458"/>
        <v>1039</v>
      </c>
      <c r="F1039" s="9" t="s">
        <v>111</v>
      </c>
      <c r="G1039" s="21">
        <v>120</v>
      </c>
      <c r="H1039" s="21">
        <v>-120</v>
      </c>
      <c r="L1039" s="9" t="s">
        <v>134</v>
      </c>
      <c r="M1039" s="21">
        <f t="shared" ref="M1039" si="462">IF(MOD(B1029,2)=1,G1039,H1039)</f>
        <v>-120</v>
      </c>
    </row>
    <row r="1040" spans="1:13">
      <c r="E1040" s="21">
        <f t="shared" si="458"/>
        <v>1040</v>
      </c>
      <c r="F1040" s="9" t="s">
        <v>114</v>
      </c>
      <c r="M1040" s="21" t="b">
        <v>1</v>
      </c>
    </row>
    <row r="1041" spans="1:13">
      <c r="E1041" s="21">
        <f t="shared" si="458"/>
        <v>1041</v>
      </c>
      <c r="F1041" s="9" t="s">
        <v>30</v>
      </c>
      <c r="M1041" s="21">
        <v>3</v>
      </c>
    </row>
    <row r="1042" spans="1:13">
      <c r="E1042" s="21">
        <f t="shared" si="458"/>
        <v>1042</v>
      </c>
      <c r="F1042" s="9" t="s">
        <v>196</v>
      </c>
      <c r="M1042" s="21">
        <v>0</v>
      </c>
    </row>
    <row r="1043" spans="1:13">
      <c r="E1043" s="21">
        <f t="shared" si="458"/>
        <v>1043</v>
      </c>
      <c r="F1043" s="9" t="s">
        <v>35</v>
      </c>
      <c r="G1043" s="21">
        <v>185</v>
      </c>
      <c r="H1043" s="21">
        <v>195</v>
      </c>
      <c r="I1043" s="21">
        <v>205</v>
      </c>
      <c r="J1043" s="9" t="s">
        <v>257</v>
      </c>
      <c r="M1043" s="21" cm="1">
        <f t="array" ref="M1043">_xlfn.SWITCH(MOD(C1029,4),1,G1043,2,H1043,3,J1043,0,I1043)</f>
        <v>205</v>
      </c>
    </row>
    <row r="1044" spans="1:13">
      <c r="E1044" s="21">
        <f t="shared" si="458"/>
        <v>1044</v>
      </c>
      <c r="F1044" s="9" t="s">
        <v>101</v>
      </c>
      <c r="M1044" s="21">
        <f t="shared" ref="M1044" si="463">M1030*10+1</f>
        <v>200521</v>
      </c>
    </row>
    <row r="1045" spans="1:13">
      <c r="E1045" s="21">
        <f t="shared" si="458"/>
        <v>1045</v>
      </c>
      <c r="F1045" s="9" t="s">
        <v>142</v>
      </c>
      <c r="M1045" s="21">
        <f t="shared" ref="M1045" si="464">M1030</f>
        <v>20052</v>
      </c>
    </row>
    <row r="1046" spans="1:13">
      <c r="E1046" s="21">
        <f t="shared" si="458"/>
        <v>1046</v>
      </c>
      <c r="F1046" s="9" t="s">
        <v>127</v>
      </c>
      <c r="M1046" s="21">
        <v>0</v>
      </c>
    </row>
    <row r="1047" spans="1:13">
      <c r="E1047" s="21">
        <f t="shared" si="458"/>
        <v>1047</v>
      </c>
      <c r="F1047" s="9" t="s">
        <v>111</v>
      </c>
      <c r="L1047" s="9" t="s">
        <v>134</v>
      </c>
      <c r="M1047" s="21">
        <v>0</v>
      </c>
    </row>
    <row r="1048" spans="1:13">
      <c r="E1048" s="21">
        <f t="shared" si="458"/>
        <v>1048</v>
      </c>
      <c r="F1048" s="9" t="s">
        <v>115</v>
      </c>
      <c r="M1048" s="21">
        <v>1.5</v>
      </c>
    </row>
    <row r="1049" spans="1:13">
      <c r="A1049" s="21" t="s">
        <v>227</v>
      </c>
      <c r="B1049" s="21">
        <f t="shared" ref="B1049" si="465">QUOTIENT( D1049-1,G1050)+1</f>
        <v>2</v>
      </c>
      <c r="C1049" s="21">
        <f t="shared" ref="C1049" si="466">D1049-(B1049-1)*G1050</f>
        <v>17</v>
      </c>
      <c r="D1049" s="21">
        <f>COUNT($D$8:$D1048)+1</f>
        <v>53</v>
      </c>
    </row>
    <row r="1050" spans="1:13">
      <c r="E1050" s="21">
        <f t="shared" ref="E1050:E1068" si="467">ROW(E1050)</f>
        <v>1050</v>
      </c>
      <c r="F1050" s="9" t="s">
        <v>93</v>
      </c>
      <c r="G1050" s="21">
        <v>36</v>
      </c>
      <c r="H1050" s="21">
        <v>2</v>
      </c>
      <c r="J1050" s="9" t="s">
        <v>250</v>
      </c>
      <c r="M1050" s="21">
        <f t="shared" ref="M1050" si="468">J1050+D1049</f>
        <v>20053</v>
      </c>
    </row>
    <row r="1051" spans="1:13">
      <c r="E1051" s="21">
        <f t="shared" si="467"/>
        <v>1051</v>
      </c>
      <c r="F1051" s="9" t="s">
        <v>142</v>
      </c>
      <c r="M1051" s="21">
        <v>199109</v>
      </c>
    </row>
    <row r="1052" spans="1:13">
      <c r="E1052" s="21">
        <f t="shared" si="467"/>
        <v>1052</v>
      </c>
      <c r="F1052" s="9" t="s">
        <v>126</v>
      </c>
      <c r="G1052" s="21">
        <v>5</v>
      </c>
      <c r="M1052" s="21">
        <f t="shared" ref="M1052" si="469">G1052*C1049</f>
        <v>85</v>
      </c>
    </row>
    <row r="1053" spans="1:13">
      <c r="E1053" s="21">
        <f t="shared" si="467"/>
        <v>1053</v>
      </c>
      <c r="F1053" s="9" t="s">
        <v>29</v>
      </c>
      <c r="M1053" s="21" t="s">
        <v>251</v>
      </c>
    </row>
    <row r="1054" spans="1:13">
      <c r="E1054" s="21">
        <f t="shared" si="467"/>
        <v>1054</v>
      </c>
      <c r="F1054" s="9" t="s">
        <v>118</v>
      </c>
      <c r="G1054" s="21" t="s">
        <v>256</v>
      </c>
      <c r="H1054" s="21" t="s">
        <v>256</v>
      </c>
      <c r="I1054" s="21" t="s">
        <v>256</v>
      </c>
      <c r="J1054" s="9" t="s">
        <v>256</v>
      </c>
      <c r="M1054" s="21" t="str" cm="1">
        <f t="array" ref="M1054">_xlfn.SWITCH(MOD(C1049,4),1,G1054,2,H1054,3,J1054,0,I1054)</f>
        <v>Shot2_purple</v>
      </c>
    </row>
    <row r="1055" spans="1:13">
      <c r="E1055" s="21">
        <f t="shared" si="467"/>
        <v>1055</v>
      </c>
      <c r="F1055" s="9" t="s">
        <v>98</v>
      </c>
      <c r="K1055" s="9" t="s">
        <v>137</v>
      </c>
      <c r="M1055" s="21">
        <v>2</v>
      </c>
    </row>
    <row r="1056" spans="1:13">
      <c r="E1056" s="21">
        <f t="shared" si="467"/>
        <v>1056</v>
      </c>
      <c r="F1056" s="9" t="s">
        <v>175</v>
      </c>
      <c r="G1056" s="21" t="s">
        <v>252</v>
      </c>
      <c r="H1056" s="21" t="s">
        <v>254</v>
      </c>
      <c r="K1056" s="9" t="s">
        <v>136</v>
      </c>
      <c r="M1056" s="21" t="str">
        <f t="shared" ref="M1056" si="470">IF(MOD(B1049,2)=1,G1056,H1056)</f>
        <v>-0.3,0</v>
      </c>
    </row>
    <row r="1057" spans="1:13">
      <c r="E1057" s="21">
        <f t="shared" si="467"/>
        <v>1057</v>
      </c>
      <c r="F1057" s="9" t="s">
        <v>117</v>
      </c>
      <c r="M1057" s="21" t="b">
        <v>1</v>
      </c>
    </row>
    <row r="1058" spans="1:13">
      <c r="E1058" s="21">
        <f t="shared" si="467"/>
        <v>1058</v>
      </c>
      <c r="F1058" s="9" t="s">
        <v>31</v>
      </c>
      <c r="L1058" s="9" t="s">
        <v>134</v>
      </c>
      <c r="M1058" s="21">
        <v>270</v>
      </c>
    </row>
    <row r="1059" spans="1:13">
      <c r="E1059" s="21">
        <f t="shared" si="467"/>
        <v>1059</v>
      </c>
      <c r="F1059" s="9" t="s">
        <v>111</v>
      </c>
      <c r="G1059" s="21">
        <v>120</v>
      </c>
      <c r="H1059" s="21">
        <v>-120</v>
      </c>
      <c r="L1059" s="9" t="s">
        <v>134</v>
      </c>
      <c r="M1059" s="21">
        <f t="shared" ref="M1059" si="471">IF(MOD(B1049,2)=1,G1059,H1059)</f>
        <v>-120</v>
      </c>
    </row>
    <row r="1060" spans="1:13">
      <c r="E1060" s="21">
        <f t="shared" si="467"/>
        <v>1060</v>
      </c>
      <c r="F1060" s="9" t="s">
        <v>114</v>
      </c>
      <c r="M1060" s="21" t="b">
        <v>1</v>
      </c>
    </row>
    <row r="1061" spans="1:13">
      <c r="E1061" s="21">
        <f t="shared" si="467"/>
        <v>1061</v>
      </c>
      <c r="F1061" s="9" t="s">
        <v>30</v>
      </c>
      <c r="M1061" s="21">
        <v>3</v>
      </c>
    </row>
    <row r="1062" spans="1:13">
      <c r="E1062" s="21">
        <f t="shared" si="467"/>
        <v>1062</v>
      </c>
      <c r="F1062" s="9" t="s">
        <v>196</v>
      </c>
      <c r="M1062" s="21">
        <v>0</v>
      </c>
    </row>
    <row r="1063" spans="1:13">
      <c r="E1063" s="21">
        <f t="shared" si="467"/>
        <v>1063</v>
      </c>
      <c r="F1063" s="9" t="s">
        <v>35</v>
      </c>
      <c r="G1063" s="21">
        <v>185</v>
      </c>
      <c r="H1063" s="21">
        <v>195</v>
      </c>
      <c r="I1063" s="21">
        <v>205</v>
      </c>
      <c r="J1063" s="9" t="s">
        <v>257</v>
      </c>
      <c r="M1063" s="21" cm="1">
        <f t="array" ref="M1063">_xlfn.SWITCH(MOD(C1049,4),1,G1063,2,H1063,3,J1063,0,I1063)</f>
        <v>185</v>
      </c>
    </row>
    <row r="1064" spans="1:13">
      <c r="E1064" s="21">
        <f t="shared" si="467"/>
        <v>1064</v>
      </c>
      <c r="F1064" s="9" t="s">
        <v>101</v>
      </c>
      <c r="M1064" s="21">
        <f t="shared" ref="M1064" si="472">M1050*10+1</f>
        <v>200531</v>
      </c>
    </row>
    <row r="1065" spans="1:13">
      <c r="E1065" s="21">
        <f t="shared" si="467"/>
        <v>1065</v>
      </c>
      <c r="F1065" s="9" t="s">
        <v>142</v>
      </c>
      <c r="M1065" s="21">
        <f t="shared" ref="M1065" si="473">M1050</f>
        <v>20053</v>
      </c>
    </row>
    <row r="1066" spans="1:13">
      <c r="E1066" s="21">
        <f t="shared" si="467"/>
        <v>1066</v>
      </c>
      <c r="F1066" s="9" t="s">
        <v>127</v>
      </c>
      <c r="M1066" s="21">
        <v>0</v>
      </c>
    </row>
    <row r="1067" spans="1:13">
      <c r="E1067" s="21">
        <f t="shared" si="467"/>
        <v>1067</v>
      </c>
      <c r="F1067" s="9" t="s">
        <v>111</v>
      </c>
      <c r="L1067" s="9" t="s">
        <v>134</v>
      </c>
      <c r="M1067" s="21">
        <v>0</v>
      </c>
    </row>
    <row r="1068" spans="1:13">
      <c r="E1068" s="21">
        <f t="shared" si="467"/>
        <v>1068</v>
      </c>
      <c r="F1068" s="9" t="s">
        <v>115</v>
      </c>
      <c r="M1068" s="21">
        <v>1.5</v>
      </c>
    </row>
    <row r="1069" spans="1:13">
      <c r="A1069" s="21" t="s">
        <v>227</v>
      </c>
      <c r="B1069" s="21">
        <f t="shared" ref="B1069" si="474">QUOTIENT( D1069-1,G1070)+1</f>
        <v>2</v>
      </c>
      <c r="C1069" s="21">
        <f t="shared" ref="C1069" si="475">D1069-(B1069-1)*G1070</f>
        <v>18</v>
      </c>
      <c r="D1069" s="21">
        <f>COUNT($D$8:$D1068)+1</f>
        <v>54</v>
      </c>
    </row>
    <row r="1070" spans="1:13">
      <c r="E1070" s="21">
        <f t="shared" ref="E1070:E1088" si="476">ROW(E1070)</f>
        <v>1070</v>
      </c>
      <c r="F1070" s="9" t="s">
        <v>93</v>
      </c>
      <c r="G1070" s="21">
        <v>36</v>
      </c>
      <c r="H1070" s="21">
        <v>2</v>
      </c>
      <c r="J1070" s="9" t="s">
        <v>250</v>
      </c>
      <c r="M1070" s="21">
        <f t="shared" ref="M1070" si="477">J1070+D1069</f>
        <v>20054</v>
      </c>
    </row>
    <row r="1071" spans="1:13">
      <c r="E1071" s="21">
        <f t="shared" si="476"/>
        <v>1071</v>
      </c>
      <c r="F1071" s="9" t="s">
        <v>142</v>
      </c>
      <c r="M1071" s="21">
        <v>199109</v>
      </c>
    </row>
    <row r="1072" spans="1:13">
      <c r="E1072" s="21">
        <f t="shared" si="476"/>
        <v>1072</v>
      </c>
      <c r="F1072" s="9" t="s">
        <v>126</v>
      </c>
      <c r="G1072" s="21">
        <v>5</v>
      </c>
      <c r="M1072" s="21">
        <f t="shared" ref="M1072" si="478">G1072*C1069</f>
        <v>90</v>
      </c>
    </row>
    <row r="1073" spans="5:13">
      <c r="E1073" s="21">
        <f t="shared" si="476"/>
        <v>1073</v>
      </c>
      <c r="F1073" s="9" t="s">
        <v>29</v>
      </c>
      <c r="M1073" s="21" t="s">
        <v>251</v>
      </c>
    </row>
    <row r="1074" spans="5:13">
      <c r="E1074" s="21">
        <f t="shared" si="476"/>
        <v>1074</v>
      </c>
      <c r="F1074" s="9" t="s">
        <v>118</v>
      </c>
      <c r="G1074" s="21" t="s">
        <v>256</v>
      </c>
      <c r="H1074" s="21" t="s">
        <v>256</v>
      </c>
      <c r="I1074" s="21" t="s">
        <v>256</v>
      </c>
      <c r="J1074" s="9" t="s">
        <v>256</v>
      </c>
      <c r="M1074" s="21" t="str" cm="1">
        <f t="array" ref="M1074">_xlfn.SWITCH(MOD(C1069,4),1,G1074,2,H1074,3,J1074,0,I1074)</f>
        <v>Shot2_purple</v>
      </c>
    </row>
    <row r="1075" spans="5:13">
      <c r="E1075" s="21">
        <f t="shared" si="476"/>
        <v>1075</v>
      </c>
      <c r="F1075" s="9" t="s">
        <v>98</v>
      </c>
      <c r="K1075" s="9" t="s">
        <v>137</v>
      </c>
      <c r="M1075" s="21">
        <v>2</v>
      </c>
    </row>
    <row r="1076" spans="5:13">
      <c r="E1076" s="21">
        <f t="shared" si="476"/>
        <v>1076</v>
      </c>
      <c r="F1076" s="9" t="s">
        <v>175</v>
      </c>
      <c r="G1076" s="21" t="s">
        <v>252</v>
      </c>
      <c r="H1076" s="21" t="s">
        <v>254</v>
      </c>
      <c r="K1076" s="9" t="s">
        <v>136</v>
      </c>
      <c r="M1076" s="21" t="str">
        <f t="shared" ref="M1076" si="479">IF(MOD(B1069,2)=1,G1076,H1076)</f>
        <v>-0.3,0</v>
      </c>
    </row>
    <row r="1077" spans="5:13">
      <c r="E1077" s="21">
        <f t="shared" si="476"/>
        <v>1077</v>
      </c>
      <c r="F1077" s="9" t="s">
        <v>117</v>
      </c>
      <c r="M1077" s="21" t="b">
        <v>1</v>
      </c>
    </row>
    <row r="1078" spans="5:13">
      <c r="E1078" s="21">
        <f t="shared" si="476"/>
        <v>1078</v>
      </c>
      <c r="F1078" s="9" t="s">
        <v>31</v>
      </c>
      <c r="L1078" s="9" t="s">
        <v>134</v>
      </c>
      <c r="M1078" s="21">
        <v>270</v>
      </c>
    </row>
    <row r="1079" spans="5:13">
      <c r="E1079" s="21">
        <f t="shared" si="476"/>
        <v>1079</v>
      </c>
      <c r="F1079" s="9" t="s">
        <v>111</v>
      </c>
      <c r="G1079" s="21">
        <v>120</v>
      </c>
      <c r="H1079" s="21">
        <v>-120</v>
      </c>
      <c r="L1079" s="9" t="s">
        <v>134</v>
      </c>
      <c r="M1079" s="21">
        <f t="shared" ref="M1079" si="480">IF(MOD(B1069,2)=1,G1079,H1079)</f>
        <v>-120</v>
      </c>
    </row>
    <row r="1080" spans="5:13">
      <c r="E1080" s="21">
        <f t="shared" si="476"/>
        <v>1080</v>
      </c>
      <c r="F1080" s="9" t="s">
        <v>114</v>
      </c>
      <c r="M1080" s="21" t="b">
        <v>1</v>
      </c>
    </row>
    <row r="1081" spans="5:13">
      <c r="E1081" s="21">
        <f t="shared" si="476"/>
        <v>1081</v>
      </c>
      <c r="F1081" s="9" t="s">
        <v>30</v>
      </c>
      <c r="M1081" s="21">
        <v>3</v>
      </c>
    </row>
    <row r="1082" spans="5:13">
      <c r="E1082" s="21">
        <f t="shared" si="476"/>
        <v>1082</v>
      </c>
      <c r="F1082" s="9" t="s">
        <v>196</v>
      </c>
      <c r="M1082" s="21">
        <v>0</v>
      </c>
    </row>
    <row r="1083" spans="5:13">
      <c r="E1083" s="21">
        <f t="shared" si="476"/>
        <v>1083</v>
      </c>
      <c r="F1083" s="9" t="s">
        <v>35</v>
      </c>
      <c r="G1083" s="21">
        <v>185</v>
      </c>
      <c r="H1083" s="21">
        <v>195</v>
      </c>
      <c r="I1083" s="21">
        <v>205</v>
      </c>
      <c r="J1083" s="9" t="s">
        <v>257</v>
      </c>
      <c r="M1083" s="21" cm="1">
        <f t="array" ref="M1083">_xlfn.SWITCH(MOD(C1069,4),1,G1083,2,H1083,3,J1083,0,I1083)</f>
        <v>195</v>
      </c>
    </row>
    <row r="1084" spans="5:13">
      <c r="E1084" s="21">
        <f t="shared" si="476"/>
        <v>1084</v>
      </c>
      <c r="F1084" s="9" t="s">
        <v>101</v>
      </c>
      <c r="M1084" s="21">
        <f t="shared" ref="M1084" si="481">M1070*10+1</f>
        <v>200541</v>
      </c>
    </row>
    <row r="1085" spans="5:13">
      <c r="E1085" s="21">
        <f t="shared" si="476"/>
        <v>1085</v>
      </c>
      <c r="F1085" s="9" t="s">
        <v>142</v>
      </c>
      <c r="M1085" s="21">
        <f t="shared" ref="M1085" si="482">M1070</f>
        <v>20054</v>
      </c>
    </row>
    <row r="1086" spans="5:13">
      <c r="E1086" s="21">
        <f t="shared" si="476"/>
        <v>1086</v>
      </c>
      <c r="F1086" s="9" t="s">
        <v>127</v>
      </c>
      <c r="M1086" s="21">
        <v>0</v>
      </c>
    </row>
    <row r="1087" spans="5:13">
      <c r="E1087" s="21">
        <f t="shared" si="476"/>
        <v>1087</v>
      </c>
      <c r="F1087" s="9" t="s">
        <v>111</v>
      </c>
      <c r="L1087" s="9" t="s">
        <v>134</v>
      </c>
      <c r="M1087" s="21">
        <v>0</v>
      </c>
    </row>
    <row r="1088" spans="5:13">
      <c r="E1088" s="21">
        <f t="shared" si="476"/>
        <v>1088</v>
      </c>
      <c r="F1088" s="9" t="s">
        <v>115</v>
      </c>
      <c r="M1088" s="21">
        <v>1.5</v>
      </c>
    </row>
    <row r="1089" spans="1:13">
      <c r="A1089" s="21" t="s">
        <v>227</v>
      </c>
      <c r="B1089" s="21">
        <f t="shared" ref="B1089" si="483">QUOTIENT( D1089-1,G1090)+1</f>
        <v>2</v>
      </c>
      <c r="C1089" s="21">
        <f t="shared" ref="C1089" si="484">D1089-(B1089-1)*G1090</f>
        <v>19</v>
      </c>
      <c r="D1089" s="21">
        <f>COUNT($D$8:$D1088)+1</f>
        <v>55</v>
      </c>
    </row>
    <row r="1090" spans="1:13">
      <c r="E1090" s="21">
        <f t="shared" ref="E1090:E1108" si="485">ROW(E1090)</f>
        <v>1090</v>
      </c>
      <c r="F1090" s="9" t="s">
        <v>93</v>
      </c>
      <c r="G1090" s="21">
        <v>36</v>
      </c>
      <c r="H1090" s="21">
        <v>2</v>
      </c>
      <c r="J1090" s="9" t="s">
        <v>250</v>
      </c>
      <c r="M1090" s="21">
        <f t="shared" ref="M1090" si="486">J1090+D1089</f>
        <v>20055</v>
      </c>
    </row>
    <row r="1091" spans="1:13">
      <c r="E1091" s="21">
        <f t="shared" si="485"/>
        <v>1091</v>
      </c>
      <c r="F1091" s="9" t="s">
        <v>142</v>
      </c>
      <c r="M1091" s="21">
        <v>199109</v>
      </c>
    </row>
    <row r="1092" spans="1:13">
      <c r="E1092" s="21">
        <f t="shared" si="485"/>
        <v>1092</v>
      </c>
      <c r="F1092" s="9" t="s">
        <v>126</v>
      </c>
      <c r="G1092" s="21">
        <v>5</v>
      </c>
      <c r="M1092" s="21">
        <f t="shared" ref="M1092" si="487">G1092*C1089</f>
        <v>95</v>
      </c>
    </row>
    <row r="1093" spans="1:13">
      <c r="E1093" s="21">
        <f t="shared" si="485"/>
        <v>1093</v>
      </c>
      <c r="F1093" s="9" t="s">
        <v>29</v>
      </c>
      <c r="M1093" s="21" t="s">
        <v>251</v>
      </c>
    </row>
    <row r="1094" spans="1:13">
      <c r="E1094" s="21">
        <f t="shared" si="485"/>
        <v>1094</v>
      </c>
      <c r="F1094" s="9" t="s">
        <v>118</v>
      </c>
      <c r="G1094" s="21" t="s">
        <v>256</v>
      </c>
      <c r="H1094" s="21" t="s">
        <v>256</v>
      </c>
      <c r="I1094" s="21" t="s">
        <v>256</v>
      </c>
      <c r="J1094" s="9" t="s">
        <v>256</v>
      </c>
      <c r="M1094" s="21" t="str" cm="1">
        <f t="array" ref="M1094">_xlfn.SWITCH(MOD(C1089,4),1,G1094,2,H1094,3,J1094,0,I1094)</f>
        <v>Shot2_purple</v>
      </c>
    </row>
    <row r="1095" spans="1:13">
      <c r="E1095" s="21">
        <f t="shared" si="485"/>
        <v>1095</v>
      </c>
      <c r="F1095" s="9" t="s">
        <v>98</v>
      </c>
      <c r="K1095" s="9" t="s">
        <v>137</v>
      </c>
      <c r="M1095" s="21">
        <v>2</v>
      </c>
    </row>
    <row r="1096" spans="1:13">
      <c r="E1096" s="21">
        <f t="shared" si="485"/>
        <v>1096</v>
      </c>
      <c r="F1096" s="9" t="s">
        <v>175</v>
      </c>
      <c r="G1096" s="21" t="s">
        <v>252</v>
      </c>
      <c r="H1096" s="21" t="s">
        <v>254</v>
      </c>
      <c r="K1096" s="9" t="s">
        <v>136</v>
      </c>
      <c r="M1096" s="21" t="str">
        <f t="shared" ref="M1096" si="488">IF(MOD(B1089,2)=1,G1096,H1096)</f>
        <v>-0.3,0</v>
      </c>
    </row>
    <row r="1097" spans="1:13">
      <c r="E1097" s="21">
        <f t="shared" si="485"/>
        <v>1097</v>
      </c>
      <c r="F1097" s="9" t="s">
        <v>117</v>
      </c>
      <c r="M1097" s="21" t="b">
        <v>1</v>
      </c>
    </row>
    <row r="1098" spans="1:13">
      <c r="E1098" s="21">
        <f t="shared" si="485"/>
        <v>1098</v>
      </c>
      <c r="F1098" s="9" t="s">
        <v>31</v>
      </c>
      <c r="L1098" s="9" t="s">
        <v>134</v>
      </c>
      <c r="M1098" s="21">
        <v>270</v>
      </c>
    </row>
    <row r="1099" spans="1:13">
      <c r="E1099" s="21">
        <f t="shared" si="485"/>
        <v>1099</v>
      </c>
      <c r="F1099" s="9" t="s">
        <v>111</v>
      </c>
      <c r="G1099" s="21">
        <v>120</v>
      </c>
      <c r="H1099" s="21">
        <v>-120</v>
      </c>
      <c r="L1099" s="9" t="s">
        <v>134</v>
      </c>
      <c r="M1099" s="21">
        <f t="shared" ref="M1099" si="489">IF(MOD(B1089,2)=1,G1099,H1099)</f>
        <v>-120</v>
      </c>
    </row>
    <row r="1100" spans="1:13">
      <c r="E1100" s="21">
        <f t="shared" si="485"/>
        <v>1100</v>
      </c>
      <c r="F1100" s="9" t="s">
        <v>114</v>
      </c>
      <c r="M1100" s="21" t="b">
        <v>1</v>
      </c>
    </row>
    <row r="1101" spans="1:13">
      <c r="E1101" s="21">
        <f t="shared" si="485"/>
        <v>1101</v>
      </c>
      <c r="F1101" s="9" t="s">
        <v>30</v>
      </c>
      <c r="M1101" s="21">
        <v>3</v>
      </c>
    </row>
    <row r="1102" spans="1:13">
      <c r="E1102" s="21">
        <f t="shared" si="485"/>
        <v>1102</v>
      </c>
      <c r="F1102" s="9" t="s">
        <v>196</v>
      </c>
      <c r="M1102" s="21">
        <v>0</v>
      </c>
    </row>
    <row r="1103" spans="1:13">
      <c r="E1103" s="21">
        <f t="shared" si="485"/>
        <v>1103</v>
      </c>
      <c r="F1103" s="9" t="s">
        <v>35</v>
      </c>
      <c r="G1103" s="21">
        <v>185</v>
      </c>
      <c r="H1103" s="21">
        <v>195</v>
      </c>
      <c r="I1103" s="21">
        <v>205</v>
      </c>
      <c r="J1103" s="9" t="s">
        <v>257</v>
      </c>
      <c r="M1103" s="21" t="str" cm="1">
        <f t="array" ref="M1103">_xlfn.SWITCH(MOD(C1089,4),1,G1103,2,H1103,3,J1103,0,I1103)</f>
        <v>215</v>
      </c>
    </row>
    <row r="1104" spans="1:13">
      <c r="E1104" s="21">
        <f t="shared" si="485"/>
        <v>1104</v>
      </c>
      <c r="F1104" s="9" t="s">
        <v>101</v>
      </c>
      <c r="M1104" s="21">
        <f t="shared" ref="M1104" si="490">M1090*10+1</f>
        <v>200551</v>
      </c>
    </row>
    <row r="1105" spans="1:13">
      <c r="E1105" s="21">
        <f t="shared" si="485"/>
        <v>1105</v>
      </c>
      <c r="F1105" s="9" t="s">
        <v>142</v>
      </c>
      <c r="M1105" s="21">
        <f t="shared" ref="M1105" si="491">M1090</f>
        <v>20055</v>
      </c>
    </row>
    <row r="1106" spans="1:13">
      <c r="E1106" s="21">
        <f t="shared" si="485"/>
        <v>1106</v>
      </c>
      <c r="F1106" s="9" t="s">
        <v>127</v>
      </c>
      <c r="M1106" s="21">
        <v>0</v>
      </c>
    </row>
    <row r="1107" spans="1:13">
      <c r="E1107" s="21">
        <f t="shared" si="485"/>
        <v>1107</v>
      </c>
      <c r="F1107" s="9" t="s">
        <v>111</v>
      </c>
      <c r="L1107" s="9" t="s">
        <v>134</v>
      </c>
      <c r="M1107" s="21">
        <v>0</v>
      </c>
    </row>
    <row r="1108" spans="1:13">
      <c r="E1108" s="21">
        <f t="shared" si="485"/>
        <v>1108</v>
      </c>
      <c r="F1108" s="9" t="s">
        <v>115</v>
      </c>
      <c r="M1108" s="21">
        <v>1.5</v>
      </c>
    </row>
    <row r="1109" spans="1:13">
      <c r="A1109" s="21" t="s">
        <v>227</v>
      </c>
      <c r="B1109" s="21">
        <f t="shared" ref="B1109" si="492">QUOTIENT( D1109-1,G1110)+1</f>
        <v>2</v>
      </c>
      <c r="C1109" s="21">
        <f t="shared" ref="C1109" si="493">D1109-(B1109-1)*G1110</f>
        <v>20</v>
      </c>
      <c r="D1109" s="21">
        <f>COUNT($D$8:$D1108)+1</f>
        <v>56</v>
      </c>
    </row>
    <row r="1110" spans="1:13">
      <c r="E1110" s="21">
        <f t="shared" ref="E1110:E1128" si="494">ROW(E1110)</f>
        <v>1110</v>
      </c>
      <c r="F1110" s="9" t="s">
        <v>93</v>
      </c>
      <c r="G1110" s="21">
        <v>36</v>
      </c>
      <c r="H1110" s="21">
        <v>2</v>
      </c>
      <c r="J1110" s="9" t="s">
        <v>250</v>
      </c>
      <c r="M1110" s="21">
        <f t="shared" ref="M1110" si="495">J1110+D1109</f>
        <v>20056</v>
      </c>
    </row>
    <row r="1111" spans="1:13">
      <c r="E1111" s="21">
        <f t="shared" si="494"/>
        <v>1111</v>
      </c>
      <c r="F1111" s="9" t="s">
        <v>142</v>
      </c>
      <c r="M1111" s="21">
        <v>199109</v>
      </c>
    </row>
    <row r="1112" spans="1:13">
      <c r="E1112" s="21">
        <f t="shared" si="494"/>
        <v>1112</v>
      </c>
      <c r="F1112" s="9" t="s">
        <v>126</v>
      </c>
      <c r="G1112" s="21">
        <v>5</v>
      </c>
      <c r="M1112" s="21">
        <f t="shared" ref="M1112" si="496">G1112*C1109</f>
        <v>100</v>
      </c>
    </row>
    <row r="1113" spans="1:13">
      <c r="E1113" s="21">
        <f t="shared" si="494"/>
        <v>1113</v>
      </c>
      <c r="F1113" s="9" t="s">
        <v>29</v>
      </c>
      <c r="M1113" s="21" t="s">
        <v>251</v>
      </c>
    </row>
    <row r="1114" spans="1:13">
      <c r="E1114" s="21">
        <f t="shared" si="494"/>
        <v>1114</v>
      </c>
      <c r="F1114" s="9" t="s">
        <v>118</v>
      </c>
      <c r="G1114" s="21" t="s">
        <v>256</v>
      </c>
      <c r="H1114" s="21" t="s">
        <v>256</v>
      </c>
      <c r="I1114" s="21" t="s">
        <v>256</v>
      </c>
      <c r="J1114" s="9" t="s">
        <v>256</v>
      </c>
      <c r="M1114" s="21" t="str" cm="1">
        <f t="array" ref="M1114">_xlfn.SWITCH(MOD(C1109,4),1,G1114,2,H1114,3,J1114,0,I1114)</f>
        <v>Shot2_purple</v>
      </c>
    </row>
    <row r="1115" spans="1:13">
      <c r="E1115" s="21">
        <f t="shared" si="494"/>
        <v>1115</v>
      </c>
      <c r="F1115" s="9" t="s">
        <v>98</v>
      </c>
      <c r="K1115" s="9" t="s">
        <v>137</v>
      </c>
      <c r="M1115" s="21">
        <v>2</v>
      </c>
    </row>
    <row r="1116" spans="1:13">
      <c r="E1116" s="21">
        <f t="shared" si="494"/>
        <v>1116</v>
      </c>
      <c r="F1116" s="9" t="s">
        <v>175</v>
      </c>
      <c r="G1116" s="21" t="s">
        <v>252</v>
      </c>
      <c r="H1116" s="21" t="s">
        <v>254</v>
      </c>
      <c r="K1116" s="9" t="s">
        <v>136</v>
      </c>
      <c r="M1116" s="21" t="str">
        <f t="shared" ref="M1116" si="497">IF(MOD(B1109,2)=1,G1116,H1116)</f>
        <v>-0.3,0</v>
      </c>
    </row>
    <row r="1117" spans="1:13">
      <c r="E1117" s="21">
        <f t="shared" si="494"/>
        <v>1117</v>
      </c>
      <c r="F1117" s="9" t="s">
        <v>117</v>
      </c>
      <c r="M1117" s="21" t="b">
        <v>1</v>
      </c>
    </row>
    <row r="1118" spans="1:13">
      <c r="E1118" s="21">
        <f t="shared" si="494"/>
        <v>1118</v>
      </c>
      <c r="F1118" s="9" t="s">
        <v>31</v>
      </c>
      <c r="L1118" s="9" t="s">
        <v>134</v>
      </c>
      <c r="M1118" s="21">
        <v>270</v>
      </c>
    </row>
    <row r="1119" spans="1:13">
      <c r="E1119" s="21">
        <f t="shared" si="494"/>
        <v>1119</v>
      </c>
      <c r="F1119" s="9" t="s">
        <v>111</v>
      </c>
      <c r="G1119" s="21">
        <v>120</v>
      </c>
      <c r="H1119" s="21">
        <v>-120</v>
      </c>
      <c r="L1119" s="9" t="s">
        <v>134</v>
      </c>
      <c r="M1119" s="21">
        <f t="shared" ref="M1119" si="498">IF(MOD(B1109,2)=1,G1119,H1119)</f>
        <v>-120</v>
      </c>
    </row>
    <row r="1120" spans="1:13">
      <c r="E1120" s="21">
        <f t="shared" si="494"/>
        <v>1120</v>
      </c>
      <c r="F1120" s="9" t="s">
        <v>114</v>
      </c>
      <c r="M1120" s="21" t="b">
        <v>1</v>
      </c>
    </row>
    <row r="1121" spans="1:13">
      <c r="E1121" s="21">
        <f t="shared" si="494"/>
        <v>1121</v>
      </c>
      <c r="F1121" s="9" t="s">
        <v>30</v>
      </c>
      <c r="M1121" s="21">
        <v>3</v>
      </c>
    </row>
    <row r="1122" spans="1:13">
      <c r="E1122" s="21">
        <f t="shared" si="494"/>
        <v>1122</v>
      </c>
      <c r="F1122" s="9" t="s">
        <v>196</v>
      </c>
      <c r="M1122" s="21">
        <v>0</v>
      </c>
    </row>
    <row r="1123" spans="1:13">
      <c r="E1123" s="21">
        <f t="shared" si="494"/>
        <v>1123</v>
      </c>
      <c r="F1123" s="9" t="s">
        <v>35</v>
      </c>
      <c r="G1123" s="21">
        <v>185</v>
      </c>
      <c r="H1123" s="21">
        <v>195</v>
      </c>
      <c r="I1123" s="21">
        <v>205</v>
      </c>
      <c r="J1123" s="9" t="s">
        <v>257</v>
      </c>
      <c r="M1123" s="21" cm="1">
        <f t="array" ref="M1123">_xlfn.SWITCH(MOD(C1109,4),1,G1123,2,H1123,3,J1123,0,I1123)</f>
        <v>205</v>
      </c>
    </row>
    <row r="1124" spans="1:13">
      <c r="E1124" s="21">
        <f t="shared" si="494"/>
        <v>1124</v>
      </c>
      <c r="F1124" s="9" t="s">
        <v>101</v>
      </c>
      <c r="M1124" s="21">
        <f t="shared" ref="M1124" si="499">M1110*10+1</f>
        <v>200561</v>
      </c>
    </row>
    <row r="1125" spans="1:13">
      <c r="E1125" s="21">
        <f t="shared" si="494"/>
        <v>1125</v>
      </c>
      <c r="F1125" s="9" t="s">
        <v>142</v>
      </c>
      <c r="M1125" s="21">
        <f t="shared" ref="M1125" si="500">M1110</f>
        <v>20056</v>
      </c>
    </row>
    <row r="1126" spans="1:13">
      <c r="E1126" s="21">
        <f t="shared" si="494"/>
        <v>1126</v>
      </c>
      <c r="F1126" s="9" t="s">
        <v>127</v>
      </c>
      <c r="M1126" s="21">
        <v>0</v>
      </c>
    </row>
    <row r="1127" spans="1:13">
      <c r="E1127" s="21">
        <f t="shared" si="494"/>
        <v>1127</v>
      </c>
      <c r="F1127" s="9" t="s">
        <v>111</v>
      </c>
      <c r="L1127" s="9" t="s">
        <v>134</v>
      </c>
      <c r="M1127" s="21">
        <v>0</v>
      </c>
    </row>
    <row r="1128" spans="1:13">
      <c r="E1128" s="21">
        <f t="shared" si="494"/>
        <v>1128</v>
      </c>
      <c r="F1128" s="9" t="s">
        <v>115</v>
      </c>
      <c r="M1128" s="21">
        <v>1.5</v>
      </c>
    </row>
    <row r="1129" spans="1:13">
      <c r="A1129" s="21" t="s">
        <v>227</v>
      </c>
      <c r="B1129" s="21">
        <f t="shared" ref="B1129" si="501">QUOTIENT( D1129-1,G1130)+1</f>
        <v>2</v>
      </c>
      <c r="C1129" s="21">
        <f t="shared" ref="C1129" si="502">D1129-(B1129-1)*G1130</f>
        <v>21</v>
      </c>
      <c r="D1129" s="21">
        <f>COUNT($D$8:$D1128)+1</f>
        <v>57</v>
      </c>
    </row>
    <row r="1130" spans="1:13">
      <c r="E1130" s="21">
        <f t="shared" ref="E1130:E1148" si="503">ROW(E1130)</f>
        <v>1130</v>
      </c>
      <c r="F1130" s="9" t="s">
        <v>93</v>
      </c>
      <c r="G1130" s="21">
        <v>36</v>
      </c>
      <c r="H1130" s="21">
        <v>2</v>
      </c>
      <c r="J1130" s="9" t="s">
        <v>250</v>
      </c>
      <c r="M1130" s="21">
        <f t="shared" ref="M1130" si="504">J1130+D1129</f>
        <v>20057</v>
      </c>
    </row>
    <row r="1131" spans="1:13">
      <c r="E1131" s="21">
        <f t="shared" si="503"/>
        <v>1131</v>
      </c>
      <c r="F1131" s="9" t="s">
        <v>142</v>
      </c>
      <c r="M1131" s="21">
        <v>199109</v>
      </c>
    </row>
    <row r="1132" spans="1:13">
      <c r="E1132" s="21">
        <f t="shared" si="503"/>
        <v>1132</v>
      </c>
      <c r="F1132" s="9" t="s">
        <v>126</v>
      </c>
      <c r="G1132" s="21">
        <v>5</v>
      </c>
      <c r="M1132" s="21">
        <f t="shared" ref="M1132" si="505">G1132*C1129</f>
        <v>105</v>
      </c>
    </row>
    <row r="1133" spans="1:13">
      <c r="E1133" s="21">
        <f t="shared" si="503"/>
        <v>1133</v>
      </c>
      <c r="F1133" s="9" t="s">
        <v>29</v>
      </c>
      <c r="M1133" s="21" t="s">
        <v>251</v>
      </c>
    </row>
    <row r="1134" spans="1:13">
      <c r="E1134" s="21">
        <f t="shared" si="503"/>
        <v>1134</v>
      </c>
      <c r="F1134" s="9" t="s">
        <v>118</v>
      </c>
      <c r="G1134" s="21" t="s">
        <v>256</v>
      </c>
      <c r="H1134" s="21" t="s">
        <v>256</v>
      </c>
      <c r="I1134" s="21" t="s">
        <v>256</v>
      </c>
      <c r="J1134" s="9" t="s">
        <v>256</v>
      </c>
      <c r="M1134" s="21" t="str" cm="1">
        <f t="array" ref="M1134">_xlfn.SWITCH(MOD(C1129,4),1,G1134,2,H1134,3,J1134,0,I1134)</f>
        <v>Shot2_purple</v>
      </c>
    </row>
    <row r="1135" spans="1:13">
      <c r="E1135" s="21">
        <f t="shared" si="503"/>
        <v>1135</v>
      </c>
      <c r="F1135" s="9" t="s">
        <v>98</v>
      </c>
      <c r="K1135" s="9" t="s">
        <v>137</v>
      </c>
      <c r="M1135" s="21">
        <v>2</v>
      </c>
    </row>
    <row r="1136" spans="1:13">
      <c r="E1136" s="21">
        <f t="shared" si="503"/>
        <v>1136</v>
      </c>
      <c r="F1136" s="9" t="s">
        <v>175</v>
      </c>
      <c r="G1136" s="21" t="s">
        <v>252</v>
      </c>
      <c r="H1136" s="21" t="s">
        <v>254</v>
      </c>
      <c r="K1136" s="9" t="s">
        <v>136</v>
      </c>
      <c r="M1136" s="21" t="str">
        <f t="shared" ref="M1136" si="506">IF(MOD(B1129,2)=1,G1136,H1136)</f>
        <v>-0.3,0</v>
      </c>
    </row>
    <row r="1137" spans="1:13">
      <c r="E1137" s="21">
        <f t="shared" si="503"/>
        <v>1137</v>
      </c>
      <c r="F1137" s="9" t="s">
        <v>117</v>
      </c>
      <c r="M1137" s="21" t="b">
        <v>1</v>
      </c>
    </row>
    <row r="1138" spans="1:13">
      <c r="E1138" s="21">
        <f t="shared" si="503"/>
        <v>1138</v>
      </c>
      <c r="F1138" s="9" t="s">
        <v>31</v>
      </c>
      <c r="L1138" s="9" t="s">
        <v>134</v>
      </c>
      <c r="M1138" s="21">
        <v>270</v>
      </c>
    </row>
    <row r="1139" spans="1:13">
      <c r="E1139" s="21">
        <f t="shared" si="503"/>
        <v>1139</v>
      </c>
      <c r="F1139" s="9" t="s">
        <v>111</v>
      </c>
      <c r="G1139" s="21">
        <v>120</v>
      </c>
      <c r="H1139" s="21">
        <v>-120</v>
      </c>
      <c r="L1139" s="9" t="s">
        <v>134</v>
      </c>
      <c r="M1139" s="21">
        <f t="shared" ref="M1139" si="507">IF(MOD(B1129,2)=1,G1139,H1139)</f>
        <v>-120</v>
      </c>
    </row>
    <row r="1140" spans="1:13">
      <c r="E1140" s="21">
        <f t="shared" si="503"/>
        <v>1140</v>
      </c>
      <c r="F1140" s="9" t="s">
        <v>114</v>
      </c>
      <c r="M1140" s="21" t="b">
        <v>1</v>
      </c>
    </row>
    <row r="1141" spans="1:13">
      <c r="E1141" s="21">
        <f t="shared" si="503"/>
        <v>1141</v>
      </c>
      <c r="F1141" s="9" t="s">
        <v>30</v>
      </c>
      <c r="M1141" s="21">
        <v>3</v>
      </c>
    </row>
    <row r="1142" spans="1:13">
      <c r="E1142" s="21">
        <f t="shared" si="503"/>
        <v>1142</v>
      </c>
      <c r="F1142" s="9" t="s">
        <v>196</v>
      </c>
      <c r="M1142" s="21">
        <v>0</v>
      </c>
    </row>
    <row r="1143" spans="1:13">
      <c r="E1143" s="21">
        <f t="shared" si="503"/>
        <v>1143</v>
      </c>
      <c r="F1143" s="9" t="s">
        <v>35</v>
      </c>
      <c r="G1143" s="21">
        <v>185</v>
      </c>
      <c r="H1143" s="21">
        <v>195</v>
      </c>
      <c r="I1143" s="21">
        <v>205</v>
      </c>
      <c r="J1143" s="9" t="s">
        <v>257</v>
      </c>
      <c r="M1143" s="21" cm="1">
        <f t="array" ref="M1143">_xlfn.SWITCH(MOD(C1129,4),1,G1143,2,H1143,3,J1143,0,I1143)</f>
        <v>185</v>
      </c>
    </row>
    <row r="1144" spans="1:13">
      <c r="E1144" s="21">
        <f t="shared" si="503"/>
        <v>1144</v>
      </c>
      <c r="F1144" s="9" t="s">
        <v>101</v>
      </c>
      <c r="M1144" s="21">
        <f t="shared" ref="M1144" si="508">M1130*10+1</f>
        <v>200571</v>
      </c>
    </row>
    <row r="1145" spans="1:13">
      <c r="E1145" s="21">
        <f t="shared" si="503"/>
        <v>1145</v>
      </c>
      <c r="F1145" s="9" t="s">
        <v>142</v>
      </c>
      <c r="M1145" s="21">
        <f t="shared" ref="M1145" si="509">M1130</f>
        <v>20057</v>
      </c>
    </row>
    <row r="1146" spans="1:13">
      <c r="E1146" s="21">
        <f t="shared" si="503"/>
        <v>1146</v>
      </c>
      <c r="F1146" s="9" t="s">
        <v>127</v>
      </c>
      <c r="M1146" s="21">
        <v>0</v>
      </c>
    </row>
    <row r="1147" spans="1:13">
      <c r="E1147" s="21">
        <f t="shared" si="503"/>
        <v>1147</v>
      </c>
      <c r="F1147" s="9" t="s">
        <v>111</v>
      </c>
      <c r="L1147" s="9" t="s">
        <v>134</v>
      </c>
      <c r="M1147" s="21">
        <v>0</v>
      </c>
    </row>
    <row r="1148" spans="1:13">
      <c r="E1148" s="21">
        <f t="shared" si="503"/>
        <v>1148</v>
      </c>
      <c r="F1148" s="9" t="s">
        <v>115</v>
      </c>
      <c r="M1148" s="21">
        <v>1.5</v>
      </c>
    </row>
    <row r="1149" spans="1:13">
      <c r="A1149" s="21" t="s">
        <v>227</v>
      </c>
      <c r="B1149" s="21">
        <f t="shared" ref="B1149" si="510">QUOTIENT( D1149-1,G1150)+1</f>
        <v>2</v>
      </c>
      <c r="C1149" s="21">
        <f t="shared" ref="C1149" si="511">D1149-(B1149-1)*G1150</f>
        <v>22</v>
      </c>
      <c r="D1149" s="21">
        <f>COUNT($D$8:$D1148)+1</f>
        <v>58</v>
      </c>
    </row>
    <row r="1150" spans="1:13">
      <c r="E1150" s="21">
        <f t="shared" ref="E1150:E1168" si="512">ROW(E1150)</f>
        <v>1150</v>
      </c>
      <c r="F1150" s="9" t="s">
        <v>93</v>
      </c>
      <c r="G1150" s="21">
        <v>36</v>
      </c>
      <c r="H1150" s="21">
        <v>2</v>
      </c>
      <c r="J1150" s="9" t="s">
        <v>250</v>
      </c>
      <c r="M1150" s="21">
        <f t="shared" ref="M1150" si="513">J1150+D1149</f>
        <v>20058</v>
      </c>
    </row>
    <row r="1151" spans="1:13">
      <c r="E1151" s="21">
        <f t="shared" si="512"/>
        <v>1151</v>
      </c>
      <c r="F1151" s="9" t="s">
        <v>142</v>
      </c>
      <c r="M1151" s="21">
        <v>199109</v>
      </c>
    </row>
    <row r="1152" spans="1:13">
      <c r="E1152" s="21">
        <f t="shared" si="512"/>
        <v>1152</v>
      </c>
      <c r="F1152" s="9" t="s">
        <v>126</v>
      </c>
      <c r="G1152" s="21">
        <v>5</v>
      </c>
      <c r="M1152" s="21">
        <f t="shared" ref="M1152" si="514">G1152*C1149</f>
        <v>110</v>
      </c>
    </row>
    <row r="1153" spans="5:13">
      <c r="E1153" s="21">
        <f t="shared" si="512"/>
        <v>1153</v>
      </c>
      <c r="F1153" s="9" t="s">
        <v>29</v>
      </c>
      <c r="M1153" s="21" t="s">
        <v>251</v>
      </c>
    </row>
    <row r="1154" spans="5:13">
      <c r="E1154" s="21">
        <f t="shared" si="512"/>
        <v>1154</v>
      </c>
      <c r="F1154" s="9" t="s">
        <v>118</v>
      </c>
      <c r="G1154" s="21" t="s">
        <v>256</v>
      </c>
      <c r="H1154" s="21" t="s">
        <v>256</v>
      </c>
      <c r="I1154" s="21" t="s">
        <v>256</v>
      </c>
      <c r="J1154" s="9" t="s">
        <v>256</v>
      </c>
      <c r="M1154" s="21" t="str" cm="1">
        <f t="array" ref="M1154">_xlfn.SWITCH(MOD(C1149,4),1,G1154,2,H1154,3,J1154,0,I1154)</f>
        <v>Shot2_purple</v>
      </c>
    </row>
    <row r="1155" spans="5:13">
      <c r="E1155" s="21">
        <f t="shared" si="512"/>
        <v>1155</v>
      </c>
      <c r="F1155" s="9" t="s">
        <v>98</v>
      </c>
      <c r="K1155" s="9" t="s">
        <v>137</v>
      </c>
      <c r="M1155" s="21">
        <v>2</v>
      </c>
    </row>
    <row r="1156" spans="5:13">
      <c r="E1156" s="21">
        <f t="shared" si="512"/>
        <v>1156</v>
      </c>
      <c r="F1156" s="9" t="s">
        <v>175</v>
      </c>
      <c r="G1156" s="21" t="s">
        <v>252</v>
      </c>
      <c r="H1156" s="21" t="s">
        <v>254</v>
      </c>
      <c r="K1156" s="9" t="s">
        <v>136</v>
      </c>
      <c r="M1156" s="21" t="str">
        <f t="shared" ref="M1156" si="515">IF(MOD(B1149,2)=1,G1156,H1156)</f>
        <v>-0.3,0</v>
      </c>
    </row>
    <row r="1157" spans="5:13">
      <c r="E1157" s="21">
        <f t="shared" si="512"/>
        <v>1157</v>
      </c>
      <c r="F1157" s="9" t="s">
        <v>117</v>
      </c>
      <c r="M1157" s="21" t="b">
        <v>1</v>
      </c>
    </row>
    <row r="1158" spans="5:13">
      <c r="E1158" s="21">
        <f t="shared" si="512"/>
        <v>1158</v>
      </c>
      <c r="F1158" s="9" t="s">
        <v>31</v>
      </c>
      <c r="L1158" s="9" t="s">
        <v>134</v>
      </c>
      <c r="M1158" s="21">
        <v>270</v>
      </c>
    </row>
    <row r="1159" spans="5:13">
      <c r="E1159" s="21">
        <f t="shared" si="512"/>
        <v>1159</v>
      </c>
      <c r="F1159" s="9" t="s">
        <v>111</v>
      </c>
      <c r="G1159" s="21">
        <v>120</v>
      </c>
      <c r="H1159" s="21">
        <v>-120</v>
      </c>
      <c r="L1159" s="9" t="s">
        <v>134</v>
      </c>
      <c r="M1159" s="21">
        <f t="shared" ref="M1159" si="516">IF(MOD(B1149,2)=1,G1159,H1159)</f>
        <v>-120</v>
      </c>
    </row>
    <row r="1160" spans="5:13">
      <c r="E1160" s="21">
        <f t="shared" si="512"/>
        <v>1160</v>
      </c>
      <c r="F1160" s="9" t="s">
        <v>114</v>
      </c>
      <c r="M1160" s="21" t="b">
        <v>1</v>
      </c>
    </row>
    <row r="1161" spans="5:13">
      <c r="E1161" s="21">
        <f t="shared" si="512"/>
        <v>1161</v>
      </c>
      <c r="F1161" s="9" t="s">
        <v>30</v>
      </c>
      <c r="M1161" s="21">
        <v>3</v>
      </c>
    </row>
    <row r="1162" spans="5:13">
      <c r="E1162" s="21">
        <f t="shared" si="512"/>
        <v>1162</v>
      </c>
      <c r="F1162" s="9" t="s">
        <v>196</v>
      </c>
      <c r="M1162" s="21">
        <v>0</v>
      </c>
    </row>
    <row r="1163" spans="5:13">
      <c r="E1163" s="21">
        <f t="shared" si="512"/>
        <v>1163</v>
      </c>
      <c r="F1163" s="9" t="s">
        <v>35</v>
      </c>
      <c r="G1163" s="21">
        <v>185</v>
      </c>
      <c r="H1163" s="21">
        <v>195</v>
      </c>
      <c r="I1163" s="21">
        <v>205</v>
      </c>
      <c r="J1163" s="9" t="s">
        <v>257</v>
      </c>
      <c r="M1163" s="21" cm="1">
        <f t="array" ref="M1163">_xlfn.SWITCH(MOD(C1149,4),1,G1163,2,H1163,3,J1163,0,I1163)</f>
        <v>195</v>
      </c>
    </row>
    <row r="1164" spans="5:13">
      <c r="E1164" s="21">
        <f t="shared" si="512"/>
        <v>1164</v>
      </c>
      <c r="F1164" s="9" t="s">
        <v>101</v>
      </c>
      <c r="M1164" s="21">
        <f t="shared" ref="M1164" si="517">M1150*10+1</f>
        <v>200581</v>
      </c>
    </row>
    <row r="1165" spans="5:13">
      <c r="E1165" s="21">
        <f t="shared" si="512"/>
        <v>1165</v>
      </c>
      <c r="F1165" s="9" t="s">
        <v>142</v>
      </c>
      <c r="M1165" s="21">
        <f t="shared" ref="M1165" si="518">M1150</f>
        <v>20058</v>
      </c>
    </row>
    <row r="1166" spans="5:13">
      <c r="E1166" s="21">
        <f t="shared" si="512"/>
        <v>1166</v>
      </c>
      <c r="F1166" s="9" t="s">
        <v>127</v>
      </c>
      <c r="M1166" s="21">
        <v>0</v>
      </c>
    </row>
    <row r="1167" spans="5:13">
      <c r="E1167" s="21">
        <f t="shared" si="512"/>
        <v>1167</v>
      </c>
      <c r="F1167" s="9" t="s">
        <v>111</v>
      </c>
      <c r="L1167" s="9" t="s">
        <v>134</v>
      </c>
      <c r="M1167" s="21">
        <v>0</v>
      </c>
    </row>
    <row r="1168" spans="5:13">
      <c r="E1168" s="21">
        <f t="shared" si="512"/>
        <v>1168</v>
      </c>
      <c r="F1168" s="9" t="s">
        <v>115</v>
      </c>
      <c r="M1168" s="21">
        <v>1.5</v>
      </c>
    </row>
    <row r="1169" spans="1:13">
      <c r="A1169" s="21" t="s">
        <v>227</v>
      </c>
      <c r="B1169" s="21">
        <f t="shared" ref="B1169" si="519">QUOTIENT( D1169-1,G1170)+1</f>
        <v>2</v>
      </c>
      <c r="C1169" s="21">
        <f t="shared" ref="C1169" si="520">D1169-(B1169-1)*G1170</f>
        <v>23</v>
      </c>
      <c r="D1169" s="21">
        <f>COUNT($D$8:$D1168)+1</f>
        <v>59</v>
      </c>
    </row>
    <row r="1170" spans="1:13">
      <c r="E1170" s="21">
        <f t="shared" ref="E1170:E1188" si="521">ROW(E1170)</f>
        <v>1170</v>
      </c>
      <c r="F1170" s="9" t="s">
        <v>93</v>
      </c>
      <c r="G1170" s="21">
        <v>36</v>
      </c>
      <c r="H1170" s="21">
        <v>2</v>
      </c>
      <c r="J1170" s="9" t="s">
        <v>250</v>
      </c>
      <c r="M1170" s="21">
        <f t="shared" ref="M1170" si="522">J1170+D1169</f>
        <v>20059</v>
      </c>
    </row>
    <row r="1171" spans="1:13">
      <c r="E1171" s="21">
        <f t="shared" si="521"/>
        <v>1171</v>
      </c>
      <c r="F1171" s="9" t="s">
        <v>142</v>
      </c>
      <c r="M1171" s="21">
        <v>199109</v>
      </c>
    </row>
    <row r="1172" spans="1:13">
      <c r="E1172" s="21">
        <f t="shared" si="521"/>
        <v>1172</v>
      </c>
      <c r="F1172" s="9" t="s">
        <v>126</v>
      </c>
      <c r="G1172" s="21">
        <v>5</v>
      </c>
      <c r="M1172" s="21">
        <f t="shared" ref="M1172" si="523">G1172*C1169</f>
        <v>115</v>
      </c>
    </row>
    <row r="1173" spans="1:13">
      <c r="E1173" s="21">
        <f t="shared" si="521"/>
        <v>1173</v>
      </c>
      <c r="F1173" s="9" t="s">
        <v>29</v>
      </c>
      <c r="M1173" s="21" t="s">
        <v>251</v>
      </c>
    </row>
    <row r="1174" spans="1:13">
      <c r="E1174" s="21">
        <f t="shared" si="521"/>
        <v>1174</v>
      </c>
      <c r="F1174" s="9" t="s">
        <v>118</v>
      </c>
      <c r="G1174" s="21" t="s">
        <v>256</v>
      </c>
      <c r="H1174" s="21" t="s">
        <v>256</v>
      </c>
      <c r="I1174" s="21" t="s">
        <v>256</v>
      </c>
      <c r="J1174" s="9" t="s">
        <v>256</v>
      </c>
      <c r="M1174" s="21" t="str" cm="1">
        <f t="array" ref="M1174">_xlfn.SWITCH(MOD(C1169,4),1,G1174,2,H1174,3,J1174,0,I1174)</f>
        <v>Shot2_purple</v>
      </c>
    </row>
    <row r="1175" spans="1:13">
      <c r="E1175" s="21">
        <f t="shared" si="521"/>
        <v>1175</v>
      </c>
      <c r="F1175" s="9" t="s">
        <v>98</v>
      </c>
      <c r="K1175" s="9" t="s">
        <v>137</v>
      </c>
      <c r="M1175" s="21">
        <v>2</v>
      </c>
    </row>
    <row r="1176" spans="1:13">
      <c r="E1176" s="21">
        <f t="shared" si="521"/>
        <v>1176</v>
      </c>
      <c r="F1176" s="9" t="s">
        <v>175</v>
      </c>
      <c r="G1176" s="21" t="s">
        <v>252</v>
      </c>
      <c r="H1176" s="21" t="s">
        <v>254</v>
      </c>
      <c r="K1176" s="9" t="s">
        <v>136</v>
      </c>
      <c r="M1176" s="21" t="str">
        <f t="shared" ref="M1176" si="524">IF(MOD(B1169,2)=1,G1176,H1176)</f>
        <v>-0.3,0</v>
      </c>
    </row>
    <row r="1177" spans="1:13">
      <c r="E1177" s="21">
        <f t="shared" si="521"/>
        <v>1177</v>
      </c>
      <c r="F1177" s="9" t="s">
        <v>117</v>
      </c>
      <c r="M1177" s="21" t="b">
        <v>1</v>
      </c>
    </row>
    <row r="1178" spans="1:13">
      <c r="E1178" s="21">
        <f t="shared" si="521"/>
        <v>1178</v>
      </c>
      <c r="F1178" s="9" t="s">
        <v>31</v>
      </c>
      <c r="L1178" s="9" t="s">
        <v>134</v>
      </c>
      <c r="M1178" s="21">
        <v>270</v>
      </c>
    </row>
    <row r="1179" spans="1:13">
      <c r="E1179" s="21">
        <f t="shared" si="521"/>
        <v>1179</v>
      </c>
      <c r="F1179" s="9" t="s">
        <v>111</v>
      </c>
      <c r="G1179" s="21">
        <v>120</v>
      </c>
      <c r="H1179" s="21">
        <v>-120</v>
      </c>
      <c r="L1179" s="9" t="s">
        <v>134</v>
      </c>
      <c r="M1179" s="21">
        <f t="shared" ref="M1179" si="525">IF(MOD(B1169,2)=1,G1179,H1179)</f>
        <v>-120</v>
      </c>
    </row>
    <row r="1180" spans="1:13">
      <c r="E1180" s="21">
        <f t="shared" si="521"/>
        <v>1180</v>
      </c>
      <c r="F1180" s="9" t="s">
        <v>114</v>
      </c>
      <c r="M1180" s="21" t="b">
        <v>1</v>
      </c>
    </row>
    <row r="1181" spans="1:13">
      <c r="E1181" s="21">
        <f t="shared" si="521"/>
        <v>1181</v>
      </c>
      <c r="F1181" s="9" t="s">
        <v>30</v>
      </c>
      <c r="M1181" s="21">
        <v>3</v>
      </c>
    </row>
    <row r="1182" spans="1:13">
      <c r="E1182" s="21">
        <f t="shared" si="521"/>
        <v>1182</v>
      </c>
      <c r="F1182" s="9" t="s">
        <v>196</v>
      </c>
      <c r="M1182" s="21">
        <v>0</v>
      </c>
    </row>
    <row r="1183" spans="1:13">
      <c r="E1183" s="21">
        <f t="shared" si="521"/>
        <v>1183</v>
      </c>
      <c r="F1183" s="9" t="s">
        <v>35</v>
      </c>
      <c r="G1183" s="21">
        <v>185</v>
      </c>
      <c r="H1183" s="21">
        <v>195</v>
      </c>
      <c r="I1183" s="21">
        <v>205</v>
      </c>
      <c r="J1183" s="9" t="s">
        <v>257</v>
      </c>
      <c r="M1183" s="21" t="str" cm="1">
        <f t="array" ref="M1183">_xlfn.SWITCH(MOD(C1169,4),1,G1183,2,H1183,3,J1183,0,I1183)</f>
        <v>215</v>
      </c>
    </row>
    <row r="1184" spans="1:13">
      <c r="E1184" s="21">
        <f t="shared" si="521"/>
        <v>1184</v>
      </c>
      <c r="F1184" s="9" t="s">
        <v>101</v>
      </c>
      <c r="M1184" s="21">
        <f t="shared" ref="M1184" si="526">M1170*10+1</f>
        <v>200591</v>
      </c>
    </row>
    <row r="1185" spans="1:13">
      <c r="E1185" s="21">
        <f t="shared" si="521"/>
        <v>1185</v>
      </c>
      <c r="F1185" s="9" t="s">
        <v>142</v>
      </c>
      <c r="M1185" s="21">
        <f t="shared" ref="M1185" si="527">M1170</f>
        <v>20059</v>
      </c>
    </row>
    <row r="1186" spans="1:13">
      <c r="E1186" s="21">
        <f t="shared" si="521"/>
        <v>1186</v>
      </c>
      <c r="F1186" s="9" t="s">
        <v>127</v>
      </c>
      <c r="M1186" s="21">
        <v>0</v>
      </c>
    </row>
    <row r="1187" spans="1:13">
      <c r="E1187" s="21">
        <f t="shared" si="521"/>
        <v>1187</v>
      </c>
      <c r="F1187" s="9" t="s">
        <v>111</v>
      </c>
      <c r="L1187" s="9" t="s">
        <v>134</v>
      </c>
      <c r="M1187" s="21">
        <v>0</v>
      </c>
    </row>
    <row r="1188" spans="1:13">
      <c r="E1188" s="21">
        <f t="shared" si="521"/>
        <v>1188</v>
      </c>
      <c r="F1188" s="9" t="s">
        <v>115</v>
      </c>
      <c r="M1188" s="21">
        <v>1.5</v>
      </c>
    </row>
    <row r="1189" spans="1:13">
      <c r="A1189" s="21" t="s">
        <v>227</v>
      </c>
      <c r="B1189" s="21">
        <f t="shared" ref="B1189" si="528">QUOTIENT( D1189-1,G1190)+1</f>
        <v>2</v>
      </c>
      <c r="C1189" s="21">
        <f t="shared" ref="C1189" si="529">D1189-(B1189-1)*G1190</f>
        <v>24</v>
      </c>
      <c r="D1189" s="21">
        <f>COUNT($D$8:$D1188)+1</f>
        <v>60</v>
      </c>
    </row>
    <row r="1190" spans="1:13">
      <c r="E1190" s="21">
        <f t="shared" ref="E1190:E1208" si="530">ROW(E1190)</f>
        <v>1190</v>
      </c>
      <c r="F1190" s="9" t="s">
        <v>93</v>
      </c>
      <c r="G1190" s="21">
        <v>36</v>
      </c>
      <c r="H1190" s="21">
        <v>2</v>
      </c>
      <c r="J1190" s="9" t="s">
        <v>250</v>
      </c>
      <c r="M1190" s="21">
        <f t="shared" ref="M1190" si="531">J1190+D1189</f>
        <v>20060</v>
      </c>
    </row>
    <row r="1191" spans="1:13">
      <c r="E1191" s="21">
        <f t="shared" si="530"/>
        <v>1191</v>
      </c>
      <c r="F1191" s="9" t="s">
        <v>142</v>
      </c>
      <c r="M1191" s="21">
        <v>199109</v>
      </c>
    </row>
    <row r="1192" spans="1:13">
      <c r="E1192" s="21">
        <f t="shared" si="530"/>
        <v>1192</v>
      </c>
      <c r="F1192" s="9" t="s">
        <v>126</v>
      </c>
      <c r="G1192" s="21">
        <v>5</v>
      </c>
      <c r="M1192" s="21">
        <f t="shared" ref="M1192" si="532">G1192*C1189</f>
        <v>120</v>
      </c>
    </row>
    <row r="1193" spans="1:13">
      <c r="E1193" s="21">
        <f t="shared" si="530"/>
        <v>1193</v>
      </c>
      <c r="F1193" s="9" t="s">
        <v>29</v>
      </c>
      <c r="M1193" s="21" t="s">
        <v>251</v>
      </c>
    </row>
    <row r="1194" spans="1:13">
      <c r="E1194" s="21">
        <f t="shared" si="530"/>
        <v>1194</v>
      </c>
      <c r="F1194" s="9" t="s">
        <v>118</v>
      </c>
      <c r="G1194" s="21" t="s">
        <v>256</v>
      </c>
      <c r="H1194" s="21" t="s">
        <v>256</v>
      </c>
      <c r="I1194" s="21" t="s">
        <v>256</v>
      </c>
      <c r="J1194" s="9" t="s">
        <v>256</v>
      </c>
      <c r="M1194" s="21" t="str" cm="1">
        <f t="array" ref="M1194">_xlfn.SWITCH(MOD(C1189,4),1,G1194,2,H1194,3,J1194,0,I1194)</f>
        <v>Shot2_purple</v>
      </c>
    </row>
    <row r="1195" spans="1:13">
      <c r="E1195" s="21">
        <f t="shared" si="530"/>
        <v>1195</v>
      </c>
      <c r="F1195" s="9" t="s">
        <v>98</v>
      </c>
      <c r="K1195" s="9" t="s">
        <v>137</v>
      </c>
      <c r="M1195" s="21">
        <v>2</v>
      </c>
    </row>
    <row r="1196" spans="1:13">
      <c r="E1196" s="21">
        <f t="shared" si="530"/>
        <v>1196</v>
      </c>
      <c r="F1196" s="9" t="s">
        <v>175</v>
      </c>
      <c r="G1196" s="21" t="s">
        <v>252</v>
      </c>
      <c r="H1196" s="21" t="s">
        <v>254</v>
      </c>
      <c r="K1196" s="9" t="s">
        <v>136</v>
      </c>
      <c r="M1196" s="21" t="str">
        <f t="shared" ref="M1196" si="533">IF(MOD(B1189,2)=1,G1196,H1196)</f>
        <v>-0.3,0</v>
      </c>
    </row>
    <row r="1197" spans="1:13">
      <c r="E1197" s="21">
        <f t="shared" si="530"/>
        <v>1197</v>
      </c>
      <c r="F1197" s="9" t="s">
        <v>117</v>
      </c>
      <c r="M1197" s="21" t="b">
        <v>1</v>
      </c>
    </row>
    <row r="1198" spans="1:13">
      <c r="E1198" s="21">
        <f t="shared" si="530"/>
        <v>1198</v>
      </c>
      <c r="F1198" s="9" t="s">
        <v>31</v>
      </c>
      <c r="L1198" s="9" t="s">
        <v>134</v>
      </c>
      <c r="M1198" s="21">
        <v>270</v>
      </c>
    </row>
    <row r="1199" spans="1:13">
      <c r="E1199" s="21">
        <f t="shared" si="530"/>
        <v>1199</v>
      </c>
      <c r="F1199" s="9" t="s">
        <v>111</v>
      </c>
      <c r="G1199" s="21">
        <v>120</v>
      </c>
      <c r="H1199" s="21">
        <v>-120</v>
      </c>
      <c r="L1199" s="9" t="s">
        <v>134</v>
      </c>
      <c r="M1199" s="21">
        <f t="shared" ref="M1199" si="534">IF(MOD(B1189,2)=1,G1199,H1199)</f>
        <v>-120</v>
      </c>
    </row>
    <row r="1200" spans="1:13">
      <c r="E1200" s="21">
        <f t="shared" si="530"/>
        <v>1200</v>
      </c>
      <c r="F1200" s="9" t="s">
        <v>114</v>
      </c>
      <c r="M1200" s="21" t="b">
        <v>1</v>
      </c>
    </row>
    <row r="1201" spans="1:13">
      <c r="E1201" s="21">
        <f t="shared" si="530"/>
        <v>1201</v>
      </c>
      <c r="F1201" s="9" t="s">
        <v>30</v>
      </c>
      <c r="M1201" s="21">
        <v>3</v>
      </c>
    </row>
    <row r="1202" spans="1:13">
      <c r="E1202" s="21">
        <f t="shared" si="530"/>
        <v>1202</v>
      </c>
      <c r="F1202" s="9" t="s">
        <v>196</v>
      </c>
      <c r="M1202" s="21">
        <v>0</v>
      </c>
    </row>
    <row r="1203" spans="1:13">
      <c r="E1203" s="21">
        <f t="shared" si="530"/>
        <v>1203</v>
      </c>
      <c r="F1203" s="9" t="s">
        <v>35</v>
      </c>
      <c r="G1203" s="21">
        <v>185</v>
      </c>
      <c r="H1203" s="21">
        <v>195</v>
      </c>
      <c r="I1203" s="21">
        <v>205</v>
      </c>
      <c r="J1203" s="9" t="s">
        <v>257</v>
      </c>
      <c r="M1203" s="21" cm="1">
        <f t="array" ref="M1203">_xlfn.SWITCH(MOD(C1189,4),1,G1203,2,H1203,3,J1203,0,I1203)</f>
        <v>205</v>
      </c>
    </row>
    <row r="1204" spans="1:13">
      <c r="E1204" s="21">
        <f t="shared" si="530"/>
        <v>1204</v>
      </c>
      <c r="F1204" s="9" t="s">
        <v>101</v>
      </c>
      <c r="M1204" s="21">
        <f t="shared" ref="M1204" si="535">M1190*10+1</f>
        <v>200601</v>
      </c>
    </row>
    <row r="1205" spans="1:13">
      <c r="E1205" s="21">
        <f t="shared" si="530"/>
        <v>1205</v>
      </c>
      <c r="F1205" s="9" t="s">
        <v>142</v>
      </c>
      <c r="M1205" s="21">
        <f t="shared" ref="M1205" si="536">M1190</f>
        <v>20060</v>
      </c>
    </row>
    <row r="1206" spans="1:13">
      <c r="E1206" s="21">
        <f t="shared" si="530"/>
        <v>1206</v>
      </c>
      <c r="F1206" s="9" t="s">
        <v>127</v>
      </c>
      <c r="M1206" s="21">
        <v>0</v>
      </c>
    </row>
    <row r="1207" spans="1:13">
      <c r="E1207" s="21">
        <f t="shared" si="530"/>
        <v>1207</v>
      </c>
      <c r="F1207" s="9" t="s">
        <v>111</v>
      </c>
      <c r="L1207" s="9" t="s">
        <v>134</v>
      </c>
      <c r="M1207" s="21">
        <v>0</v>
      </c>
    </row>
    <row r="1208" spans="1:13">
      <c r="E1208" s="21">
        <f t="shared" si="530"/>
        <v>1208</v>
      </c>
      <c r="F1208" s="9" t="s">
        <v>115</v>
      </c>
      <c r="M1208" s="21">
        <v>1.5</v>
      </c>
    </row>
    <row r="1209" spans="1:13">
      <c r="A1209" s="21" t="s">
        <v>227</v>
      </c>
      <c r="B1209" s="21">
        <f t="shared" ref="B1209" si="537">QUOTIENT( D1209-1,G1210)+1</f>
        <v>2</v>
      </c>
      <c r="C1209" s="21">
        <f t="shared" ref="C1209" si="538">D1209-(B1209-1)*G1210</f>
        <v>25</v>
      </c>
      <c r="D1209" s="21">
        <f>COUNT($D$8:$D1208)+1</f>
        <v>61</v>
      </c>
    </row>
    <row r="1210" spans="1:13">
      <c r="E1210" s="21">
        <f t="shared" ref="E1210:E1228" si="539">ROW(E1210)</f>
        <v>1210</v>
      </c>
      <c r="F1210" s="9" t="s">
        <v>93</v>
      </c>
      <c r="G1210" s="21">
        <v>36</v>
      </c>
      <c r="H1210" s="21">
        <v>2</v>
      </c>
      <c r="J1210" s="9" t="s">
        <v>250</v>
      </c>
      <c r="M1210" s="21">
        <f t="shared" ref="M1210" si="540">J1210+D1209</f>
        <v>20061</v>
      </c>
    </row>
    <row r="1211" spans="1:13">
      <c r="E1211" s="21">
        <f t="shared" si="539"/>
        <v>1211</v>
      </c>
      <c r="F1211" s="9" t="s">
        <v>142</v>
      </c>
      <c r="M1211" s="21">
        <v>199109</v>
      </c>
    </row>
    <row r="1212" spans="1:13">
      <c r="E1212" s="21">
        <f t="shared" si="539"/>
        <v>1212</v>
      </c>
      <c r="F1212" s="9" t="s">
        <v>126</v>
      </c>
      <c r="G1212" s="21">
        <v>5</v>
      </c>
      <c r="M1212" s="21">
        <f t="shared" ref="M1212" si="541">G1212*C1209</f>
        <v>125</v>
      </c>
    </row>
    <row r="1213" spans="1:13">
      <c r="E1213" s="21">
        <f t="shared" si="539"/>
        <v>1213</v>
      </c>
      <c r="F1213" s="9" t="s">
        <v>29</v>
      </c>
      <c r="M1213" s="21" t="s">
        <v>251</v>
      </c>
    </row>
    <row r="1214" spans="1:13">
      <c r="E1214" s="21">
        <f t="shared" si="539"/>
        <v>1214</v>
      </c>
      <c r="F1214" s="9" t="s">
        <v>118</v>
      </c>
      <c r="G1214" s="21" t="s">
        <v>256</v>
      </c>
      <c r="H1214" s="21" t="s">
        <v>256</v>
      </c>
      <c r="I1214" s="21" t="s">
        <v>256</v>
      </c>
      <c r="J1214" s="9" t="s">
        <v>256</v>
      </c>
      <c r="M1214" s="21" t="str" cm="1">
        <f t="array" ref="M1214">_xlfn.SWITCH(MOD(C1209,4),1,G1214,2,H1214,3,J1214,0,I1214)</f>
        <v>Shot2_purple</v>
      </c>
    </row>
    <row r="1215" spans="1:13">
      <c r="E1215" s="21">
        <f t="shared" si="539"/>
        <v>1215</v>
      </c>
      <c r="F1215" s="9" t="s">
        <v>98</v>
      </c>
      <c r="K1215" s="9" t="s">
        <v>137</v>
      </c>
      <c r="M1215" s="21">
        <v>2</v>
      </c>
    </row>
    <row r="1216" spans="1:13">
      <c r="E1216" s="21">
        <f t="shared" si="539"/>
        <v>1216</v>
      </c>
      <c r="F1216" s="9" t="s">
        <v>175</v>
      </c>
      <c r="G1216" s="21" t="s">
        <v>252</v>
      </c>
      <c r="H1216" s="21" t="s">
        <v>254</v>
      </c>
      <c r="K1216" s="9" t="s">
        <v>136</v>
      </c>
      <c r="M1216" s="21" t="str">
        <f t="shared" ref="M1216" si="542">IF(MOD(B1209,2)=1,G1216,H1216)</f>
        <v>-0.3,0</v>
      </c>
    </row>
    <row r="1217" spans="1:13">
      <c r="E1217" s="21">
        <f t="shared" si="539"/>
        <v>1217</v>
      </c>
      <c r="F1217" s="9" t="s">
        <v>117</v>
      </c>
      <c r="M1217" s="21" t="b">
        <v>1</v>
      </c>
    </row>
    <row r="1218" spans="1:13">
      <c r="E1218" s="21">
        <f t="shared" si="539"/>
        <v>1218</v>
      </c>
      <c r="F1218" s="9" t="s">
        <v>31</v>
      </c>
      <c r="L1218" s="9" t="s">
        <v>134</v>
      </c>
      <c r="M1218" s="21">
        <v>270</v>
      </c>
    </row>
    <row r="1219" spans="1:13">
      <c r="E1219" s="21">
        <f t="shared" si="539"/>
        <v>1219</v>
      </c>
      <c r="F1219" s="9" t="s">
        <v>111</v>
      </c>
      <c r="G1219" s="21">
        <v>120</v>
      </c>
      <c r="H1219" s="21">
        <v>-120</v>
      </c>
      <c r="L1219" s="9" t="s">
        <v>134</v>
      </c>
      <c r="M1219" s="21">
        <f t="shared" ref="M1219" si="543">IF(MOD(B1209,2)=1,G1219,H1219)</f>
        <v>-120</v>
      </c>
    </row>
    <row r="1220" spans="1:13">
      <c r="E1220" s="21">
        <f t="shared" si="539"/>
        <v>1220</v>
      </c>
      <c r="F1220" s="9" t="s">
        <v>114</v>
      </c>
      <c r="M1220" s="21" t="b">
        <v>1</v>
      </c>
    </row>
    <row r="1221" spans="1:13">
      <c r="E1221" s="21">
        <f t="shared" si="539"/>
        <v>1221</v>
      </c>
      <c r="F1221" s="9" t="s">
        <v>30</v>
      </c>
      <c r="M1221" s="21">
        <v>3</v>
      </c>
    </row>
    <row r="1222" spans="1:13">
      <c r="E1222" s="21">
        <f t="shared" si="539"/>
        <v>1222</v>
      </c>
      <c r="F1222" s="9" t="s">
        <v>196</v>
      </c>
      <c r="M1222" s="21">
        <v>0</v>
      </c>
    </row>
    <row r="1223" spans="1:13">
      <c r="E1223" s="21">
        <f t="shared" si="539"/>
        <v>1223</v>
      </c>
      <c r="F1223" s="9" t="s">
        <v>35</v>
      </c>
      <c r="G1223" s="21">
        <v>185</v>
      </c>
      <c r="H1223" s="21">
        <v>195</v>
      </c>
      <c r="I1223" s="21">
        <v>205</v>
      </c>
      <c r="J1223" s="9" t="s">
        <v>257</v>
      </c>
      <c r="M1223" s="21" cm="1">
        <f t="array" ref="M1223">_xlfn.SWITCH(MOD(C1209,4),1,G1223,2,H1223,3,J1223,0,I1223)</f>
        <v>185</v>
      </c>
    </row>
    <row r="1224" spans="1:13">
      <c r="E1224" s="21">
        <f t="shared" si="539"/>
        <v>1224</v>
      </c>
      <c r="F1224" s="9" t="s">
        <v>101</v>
      </c>
      <c r="M1224" s="21">
        <f t="shared" ref="M1224" si="544">M1210*10+1</f>
        <v>200611</v>
      </c>
    </row>
    <row r="1225" spans="1:13">
      <c r="E1225" s="21">
        <f t="shared" si="539"/>
        <v>1225</v>
      </c>
      <c r="F1225" s="9" t="s">
        <v>142</v>
      </c>
      <c r="M1225" s="21">
        <f t="shared" ref="M1225" si="545">M1210</f>
        <v>20061</v>
      </c>
    </row>
    <row r="1226" spans="1:13">
      <c r="E1226" s="21">
        <f t="shared" si="539"/>
        <v>1226</v>
      </c>
      <c r="F1226" s="9" t="s">
        <v>127</v>
      </c>
      <c r="M1226" s="21">
        <v>0</v>
      </c>
    </row>
    <row r="1227" spans="1:13">
      <c r="E1227" s="21">
        <f t="shared" si="539"/>
        <v>1227</v>
      </c>
      <c r="F1227" s="9" t="s">
        <v>111</v>
      </c>
      <c r="L1227" s="9" t="s">
        <v>134</v>
      </c>
      <c r="M1227" s="21">
        <v>0</v>
      </c>
    </row>
    <row r="1228" spans="1:13">
      <c r="E1228" s="21">
        <f t="shared" si="539"/>
        <v>1228</v>
      </c>
      <c r="F1228" s="9" t="s">
        <v>115</v>
      </c>
      <c r="M1228" s="21">
        <v>1.5</v>
      </c>
    </row>
    <row r="1229" spans="1:13">
      <c r="A1229" s="21" t="s">
        <v>227</v>
      </c>
      <c r="B1229" s="21">
        <f t="shared" ref="B1229" si="546">QUOTIENT( D1229-1,G1230)+1</f>
        <v>2</v>
      </c>
      <c r="C1229" s="21">
        <f t="shared" ref="C1229" si="547">D1229-(B1229-1)*G1230</f>
        <v>26</v>
      </c>
      <c r="D1229" s="21">
        <f>COUNT($D$8:$D1228)+1</f>
        <v>62</v>
      </c>
    </row>
    <row r="1230" spans="1:13">
      <c r="E1230" s="21">
        <f t="shared" ref="E1230:E1248" si="548">ROW(E1230)</f>
        <v>1230</v>
      </c>
      <c r="F1230" s="9" t="s">
        <v>93</v>
      </c>
      <c r="G1230" s="21">
        <v>36</v>
      </c>
      <c r="H1230" s="21">
        <v>2</v>
      </c>
      <c r="J1230" s="9" t="s">
        <v>250</v>
      </c>
      <c r="M1230" s="21">
        <f t="shared" ref="M1230" si="549">J1230+D1229</f>
        <v>20062</v>
      </c>
    </row>
    <row r="1231" spans="1:13">
      <c r="E1231" s="21">
        <f t="shared" si="548"/>
        <v>1231</v>
      </c>
      <c r="F1231" s="9" t="s">
        <v>142</v>
      </c>
      <c r="M1231" s="21">
        <v>199109</v>
      </c>
    </row>
    <row r="1232" spans="1:13">
      <c r="E1232" s="21">
        <f t="shared" si="548"/>
        <v>1232</v>
      </c>
      <c r="F1232" s="9" t="s">
        <v>126</v>
      </c>
      <c r="G1232" s="21">
        <v>5</v>
      </c>
      <c r="M1232" s="21">
        <f t="shared" ref="M1232" si="550">G1232*C1229</f>
        <v>130</v>
      </c>
    </row>
    <row r="1233" spans="5:13">
      <c r="E1233" s="21">
        <f t="shared" si="548"/>
        <v>1233</v>
      </c>
      <c r="F1233" s="9" t="s">
        <v>29</v>
      </c>
      <c r="M1233" s="21" t="s">
        <v>251</v>
      </c>
    </row>
    <row r="1234" spans="5:13">
      <c r="E1234" s="21">
        <f t="shared" si="548"/>
        <v>1234</v>
      </c>
      <c r="F1234" s="9" t="s">
        <v>118</v>
      </c>
      <c r="G1234" s="21" t="s">
        <v>256</v>
      </c>
      <c r="H1234" s="21" t="s">
        <v>256</v>
      </c>
      <c r="I1234" s="21" t="s">
        <v>256</v>
      </c>
      <c r="J1234" s="9" t="s">
        <v>256</v>
      </c>
      <c r="M1234" s="21" t="str" cm="1">
        <f t="array" ref="M1234">_xlfn.SWITCH(MOD(C1229,4),1,G1234,2,H1234,3,J1234,0,I1234)</f>
        <v>Shot2_purple</v>
      </c>
    </row>
    <row r="1235" spans="5:13">
      <c r="E1235" s="21">
        <f t="shared" si="548"/>
        <v>1235</v>
      </c>
      <c r="F1235" s="9" t="s">
        <v>98</v>
      </c>
      <c r="K1235" s="9" t="s">
        <v>137</v>
      </c>
      <c r="M1235" s="21">
        <v>2</v>
      </c>
    </row>
    <row r="1236" spans="5:13">
      <c r="E1236" s="21">
        <f t="shared" si="548"/>
        <v>1236</v>
      </c>
      <c r="F1236" s="9" t="s">
        <v>175</v>
      </c>
      <c r="G1236" s="21" t="s">
        <v>252</v>
      </c>
      <c r="H1236" s="21" t="s">
        <v>254</v>
      </c>
      <c r="K1236" s="9" t="s">
        <v>136</v>
      </c>
      <c r="M1236" s="21" t="str">
        <f t="shared" ref="M1236" si="551">IF(MOD(B1229,2)=1,G1236,H1236)</f>
        <v>-0.3,0</v>
      </c>
    </row>
    <row r="1237" spans="5:13">
      <c r="E1237" s="21">
        <f t="shared" si="548"/>
        <v>1237</v>
      </c>
      <c r="F1237" s="9" t="s">
        <v>117</v>
      </c>
      <c r="M1237" s="21" t="b">
        <v>1</v>
      </c>
    </row>
    <row r="1238" spans="5:13">
      <c r="E1238" s="21">
        <f t="shared" si="548"/>
        <v>1238</v>
      </c>
      <c r="F1238" s="9" t="s">
        <v>31</v>
      </c>
      <c r="L1238" s="9" t="s">
        <v>134</v>
      </c>
      <c r="M1238" s="21">
        <v>270</v>
      </c>
    </row>
    <row r="1239" spans="5:13">
      <c r="E1239" s="21">
        <f t="shared" si="548"/>
        <v>1239</v>
      </c>
      <c r="F1239" s="9" t="s">
        <v>111</v>
      </c>
      <c r="G1239" s="21">
        <v>120</v>
      </c>
      <c r="H1239" s="21">
        <v>-120</v>
      </c>
      <c r="L1239" s="9" t="s">
        <v>134</v>
      </c>
      <c r="M1239" s="21">
        <f t="shared" ref="M1239" si="552">IF(MOD(B1229,2)=1,G1239,H1239)</f>
        <v>-120</v>
      </c>
    </row>
    <row r="1240" spans="5:13">
      <c r="E1240" s="21">
        <f t="shared" si="548"/>
        <v>1240</v>
      </c>
      <c r="F1240" s="9" t="s">
        <v>114</v>
      </c>
      <c r="M1240" s="21" t="b">
        <v>1</v>
      </c>
    </row>
    <row r="1241" spans="5:13">
      <c r="E1241" s="21">
        <f t="shared" si="548"/>
        <v>1241</v>
      </c>
      <c r="F1241" s="9" t="s">
        <v>30</v>
      </c>
      <c r="M1241" s="21">
        <v>3</v>
      </c>
    </row>
    <row r="1242" spans="5:13">
      <c r="E1242" s="21">
        <f t="shared" si="548"/>
        <v>1242</v>
      </c>
      <c r="F1242" s="9" t="s">
        <v>196</v>
      </c>
      <c r="M1242" s="21">
        <v>0</v>
      </c>
    </row>
    <row r="1243" spans="5:13">
      <c r="E1243" s="21">
        <f t="shared" si="548"/>
        <v>1243</v>
      </c>
      <c r="F1243" s="9" t="s">
        <v>35</v>
      </c>
      <c r="G1243" s="21">
        <v>185</v>
      </c>
      <c r="H1243" s="21">
        <v>195</v>
      </c>
      <c r="I1243" s="21">
        <v>205</v>
      </c>
      <c r="J1243" s="9" t="s">
        <v>257</v>
      </c>
      <c r="M1243" s="21" cm="1">
        <f t="array" ref="M1243">_xlfn.SWITCH(MOD(C1229,4),1,G1243,2,H1243,3,J1243,0,I1243)</f>
        <v>195</v>
      </c>
    </row>
    <row r="1244" spans="5:13">
      <c r="E1244" s="21">
        <f t="shared" si="548"/>
        <v>1244</v>
      </c>
      <c r="F1244" s="9" t="s">
        <v>101</v>
      </c>
      <c r="M1244" s="21">
        <f t="shared" ref="M1244" si="553">M1230*10+1</f>
        <v>200621</v>
      </c>
    </row>
    <row r="1245" spans="5:13">
      <c r="E1245" s="21">
        <f t="shared" si="548"/>
        <v>1245</v>
      </c>
      <c r="F1245" s="9" t="s">
        <v>142</v>
      </c>
      <c r="M1245" s="21">
        <f t="shared" ref="M1245" si="554">M1230</f>
        <v>20062</v>
      </c>
    </row>
    <row r="1246" spans="5:13">
      <c r="E1246" s="21">
        <f t="shared" si="548"/>
        <v>1246</v>
      </c>
      <c r="F1246" s="9" t="s">
        <v>127</v>
      </c>
      <c r="M1246" s="21">
        <v>0</v>
      </c>
    </row>
    <row r="1247" spans="5:13">
      <c r="E1247" s="21">
        <f t="shared" si="548"/>
        <v>1247</v>
      </c>
      <c r="F1247" s="9" t="s">
        <v>111</v>
      </c>
      <c r="L1247" s="9" t="s">
        <v>134</v>
      </c>
      <c r="M1247" s="21">
        <v>0</v>
      </c>
    </row>
    <row r="1248" spans="5:13">
      <c r="E1248" s="21">
        <f t="shared" si="548"/>
        <v>1248</v>
      </c>
      <c r="F1248" s="9" t="s">
        <v>115</v>
      </c>
      <c r="M1248" s="21">
        <v>1.5</v>
      </c>
    </row>
    <row r="1249" spans="1:13">
      <c r="A1249" s="21" t="s">
        <v>227</v>
      </c>
      <c r="B1249" s="21">
        <f t="shared" ref="B1249" si="555">QUOTIENT( D1249-1,G1250)+1</f>
        <v>2</v>
      </c>
      <c r="C1249" s="21">
        <f t="shared" ref="C1249" si="556">D1249-(B1249-1)*G1250</f>
        <v>27</v>
      </c>
      <c r="D1249" s="21">
        <f>COUNT($D$8:$D1248)+1</f>
        <v>63</v>
      </c>
    </row>
    <row r="1250" spans="1:13">
      <c r="E1250" s="21">
        <f t="shared" ref="E1250:E1268" si="557">ROW(E1250)</f>
        <v>1250</v>
      </c>
      <c r="F1250" s="9" t="s">
        <v>93</v>
      </c>
      <c r="G1250" s="21">
        <v>36</v>
      </c>
      <c r="H1250" s="21">
        <v>2</v>
      </c>
      <c r="J1250" s="9" t="s">
        <v>250</v>
      </c>
      <c r="M1250" s="21">
        <f t="shared" ref="M1250" si="558">J1250+D1249</f>
        <v>20063</v>
      </c>
    </row>
    <row r="1251" spans="1:13">
      <c r="E1251" s="21">
        <f t="shared" si="557"/>
        <v>1251</v>
      </c>
      <c r="F1251" s="9" t="s">
        <v>142</v>
      </c>
      <c r="M1251" s="21">
        <v>199109</v>
      </c>
    </row>
    <row r="1252" spans="1:13">
      <c r="E1252" s="21">
        <f t="shared" si="557"/>
        <v>1252</v>
      </c>
      <c r="F1252" s="9" t="s">
        <v>126</v>
      </c>
      <c r="G1252" s="21">
        <v>5</v>
      </c>
      <c r="M1252" s="21">
        <f t="shared" ref="M1252" si="559">G1252*C1249</f>
        <v>135</v>
      </c>
    </row>
    <row r="1253" spans="1:13">
      <c r="E1253" s="21">
        <f t="shared" si="557"/>
        <v>1253</v>
      </c>
      <c r="F1253" s="9" t="s">
        <v>29</v>
      </c>
      <c r="M1253" s="21" t="s">
        <v>251</v>
      </c>
    </row>
    <row r="1254" spans="1:13">
      <c r="E1254" s="21">
        <f t="shared" si="557"/>
        <v>1254</v>
      </c>
      <c r="F1254" s="9" t="s">
        <v>118</v>
      </c>
      <c r="G1254" s="21" t="s">
        <v>256</v>
      </c>
      <c r="H1254" s="21" t="s">
        <v>256</v>
      </c>
      <c r="I1254" s="21" t="s">
        <v>256</v>
      </c>
      <c r="J1254" s="9" t="s">
        <v>256</v>
      </c>
      <c r="M1254" s="21" t="str" cm="1">
        <f t="array" ref="M1254">_xlfn.SWITCH(MOD(C1249,4),1,G1254,2,H1254,3,J1254,0,I1254)</f>
        <v>Shot2_purple</v>
      </c>
    </row>
    <row r="1255" spans="1:13">
      <c r="E1255" s="21">
        <f t="shared" si="557"/>
        <v>1255</v>
      </c>
      <c r="F1255" s="9" t="s">
        <v>98</v>
      </c>
      <c r="K1255" s="9" t="s">
        <v>137</v>
      </c>
      <c r="M1255" s="21">
        <v>2</v>
      </c>
    </row>
    <row r="1256" spans="1:13">
      <c r="E1256" s="21">
        <f t="shared" si="557"/>
        <v>1256</v>
      </c>
      <c r="F1256" s="9" t="s">
        <v>175</v>
      </c>
      <c r="G1256" s="21" t="s">
        <v>252</v>
      </c>
      <c r="H1256" s="21" t="s">
        <v>254</v>
      </c>
      <c r="K1256" s="9" t="s">
        <v>136</v>
      </c>
      <c r="M1256" s="21" t="str">
        <f t="shared" ref="M1256" si="560">IF(MOD(B1249,2)=1,G1256,H1256)</f>
        <v>-0.3,0</v>
      </c>
    </row>
    <row r="1257" spans="1:13">
      <c r="E1257" s="21">
        <f t="shared" si="557"/>
        <v>1257</v>
      </c>
      <c r="F1257" s="9" t="s">
        <v>117</v>
      </c>
      <c r="M1257" s="21" t="b">
        <v>1</v>
      </c>
    </row>
    <row r="1258" spans="1:13">
      <c r="E1258" s="21">
        <f t="shared" si="557"/>
        <v>1258</v>
      </c>
      <c r="F1258" s="9" t="s">
        <v>31</v>
      </c>
      <c r="L1258" s="9" t="s">
        <v>134</v>
      </c>
      <c r="M1258" s="21">
        <v>270</v>
      </c>
    </row>
    <row r="1259" spans="1:13">
      <c r="E1259" s="21">
        <f t="shared" si="557"/>
        <v>1259</v>
      </c>
      <c r="F1259" s="9" t="s">
        <v>111</v>
      </c>
      <c r="G1259" s="21">
        <v>120</v>
      </c>
      <c r="H1259" s="21">
        <v>-120</v>
      </c>
      <c r="L1259" s="9" t="s">
        <v>134</v>
      </c>
      <c r="M1259" s="21">
        <f t="shared" ref="M1259" si="561">IF(MOD(B1249,2)=1,G1259,H1259)</f>
        <v>-120</v>
      </c>
    </row>
    <row r="1260" spans="1:13">
      <c r="E1260" s="21">
        <f t="shared" si="557"/>
        <v>1260</v>
      </c>
      <c r="F1260" s="9" t="s">
        <v>114</v>
      </c>
      <c r="M1260" s="21" t="b">
        <v>1</v>
      </c>
    </row>
    <row r="1261" spans="1:13">
      <c r="E1261" s="21">
        <f t="shared" si="557"/>
        <v>1261</v>
      </c>
      <c r="F1261" s="9" t="s">
        <v>30</v>
      </c>
      <c r="M1261" s="21">
        <v>3</v>
      </c>
    </row>
    <row r="1262" spans="1:13">
      <c r="E1262" s="21">
        <f t="shared" si="557"/>
        <v>1262</v>
      </c>
      <c r="F1262" s="9" t="s">
        <v>196</v>
      </c>
      <c r="M1262" s="21">
        <v>0</v>
      </c>
    </row>
    <row r="1263" spans="1:13">
      <c r="E1263" s="21">
        <f t="shared" si="557"/>
        <v>1263</v>
      </c>
      <c r="F1263" s="9" t="s">
        <v>35</v>
      </c>
      <c r="G1263" s="21">
        <v>185</v>
      </c>
      <c r="H1263" s="21">
        <v>195</v>
      </c>
      <c r="I1263" s="21">
        <v>205</v>
      </c>
      <c r="J1263" s="9" t="s">
        <v>257</v>
      </c>
      <c r="M1263" s="21" t="str" cm="1">
        <f t="array" ref="M1263">_xlfn.SWITCH(MOD(C1249,4),1,G1263,2,H1263,3,J1263,0,I1263)</f>
        <v>215</v>
      </c>
    </row>
    <row r="1264" spans="1:13">
      <c r="E1264" s="21">
        <f t="shared" si="557"/>
        <v>1264</v>
      </c>
      <c r="F1264" s="9" t="s">
        <v>101</v>
      </c>
      <c r="M1264" s="21">
        <f t="shared" ref="M1264" si="562">M1250*10+1</f>
        <v>200631</v>
      </c>
    </row>
    <row r="1265" spans="1:13">
      <c r="E1265" s="21">
        <f t="shared" si="557"/>
        <v>1265</v>
      </c>
      <c r="F1265" s="9" t="s">
        <v>142</v>
      </c>
      <c r="M1265" s="21">
        <f t="shared" ref="M1265" si="563">M1250</f>
        <v>20063</v>
      </c>
    </row>
    <row r="1266" spans="1:13">
      <c r="E1266" s="21">
        <f t="shared" si="557"/>
        <v>1266</v>
      </c>
      <c r="F1266" s="9" t="s">
        <v>127</v>
      </c>
      <c r="M1266" s="21">
        <v>0</v>
      </c>
    </row>
    <row r="1267" spans="1:13">
      <c r="E1267" s="21">
        <f t="shared" si="557"/>
        <v>1267</v>
      </c>
      <c r="F1267" s="9" t="s">
        <v>111</v>
      </c>
      <c r="L1267" s="9" t="s">
        <v>134</v>
      </c>
      <c r="M1267" s="21">
        <v>0</v>
      </c>
    </row>
    <row r="1268" spans="1:13">
      <c r="E1268" s="21">
        <f t="shared" si="557"/>
        <v>1268</v>
      </c>
      <c r="F1268" s="9" t="s">
        <v>115</v>
      </c>
      <c r="M1268" s="21">
        <v>1.5</v>
      </c>
    </row>
    <row r="1269" spans="1:13">
      <c r="A1269" s="21" t="s">
        <v>227</v>
      </c>
      <c r="B1269" s="21">
        <f t="shared" ref="B1269" si="564">QUOTIENT( D1269-1,G1270)+1</f>
        <v>2</v>
      </c>
      <c r="C1269" s="21">
        <f t="shared" ref="C1269" si="565">D1269-(B1269-1)*G1270</f>
        <v>28</v>
      </c>
      <c r="D1269" s="21">
        <f>COUNT($D$8:$D1268)+1</f>
        <v>64</v>
      </c>
    </row>
    <row r="1270" spans="1:13">
      <c r="E1270" s="21">
        <f t="shared" ref="E1270:E1288" si="566">ROW(E1270)</f>
        <v>1270</v>
      </c>
      <c r="F1270" s="9" t="s">
        <v>93</v>
      </c>
      <c r="G1270" s="21">
        <v>36</v>
      </c>
      <c r="H1270" s="21">
        <v>2</v>
      </c>
      <c r="J1270" s="9" t="s">
        <v>250</v>
      </c>
      <c r="M1270" s="21">
        <f t="shared" ref="M1270" si="567">J1270+D1269</f>
        <v>20064</v>
      </c>
    </row>
    <row r="1271" spans="1:13">
      <c r="E1271" s="21">
        <f t="shared" si="566"/>
        <v>1271</v>
      </c>
      <c r="F1271" s="9" t="s">
        <v>142</v>
      </c>
      <c r="M1271" s="21">
        <v>199109</v>
      </c>
    </row>
    <row r="1272" spans="1:13">
      <c r="E1272" s="21">
        <f t="shared" si="566"/>
        <v>1272</v>
      </c>
      <c r="F1272" s="9" t="s">
        <v>126</v>
      </c>
      <c r="G1272" s="21">
        <v>5</v>
      </c>
      <c r="M1272" s="21">
        <f t="shared" ref="M1272" si="568">G1272*C1269</f>
        <v>140</v>
      </c>
    </row>
    <row r="1273" spans="1:13">
      <c r="E1273" s="21">
        <f t="shared" si="566"/>
        <v>1273</v>
      </c>
      <c r="F1273" s="9" t="s">
        <v>29</v>
      </c>
      <c r="M1273" s="21" t="s">
        <v>251</v>
      </c>
    </row>
    <row r="1274" spans="1:13">
      <c r="E1274" s="21">
        <f t="shared" si="566"/>
        <v>1274</v>
      </c>
      <c r="F1274" s="9" t="s">
        <v>118</v>
      </c>
      <c r="G1274" s="21" t="s">
        <v>256</v>
      </c>
      <c r="H1274" s="21" t="s">
        <v>256</v>
      </c>
      <c r="I1274" s="21" t="s">
        <v>256</v>
      </c>
      <c r="J1274" s="9" t="s">
        <v>256</v>
      </c>
      <c r="M1274" s="21" t="str" cm="1">
        <f t="array" ref="M1274">_xlfn.SWITCH(MOD(C1269,4),1,G1274,2,H1274,3,J1274,0,I1274)</f>
        <v>Shot2_purple</v>
      </c>
    </row>
    <row r="1275" spans="1:13">
      <c r="E1275" s="21">
        <f t="shared" si="566"/>
        <v>1275</v>
      </c>
      <c r="F1275" s="9" t="s">
        <v>98</v>
      </c>
      <c r="K1275" s="9" t="s">
        <v>137</v>
      </c>
      <c r="M1275" s="21">
        <v>2</v>
      </c>
    </row>
    <row r="1276" spans="1:13">
      <c r="E1276" s="21">
        <f t="shared" si="566"/>
        <v>1276</v>
      </c>
      <c r="F1276" s="9" t="s">
        <v>175</v>
      </c>
      <c r="G1276" s="21" t="s">
        <v>252</v>
      </c>
      <c r="H1276" s="21" t="s">
        <v>254</v>
      </c>
      <c r="K1276" s="9" t="s">
        <v>136</v>
      </c>
      <c r="M1276" s="21" t="str">
        <f t="shared" ref="M1276" si="569">IF(MOD(B1269,2)=1,G1276,H1276)</f>
        <v>-0.3,0</v>
      </c>
    </row>
    <row r="1277" spans="1:13">
      <c r="E1277" s="21">
        <f t="shared" si="566"/>
        <v>1277</v>
      </c>
      <c r="F1277" s="9" t="s">
        <v>117</v>
      </c>
      <c r="M1277" s="21" t="b">
        <v>1</v>
      </c>
    </row>
    <row r="1278" spans="1:13">
      <c r="E1278" s="21">
        <f t="shared" si="566"/>
        <v>1278</v>
      </c>
      <c r="F1278" s="9" t="s">
        <v>31</v>
      </c>
      <c r="L1278" s="9" t="s">
        <v>134</v>
      </c>
      <c r="M1278" s="21">
        <v>270</v>
      </c>
    </row>
    <row r="1279" spans="1:13">
      <c r="E1279" s="21">
        <f t="shared" si="566"/>
        <v>1279</v>
      </c>
      <c r="F1279" s="9" t="s">
        <v>111</v>
      </c>
      <c r="G1279" s="21">
        <v>120</v>
      </c>
      <c r="H1279" s="21">
        <v>-120</v>
      </c>
      <c r="L1279" s="9" t="s">
        <v>134</v>
      </c>
      <c r="M1279" s="21">
        <f t="shared" ref="M1279" si="570">IF(MOD(B1269,2)=1,G1279,H1279)</f>
        <v>-120</v>
      </c>
    </row>
    <row r="1280" spans="1:13">
      <c r="E1280" s="21">
        <f t="shared" si="566"/>
        <v>1280</v>
      </c>
      <c r="F1280" s="9" t="s">
        <v>114</v>
      </c>
      <c r="M1280" s="21" t="b">
        <v>1</v>
      </c>
    </row>
    <row r="1281" spans="1:13">
      <c r="E1281" s="21">
        <f t="shared" si="566"/>
        <v>1281</v>
      </c>
      <c r="F1281" s="9" t="s">
        <v>30</v>
      </c>
      <c r="M1281" s="21">
        <v>3</v>
      </c>
    </row>
    <row r="1282" spans="1:13">
      <c r="E1282" s="21">
        <f t="shared" si="566"/>
        <v>1282</v>
      </c>
      <c r="F1282" s="9" t="s">
        <v>196</v>
      </c>
      <c r="M1282" s="21">
        <v>0</v>
      </c>
    </row>
    <row r="1283" spans="1:13">
      <c r="E1283" s="21">
        <f t="shared" si="566"/>
        <v>1283</v>
      </c>
      <c r="F1283" s="9" t="s">
        <v>35</v>
      </c>
      <c r="G1283" s="21">
        <v>185</v>
      </c>
      <c r="H1283" s="21">
        <v>195</v>
      </c>
      <c r="I1283" s="21">
        <v>205</v>
      </c>
      <c r="J1283" s="9" t="s">
        <v>257</v>
      </c>
      <c r="M1283" s="21" cm="1">
        <f t="array" ref="M1283">_xlfn.SWITCH(MOD(C1269,4),1,G1283,2,H1283,3,J1283,0,I1283)</f>
        <v>205</v>
      </c>
    </row>
    <row r="1284" spans="1:13">
      <c r="E1284" s="21">
        <f t="shared" si="566"/>
        <v>1284</v>
      </c>
      <c r="F1284" s="9" t="s">
        <v>101</v>
      </c>
      <c r="M1284" s="21">
        <f t="shared" ref="M1284" si="571">M1270*10+1</f>
        <v>200641</v>
      </c>
    </row>
    <row r="1285" spans="1:13">
      <c r="E1285" s="21">
        <f t="shared" si="566"/>
        <v>1285</v>
      </c>
      <c r="F1285" s="9" t="s">
        <v>142</v>
      </c>
      <c r="M1285" s="21">
        <f t="shared" ref="M1285" si="572">M1270</f>
        <v>20064</v>
      </c>
    </row>
    <row r="1286" spans="1:13">
      <c r="E1286" s="21">
        <f t="shared" si="566"/>
        <v>1286</v>
      </c>
      <c r="F1286" s="9" t="s">
        <v>127</v>
      </c>
      <c r="M1286" s="21">
        <v>0</v>
      </c>
    </row>
    <row r="1287" spans="1:13">
      <c r="E1287" s="21">
        <f t="shared" si="566"/>
        <v>1287</v>
      </c>
      <c r="F1287" s="9" t="s">
        <v>111</v>
      </c>
      <c r="L1287" s="9" t="s">
        <v>134</v>
      </c>
      <c r="M1287" s="21">
        <v>0</v>
      </c>
    </row>
    <row r="1288" spans="1:13">
      <c r="E1288" s="21">
        <f t="shared" si="566"/>
        <v>1288</v>
      </c>
      <c r="F1288" s="9" t="s">
        <v>115</v>
      </c>
      <c r="M1288" s="21">
        <v>1.5</v>
      </c>
    </row>
    <row r="1289" spans="1:13">
      <c r="A1289" s="21" t="s">
        <v>227</v>
      </c>
      <c r="B1289" s="21">
        <f t="shared" ref="B1289" si="573">QUOTIENT( D1289-1,G1290)+1</f>
        <v>2</v>
      </c>
      <c r="C1289" s="21">
        <f t="shared" ref="C1289" si="574">D1289-(B1289-1)*G1290</f>
        <v>29</v>
      </c>
      <c r="D1289" s="21">
        <f>COUNT($D$8:$D1288)+1</f>
        <v>65</v>
      </c>
    </row>
    <row r="1290" spans="1:13">
      <c r="E1290" s="21">
        <f t="shared" ref="E1290:E1308" si="575">ROW(E1290)</f>
        <v>1290</v>
      </c>
      <c r="F1290" s="9" t="s">
        <v>93</v>
      </c>
      <c r="G1290" s="21">
        <v>36</v>
      </c>
      <c r="H1290" s="21">
        <v>2</v>
      </c>
      <c r="J1290" s="9" t="s">
        <v>250</v>
      </c>
      <c r="M1290" s="21">
        <f t="shared" ref="M1290" si="576">J1290+D1289</f>
        <v>20065</v>
      </c>
    </row>
    <row r="1291" spans="1:13">
      <c r="E1291" s="21">
        <f t="shared" si="575"/>
        <v>1291</v>
      </c>
      <c r="F1291" s="9" t="s">
        <v>142</v>
      </c>
      <c r="M1291" s="21">
        <v>199109</v>
      </c>
    </row>
    <row r="1292" spans="1:13">
      <c r="E1292" s="21">
        <f t="shared" si="575"/>
        <v>1292</v>
      </c>
      <c r="F1292" s="9" t="s">
        <v>126</v>
      </c>
      <c r="G1292" s="21">
        <v>5</v>
      </c>
      <c r="M1292" s="21">
        <f t="shared" ref="M1292" si="577">G1292*C1289</f>
        <v>145</v>
      </c>
    </row>
    <row r="1293" spans="1:13">
      <c r="E1293" s="21">
        <f t="shared" si="575"/>
        <v>1293</v>
      </c>
      <c r="F1293" s="9" t="s">
        <v>29</v>
      </c>
      <c r="M1293" s="21" t="s">
        <v>251</v>
      </c>
    </row>
    <row r="1294" spans="1:13">
      <c r="E1294" s="21">
        <f t="shared" si="575"/>
        <v>1294</v>
      </c>
      <c r="F1294" s="9" t="s">
        <v>118</v>
      </c>
      <c r="G1294" s="21" t="s">
        <v>256</v>
      </c>
      <c r="H1294" s="21" t="s">
        <v>256</v>
      </c>
      <c r="I1294" s="21" t="s">
        <v>256</v>
      </c>
      <c r="J1294" s="9" t="s">
        <v>256</v>
      </c>
      <c r="M1294" s="21" t="str" cm="1">
        <f t="array" ref="M1294">_xlfn.SWITCH(MOD(C1289,4),1,G1294,2,H1294,3,J1294,0,I1294)</f>
        <v>Shot2_purple</v>
      </c>
    </row>
    <row r="1295" spans="1:13">
      <c r="E1295" s="21">
        <f t="shared" si="575"/>
        <v>1295</v>
      </c>
      <c r="F1295" s="9" t="s">
        <v>98</v>
      </c>
      <c r="K1295" s="9" t="s">
        <v>137</v>
      </c>
      <c r="M1295" s="21">
        <v>2</v>
      </c>
    </row>
    <row r="1296" spans="1:13">
      <c r="E1296" s="21">
        <f t="shared" si="575"/>
        <v>1296</v>
      </c>
      <c r="F1296" s="9" t="s">
        <v>175</v>
      </c>
      <c r="G1296" s="21" t="s">
        <v>252</v>
      </c>
      <c r="H1296" s="21" t="s">
        <v>254</v>
      </c>
      <c r="K1296" s="9" t="s">
        <v>136</v>
      </c>
      <c r="M1296" s="21" t="str">
        <f t="shared" ref="M1296" si="578">IF(MOD(B1289,2)=1,G1296,H1296)</f>
        <v>-0.3,0</v>
      </c>
    </row>
    <row r="1297" spans="1:13">
      <c r="E1297" s="21">
        <f t="shared" si="575"/>
        <v>1297</v>
      </c>
      <c r="F1297" s="9" t="s">
        <v>117</v>
      </c>
      <c r="M1297" s="21" t="b">
        <v>1</v>
      </c>
    </row>
    <row r="1298" spans="1:13">
      <c r="E1298" s="21">
        <f t="shared" si="575"/>
        <v>1298</v>
      </c>
      <c r="F1298" s="9" t="s">
        <v>31</v>
      </c>
      <c r="L1298" s="9" t="s">
        <v>134</v>
      </c>
      <c r="M1298" s="21">
        <v>270</v>
      </c>
    </row>
    <row r="1299" spans="1:13">
      <c r="E1299" s="21">
        <f t="shared" si="575"/>
        <v>1299</v>
      </c>
      <c r="F1299" s="9" t="s">
        <v>111</v>
      </c>
      <c r="G1299" s="21">
        <v>120</v>
      </c>
      <c r="H1299" s="21">
        <v>-120</v>
      </c>
      <c r="L1299" s="9" t="s">
        <v>134</v>
      </c>
      <c r="M1299" s="21">
        <f t="shared" ref="M1299" si="579">IF(MOD(B1289,2)=1,G1299,H1299)</f>
        <v>-120</v>
      </c>
    </row>
    <row r="1300" spans="1:13">
      <c r="E1300" s="21">
        <f t="shared" si="575"/>
        <v>1300</v>
      </c>
      <c r="F1300" s="9" t="s">
        <v>114</v>
      </c>
      <c r="M1300" s="21" t="b">
        <v>1</v>
      </c>
    </row>
    <row r="1301" spans="1:13">
      <c r="E1301" s="21">
        <f t="shared" si="575"/>
        <v>1301</v>
      </c>
      <c r="F1301" s="9" t="s">
        <v>30</v>
      </c>
      <c r="M1301" s="21">
        <v>3</v>
      </c>
    </row>
    <row r="1302" spans="1:13">
      <c r="E1302" s="21">
        <f t="shared" si="575"/>
        <v>1302</v>
      </c>
      <c r="F1302" s="9" t="s">
        <v>196</v>
      </c>
      <c r="M1302" s="21">
        <v>0</v>
      </c>
    </row>
    <row r="1303" spans="1:13">
      <c r="E1303" s="21">
        <f t="shared" si="575"/>
        <v>1303</v>
      </c>
      <c r="F1303" s="9" t="s">
        <v>35</v>
      </c>
      <c r="G1303" s="21">
        <v>185</v>
      </c>
      <c r="H1303" s="21">
        <v>195</v>
      </c>
      <c r="I1303" s="21">
        <v>205</v>
      </c>
      <c r="J1303" s="9" t="s">
        <v>257</v>
      </c>
      <c r="M1303" s="21" cm="1">
        <f t="array" ref="M1303">_xlfn.SWITCH(MOD(C1289,4),1,G1303,2,H1303,3,J1303,0,I1303)</f>
        <v>185</v>
      </c>
    </row>
    <row r="1304" spans="1:13">
      <c r="E1304" s="21">
        <f t="shared" si="575"/>
        <v>1304</v>
      </c>
      <c r="F1304" s="9" t="s">
        <v>101</v>
      </c>
      <c r="M1304" s="21">
        <f t="shared" ref="M1304" si="580">M1290*10+1</f>
        <v>200651</v>
      </c>
    </row>
    <row r="1305" spans="1:13">
      <c r="E1305" s="21">
        <f t="shared" si="575"/>
        <v>1305</v>
      </c>
      <c r="F1305" s="9" t="s">
        <v>142</v>
      </c>
      <c r="M1305" s="21">
        <f t="shared" ref="M1305" si="581">M1290</f>
        <v>20065</v>
      </c>
    </row>
    <row r="1306" spans="1:13">
      <c r="E1306" s="21">
        <f t="shared" si="575"/>
        <v>1306</v>
      </c>
      <c r="F1306" s="9" t="s">
        <v>127</v>
      </c>
      <c r="M1306" s="21">
        <v>0</v>
      </c>
    </row>
    <row r="1307" spans="1:13">
      <c r="E1307" s="21">
        <f t="shared" si="575"/>
        <v>1307</v>
      </c>
      <c r="F1307" s="9" t="s">
        <v>111</v>
      </c>
      <c r="L1307" s="9" t="s">
        <v>134</v>
      </c>
      <c r="M1307" s="21">
        <v>0</v>
      </c>
    </row>
    <row r="1308" spans="1:13">
      <c r="E1308" s="21">
        <f t="shared" si="575"/>
        <v>1308</v>
      </c>
      <c r="F1308" s="9" t="s">
        <v>115</v>
      </c>
      <c r="M1308" s="21">
        <v>1.5</v>
      </c>
    </row>
    <row r="1309" spans="1:13">
      <c r="A1309" s="21" t="s">
        <v>227</v>
      </c>
      <c r="B1309" s="21">
        <f t="shared" ref="B1309" si="582">QUOTIENT( D1309-1,G1310)+1</f>
        <v>2</v>
      </c>
      <c r="C1309" s="21">
        <f t="shared" ref="C1309" si="583">D1309-(B1309-1)*G1310</f>
        <v>30</v>
      </c>
      <c r="D1309" s="21">
        <f>COUNT($D$8:$D1308)+1</f>
        <v>66</v>
      </c>
    </row>
    <row r="1310" spans="1:13">
      <c r="E1310" s="21">
        <f t="shared" ref="E1310:E1328" si="584">ROW(E1310)</f>
        <v>1310</v>
      </c>
      <c r="F1310" s="9" t="s">
        <v>93</v>
      </c>
      <c r="G1310" s="21">
        <v>36</v>
      </c>
      <c r="H1310" s="21">
        <v>2</v>
      </c>
      <c r="J1310" s="9" t="s">
        <v>250</v>
      </c>
      <c r="M1310" s="21">
        <f t="shared" ref="M1310" si="585">J1310+D1309</f>
        <v>20066</v>
      </c>
    </row>
    <row r="1311" spans="1:13">
      <c r="E1311" s="21">
        <f t="shared" si="584"/>
        <v>1311</v>
      </c>
      <c r="F1311" s="9" t="s">
        <v>142</v>
      </c>
      <c r="M1311" s="21">
        <v>199109</v>
      </c>
    </row>
    <row r="1312" spans="1:13">
      <c r="E1312" s="21">
        <f t="shared" si="584"/>
        <v>1312</v>
      </c>
      <c r="F1312" s="9" t="s">
        <v>126</v>
      </c>
      <c r="G1312" s="21">
        <v>5</v>
      </c>
      <c r="M1312" s="21">
        <f t="shared" ref="M1312" si="586">G1312*C1309</f>
        <v>150</v>
      </c>
    </row>
    <row r="1313" spans="5:13">
      <c r="E1313" s="21">
        <f t="shared" si="584"/>
        <v>1313</v>
      </c>
      <c r="F1313" s="9" t="s">
        <v>29</v>
      </c>
      <c r="M1313" s="21" t="s">
        <v>251</v>
      </c>
    </row>
    <row r="1314" spans="5:13">
      <c r="E1314" s="21">
        <f t="shared" si="584"/>
        <v>1314</v>
      </c>
      <c r="F1314" s="9" t="s">
        <v>118</v>
      </c>
      <c r="G1314" s="21" t="s">
        <v>256</v>
      </c>
      <c r="H1314" s="21" t="s">
        <v>256</v>
      </c>
      <c r="I1314" s="21" t="s">
        <v>256</v>
      </c>
      <c r="J1314" s="9" t="s">
        <v>256</v>
      </c>
      <c r="M1314" s="21" t="str" cm="1">
        <f t="array" ref="M1314">_xlfn.SWITCH(MOD(C1309,4),1,G1314,2,H1314,3,J1314,0,I1314)</f>
        <v>Shot2_purple</v>
      </c>
    </row>
    <row r="1315" spans="5:13">
      <c r="E1315" s="21">
        <f t="shared" si="584"/>
        <v>1315</v>
      </c>
      <c r="F1315" s="9" t="s">
        <v>98</v>
      </c>
      <c r="K1315" s="9" t="s">
        <v>137</v>
      </c>
      <c r="M1315" s="21">
        <v>2</v>
      </c>
    </row>
    <row r="1316" spans="5:13">
      <c r="E1316" s="21">
        <f t="shared" si="584"/>
        <v>1316</v>
      </c>
      <c r="F1316" s="9" t="s">
        <v>175</v>
      </c>
      <c r="G1316" s="21" t="s">
        <v>252</v>
      </c>
      <c r="H1316" s="21" t="s">
        <v>254</v>
      </c>
      <c r="K1316" s="9" t="s">
        <v>136</v>
      </c>
      <c r="M1316" s="21" t="str">
        <f t="shared" ref="M1316" si="587">IF(MOD(B1309,2)=1,G1316,H1316)</f>
        <v>-0.3,0</v>
      </c>
    </row>
    <row r="1317" spans="5:13">
      <c r="E1317" s="21">
        <f t="shared" si="584"/>
        <v>1317</v>
      </c>
      <c r="F1317" s="9" t="s">
        <v>117</v>
      </c>
      <c r="M1317" s="21" t="b">
        <v>1</v>
      </c>
    </row>
    <row r="1318" spans="5:13">
      <c r="E1318" s="21">
        <f t="shared" si="584"/>
        <v>1318</v>
      </c>
      <c r="F1318" s="9" t="s">
        <v>31</v>
      </c>
      <c r="L1318" s="9" t="s">
        <v>134</v>
      </c>
      <c r="M1318" s="21">
        <v>270</v>
      </c>
    </row>
    <row r="1319" spans="5:13">
      <c r="E1319" s="21">
        <f t="shared" si="584"/>
        <v>1319</v>
      </c>
      <c r="F1319" s="9" t="s">
        <v>111</v>
      </c>
      <c r="G1319" s="21">
        <v>120</v>
      </c>
      <c r="H1319" s="21">
        <v>-120</v>
      </c>
      <c r="L1319" s="9" t="s">
        <v>134</v>
      </c>
      <c r="M1319" s="21">
        <f t="shared" ref="M1319" si="588">IF(MOD(B1309,2)=1,G1319,H1319)</f>
        <v>-120</v>
      </c>
    </row>
    <row r="1320" spans="5:13">
      <c r="E1320" s="21">
        <f t="shared" si="584"/>
        <v>1320</v>
      </c>
      <c r="F1320" s="9" t="s">
        <v>114</v>
      </c>
      <c r="M1320" s="21" t="b">
        <v>1</v>
      </c>
    </row>
    <row r="1321" spans="5:13">
      <c r="E1321" s="21">
        <f t="shared" si="584"/>
        <v>1321</v>
      </c>
      <c r="F1321" s="9" t="s">
        <v>30</v>
      </c>
      <c r="M1321" s="21">
        <v>3</v>
      </c>
    </row>
    <row r="1322" spans="5:13">
      <c r="E1322" s="21">
        <f t="shared" si="584"/>
        <v>1322</v>
      </c>
      <c r="F1322" s="9" t="s">
        <v>196</v>
      </c>
      <c r="M1322" s="21">
        <v>0</v>
      </c>
    </row>
    <row r="1323" spans="5:13">
      <c r="E1323" s="21">
        <f t="shared" si="584"/>
        <v>1323</v>
      </c>
      <c r="F1323" s="9" t="s">
        <v>35</v>
      </c>
      <c r="G1323" s="21">
        <v>185</v>
      </c>
      <c r="H1323" s="21">
        <v>195</v>
      </c>
      <c r="I1323" s="21">
        <v>205</v>
      </c>
      <c r="J1323" s="9" t="s">
        <v>257</v>
      </c>
      <c r="M1323" s="21" cm="1">
        <f t="array" ref="M1323">_xlfn.SWITCH(MOD(C1309,4),1,G1323,2,H1323,3,J1323,0,I1323)</f>
        <v>195</v>
      </c>
    </row>
    <row r="1324" spans="5:13">
      <c r="E1324" s="21">
        <f t="shared" si="584"/>
        <v>1324</v>
      </c>
      <c r="F1324" s="9" t="s">
        <v>101</v>
      </c>
      <c r="M1324" s="21">
        <f t="shared" ref="M1324" si="589">M1310*10+1</f>
        <v>200661</v>
      </c>
    </row>
    <row r="1325" spans="5:13">
      <c r="E1325" s="21">
        <f t="shared" si="584"/>
        <v>1325</v>
      </c>
      <c r="F1325" s="9" t="s">
        <v>142</v>
      </c>
      <c r="M1325" s="21">
        <f t="shared" ref="M1325" si="590">M1310</f>
        <v>20066</v>
      </c>
    </row>
    <row r="1326" spans="5:13">
      <c r="E1326" s="21">
        <f t="shared" si="584"/>
        <v>1326</v>
      </c>
      <c r="F1326" s="9" t="s">
        <v>127</v>
      </c>
      <c r="M1326" s="21">
        <v>0</v>
      </c>
    </row>
    <row r="1327" spans="5:13">
      <c r="E1327" s="21">
        <f t="shared" si="584"/>
        <v>1327</v>
      </c>
      <c r="F1327" s="9" t="s">
        <v>111</v>
      </c>
      <c r="L1327" s="9" t="s">
        <v>134</v>
      </c>
      <c r="M1327" s="21">
        <v>0</v>
      </c>
    </row>
    <row r="1328" spans="5:13">
      <c r="E1328" s="21">
        <f t="shared" si="584"/>
        <v>1328</v>
      </c>
      <c r="F1328" s="9" t="s">
        <v>115</v>
      </c>
      <c r="M1328" s="21">
        <v>1.5</v>
      </c>
    </row>
    <row r="1329" spans="1:13">
      <c r="A1329" s="21" t="s">
        <v>227</v>
      </c>
      <c r="B1329" s="21">
        <f t="shared" ref="B1329" si="591">QUOTIENT( D1329-1,G1330)+1</f>
        <v>2</v>
      </c>
      <c r="C1329" s="21">
        <f t="shared" ref="C1329" si="592">D1329-(B1329-1)*G1330</f>
        <v>31</v>
      </c>
      <c r="D1329" s="21">
        <f>COUNT($D$8:$D1328)+1</f>
        <v>67</v>
      </c>
    </row>
    <row r="1330" spans="1:13">
      <c r="E1330" s="21">
        <f t="shared" ref="E1330:E1348" si="593">ROW(E1330)</f>
        <v>1330</v>
      </c>
      <c r="F1330" s="9" t="s">
        <v>93</v>
      </c>
      <c r="G1330" s="21">
        <v>36</v>
      </c>
      <c r="H1330" s="21">
        <v>2</v>
      </c>
      <c r="J1330" s="9" t="s">
        <v>250</v>
      </c>
      <c r="M1330" s="21">
        <f t="shared" ref="M1330" si="594">J1330+D1329</f>
        <v>20067</v>
      </c>
    </row>
    <row r="1331" spans="1:13">
      <c r="E1331" s="21">
        <f t="shared" si="593"/>
        <v>1331</v>
      </c>
      <c r="F1331" s="9" t="s">
        <v>142</v>
      </c>
      <c r="M1331" s="21">
        <v>199109</v>
      </c>
    </row>
    <row r="1332" spans="1:13">
      <c r="E1332" s="21">
        <f t="shared" si="593"/>
        <v>1332</v>
      </c>
      <c r="F1332" s="9" t="s">
        <v>126</v>
      </c>
      <c r="G1332" s="21">
        <v>5</v>
      </c>
      <c r="M1332" s="21">
        <f t="shared" ref="M1332" si="595">G1332*C1329</f>
        <v>155</v>
      </c>
    </row>
    <row r="1333" spans="1:13">
      <c r="E1333" s="21">
        <f t="shared" si="593"/>
        <v>1333</v>
      </c>
      <c r="F1333" s="9" t="s">
        <v>29</v>
      </c>
      <c r="M1333" s="21" t="s">
        <v>251</v>
      </c>
    </row>
    <row r="1334" spans="1:13">
      <c r="E1334" s="21">
        <f t="shared" si="593"/>
        <v>1334</v>
      </c>
      <c r="F1334" s="9" t="s">
        <v>118</v>
      </c>
      <c r="G1334" s="21" t="s">
        <v>256</v>
      </c>
      <c r="H1334" s="21" t="s">
        <v>256</v>
      </c>
      <c r="I1334" s="21" t="s">
        <v>256</v>
      </c>
      <c r="J1334" s="9" t="s">
        <v>256</v>
      </c>
      <c r="M1334" s="21" t="str" cm="1">
        <f t="array" ref="M1334">_xlfn.SWITCH(MOD(C1329,4),1,G1334,2,H1334,3,J1334,0,I1334)</f>
        <v>Shot2_purple</v>
      </c>
    </row>
    <row r="1335" spans="1:13">
      <c r="E1335" s="21">
        <f t="shared" si="593"/>
        <v>1335</v>
      </c>
      <c r="F1335" s="9" t="s">
        <v>98</v>
      </c>
      <c r="K1335" s="9" t="s">
        <v>137</v>
      </c>
      <c r="M1335" s="21">
        <v>2</v>
      </c>
    </row>
    <row r="1336" spans="1:13">
      <c r="E1336" s="21">
        <f t="shared" si="593"/>
        <v>1336</v>
      </c>
      <c r="F1336" s="9" t="s">
        <v>175</v>
      </c>
      <c r="G1336" s="21" t="s">
        <v>252</v>
      </c>
      <c r="H1336" s="21" t="s">
        <v>254</v>
      </c>
      <c r="K1336" s="9" t="s">
        <v>136</v>
      </c>
      <c r="M1336" s="21" t="str">
        <f t="shared" ref="M1336" si="596">IF(MOD(B1329,2)=1,G1336,H1336)</f>
        <v>-0.3,0</v>
      </c>
    </row>
    <row r="1337" spans="1:13">
      <c r="E1337" s="21">
        <f t="shared" si="593"/>
        <v>1337</v>
      </c>
      <c r="F1337" s="9" t="s">
        <v>117</v>
      </c>
      <c r="M1337" s="21" t="b">
        <v>1</v>
      </c>
    </row>
    <row r="1338" spans="1:13">
      <c r="E1338" s="21">
        <f t="shared" si="593"/>
        <v>1338</v>
      </c>
      <c r="F1338" s="9" t="s">
        <v>31</v>
      </c>
      <c r="L1338" s="9" t="s">
        <v>134</v>
      </c>
      <c r="M1338" s="21">
        <v>270</v>
      </c>
    </row>
    <row r="1339" spans="1:13">
      <c r="E1339" s="21">
        <f t="shared" si="593"/>
        <v>1339</v>
      </c>
      <c r="F1339" s="9" t="s">
        <v>111</v>
      </c>
      <c r="G1339" s="21">
        <v>120</v>
      </c>
      <c r="H1339" s="21">
        <v>-120</v>
      </c>
      <c r="L1339" s="9" t="s">
        <v>134</v>
      </c>
      <c r="M1339" s="21">
        <f t="shared" ref="M1339" si="597">IF(MOD(B1329,2)=1,G1339,H1339)</f>
        <v>-120</v>
      </c>
    </row>
    <row r="1340" spans="1:13">
      <c r="E1340" s="21">
        <f t="shared" si="593"/>
        <v>1340</v>
      </c>
      <c r="F1340" s="9" t="s">
        <v>114</v>
      </c>
      <c r="M1340" s="21" t="b">
        <v>1</v>
      </c>
    </row>
    <row r="1341" spans="1:13">
      <c r="E1341" s="21">
        <f t="shared" si="593"/>
        <v>1341</v>
      </c>
      <c r="F1341" s="9" t="s">
        <v>30</v>
      </c>
      <c r="M1341" s="21">
        <v>3</v>
      </c>
    </row>
    <row r="1342" spans="1:13">
      <c r="E1342" s="21">
        <f t="shared" si="593"/>
        <v>1342</v>
      </c>
      <c r="F1342" s="9" t="s">
        <v>196</v>
      </c>
      <c r="M1342" s="21">
        <v>0</v>
      </c>
    </row>
    <row r="1343" spans="1:13">
      <c r="E1343" s="21">
        <f t="shared" si="593"/>
        <v>1343</v>
      </c>
      <c r="F1343" s="9" t="s">
        <v>35</v>
      </c>
      <c r="G1343" s="21">
        <v>185</v>
      </c>
      <c r="H1343" s="21">
        <v>195</v>
      </c>
      <c r="I1343" s="21">
        <v>205</v>
      </c>
      <c r="J1343" s="9" t="s">
        <v>257</v>
      </c>
      <c r="M1343" s="21" t="str" cm="1">
        <f t="array" ref="M1343">_xlfn.SWITCH(MOD(C1329,4),1,G1343,2,H1343,3,J1343,0,I1343)</f>
        <v>215</v>
      </c>
    </row>
    <row r="1344" spans="1:13">
      <c r="E1344" s="21">
        <f t="shared" si="593"/>
        <v>1344</v>
      </c>
      <c r="F1344" s="9" t="s">
        <v>101</v>
      </c>
      <c r="M1344" s="21">
        <f t="shared" ref="M1344" si="598">M1330*10+1</f>
        <v>200671</v>
      </c>
    </row>
    <row r="1345" spans="1:13">
      <c r="E1345" s="21">
        <f t="shared" si="593"/>
        <v>1345</v>
      </c>
      <c r="F1345" s="9" t="s">
        <v>142</v>
      </c>
      <c r="M1345" s="21">
        <f t="shared" ref="M1345" si="599">M1330</f>
        <v>20067</v>
      </c>
    </row>
    <row r="1346" spans="1:13">
      <c r="E1346" s="21">
        <f t="shared" si="593"/>
        <v>1346</v>
      </c>
      <c r="F1346" s="9" t="s">
        <v>127</v>
      </c>
      <c r="M1346" s="21">
        <v>0</v>
      </c>
    </row>
    <row r="1347" spans="1:13">
      <c r="E1347" s="21">
        <f t="shared" si="593"/>
        <v>1347</v>
      </c>
      <c r="F1347" s="9" t="s">
        <v>111</v>
      </c>
      <c r="L1347" s="9" t="s">
        <v>134</v>
      </c>
      <c r="M1347" s="21">
        <v>0</v>
      </c>
    </row>
    <row r="1348" spans="1:13">
      <c r="E1348" s="21">
        <f t="shared" si="593"/>
        <v>1348</v>
      </c>
      <c r="F1348" s="9" t="s">
        <v>115</v>
      </c>
      <c r="M1348" s="21">
        <v>1.5</v>
      </c>
    </row>
    <row r="1349" spans="1:13">
      <c r="A1349" s="21" t="s">
        <v>227</v>
      </c>
      <c r="B1349" s="21">
        <f t="shared" ref="B1349" si="600">QUOTIENT( D1349-1,G1350)+1</f>
        <v>2</v>
      </c>
      <c r="C1349" s="21">
        <f t="shared" ref="C1349" si="601">D1349-(B1349-1)*G1350</f>
        <v>32</v>
      </c>
      <c r="D1349" s="21">
        <f>COUNT($D$8:$D1348)+1</f>
        <v>68</v>
      </c>
    </row>
    <row r="1350" spans="1:13">
      <c r="E1350" s="21">
        <f t="shared" ref="E1350:E1368" si="602">ROW(E1350)</f>
        <v>1350</v>
      </c>
      <c r="F1350" s="9" t="s">
        <v>93</v>
      </c>
      <c r="G1350" s="21">
        <v>36</v>
      </c>
      <c r="H1350" s="21">
        <v>2</v>
      </c>
      <c r="J1350" s="9" t="s">
        <v>250</v>
      </c>
      <c r="M1350" s="21">
        <f t="shared" ref="M1350" si="603">J1350+D1349</f>
        <v>20068</v>
      </c>
    </row>
    <row r="1351" spans="1:13">
      <c r="E1351" s="21">
        <f t="shared" si="602"/>
        <v>1351</v>
      </c>
      <c r="F1351" s="9" t="s">
        <v>142</v>
      </c>
      <c r="M1351" s="21">
        <v>199109</v>
      </c>
    </row>
    <row r="1352" spans="1:13">
      <c r="E1352" s="21">
        <f t="shared" si="602"/>
        <v>1352</v>
      </c>
      <c r="F1352" s="9" t="s">
        <v>126</v>
      </c>
      <c r="G1352" s="21">
        <v>5</v>
      </c>
      <c r="M1352" s="21">
        <f t="shared" ref="M1352" si="604">G1352*C1349</f>
        <v>160</v>
      </c>
    </row>
    <row r="1353" spans="1:13">
      <c r="E1353" s="21">
        <f t="shared" si="602"/>
        <v>1353</v>
      </c>
      <c r="F1353" s="9" t="s">
        <v>29</v>
      </c>
      <c r="M1353" s="21" t="s">
        <v>251</v>
      </c>
    </row>
    <row r="1354" spans="1:13">
      <c r="E1354" s="21">
        <f t="shared" si="602"/>
        <v>1354</v>
      </c>
      <c r="F1354" s="9" t="s">
        <v>118</v>
      </c>
      <c r="G1354" s="21" t="s">
        <v>256</v>
      </c>
      <c r="H1354" s="21" t="s">
        <v>256</v>
      </c>
      <c r="I1354" s="21" t="s">
        <v>256</v>
      </c>
      <c r="J1354" s="9" t="s">
        <v>256</v>
      </c>
      <c r="M1354" s="21" t="str" cm="1">
        <f t="array" ref="M1354">_xlfn.SWITCH(MOD(C1349,4),1,G1354,2,H1354,3,J1354,0,I1354)</f>
        <v>Shot2_purple</v>
      </c>
    </row>
    <row r="1355" spans="1:13">
      <c r="E1355" s="21">
        <f t="shared" si="602"/>
        <v>1355</v>
      </c>
      <c r="F1355" s="9" t="s">
        <v>98</v>
      </c>
      <c r="K1355" s="9" t="s">
        <v>137</v>
      </c>
      <c r="M1355" s="21">
        <v>2</v>
      </c>
    </row>
    <row r="1356" spans="1:13">
      <c r="E1356" s="21">
        <f t="shared" si="602"/>
        <v>1356</v>
      </c>
      <c r="F1356" s="9" t="s">
        <v>175</v>
      </c>
      <c r="G1356" s="21" t="s">
        <v>252</v>
      </c>
      <c r="H1356" s="21" t="s">
        <v>254</v>
      </c>
      <c r="K1356" s="9" t="s">
        <v>136</v>
      </c>
      <c r="M1356" s="21" t="str">
        <f t="shared" ref="M1356" si="605">IF(MOD(B1349,2)=1,G1356,H1356)</f>
        <v>-0.3,0</v>
      </c>
    </row>
    <row r="1357" spans="1:13">
      <c r="E1357" s="21">
        <f t="shared" si="602"/>
        <v>1357</v>
      </c>
      <c r="F1357" s="9" t="s">
        <v>117</v>
      </c>
      <c r="M1357" s="21" t="b">
        <v>1</v>
      </c>
    </row>
    <row r="1358" spans="1:13">
      <c r="E1358" s="21">
        <f t="shared" si="602"/>
        <v>1358</v>
      </c>
      <c r="F1358" s="9" t="s">
        <v>31</v>
      </c>
      <c r="L1358" s="9" t="s">
        <v>134</v>
      </c>
      <c r="M1358" s="21">
        <v>270</v>
      </c>
    </row>
    <row r="1359" spans="1:13">
      <c r="E1359" s="21">
        <f t="shared" si="602"/>
        <v>1359</v>
      </c>
      <c r="F1359" s="9" t="s">
        <v>111</v>
      </c>
      <c r="G1359" s="21">
        <v>120</v>
      </c>
      <c r="H1359" s="21">
        <v>-120</v>
      </c>
      <c r="L1359" s="9" t="s">
        <v>134</v>
      </c>
      <c r="M1359" s="21">
        <f t="shared" ref="M1359" si="606">IF(MOD(B1349,2)=1,G1359,H1359)</f>
        <v>-120</v>
      </c>
    </row>
    <row r="1360" spans="1:13">
      <c r="E1360" s="21">
        <f t="shared" si="602"/>
        <v>1360</v>
      </c>
      <c r="F1360" s="9" t="s">
        <v>114</v>
      </c>
      <c r="M1360" s="21" t="b">
        <v>1</v>
      </c>
    </row>
    <row r="1361" spans="1:13">
      <c r="E1361" s="21">
        <f t="shared" si="602"/>
        <v>1361</v>
      </c>
      <c r="F1361" s="9" t="s">
        <v>30</v>
      </c>
      <c r="M1361" s="21">
        <v>3</v>
      </c>
    </row>
    <row r="1362" spans="1:13">
      <c r="E1362" s="21">
        <f t="shared" si="602"/>
        <v>1362</v>
      </c>
      <c r="F1362" s="9" t="s">
        <v>196</v>
      </c>
      <c r="M1362" s="21">
        <v>0</v>
      </c>
    </row>
    <row r="1363" spans="1:13">
      <c r="E1363" s="21">
        <f t="shared" si="602"/>
        <v>1363</v>
      </c>
      <c r="F1363" s="9" t="s">
        <v>35</v>
      </c>
      <c r="G1363" s="21">
        <v>185</v>
      </c>
      <c r="H1363" s="21">
        <v>195</v>
      </c>
      <c r="I1363" s="21">
        <v>205</v>
      </c>
      <c r="J1363" s="9" t="s">
        <v>257</v>
      </c>
      <c r="M1363" s="21" cm="1">
        <f t="array" ref="M1363">_xlfn.SWITCH(MOD(C1349,4),1,G1363,2,H1363,3,J1363,0,I1363)</f>
        <v>205</v>
      </c>
    </row>
    <row r="1364" spans="1:13">
      <c r="E1364" s="21">
        <f t="shared" si="602"/>
        <v>1364</v>
      </c>
      <c r="F1364" s="9" t="s">
        <v>101</v>
      </c>
      <c r="M1364" s="21">
        <f t="shared" ref="M1364" si="607">M1350*10+1</f>
        <v>200681</v>
      </c>
    </row>
    <row r="1365" spans="1:13">
      <c r="E1365" s="21">
        <f t="shared" si="602"/>
        <v>1365</v>
      </c>
      <c r="F1365" s="9" t="s">
        <v>142</v>
      </c>
      <c r="M1365" s="21">
        <f t="shared" ref="M1365" si="608">M1350</f>
        <v>20068</v>
      </c>
    </row>
    <row r="1366" spans="1:13">
      <c r="E1366" s="21">
        <f t="shared" si="602"/>
        <v>1366</v>
      </c>
      <c r="F1366" s="9" t="s">
        <v>127</v>
      </c>
      <c r="M1366" s="21">
        <v>0</v>
      </c>
    </row>
    <row r="1367" spans="1:13">
      <c r="E1367" s="21">
        <f t="shared" si="602"/>
        <v>1367</v>
      </c>
      <c r="F1367" s="9" t="s">
        <v>111</v>
      </c>
      <c r="L1367" s="9" t="s">
        <v>134</v>
      </c>
      <c r="M1367" s="21">
        <v>0</v>
      </c>
    </row>
    <row r="1368" spans="1:13">
      <c r="E1368" s="21">
        <f t="shared" si="602"/>
        <v>1368</v>
      </c>
      <c r="F1368" s="9" t="s">
        <v>115</v>
      </c>
      <c r="M1368" s="21">
        <v>1.5</v>
      </c>
    </row>
    <row r="1369" spans="1:13">
      <c r="A1369" s="21" t="s">
        <v>227</v>
      </c>
      <c r="B1369" s="21">
        <f t="shared" ref="B1369" si="609">QUOTIENT( D1369-1,G1370)+1</f>
        <v>2</v>
      </c>
      <c r="C1369" s="21">
        <f t="shared" ref="C1369" si="610">D1369-(B1369-1)*G1370</f>
        <v>33</v>
      </c>
      <c r="D1369" s="21">
        <f>COUNT($D$8:$D1368)+1</f>
        <v>69</v>
      </c>
    </row>
    <row r="1370" spans="1:13">
      <c r="E1370" s="21">
        <f t="shared" ref="E1370:E1388" si="611">ROW(E1370)</f>
        <v>1370</v>
      </c>
      <c r="F1370" s="9" t="s">
        <v>93</v>
      </c>
      <c r="G1370" s="21">
        <v>36</v>
      </c>
      <c r="H1370" s="21">
        <v>2</v>
      </c>
      <c r="J1370" s="9" t="s">
        <v>250</v>
      </c>
      <c r="M1370" s="21">
        <f t="shared" ref="M1370" si="612">J1370+D1369</f>
        <v>20069</v>
      </c>
    </row>
    <row r="1371" spans="1:13">
      <c r="E1371" s="21">
        <f t="shared" si="611"/>
        <v>1371</v>
      </c>
      <c r="F1371" s="9" t="s">
        <v>142</v>
      </c>
      <c r="M1371" s="21">
        <v>199109</v>
      </c>
    </row>
    <row r="1372" spans="1:13">
      <c r="E1372" s="21">
        <f t="shared" si="611"/>
        <v>1372</v>
      </c>
      <c r="F1372" s="9" t="s">
        <v>126</v>
      </c>
      <c r="G1372" s="21">
        <v>5</v>
      </c>
      <c r="M1372" s="21">
        <f t="shared" ref="M1372" si="613">G1372*C1369</f>
        <v>165</v>
      </c>
    </row>
    <row r="1373" spans="1:13">
      <c r="E1373" s="21">
        <f t="shared" si="611"/>
        <v>1373</v>
      </c>
      <c r="F1373" s="9" t="s">
        <v>29</v>
      </c>
      <c r="M1373" s="21" t="s">
        <v>251</v>
      </c>
    </row>
    <row r="1374" spans="1:13">
      <c r="E1374" s="21">
        <f t="shared" si="611"/>
        <v>1374</v>
      </c>
      <c r="F1374" s="9" t="s">
        <v>118</v>
      </c>
      <c r="G1374" s="21" t="s">
        <v>256</v>
      </c>
      <c r="H1374" s="21" t="s">
        <v>256</v>
      </c>
      <c r="I1374" s="21" t="s">
        <v>256</v>
      </c>
      <c r="J1374" s="9" t="s">
        <v>256</v>
      </c>
      <c r="M1374" s="21" t="str" cm="1">
        <f t="array" ref="M1374">_xlfn.SWITCH(MOD(C1369,4),1,G1374,2,H1374,3,J1374,0,I1374)</f>
        <v>Shot2_purple</v>
      </c>
    </row>
    <row r="1375" spans="1:13">
      <c r="E1375" s="21">
        <f t="shared" si="611"/>
        <v>1375</v>
      </c>
      <c r="F1375" s="9" t="s">
        <v>98</v>
      </c>
      <c r="K1375" s="9" t="s">
        <v>137</v>
      </c>
      <c r="M1375" s="21">
        <v>2</v>
      </c>
    </row>
    <row r="1376" spans="1:13">
      <c r="E1376" s="21">
        <f t="shared" si="611"/>
        <v>1376</v>
      </c>
      <c r="F1376" s="9" t="s">
        <v>175</v>
      </c>
      <c r="G1376" s="21" t="s">
        <v>252</v>
      </c>
      <c r="H1376" s="21" t="s">
        <v>254</v>
      </c>
      <c r="K1376" s="9" t="s">
        <v>136</v>
      </c>
      <c r="M1376" s="21" t="str">
        <f t="shared" ref="M1376" si="614">IF(MOD(B1369,2)=1,G1376,H1376)</f>
        <v>-0.3,0</v>
      </c>
    </row>
    <row r="1377" spans="1:13">
      <c r="E1377" s="21">
        <f t="shared" si="611"/>
        <v>1377</v>
      </c>
      <c r="F1377" s="9" t="s">
        <v>117</v>
      </c>
      <c r="M1377" s="21" t="b">
        <v>1</v>
      </c>
    </row>
    <row r="1378" spans="1:13">
      <c r="E1378" s="21">
        <f t="shared" si="611"/>
        <v>1378</v>
      </c>
      <c r="F1378" s="9" t="s">
        <v>31</v>
      </c>
      <c r="L1378" s="9" t="s">
        <v>134</v>
      </c>
      <c r="M1378" s="21">
        <v>270</v>
      </c>
    </row>
    <row r="1379" spans="1:13">
      <c r="E1379" s="21">
        <f t="shared" si="611"/>
        <v>1379</v>
      </c>
      <c r="F1379" s="9" t="s">
        <v>111</v>
      </c>
      <c r="G1379" s="21">
        <v>120</v>
      </c>
      <c r="H1379" s="21">
        <v>-120</v>
      </c>
      <c r="L1379" s="9" t="s">
        <v>134</v>
      </c>
      <c r="M1379" s="21">
        <f t="shared" ref="M1379" si="615">IF(MOD(B1369,2)=1,G1379,H1379)</f>
        <v>-120</v>
      </c>
    </row>
    <row r="1380" spans="1:13">
      <c r="E1380" s="21">
        <f t="shared" si="611"/>
        <v>1380</v>
      </c>
      <c r="F1380" s="9" t="s">
        <v>114</v>
      </c>
      <c r="M1380" s="21" t="b">
        <v>1</v>
      </c>
    </row>
    <row r="1381" spans="1:13">
      <c r="E1381" s="21">
        <f t="shared" si="611"/>
        <v>1381</v>
      </c>
      <c r="F1381" s="9" t="s">
        <v>30</v>
      </c>
      <c r="M1381" s="21">
        <v>3</v>
      </c>
    </row>
    <row r="1382" spans="1:13">
      <c r="E1382" s="21">
        <f t="shared" si="611"/>
        <v>1382</v>
      </c>
      <c r="F1382" s="9" t="s">
        <v>196</v>
      </c>
      <c r="M1382" s="21">
        <v>0</v>
      </c>
    </row>
    <row r="1383" spans="1:13">
      <c r="E1383" s="21">
        <f t="shared" si="611"/>
        <v>1383</v>
      </c>
      <c r="F1383" s="9" t="s">
        <v>35</v>
      </c>
      <c r="G1383" s="21">
        <v>185</v>
      </c>
      <c r="H1383" s="21">
        <v>195</v>
      </c>
      <c r="I1383" s="21">
        <v>205</v>
      </c>
      <c r="J1383" s="9" t="s">
        <v>257</v>
      </c>
      <c r="M1383" s="21" cm="1">
        <f t="array" ref="M1383">_xlfn.SWITCH(MOD(C1369,4),1,G1383,2,H1383,3,J1383,0,I1383)</f>
        <v>185</v>
      </c>
    </row>
    <row r="1384" spans="1:13">
      <c r="E1384" s="21">
        <f t="shared" si="611"/>
        <v>1384</v>
      </c>
      <c r="F1384" s="9" t="s">
        <v>101</v>
      </c>
      <c r="M1384" s="21">
        <f t="shared" ref="M1384" si="616">M1370*10+1</f>
        <v>200691</v>
      </c>
    </row>
    <row r="1385" spans="1:13">
      <c r="E1385" s="21">
        <f t="shared" si="611"/>
        <v>1385</v>
      </c>
      <c r="F1385" s="9" t="s">
        <v>142</v>
      </c>
      <c r="M1385" s="21">
        <f t="shared" ref="M1385" si="617">M1370</f>
        <v>20069</v>
      </c>
    </row>
    <row r="1386" spans="1:13">
      <c r="E1386" s="21">
        <f t="shared" si="611"/>
        <v>1386</v>
      </c>
      <c r="F1386" s="9" t="s">
        <v>127</v>
      </c>
      <c r="M1386" s="21">
        <v>0</v>
      </c>
    </row>
    <row r="1387" spans="1:13">
      <c r="E1387" s="21">
        <f t="shared" si="611"/>
        <v>1387</v>
      </c>
      <c r="F1387" s="9" t="s">
        <v>111</v>
      </c>
      <c r="L1387" s="9" t="s">
        <v>134</v>
      </c>
      <c r="M1387" s="21">
        <v>0</v>
      </c>
    </row>
    <row r="1388" spans="1:13">
      <c r="E1388" s="21">
        <f t="shared" si="611"/>
        <v>1388</v>
      </c>
      <c r="F1388" s="9" t="s">
        <v>115</v>
      </c>
      <c r="M1388" s="21">
        <v>1.5</v>
      </c>
    </row>
    <row r="1389" spans="1:13">
      <c r="A1389" s="21" t="s">
        <v>227</v>
      </c>
      <c r="B1389" s="21">
        <f t="shared" ref="B1389" si="618">QUOTIENT( D1389-1,G1390)+1</f>
        <v>2</v>
      </c>
      <c r="C1389" s="21">
        <f t="shared" ref="C1389" si="619">D1389-(B1389-1)*G1390</f>
        <v>34</v>
      </c>
      <c r="D1389" s="21">
        <f>COUNT($D$8:$D1388)+1</f>
        <v>70</v>
      </c>
    </row>
    <row r="1390" spans="1:13">
      <c r="E1390" s="21">
        <f t="shared" ref="E1390:E1408" si="620">ROW(E1390)</f>
        <v>1390</v>
      </c>
      <c r="F1390" s="9" t="s">
        <v>93</v>
      </c>
      <c r="G1390" s="21">
        <v>36</v>
      </c>
      <c r="H1390" s="21">
        <v>2</v>
      </c>
      <c r="J1390" s="9" t="s">
        <v>250</v>
      </c>
      <c r="M1390" s="21">
        <f t="shared" ref="M1390" si="621">J1390+D1389</f>
        <v>20070</v>
      </c>
    </row>
    <row r="1391" spans="1:13">
      <c r="E1391" s="21">
        <f t="shared" si="620"/>
        <v>1391</v>
      </c>
      <c r="F1391" s="9" t="s">
        <v>142</v>
      </c>
      <c r="M1391" s="21">
        <v>199109</v>
      </c>
    </row>
    <row r="1392" spans="1:13">
      <c r="E1392" s="21">
        <f t="shared" si="620"/>
        <v>1392</v>
      </c>
      <c r="F1392" s="9" t="s">
        <v>126</v>
      </c>
      <c r="G1392" s="21">
        <v>5</v>
      </c>
      <c r="M1392" s="21">
        <f t="shared" ref="M1392" si="622">G1392*C1389</f>
        <v>170</v>
      </c>
    </row>
    <row r="1393" spans="5:13">
      <c r="E1393" s="21">
        <f t="shared" si="620"/>
        <v>1393</v>
      </c>
      <c r="F1393" s="9" t="s">
        <v>29</v>
      </c>
      <c r="M1393" s="21" t="s">
        <v>251</v>
      </c>
    </row>
    <row r="1394" spans="5:13">
      <c r="E1394" s="21">
        <f t="shared" si="620"/>
        <v>1394</v>
      </c>
      <c r="F1394" s="9" t="s">
        <v>118</v>
      </c>
      <c r="G1394" s="21" t="s">
        <v>256</v>
      </c>
      <c r="H1394" s="21" t="s">
        <v>256</v>
      </c>
      <c r="I1394" s="21" t="s">
        <v>256</v>
      </c>
      <c r="J1394" s="9" t="s">
        <v>256</v>
      </c>
      <c r="M1394" s="21" t="str" cm="1">
        <f t="array" ref="M1394">_xlfn.SWITCH(MOD(C1389,4),1,G1394,2,H1394,3,J1394,0,I1394)</f>
        <v>Shot2_purple</v>
      </c>
    </row>
    <row r="1395" spans="5:13">
      <c r="E1395" s="21">
        <f t="shared" si="620"/>
        <v>1395</v>
      </c>
      <c r="F1395" s="9" t="s">
        <v>98</v>
      </c>
      <c r="K1395" s="9" t="s">
        <v>137</v>
      </c>
      <c r="M1395" s="21">
        <v>2</v>
      </c>
    </row>
    <row r="1396" spans="5:13">
      <c r="E1396" s="21">
        <f t="shared" si="620"/>
        <v>1396</v>
      </c>
      <c r="F1396" s="9" t="s">
        <v>175</v>
      </c>
      <c r="G1396" s="21" t="s">
        <v>252</v>
      </c>
      <c r="H1396" s="21" t="s">
        <v>254</v>
      </c>
      <c r="K1396" s="9" t="s">
        <v>136</v>
      </c>
      <c r="M1396" s="21" t="str">
        <f t="shared" ref="M1396" si="623">IF(MOD(B1389,2)=1,G1396,H1396)</f>
        <v>-0.3,0</v>
      </c>
    </row>
    <row r="1397" spans="5:13">
      <c r="E1397" s="21">
        <f t="shared" si="620"/>
        <v>1397</v>
      </c>
      <c r="F1397" s="9" t="s">
        <v>117</v>
      </c>
      <c r="M1397" s="21" t="b">
        <v>1</v>
      </c>
    </row>
    <row r="1398" spans="5:13">
      <c r="E1398" s="21">
        <f t="shared" si="620"/>
        <v>1398</v>
      </c>
      <c r="F1398" s="9" t="s">
        <v>31</v>
      </c>
      <c r="L1398" s="9" t="s">
        <v>134</v>
      </c>
      <c r="M1398" s="21">
        <v>270</v>
      </c>
    </row>
    <row r="1399" spans="5:13">
      <c r="E1399" s="21">
        <f t="shared" si="620"/>
        <v>1399</v>
      </c>
      <c r="F1399" s="9" t="s">
        <v>111</v>
      </c>
      <c r="G1399" s="21">
        <v>120</v>
      </c>
      <c r="H1399" s="21">
        <v>-120</v>
      </c>
      <c r="L1399" s="9" t="s">
        <v>134</v>
      </c>
      <c r="M1399" s="21">
        <f t="shared" ref="M1399" si="624">IF(MOD(B1389,2)=1,G1399,H1399)</f>
        <v>-120</v>
      </c>
    </row>
    <row r="1400" spans="5:13">
      <c r="E1400" s="21">
        <f t="shared" si="620"/>
        <v>1400</v>
      </c>
      <c r="F1400" s="9" t="s">
        <v>114</v>
      </c>
      <c r="M1400" s="21" t="b">
        <v>1</v>
      </c>
    </row>
    <row r="1401" spans="5:13">
      <c r="E1401" s="21">
        <f t="shared" si="620"/>
        <v>1401</v>
      </c>
      <c r="F1401" s="9" t="s">
        <v>30</v>
      </c>
      <c r="M1401" s="21">
        <v>3</v>
      </c>
    </row>
    <row r="1402" spans="5:13">
      <c r="E1402" s="21">
        <f t="shared" si="620"/>
        <v>1402</v>
      </c>
      <c r="F1402" s="9" t="s">
        <v>196</v>
      </c>
      <c r="M1402" s="21">
        <v>0</v>
      </c>
    </row>
    <row r="1403" spans="5:13">
      <c r="E1403" s="21">
        <f t="shared" si="620"/>
        <v>1403</v>
      </c>
      <c r="F1403" s="9" t="s">
        <v>35</v>
      </c>
      <c r="G1403" s="21">
        <v>185</v>
      </c>
      <c r="H1403" s="21">
        <v>195</v>
      </c>
      <c r="I1403" s="21">
        <v>205</v>
      </c>
      <c r="J1403" s="9" t="s">
        <v>257</v>
      </c>
      <c r="M1403" s="21" cm="1">
        <f t="array" ref="M1403">_xlfn.SWITCH(MOD(C1389,4),1,G1403,2,H1403,3,J1403,0,I1403)</f>
        <v>195</v>
      </c>
    </row>
    <row r="1404" spans="5:13">
      <c r="E1404" s="21">
        <f t="shared" si="620"/>
        <v>1404</v>
      </c>
      <c r="F1404" s="9" t="s">
        <v>101</v>
      </c>
      <c r="M1404" s="21">
        <f t="shared" ref="M1404" si="625">M1390*10+1</f>
        <v>200701</v>
      </c>
    </row>
    <row r="1405" spans="5:13">
      <c r="E1405" s="21">
        <f t="shared" si="620"/>
        <v>1405</v>
      </c>
      <c r="F1405" s="9" t="s">
        <v>142</v>
      </c>
      <c r="M1405" s="21">
        <f t="shared" ref="M1405" si="626">M1390</f>
        <v>20070</v>
      </c>
    </row>
    <row r="1406" spans="5:13">
      <c r="E1406" s="21">
        <f t="shared" si="620"/>
        <v>1406</v>
      </c>
      <c r="F1406" s="9" t="s">
        <v>127</v>
      </c>
      <c r="M1406" s="21">
        <v>0</v>
      </c>
    </row>
    <row r="1407" spans="5:13">
      <c r="E1407" s="21">
        <f t="shared" si="620"/>
        <v>1407</v>
      </c>
      <c r="F1407" s="9" t="s">
        <v>111</v>
      </c>
      <c r="L1407" s="9" t="s">
        <v>134</v>
      </c>
      <c r="M1407" s="21">
        <v>0</v>
      </c>
    </row>
    <row r="1408" spans="5:13">
      <c r="E1408" s="21">
        <f t="shared" si="620"/>
        <v>1408</v>
      </c>
      <c r="F1408" s="9" t="s">
        <v>115</v>
      </c>
      <c r="M1408" s="21">
        <v>1.5</v>
      </c>
    </row>
    <row r="1409" spans="1:13">
      <c r="A1409" s="21" t="s">
        <v>227</v>
      </c>
      <c r="B1409" s="21">
        <f t="shared" ref="B1409" si="627">QUOTIENT( D1409-1,G1410)+1</f>
        <v>2</v>
      </c>
      <c r="C1409" s="21">
        <f t="shared" ref="C1409" si="628">D1409-(B1409-1)*G1410</f>
        <v>35</v>
      </c>
      <c r="D1409" s="21">
        <f>COUNT($D$8:$D1408)+1</f>
        <v>71</v>
      </c>
    </row>
    <row r="1410" spans="1:13">
      <c r="E1410" s="21">
        <f t="shared" ref="E1410:E1428" si="629">ROW(E1410)</f>
        <v>1410</v>
      </c>
      <c r="F1410" s="9" t="s">
        <v>93</v>
      </c>
      <c r="G1410" s="21">
        <v>36</v>
      </c>
      <c r="H1410" s="21">
        <v>2</v>
      </c>
      <c r="J1410" s="9" t="s">
        <v>250</v>
      </c>
      <c r="M1410" s="21">
        <f t="shared" ref="M1410" si="630">J1410+D1409</f>
        <v>20071</v>
      </c>
    </row>
    <row r="1411" spans="1:13">
      <c r="E1411" s="21">
        <f t="shared" si="629"/>
        <v>1411</v>
      </c>
      <c r="F1411" s="9" t="s">
        <v>142</v>
      </c>
      <c r="M1411" s="21">
        <v>199109</v>
      </c>
    </row>
    <row r="1412" spans="1:13">
      <c r="E1412" s="21">
        <f t="shared" si="629"/>
        <v>1412</v>
      </c>
      <c r="F1412" s="9" t="s">
        <v>126</v>
      </c>
      <c r="G1412" s="21">
        <v>5</v>
      </c>
      <c r="M1412" s="21">
        <f t="shared" ref="M1412" si="631">G1412*C1409</f>
        <v>175</v>
      </c>
    </row>
    <row r="1413" spans="1:13">
      <c r="E1413" s="21">
        <f t="shared" si="629"/>
        <v>1413</v>
      </c>
      <c r="F1413" s="9" t="s">
        <v>29</v>
      </c>
      <c r="M1413" s="21" t="s">
        <v>251</v>
      </c>
    </row>
    <row r="1414" spans="1:13">
      <c r="E1414" s="21">
        <f t="shared" si="629"/>
        <v>1414</v>
      </c>
      <c r="F1414" s="9" t="s">
        <v>118</v>
      </c>
      <c r="G1414" s="21" t="s">
        <v>256</v>
      </c>
      <c r="H1414" s="21" t="s">
        <v>256</v>
      </c>
      <c r="I1414" s="21" t="s">
        <v>256</v>
      </c>
      <c r="J1414" s="9" t="s">
        <v>256</v>
      </c>
      <c r="M1414" s="21" t="str" cm="1">
        <f t="array" ref="M1414">_xlfn.SWITCH(MOD(C1409,4),1,G1414,2,H1414,3,J1414,0,I1414)</f>
        <v>Shot2_purple</v>
      </c>
    </row>
    <row r="1415" spans="1:13">
      <c r="E1415" s="21">
        <f t="shared" si="629"/>
        <v>1415</v>
      </c>
      <c r="F1415" s="9" t="s">
        <v>98</v>
      </c>
      <c r="K1415" s="9" t="s">
        <v>137</v>
      </c>
      <c r="M1415" s="21">
        <v>2</v>
      </c>
    </row>
    <row r="1416" spans="1:13">
      <c r="E1416" s="21">
        <f t="shared" si="629"/>
        <v>1416</v>
      </c>
      <c r="F1416" s="9" t="s">
        <v>175</v>
      </c>
      <c r="G1416" s="21" t="s">
        <v>252</v>
      </c>
      <c r="H1416" s="21" t="s">
        <v>254</v>
      </c>
      <c r="K1416" s="9" t="s">
        <v>136</v>
      </c>
      <c r="M1416" s="21" t="str">
        <f t="shared" ref="M1416" si="632">IF(MOD(B1409,2)=1,G1416,H1416)</f>
        <v>-0.3,0</v>
      </c>
    </row>
    <row r="1417" spans="1:13">
      <c r="E1417" s="21">
        <f t="shared" si="629"/>
        <v>1417</v>
      </c>
      <c r="F1417" s="9" t="s">
        <v>117</v>
      </c>
      <c r="M1417" s="21" t="b">
        <v>1</v>
      </c>
    </row>
    <row r="1418" spans="1:13">
      <c r="E1418" s="21">
        <f t="shared" si="629"/>
        <v>1418</v>
      </c>
      <c r="F1418" s="9" t="s">
        <v>31</v>
      </c>
      <c r="L1418" s="9" t="s">
        <v>134</v>
      </c>
      <c r="M1418" s="21">
        <v>270</v>
      </c>
    </row>
    <row r="1419" spans="1:13">
      <c r="E1419" s="21">
        <f t="shared" si="629"/>
        <v>1419</v>
      </c>
      <c r="F1419" s="9" t="s">
        <v>111</v>
      </c>
      <c r="G1419" s="21">
        <v>120</v>
      </c>
      <c r="H1419" s="21">
        <v>-120</v>
      </c>
      <c r="L1419" s="9" t="s">
        <v>134</v>
      </c>
      <c r="M1419" s="21">
        <f t="shared" ref="M1419" si="633">IF(MOD(B1409,2)=1,G1419,H1419)</f>
        <v>-120</v>
      </c>
    </row>
    <row r="1420" spans="1:13">
      <c r="E1420" s="21">
        <f t="shared" si="629"/>
        <v>1420</v>
      </c>
      <c r="F1420" s="9" t="s">
        <v>114</v>
      </c>
      <c r="M1420" s="21" t="b">
        <v>1</v>
      </c>
    </row>
    <row r="1421" spans="1:13">
      <c r="E1421" s="21">
        <f t="shared" si="629"/>
        <v>1421</v>
      </c>
      <c r="F1421" s="9" t="s">
        <v>30</v>
      </c>
      <c r="M1421" s="21">
        <v>3</v>
      </c>
    </row>
    <row r="1422" spans="1:13">
      <c r="E1422" s="21">
        <f t="shared" si="629"/>
        <v>1422</v>
      </c>
      <c r="F1422" s="9" t="s">
        <v>196</v>
      </c>
      <c r="M1422" s="21">
        <v>0</v>
      </c>
    </row>
    <row r="1423" spans="1:13">
      <c r="E1423" s="21">
        <f t="shared" si="629"/>
        <v>1423</v>
      </c>
      <c r="F1423" s="9" t="s">
        <v>35</v>
      </c>
      <c r="G1423" s="21">
        <v>185</v>
      </c>
      <c r="H1423" s="21">
        <v>195</v>
      </c>
      <c r="I1423" s="21">
        <v>205</v>
      </c>
      <c r="J1423" s="9" t="s">
        <v>257</v>
      </c>
      <c r="M1423" s="21" t="str" cm="1">
        <f t="array" ref="M1423">_xlfn.SWITCH(MOD(C1409,4),1,G1423,2,H1423,3,J1423,0,I1423)</f>
        <v>215</v>
      </c>
    </row>
    <row r="1424" spans="1:13">
      <c r="E1424" s="21">
        <f t="shared" si="629"/>
        <v>1424</v>
      </c>
      <c r="F1424" s="9" t="s">
        <v>101</v>
      </c>
      <c r="M1424" s="21">
        <f t="shared" ref="M1424" si="634">M1410*10+1</f>
        <v>200711</v>
      </c>
    </row>
    <row r="1425" spans="1:13">
      <c r="E1425" s="21">
        <f t="shared" si="629"/>
        <v>1425</v>
      </c>
      <c r="F1425" s="9" t="s">
        <v>142</v>
      </c>
      <c r="M1425" s="21">
        <f t="shared" ref="M1425" si="635">M1410</f>
        <v>20071</v>
      </c>
    </row>
    <row r="1426" spans="1:13">
      <c r="E1426" s="21">
        <f t="shared" si="629"/>
        <v>1426</v>
      </c>
      <c r="F1426" s="9" t="s">
        <v>127</v>
      </c>
      <c r="M1426" s="21">
        <v>0</v>
      </c>
    </row>
    <row r="1427" spans="1:13">
      <c r="E1427" s="21">
        <f t="shared" si="629"/>
        <v>1427</v>
      </c>
      <c r="F1427" s="9" t="s">
        <v>111</v>
      </c>
      <c r="L1427" s="9" t="s">
        <v>134</v>
      </c>
      <c r="M1427" s="21">
        <v>0</v>
      </c>
    </row>
    <row r="1428" spans="1:13">
      <c r="E1428" s="21">
        <f t="shared" si="629"/>
        <v>1428</v>
      </c>
      <c r="F1428" s="9" t="s">
        <v>115</v>
      </c>
      <c r="M1428" s="21">
        <v>1.5</v>
      </c>
    </row>
    <row r="1429" spans="1:13">
      <c r="A1429" s="21" t="s">
        <v>227</v>
      </c>
      <c r="B1429" s="21">
        <f t="shared" ref="B1429" si="636">QUOTIENT( D1429-1,G1430)+1</f>
        <v>2</v>
      </c>
      <c r="C1429" s="21">
        <f t="shared" ref="C1429" si="637">D1429-(B1429-1)*G1430</f>
        <v>36</v>
      </c>
      <c r="D1429" s="21">
        <f>COUNT($D$8:$D1428)+1</f>
        <v>72</v>
      </c>
    </row>
    <row r="1430" spans="1:13">
      <c r="E1430" s="21">
        <f t="shared" ref="E1430:E1448" si="638">ROW(E1430)</f>
        <v>1430</v>
      </c>
      <c r="F1430" s="9" t="s">
        <v>93</v>
      </c>
      <c r="G1430" s="21">
        <v>36</v>
      </c>
      <c r="H1430" s="21">
        <v>2</v>
      </c>
      <c r="J1430" s="9" t="s">
        <v>250</v>
      </c>
      <c r="M1430" s="21">
        <f t="shared" ref="M1430" si="639">J1430+D1429</f>
        <v>20072</v>
      </c>
    </row>
    <row r="1431" spans="1:13">
      <c r="E1431" s="21">
        <f t="shared" si="638"/>
        <v>1431</v>
      </c>
      <c r="F1431" s="9" t="s">
        <v>142</v>
      </c>
      <c r="M1431" s="21">
        <v>199109</v>
      </c>
    </row>
    <row r="1432" spans="1:13">
      <c r="E1432" s="21">
        <f t="shared" si="638"/>
        <v>1432</v>
      </c>
      <c r="F1432" s="9" t="s">
        <v>126</v>
      </c>
      <c r="G1432" s="21">
        <v>5</v>
      </c>
      <c r="M1432" s="21">
        <f t="shared" ref="M1432" si="640">G1432*C1429</f>
        <v>180</v>
      </c>
    </row>
    <row r="1433" spans="1:13">
      <c r="E1433" s="21">
        <f t="shared" si="638"/>
        <v>1433</v>
      </c>
      <c r="F1433" s="9" t="s">
        <v>29</v>
      </c>
      <c r="M1433" s="21" t="s">
        <v>251</v>
      </c>
    </row>
    <row r="1434" spans="1:13">
      <c r="E1434" s="21">
        <f t="shared" si="638"/>
        <v>1434</v>
      </c>
      <c r="F1434" s="9" t="s">
        <v>118</v>
      </c>
      <c r="G1434" s="21" t="s">
        <v>256</v>
      </c>
      <c r="H1434" s="21" t="s">
        <v>256</v>
      </c>
      <c r="I1434" s="21" t="s">
        <v>256</v>
      </c>
      <c r="J1434" s="9" t="s">
        <v>256</v>
      </c>
      <c r="M1434" s="21" t="str" cm="1">
        <f t="array" ref="M1434">_xlfn.SWITCH(MOD(C1429,4),1,G1434,2,H1434,3,J1434,0,I1434)</f>
        <v>Shot2_purple</v>
      </c>
    </row>
    <row r="1435" spans="1:13">
      <c r="E1435" s="21">
        <f t="shared" si="638"/>
        <v>1435</v>
      </c>
      <c r="F1435" s="9" t="s">
        <v>98</v>
      </c>
      <c r="K1435" s="9" t="s">
        <v>137</v>
      </c>
      <c r="M1435" s="21">
        <v>2</v>
      </c>
    </row>
    <row r="1436" spans="1:13">
      <c r="E1436" s="21">
        <f t="shared" si="638"/>
        <v>1436</v>
      </c>
      <c r="F1436" s="9" t="s">
        <v>175</v>
      </c>
      <c r="G1436" s="21" t="s">
        <v>252</v>
      </c>
      <c r="H1436" s="21" t="s">
        <v>254</v>
      </c>
      <c r="K1436" s="9" t="s">
        <v>136</v>
      </c>
      <c r="M1436" s="21" t="str">
        <f t="shared" ref="M1436" si="641">IF(MOD(B1429,2)=1,G1436,H1436)</f>
        <v>-0.3,0</v>
      </c>
    </row>
    <row r="1437" spans="1:13">
      <c r="E1437" s="21">
        <f t="shared" si="638"/>
        <v>1437</v>
      </c>
      <c r="F1437" s="9" t="s">
        <v>117</v>
      </c>
      <c r="M1437" s="21" t="b">
        <v>1</v>
      </c>
    </row>
    <row r="1438" spans="1:13">
      <c r="E1438" s="21">
        <f t="shared" si="638"/>
        <v>1438</v>
      </c>
      <c r="F1438" s="9" t="s">
        <v>31</v>
      </c>
      <c r="L1438" s="9" t="s">
        <v>134</v>
      </c>
      <c r="M1438" s="21">
        <v>270</v>
      </c>
    </row>
    <row r="1439" spans="1:13">
      <c r="E1439" s="21">
        <f t="shared" si="638"/>
        <v>1439</v>
      </c>
      <c r="F1439" s="9" t="s">
        <v>111</v>
      </c>
      <c r="G1439" s="21">
        <v>120</v>
      </c>
      <c r="H1439" s="21">
        <v>-120</v>
      </c>
      <c r="L1439" s="9" t="s">
        <v>134</v>
      </c>
      <c r="M1439" s="21">
        <f t="shared" ref="M1439" si="642">IF(MOD(B1429,2)=1,G1439,H1439)</f>
        <v>-120</v>
      </c>
    </row>
    <row r="1440" spans="1:13">
      <c r="E1440" s="21">
        <f t="shared" si="638"/>
        <v>1440</v>
      </c>
      <c r="F1440" s="9" t="s">
        <v>114</v>
      </c>
      <c r="M1440" s="21" t="b">
        <v>1</v>
      </c>
    </row>
    <row r="1441" spans="5:13">
      <c r="E1441" s="21">
        <f t="shared" si="638"/>
        <v>1441</v>
      </c>
      <c r="F1441" s="9" t="s">
        <v>30</v>
      </c>
      <c r="M1441" s="21">
        <v>3</v>
      </c>
    </row>
    <row r="1442" spans="5:13">
      <c r="E1442" s="21">
        <f t="shared" si="638"/>
        <v>1442</v>
      </c>
      <c r="F1442" s="9" t="s">
        <v>196</v>
      </c>
      <c r="M1442" s="21">
        <v>0</v>
      </c>
    </row>
    <row r="1443" spans="5:13">
      <c r="E1443" s="21">
        <f t="shared" si="638"/>
        <v>1443</v>
      </c>
      <c r="F1443" s="9" t="s">
        <v>35</v>
      </c>
      <c r="G1443" s="21">
        <v>185</v>
      </c>
      <c r="H1443" s="21">
        <v>195</v>
      </c>
      <c r="I1443" s="21">
        <v>205</v>
      </c>
      <c r="J1443" s="9" t="s">
        <v>257</v>
      </c>
      <c r="M1443" s="21" cm="1">
        <f t="array" ref="M1443">_xlfn.SWITCH(MOD(C1429,4),1,G1443,2,H1443,3,J1443,0,I1443)</f>
        <v>205</v>
      </c>
    </row>
    <row r="1444" spans="5:13">
      <c r="E1444" s="21">
        <f t="shared" si="638"/>
        <v>1444</v>
      </c>
      <c r="F1444" s="9" t="s">
        <v>101</v>
      </c>
      <c r="M1444" s="21">
        <f t="shared" ref="M1444" si="643">M1430*10+1</f>
        <v>200721</v>
      </c>
    </row>
    <row r="1445" spans="5:13">
      <c r="E1445" s="21">
        <f t="shared" si="638"/>
        <v>1445</v>
      </c>
      <c r="F1445" s="9" t="s">
        <v>142</v>
      </c>
      <c r="M1445" s="21">
        <f t="shared" ref="M1445" si="644">M1430</f>
        <v>20072</v>
      </c>
    </row>
    <row r="1446" spans="5:13">
      <c r="E1446" s="21">
        <f t="shared" si="638"/>
        <v>1446</v>
      </c>
      <c r="F1446" s="9" t="s">
        <v>127</v>
      </c>
      <c r="M1446" s="21">
        <v>0</v>
      </c>
    </row>
    <row r="1447" spans="5:13">
      <c r="E1447" s="21">
        <f t="shared" si="638"/>
        <v>1447</v>
      </c>
      <c r="F1447" s="9" t="s">
        <v>111</v>
      </c>
      <c r="L1447" s="9" t="s">
        <v>134</v>
      </c>
      <c r="M1447" s="21">
        <v>0</v>
      </c>
    </row>
    <row r="1448" spans="5:13">
      <c r="E1448" s="21">
        <f t="shared" si="638"/>
        <v>1448</v>
      </c>
      <c r="F1448" s="9" t="s">
        <v>115</v>
      </c>
      <c r="M1448" s="21">
        <v>1.5</v>
      </c>
    </row>
  </sheetData>
  <phoneticPr fontId="2" type="noConversion"/>
  <conditionalFormatting sqref="BE1:XFD1 E1:I1">
    <cfRule type="duplicateValues" dxfId="58" priority="1894"/>
  </conditionalFormatting>
  <conditionalFormatting sqref="F1:F2">
    <cfRule type="cellIs" dxfId="57" priority="1395" operator="equal">
      <formula>"ID"</formula>
    </cfRule>
    <cfRule type="cellIs" dxfId="56" priority="1810" operator="equal">
      <formula>"行動序號"</formula>
    </cfRule>
  </conditionalFormatting>
  <conditionalFormatting sqref="J1">
    <cfRule type="duplicateValues" dxfId="55" priority="1393"/>
  </conditionalFormatting>
  <conditionalFormatting sqref="K1:L1">
    <cfRule type="duplicateValues" dxfId="54" priority="1390"/>
  </conditionalFormatting>
  <conditionalFormatting sqref="M1:M10 M12:M1048576">
    <cfRule type="expression" dxfId="53" priority="1005">
      <formula>_xlfn.ISFORMULA(M1)</formula>
    </cfRule>
  </conditionalFormatting>
  <conditionalFormatting sqref="N1:BD1">
    <cfRule type="duplicateValues" dxfId="52" priority="1910"/>
  </conditionalFormatting>
  <conditionalFormatting sqref="F1:F1048576">
    <cfRule type="cellIs" dxfId="51" priority="108" operator="equal">
      <formula>"ID"</formula>
    </cfRule>
    <cfRule type="cellIs" dxfId="50" priority="109" operator="equal">
      <formula>"行動ID"</formula>
    </cfRule>
  </conditionalFormatting>
  <conditionalFormatting sqref="M1:M10 M12:M1048576">
    <cfRule type="expression" dxfId="49" priority="69">
      <formula>AND(_xlfn.ISFORMULA(M1),OR($F1="行動ID", $F1="ID"))</formula>
    </cfRule>
    <cfRule type="expression" dxfId="48" priority="71">
      <formula>OR($F1="行動ID", $F1="ID")</formula>
    </cfRule>
  </conditionalFormatting>
  <conditionalFormatting sqref="M11">
    <cfRule type="expression" dxfId="47" priority="10">
      <formula>AND(_xlfn.ISFORMULA(M11),OR($F11="行動ID", $F11="ID"))</formula>
    </cfRule>
    <cfRule type="expression" dxfId="46" priority="12">
      <formula>OR($F11="行動ID", $F11="ID")</formula>
    </cfRule>
  </conditionalFormatting>
  <conditionalFormatting sqref="M11">
    <cfRule type="expression" dxfId="45" priority="11">
      <formula>_xlfn.ISFORMULA(M11)</formula>
    </cfRule>
  </conditionalFormatting>
  <conditionalFormatting sqref="G14">
    <cfRule type="expression" dxfId="44" priority="9">
      <formula>_xlfn.ISFORMULA(G14)</formula>
    </cfRule>
  </conditionalFormatting>
  <conditionalFormatting sqref="G14">
    <cfRule type="expression" dxfId="43" priority="7">
      <formula>AND(_xlfn.ISFORMULA(G14),OR($F14="行動ID", $F14="ID"))</formula>
    </cfRule>
    <cfRule type="expression" dxfId="42" priority="8">
      <formula>OR($F14="行動ID", $F14="ID")</formula>
    </cfRule>
  </conditionalFormatting>
  <conditionalFormatting sqref="H14:J14">
    <cfRule type="expression" dxfId="41" priority="3">
      <formula>_xlfn.ISFORMULA(H14)</formula>
    </cfRule>
  </conditionalFormatting>
  <conditionalFormatting sqref="H14:J14">
    <cfRule type="expression" dxfId="40" priority="1">
      <formula>AND(_xlfn.ISFORMULA(H14),OR($F14="行動ID", $F14="ID"))</formula>
    </cfRule>
    <cfRule type="expression" dxfId="39" priority="2">
      <formula>OR($F14="行動ID", $F14="ID")</formula>
    </cfRule>
  </conditionalFormatting>
  <dataValidations count="1">
    <dataValidation type="list" allowBlank="1" showInputMessage="1" showErrorMessage="1" sqref="L5 L7:L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2025-04-29T07:25:34Z</dcterms:modified>
</cp:coreProperties>
</file>