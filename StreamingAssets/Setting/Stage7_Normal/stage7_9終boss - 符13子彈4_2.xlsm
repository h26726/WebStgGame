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BBB73F16-9802-4D2D-9ADA-D2C4EA9138F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3shot4_2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91" i="1" l="1"/>
  <c r="E1990" i="1"/>
  <c r="E1989" i="1"/>
  <c r="E1988" i="1"/>
  <c r="E1987" i="1"/>
  <c r="E1986" i="1"/>
  <c r="E1985" i="1"/>
  <c r="E1984" i="1"/>
  <c r="E1983" i="1"/>
  <c r="E1982" i="1"/>
  <c r="E1980" i="1"/>
  <c r="E1979" i="1"/>
  <c r="E1978" i="1"/>
  <c r="E1977" i="1"/>
  <c r="E1976" i="1"/>
  <c r="E1975" i="1"/>
  <c r="E1974" i="1"/>
  <c r="E1973" i="1"/>
  <c r="E1972" i="1"/>
  <c r="E1971" i="1"/>
  <c r="E1969" i="1"/>
  <c r="E1968" i="1"/>
  <c r="E1967" i="1"/>
  <c r="E1966" i="1"/>
  <c r="E1965" i="1"/>
  <c r="E1964" i="1"/>
  <c r="E1963" i="1"/>
  <c r="E1962" i="1"/>
  <c r="E1961" i="1"/>
  <c r="E1960" i="1"/>
  <c r="E1958" i="1"/>
  <c r="E1957" i="1"/>
  <c r="E1956" i="1"/>
  <c r="E1955" i="1"/>
  <c r="E1954" i="1"/>
  <c r="E1953" i="1"/>
  <c r="E1952" i="1"/>
  <c r="E1951" i="1"/>
  <c r="E1950" i="1"/>
  <c r="E1949" i="1"/>
  <c r="E1947" i="1"/>
  <c r="E1946" i="1"/>
  <c r="E1945" i="1"/>
  <c r="E1944" i="1"/>
  <c r="E1943" i="1"/>
  <c r="E1942" i="1"/>
  <c r="E1941" i="1"/>
  <c r="E1940" i="1"/>
  <c r="E1939" i="1"/>
  <c r="E1938" i="1"/>
  <c r="E1936" i="1"/>
  <c r="E1935" i="1"/>
  <c r="E1934" i="1"/>
  <c r="E1933" i="1"/>
  <c r="E1932" i="1"/>
  <c r="E1931" i="1"/>
  <c r="E1930" i="1"/>
  <c r="E1929" i="1"/>
  <c r="E1928" i="1"/>
  <c r="E1927" i="1"/>
  <c r="E1925" i="1"/>
  <c r="E1924" i="1"/>
  <c r="E1923" i="1"/>
  <c r="E1922" i="1"/>
  <c r="E1921" i="1"/>
  <c r="E1920" i="1"/>
  <c r="E1919" i="1"/>
  <c r="E1918" i="1"/>
  <c r="E1917" i="1"/>
  <c r="E1916" i="1"/>
  <c r="E1914" i="1"/>
  <c r="E1913" i="1"/>
  <c r="E1912" i="1"/>
  <c r="E1911" i="1"/>
  <c r="E1910" i="1"/>
  <c r="E1909" i="1"/>
  <c r="E1908" i="1"/>
  <c r="E1907" i="1"/>
  <c r="E1906" i="1"/>
  <c r="E1905" i="1"/>
  <c r="E1903" i="1"/>
  <c r="E1902" i="1"/>
  <c r="E1901" i="1"/>
  <c r="E1900" i="1"/>
  <c r="E1899" i="1"/>
  <c r="E1898" i="1"/>
  <c r="E1897" i="1"/>
  <c r="E1896" i="1"/>
  <c r="E1895" i="1"/>
  <c r="E1894" i="1"/>
  <c r="E1892" i="1"/>
  <c r="E1891" i="1"/>
  <c r="E1890" i="1"/>
  <c r="E1889" i="1"/>
  <c r="E1888" i="1"/>
  <c r="E1887" i="1"/>
  <c r="E1886" i="1"/>
  <c r="E1885" i="1"/>
  <c r="E1884" i="1"/>
  <c r="E1883" i="1"/>
  <c r="E1881" i="1"/>
  <c r="E1880" i="1"/>
  <c r="E1879" i="1"/>
  <c r="E1878" i="1"/>
  <c r="E1877" i="1"/>
  <c r="E1876" i="1"/>
  <c r="E1875" i="1"/>
  <c r="E1874" i="1"/>
  <c r="E1873" i="1"/>
  <c r="E1872" i="1"/>
  <c r="E1870" i="1"/>
  <c r="E1869" i="1"/>
  <c r="E1868" i="1"/>
  <c r="E1867" i="1"/>
  <c r="E1866" i="1"/>
  <c r="E1865" i="1"/>
  <c r="E1864" i="1"/>
  <c r="E1863" i="1"/>
  <c r="E1862" i="1"/>
  <c r="E1861" i="1"/>
  <c r="E1859" i="1"/>
  <c r="E1858" i="1"/>
  <c r="E1857" i="1"/>
  <c r="E1856" i="1"/>
  <c r="E1855" i="1"/>
  <c r="E1854" i="1"/>
  <c r="E1853" i="1"/>
  <c r="E1852" i="1"/>
  <c r="E1851" i="1"/>
  <c r="E1850" i="1"/>
  <c r="E1848" i="1"/>
  <c r="E1847" i="1"/>
  <c r="E1846" i="1"/>
  <c r="E1845" i="1"/>
  <c r="E1844" i="1"/>
  <c r="E1843" i="1"/>
  <c r="E1842" i="1"/>
  <c r="E1841" i="1"/>
  <c r="E1840" i="1"/>
  <c r="E1839" i="1"/>
  <c r="E1837" i="1"/>
  <c r="E1836" i="1"/>
  <c r="E1835" i="1"/>
  <c r="E1834" i="1"/>
  <c r="E1833" i="1"/>
  <c r="E1832" i="1"/>
  <c r="E1831" i="1"/>
  <c r="E1830" i="1"/>
  <c r="E1829" i="1"/>
  <c r="E1828" i="1"/>
  <c r="E1826" i="1"/>
  <c r="E1825" i="1"/>
  <c r="E1824" i="1"/>
  <c r="E1823" i="1"/>
  <c r="E1822" i="1"/>
  <c r="E1821" i="1"/>
  <c r="E1820" i="1"/>
  <c r="E1819" i="1"/>
  <c r="E1818" i="1"/>
  <c r="E1817" i="1"/>
  <c r="E1815" i="1"/>
  <c r="E1814" i="1"/>
  <c r="E1813" i="1"/>
  <c r="E1812" i="1"/>
  <c r="E1811" i="1"/>
  <c r="E1810" i="1"/>
  <c r="E1809" i="1"/>
  <c r="E1808" i="1"/>
  <c r="E1807" i="1"/>
  <c r="E1806" i="1"/>
  <c r="E1804" i="1"/>
  <c r="E1803" i="1"/>
  <c r="E1802" i="1"/>
  <c r="E1801" i="1"/>
  <c r="E1800" i="1"/>
  <c r="E1799" i="1"/>
  <c r="E1798" i="1"/>
  <c r="E1797" i="1"/>
  <c r="E1796" i="1"/>
  <c r="E1795" i="1"/>
  <c r="E1793" i="1"/>
  <c r="E1792" i="1"/>
  <c r="E1791" i="1"/>
  <c r="E1790" i="1"/>
  <c r="E1789" i="1"/>
  <c r="E1788" i="1"/>
  <c r="E1787" i="1"/>
  <c r="E1786" i="1"/>
  <c r="E1785" i="1"/>
  <c r="E1784" i="1"/>
  <c r="E1782" i="1"/>
  <c r="E1781" i="1"/>
  <c r="E1780" i="1"/>
  <c r="E1779" i="1"/>
  <c r="E1778" i="1"/>
  <c r="E1777" i="1"/>
  <c r="E1776" i="1"/>
  <c r="E1775" i="1"/>
  <c r="E1774" i="1"/>
  <c r="E1773" i="1"/>
  <c r="E1771" i="1"/>
  <c r="E1770" i="1"/>
  <c r="E1769" i="1"/>
  <c r="E1768" i="1"/>
  <c r="E1767" i="1"/>
  <c r="E1766" i="1"/>
  <c r="E1765" i="1"/>
  <c r="E1764" i="1"/>
  <c r="E1763" i="1"/>
  <c r="E1762" i="1"/>
  <c r="E1760" i="1"/>
  <c r="E1759" i="1"/>
  <c r="E1758" i="1"/>
  <c r="E1757" i="1"/>
  <c r="E1756" i="1"/>
  <c r="E1755" i="1"/>
  <c r="E1754" i="1"/>
  <c r="E1753" i="1"/>
  <c r="E1752" i="1"/>
  <c r="E1751" i="1"/>
  <c r="E1749" i="1"/>
  <c r="E1748" i="1"/>
  <c r="E1747" i="1"/>
  <c r="E1746" i="1"/>
  <c r="E1745" i="1"/>
  <c r="E1744" i="1"/>
  <c r="E1743" i="1"/>
  <c r="E1742" i="1"/>
  <c r="E1741" i="1"/>
  <c r="E1740" i="1"/>
  <c r="E1738" i="1"/>
  <c r="E1737" i="1"/>
  <c r="E1736" i="1"/>
  <c r="E1735" i="1"/>
  <c r="E1734" i="1"/>
  <c r="E1733" i="1"/>
  <c r="E1732" i="1"/>
  <c r="E1731" i="1"/>
  <c r="E1730" i="1"/>
  <c r="E1729" i="1"/>
  <c r="E1727" i="1"/>
  <c r="E1726" i="1"/>
  <c r="E1725" i="1"/>
  <c r="E1724" i="1"/>
  <c r="E1723" i="1"/>
  <c r="E1722" i="1"/>
  <c r="E1721" i="1"/>
  <c r="E1720" i="1"/>
  <c r="E1719" i="1"/>
  <c r="E1718" i="1"/>
  <c r="E1716" i="1"/>
  <c r="E1715" i="1"/>
  <c r="E1714" i="1"/>
  <c r="E1713" i="1"/>
  <c r="E1712" i="1"/>
  <c r="E1711" i="1"/>
  <c r="E1710" i="1"/>
  <c r="E1709" i="1"/>
  <c r="E1708" i="1"/>
  <c r="E1707" i="1"/>
  <c r="E1705" i="1"/>
  <c r="E1704" i="1"/>
  <c r="E1703" i="1"/>
  <c r="E1702" i="1"/>
  <c r="E1701" i="1"/>
  <c r="E1700" i="1"/>
  <c r="E1699" i="1"/>
  <c r="E1698" i="1"/>
  <c r="E1697" i="1"/>
  <c r="E1696" i="1"/>
  <c r="E1694" i="1"/>
  <c r="E1693" i="1"/>
  <c r="E1692" i="1"/>
  <c r="E1691" i="1"/>
  <c r="E1690" i="1"/>
  <c r="E1689" i="1"/>
  <c r="E1688" i="1"/>
  <c r="E1687" i="1"/>
  <c r="E1686" i="1"/>
  <c r="E1685" i="1"/>
  <c r="E1683" i="1"/>
  <c r="E1682" i="1"/>
  <c r="E1681" i="1"/>
  <c r="E1680" i="1"/>
  <c r="E1679" i="1"/>
  <c r="E1678" i="1"/>
  <c r="E1677" i="1"/>
  <c r="E1676" i="1"/>
  <c r="E1675" i="1"/>
  <c r="E1674" i="1"/>
  <c r="E1672" i="1"/>
  <c r="E1671" i="1"/>
  <c r="E1670" i="1"/>
  <c r="E1669" i="1"/>
  <c r="E1668" i="1"/>
  <c r="E1667" i="1"/>
  <c r="E1666" i="1"/>
  <c r="E1665" i="1"/>
  <c r="E1664" i="1"/>
  <c r="E1663" i="1"/>
  <c r="E1661" i="1"/>
  <c r="E1660" i="1"/>
  <c r="E1659" i="1"/>
  <c r="E1658" i="1"/>
  <c r="E1657" i="1"/>
  <c r="E1656" i="1"/>
  <c r="E1655" i="1"/>
  <c r="E1654" i="1"/>
  <c r="E1653" i="1"/>
  <c r="E1652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35" i="1"/>
  <c r="E1634" i="1"/>
  <c r="E1633" i="1"/>
  <c r="E1632" i="1"/>
  <c r="E1631" i="1"/>
  <c r="E1630" i="1"/>
  <c r="E1628" i="1"/>
  <c r="E1627" i="1"/>
  <c r="E1626" i="1"/>
  <c r="E1625" i="1"/>
  <c r="E1624" i="1"/>
  <c r="E1623" i="1"/>
  <c r="E1622" i="1"/>
  <c r="E1621" i="1"/>
  <c r="E1620" i="1"/>
  <c r="E1619" i="1"/>
  <c r="E1617" i="1"/>
  <c r="E1616" i="1"/>
  <c r="E1615" i="1"/>
  <c r="E1614" i="1"/>
  <c r="E1613" i="1"/>
  <c r="E1612" i="1"/>
  <c r="E1611" i="1"/>
  <c r="E1610" i="1"/>
  <c r="E1609" i="1"/>
  <c r="E1608" i="1"/>
  <c r="E1606" i="1"/>
  <c r="E1605" i="1"/>
  <c r="E1604" i="1"/>
  <c r="E1603" i="1"/>
  <c r="E1602" i="1"/>
  <c r="E1601" i="1"/>
  <c r="E1600" i="1"/>
  <c r="E1599" i="1"/>
  <c r="E1598" i="1"/>
  <c r="E1597" i="1"/>
  <c r="E1595" i="1"/>
  <c r="E1594" i="1"/>
  <c r="E1593" i="1"/>
  <c r="E1592" i="1"/>
  <c r="E1591" i="1"/>
  <c r="E1590" i="1"/>
  <c r="E1589" i="1"/>
  <c r="E1588" i="1"/>
  <c r="E1587" i="1"/>
  <c r="E1586" i="1"/>
  <c r="E1584" i="1"/>
  <c r="E1583" i="1"/>
  <c r="E1582" i="1"/>
  <c r="E1581" i="1"/>
  <c r="E1580" i="1"/>
  <c r="E1579" i="1"/>
  <c r="E1578" i="1"/>
  <c r="E1577" i="1"/>
  <c r="E1576" i="1"/>
  <c r="E1575" i="1"/>
  <c r="E1573" i="1"/>
  <c r="E1572" i="1"/>
  <c r="E1571" i="1"/>
  <c r="E1570" i="1"/>
  <c r="E1569" i="1"/>
  <c r="E1568" i="1"/>
  <c r="E1567" i="1"/>
  <c r="E1566" i="1"/>
  <c r="E1565" i="1"/>
  <c r="E1564" i="1"/>
  <c r="E1562" i="1"/>
  <c r="E1561" i="1"/>
  <c r="E1560" i="1"/>
  <c r="E1559" i="1"/>
  <c r="E1558" i="1"/>
  <c r="E1557" i="1"/>
  <c r="E1556" i="1"/>
  <c r="E1555" i="1"/>
  <c r="E1554" i="1"/>
  <c r="E1553" i="1"/>
  <c r="E1551" i="1"/>
  <c r="E1550" i="1"/>
  <c r="E1549" i="1"/>
  <c r="E1548" i="1"/>
  <c r="E1547" i="1"/>
  <c r="E1546" i="1"/>
  <c r="E1545" i="1"/>
  <c r="E1544" i="1"/>
  <c r="E1543" i="1"/>
  <c r="E1542" i="1"/>
  <c r="E1540" i="1"/>
  <c r="E1539" i="1"/>
  <c r="E1538" i="1"/>
  <c r="E1537" i="1"/>
  <c r="E1536" i="1"/>
  <c r="E1535" i="1"/>
  <c r="E1534" i="1"/>
  <c r="E1533" i="1"/>
  <c r="E1532" i="1"/>
  <c r="E1531" i="1"/>
  <c r="E1529" i="1"/>
  <c r="E1528" i="1"/>
  <c r="E1527" i="1"/>
  <c r="E1526" i="1"/>
  <c r="E1525" i="1"/>
  <c r="E1524" i="1"/>
  <c r="E1523" i="1"/>
  <c r="E1522" i="1"/>
  <c r="E1521" i="1"/>
  <c r="E1520" i="1"/>
  <c r="E1518" i="1"/>
  <c r="E1517" i="1"/>
  <c r="E1516" i="1"/>
  <c r="E1515" i="1"/>
  <c r="E1514" i="1"/>
  <c r="E1513" i="1"/>
  <c r="E1512" i="1"/>
  <c r="E1511" i="1"/>
  <c r="E1510" i="1"/>
  <c r="E1509" i="1"/>
  <c r="E1507" i="1"/>
  <c r="E1506" i="1"/>
  <c r="E1505" i="1"/>
  <c r="E1504" i="1"/>
  <c r="E1503" i="1"/>
  <c r="E1502" i="1"/>
  <c r="E1501" i="1"/>
  <c r="E1500" i="1"/>
  <c r="E1499" i="1"/>
  <c r="E1498" i="1"/>
  <c r="E1496" i="1"/>
  <c r="E1495" i="1"/>
  <c r="E1494" i="1"/>
  <c r="E1493" i="1"/>
  <c r="E1492" i="1"/>
  <c r="E1491" i="1"/>
  <c r="E1490" i="1"/>
  <c r="E1489" i="1"/>
  <c r="E1488" i="1"/>
  <c r="E1487" i="1"/>
  <c r="E1485" i="1"/>
  <c r="E1484" i="1"/>
  <c r="E1483" i="1"/>
  <c r="E1482" i="1"/>
  <c r="E1481" i="1"/>
  <c r="E1480" i="1"/>
  <c r="E1479" i="1"/>
  <c r="E1478" i="1"/>
  <c r="E1477" i="1"/>
  <c r="E1476" i="1"/>
  <c r="E1474" i="1"/>
  <c r="E1473" i="1"/>
  <c r="E1472" i="1"/>
  <c r="E1471" i="1"/>
  <c r="E1470" i="1"/>
  <c r="E1469" i="1"/>
  <c r="E1468" i="1"/>
  <c r="E1467" i="1"/>
  <c r="E1466" i="1"/>
  <c r="E1465" i="1"/>
  <c r="E1463" i="1"/>
  <c r="E1462" i="1"/>
  <c r="E1461" i="1"/>
  <c r="E1460" i="1"/>
  <c r="E1459" i="1"/>
  <c r="E1458" i="1"/>
  <c r="E1457" i="1"/>
  <c r="E1456" i="1"/>
  <c r="E1455" i="1"/>
  <c r="E1454" i="1"/>
  <c r="E1452" i="1"/>
  <c r="E1451" i="1"/>
  <c r="E1450" i="1"/>
  <c r="E1449" i="1"/>
  <c r="E1448" i="1"/>
  <c r="E1447" i="1"/>
  <c r="E1446" i="1"/>
  <c r="E1445" i="1"/>
  <c r="E1444" i="1"/>
  <c r="E1443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6" i="1"/>
  <c r="E1425" i="1"/>
  <c r="E1424" i="1"/>
  <c r="E1423" i="1"/>
  <c r="E1422" i="1"/>
  <c r="E1421" i="1"/>
  <c r="E1419" i="1"/>
  <c r="E1418" i="1"/>
  <c r="E1417" i="1"/>
  <c r="E1416" i="1"/>
  <c r="E1415" i="1"/>
  <c r="E1414" i="1"/>
  <c r="E1413" i="1"/>
  <c r="E1412" i="1"/>
  <c r="E1411" i="1"/>
  <c r="E1410" i="1"/>
  <c r="E1408" i="1"/>
  <c r="E1407" i="1"/>
  <c r="E1406" i="1"/>
  <c r="E1405" i="1"/>
  <c r="E1404" i="1"/>
  <c r="E1403" i="1"/>
  <c r="E1402" i="1"/>
  <c r="E1401" i="1"/>
  <c r="E1400" i="1"/>
  <c r="E1399" i="1"/>
  <c r="E1397" i="1"/>
  <c r="E1396" i="1"/>
  <c r="E1395" i="1"/>
  <c r="E1394" i="1"/>
  <c r="E1393" i="1"/>
  <c r="E1392" i="1"/>
  <c r="E1391" i="1"/>
  <c r="E1390" i="1"/>
  <c r="E1389" i="1"/>
  <c r="E1388" i="1"/>
  <c r="E1386" i="1"/>
  <c r="E1385" i="1"/>
  <c r="E1384" i="1"/>
  <c r="E1383" i="1"/>
  <c r="E1382" i="1"/>
  <c r="E1381" i="1"/>
  <c r="E1380" i="1"/>
  <c r="E1379" i="1"/>
  <c r="E1378" i="1"/>
  <c r="E1377" i="1"/>
  <c r="E1375" i="1"/>
  <c r="E1374" i="1"/>
  <c r="E1373" i="1"/>
  <c r="E1372" i="1"/>
  <c r="E1371" i="1"/>
  <c r="E1370" i="1"/>
  <c r="E1369" i="1"/>
  <c r="E1368" i="1"/>
  <c r="E1367" i="1"/>
  <c r="E1366" i="1"/>
  <c r="E1364" i="1"/>
  <c r="E1363" i="1"/>
  <c r="E1362" i="1"/>
  <c r="E1361" i="1"/>
  <c r="E1360" i="1"/>
  <c r="E1359" i="1"/>
  <c r="E1358" i="1"/>
  <c r="E1357" i="1"/>
  <c r="E1356" i="1"/>
  <c r="E1355" i="1"/>
  <c r="E1353" i="1"/>
  <c r="E1352" i="1"/>
  <c r="E1351" i="1"/>
  <c r="E1350" i="1"/>
  <c r="E1349" i="1"/>
  <c r="E1348" i="1"/>
  <c r="E1347" i="1"/>
  <c r="E1346" i="1"/>
  <c r="E1345" i="1"/>
  <c r="E1344" i="1"/>
  <c r="E1342" i="1"/>
  <c r="E1341" i="1"/>
  <c r="E1340" i="1"/>
  <c r="E1339" i="1"/>
  <c r="E1338" i="1"/>
  <c r="E1337" i="1"/>
  <c r="E1336" i="1"/>
  <c r="E1335" i="1"/>
  <c r="E1334" i="1"/>
  <c r="E1333" i="1"/>
  <c r="E1331" i="1"/>
  <c r="E1330" i="1"/>
  <c r="E1329" i="1"/>
  <c r="E1328" i="1"/>
  <c r="E1327" i="1"/>
  <c r="E1326" i="1"/>
  <c r="E1325" i="1"/>
  <c r="E1324" i="1"/>
  <c r="E1323" i="1"/>
  <c r="E1322" i="1"/>
  <c r="E1320" i="1"/>
  <c r="E1319" i="1"/>
  <c r="E1318" i="1"/>
  <c r="E1317" i="1"/>
  <c r="E1316" i="1"/>
  <c r="E1315" i="1"/>
  <c r="E1314" i="1"/>
  <c r="E1313" i="1"/>
  <c r="E1312" i="1"/>
  <c r="E1311" i="1"/>
  <c r="E1309" i="1"/>
  <c r="E1308" i="1"/>
  <c r="E1307" i="1"/>
  <c r="E1306" i="1"/>
  <c r="E1305" i="1"/>
  <c r="E1304" i="1"/>
  <c r="E1303" i="1"/>
  <c r="E1302" i="1"/>
  <c r="E1301" i="1"/>
  <c r="E1300" i="1"/>
  <c r="E1298" i="1"/>
  <c r="E1297" i="1"/>
  <c r="E1296" i="1"/>
  <c r="E1295" i="1"/>
  <c r="E1294" i="1"/>
  <c r="E1293" i="1"/>
  <c r="E1292" i="1"/>
  <c r="E1291" i="1"/>
  <c r="E1290" i="1"/>
  <c r="E1289" i="1"/>
  <c r="E1287" i="1"/>
  <c r="E1286" i="1"/>
  <c r="E1285" i="1"/>
  <c r="E1284" i="1"/>
  <c r="E1283" i="1"/>
  <c r="E1282" i="1"/>
  <c r="E1281" i="1"/>
  <c r="E1280" i="1"/>
  <c r="E1279" i="1"/>
  <c r="E1278" i="1"/>
  <c r="E1276" i="1"/>
  <c r="E1275" i="1"/>
  <c r="E1274" i="1"/>
  <c r="E1273" i="1"/>
  <c r="E1272" i="1"/>
  <c r="E1271" i="1"/>
  <c r="E1270" i="1"/>
  <c r="E1269" i="1"/>
  <c r="E1268" i="1"/>
  <c r="E1267" i="1"/>
  <c r="E1265" i="1"/>
  <c r="E1264" i="1"/>
  <c r="E1263" i="1"/>
  <c r="E1262" i="1"/>
  <c r="E1261" i="1"/>
  <c r="E1260" i="1"/>
  <c r="E1259" i="1"/>
  <c r="E1258" i="1"/>
  <c r="E1257" i="1"/>
  <c r="E1256" i="1"/>
  <c r="E1254" i="1"/>
  <c r="E1253" i="1"/>
  <c r="E1252" i="1"/>
  <c r="E1251" i="1"/>
  <c r="E1250" i="1"/>
  <c r="E1249" i="1"/>
  <c r="E1248" i="1"/>
  <c r="E1247" i="1"/>
  <c r="E1246" i="1"/>
  <c r="E1245" i="1"/>
  <c r="E1243" i="1"/>
  <c r="E1242" i="1"/>
  <c r="E1241" i="1"/>
  <c r="E1240" i="1"/>
  <c r="E1239" i="1"/>
  <c r="E1238" i="1"/>
  <c r="E1237" i="1"/>
  <c r="E1236" i="1"/>
  <c r="E1235" i="1"/>
  <c r="E1234" i="1"/>
  <c r="E1232" i="1"/>
  <c r="E1231" i="1"/>
  <c r="E1230" i="1"/>
  <c r="E1229" i="1"/>
  <c r="E1228" i="1"/>
  <c r="E1227" i="1"/>
  <c r="E1226" i="1"/>
  <c r="E1225" i="1"/>
  <c r="E1224" i="1"/>
  <c r="E1223" i="1"/>
  <c r="E1221" i="1"/>
  <c r="E1220" i="1"/>
  <c r="E1219" i="1"/>
  <c r="E1218" i="1"/>
  <c r="E1217" i="1"/>
  <c r="E1216" i="1"/>
  <c r="E1215" i="1"/>
  <c r="E1214" i="1"/>
  <c r="E1213" i="1"/>
  <c r="E1212" i="1"/>
  <c r="E1210" i="1"/>
  <c r="E1209" i="1"/>
  <c r="E1208" i="1"/>
  <c r="E1207" i="1"/>
  <c r="E1206" i="1"/>
  <c r="E1205" i="1"/>
  <c r="E1204" i="1"/>
  <c r="E1203" i="1"/>
  <c r="E1202" i="1"/>
  <c r="E1201" i="1"/>
  <c r="E1199" i="1"/>
  <c r="E1198" i="1"/>
  <c r="E1197" i="1"/>
  <c r="E1196" i="1"/>
  <c r="E1195" i="1"/>
  <c r="E1194" i="1"/>
  <c r="E1193" i="1"/>
  <c r="E1192" i="1"/>
  <c r="E1191" i="1"/>
  <c r="E1190" i="1"/>
  <c r="E1188" i="1"/>
  <c r="E1187" i="1"/>
  <c r="E1186" i="1"/>
  <c r="E1185" i="1"/>
  <c r="E1184" i="1"/>
  <c r="E1183" i="1"/>
  <c r="E1182" i="1"/>
  <c r="E1181" i="1"/>
  <c r="E1180" i="1"/>
  <c r="E1179" i="1"/>
  <c r="E1177" i="1"/>
  <c r="E1176" i="1"/>
  <c r="E1175" i="1"/>
  <c r="E1174" i="1"/>
  <c r="E1173" i="1"/>
  <c r="E1172" i="1"/>
  <c r="E1171" i="1"/>
  <c r="E1170" i="1"/>
  <c r="E1169" i="1"/>
  <c r="E1168" i="1"/>
  <c r="E1166" i="1"/>
  <c r="E1165" i="1"/>
  <c r="E1164" i="1"/>
  <c r="E1163" i="1"/>
  <c r="E1162" i="1"/>
  <c r="E1161" i="1"/>
  <c r="E1160" i="1"/>
  <c r="E1159" i="1"/>
  <c r="E1158" i="1"/>
  <c r="E1157" i="1"/>
  <c r="E1155" i="1"/>
  <c r="E1154" i="1"/>
  <c r="E1153" i="1"/>
  <c r="E1152" i="1"/>
  <c r="E1151" i="1"/>
  <c r="E1150" i="1"/>
  <c r="E1149" i="1"/>
  <c r="E1148" i="1"/>
  <c r="E1147" i="1"/>
  <c r="E1146" i="1"/>
  <c r="E1144" i="1"/>
  <c r="E1143" i="1"/>
  <c r="E1142" i="1"/>
  <c r="E1141" i="1"/>
  <c r="E1140" i="1"/>
  <c r="E1139" i="1"/>
  <c r="E1138" i="1"/>
  <c r="E1137" i="1"/>
  <c r="E1136" i="1"/>
  <c r="E1135" i="1"/>
  <c r="E1133" i="1"/>
  <c r="E1132" i="1"/>
  <c r="E1131" i="1"/>
  <c r="E1130" i="1"/>
  <c r="E1129" i="1"/>
  <c r="E1128" i="1"/>
  <c r="E1127" i="1"/>
  <c r="E1126" i="1"/>
  <c r="E1125" i="1"/>
  <c r="E1124" i="1"/>
  <c r="E1122" i="1"/>
  <c r="E1121" i="1"/>
  <c r="E1120" i="1"/>
  <c r="E1119" i="1"/>
  <c r="E1118" i="1"/>
  <c r="E1117" i="1"/>
  <c r="E1116" i="1"/>
  <c r="E1115" i="1"/>
  <c r="E1114" i="1"/>
  <c r="E1113" i="1"/>
  <c r="E1111" i="1"/>
  <c r="E1110" i="1"/>
  <c r="E1109" i="1"/>
  <c r="E1108" i="1"/>
  <c r="E1107" i="1"/>
  <c r="E1106" i="1"/>
  <c r="E1105" i="1"/>
  <c r="E1104" i="1"/>
  <c r="E1103" i="1"/>
  <c r="E1102" i="1"/>
  <c r="E1100" i="1"/>
  <c r="E1099" i="1"/>
  <c r="E1098" i="1"/>
  <c r="E1097" i="1"/>
  <c r="E1096" i="1"/>
  <c r="E1095" i="1"/>
  <c r="E1094" i="1"/>
  <c r="E1093" i="1"/>
  <c r="E1092" i="1"/>
  <c r="E1091" i="1"/>
  <c r="E1089" i="1"/>
  <c r="E1088" i="1"/>
  <c r="E1087" i="1"/>
  <c r="E1086" i="1"/>
  <c r="E1085" i="1"/>
  <c r="E1084" i="1"/>
  <c r="E1083" i="1"/>
  <c r="E1082" i="1"/>
  <c r="E1081" i="1"/>
  <c r="E1080" i="1"/>
  <c r="E1078" i="1"/>
  <c r="E1077" i="1"/>
  <c r="E1076" i="1"/>
  <c r="E1075" i="1"/>
  <c r="E1074" i="1"/>
  <c r="E1073" i="1"/>
  <c r="E1072" i="1"/>
  <c r="E1071" i="1"/>
  <c r="E1070" i="1"/>
  <c r="E1069" i="1"/>
  <c r="E1067" i="1"/>
  <c r="E1066" i="1"/>
  <c r="E1065" i="1"/>
  <c r="E1064" i="1"/>
  <c r="E1063" i="1"/>
  <c r="E1062" i="1"/>
  <c r="E1061" i="1"/>
  <c r="E1060" i="1"/>
  <c r="E1059" i="1"/>
  <c r="E1058" i="1"/>
  <c r="E1056" i="1"/>
  <c r="E1055" i="1"/>
  <c r="E1054" i="1"/>
  <c r="E1053" i="1"/>
  <c r="E1052" i="1"/>
  <c r="E1051" i="1"/>
  <c r="E1050" i="1"/>
  <c r="E1049" i="1"/>
  <c r="E1048" i="1"/>
  <c r="E1047" i="1"/>
  <c r="E1045" i="1"/>
  <c r="E1044" i="1"/>
  <c r="E1043" i="1"/>
  <c r="E1042" i="1"/>
  <c r="E1041" i="1"/>
  <c r="E1040" i="1"/>
  <c r="E1039" i="1"/>
  <c r="E1038" i="1"/>
  <c r="E1037" i="1"/>
  <c r="E1036" i="1"/>
  <c r="E1034" i="1"/>
  <c r="E1033" i="1"/>
  <c r="E1032" i="1"/>
  <c r="E1031" i="1"/>
  <c r="E1030" i="1"/>
  <c r="E1029" i="1"/>
  <c r="E1028" i="1"/>
  <c r="E1027" i="1"/>
  <c r="E1026" i="1"/>
  <c r="E1025" i="1"/>
  <c r="E1023" i="1"/>
  <c r="E1022" i="1"/>
  <c r="E1021" i="1"/>
  <c r="E1020" i="1"/>
  <c r="E1019" i="1"/>
  <c r="E1018" i="1"/>
  <c r="E1017" i="1"/>
  <c r="E1016" i="1"/>
  <c r="E1015" i="1"/>
  <c r="E1014" i="1"/>
  <c r="E1012" i="1"/>
  <c r="E1011" i="1"/>
  <c r="E1010" i="1"/>
  <c r="E1009" i="1"/>
  <c r="E1008" i="1"/>
  <c r="E1007" i="1"/>
  <c r="E1006" i="1"/>
  <c r="E1005" i="1"/>
  <c r="E1004" i="1"/>
  <c r="E1003" i="1"/>
  <c r="E1001" i="1"/>
  <c r="E1000" i="1"/>
  <c r="E999" i="1"/>
  <c r="E998" i="1"/>
  <c r="E997" i="1"/>
  <c r="E996" i="1"/>
  <c r="E995" i="1"/>
  <c r="E994" i="1"/>
  <c r="E993" i="1"/>
  <c r="E992" i="1"/>
  <c r="E990" i="1"/>
  <c r="E989" i="1"/>
  <c r="E988" i="1"/>
  <c r="E987" i="1"/>
  <c r="E986" i="1"/>
  <c r="E985" i="1"/>
  <c r="E984" i="1"/>
  <c r="E983" i="1"/>
  <c r="E982" i="1"/>
  <c r="E981" i="1"/>
  <c r="E979" i="1"/>
  <c r="E978" i="1"/>
  <c r="E977" i="1"/>
  <c r="E976" i="1"/>
  <c r="E975" i="1"/>
  <c r="E974" i="1"/>
  <c r="E973" i="1"/>
  <c r="E972" i="1"/>
  <c r="E971" i="1"/>
  <c r="E970" i="1"/>
  <c r="E968" i="1"/>
  <c r="E967" i="1"/>
  <c r="E966" i="1"/>
  <c r="E965" i="1"/>
  <c r="E964" i="1"/>
  <c r="E963" i="1"/>
  <c r="E962" i="1"/>
  <c r="E961" i="1"/>
  <c r="E960" i="1"/>
  <c r="E959" i="1"/>
  <c r="E957" i="1"/>
  <c r="E956" i="1"/>
  <c r="E955" i="1"/>
  <c r="E954" i="1"/>
  <c r="E953" i="1"/>
  <c r="E952" i="1"/>
  <c r="E951" i="1"/>
  <c r="E950" i="1"/>
  <c r="E949" i="1"/>
  <c r="E948" i="1"/>
  <c r="E946" i="1"/>
  <c r="E945" i="1"/>
  <c r="E944" i="1"/>
  <c r="E943" i="1"/>
  <c r="E942" i="1"/>
  <c r="E941" i="1"/>
  <c r="E940" i="1"/>
  <c r="E939" i="1"/>
  <c r="E938" i="1"/>
  <c r="E937" i="1"/>
  <c r="E935" i="1"/>
  <c r="E934" i="1"/>
  <c r="E933" i="1"/>
  <c r="E932" i="1"/>
  <c r="E931" i="1"/>
  <c r="E930" i="1"/>
  <c r="E929" i="1"/>
  <c r="E928" i="1"/>
  <c r="E927" i="1"/>
  <c r="E926" i="1"/>
  <c r="E924" i="1"/>
  <c r="E923" i="1"/>
  <c r="E922" i="1"/>
  <c r="E921" i="1"/>
  <c r="E920" i="1"/>
  <c r="E919" i="1"/>
  <c r="E918" i="1"/>
  <c r="E917" i="1"/>
  <c r="E916" i="1"/>
  <c r="E915" i="1"/>
  <c r="E913" i="1"/>
  <c r="E912" i="1"/>
  <c r="E911" i="1"/>
  <c r="E910" i="1"/>
  <c r="E909" i="1"/>
  <c r="E908" i="1"/>
  <c r="E907" i="1"/>
  <c r="E906" i="1"/>
  <c r="E905" i="1"/>
  <c r="E904" i="1"/>
  <c r="E902" i="1"/>
  <c r="E901" i="1"/>
  <c r="E900" i="1"/>
  <c r="E899" i="1"/>
  <c r="E898" i="1"/>
  <c r="E897" i="1"/>
  <c r="E896" i="1"/>
  <c r="E895" i="1"/>
  <c r="E894" i="1"/>
  <c r="E893" i="1"/>
  <c r="E891" i="1"/>
  <c r="E890" i="1"/>
  <c r="E889" i="1"/>
  <c r="E888" i="1"/>
  <c r="E887" i="1"/>
  <c r="E886" i="1"/>
  <c r="E885" i="1"/>
  <c r="E884" i="1"/>
  <c r="E883" i="1"/>
  <c r="E882" i="1"/>
  <c r="E880" i="1"/>
  <c r="E879" i="1"/>
  <c r="E878" i="1"/>
  <c r="E877" i="1"/>
  <c r="E876" i="1"/>
  <c r="E875" i="1"/>
  <c r="E874" i="1"/>
  <c r="E873" i="1"/>
  <c r="E872" i="1"/>
  <c r="E871" i="1"/>
  <c r="E869" i="1"/>
  <c r="E868" i="1"/>
  <c r="E867" i="1"/>
  <c r="E866" i="1"/>
  <c r="E865" i="1"/>
  <c r="E864" i="1"/>
  <c r="E863" i="1"/>
  <c r="E862" i="1"/>
  <c r="E861" i="1"/>
  <c r="E860" i="1"/>
  <c r="E858" i="1"/>
  <c r="E857" i="1"/>
  <c r="E856" i="1"/>
  <c r="E855" i="1"/>
  <c r="E854" i="1"/>
  <c r="E853" i="1"/>
  <c r="E852" i="1"/>
  <c r="E851" i="1"/>
  <c r="E850" i="1"/>
  <c r="E849" i="1"/>
  <c r="E847" i="1"/>
  <c r="E846" i="1"/>
  <c r="E845" i="1"/>
  <c r="E844" i="1"/>
  <c r="E843" i="1"/>
  <c r="E842" i="1"/>
  <c r="E841" i="1"/>
  <c r="E840" i="1"/>
  <c r="E839" i="1"/>
  <c r="E838" i="1"/>
  <c r="E836" i="1"/>
  <c r="E835" i="1"/>
  <c r="E834" i="1"/>
  <c r="E833" i="1"/>
  <c r="E832" i="1"/>
  <c r="E831" i="1"/>
  <c r="E830" i="1"/>
  <c r="E829" i="1"/>
  <c r="E828" i="1"/>
  <c r="E827" i="1"/>
  <c r="E825" i="1"/>
  <c r="E824" i="1"/>
  <c r="E823" i="1"/>
  <c r="E822" i="1"/>
  <c r="E821" i="1"/>
  <c r="E820" i="1"/>
  <c r="E819" i="1"/>
  <c r="E818" i="1"/>
  <c r="E817" i="1"/>
  <c r="E816" i="1"/>
  <c r="E814" i="1"/>
  <c r="E813" i="1"/>
  <c r="E812" i="1"/>
  <c r="E811" i="1"/>
  <c r="E810" i="1"/>
  <c r="E809" i="1"/>
  <c r="E808" i="1"/>
  <c r="E807" i="1"/>
  <c r="E806" i="1"/>
  <c r="E805" i="1"/>
  <c r="E803" i="1"/>
  <c r="E802" i="1"/>
  <c r="E801" i="1"/>
  <c r="E800" i="1"/>
  <c r="E799" i="1"/>
  <c r="E798" i="1"/>
  <c r="E797" i="1"/>
  <c r="E796" i="1"/>
  <c r="E795" i="1"/>
  <c r="E794" i="1"/>
  <c r="E792" i="1"/>
  <c r="E791" i="1"/>
  <c r="E790" i="1"/>
  <c r="E789" i="1"/>
  <c r="E788" i="1"/>
  <c r="E787" i="1"/>
  <c r="E786" i="1"/>
  <c r="E785" i="1"/>
  <c r="E784" i="1"/>
  <c r="E783" i="1"/>
  <c r="E781" i="1"/>
  <c r="E780" i="1"/>
  <c r="E779" i="1"/>
  <c r="E778" i="1"/>
  <c r="E777" i="1"/>
  <c r="E776" i="1"/>
  <c r="E775" i="1"/>
  <c r="E774" i="1"/>
  <c r="E773" i="1"/>
  <c r="E772" i="1"/>
  <c r="E770" i="1"/>
  <c r="E769" i="1"/>
  <c r="E768" i="1"/>
  <c r="E767" i="1"/>
  <c r="E766" i="1"/>
  <c r="E765" i="1"/>
  <c r="E764" i="1"/>
  <c r="E763" i="1"/>
  <c r="E762" i="1"/>
  <c r="E761" i="1"/>
  <c r="E759" i="1"/>
  <c r="E758" i="1"/>
  <c r="E757" i="1"/>
  <c r="E756" i="1"/>
  <c r="E755" i="1"/>
  <c r="E754" i="1"/>
  <c r="E753" i="1"/>
  <c r="E752" i="1"/>
  <c r="E751" i="1"/>
  <c r="E750" i="1"/>
  <c r="E748" i="1"/>
  <c r="E747" i="1"/>
  <c r="E746" i="1"/>
  <c r="E745" i="1"/>
  <c r="E744" i="1"/>
  <c r="E743" i="1"/>
  <c r="E742" i="1"/>
  <c r="E741" i="1"/>
  <c r="E740" i="1"/>
  <c r="E739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5" i="1"/>
  <c r="E714" i="1"/>
  <c r="E713" i="1"/>
  <c r="E712" i="1"/>
  <c r="E711" i="1"/>
  <c r="E710" i="1"/>
  <c r="E709" i="1"/>
  <c r="E708" i="1"/>
  <c r="E707" i="1"/>
  <c r="E706" i="1"/>
  <c r="E704" i="1"/>
  <c r="E703" i="1"/>
  <c r="E702" i="1"/>
  <c r="E701" i="1"/>
  <c r="E700" i="1"/>
  <c r="E699" i="1"/>
  <c r="E698" i="1"/>
  <c r="E697" i="1"/>
  <c r="E696" i="1"/>
  <c r="E695" i="1"/>
  <c r="E693" i="1"/>
  <c r="E692" i="1"/>
  <c r="E691" i="1"/>
  <c r="E690" i="1"/>
  <c r="E689" i="1"/>
  <c r="E688" i="1"/>
  <c r="E687" i="1"/>
  <c r="E686" i="1"/>
  <c r="E685" i="1"/>
  <c r="E684" i="1"/>
  <c r="E682" i="1"/>
  <c r="E681" i="1"/>
  <c r="E680" i="1"/>
  <c r="E679" i="1"/>
  <c r="E678" i="1"/>
  <c r="E677" i="1"/>
  <c r="E676" i="1"/>
  <c r="E675" i="1"/>
  <c r="E674" i="1"/>
  <c r="E673" i="1"/>
  <c r="E671" i="1"/>
  <c r="E670" i="1"/>
  <c r="E669" i="1"/>
  <c r="E668" i="1"/>
  <c r="E667" i="1"/>
  <c r="E666" i="1"/>
  <c r="E665" i="1"/>
  <c r="E664" i="1"/>
  <c r="E663" i="1"/>
  <c r="E662" i="1"/>
  <c r="E660" i="1"/>
  <c r="E659" i="1"/>
  <c r="E658" i="1"/>
  <c r="E657" i="1"/>
  <c r="E656" i="1"/>
  <c r="E655" i="1"/>
  <c r="E654" i="1"/>
  <c r="E653" i="1"/>
  <c r="E652" i="1"/>
  <c r="E651" i="1"/>
  <c r="E649" i="1"/>
  <c r="E648" i="1"/>
  <c r="E647" i="1"/>
  <c r="E646" i="1"/>
  <c r="E645" i="1"/>
  <c r="E644" i="1"/>
  <c r="E643" i="1"/>
  <c r="E642" i="1"/>
  <c r="E641" i="1"/>
  <c r="E640" i="1"/>
  <c r="E638" i="1"/>
  <c r="E637" i="1"/>
  <c r="E636" i="1"/>
  <c r="E635" i="1"/>
  <c r="E634" i="1"/>
  <c r="E633" i="1"/>
  <c r="E632" i="1"/>
  <c r="E631" i="1"/>
  <c r="E630" i="1"/>
  <c r="E629" i="1"/>
  <c r="E627" i="1"/>
  <c r="E626" i="1"/>
  <c r="E625" i="1"/>
  <c r="E624" i="1"/>
  <c r="E623" i="1"/>
  <c r="E622" i="1"/>
  <c r="E621" i="1"/>
  <c r="E620" i="1"/>
  <c r="E619" i="1"/>
  <c r="E618" i="1"/>
  <c r="E616" i="1"/>
  <c r="E615" i="1"/>
  <c r="E614" i="1"/>
  <c r="E613" i="1"/>
  <c r="E612" i="1"/>
  <c r="E611" i="1"/>
  <c r="E610" i="1"/>
  <c r="E609" i="1"/>
  <c r="E608" i="1"/>
  <c r="E607" i="1"/>
  <c r="E605" i="1"/>
  <c r="E604" i="1"/>
  <c r="E603" i="1"/>
  <c r="E602" i="1"/>
  <c r="E601" i="1"/>
  <c r="E600" i="1"/>
  <c r="E599" i="1"/>
  <c r="E598" i="1"/>
  <c r="E597" i="1"/>
  <c r="E596" i="1"/>
  <c r="E594" i="1"/>
  <c r="E593" i="1"/>
  <c r="E592" i="1"/>
  <c r="E591" i="1"/>
  <c r="E590" i="1"/>
  <c r="E589" i="1"/>
  <c r="E588" i="1"/>
  <c r="E587" i="1"/>
  <c r="E586" i="1"/>
  <c r="E585" i="1"/>
  <c r="E583" i="1"/>
  <c r="E582" i="1"/>
  <c r="E581" i="1"/>
  <c r="E580" i="1"/>
  <c r="E579" i="1"/>
  <c r="E578" i="1"/>
  <c r="E577" i="1"/>
  <c r="E576" i="1"/>
  <c r="E575" i="1"/>
  <c r="E574" i="1"/>
  <c r="E572" i="1"/>
  <c r="E571" i="1"/>
  <c r="E570" i="1"/>
  <c r="E569" i="1"/>
  <c r="E568" i="1"/>
  <c r="E567" i="1"/>
  <c r="E566" i="1"/>
  <c r="E565" i="1"/>
  <c r="E564" i="1"/>
  <c r="E563" i="1"/>
  <c r="E561" i="1"/>
  <c r="E560" i="1"/>
  <c r="E559" i="1"/>
  <c r="E558" i="1"/>
  <c r="E557" i="1"/>
  <c r="E556" i="1"/>
  <c r="E555" i="1"/>
  <c r="E554" i="1"/>
  <c r="E553" i="1"/>
  <c r="E552" i="1"/>
  <c r="E550" i="1"/>
  <c r="E549" i="1"/>
  <c r="E548" i="1"/>
  <c r="E547" i="1"/>
  <c r="E546" i="1"/>
  <c r="E545" i="1"/>
  <c r="E544" i="1"/>
  <c r="E543" i="1"/>
  <c r="E542" i="1"/>
  <c r="E541" i="1"/>
  <c r="E539" i="1"/>
  <c r="E538" i="1"/>
  <c r="E537" i="1"/>
  <c r="E536" i="1"/>
  <c r="E535" i="1"/>
  <c r="E534" i="1"/>
  <c r="E533" i="1"/>
  <c r="E532" i="1"/>
  <c r="E531" i="1"/>
  <c r="E530" i="1"/>
  <c r="E528" i="1"/>
  <c r="E527" i="1"/>
  <c r="E526" i="1"/>
  <c r="E525" i="1"/>
  <c r="E524" i="1"/>
  <c r="E523" i="1"/>
  <c r="E522" i="1"/>
  <c r="E521" i="1"/>
  <c r="E520" i="1"/>
  <c r="E519" i="1"/>
  <c r="E517" i="1"/>
  <c r="E516" i="1"/>
  <c r="E515" i="1"/>
  <c r="E514" i="1"/>
  <c r="E513" i="1"/>
  <c r="E512" i="1"/>
  <c r="E511" i="1"/>
  <c r="E510" i="1"/>
  <c r="E509" i="1"/>
  <c r="E508" i="1"/>
  <c r="E506" i="1"/>
  <c r="E505" i="1"/>
  <c r="E504" i="1"/>
  <c r="E503" i="1"/>
  <c r="E502" i="1"/>
  <c r="E501" i="1"/>
  <c r="E500" i="1"/>
  <c r="E499" i="1"/>
  <c r="E498" i="1"/>
  <c r="E497" i="1"/>
  <c r="E495" i="1"/>
  <c r="E494" i="1"/>
  <c r="E493" i="1"/>
  <c r="E492" i="1"/>
  <c r="E491" i="1"/>
  <c r="E490" i="1"/>
  <c r="E489" i="1"/>
  <c r="E488" i="1"/>
  <c r="E487" i="1"/>
  <c r="E486" i="1"/>
  <c r="E484" i="1"/>
  <c r="E483" i="1"/>
  <c r="E482" i="1"/>
  <c r="E481" i="1"/>
  <c r="E480" i="1"/>
  <c r="E479" i="1"/>
  <c r="E478" i="1"/>
  <c r="E477" i="1"/>
  <c r="E476" i="1"/>
  <c r="E475" i="1"/>
  <c r="E473" i="1"/>
  <c r="E472" i="1"/>
  <c r="E471" i="1"/>
  <c r="E470" i="1"/>
  <c r="E469" i="1"/>
  <c r="E468" i="1"/>
  <c r="E467" i="1"/>
  <c r="E466" i="1"/>
  <c r="E465" i="1"/>
  <c r="E464" i="1"/>
  <c r="E462" i="1"/>
  <c r="E461" i="1"/>
  <c r="E460" i="1"/>
  <c r="E459" i="1"/>
  <c r="E458" i="1"/>
  <c r="E457" i="1"/>
  <c r="E456" i="1"/>
  <c r="E455" i="1"/>
  <c r="E454" i="1"/>
  <c r="E453" i="1"/>
  <c r="E451" i="1"/>
  <c r="E450" i="1"/>
  <c r="E449" i="1"/>
  <c r="E448" i="1"/>
  <c r="E447" i="1"/>
  <c r="E446" i="1"/>
  <c r="E445" i="1"/>
  <c r="E444" i="1"/>
  <c r="E443" i="1"/>
  <c r="E442" i="1"/>
  <c r="E440" i="1"/>
  <c r="E439" i="1"/>
  <c r="E438" i="1"/>
  <c r="E437" i="1"/>
  <c r="E436" i="1"/>
  <c r="E435" i="1"/>
  <c r="E434" i="1"/>
  <c r="E433" i="1"/>
  <c r="E432" i="1"/>
  <c r="E431" i="1"/>
  <c r="E429" i="1"/>
  <c r="E428" i="1"/>
  <c r="E427" i="1"/>
  <c r="E426" i="1"/>
  <c r="E425" i="1"/>
  <c r="E424" i="1"/>
  <c r="E423" i="1"/>
  <c r="E422" i="1"/>
  <c r="E421" i="1"/>
  <c r="E420" i="1"/>
  <c r="E418" i="1"/>
  <c r="E417" i="1"/>
  <c r="E416" i="1"/>
  <c r="E415" i="1"/>
  <c r="E414" i="1"/>
  <c r="E413" i="1"/>
  <c r="E412" i="1"/>
  <c r="E411" i="1"/>
  <c r="E410" i="1"/>
  <c r="E409" i="1"/>
  <c r="E407" i="1"/>
  <c r="E406" i="1"/>
  <c r="E405" i="1"/>
  <c r="E404" i="1"/>
  <c r="E403" i="1"/>
  <c r="E402" i="1"/>
  <c r="E401" i="1"/>
  <c r="E400" i="1"/>
  <c r="E399" i="1"/>
  <c r="E398" i="1"/>
  <c r="E396" i="1"/>
  <c r="E395" i="1"/>
  <c r="E394" i="1"/>
  <c r="E393" i="1"/>
  <c r="E392" i="1"/>
  <c r="E391" i="1"/>
  <c r="E390" i="1"/>
  <c r="E389" i="1"/>
  <c r="E388" i="1"/>
  <c r="E387" i="1"/>
  <c r="E385" i="1"/>
  <c r="E384" i="1"/>
  <c r="E383" i="1"/>
  <c r="E382" i="1"/>
  <c r="E381" i="1"/>
  <c r="E380" i="1"/>
  <c r="E379" i="1"/>
  <c r="E378" i="1"/>
  <c r="E377" i="1"/>
  <c r="E376" i="1"/>
  <c r="E374" i="1"/>
  <c r="E373" i="1"/>
  <c r="E372" i="1"/>
  <c r="E371" i="1"/>
  <c r="E370" i="1"/>
  <c r="E369" i="1"/>
  <c r="E368" i="1"/>
  <c r="E367" i="1"/>
  <c r="E366" i="1"/>
  <c r="E365" i="1"/>
  <c r="E363" i="1"/>
  <c r="E362" i="1"/>
  <c r="E361" i="1"/>
  <c r="E360" i="1"/>
  <c r="E359" i="1"/>
  <c r="E358" i="1"/>
  <c r="E357" i="1"/>
  <c r="E356" i="1"/>
  <c r="E355" i="1"/>
  <c r="E354" i="1"/>
  <c r="E352" i="1"/>
  <c r="E351" i="1"/>
  <c r="E350" i="1"/>
  <c r="E349" i="1"/>
  <c r="E348" i="1"/>
  <c r="E347" i="1"/>
  <c r="E346" i="1"/>
  <c r="E345" i="1"/>
  <c r="E344" i="1"/>
  <c r="E343" i="1"/>
  <c r="E341" i="1"/>
  <c r="E340" i="1"/>
  <c r="E339" i="1"/>
  <c r="E338" i="1"/>
  <c r="E337" i="1"/>
  <c r="E336" i="1"/>
  <c r="E335" i="1"/>
  <c r="E334" i="1"/>
  <c r="E333" i="1"/>
  <c r="E332" i="1"/>
  <c r="E330" i="1"/>
  <c r="E329" i="1"/>
  <c r="E328" i="1"/>
  <c r="E327" i="1"/>
  <c r="E326" i="1"/>
  <c r="E325" i="1"/>
  <c r="E324" i="1"/>
  <c r="E323" i="1"/>
  <c r="E322" i="1"/>
  <c r="E321" i="1"/>
  <c r="E319" i="1"/>
  <c r="E318" i="1"/>
  <c r="E317" i="1"/>
  <c r="E316" i="1"/>
  <c r="E315" i="1"/>
  <c r="E314" i="1"/>
  <c r="E313" i="1"/>
  <c r="E312" i="1"/>
  <c r="E311" i="1"/>
  <c r="E310" i="1"/>
  <c r="E308" i="1"/>
  <c r="E307" i="1"/>
  <c r="E306" i="1"/>
  <c r="E305" i="1"/>
  <c r="E304" i="1"/>
  <c r="E303" i="1"/>
  <c r="E302" i="1"/>
  <c r="E301" i="1"/>
  <c r="E300" i="1"/>
  <c r="E299" i="1"/>
  <c r="E297" i="1"/>
  <c r="E296" i="1"/>
  <c r="E295" i="1"/>
  <c r="E294" i="1"/>
  <c r="E293" i="1"/>
  <c r="E292" i="1"/>
  <c r="E291" i="1"/>
  <c r="E290" i="1"/>
  <c r="E289" i="1"/>
  <c r="E288" i="1"/>
  <c r="E286" i="1"/>
  <c r="E285" i="1"/>
  <c r="E284" i="1"/>
  <c r="E283" i="1"/>
  <c r="E282" i="1"/>
  <c r="E281" i="1"/>
  <c r="E280" i="1"/>
  <c r="E279" i="1"/>
  <c r="E278" i="1"/>
  <c r="E277" i="1"/>
  <c r="E275" i="1"/>
  <c r="E274" i="1"/>
  <c r="E273" i="1"/>
  <c r="E272" i="1"/>
  <c r="E271" i="1"/>
  <c r="E270" i="1"/>
  <c r="E269" i="1"/>
  <c r="E268" i="1"/>
  <c r="E267" i="1"/>
  <c r="E266" i="1"/>
  <c r="E264" i="1"/>
  <c r="E263" i="1"/>
  <c r="E262" i="1"/>
  <c r="E261" i="1"/>
  <c r="E260" i="1"/>
  <c r="E259" i="1"/>
  <c r="E258" i="1"/>
  <c r="E257" i="1"/>
  <c r="E256" i="1"/>
  <c r="E255" i="1"/>
  <c r="E253" i="1"/>
  <c r="E252" i="1"/>
  <c r="E251" i="1"/>
  <c r="E250" i="1"/>
  <c r="E249" i="1"/>
  <c r="E248" i="1"/>
  <c r="E247" i="1"/>
  <c r="E246" i="1"/>
  <c r="E245" i="1"/>
  <c r="E244" i="1"/>
  <c r="E242" i="1"/>
  <c r="E241" i="1"/>
  <c r="E240" i="1"/>
  <c r="E239" i="1"/>
  <c r="E238" i="1"/>
  <c r="E237" i="1"/>
  <c r="E236" i="1"/>
  <c r="E235" i="1"/>
  <c r="E234" i="1"/>
  <c r="E233" i="1"/>
  <c r="E231" i="1"/>
  <c r="E230" i="1"/>
  <c r="E229" i="1"/>
  <c r="E228" i="1"/>
  <c r="E227" i="1"/>
  <c r="E226" i="1"/>
  <c r="E225" i="1"/>
  <c r="E224" i="1"/>
  <c r="E223" i="1"/>
  <c r="E222" i="1"/>
  <c r="E220" i="1"/>
  <c r="E219" i="1"/>
  <c r="E218" i="1"/>
  <c r="E217" i="1"/>
  <c r="E216" i="1"/>
  <c r="E215" i="1"/>
  <c r="E214" i="1"/>
  <c r="E213" i="1"/>
  <c r="E212" i="1"/>
  <c r="E211" i="1"/>
  <c r="E209" i="1"/>
  <c r="E208" i="1"/>
  <c r="E207" i="1"/>
  <c r="E206" i="1"/>
  <c r="E205" i="1"/>
  <c r="E204" i="1"/>
  <c r="E203" i="1"/>
  <c r="E202" i="1"/>
  <c r="E201" i="1"/>
  <c r="E200" i="1"/>
  <c r="E198" i="1"/>
  <c r="E197" i="1"/>
  <c r="E196" i="1"/>
  <c r="E195" i="1"/>
  <c r="E194" i="1"/>
  <c r="E193" i="1"/>
  <c r="E192" i="1"/>
  <c r="E191" i="1"/>
  <c r="E190" i="1"/>
  <c r="E189" i="1"/>
  <c r="E187" i="1"/>
  <c r="E186" i="1"/>
  <c r="E185" i="1"/>
  <c r="E184" i="1"/>
  <c r="E183" i="1"/>
  <c r="E182" i="1"/>
  <c r="E181" i="1"/>
  <c r="E180" i="1"/>
  <c r="E179" i="1"/>
  <c r="E178" i="1"/>
  <c r="E176" i="1"/>
  <c r="E175" i="1"/>
  <c r="E174" i="1"/>
  <c r="E173" i="1"/>
  <c r="E172" i="1"/>
  <c r="E171" i="1"/>
  <c r="E170" i="1"/>
  <c r="E169" i="1"/>
  <c r="E168" i="1"/>
  <c r="E167" i="1"/>
  <c r="E165" i="1"/>
  <c r="E164" i="1"/>
  <c r="E163" i="1"/>
  <c r="E162" i="1"/>
  <c r="E161" i="1"/>
  <c r="E160" i="1"/>
  <c r="E159" i="1"/>
  <c r="E158" i="1"/>
  <c r="E157" i="1"/>
  <c r="E156" i="1"/>
  <c r="E154" i="1"/>
  <c r="E153" i="1"/>
  <c r="E152" i="1"/>
  <c r="E151" i="1"/>
  <c r="E150" i="1"/>
  <c r="E149" i="1"/>
  <c r="E148" i="1"/>
  <c r="E147" i="1"/>
  <c r="E146" i="1"/>
  <c r="E145" i="1"/>
  <c r="E143" i="1"/>
  <c r="E142" i="1"/>
  <c r="E141" i="1"/>
  <c r="E140" i="1"/>
  <c r="E139" i="1"/>
  <c r="E138" i="1"/>
  <c r="E137" i="1"/>
  <c r="E136" i="1"/>
  <c r="E135" i="1"/>
  <c r="E134" i="1"/>
  <c r="E132" i="1"/>
  <c r="E131" i="1"/>
  <c r="E130" i="1"/>
  <c r="E129" i="1"/>
  <c r="E128" i="1"/>
  <c r="E127" i="1"/>
  <c r="E126" i="1"/>
  <c r="E125" i="1"/>
  <c r="E124" i="1"/>
  <c r="E123" i="1"/>
  <c r="E121" i="1"/>
  <c r="E120" i="1"/>
  <c r="E119" i="1"/>
  <c r="E118" i="1"/>
  <c r="E117" i="1"/>
  <c r="E116" i="1"/>
  <c r="E115" i="1"/>
  <c r="E114" i="1"/>
  <c r="E113" i="1"/>
  <c r="E112" i="1"/>
  <c r="E110" i="1"/>
  <c r="E109" i="1"/>
  <c r="E108" i="1"/>
  <c r="E107" i="1"/>
  <c r="E106" i="1"/>
  <c r="E105" i="1"/>
  <c r="E104" i="1"/>
  <c r="E103" i="1"/>
  <c r="E102" i="1"/>
  <c r="E101" i="1"/>
  <c r="E99" i="1"/>
  <c r="E98" i="1"/>
  <c r="E97" i="1"/>
  <c r="E96" i="1"/>
  <c r="E95" i="1"/>
  <c r="E94" i="1"/>
  <c r="E93" i="1"/>
  <c r="E92" i="1"/>
  <c r="E91" i="1"/>
  <c r="E90" i="1"/>
  <c r="E88" i="1"/>
  <c r="E87" i="1"/>
  <c r="E86" i="1"/>
  <c r="E85" i="1"/>
  <c r="E84" i="1"/>
  <c r="E83" i="1"/>
  <c r="E82" i="1"/>
  <c r="E81" i="1"/>
  <c r="E80" i="1"/>
  <c r="E79" i="1"/>
  <c r="E77" i="1"/>
  <c r="E76" i="1"/>
  <c r="E75" i="1"/>
  <c r="E74" i="1"/>
  <c r="E73" i="1"/>
  <c r="E72" i="1"/>
  <c r="E71" i="1"/>
  <c r="E70" i="1"/>
  <c r="E69" i="1"/>
  <c r="E68" i="1"/>
  <c r="E66" i="1"/>
  <c r="E65" i="1"/>
  <c r="E64" i="1"/>
  <c r="E63" i="1"/>
  <c r="E62" i="1"/>
  <c r="E61" i="1"/>
  <c r="E60" i="1"/>
  <c r="E59" i="1"/>
  <c r="E58" i="1"/>
  <c r="E57" i="1"/>
  <c r="E55" i="1"/>
  <c r="E54" i="1"/>
  <c r="E53" i="1"/>
  <c r="E52" i="1"/>
  <c r="E51" i="1"/>
  <c r="E50" i="1"/>
  <c r="E49" i="1"/>
  <c r="E48" i="1"/>
  <c r="E47" i="1"/>
  <c r="E46" i="1"/>
  <c r="D45" i="1"/>
  <c r="E44" i="1"/>
  <c r="E43" i="1"/>
  <c r="E42" i="1"/>
  <c r="E41" i="1"/>
  <c r="E40" i="1"/>
  <c r="E39" i="1"/>
  <c r="E38" i="1"/>
  <c r="E37" i="1"/>
  <c r="E36" i="1"/>
  <c r="E35" i="1"/>
  <c r="D34" i="1"/>
  <c r="M35" i="1" s="1"/>
  <c r="E33" i="1"/>
  <c r="E32" i="1"/>
  <c r="E31" i="1"/>
  <c r="E30" i="1"/>
  <c r="E29" i="1"/>
  <c r="E28" i="1"/>
  <c r="E27" i="1"/>
  <c r="E26" i="1"/>
  <c r="E25" i="1"/>
  <c r="E24" i="1"/>
  <c r="D23" i="1"/>
  <c r="A23" i="1"/>
  <c r="B23" i="1" s="1"/>
  <c r="M26" i="1" l="1"/>
  <c r="C23" i="1"/>
  <c r="M32" i="1" s="1"/>
  <c r="A45" i="1"/>
  <c r="B45" i="1" s="1"/>
  <c r="M46" i="1"/>
  <c r="D56" i="1"/>
  <c r="M24" i="1"/>
  <c r="A34" i="1"/>
  <c r="B34" i="1" s="1"/>
  <c r="D67" i="1"/>
  <c r="D78" i="1"/>
  <c r="E20" i="1"/>
  <c r="E18" i="1"/>
  <c r="M48" i="1" l="1"/>
  <c r="C45" i="1"/>
  <c r="M54" i="1" s="1"/>
  <c r="B56" i="1"/>
  <c r="M59" i="1" s="1"/>
  <c r="M57" i="1"/>
  <c r="A56" i="1"/>
  <c r="B78" i="1"/>
  <c r="M81" i="1" s="1"/>
  <c r="A78" i="1"/>
  <c r="M79" i="1"/>
  <c r="D89" i="1"/>
  <c r="B67" i="1"/>
  <c r="M70" i="1" s="1"/>
  <c r="A67" i="1"/>
  <c r="M68" i="1"/>
  <c r="M37" i="1"/>
  <c r="C34" i="1"/>
  <c r="M43" i="1" s="1"/>
  <c r="A11" i="1"/>
  <c r="M90" i="1" l="1"/>
  <c r="A89" i="1"/>
  <c r="B89" i="1"/>
  <c r="M92" i="1" s="1"/>
  <c r="D100" i="1"/>
  <c r="C67" i="1"/>
  <c r="M76" i="1" s="1"/>
  <c r="C56" i="1"/>
  <c r="M65" i="1" s="1"/>
  <c r="C78" i="1"/>
  <c r="M87" i="1" s="1"/>
  <c r="D12" i="1"/>
  <c r="E17" i="1"/>
  <c r="E22" i="1"/>
  <c r="E21" i="1"/>
  <c r="E19" i="1"/>
  <c r="E16" i="1"/>
  <c r="E15" i="1"/>
  <c r="E14" i="1"/>
  <c r="E13" i="1"/>
  <c r="D111" i="1" l="1"/>
  <c r="M101" i="1"/>
  <c r="A100" i="1"/>
  <c r="B100" i="1"/>
  <c r="C100" i="1" s="1"/>
  <c r="M109" i="1" s="1"/>
  <c r="C89" i="1"/>
  <c r="M98" i="1" s="1"/>
  <c r="D122" i="1"/>
  <c r="A12" i="1"/>
  <c r="M13" i="1"/>
  <c r="A122" i="1" l="1"/>
  <c r="B122" i="1" s="1"/>
  <c r="M123" i="1"/>
  <c r="M103" i="1"/>
  <c r="D133" i="1"/>
  <c r="A111" i="1"/>
  <c r="M112" i="1"/>
  <c r="B111" i="1"/>
  <c r="C111" i="1" s="1"/>
  <c r="M120" i="1" s="1"/>
  <c r="M114" i="1"/>
  <c r="B12" i="1"/>
  <c r="M15" i="1" s="1"/>
  <c r="C122" i="1" l="1"/>
  <c r="M131" i="1" s="1"/>
  <c r="M125" i="1"/>
  <c r="A133" i="1"/>
  <c r="B133" i="1" s="1"/>
  <c r="M134" i="1"/>
  <c r="D144" i="1"/>
  <c r="C12" i="1"/>
  <c r="M21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C133" i="1" l="1"/>
  <c r="M142" i="1" s="1"/>
  <c r="M136" i="1"/>
  <c r="M145" i="1"/>
  <c r="A144" i="1"/>
  <c r="B144" i="1" s="1"/>
  <c r="D155" i="1"/>
  <c r="M147" i="1" l="1"/>
  <c r="C144" i="1"/>
  <c r="M153" i="1" s="1"/>
  <c r="M156" i="1"/>
  <c r="A155" i="1"/>
  <c r="B155" i="1" s="1"/>
  <c r="D166" i="1"/>
  <c r="C155" i="1" l="1"/>
  <c r="M164" i="1" s="1"/>
  <c r="M158" i="1"/>
  <c r="M167" i="1"/>
  <c r="A166" i="1"/>
  <c r="B166" i="1" s="1"/>
  <c r="D177" i="1"/>
  <c r="M169" i="1" l="1"/>
  <c r="C166" i="1"/>
  <c r="M175" i="1" s="1"/>
  <c r="A177" i="1"/>
  <c r="B177" i="1" s="1"/>
  <c r="M178" i="1"/>
  <c r="D188" i="1"/>
  <c r="M180" i="1" l="1"/>
  <c r="C177" i="1"/>
  <c r="M186" i="1" s="1"/>
  <c r="A188" i="1"/>
  <c r="B188" i="1" s="1"/>
  <c r="M189" i="1"/>
  <c r="D199" i="1"/>
  <c r="C188" i="1" l="1"/>
  <c r="M197" i="1" s="1"/>
  <c r="M191" i="1"/>
  <c r="A199" i="1"/>
  <c r="B199" i="1" s="1"/>
  <c r="M200" i="1"/>
  <c r="D210" i="1"/>
  <c r="M202" i="1" l="1"/>
  <c r="C199" i="1"/>
  <c r="M208" i="1" s="1"/>
  <c r="A210" i="1"/>
  <c r="B210" i="1" s="1"/>
  <c r="M211" i="1"/>
  <c r="D221" i="1"/>
  <c r="M213" i="1" l="1"/>
  <c r="C210" i="1"/>
  <c r="M219" i="1" s="1"/>
  <c r="M222" i="1"/>
  <c r="B221" i="1"/>
  <c r="M224" i="1" s="1"/>
  <c r="A221" i="1"/>
  <c r="D232" i="1"/>
  <c r="C221" i="1" l="1"/>
  <c r="M230" i="1" s="1"/>
  <c r="M233" i="1"/>
  <c r="A232" i="1"/>
  <c r="B232" i="1" s="1"/>
  <c r="D243" i="1"/>
  <c r="M235" i="1" l="1"/>
  <c r="C232" i="1"/>
  <c r="M241" i="1" s="1"/>
  <c r="A243" i="1"/>
  <c r="B243" i="1" s="1"/>
  <c r="M244" i="1"/>
  <c r="D254" i="1"/>
  <c r="M246" i="1" l="1"/>
  <c r="C243" i="1"/>
  <c r="M252" i="1" s="1"/>
  <c r="A254" i="1"/>
  <c r="B254" i="1" s="1"/>
  <c r="M255" i="1"/>
  <c r="D265" i="1"/>
  <c r="C254" i="1" l="1"/>
  <c r="M263" i="1" s="1"/>
  <c r="M257" i="1"/>
  <c r="A265" i="1"/>
  <c r="B265" i="1" s="1"/>
  <c r="M266" i="1"/>
  <c r="D276" i="1"/>
  <c r="M268" i="1" l="1"/>
  <c r="C265" i="1"/>
  <c r="M274" i="1" s="1"/>
  <c r="A276" i="1"/>
  <c r="B276" i="1" s="1"/>
  <c r="M277" i="1"/>
  <c r="D287" i="1"/>
  <c r="C276" i="1" l="1"/>
  <c r="M285" i="1" s="1"/>
  <c r="M279" i="1"/>
  <c r="M288" i="1"/>
  <c r="B287" i="1"/>
  <c r="M290" i="1" s="1"/>
  <c r="A287" i="1"/>
  <c r="D298" i="1"/>
  <c r="C287" i="1" l="1"/>
  <c r="M296" i="1" s="1"/>
  <c r="M299" i="1"/>
  <c r="A298" i="1"/>
  <c r="B298" i="1"/>
  <c r="C298" i="1" s="1"/>
  <c r="M307" i="1" s="1"/>
  <c r="D309" i="1"/>
  <c r="M301" i="1" l="1"/>
  <c r="A309" i="1"/>
  <c r="M310" i="1"/>
  <c r="B309" i="1"/>
  <c r="C309" i="1" s="1"/>
  <c r="M318" i="1" s="1"/>
  <c r="M312" i="1"/>
  <c r="D320" i="1"/>
  <c r="A320" i="1" l="1"/>
  <c r="B320" i="1" s="1"/>
  <c r="M321" i="1"/>
  <c r="D331" i="1"/>
  <c r="C320" i="1" l="1"/>
  <c r="M329" i="1" s="1"/>
  <c r="M323" i="1"/>
  <c r="A331" i="1"/>
  <c r="B331" i="1" s="1"/>
  <c r="M332" i="1"/>
  <c r="D342" i="1"/>
  <c r="M334" i="1" l="1"/>
  <c r="C331" i="1"/>
  <c r="M340" i="1" s="1"/>
  <c r="B342" i="1"/>
  <c r="M345" i="1" s="1"/>
  <c r="M343" i="1"/>
  <c r="A342" i="1"/>
  <c r="D353" i="1"/>
  <c r="C342" i="1" l="1"/>
  <c r="M351" i="1" s="1"/>
  <c r="M354" i="1"/>
  <c r="A353" i="1"/>
  <c r="B353" i="1" s="1"/>
  <c r="D364" i="1"/>
  <c r="M356" i="1" l="1"/>
  <c r="C353" i="1"/>
  <c r="M362" i="1" s="1"/>
  <c r="M365" i="1"/>
  <c r="A364" i="1"/>
  <c r="B364" i="1" s="1"/>
  <c r="D375" i="1"/>
  <c r="M367" i="1" l="1"/>
  <c r="C364" i="1"/>
  <c r="M373" i="1" s="1"/>
  <c r="A375" i="1"/>
  <c r="B375" i="1" s="1"/>
  <c r="M376" i="1"/>
  <c r="D386" i="1"/>
  <c r="C375" i="1" l="1"/>
  <c r="M384" i="1" s="1"/>
  <c r="M378" i="1"/>
  <c r="A386" i="1"/>
  <c r="B386" i="1" s="1"/>
  <c r="M387" i="1"/>
  <c r="D397" i="1"/>
  <c r="C386" i="1" l="1"/>
  <c r="M395" i="1" s="1"/>
  <c r="M389" i="1"/>
  <c r="A397" i="1"/>
  <c r="B397" i="1" s="1"/>
  <c r="M398" i="1"/>
  <c r="D408" i="1"/>
  <c r="M400" i="1" l="1"/>
  <c r="C397" i="1"/>
  <c r="M406" i="1" s="1"/>
  <c r="M409" i="1"/>
  <c r="A408" i="1"/>
  <c r="B408" i="1" s="1"/>
  <c r="D419" i="1"/>
  <c r="C408" i="1" l="1"/>
  <c r="M417" i="1" s="1"/>
  <c r="M411" i="1"/>
  <c r="M420" i="1"/>
  <c r="A419" i="1"/>
  <c r="B419" i="1" s="1"/>
  <c r="D430" i="1"/>
  <c r="M422" i="1" l="1"/>
  <c r="C419" i="1"/>
  <c r="M428" i="1" s="1"/>
  <c r="A430" i="1"/>
  <c r="B430" i="1" s="1"/>
  <c r="M431" i="1"/>
  <c r="D441" i="1"/>
  <c r="C430" i="1" l="1"/>
  <c r="M439" i="1" s="1"/>
  <c r="M433" i="1"/>
  <c r="A441" i="1"/>
  <c r="B441" i="1" s="1"/>
  <c r="M442" i="1"/>
  <c r="D452" i="1"/>
  <c r="C441" i="1" l="1"/>
  <c r="M450" i="1" s="1"/>
  <c r="M444" i="1"/>
  <c r="M453" i="1"/>
  <c r="A452" i="1"/>
  <c r="B452" i="1" s="1"/>
  <c r="D463" i="1"/>
  <c r="M455" i="1" l="1"/>
  <c r="C452" i="1"/>
  <c r="M461" i="1" s="1"/>
  <c r="A463" i="1"/>
  <c r="B463" i="1" s="1"/>
  <c r="M464" i="1"/>
  <c r="D474" i="1"/>
  <c r="M466" i="1" l="1"/>
  <c r="C463" i="1"/>
  <c r="M472" i="1" s="1"/>
  <c r="A474" i="1"/>
  <c r="B474" i="1" s="1"/>
  <c r="M475" i="1"/>
  <c r="D485" i="1"/>
  <c r="C474" i="1" l="1"/>
  <c r="M483" i="1" s="1"/>
  <c r="M477" i="1"/>
  <c r="M486" i="1"/>
  <c r="B485" i="1"/>
  <c r="M488" i="1" s="1"/>
  <c r="A485" i="1"/>
  <c r="D496" i="1"/>
  <c r="C485" i="1" l="1"/>
  <c r="M494" i="1" s="1"/>
  <c r="A496" i="1"/>
  <c r="B496" i="1"/>
  <c r="C496" i="1" s="1"/>
  <c r="M505" i="1" s="1"/>
  <c r="M497" i="1"/>
  <c r="D507" i="1"/>
  <c r="M499" i="1" l="1"/>
  <c r="M508" i="1"/>
  <c r="A507" i="1"/>
  <c r="B507" i="1" s="1"/>
  <c r="D518" i="1"/>
  <c r="C507" i="1" l="1"/>
  <c r="M516" i="1" s="1"/>
  <c r="M510" i="1"/>
  <c r="M519" i="1"/>
  <c r="A518" i="1"/>
  <c r="B518" i="1" s="1"/>
  <c r="D529" i="1"/>
  <c r="M521" i="1" l="1"/>
  <c r="C518" i="1"/>
  <c r="M527" i="1" s="1"/>
  <c r="A529" i="1"/>
  <c r="B529" i="1" s="1"/>
  <c r="M530" i="1"/>
  <c r="D540" i="1"/>
  <c r="C529" i="1" l="1"/>
  <c r="M538" i="1" s="1"/>
  <c r="M532" i="1"/>
  <c r="A540" i="1"/>
  <c r="B540" i="1" s="1"/>
  <c r="M541" i="1"/>
  <c r="D551" i="1"/>
  <c r="M543" i="1" l="1"/>
  <c r="C540" i="1"/>
  <c r="M549" i="1" s="1"/>
  <c r="M552" i="1"/>
  <c r="A551" i="1"/>
  <c r="B551" i="1" s="1"/>
  <c r="D562" i="1"/>
  <c r="M554" i="1" l="1"/>
  <c r="C551" i="1"/>
  <c r="M560" i="1" s="1"/>
  <c r="A562" i="1"/>
  <c r="B562" i="1"/>
  <c r="M565" i="1" s="1"/>
  <c r="M563" i="1"/>
  <c r="D573" i="1"/>
  <c r="C562" i="1" l="1"/>
  <c r="M571" i="1" s="1"/>
  <c r="A573" i="1"/>
  <c r="B573" i="1" s="1"/>
  <c r="M574" i="1"/>
  <c r="D584" i="1"/>
  <c r="M576" i="1" l="1"/>
  <c r="C573" i="1"/>
  <c r="M582" i="1" s="1"/>
  <c r="M585" i="1"/>
  <c r="B584" i="1"/>
  <c r="M587" i="1" s="1"/>
  <c r="A584" i="1"/>
  <c r="D595" i="1"/>
  <c r="C584" i="1" l="1"/>
  <c r="M593" i="1" s="1"/>
  <c r="M596" i="1"/>
  <c r="A595" i="1"/>
  <c r="B595" i="1" s="1"/>
  <c r="D606" i="1"/>
  <c r="M598" i="1" l="1"/>
  <c r="C595" i="1"/>
  <c r="M604" i="1" s="1"/>
  <c r="A606" i="1"/>
  <c r="B606" i="1" s="1"/>
  <c r="M607" i="1"/>
  <c r="D617" i="1"/>
  <c r="M609" i="1" l="1"/>
  <c r="C606" i="1"/>
  <c r="M615" i="1" s="1"/>
  <c r="M618" i="1"/>
  <c r="A617" i="1"/>
  <c r="B617" i="1" s="1"/>
  <c r="D628" i="1"/>
  <c r="C617" i="1" l="1"/>
  <c r="M626" i="1" s="1"/>
  <c r="M620" i="1"/>
  <c r="A628" i="1"/>
  <c r="B628" i="1" s="1"/>
  <c r="M629" i="1"/>
  <c r="D639" i="1"/>
  <c r="M631" i="1" l="1"/>
  <c r="C628" i="1"/>
  <c r="M637" i="1" s="1"/>
  <c r="A639" i="1"/>
  <c r="B639" i="1" s="1"/>
  <c r="M640" i="1"/>
  <c r="D650" i="1"/>
  <c r="M642" i="1" l="1"/>
  <c r="C639" i="1"/>
  <c r="M648" i="1" s="1"/>
  <c r="M651" i="1"/>
  <c r="A650" i="1"/>
  <c r="B650" i="1" s="1"/>
  <c r="D661" i="1"/>
  <c r="M653" i="1" l="1"/>
  <c r="C650" i="1"/>
  <c r="M659" i="1" s="1"/>
  <c r="M662" i="1"/>
  <c r="A661" i="1"/>
  <c r="B661" i="1" s="1"/>
  <c r="D672" i="1"/>
  <c r="M664" i="1" l="1"/>
  <c r="C661" i="1"/>
  <c r="M670" i="1" s="1"/>
  <c r="A672" i="1"/>
  <c r="B672" i="1" s="1"/>
  <c r="M673" i="1"/>
  <c r="D683" i="1"/>
  <c r="C672" i="1" l="1"/>
  <c r="M681" i="1" s="1"/>
  <c r="M675" i="1"/>
  <c r="M684" i="1"/>
  <c r="A683" i="1"/>
  <c r="B683" i="1" s="1"/>
  <c r="D694" i="1"/>
  <c r="C683" i="1" l="1"/>
  <c r="M692" i="1" s="1"/>
  <c r="M686" i="1"/>
  <c r="A694" i="1"/>
  <c r="B694" i="1" s="1"/>
  <c r="M695" i="1"/>
  <c r="D705" i="1"/>
  <c r="M697" i="1" l="1"/>
  <c r="C694" i="1"/>
  <c r="M703" i="1" s="1"/>
  <c r="M706" i="1"/>
  <c r="A705" i="1"/>
  <c r="B705" i="1" s="1"/>
  <c r="D716" i="1"/>
  <c r="C705" i="1" l="1"/>
  <c r="M714" i="1" s="1"/>
  <c r="M708" i="1"/>
  <c r="M717" i="1"/>
  <c r="B716" i="1"/>
  <c r="M719" i="1" s="1"/>
  <c r="A716" i="1"/>
  <c r="D727" i="1"/>
  <c r="C716" i="1" l="1"/>
  <c r="M725" i="1" s="1"/>
  <c r="M728" i="1"/>
  <c r="A727" i="1"/>
  <c r="B727" i="1" s="1"/>
  <c r="D738" i="1"/>
  <c r="M730" i="1" l="1"/>
  <c r="C727" i="1"/>
  <c r="M736" i="1" s="1"/>
  <c r="A738" i="1"/>
  <c r="B738" i="1"/>
  <c r="M741" i="1" s="1"/>
  <c r="M739" i="1"/>
  <c r="D749" i="1"/>
  <c r="C738" i="1" l="1"/>
  <c r="M747" i="1" s="1"/>
  <c r="M750" i="1"/>
  <c r="A749" i="1"/>
  <c r="B749" i="1" s="1"/>
  <c r="D760" i="1"/>
  <c r="M752" i="1" l="1"/>
  <c r="C749" i="1"/>
  <c r="M758" i="1" s="1"/>
  <c r="A760" i="1"/>
  <c r="B760" i="1" s="1"/>
  <c r="M761" i="1"/>
  <c r="D771" i="1"/>
  <c r="M763" i="1" l="1"/>
  <c r="C760" i="1"/>
  <c r="M769" i="1" s="1"/>
  <c r="A771" i="1"/>
  <c r="B771" i="1" s="1"/>
  <c r="M772" i="1"/>
  <c r="D782" i="1"/>
  <c r="C771" i="1" l="1"/>
  <c r="M780" i="1" s="1"/>
  <c r="M774" i="1"/>
  <c r="M783" i="1"/>
  <c r="A782" i="1"/>
  <c r="B782" i="1" s="1"/>
  <c r="D793" i="1"/>
  <c r="M785" i="1" l="1"/>
  <c r="C782" i="1"/>
  <c r="M791" i="1" s="1"/>
  <c r="M794" i="1"/>
  <c r="A793" i="1"/>
  <c r="B793" i="1" s="1"/>
  <c r="D804" i="1"/>
  <c r="C793" i="1" l="1"/>
  <c r="M802" i="1" s="1"/>
  <c r="M796" i="1"/>
  <c r="A804" i="1"/>
  <c r="B804" i="1" s="1"/>
  <c r="M805" i="1"/>
  <c r="D815" i="1"/>
  <c r="M807" i="1" l="1"/>
  <c r="C804" i="1"/>
  <c r="M813" i="1" s="1"/>
  <c r="B815" i="1"/>
  <c r="M818" i="1" s="1"/>
  <c r="M816" i="1"/>
  <c r="C815" i="1"/>
  <c r="M824" i="1" s="1"/>
  <c r="A815" i="1"/>
  <c r="D826" i="1"/>
  <c r="A826" i="1" l="1"/>
  <c r="M827" i="1"/>
  <c r="B826" i="1"/>
  <c r="M829" i="1" s="1"/>
  <c r="D837" i="1"/>
  <c r="M838" i="1" l="1"/>
  <c r="A837" i="1"/>
  <c r="B837" i="1" s="1"/>
  <c r="D848" i="1"/>
  <c r="C826" i="1"/>
  <c r="M835" i="1" s="1"/>
  <c r="C837" i="1" l="1"/>
  <c r="M846" i="1" s="1"/>
  <c r="M840" i="1"/>
  <c r="M849" i="1"/>
  <c r="A848" i="1"/>
  <c r="B848" i="1" s="1"/>
  <c r="D859" i="1"/>
  <c r="M851" i="1" l="1"/>
  <c r="C848" i="1"/>
  <c r="M857" i="1" s="1"/>
  <c r="M860" i="1"/>
  <c r="A859" i="1"/>
  <c r="B859" i="1" s="1"/>
  <c r="D870" i="1"/>
  <c r="M862" i="1" l="1"/>
  <c r="C859" i="1"/>
  <c r="M868" i="1" s="1"/>
  <c r="A870" i="1"/>
  <c r="B870" i="1" s="1"/>
  <c r="M871" i="1"/>
  <c r="D881" i="1"/>
  <c r="M873" i="1" l="1"/>
  <c r="C870" i="1"/>
  <c r="M879" i="1" s="1"/>
  <c r="B881" i="1"/>
  <c r="M884" i="1" s="1"/>
  <c r="M882" i="1"/>
  <c r="A881" i="1"/>
  <c r="D892" i="1"/>
  <c r="C881" i="1" l="1"/>
  <c r="M890" i="1" s="1"/>
  <c r="A892" i="1"/>
  <c r="B892" i="1" s="1"/>
  <c r="M893" i="1"/>
  <c r="D903" i="1"/>
  <c r="M895" i="1" l="1"/>
  <c r="C892" i="1"/>
  <c r="M901" i="1" s="1"/>
  <c r="B903" i="1"/>
  <c r="M906" i="1" s="1"/>
  <c r="M904" i="1"/>
  <c r="A903" i="1"/>
  <c r="D914" i="1"/>
  <c r="C903" i="1" l="1"/>
  <c r="M912" i="1" s="1"/>
  <c r="M915" i="1"/>
  <c r="A914" i="1"/>
  <c r="B914" i="1" s="1"/>
  <c r="D925" i="1"/>
  <c r="M917" i="1" l="1"/>
  <c r="C914" i="1"/>
  <c r="M923" i="1" s="1"/>
  <c r="M926" i="1"/>
  <c r="A925" i="1"/>
  <c r="B925" i="1" s="1"/>
  <c r="D936" i="1"/>
  <c r="M928" i="1" l="1"/>
  <c r="C925" i="1"/>
  <c r="M934" i="1" s="1"/>
  <c r="A936" i="1"/>
  <c r="B936" i="1" s="1"/>
  <c r="M937" i="1"/>
  <c r="D947" i="1"/>
  <c r="M939" i="1" l="1"/>
  <c r="C936" i="1"/>
  <c r="M945" i="1" s="1"/>
  <c r="A947" i="1"/>
  <c r="B947" i="1" s="1"/>
  <c r="M948" i="1"/>
  <c r="D958" i="1"/>
  <c r="C947" i="1" l="1"/>
  <c r="M956" i="1" s="1"/>
  <c r="M950" i="1"/>
  <c r="A958" i="1"/>
  <c r="B958" i="1" s="1"/>
  <c r="M959" i="1"/>
  <c r="D969" i="1"/>
  <c r="C958" i="1" l="1"/>
  <c r="M967" i="1" s="1"/>
  <c r="M961" i="1"/>
  <c r="A969" i="1"/>
  <c r="B969" i="1" s="1"/>
  <c r="M970" i="1"/>
  <c r="D980" i="1"/>
  <c r="M972" i="1" l="1"/>
  <c r="C969" i="1"/>
  <c r="M978" i="1" s="1"/>
  <c r="B980" i="1"/>
  <c r="M983" i="1" s="1"/>
  <c r="M981" i="1"/>
  <c r="A980" i="1"/>
  <c r="D991" i="1"/>
  <c r="C980" i="1" l="1"/>
  <c r="M989" i="1" s="1"/>
  <c r="M992" i="1"/>
  <c r="A991" i="1"/>
  <c r="B991" i="1" s="1"/>
  <c r="D1002" i="1"/>
  <c r="C991" i="1" l="1"/>
  <c r="M1000" i="1" s="1"/>
  <c r="M994" i="1"/>
  <c r="A1002" i="1"/>
  <c r="B1002" i="1" s="1"/>
  <c r="M1003" i="1"/>
  <c r="D1013" i="1"/>
  <c r="M1005" i="1" l="1"/>
  <c r="C1002" i="1"/>
  <c r="M1011" i="1" s="1"/>
  <c r="A1013" i="1"/>
  <c r="B1013" i="1" s="1"/>
  <c r="M1014" i="1"/>
  <c r="D1024" i="1"/>
  <c r="C1013" i="1" l="1"/>
  <c r="M1022" i="1" s="1"/>
  <c r="M1016" i="1"/>
  <c r="A1024" i="1"/>
  <c r="B1024" i="1" s="1"/>
  <c r="M1025" i="1"/>
  <c r="D1035" i="1"/>
  <c r="M1027" i="1" l="1"/>
  <c r="C1024" i="1"/>
  <c r="M1033" i="1" s="1"/>
  <c r="A1035" i="1"/>
  <c r="B1035" i="1" s="1"/>
  <c r="M1036" i="1"/>
  <c r="D1046" i="1"/>
  <c r="M1038" i="1" l="1"/>
  <c r="C1035" i="1"/>
  <c r="M1044" i="1" s="1"/>
  <c r="B1046" i="1"/>
  <c r="M1049" i="1" s="1"/>
  <c r="M1047" i="1"/>
  <c r="A1046" i="1"/>
  <c r="D1057" i="1"/>
  <c r="C1046" i="1" l="1"/>
  <c r="M1055" i="1" s="1"/>
  <c r="M1058" i="1"/>
  <c r="A1057" i="1"/>
  <c r="B1057" i="1" s="1"/>
  <c r="D1068" i="1"/>
  <c r="C1057" i="1" l="1"/>
  <c r="M1066" i="1" s="1"/>
  <c r="M1060" i="1"/>
  <c r="A1068" i="1"/>
  <c r="B1068" i="1" s="1"/>
  <c r="M1069" i="1"/>
  <c r="D1079" i="1"/>
  <c r="M1071" i="1" l="1"/>
  <c r="C1068" i="1"/>
  <c r="M1077" i="1" s="1"/>
  <c r="A1079" i="1"/>
  <c r="B1079" i="1" s="1"/>
  <c r="M1080" i="1"/>
  <c r="D1090" i="1"/>
  <c r="C1079" i="1" l="1"/>
  <c r="M1088" i="1" s="1"/>
  <c r="M1082" i="1"/>
  <c r="A1090" i="1"/>
  <c r="B1090" i="1" s="1"/>
  <c r="M1091" i="1"/>
  <c r="D1101" i="1"/>
  <c r="M1093" i="1" l="1"/>
  <c r="C1090" i="1"/>
  <c r="M1099" i="1" s="1"/>
  <c r="A1101" i="1"/>
  <c r="B1101" i="1" s="1"/>
  <c r="M1102" i="1"/>
  <c r="D1112" i="1"/>
  <c r="M1104" i="1" l="1"/>
  <c r="C1101" i="1"/>
  <c r="M1110" i="1" s="1"/>
  <c r="B1112" i="1"/>
  <c r="M1115" i="1" s="1"/>
  <c r="M1113" i="1"/>
  <c r="A1112" i="1"/>
  <c r="D1123" i="1"/>
  <c r="C1112" i="1" l="1"/>
  <c r="M1121" i="1" s="1"/>
  <c r="M1124" i="1"/>
  <c r="A1123" i="1"/>
  <c r="B1123" i="1" s="1"/>
  <c r="D1134" i="1"/>
  <c r="C1123" i="1" l="1"/>
  <c r="M1132" i="1" s="1"/>
  <c r="M1126" i="1"/>
  <c r="A1134" i="1"/>
  <c r="B1134" i="1" s="1"/>
  <c r="M1135" i="1"/>
  <c r="D1145" i="1"/>
  <c r="M1137" i="1" l="1"/>
  <c r="C1134" i="1"/>
  <c r="M1143" i="1" s="1"/>
  <c r="A1145" i="1"/>
  <c r="B1145" i="1" s="1"/>
  <c r="M1146" i="1"/>
  <c r="D1156" i="1"/>
  <c r="C1145" i="1" l="1"/>
  <c r="M1154" i="1" s="1"/>
  <c r="M1148" i="1"/>
  <c r="A1156" i="1"/>
  <c r="B1156" i="1" s="1"/>
  <c r="M1157" i="1"/>
  <c r="D1167" i="1"/>
  <c r="M1159" i="1" l="1"/>
  <c r="C1156" i="1"/>
  <c r="M1165" i="1" s="1"/>
  <c r="A1167" i="1"/>
  <c r="B1167" i="1" s="1"/>
  <c r="M1168" i="1"/>
  <c r="D1178" i="1"/>
  <c r="M1170" i="1" l="1"/>
  <c r="C1167" i="1"/>
  <c r="M1176" i="1" s="1"/>
  <c r="B1178" i="1"/>
  <c r="M1181" i="1" s="1"/>
  <c r="M1179" i="1"/>
  <c r="A1178" i="1"/>
  <c r="D1189" i="1"/>
  <c r="C1178" i="1" l="1"/>
  <c r="M1187" i="1" s="1"/>
  <c r="M1190" i="1"/>
  <c r="A1189" i="1"/>
  <c r="B1189" i="1" s="1"/>
  <c r="D1200" i="1"/>
  <c r="M1192" i="1" l="1"/>
  <c r="C1189" i="1"/>
  <c r="M1198" i="1" s="1"/>
  <c r="A1200" i="1"/>
  <c r="B1200" i="1"/>
  <c r="M1203" i="1" s="1"/>
  <c r="M1201" i="1"/>
  <c r="D1211" i="1"/>
  <c r="C1200" i="1" l="1"/>
  <c r="M1209" i="1" s="1"/>
  <c r="A1211" i="1"/>
  <c r="B1211" i="1" s="1"/>
  <c r="M1212" i="1"/>
  <c r="D1222" i="1"/>
  <c r="C1211" i="1" l="1"/>
  <c r="M1220" i="1" s="1"/>
  <c r="M1214" i="1"/>
  <c r="M1223" i="1"/>
  <c r="B1222" i="1"/>
  <c r="C1222" i="1" s="1"/>
  <c r="M1231" i="1" s="1"/>
  <c r="A1222" i="1"/>
  <c r="D1233" i="1"/>
  <c r="M1225" i="1" l="1"/>
  <c r="A1233" i="1"/>
  <c r="B1233" i="1"/>
  <c r="M1236" i="1" s="1"/>
  <c r="M1234" i="1"/>
  <c r="D1244" i="1"/>
  <c r="C1233" i="1" l="1"/>
  <c r="M1242" i="1" s="1"/>
  <c r="M1245" i="1"/>
  <c r="A1244" i="1"/>
  <c r="B1244" i="1" s="1"/>
  <c r="D1255" i="1"/>
  <c r="M1247" i="1" l="1"/>
  <c r="C1244" i="1"/>
  <c r="M1253" i="1" s="1"/>
  <c r="M1256" i="1"/>
  <c r="A1255" i="1"/>
  <c r="B1255" i="1" s="1"/>
  <c r="D1266" i="1"/>
  <c r="M1258" i="1" l="1"/>
  <c r="C1255" i="1"/>
  <c r="M1264" i="1" s="1"/>
  <c r="A1266" i="1"/>
  <c r="M1267" i="1"/>
  <c r="B1266" i="1"/>
  <c r="M1269" i="1" s="1"/>
  <c r="D1277" i="1"/>
  <c r="C1266" i="1" l="1"/>
  <c r="M1275" i="1" s="1"/>
  <c r="A1277" i="1"/>
  <c r="B1277" i="1" s="1"/>
  <c r="M1278" i="1"/>
  <c r="D1288" i="1"/>
  <c r="M1280" i="1" l="1"/>
  <c r="C1277" i="1"/>
  <c r="M1286" i="1" s="1"/>
  <c r="M1289" i="1"/>
  <c r="B1288" i="1"/>
  <c r="C1288" i="1" s="1"/>
  <c r="M1297" i="1" s="1"/>
  <c r="A1288" i="1"/>
  <c r="D1299" i="1"/>
  <c r="M1291" i="1" l="1"/>
  <c r="A1299" i="1"/>
  <c r="B1299" i="1"/>
  <c r="M1302" i="1" s="1"/>
  <c r="M1300" i="1"/>
  <c r="D1310" i="1"/>
  <c r="C1299" i="1" l="1"/>
  <c r="M1308" i="1" s="1"/>
  <c r="A1310" i="1"/>
  <c r="B1310" i="1" s="1"/>
  <c r="M1311" i="1"/>
  <c r="D1321" i="1"/>
  <c r="M1313" i="1" l="1"/>
  <c r="C1310" i="1"/>
  <c r="M1319" i="1" s="1"/>
  <c r="M1322" i="1"/>
  <c r="B1321" i="1"/>
  <c r="C1321" i="1" s="1"/>
  <c r="M1330" i="1" s="1"/>
  <c r="A1321" i="1"/>
  <c r="D1332" i="1"/>
  <c r="M1324" i="1" l="1"/>
  <c r="M1333" i="1"/>
  <c r="A1332" i="1"/>
  <c r="B1332" i="1" s="1"/>
  <c r="D1343" i="1"/>
  <c r="C1332" i="1" l="1"/>
  <c r="M1341" i="1" s="1"/>
  <c r="M1335" i="1"/>
  <c r="A1343" i="1"/>
  <c r="B1343" i="1" s="1"/>
  <c r="M1344" i="1"/>
  <c r="D1354" i="1"/>
  <c r="C1343" i="1" l="1"/>
  <c r="M1352" i="1" s="1"/>
  <c r="M1346" i="1"/>
  <c r="A1354" i="1"/>
  <c r="B1354" i="1" s="1"/>
  <c r="M1355" i="1"/>
  <c r="D1365" i="1"/>
  <c r="C1354" i="1" l="1"/>
  <c r="M1363" i="1" s="1"/>
  <c r="M1357" i="1"/>
  <c r="A1365" i="1"/>
  <c r="B1365" i="1" s="1"/>
  <c r="M1366" i="1"/>
  <c r="D1376" i="1"/>
  <c r="M1368" i="1" l="1"/>
  <c r="C1365" i="1"/>
  <c r="M1374" i="1" s="1"/>
  <c r="A1376" i="1"/>
  <c r="B1376" i="1" s="1"/>
  <c r="M1377" i="1"/>
  <c r="D1387" i="1"/>
  <c r="M1379" i="1" l="1"/>
  <c r="C1376" i="1"/>
  <c r="M1385" i="1" s="1"/>
  <c r="B1387" i="1"/>
  <c r="M1390" i="1" s="1"/>
  <c r="M1388" i="1"/>
  <c r="A1387" i="1"/>
  <c r="D1398" i="1"/>
  <c r="C1387" i="1" l="1"/>
  <c r="M1396" i="1" s="1"/>
  <c r="M1399" i="1"/>
  <c r="A1398" i="1"/>
  <c r="B1398" i="1" s="1"/>
  <c r="D1409" i="1"/>
  <c r="C1398" i="1" l="1"/>
  <c r="M1407" i="1" s="1"/>
  <c r="M1401" i="1"/>
  <c r="A1409" i="1"/>
  <c r="B1409" i="1" s="1"/>
  <c r="M1410" i="1"/>
  <c r="D1420" i="1"/>
  <c r="M1412" i="1" l="1"/>
  <c r="C1409" i="1"/>
  <c r="M1418" i="1" s="1"/>
  <c r="A1420" i="1"/>
  <c r="B1420" i="1" s="1"/>
  <c r="M1421" i="1"/>
  <c r="D1431" i="1"/>
  <c r="C1420" i="1" l="1"/>
  <c r="M1429" i="1" s="1"/>
  <c r="M1423" i="1"/>
  <c r="A1431" i="1"/>
  <c r="B1431" i="1" s="1"/>
  <c r="M1432" i="1"/>
  <c r="D1442" i="1"/>
  <c r="M1434" i="1" l="1"/>
  <c r="C1431" i="1"/>
  <c r="M1440" i="1" s="1"/>
  <c r="A1442" i="1"/>
  <c r="B1442" i="1" s="1"/>
  <c r="M1443" i="1"/>
  <c r="D1453" i="1"/>
  <c r="M1445" i="1" l="1"/>
  <c r="C1442" i="1"/>
  <c r="M1451" i="1" s="1"/>
  <c r="B1453" i="1"/>
  <c r="M1456" i="1" s="1"/>
  <c r="M1454" i="1"/>
  <c r="A1453" i="1"/>
  <c r="D1464" i="1"/>
  <c r="C1453" i="1" l="1"/>
  <c r="M1462" i="1" s="1"/>
  <c r="M1465" i="1"/>
  <c r="A1464" i="1"/>
  <c r="B1464" i="1" s="1"/>
  <c r="D1475" i="1"/>
  <c r="M1467" i="1" l="1"/>
  <c r="C1464" i="1"/>
  <c r="M1473" i="1" s="1"/>
  <c r="A1475" i="1"/>
  <c r="B1475" i="1" s="1"/>
  <c r="M1476" i="1"/>
  <c r="D1486" i="1"/>
  <c r="M1478" i="1" l="1"/>
  <c r="C1475" i="1"/>
  <c r="M1484" i="1" s="1"/>
  <c r="A1486" i="1"/>
  <c r="B1486" i="1" s="1"/>
  <c r="M1487" i="1"/>
  <c r="D1497" i="1"/>
  <c r="C1486" i="1" l="1"/>
  <c r="M1495" i="1" s="1"/>
  <c r="M1489" i="1"/>
  <c r="A1497" i="1"/>
  <c r="B1497" i="1" s="1"/>
  <c r="M1498" i="1"/>
  <c r="D1508" i="1"/>
  <c r="M1500" i="1" l="1"/>
  <c r="C1497" i="1"/>
  <c r="M1506" i="1" s="1"/>
  <c r="A1508" i="1"/>
  <c r="B1508" i="1" s="1"/>
  <c r="M1509" i="1"/>
  <c r="D1519" i="1"/>
  <c r="M1511" i="1" l="1"/>
  <c r="C1508" i="1"/>
  <c r="M1517" i="1" s="1"/>
  <c r="B1519" i="1"/>
  <c r="C1519" i="1" s="1"/>
  <c r="M1528" i="1" s="1"/>
  <c r="M1520" i="1"/>
  <c r="A1519" i="1"/>
  <c r="D1530" i="1"/>
  <c r="M1522" i="1" l="1"/>
  <c r="M1531" i="1"/>
  <c r="A1530" i="1"/>
  <c r="B1530" i="1" s="1"/>
  <c r="D1541" i="1"/>
  <c r="C1530" i="1" l="1"/>
  <c r="M1539" i="1" s="1"/>
  <c r="M1533" i="1"/>
  <c r="A1541" i="1"/>
  <c r="B1541" i="1" s="1"/>
  <c r="M1542" i="1"/>
  <c r="D1552" i="1"/>
  <c r="M1544" i="1" l="1"/>
  <c r="C1541" i="1"/>
  <c r="M1550" i="1" s="1"/>
  <c r="A1552" i="1"/>
  <c r="B1552" i="1" s="1"/>
  <c r="M1553" i="1"/>
  <c r="D1563" i="1"/>
  <c r="C1552" i="1" l="1"/>
  <c r="M1561" i="1" s="1"/>
  <c r="M1555" i="1"/>
  <c r="A1563" i="1"/>
  <c r="B1563" i="1" s="1"/>
  <c r="M1564" i="1"/>
  <c r="D1574" i="1"/>
  <c r="M1566" i="1" l="1"/>
  <c r="C1563" i="1"/>
  <c r="M1572" i="1" s="1"/>
  <c r="A1574" i="1"/>
  <c r="B1574" i="1" s="1"/>
  <c r="M1575" i="1"/>
  <c r="D1585" i="1"/>
  <c r="M1577" i="1" l="1"/>
  <c r="C1574" i="1"/>
  <c r="M1583" i="1" s="1"/>
  <c r="B1585" i="1"/>
  <c r="M1588" i="1" s="1"/>
  <c r="M1586" i="1"/>
  <c r="A1585" i="1"/>
  <c r="D1596" i="1"/>
  <c r="C1585" i="1" l="1"/>
  <c r="M1594" i="1" s="1"/>
  <c r="M1597" i="1"/>
  <c r="A1596" i="1"/>
  <c r="B1596" i="1" s="1"/>
  <c r="D1607" i="1"/>
  <c r="C1596" i="1" l="1"/>
  <c r="M1605" i="1" s="1"/>
  <c r="M1599" i="1"/>
  <c r="A1607" i="1"/>
  <c r="B1607" i="1" s="1"/>
  <c r="M1608" i="1"/>
  <c r="D1618" i="1"/>
  <c r="M1610" i="1" l="1"/>
  <c r="C1607" i="1"/>
  <c r="M1616" i="1" s="1"/>
  <c r="A1618" i="1"/>
  <c r="B1618" i="1" s="1"/>
  <c r="M1619" i="1"/>
  <c r="D1629" i="1"/>
  <c r="C1618" i="1" l="1"/>
  <c r="M1627" i="1" s="1"/>
  <c r="M1621" i="1"/>
  <c r="A1629" i="1"/>
  <c r="B1629" i="1" s="1"/>
  <c r="M1630" i="1"/>
  <c r="D1640" i="1"/>
  <c r="M1632" i="1" l="1"/>
  <c r="C1629" i="1"/>
  <c r="M1638" i="1" s="1"/>
  <c r="A1640" i="1"/>
  <c r="B1640" i="1" s="1"/>
  <c r="M1641" i="1"/>
  <c r="D1651" i="1"/>
  <c r="M1643" i="1" l="1"/>
  <c r="C1640" i="1"/>
  <c r="M1649" i="1" s="1"/>
  <c r="B1651" i="1"/>
  <c r="M1654" i="1" s="1"/>
  <c r="M1652" i="1"/>
  <c r="A1651" i="1"/>
  <c r="D1662" i="1"/>
  <c r="C1651" i="1" l="1"/>
  <c r="M1660" i="1" s="1"/>
  <c r="M1663" i="1"/>
  <c r="A1662" i="1"/>
  <c r="B1662" i="1" s="1"/>
  <c r="D1673" i="1"/>
  <c r="C1662" i="1" l="1"/>
  <c r="M1671" i="1" s="1"/>
  <c r="M1665" i="1"/>
  <c r="A1673" i="1"/>
  <c r="M1674" i="1"/>
  <c r="B1673" i="1"/>
  <c r="C1673" i="1" s="1"/>
  <c r="M1682" i="1" s="1"/>
  <c r="D1684" i="1"/>
  <c r="M1676" i="1" l="1"/>
  <c r="A1684" i="1"/>
  <c r="B1684" i="1" s="1"/>
  <c r="M1685" i="1"/>
  <c r="D1695" i="1"/>
  <c r="C1684" i="1" l="1"/>
  <c r="M1693" i="1" s="1"/>
  <c r="M1687" i="1"/>
  <c r="A1695" i="1"/>
  <c r="B1695" i="1" s="1"/>
  <c r="M1696" i="1"/>
  <c r="D1706" i="1"/>
  <c r="M1698" i="1" l="1"/>
  <c r="C1695" i="1"/>
  <c r="M1704" i="1" s="1"/>
  <c r="A1706" i="1"/>
  <c r="B1706" i="1" s="1"/>
  <c r="M1707" i="1"/>
  <c r="D1717" i="1"/>
  <c r="M1709" i="1" l="1"/>
  <c r="C1706" i="1"/>
  <c r="M1715" i="1" s="1"/>
  <c r="B1717" i="1"/>
  <c r="M1720" i="1" s="1"/>
  <c r="M1718" i="1"/>
  <c r="A1717" i="1"/>
  <c r="D1728" i="1"/>
  <c r="C1717" i="1" l="1"/>
  <c r="M1726" i="1" s="1"/>
  <c r="M1729" i="1"/>
  <c r="A1728" i="1"/>
  <c r="B1728" i="1" s="1"/>
  <c r="D1739" i="1"/>
  <c r="C1728" i="1" l="1"/>
  <c r="M1737" i="1" s="1"/>
  <c r="M1731" i="1"/>
  <c r="A1739" i="1"/>
  <c r="M1740" i="1"/>
  <c r="B1739" i="1"/>
  <c r="C1739" i="1" s="1"/>
  <c r="M1748" i="1" s="1"/>
  <c r="D1750" i="1"/>
  <c r="M1742" i="1" l="1"/>
  <c r="A1750" i="1"/>
  <c r="B1750" i="1" s="1"/>
  <c r="M1751" i="1"/>
  <c r="D1761" i="1"/>
  <c r="C1750" i="1" l="1"/>
  <c r="M1759" i="1" s="1"/>
  <c r="M1753" i="1"/>
  <c r="A1761" i="1"/>
  <c r="B1761" i="1" s="1"/>
  <c r="M1762" i="1"/>
  <c r="D1772" i="1"/>
  <c r="M1764" i="1" l="1"/>
  <c r="C1761" i="1"/>
  <c r="M1770" i="1" s="1"/>
  <c r="A1772" i="1"/>
  <c r="B1772" i="1" s="1"/>
  <c r="M1773" i="1"/>
  <c r="D1783" i="1"/>
  <c r="M1775" i="1" l="1"/>
  <c r="C1772" i="1"/>
  <c r="M1781" i="1" s="1"/>
  <c r="B1783" i="1"/>
  <c r="C1783" i="1" s="1"/>
  <c r="M1792" i="1" s="1"/>
  <c r="M1784" i="1"/>
  <c r="A1783" i="1"/>
  <c r="D1794" i="1"/>
  <c r="M1786" i="1" l="1"/>
  <c r="M1795" i="1"/>
  <c r="A1794" i="1"/>
  <c r="B1794" i="1" s="1"/>
  <c r="D1805" i="1"/>
  <c r="C1794" i="1" l="1"/>
  <c r="M1803" i="1" s="1"/>
  <c r="M1797" i="1"/>
  <c r="A1805" i="1"/>
  <c r="B1805" i="1" s="1"/>
  <c r="M1806" i="1"/>
  <c r="D1816" i="1"/>
  <c r="M1808" i="1" l="1"/>
  <c r="C1805" i="1"/>
  <c r="M1814" i="1" s="1"/>
  <c r="A1816" i="1"/>
  <c r="B1816" i="1" s="1"/>
  <c r="M1817" i="1"/>
  <c r="D1827" i="1"/>
  <c r="C1816" i="1" l="1"/>
  <c r="M1825" i="1" s="1"/>
  <c r="M1819" i="1"/>
  <c r="A1827" i="1"/>
  <c r="B1827" i="1" s="1"/>
  <c r="M1828" i="1"/>
  <c r="D1838" i="1"/>
  <c r="C1827" i="1" l="1"/>
  <c r="M1836" i="1" s="1"/>
  <c r="M1830" i="1"/>
  <c r="A1838" i="1"/>
  <c r="B1838" i="1" s="1"/>
  <c r="M1839" i="1"/>
  <c r="D1849" i="1"/>
  <c r="M1841" i="1" l="1"/>
  <c r="C1838" i="1"/>
  <c r="M1847" i="1" s="1"/>
  <c r="B1849" i="1"/>
  <c r="M1852" i="1" s="1"/>
  <c r="M1850" i="1"/>
  <c r="A1849" i="1"/>
  <c r="D1860" i="1"/>
  <c r="C1849" i="1" l="1"/>
  <c r="M1858" i="1" s="1"/>
  <c r="M1861" i="1"/>
  <c r="A1860" i="1"/>
  <c r="B1860" i="1" s="1"/>
  <c r="D1871" i="1"/>
  <c r="C1860" i="1" l="1"/>
  <c r="M1869" i="1" s="1"/>
  <c r="M1863" i="1"/>
  <c r="A1871" i="1"/>
  <c r="M1872" i="1"/>
  <c r="B1871" i="1"/>
  <c r="M1874" i="1" s="1"/>
  <c r="D1882" i="1"/>
  <c r="C1871" i="1" l="1"/>
  <c r="M1880" i="1" s="1"/>
  <c r="A1882" i="1"/>
  <c r="B1882" i="1" s="1"/>
  <c r="M1883" i="1"/>
  <c r="D1893" i="1"/>
  <c r="C1882" i="1" l="1"/>
  <c r="M1891" i="1" s="1"/>
  <c r="M1885" i="1"/>
  <c r="A1893" i="1"/>
  <c r="B1893" i="1" s="1"/>
  <c r="M1894" i="1"/>
  <c r="D1904" i="1"/>
  <c r="M1896" i="1" l="1"/>
  <c r="C1893" i="1"/>
  <c r="M1902" i="1" s="1"/>
  <c r="A1904" i="1"/>
  <c r="B1904" i="1" s="1"/>
  <c r="M1905" i="1"/>
  <c r="D1915" i="1"/>
  <c r="M1907" i="1" l="1"/>
  <c r="C1904" i="1"/>
  <c r="M1913" i="1" s="1"/>
  <c r="B1915" i="1"/>
  <c r="M1918" i="1" s="1"/>
  <c r="M1916" i="1"/>
  <c r="A1915" i="1"/>
  <c r="D1926" i="1"/>
  <c r="C1915" i="1" l="1"/>
  <c r="M1924" i="1" s="1"/>
  <c r="M1927" i="1"/>
  <c r="A1926" i="1"/>
  <c r="B1926" i="1" s="1"/>
  <c r="D1937" i="1"/>
  <c r="C1926" i="1" l="1"/>
  <c r="M1935" i="1" s="1"/>
  <c r="M1929" i="1"/>
  <c r="A1937" i="1"/>
  <c r="M1938" i="1"/>
  <c r="B1937" i="1"/>
  <c r="M1940" i="1" s="1"/>
  <c r="D1948" i="1"/>
  <c r="C1937" i="1" l="1"/>
  <c r="M1946" i="1" s="1"/>
  <c r="A1948" i="1"/>
  <c r="B1948" i="1" s="1"/>
  <c r="M1949" i="1"/>
  <c r="D1959" i="1"/>
  <c r="C1948" i="1" l="1"/>
  <c r="M1957" i="1" s="1"/>
  <c r="M1951" i="1"/>
  <c r="A1959" i="1"/>
  <c r="B1959" i="1" s="1"/>
  <c r="M1960" i="1"/>
  <c r="D1970" i="1"/>
  <c r="C1959" i="1" l="1"/>
  <c r="M1968" i="1" s="1"/>
  <c r="M1962" i="1"/>
  <c r="A1970" i="1"/>
  <c r="B1970" i="1" s="1"/>
  <c r="M1971" i="1"/>
  <c r="D1981" i="1"/>
  <c r="M1973" i="1" l="1"/>
  <c r="C1970" i="1"/>
  <c r="M1979" i="1" s="1"/>
  <c r="B1981" i="1"/>
  <c r="C1981" i="1" s="1"/>
  <c r="M1990" i="1" s="1"/>
  <c r="M1982" i="1"/>
  <c r="A1981" i="1"/>
  <c r="M1984" i="1" l="1"/>
</calcChain>
</file>

<file path=xl/sharedStrings.xml><?xml version="1.0" encoding="utf-8"?>
<sst xmlns="http://schemas.openxmlformats.org/spreadsheetml/2006/main" count="3676" uniqueCount="254">
  <si>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</si>
  <si>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</si>
  <si>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</si>
  <si>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</si>
  <si>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</si>
  <si>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</si>
  <si>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</si>
  <si>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</si>
  <si>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</si>
  <si>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</si>
  <si>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</si>
  <si>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</si>
  <si>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</si>
  <si>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</si>
  <si>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</si>
  <si>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</si>
  <si>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</si>
  <si>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</si>
  <si>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</si>
  <si>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</si>
  <si>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</si>
  <si>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</si>
  <si>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</si>
  <si>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</si>
  <si>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</si>
  <si>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</si>
  <si>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</si>
  <si>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</si>
  <si>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</si>
  <si>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</si>
  <si>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</si>
  <si>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</si>
  <si>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</si>
  <si>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</si>
  <si>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</si>
  <si>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</si>
  <si>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</si>
  <si>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</si>
  <si>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</si>
  <si>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</si>
  <si>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</si>
  <si>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</si>
  <si>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</si>
  <si>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</si>
  <si>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</si>
  <si>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</si>
  <si>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</si>
  <si>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</si>
  <si>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</si>
  <si>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</si>
  <si>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</si>
  <si>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</si>
  <si>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</si>
  <si>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</si>
  <si>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</si>
  <si>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</si>
  <si>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</si>
  <si>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</si>
  <si>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</si>
  <si>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</si>
  <si>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</si>
  <si>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</si>
  <si>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</si>
  <si>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</si>
  <si>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</si>
  <si>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</si>
  <si>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</si>
  <si>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</si>
  <si>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</si>
  <si>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</si>
  <si>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</si>
  <si>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</si>
  <si>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</si>
  <si>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</si>
  <si>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</si>
  <si>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</si>
  <si>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</si>
  <si>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</si>
  <si>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</si>
  <si>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</si>
  <si>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</si>
  <si>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</si>
  <si>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</si>
  <si>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</si>
  <si>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</si>
  <si>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</si>
  <si>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</si>
  <si>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</si>
  <si>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</si>
  <si>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</si>
  <si>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</si>
  <si>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</si>
  <si>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</si>
  <si>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</si>
  <si>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</si>
  <si>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</si>
  <si>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</si>
  <si>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</si>
  <si>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</si>
  <si>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</si>
  <si>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</si>
  <si>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</si>
  <si>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</si>
  <si>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</si>
  <si>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</si>
  <si>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</si>
  <si>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</si>
  <si>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</si>
  <si>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</si>
  <si>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</si>
  <si>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</si>
  <si>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</si>
  <si>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</si>
  <si>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</si>
  <si>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</si>
  <si>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</si>
  <si>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</si>
  <si>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</si>
  <si>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</si>
  <si>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</si>
  <si>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</si>
  <si>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</si>
  <si>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</si>
  <si>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</si>
  <si>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</si>
  <si>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</si>
  <si>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</si>
  <si>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</si>
  <si>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</si>
  <si>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</si>
  <si>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</si>
  <si>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</si>
  <si>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</si>
  <si>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</si>
  <si>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</si>
  <si>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</si>
  <si>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</si>
  <si>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</si>
  <si>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</si>
  <si>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</si>
  <si>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</si>
  <si>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</si>
  <si>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</si>
  <si>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</si>
  <si>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</si>
  <si>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</si>
  <si>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</si>
  <si>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</si>
  <si>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</si>
  <si>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</si>
  <si>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</si>
  <si>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</si>
  <si>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</si>
  <si>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</si>
  <si>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</si>
  <si>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</si>
  <si>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</si>
  <si>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</si>
  <si>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</si>
  <si>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</si>
  <si>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</si>
  <si>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</si>
  <si>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</si>
  <si>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</si>
  <si>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</si>
  <si>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</si>
  <si>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</si>
  <si>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</si>
  <si>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</si>
  <si>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</si>
  <si>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</si>
  <si>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</si>
  <si>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</si>
  <si>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</si>
  <si>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</si>
  <si>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</si>
  <si>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</si>
  <si>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</si>
  <si>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</si>
  <si>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</si>
  <si>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</si>
  <si>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</si>
  <si>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</si>
  <si>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</si>
  <si>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</si>
  <si>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</si>
  <si>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</si>
  <si>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</si>
  <si>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</si>
  <si>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</si>
  <si>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</si>
  <si>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</si>
  <si>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</si>
  <si>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</si>
  <si>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</si>
  <si>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</si>
  <si>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</si>
  <si>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</si>
  <si>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</si>
  <si>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</si>
  <si>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</si>
  <si>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</si>
  <si>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</si>
  <si>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</si>
  <si>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</si>
  <si>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</si>
  <si>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</si>
  <si>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</si>
  <si>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</si>
  <si>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</si>
  <si>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</si>
  <si>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</si>
  <si>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</si>
  <si>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</si>
  <si>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</si>
  <si>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</si>
  <si>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</si>
  <si>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</si>
  <si>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</si>
  <si>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</si>
  <si>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</si>
  <si>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</si>
  <si>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</si>
  <si>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</si>
  <si>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</si>
  <si>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</si>
  <si>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</si>
  <si>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</si>
  <si>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</si>
  <si>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</si>
  <si>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</si>
  <si>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</si>
  <si>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</si>
  <si>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</si>
  <si>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</si>
  <si>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</si>
  <si>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</si>
  <si>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</si>
  <si>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</si>
  <si>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</si>
  <si>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</si>
  <si>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</si>
  <si>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</si>
  <si>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</si>
  <si>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</si>
  <si>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</si>
  <si>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EnemyShot6</t>
  </si>
  <si>
    <t>EnemyShot6</t>
    <phoneticPr fontId="2" type="noConversion"/>
  </si>
  <si>
    <t>Shot6_blue</t>
  </si>
  <si>
    <t>Shot6_blue</t>
    <phoneticPr fontId="2" type="noConversion"/>
  </si>
  <si>
    <t>-1.75,0</t>
  </si>
  <si>
    <t>-1.75,0</t>
    <phoneticPr fontId="2" type="noConversion"/>
  </si>
  <si>
    <t>20600</t>
  </si>
  <si>
    <t>20600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</si>
</sst>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991"/>
  <sheetViews>
    <sheetView tabSelected="1" zoomScale="115" zoomScaleNormal="115" workbookViewId="0">
      <pane ySplit="1" topLeftCell="A8" activePane="bottomLeft" state="frozen"/>
      <selection pane="bottomLeft" activeCell="A12" sqref="A12:M1991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56">
      <c r="A11" s="21">
        <f>G13*H13*I13</f>
        <v>180</v>
      </c>
      <c r="B11" s="9"/>
      <c r="C11" s="9"/>
      <c r="D11" s="9"/>
    </row>
    <row r="12" spans="1:56">
      <c r="A12" s="21">
        <f>QUOTIENT( D12-1,G13*H13)+1</f>
        <v>1</v>
      </c>
      <c r="B12" s="21">
        <f>QUOTIENT( D12-1,G13)+1-(A12-1)*H13</f>
        <v>1</v>
      </c>
      <c r="C12" s="21">
        <f>D12-(B12-1)*G13-((A12-1)*G13*H13)</f>
        <v>1</v>
      </c>
      <c r="D12" s="21">
        <f>COUNT($D$11:$D11)+1</f>
        <v>1</v>
      </c>
    </row>
    <row r="13" spans="1:56">
      <c r="E13" s="21">
        <f t="shared" ref="E13:E76" si="0">ROW(E13)</f>
        <v>13</v>
      </c>
      <c r="F13" s="9" t="s">
        <v>93</v>
      </c>
      <c r="G13" s="21">
        <v>6</v>
      </c>
      <c r="H13" s="21">
        <v>6</v>
      </c>
      <c r="I13" s="21">
        <v>5</v>
      </c>
      <c r="J13" s="9" t="s">
        <v>253</v>
      </c>
      <c r="M13" s="21">
        <f t="shared" ref="M13" si="1">J13+D12</f>
        <v>20601</v>
      </c>
    </row>
    <row r="14" spans="1:56">
      <c r="E14" s="21">
        <f t="shared" si="0"/>
        <v>14</v>
      </c>
      <c r="F14" s="9" t="s">
        <v>142</v>
      </c>
      <c r="M14" s="21">
        <v>199107</v>
      </c>
    </row>
    <row r="15" spans="1:56">
      <c r="E15" s="21">
        <f t="shared" si="0"/>
        <v>15</v>
      </c>
      <c r="F15" s="9" t="s">
        <v>126</v>
      </c>
      <c r="G15" s="21">
        <v>5</v>
      </c>
      <c r="H15" s="21">
        <v>30</v>
      </c>
      <c r="M15" s="21">
        <f>(MOD(D12-1,G13*H13)+1)*G15+H15*(B12-1)</f>
        <v>5</v>
      </c>
    </row>
    <row r="16" spans="1:56">
      <c r="E16" s="21">
        <f t="shared" si="0"/>
        <v>16</v>
      </c>
      <c r="F16" s="9" t="s">
        <v>29</v>
      </c>
      <c r="M16" s="21" t="s">
        <v>247</v>
      </c>
    </row>
    <row r="17" spans="1:13">
      <c r="E17" s="21">
        <f t="shared" si="0"/>
        <v>17</v>
      </c>
      <c r="F17" s="9" t="s">
        <v>118</v>
      </c>
      <c r="M17" s="21" t="s">
        <v>249</v>
      </c>
    </row>
    <row r="18" spans="1:13">
      <c r="E18" s="21">
        <f t="shared" si="0"/>
        <v>18</v>
      </c>
      <c r="F18" s="9" t="s">
        <v>98</v>
      </c>
      <c r="I18" s="9"/>
      <c r="K18" s="9" t="s">
        <v>137</v>
      </c>
      <c r="M18" s="21">
        <v>2</v>
      </c>
    </row>
    <row r="19" spans="1:13">
      <c r="E19" s="21">
        <f t="shared" si="0"/>
        <v>19</v>
      </c>
      <c r="F19" s="9" t="s">
        <v>175</v>
      </c>
      <c r="I19" s="9"/>
      <c r="K19" s="9" t="s">
        <v>136</v>
      </c>
      <c r="M19" s="9" t="s">
        <v>251</v>
      </c>
    </row>
    <row r="20" spans="1:13">
      <c r="E20" s="21">
        <f>ROW(E20)</f>
        <v>20</v>
      </c>
      <c r="F20" s="9" t="s">
        <v>113</v>
      </c>
      <c r="L20" s="9" t="s">
        <v>134</v>
      </c>
      <c r="M20" s="21">
        <v>-90</v>
      </c>
    </row>
    <row r="21" spans="1:13">
      <c r="E21" s="21">
        <f>ROW(E21)</f>
        <v>21</v>
      </c>
      <c r="F21" s="9" t="s">
        <v>31</v>
      </c>
      <c r="G21" s="21">
        <v>5</v>
      </c>
      <c r="H21" s="21">
        <v>72</v>
      </c>
      <c r="L21" s="9" t="s">
        <v>134</v>
      </c>
      <c r="M21" s="21">
        <f>(G21*C12+(A12-1)*H21+H15*(B12-1))*-1</f>
        <v>-5</v>
      </c>
    </row>
    <row r="22" spans="1:13">
      <c r="E22" s="21">
        <f>ROW(E22)</f>
        <v>22</v>
      </c>
      <c r="F22" s="9" t="s">
        <v>30</v>
      </c>
      <c r="G22" s="26"/>
      <c r="H22" s="26"/>
      <c r="M22" s="26">
        <v>3</v>
      </c>
    </row>
    <row r="23" spans="1:13">
      <c r="A23" s="21">
        <f t="shared" ref="A23:A86" si="2">QUOTIENT( D23-1,G24*H24)+1</f>
        <v>1</v>
      </c>
      <c r="B23" s="21">
        <f t="shared" ref="B23" si="3">QUOTIENT( D23-1,G24)+1-(A23-1)*H24</f>
        <v>1</v>
      </c>
      <c r="C23" s="21">
        <f t="shared" ref="C23" si="4">D23-(B23-1)*G24-((A23-1)*G24*H24)</f>
        <v>2</v>
      </c>
      <c r="D23" s="21">
        <f>COUNT($D$11:$D22)+1</f>
        <v>2</v>
      </c>
    </row>
    <row r="24" spans="1:13">
      <c r="E24" s="21">
        <f t="shared" si="0"/>
        <v>24</v>
      </c>
      <c r="F24" s="9" t="s">
        <v>93</v>
      </c>
      <c r="G24" s="21">
        <v>6</v>
      </c>
      <c r="H24" s="21">
        <v>6</v>
      </c>
      <c r="I24" s="21">
        <v>5</v>
      </c>
      <c r="J24" s="9" t="s">
        <v>252</v>
      </c>
      <c r="M24" s="21">
        <f t="shared" ref="M24:M87" si="5">J24+D23</f>
        <v>20602</v>
      </c>
    </row>
    <row r="25" spans="1:13">
      <c r="E25" s="21">
        <f t="shared" si="0"/>
        <v>25</v>
      </c>
      <c r="F25" s="9" t="s">
        <v>142</v>
      </c>
      <c r="M25" s="21">
        <v>199107</v>
      </c>
    </row>
    <row r="26" spans="1:13">
      <c r="E26" s="21">
        <f t="shared" si="0"/>
        <v>26</v>
      </c>
      <c r="F26" s="9" t="s">
        <v>126</v>
      </c>
      <c r="G26" s="21">
        <v>5</v>
      </c>
      <c r="H26" s="21">
        <v>30</v>
      </c>
      <c r="M26" s="21">
        <f t="shared" ref="M26" si="6">(MOD(D23-1,G24*H24)+1)*G26+H26*(B23-1)</f>
        <v>10</v>
      </c>
    </row>
    <row r="27" spans="1:13">
      <c r="E27" s="21">
        <f t="shared" si="0"/>
        <v>27</v>
      </c>
      <c r="F27" s="9" t="s">
        <v>29</v>
      </c>
      <c r="M27" s="21" t="s">
        <v>246</v>
      </c>
    </row>
    <row r="28" spans="1:13">
      <c r="E28" s="21">
        <f t="shared" si="0"/>
        <v>28</v>
      </c>
      <c r="F28" s="9" t="s">
        <v>118</v>
      </c>
      <c r="M28" s="21" t="s">
        <v>248</v>
      </c>
    </row>
    <row r="29" spans="1:13">
      <c r="E29" s="21">
        <f t="shared" si="0"/>
        <v>29</v>
      </c>
      <c r="F29" s="9" t="s">
        <v>98</v>
      </c>
      <c r="K29" s="9" t="s">
        <v>137</v>
      </c>
      <c r="M29" s="21">
        <v>2</v>
      </c>
    </row>
    <row r="30" spans="1:13">
      <c r="E30" s="21">
        <f t="shared" si="0"/>
        <v>30</v>
      </c>
      <c r="F30" s="9" t="s">
        <v>175</v>
      </c>
      <c r="K30" s="9" t="s">
        <v>136</v>
      </c>
      <c r="M30" s="21" t="s">
        <v>250</v>
      </c>
    </row>
    <row r="31" spans="1:13">
      <c r="E31" s="21">
        <f t="shared" si="0"/>
        <v>31</v>
      </c>
      <c r="F31" s="9" t="s">
        <v>113</v>
      </c>
      <c r="L31" s="9" t="s">
        <v>134</v>
      </c>
      <c r="M31" s="21">
        <v>-90</v>
      </c>
    </row>
    <row r="32" spans="1:13">
      <c r="E32" s="21">
        <f t="shared" si="0"/>
        <v>32</v>
      </c>
      <c r="F32" s="9" t="s">
        <v>31</v>
      </c>
      <c r="G32" s="21">
        <v>5</v>
      </c>
      <c r="H32" s="21">
        <v>72</v>
      </c>
      <c r="L32" s="9" t="s">
        <v>134</v>
      </c>
      <c r="M32" s="21">
        <f t="shared" ref="M32" si="7">(G32*C23+(A23-1)*H32+H26*(B23-1))*-1</f>
        <v>-10</v>
      </c>
    </row>
    <row r="33" spans="1:13">
      <c r="E33" s="21">
        <f t="shared" si="0"/>
        <v>33</v>
      </c>
      <c r="F33" s="9" t="s">
        <v>30</v>
      </c>
      <c r="M33" s="21">
        <v>3</v>
      </c>
    </row>
    <row r="34" spans="1:13">
      <c r="A34" s="21">
        <f t="shared" ref="A34:A97" si="8">QUOTIENT( D34-1,G35*H35)+1</f>
        <v>1</v>
      </c>
      <c r="B34" s="21">
        <f t="shared" ref="B34" si="9">QUOTIENT( D34-1,G35)+1-(A34-1)*H35</f>
        <v>1</v>
      </c>
      <c r="C34" s="21">
        <f t="shared" ref="C34" si="10">D34-(B34-1)*G35-((A34-1)*G35*H35)</f>
        <v>3</v>
      </c>
      <c r="D34" s="21">
        <f>COUNT($D$11:$D33)+1</f>
        <v>3</v>
      </c>
    </row>
    <row r="35" spans="1:13">
      <c r="E35" s="21">
        <f t="shared" si="0"/>
        <v>35</v>
      </c>
      <c r="F35" s="9" t="s">
        <v>93</v>
      </c>
      <c r="G35" s="21">
        <v>6</v>
      </c>
      <c r="H35" s="21">
        <v>6</v>
      </c>
      <c r="I35" s="21">
        <v>5</v>
      </c>
      <c r="J35" s="9" t="s">
        <v>252</v>
      </c>
      <c r="M35" s="21">
        <f t="shared" ref="M35:M98" si="11">J35+D34</f>
        <v>20603</v>
      </c>
    </row>
    <row r="36" spans="1:13">
      <c r="E36" s="21">
        <f t="shared" si="0"/>
        <v>36</v>
      </c>
      <c r="F36" s="9" t="s">
        <v>142</v>
      </c>
      <c r="M36" s="21">
        <v>199107</v>
      </c>
    </row>
    <row r="37" spans="1:13">
      <c r="E37" s="21">
        <f t="shared" si="0"/>
        <v>37</v>
      </c>
      <c r="F37" s="9" t="s">
        <v>126</v>
      </c>
      <c r="G37" s="21">
        <v>5</v>
      </c>
      <c r="H37" s="21">
        <v>30</v>
      </c>
      <c r="M37" s="21">
        <f t="shared" ref="M37" si="12">(MOD(D34-1,G35*H35)+1)*G37+H37*(B34-1)</f>
        <v>15</v>
      </c>
    </row>
    <row r="38" spans="1:13">
      <c r="E38" s="21">
        <f t="shared" si="0"/>
        <v>38</v>
      </c>
      <c r="F38" s="9" t="s">
        <v>29</v>
      </c>
      <c r="M38" s="21" t="s">
        <v>246</v>
      </c>
    </row>
    <row r="39" spans="1:13">
      <c r="E39" s="21">
        <f t="shared" si="0"/>
        <v>39</v>
      </c>
      <c r="F39" s="9" t="s">
        <v>118</v>
      </c>
      <c r="M39" s="21" t="s">
        <v>248</v>
      </c>
    </row>
    <row r="40" spans="1:13">
      <c r="E40" s="21">
        <f t="shared" si="0"/>
        <v>40</v>
      </c>
      <c r="F40" s="9" t="s">
        <v>98</v>
      </c>
      <c r="K40" s="9" t="s">
        <v>137</v>
      </c>
      <c r="M40" s="21">
        <v>2</v>
      </c>
    </row>
    <row r="41" spans="1:13">
      <c r="E41" s="21">
        <f t="shared" si="0"/>
        <v>41</v>
      </c>
      <c r="F41" s="9" t="s">
        <v>175</v>
      </c>
      <c r="K41" s="9" t="s">
        <v>136</v>
      </c>
      <c r="M41" s="21" t="s">
        <v>250</v>
      </c>
    </row>
    <row r="42" spans="1:13">
      <c r="E42" s="21">
        <f t="shared" si="0"/>
        <v>42</v>
      </c>
      <c r="F42" s="9" t="s">
        <v>113</v>
      </c>
      <c r="L42" s="9" t="s">
        <v>134</v>
      </c>
      <c r="M42" s="21">
        <v>-90</v>
      </c>
    </row>
    <row r="43" spans="1:13">
      <c r="E43" s="21">
        <f t="shared" si="0"/>
        <v>43</v>
      </c>
      <c r="F43" s="9" t="s">
        <v>31</v>
      </c>
      <c r="G43" s="21">
        <v>5</v>
      </c>
      <c r="H43" s="21">
        <v>72</v>
      </c>
      <c r="L43" s="9" t="s">
        <v>134</v>
      </c>
      <c r="M43" s="21">
        <f t="shared" ref="M43" si="13">(G43*C34+(A34-1)*H43+H37*(B34-1))*-1</f>
        <v>-15</v>
      </c>
    </row>
    <row r="44" spans="1:13">
      <c r="E44" s="21">
        <f t="shared" si="0"/>
        <v>44</v>
      </c>
      <c r="F44" s="9" t="s">
        <v>30</v>
      </c>
      <c r="M44" s="21">
        <v>3</v>
      </c>
    </row>
    <row r="45" spans="1:13">
      <c r="A45" s="21">
        <f t="shared" ref="A45:A108" si="14">QUOTIENT( D45-1,G46*H46)+1</f>
        <v>1</v>
      </c>
      <c r="B45" s="21">
        <f t="shared" ref="B45" si="15">QUOTIENT( D45-1,G46)+1-(A45-1)*H46</f>
        <v>1</v>
      </c>
      <c r="C45" s="21">
        <f t="shared" ref="C45" si="16">D45-(B45-1)*G46-((A45-1)*G46*H46)</f>
        <v>4</v>
      </c>
      <c r="D45" s="21">
        <f>COUNT($D$11:$D44)+1</f>
        <v>4</v>
      </c>
    </row>
    <row r="46" spans="1:13">
      <c r="E46" s="21">
        <f t="shared" si="0"/>
        <v>46</v>
      </c>
      <c r="F46" s="9" t="s">
        <v>93</v>
      </c>
      <c r="G46" s="21">
        <v>6</v>
      </c>
      <c r="H46" s="21">
        <v>6</v>
      </c>
      <c r="I46" s="21">
        <v>5</v>
      </c>
      <c r="J46" s="9" t="s">
        <v>252</v>
      </c>
      <c r="M46" s="21">
        <f t="shared" ref="M46:M109" si="17">J46+D45</f>
        <v>20604</v>
      </c>
    </row>
    <row r="47" spans="1:13">
      <c r="E47" s="21">
        <f t="shared" si="0"/>
        <v>47</v>
      </c>
      <c r="F47" s="9" t="s">
        <v>142</v>
      </c>
      <c r="M47" s="21">
        <v>199107</v>
      </c>
    </row>
    <row r="48" spans="1:13">
      <c r="E48" s="21">
        <f t="shared" si="0"/>
        <v>48</v>
      </c>
      <c r="F48" s="9" t="s">
        <v>126</v>
      </c>
      <c r="G48" s="21">
        <v>5</v>
      </c>
      <c r="H48" s="21">
        <v>30</v>
      </c>
      <c r="M48" s="21">
        <f t="shared" ref="M48" si="18">(MOD(D45-1,G46*H46)+1)*G48+H48*(B45-1)</f>
        <v>20</v>
      </c>
    </row>
    <row r="49" spans="1:13">
      <c r="E49" s="21">
        <f t="shared" si="0"/>
        <v>49</v>
      </c>
      <c r="F49" s="9" t="s">
        <v>29</v>
      </c>
      <c r="M49" s="21" t="s">
        <v>246</v>
      </c>
    </row>
    <row r="50" spans="1:13">
      <c r="E50" s="21">
        <f t="shared" si="0"/>
        <v>50</v>
      </c>
      <c r="F50" s="9" t="s">
        <v>118</v>
      </c>
      <c r="M50" s="21" t="s">
        <v>248</v>
      </c>
    </row>
    <row r="51" spans="1:13">
      <c r="E51" s="21">
        <f t="shared" si="0"/>
        <v>51</v>
      </c>
      <c r="F51" s="9" t="s">
        <v>98</v>
      </c>
      <c r="K51" s="9" t="s">
        <v>137</v>
      </c>
      <c r="M51" s="21">
        <v>2</v>
      </c>
    </row>
    <row r="52" spans="1:13">
      <c r="E52" s="21">
        <f t="shared" si="0"/>
        <v>52</v>
      </c>
      <c r="F52" s="9" t="s">
        <v>175</v>
      </c>
      <c r="K52" s="9" t="s">
        <v>136</v>
      </c>
      <c r="M52" s="21" t="s">
        <v>250</v>
      </c>
    </row>
    <row r="53" spans="1:13">
      <c r="E53" s="21">
        <f t="shared" si="0"/>
        <v>53</v>
      </c>
      <c r="F53" s="9" t="s">
        <v>113</v>
      </c>
      <c r="L53" s="9" t="s">
        <v>134</v>
      </c>
      <c r="M53" s="21">
        <v>-90</v>
      </c>
    </row>
    <row r="54" spans="1:13">
      <c r="E54" s="21">
        <f t="shared" si="0"/>
        <v>54</v>
      </c>
      <c r="F54" s="9" t="s">
        <v>31</v>
      </c>
      <c r="G54" s="21">
        <v>5</v>
      </c>
      <c r="H54" s="21">
        <v>72</v>
      </c>
      <c r="L54" s="9" t="s">
        <v>134</v>
      </c>
      <c r="M54" s="21">
        <f t="shared" ref="M54" si="19">(G54*C45+(A45-1)*H54+H48*(B45-1))*-1</f>
        <v>-20</v>
      </c>
    </row>
    <row r="55" spans="1:13">
      <c r="E55" s="21">
        <f t="shared" si="0"/>
        <v>55</v>
      </c>
      <c r="F55" s="9" t="s">
        <v>30</v>
      </c>
      <c r="M55" s="21">
        <v>3</v>
      </c>
    </row>
    <row r="56" spans="1:13">
      <c r="A56" s="21">
        <f t="shared" ref="A56:A119" si="20">QUOTIENT( D56-1,G57*H57)+1</f>
        <v>1</v>
      </c>
      <c r="B56" s="21">
        <f t="shared" ref="B56" si="21">QUOTIENT( D56-1,G57)+1-(A56-1)*H57</f>
        <v>1</v>
      </c>
      <c r="C56" s="21">
        <f t="shared" ref="C56" si="22">D56-(B56-1)*G57-((A56-1)*G57*H57)</f>
        <v>5</v>
      </c>
      <c r="D56" s="21">
        <f>COUNT($D$11:$D55)+1</f>
        <v>5</v>
      </c>
    </row>
    <row r="57" spans="1:13">
      <c r="E57" s="21">
        <f t="shared" si="0"/>
        <v>57</v>
      </c>
      <c r="F57" s="9" t="s">
        <v>93</v>
      </c>
      <c r="G57" s="21">
        <v>6</v>
      </c>
      <c r="H57" s="21">
        <v>6</v>
      </c>
      <c r="I57" s="21">
        <v>5</v>
      </c>
      <c r="J57" s="9" t="s">
        <v>252</v>
      </c>
      <c r="M57" s="21">
        <f t="shared" ref="M57:M120" si="23">J57+D56</f>
        <v>20605</v>
      </c>
    </row>
    <row r="58" spans="1:13">
      <c r="E58" s="21">
        <f t="shared" si="0"/>
        <v>58</v>
      </c>
      <c r="F58" s="9" t="s">
        <v>142</v>
      </c>
      <c r="M58" s="21">
        <v>199107</v>
      </c>
    </row>
    <row r="59" spans="1:13">
      <c r="E59" s="21">
        <f t="shared" si="0"/>
        <v>59</v>
      </c>
      <c r="F59" s="9" t="s">
        <v>126</v>
      </c>
      <c r="G59" s="21">
        <v>5</v>
      </c>
      <c r="H59" s="21">
        <v>30</v>
      </c>
      <c r="M59" s="21">
        <f t="shared" ref="M59" si="24">(MOD(D56-1,G57*H57)+1)*G59+H59*(B56-1)</f>
        <v>25</v>
      </c>
    </row>
    <row r="60" spans="1:13">
      <c r="E60" s="21">
        <f t="shared" si="0"/>
        <v>60</v>
      </c>
      <c r="F60" s="9" t="s">
        <v>29</v>
      </c>
      <c r="M60" s="21" t="s">
        <v>246</v>
      </c>
    </row>
    <row r="61" spans="1:13">
      <c r="E61" s="21">
        <f t="shared" si="0"/>
        <v>61</v>
      </c>
      <c r="F61" s="9" t="s">
        <v>118</v>
      </c>
      <c r="M61" s="21" t="s">
        <v>248</v>
      </c>
    </row>
    <row r="62" spans="1:13">
      <c r="E62" s="21">
        <f t="shared" si="0"/>
        <v>62</v>
      </c>
      <c r="F62" s="9" t="s">
        <v>98</v>
      </c>
      <c r="K62" s="9" t="s">
        <v>137</v>
      </c>
      <c r="M62" s="21">
        <v>2</v>
      </c>
    </row>
    <row r="63" spans="1:13">
      <c r="E63" s="21">
        <f t="shared" si="0"/>
        <v>63</v>
      </c>
      <c r="F63" s="9" t="s">
        <v>175</v>
      </c>
      <c r="K63" s="9" t="s">
        <v>136</v>
      </c>
      <c r="M63" s="21" t="s">
        <v>250</v>
      </c>
    </row>
    <row r="64" spans="1:13">
      <c r="E64" s="21">
        <f t="shared" si="0"/>
        <v>64</v>
      </c>
      <c r="F64" s="9" t="s">
        <v>113</v>
      </c>
      <c r="L64" s="9" t="s">
        <v>134</v>
      </c>
      <c r="M64" s="21">
        <v>-90</v>
      </c>
    </row>
    <row r="65" spans="1:13">
      <c r="E65" s="21">
        <f t="shared" si="0"/>
        <v>65</v>
      </c>
      <c r="F65" s="9" t="s">
        <v>31</v>
      </c>
      <c r="G65" s="21">
        <v>5</v>
      </c>
      <c r="H65" s="21">
        <v>72</v>
      </c>
      <c r="L65" s="9" t="s">
        <v>134</v>
      </c>
      <c r="M65" s="21">
        <f t="shared" ref="M65" si="25">(G65*C56+(A56-1)*H65+H59*(B56-1))*-1</f>
        <v>-25</v>
      </c>
    </row>
    <row r="66" spans="1:13">
      <c r="E66" s="21">
        <f t="shared" si="0"/>
        <v>66</v>
      </c>
      <c r="F66" s="9" t="s">
        <v>30</v>
      </c>
      <c r="M66" s="21">
        <v>3</v>
      </c>
    </row>
    <row r="67" spans="1:13">
      <c r="A67" s="21">
        <f t="shared" ref="A67:A130" si="26">QUOTIENT( D67-1,G68*H68)+1</f>
        <v>1</v>
      </c>
      <c r="B67" s="21">
        <f t="shared" ref="B67" si="27">QUOTIENT( D67-1,G68)+1-(A67-1)*H68</f>
        <v>1</v>
      </c>
      <c r="C67" s="21">
        <f t="shared" ref="C67" si="28">D67-(B67-1)*G68-((A67-1)*G68*H68)</f>
        <v>6</v>
      </c>
      <c r="D67" s="21">
        <f>COUNT($D$11:$D66)+1</f>
        <v>6</v>
      </c>
    </row>
    <row r="68" spans="1:13">
      <c r="E68" s="21">
        <f t="shared" si="0"/>
        <v>68</v>
      </c>
      <c r="F68" s="9" t="s">
        <v>93</v>
      </c>
      <c r="G68" s="21">
        <v>6</v>
      </c>
      <c r="H68" s="21">
        <v>6</v>
      </c>
      <c r="I68" s="21">
        <v>5</v>
      </c>
      <c r="J68" s="9" t="s">
        <v>252</v>
      </c>
      <c r="M68" s="21">
        <f t="shared" ref="M68:M131" si="29">J68+D67</f>
        <v>20606</v>
      </c>
    </row>
    <row r="69" spans="1:13">
      <c r="E69" s="21">
        <f t="shared" si="0"/>
        <v>69</v>
      </c>
      <c r="F69" s="9" t="s">
        <v>142</v>
      </c>
      <c r="M69" s="21">
        <v>199107</v>
      </c>
    </row>
    <row r="70" spans="1:13">
      <c r="E70" s="21">
        <f t="shared" si="0"/>
        <v>70</v>
      </c>
      <c r="F70" s="9" t="s">
        <v>126</v>
      </c>
      <c r="G70" s="21">
        <v>5</v>
      </c>
      <c r="H70" s="21">
        <v>30</v>
      </c>
      <c r="M70" s="21">
        <f t="shared" ref="M70" si="30">(MOD(D67-1,G68*H68)+1)*G70+H70*(B67-1)</f>
        <v>30</v>
      </c>
    </row>
    <row r="71" spans="1:13">
      <c r="E71" s="21">
        <f t="shared" si="0"/>
        <v>71</v>
      </c>
      <c r="F71" s="9" t="s">
        <v>29</v>
      </c>
      <c r="M71" s="21" t="s">
        <v>246</v>
      </c>
    </row>
    <row r="72" spans="1:13">
      <c r="E72" s="21">
        <f t="shared" si="0"/>
        <v>72</v>
      </c>
      <c r="F72" s="9" t="s">
        <v>118</v>
      </c>
      <c r="M72" s="21" t="s">
        <v>248</v>
      </c>
    </row>
    <row r="73" spans="1:13">
      <c r="E73" s="21">
        <f t="shared" si="0"/>
        <v>73</v>
      </c>
      <c r="F73" s="9" t="s">
        <v>98</v>
      </c>
      <c r="K73" s="9" t="s">
        <v>137</v>
      </c>
      <c r="M73" s="21">
        <v>2</v>
      </c>
    </row>
    <row r="74" spans="1:13">
      <c r="E74" s="21">
        <f t="shared" si="0"/>
        <v>74</v>
      </c>
      <c r="F74" s="9" t="s">
        <v>175</v>
      </c>
      <c r="K74" s="9" t="s">
        <v>136</v>
      </c>
      <c r="M74" s="21" t="s">
        <v>250</v>
      </c>
    </row>
    <row r="75" spans="1:13">
      <c r="E75" s="21">
        <f t="shared" si="0"/>
        <v>75</v>
      </c>
      <c r="F75" s="9" t="s">
        <v>113</v>
      </c>
      <c r="L75" s="9" t="s">
        <v>134</v>
      </c>
      <c r="M75" s="21">
        <v>-90</v>
      </c>
    </row>
    <row r="76" spans="1:13">
      <c r="E76" s="21">
        <f t="shared" si="0"/>
        <v>76</v>
      </c>
      <c r="F76" s="9" t="s">
        <v>31</v>
      </c>
      <c r="G76" s="21">
        <v>5</v>
      </c>
      <c r="H76" s="21">
        <v>72</v>
      </c>
      <c r="L76" s="9" t="s">
        <v>134</v>
      </c>
      <c r="M76" s="21">
        <f t="shared" ref="M76" si="31">(G76*C67+(A67-1)*H76+H70*(B67-1))*-1</f>
        <v>-30</v>
      </c>
    </row>
    <row r="77" spans="1:13">
      <c r="E77" s="21">
        <f t="shared" ref="E77:E140" si="32">ROW(E77)</f>
        <v>77</v>
      </c>
      <c r="F77" s="9" t="s">
        <v>30</v>
      </c>
      <c r="M77" s="21">
        <v>3</v>
      </c>
    </row>
    <row r="78" spans="1:13">
      <c r="A78" s="21">
        <f t="shared" ref="A78:A141" si="33">QUOTIENT( D78-1,G79*H79)+1</f>
        <v>1</v>
      </c>
      <c r="B78" s="21">
        <f t="shared" ref="B78" si="34">QUOTIENT( D78-1,G79)+1-(A78-1)*H79</f>
        <v>2</v>
      </c>
      <c r="C78" s="21">
        <f t="shared" ref="C78" si="35">D78-(B78-1)*G79-((A78-1)*G79*H79)</f>
        <v>1</v>
      </c>
      <c r="D78" s="21">
        <f>COUNT($D$11:$D77)+1</f>
        <v>7</v>
      </c>
    </row>
    <row r="79" spans="1:13">
      <c r="E79" s="21">
        <f t="shared" ref="E79:E142" si="36">ROW(E79)</f>
        <v>79</v>
      </c>
      <c r="F79" s="9" t="s">
        <v>93</v>
      </c>
      <c r="G79" s="21">
        <v>6</v>
      </c>
      <c r="H79" s="21">
        <v>6</v>
      </c>
      <c r="I79" s="21">
        <v>5</v>
      </c>
      <c r="J79" s="9" t="s">
        <v>252</v>
      </c>
      <c r="M79" s="21">
        <f t="shared" ref="M79:M142" si="37">J79+D78</f>
        <v>20607</v>
      </c>
    </row>
    <row r="80" spans="1:13">
      <c r="E80" s="21">
        <f t="shared" si="36"/>
        <v>80</v>
      </c>
      <c r="F80" s="9" t="s">
        <v>142</v>
      </c>
      <c r="M80" s="21">
        <v>199107</v>
      </c>
    </row>
    <row r="81" spans="1:13">
      <c r="E81" s="21">
        <f t="shared" si="36"/>
        <v>81</v>
      </c>
      <c r="F81" s="9" t="s">
        <v>126</v>
      </c>
      <c r="G81" s="21">
        <v>5</v>
      </c>
      <c r="H81" s="21">
        <v>30</v>
      </c>
      <c r="M81" s="21">
        <f t="shared" ref="M81" si="38">(MOD(D78-1,G79*H79)+1)*G81+H81*(B78-1)</f>
        <v>65</v>
      </c>
    </row>
    <row r="82" spans="1:13">
      <c r="E82" s="21">
        <f t="shared" si="36"/>
        <v>82</v>
      </c>
      <c r="F82" s="9" t="s">
        <v>29</v>
      </c>
      <c r="M82" s="21" t="s">
        <v>246</v>
      </c>
    </row>
    <row r="83" spans="1:13">
      <c r="E83" s="21">
        <f t="shared" si="36"/>
        <v>83</v>
      </c>
      <c r="F83" s="9" t="s">
        <v>118</v>
      </c>
      <c r="M83" s="21" t="s">
        <v>248</v>
      </c>
    </row>
    <row r="84" spans="1:13">
      <c r="E84" s="21">
        <f t="shared" si="36"/>
        <v>84</v>
      </c>
      <c r="F84" s="9" t="s">
        <v>98</v>
      </c>
      <c r="K84" s="9" t="s">
        <v>137</v>
      </c>
      <c r="M84" s="21">
        <v>2</v>
      </c>
    </row>
    <row r="85" spans="1:13">
      <c r="E85" s="21">
        <f t="shared" si="36"/>
        <v>85</v>
      </c>
      <c r="F85" s="9" t="s">
        <v>175</v>
      </c>
      <c r="K85" s="9" t="s">
        <v>136</v>
      </c>
      <c r="M85" s="21" t="s">
        <v>250</v>
      </c>
    </row>
    <row r="86" spans="1:13">
      <c r="E86" s="21">
        <f t="shared" si="36"/>
        <v>86</v>
      </c>
      <c r="F86" s="9" t="s">
        <v>113</v>
      </c>
      <c r="L86" s="9" t="s">
        <v>134</v>
      </c>
      <c r="M86" s="21">
        <v>-90</v>
      </c>
    </row>
    <row r="87" spans="1:13">
      <c r="E87" s="21">
        <f t="shared" si="36"/>
        <v>87</v>
      </c>
      <c r="F87" s="9" t="s">
        <v>31</v>
      </c>
      <c r="G87" s="21">
        <v>5</v>
      </c>
      <c r="H87" s="21">
        <v>72</v>
      </c>
      <c r="L87" s="9" t="s">
        <v>134</v>
      </c>
      <c r="M87" s="21">
        <f t="shared" ref="M87" si="39">(G87*C78+(A78-1)*H87+H81*(B78-1))*-1</f>
        <v>-35</v>
      </c>
    </row>
    <row r="88" spans="1:13">
      <c r="E88" s="21">
        <f t="shared" si="36"/>
        <v>88</v>
      </c>
      <c r="F88" s="9" t="s">
        <v>30</v>
      </c>
      <c r="M88" s="21">
        <v>3</v>
      </c>
    </row>
    <row r="89" spans="1:13">
      <c r="A89" s="21">
        <f t="shared" ref="A89:A152" si="40">QUOTIENT( D89-1,G90*H90)+1</f>
        <v>1</v>
      </c>
      <c r="B89" s="21">
        <f t="shared" ref="B89" si="41">QUOTIENT( D89-1,G90)+1-(A89-1)*H90</f>
        <v>2</v>
      </c>
      <c r="C89" s="21">
        <f t="shared" ref="C89" si="42">D89-(B89-1)*G90-((A89-1)*G90*H90)</f>
        <v>2</v>
      </c>
      <c r="D89" s="21">
        <f>COUNT($D$11:$D88)+1</f>
        <v>8</v>
      </c>
    </row>
    <row r="90" spans="1:13">
      <c r="E90" s="21">
        <f t="shared" si="36"/>
        <v>90</v>
      </c>
      <c r="F90" s="9" t="s">
        <v>93</v>
      </c>
      <c r="G90" s="21">
        <v>6</v>
      </c>
      <c r="H90" s="21">
        <v>6</v>
      </c>
      <c r="I90" s="21">
        <v>5</v>
      </c>
      <c r="J90" s="9" t="s">
        <v>252</v>
      </c>
      <c r="M90" s="21">
        <f t="shared" ref="M90:M153" si="43">J90+D89</f>
        <v>20608</v>
      </c>
    </row>
    <row r="91" spans="1:13">
      <c r="E91" s="21">
        <f t="shared" si="36"/>
        <v>91</v>
      </c>
      <c r="F91" s="9" t="s">
        <v>142</v>
      </c>
      <c r="M91" s="21">
        <v>199107</v>
      </c>
    </row>
    <row r="92" spans="1:13">
      <c r="E92" s="21">
        <f t="shared" si="36"/>
        <v>92</v>
      </c>
      <c r="F92" s="9" t="s">
        <v>126</v>
      </c>
      <c r="G92" s="21">
        <v>5</v>
      </c>
      <c r="H92" s="21">
        <v>30</v>
      </c>
      <c r="M92" s="21">
        <f t="shared" ref="M92" si="44">(MOD(D89-1,G90*H90)+1)*G92+H92*(B89-1)</f>
        <v>70</v>
      </c>
    </row>
    <row r="93" spans="1:13">
      <c r="E93" s="21">
        <f t="shared" si="36"/>
        <v>93</v>
      </c>
      <c r="F93" s="9" t="s">
        <v>29</v>
      </c>
      <c r="M93" s="21" t="s">
        <v>246</v>
      </c>
    </row>
    <row r="94" spans="1:13">
      <c r="E94" s="21">
        <f t="shared" si="36"/>
        <v>94</v>
      </c>
      <c r="F94" s="9" t="s">
        <v>118</v>
      </c>
      <c r="M94" s="21" t="s">
        <v>248</v>
      </c>
    </row>
    <row r="95" spans="1:13">
      <c r="E95" s="21">
        <f t="shared" si="36"/>
        <v>95</v>
      </c>
      <c r="F95" s="9" t="s">
        <v>98</v>
      </c>
      <c r="K95" s="9" t="s">
        <v>137</v>
      </c>
      <c r="M95" s="21">
        <v>2</v>
      </c>
    </row>
    <row r="96" spans="1:13">
      <c r="E96" s="21">
        <f t="shared" si="36"/>
        <v>96</v>
      </c>
      <c r="F96" s="9" t="s">
        <v>175</v>
      </c>
      <c r="K96" s="9" t="s">
        <v>136</v>
      </c>
      <c r="M96" s="21" t="s">
        <v>250</v>
      </c>
    </row>
    <row r="97" spans="1:13">
      <c r="E97" s="21">
        <f t="shared" si="36"/>
        <v>97</v>
      </c>
      <c r="F97" s="9" t="s">
        <v>113</v>
      </c>
      <c r="L97" s="9" t="s">
        <v>134</v>
      </c>
      <c r="M97" s="21">
        <v>-90</v>
      </c>
    </row>
    <row r="98" spans="1:13">
      <c r="E98" s="21">
        <f t="shared" si="36"/>
        <v>98</v>
      </c>
      <c r="F98" s="9" t="s">
        <v>31</v>
      </c>
      <c r="G98" s="21">
        <v>5</v>
      </c>
      <c r="H98" s="21">
        <v>72</v>
      </c>
      <c r="L98" s="9" t="s">
        <v>134</v>
      </c>
      <c r="M98" s="21">
        <f t="shared" ref="M98" si="45">(G98*C89+(A89-1)*H98+H92*(B89-1))*-1</f>
        <v>-40</v>
      </c>
    </row>
    <row r="99" spans="1:13">
      <c r="E99" s="21">
        <f t="shared" si="36"/>
        <v>99</v>
      </c>
      <c r="F99" s="9" t="s">
        <v>30</v>
      </c>
      <c r="M99" s="21">
        <v>3</v>
      </c>
    </row>
    <row r="100" spans="1:13">
      <c r="A100" s="21">
        <f t="shared" ref="A100:A163" si="46">QUOTIENT( D100-1,G101*H101)+1</f>
        <v>1</v>
      </c>
      <c r="B100" s="21">
        <f t="shared" ref="B100" si="47">QUOTIENT( D100-1,G101)+1-(A100-1)*H101</f>
        <v>2</v>
      </c>
      <c r="C100" s="21">
        <f t="shared" ref="C100" si="48">D100-(B100-1)*G101-((A100-1)*G101*H101)</f>
        <v>3</v>
      </c>
      <c r="D100" s="21">
        <f>COUNT($D$11:$D99)+1</f>
        <v>9</v>
      </c>
    </row>
    <row r="101" spans="1:13">
      <c r="E101" s="21">
        <f t="shared" si="36"/>
        <v>101</v>
      </c>
      <c r="F101" s="9" t="s">
        <v>93</v>
      </c>
      <c r="G101" s="21">
        <v>6</v>
      </c>
      <c r="H101" s="21">
        <v>6</v>
      </c>
      <c r="I101" s="21">
        <v>5</v>
      </c>
      <c r="J101" s="9" t="s">
        <v>252</v>
      </c>
      <c r="M101" s="21">
        <f t="shared" ref="M101:M164" si="49">J101+D100</f>
        <v>20609</v>
      </c>
    </row>
    <row r="102" spans="1:13">
      <c r="E102" s="21">
        <f t="shared" si="36"/>
        <v>102</v>
      </c>
      <c r="F102" s="9" t="s">
        <v>142</v>
      </c>
      <c r="M102" s="21">
        <v>199107</v>
      </c>
    </row>
    <row r="103" spans="1:13">
      <c r="E103" s="21">
        <f t="shared" si="36"/>
        <v>103</v>
      </c>
      <c r="F103" s="9" t="s">
        <v>126</v>
      </c>
      <c r="G103" s="21">
        <v>5</v>
      </c>
      <c r="H103" s="21">
        <v>30</v>
      </c>
      <c r="M103" s="21">
        <f t="shared" ref="M103" si="50">(MOD(D100-1,G101*H101)+1)*G103+H103*(B100-1)</f>
        <v>75</v>
      </c>
    </row>
    <row r="104" spans="1:13">
      <c r="E104" s="21">
        <f t="shared" si="36"/>
        <v>104</v>
      </c>
      <c r="F104" s="9" t="s">
        <v>29</v>
      </c>
      <c r="M104" s="21" t="s">
        <v>246</v>
      </c>
    </row>
    <row r="105" spans="1:13">
      <c r="E105" s="21">
        <f t="shared" si="36"/>
        <v>105</v>
      </c>
      <c r="F105" s="9" t="s">
        <v>118</v>
      </c>
      <c r="M105" s="21" t="s">
        <v>248</v>
      </c>
    </row>
    <row r="106" spans="1:13">
      <c r="E106" s="21">
        <f t="shared" si="36"/>
        <v>106</v>
      </c>
      <c r="F106" s="9" t="s">
        <v>98</v>
      </c>
      <c r="K106" s="9" t="s">
        <v>137</v>
      </c>
      <c r="M106" s="21">
        <v>2</v>
      </c>
    </row>
    <row r="107" spans="1:13">
      <c r="E107" s="21">
        <f t="shared" si="36"/>
        <v>107</v>
      </c>
      <c r="F107" s="9" t="s">
        <v>175</v>
      </c>
      <c r="K107" s="9" t="s">
        <v>136</v>
      </c>
      <c r="M107" s="21" t="s">
        <v>250</v>
      </c>
    </row>
    <row r="108" spans="1:13">
      <c r="E108" s="21">
        <f t="shared" si="36"/>
        <v>108</v>
      </c>
      <c r="F108" s="9" t="s">
        <v>113</v>
      </c>
      <c r="L108" s="9" t="s">
        <v>134</v>
      </c>
      <c r="M108" s="21">
        <v>-90</v>
      </c>
    </row>
    <row r="109" spans="1:13">
      <c r="E109" s="21">
        <f t="shared" si="36"/>
        <v>109</v>
      </c>
      <c r="F109" s="9" t="s">
        <v>31</v>
      </c>
      <c r="G109" s="21">
        <v>5</v>
      </c>
      <c r="H109" s="21">
        <v>72</v>
      </c>
      <c r="L109" s="9" t="s">
        <v>134</v>
      </c>
      <c r="M109" s="21">
        <f t="shared" ref="M109" si="51">(G109*C100+(A100-1)*H109+H103*(B100-1))*-1</f>
        <v>-45</v>
      </c>
    </row>
    <row r="110" spans="1:13">
      <c r="E110" s="21">
        <f t="shared" si="36"/>
        <v>110</v>
      </c>
      <c r="F110" s="9" t="s">
        <v>30</v>
      </c>
      <c r="M110" s="21">
        <v>3</v>
      </c>
    </row>
    <row r="111" spans="1:13">
      <c r="A111" s="21">
        <f t="shared" ref="A111:A174" si="52">QUOTIENT( D111-1,G112*H112)+1</f>
        <v>1</v>
      </c>
      <c r="B111" s="21">
        <f t="shared" ref="B111" si="53">QUOTIENT( D111-1,G112)+1-(A111-1)*H112</f>
        <v>2</v>
      </c>
      <c r="C111" s="21">
        <f t="shared" ref="C111" si="54">D111-(B111-1)*G112-((A111-1)*G112*H112)</f>
        <v>4</v>
      </c>
      <c r="D111" s="21">
        <f>COUNT($D$11:$D110)+1</f>
        <v>10</v>
      </c>
    </row>
    <row r="112" spans="1:13">
      <c r="E112" s="21">
        <f t="shared" si="36"/>
        <v>112</v>
      </c>
      <c r="F112" s="9" t="s">
        <v>93</v>
      </c>
      <c r="G112" s="21">
        <v>6</v>
      </c>
      <c r="H112" s="21">
        <v>6</v>
      </c>
      <c r="I112" s="21">
        <v>5</v>
      </c>
      <c r="J112" s="9" t="s">
        <v>252</v>
      </c>
      <c r="M112" s="21">
        <f t="shared" ref="M112:M175" si="55">J112+D111</f>
        <v>20610</v>
      </c>
    </row>
    <row r="113" spans="1:13">
      <c r="E113" s="21">
        <f t="shared" si="36"/>
        <v>113</v>
      </c>
      <c r="F113" s="9" t="s">
        <v>142</v>
      </c>
      <c r="M113" s="21">
        <v>199107</v>
      </c>
    </row>
    <row r="114" spans="1:13">
      <c r="E114" s="21">
        <f t="shared" si="36"/>
        <v>114</v>
      </c>
      <c r="F114" s="9" t="s">
        <v>126</v>
      </c>
      <c r="G114" s="21">
        <v>5</v>
      </c>
      <c r="H114" s="21">
        <v>30</v>
      </c>
      <c r="M114" s="21">
        <f t="shared" ref="M114" si="56">(MOD(D111-1,G112*H112)+1)*G114+H114*(B111-1)</f>
        <v>80</v>
      </c>
    </row>
    <row r="115" spans="1:13">
      <c r="E115" s="21">
        <f t="shared" si="36"/>
        <v>115</v>
      </c>
      <c r="F115" s="9" t="s">
        <v>29</v>
      </c>
      <c r="M115" s="21" t="s">
        <v>246</v>
      </c>
    </row>
    <row r="116" spans="1:13">
      <c r="E116" s="21">
        <f t="shared" si="36"/>
        <v>116</v>
      </c>
      <c r="F116" s="9" t="s">
        <v>118</v>
      </c>
      <c r="M116" s="21" t="s">
        <v>248</v>
      </c>
    </row>
    <row r="117" spans="1:13">
      <c r="E117" s="21">
        <f t="shared" si="36"/>
        <v>117</v>
      </c>
      <c r="F117" s="9" t="s">
        <v>98</v>
      </c>
      <c r="K117" s="9" t="s">
        <v>137</v>
      </c>
      <c r="M117" s="21">
        <v>2</v>
      </c>
    </row>
    <row r="118" spans="1:13">
      <c r="E118" s="21">
        <f t="shared" si="36"/>
        <v>118</v>
      </c>
      <c r="F118" s="9" t="s">
        <v>175</v>
      </c>
      <c r="K118" s="9" t="s">
        <v>136</v>
      </c>
      <c r="M118" s="21" t="s">
        <v>250</v>
      </c>
    </row>
    <row r="119" spans="1:13">
      <c r="E119" s="21">
        <f t="shared" si="36"/>
        <v>119</v>
      </c>
      <c r="F119" s="9" t="s">
        <v>113</v>
      </c>
      <c r="L119" s="9" t="s">
        <v>134</v>
      </c>
      <c r="M119" s="21">
        <v>-90</v>
      </c>
    </row>
    <row r="120" spans="1:13">
      <c r="E120" s="21">
        <f t="shared" si="36"/>
        <v>120</v>
      </c>
      <c r="F120" s="9" t="s">
        <v>31</v>
      </c>
      <c r="G120" s="21">
        <v>5</v>
      </c>
      <c r="H120" s="21">
        <v>72</v>
      </c>
      <c r="L120" s="9" t="s">
        <v>134</v>
      </c>
      <c r="M120" s="21">
        <f t="shared" ref="M120" si="57">(G120*C111+(A111-1)*H120+H114*(B111-1))*-1</f>
        <v>-50</v>
      </c>
    </row>
    <row r="121" spans="1:13">
      <c r="E121" s="21">
        <f t="shared" si="36"/>
        <v>121</v>
      </c>
      <c r="F121" s="9" t="s">
        <v>30</v>
      </c>
      <c r="M121" s="21">
        <v>3</v>
      </c>
    </row>
    <row r="122" spans="1:13">
      <c r="A122" s="21">
        <f t="shared" ref="A122:A185" si="58">QUOTIENT( D122-1,G123*H123)+1</f>
        <v>1</v>
      </c>
      <c r="B122" s="21">
        <f t="shared" ref="B122" si="59">QUOTIENT( D122-1,G123)+1-(A122-1)*H123</f>
        <v>2</v>
      </c>
      <c r="C122" s="21">
        <f t="shared" ref="C122" si="60">D122-(B122-1)*G123-((A122-1)*G123*H123)</f>
        <v>5</v>
      </c>
      <c r="D122" s="21">
        <f>COUNT($D$11:$D121)+1</f>
        <v>11</v>
      </c>
    </row>
    <row r="123" spans="1:13">
      <c r="E123" s="21">
        <f t="shared" si="36"/>
        <v>123</v>
      </c>
      <c r="F123" s="9" t="s">
        <v>93</v>
      </c>
      <c r="G123" s="21">
        <v>6</v>
      </c>
      <c r="H123" s="21">
        <v>6</v>
      </c>
      <c r="I123" s="21">
        <v>5</v>
      </c>
      <c r="J123" s="9" t="s">
        <v>252</v>
      </c>
      <c r="M123" s="21">
        <f t="shared" ref="M123:M186" si="61">J123+D122</f>
        <v>20611</v>
      </c>
    </row>
    <row r="124" spans="1:13">
      <c r="E124" s="21">
        <f t="shared" si="36"/>
        <v>124</v>
      </c>
      <c r="F124" s="9" t="s">
        <v>142</v>
      </c>
      <c r="M124" s="21">
        <v>199107</v>
      </c>
    </row>
    <row r="125" spans="1:13">
      <c r="E125" s="21">
        <f t="shared" si="36"/>
        <v>125</v>
      </c>
      <c r="F125" s="9" t="s">
        <v>126</v>
      </c>
      <c r="G125" s="21">
        <v>5</v>
      </c>
      <c r="H125" s="21">
        <v>30</v>
      </c>
      <c r="M125" s="21">
        <f t="shared" ref="M125" si="62">(MOD(D122-1,G123*H123)+1)*G125+H125*(B122-1)</f>
        <v>85</v>
      </c>
    </row>
    <row r="126" spans="1:13">
      <c r="E126" s="21">
        <f t="shared" si="36"/>
        <v>126</v>
      </c>
      <c r="F126" s="9" t="s">
        <v>29</v>
      </c>
      <c r="M126" s="21" t="s">
        <v>246</v>
      </c>
    </row>
    <row r="127" spans="1:13">
      <c r="E127" s="21">
        <f t="shared" si="36"/>
        <v>127</v>
      </c>
      <c r="F127" s="9" t="s">
        <v>118</v>
      </c>
      <c r="M127" s="21" t="s">
        <v>248</v>
      </c>
    </row>
    <row r="128" spans="1:13">
      <c r="E128" s="21">
        <f t="shared" si="36"/>
        <v>128</v>
      </c>
      <c r="F128" s="9" t="s">
        <v>98</v>
      </c>
      <c r="K128" s="9" t="s">
        <v>137</v>
      </c>
      <c r="M128" s="21">
        <v>2</v>
      </c>
    </row>
    <row r="129" spans="1:13">
      <c r="E129" s="21">
        <f t="shared" si="36"/>
        <v>129</v>
      </c>
      <c r="F129" s="9" t="s">
        <v>175</v>
      </c>
      <c r="K129" s="9" t="s">
        <v>136</v>
      </c>
      <c r="M129" s="21" t="s">
        <v>250</v>
      </c>
    </row>
    <row r="130" spans="1:13">
      <c r="E130" s="21">
        <f t="shared" si="36"/>
        <v>130</v>
      </c>
      <c r="F130" s="9" t="s">
        <v>113</v>
      </c>
      <c r="L130" s="9" t="s">
        <v>134</v>
      </c>
      <c r="M130" s="21">
        <v>-90</v>
      </c>
    </row>
    <row r="131" spans="1:13">
      <c r="E131" s="21">
        <f t="shared" si="36"/>
        <v>131</v>
      </c>
      <c r="F131" s="9" t="s">
        <v>31</v>
      </c>
      <c r="G131" s="21">
        <v>5</v>
      </c>
      <c r="H131" s="21">
        <v>72</v>
      </c>
      <c r="L131" s="9" t="s">
        <v>134</v>
      </c>
      <c r="M131" s="21">
        <f t="shared" ref="M131" si="63">(G131*C122+(A122-1)*H131+H125*(B122-1))*-1</f>
        <v>-55</v>
      </c>
    </row>
    <row r="132" spans="1:13">
      <c r="E132" s="21">
        <f t="shared" si="36"/>
        <v>132</v>
      </c>
      <c r="F132" s="9" t="s">
        <v>30</v>
      </c>
      <c r="M132" s="21">
        <v>3</v>
      </c>
    </row>
    <row r="133" spans="1:13">
      <c r="A133" s="21">
        <f t="shared" ref="A133:A196" si="64">QUOTIENT( D133-1,G134*H134)+1</f>
        <v>1</v>
      </c>
      <c r="B133" s="21">
        <f t="shared" ref="B133" si="65">QUOTIENT( D133-1,G134)+1-(A133-1)*H134</f>
        <v>2</v>
      </c>
      <c r="C133" s="21">
        <f t="shared" ref="C133" si="66">D133-(B133-1)*G134-((A133-1)*G134*H134)</f>
        <v>6</v>
      </c>
      <c r="D133" s="21">
        <f>COUNT($D$11:$D132)+1</f>
        <v>12</v>
      </c>
    </row>
    <row r="134" spans="1:13">
      <c r="E134" s="21">
        <f t="shared" si="36"/>
        <v>134</v>
      </c>
      <c r="F134" s="9" t="s">
        <v>93</v>
      </c>
      <c r="G134" s="21">
        <v>6</v>
      </c>
      <c r="H134" s="21">
        <v>6</v>
      </c>
      <c r="I134" s="21">
        <v>5</v>
      </c>
      <c r="J134" s="9" t="s">
        <v>252</v>
      </c>
      <c r="M134" s="21">
        <f t="shared" ref="M134:M197" si="67">J134+D133</f>
        <v>20612</v>
      </c>
    </row>
    <row r="135" spans="1:13">
      <c r="E135" s="21">
        <f t="shared" si="36"/>
        <v>135</v>
      </c>
      <c r="F135" s="9" t="s">
        <v>142</v>
      </c>
      <c r="M135" s="21">
        <v>199107</v>
      </c>
    </row>
    <row r="136" spans="1:13">
      <c r="E136" s="21">
        <f t="shared" si="36"/>
        <v>136</v>
      </c>
      <c r="F136" s="9" t="s">
        <v>126</v>
      </c>
      <c r="G136" s="21">
        <v>5</v>
      </c>
      <c r="H136" s="21">
        <v>30</v>
      </c>
      <c r="M136" s="21">
        <f t="shared" ref="M136" si="68">(MOD(D133-1,G134*H134)+1)*G136+H136*(B133-1)</f>
        <v>90</v>
      </c>
    </row>
    <row r="137" spans="1:13">
      <c r="E137" s="21">
        <f t="shared" si="36"/>
        <v>137</v>
      </c>
      <c r="F137" s="9" t="s">
        <v>29</v>
      </c>
      <c r="M137" s="21" t="s">
        <v>246</v>
      </c>
    </row>
    <row r="138" spans="1:13">
      <c r="E138" s="21">
        <f t="shared" si="36"/>
        <v>138</v>
      </c>
      <c r="F138" s="9" t="s">
        <v>118</v>
      </c>
      <c r="M138" s="21" t="s">
        <v>248</v>
      </c>
    </row>
    <row r="139" spans="1:13">
      <c r="E139" s="21">
        <f t="shared" si="36"/>
        <v>139</v>
      </c>
      <c r="F139" s="9" t="s">
        <v>98</v>
      </c>
      <c r="K139" s="9" t="s">
        <v>137</v>
      </c>
      <c r="M139" s="21">
        <v>2</v>
      </c>
    </row>
    <row r="140" spans="1:13">
      <c r="E140" s="21">
        <f t="shared" si="36"/>
        <v>140</v>
      </c>
      <c r="F140" s="9" t="s">
        <v>175</v>
      </c>
      <c r="K140" s="9" t="s">
        <v>136</v>
      </c>
      <c r="M140" s="21" t="s">
        <v>250</v>
      </c>
    </row>
    <row r="141" spans="1:13">
      <c r="E141" s="21">
        <f t="shared" si="36"/>
        <v>141</v>
      </c>
      <c r="F141" s="9" t="s">
        <v>113</v>
      </c>
      <c r="L141" s="9" t="s">
        <v>134</v>
      </c>
      <c r="M141" s="21">
        <v>-90</v>
      </c>
    </row>
    <row r="142" spans="1:13">
      <c r="E142" s="21">
        <f t="shared" si="36"/>
        <v>142</v>
      </c>
      <c r="F142" s="9" t="s">
        <v>31</v>
      </c>
      <c r="G142" s="21">
        <v>5</v>
      </c>
      <c r="H142" s="21">
        <v>72</v>
      </c>
      <c r="L142" s="9" t="s">
        <v>134</v>
      </c>
      <c r="M142" s="21">
        <f t="shared" ref="M142" si="69">(G142*C133+(A133-1)*H142+H136*(B133-1))*-1</f>
        <v>-60</v>
      </c>
    </row>
    <row r="143" spans="1:13">
      <c r="E143" s="21">
        <f t="shared" ref="E143:E206" si="70">ROW(E143)</f>
        <v>143</v>
      </c>
      <c r="F143" s="9" t="s">
        <v>30</v>
      </c>
      <c r="M143" s="21">
        <v>3</v>
      </c>
    </row>
    <row r="144" spans="1:13">
      <c r="A144" s="21">
        <f t="shared" ref="A144:A207" si="71">QUOTIENT( D144-1,G145*H145)+1</f>
        <v>1</v>
      </c>
      <c r="B144" s="21">
        <f t="shared" ref="B144" si="72">QUOTIENT( D144-1,G145)+1-(A144-1)*H145</f>
        <v>3</v>
      </c>
      <c r="C144" s="21">
        <f t="shared" ref="C144" si="73">D144-(B144-1)*G145-((A144-1)*G145*H145)</f>
        <v>1</v>
      </c>
      <c r="D144" s="21">
        <f>COUNT($D$11:$D143)+1</f>
        <v>13</v>
      </c>
    </row>
    <row r="145" spans="1:13">
      <c r="E145" s="21">
        <f t="shared" ref="E145:E208" si="74">ROW(E145)</f>
        <v>145</v>
      </c>
      <c r="F145" s="9" t="s">
        <v>93</v>
      </c>
      <c r="G145" s="21">
        <v>6</v>
      </c>
      <c r="H145" s="21">
        <v>6</v>
      </c>
      <c r="I145" s="21">
        <v>5</v>
      </c>
      <c r="J145" s="9" t="s">
        <v>252</v>
      </c>
      <c r="M145" s="21">
        <f t="shared" ref="M145:M208" si="75">J145+D144</f>
        <v>20613</v>
      </c>
    </row>
    <row r="146" spans="1:13">
      <c r="E146" s="21">
        <f t="shared" si="74"/>
        <v>146</v>
      </c>
      <c r="F146" s="9" t="s">
        <v>142</v>
      </c>
      <c r="M146" s="21">
        <v>199107</v>
      </c>
    </row>
    <row r="147" spans="1:13">
      <c r="E147" s="21">
        <f t="shared" si="74"/>
        <v>147</v>
      </c>
      <c r="F147" s="9" t="s">
        <v>126</v>
      </c>
      <c r="G147" s="21">
        <v>5</v>
      </c>
      <c r="H147" s="21">
        <v>30</v>
      </c>
      <c r="M147" s="21">
        <f t="shared" ref="M147" si="76">(MOD(D144-1,G145*H145)+1)*G147+H147*(B144-1)</f>
        <v>125</v>
      </c>
    </row>
    <row r="148" spans="1:13">
      <c r="E148" s="21">
        <f t="shared" si="74"/>
        <v>148</v>
      </c>
      <c r="F148" s="9" t="s">
        <v>29</v>
      </c>
      <c r="M148" s="21" t="s">
        <v>246</v>
      </c>
    </row>
    <row r="149" spans="1:13">
      <c r="E149" s="21">
        <f t="shared" si="74"/>
        <v>149</v>
      </c>
      <c r="F149" s="9" t="s">
        <v>118</v>
      </c>
      <c r="M149" s="21" t="s">
        <v>248</v>
      </c>
    </row>
    <row r="150" spans="1:13">
      <c r="E150" s="21">
        <f t="shared" si="74"/>
        <v>150</v>
      </c>
      <c r="F150" s="9" t="s">
        <v>98</v>
      </c>
      <c r="K150" s="9" t="s">
        <v>137</v>
      </c>
      <c r="M150" s="21">
        <v>2</v>
      </c>
    </row>
    <row r="151" spans="1:13">
      <c r="E151" s="21">
        <f t="shared" si="74"/>
        <v>151</v>
      </c>
      <c r="F151" s="9" t="s">
        <v>175</v>
      </c>
      <c r="K151" s="9" t="s">
        <v>136</v>
      </c>
      <c r="M151" s="21" t="s">
        <v>250</v>
      </c>
    </row>
    <row r="152" spans="1:13">
      <c r="E152" s="21">
        <f t="shared" si="74"/>
        <v>152</v>
      </c>
      <c r="F152" s="9" t="s">
        <v>113</v>
      </c>
      <c r="L152" s="9" t="s">
        <v>134</v>
      </c>
      <c r="M152" s="21">
        <v>-90</v>
      </c>
    </row>
    <row r="153" spans="1:13">
      <c r="E153" s="21">
        <f t="shared" si="74"/>
        <v>153</v>
      </c>
      <c r="F153" s="9" t="s">
        <v>31</v>
      </c>
      <c r="G153" s="21">
        <v>5</v>
      </c>
      <c r="H153" s="21">
        <v>72</v>
      </c>
      <c r="L153" s="9" t="s">
        <v>134</v>
      </c>
      <c r="M153" s="21">
        <f t="shared" ref="M153" si="77">(G153*C144+(A144-1)*H153+H147*(B144-1))*-1</f>
        <v>-65</v>
      </c>
    </row>
    <row r="154" spans="1:13">
      <c r="E154" s="21">
        <f t="shared" si="74"/>
        <v>154</v>
      </c>
      <c r="F154" s="9" t="s">
        <v>30</v>
      </c>
      <c r="M154" s="21">
        <v>3</v>
      </c>
    </row>
    <row r="155" spans="1:13">
      <c r="A155" s="21">
        <f t="shared" ref="A155:A218" si="78">QUOTIENT( D155-1,G156*H156)+1</f>
        <v>1</v>
      </c>
      <c r="B155" s="21">
        <f t="shared" ref="B155" si="79">QUOTIENT( D155-1,G156)+1-(A155-1)*H156</f>
        <v>3</v>
      </c>
      <c r="C155" s="21">
        <f t="shared" ref="C155" si="80">D155-(B155-1)*G156-((A155-1)*G156*H156)</f>
        <v>2</v>
      </c>
      <c r="D155" s="21">
        <f>COUNT($D$11:$D154)+1</f>
        <v>14</v>
      </c>
    </row>
    <row r="156" spans="1:13">
      <c r="E156" s="21">
        <f t="shared" si="74"/>
        <v>156</v>
      </c>
      <c r="F156" s="9" t="s">
        <v>93</v>
      </c>
      <c r="G156" s="21">
        <v>6</v>
      </c>
      <c r="H156" s="21">
        <v>6</v>
      </c>
      <c r="I156" s="21">
        <v>5</v>
      </c>
      <c r="J156" s="9" t="s">
        <v>252</v>
      </c>
      <c r="M156" s="21">
        <f t="shared" ref="M156:M219" si="81">J156+D155</f>
        <v>20614</v>
      </c>
    </row>
    <row r="157" spans="1:13">
      <c r="E157" s="21">
        <f t="shared" si="74"/>
        <v>157</v>
      </c>
      <c r="F157" s="9" t="s">
        <v>142</v>
      </c>
      <c r="M157" s="21">
        <v>199107</v>
      </c>
    </row>
    <row r="158" spans="1:13">
      <c r="E158" s="21">
        <f t="shared" si="74"/>
        <v>158</v>
      </c>
      <c r="F158" s="9" t="s">
        <v>126</v>
      </c>
      <c r="G158" s="21">
        <v>5</v>
      </c>
      <c r="H158" s="21">
        <v>30</v>
      </c>
      <c r="M158" s="21">
        <f t="shared" ref="M158" si="82">(MOD(D155-1,G156*H156)+1)*G158+H158*(B155-1)</f>
        <v>130</v>
      </c>
    </row>
    <row r="159" spans="1:13">
      <c r="E159" s="21">
        <f t="shared" si="74"/>
        <v>159</v>
      </c>
      <c r="F159" s="9" t="s">
        <v>29</v>
      </c>
      <c r="M159" s="21" t="s">
        <v>246</v>
      </c>
    </row>
    <row r="160" spans="1:13">
      <c r="E160" s="21">
        <f t="shared" si="74"/>
        <v>160</v>
      </c>
      <c r="F160" s="9" t="s">
        <v>118</v>
      </c>
      <c r="M160" s="21" t="s">
        <v>248</v>
      </c>
    </row>
    <row r="161" spans="1:13">
      <c r="E161" s="21">
        <f t="shared" si="74"/>
        <v>161</v>
      </c>
      <c r="F161" s="9" t="s">
        <v>98</v>
      </c>
      <c r="K161" s="9" t="s">
        <v>137</v>
      </c>
      <c r="M161" s="21">
        <v>2</v>
      </c>
    </row>
    <row r="162" spans="1:13">
      <c r="E162" s="21">
        <f t="shared" si="74"/>
        <v>162</v>
      </c>
      <c r="F162" s="9" t="s">
        <v>175</v>
      </c>
      <c r="K162" s="9" t="s">
        <v>136</v>
      </c>
      <c r="M162" s="21" t="s">
        <v>250</v>
      </c>
    </row>
    <row r="163" spans="1:13">
      <c r="E163" s="21">
        <f t="shared" si="74"/>
        <v>163</v>
      </c>
      <c r="F163" s="9" t="s">
        <v>113</v>
      </c>
      <c r="L163" s="9" t="s">
        <v>134</v>
      </c>
      <c r="M163" s="21">
        <v>-90</v>
      </c>
    </row>
    <row r="164" spans="1:13">
      <c r="E164" s="21">
        <f t="shared" si="74"/>
        <v>164</v>
      </c>
      <c r="F164" s="9" t="s">
        <v>31</v>
      </c>
      <c r="G164" s="21">
        <v>5</v>
      </c>
      <c r="H164" s="21">
        <v>72</v>
      </c>
      <c r="L164" s="9" t="s">
        <v>134</v>
      </c>
      <c r="M164" s="21">
        <f t="shared" ref="M164" si="83">(G164*C155+(A155-1)*H164+H158*(B155-1))*-1</f>
        <v>-70</v>
      </c>
    </row>
    <row r="165" spans="1:13">
      <c r="E165" s="21">
        <f t="shared" si="74"/>
        <v>165</v>
      </c>
      <c r="F165" s="9" t="s">
        <v>30</v>
      </c>
      <c r="M165" s="21">
        <v>3</v>
      </c>
    </row>
    <row r="166" spans="1:13">
      <c r="A166" s="21">
        <f t="shared" ref="A166:A229" si="84">QUOTIENT( D166-1,G167*H167)+1</f>
        <v>1</v>
      </c>
      <c r="B166" s="21">
        <f t="shared" ref="B166" si="85">QUOTIENT( D166-1,G167)+1-(A166-1)*H167</f>
        <v>3</v>
      </c>
      <c r="C166" s="21">
        <f t="shared" ref="C166" si="86">D166-(B166-1)*G167-((A166-1)*G167*H167)</f>
        <v>3</v>
      </c>
      <c r="D166" s="21">
        <f>COUNT($D$11:$D165)+1</f>
        <v>15</v>
      </c>
    </row>
    <row r="167" spans="1:13">
      <c r="E167" s="21">
        <f t="shared" si="74"/>
        <v>167</v>
      </c>
      <c r="F167" s="9" t="s">
        <v>93</v>
      </c>
      <c r="G167" s="21">
        <v>6</v>
      </c>
      <c r="H167" s="21">
        <v>6</v>
      </c>
      <c r="I167" s="21">
        <v>5</v>
      </c>
      <c r="J167" s="9" t="s">
        <v>252</v>
      </c>
      <c r="M167" s="21">
        <f t="shared" ref="M167:M230" si="87">J167+D166</f>
        <v>20615</v>
      </c>
    </row>
    <row r="168" spans="1:13">
      <c r="E168" s="21">
        <f t="shared" si="74"/>
        <v>168</v>
      </c>
      <c r="F168" s="9" t="s">
        <v>142</v>
      </c>
      <c r="M168" s="21">
        <v>199107</v>
      </c>
    </row>
    <row r="169" spans="1:13">
      <c r="E169" s="21">
        <f t="shared" si="74"/>
        <v>169</v>
      </c>
      <c r="F169" s="9" t="s">
        <v>126</v>
      </c>
      <c r="G169" s="21">
        <v>5</v>
      </c>
      <c r="H169" s="21">
        <v>30</v>
      </c>
      <c r="M169" s="21">
        <f t="shared" ref="M169" si="88">(MOD(D166-1,G167*H167)+1)*G169+H169*(B166-1)</f>
        <v>135</v>
      </c>
    </row>
    <row r="170" spans="1:13">
      <c r="E170" s="21">
        <f t="shared" si="74"/>
        <v>170</v>
      </c>
      <c r="F170" s="9" t="s">
        <v>29</v>
      </c>
      <c r="M170" s="21" t="s">
        <v>246</v>
      </c>
    </row>
    <row r="171" spans="1:13">
      <c r="E171" s="21">
        <f t="shared" si="74"/>
        <v>171</v>
      </c>
      <c r="F171" s="9" t="s">
        <v>118</v>
      </c>
      <c r="M171" s="21" t="s">
        <v>248</v>
      </c>
    </row>
    <row r="172" spans="1:13">
      <c r="E172" s="21">
        <f t="shared" si="74"/>
        <v>172</v>
      </c>
      <c r="F172" s="9" t="s">
        <v>98</v>
      </c>
      <c r="K172" s="9" t="s">
        <v>137</v>
      </c>
      <c r="M172" s="21">
        <v>2</v>
      </c>
    </row>
    <row r="173" spans="1:13">
      <c r="E173" s="21">
        <f t="shared" si="74"/>
        <v>173</v>
      </c>
      <c r="F173" s="9" t="s">
        <v>175</v>
      </c>
      <c r="K173" s="9" t="s">
        <v>136</v>
      </c>
      <c r="M173" s="21" t="s">
        <v>250</v>
      </c>
    </row>
    <row r="174" spans="1:13">
      <c r="E174" s="21">
        <f t="shared" si="74"/>
        <v>174</v>
      </c>
      <c r="F174" s="9" t="s">
        <v>113</v>
      </c>
      <c r="L174" s="9" t="s">
        <v>134</v>
      </c>
      <c r="M174" s="21">
        <v>-90</v>
      </c>
    </row>
    <row r="175" spans="1:13">
      <c r="E175" s="21">
        <f t="shared" si="74"/>
        <v>175</v>
      </c>
      <c r="F175" s="9" t="s">
        <v>31</v>
      </c>
      <c r="G175" s="21">
        <v>5</v>
      </c>
      <c r="H175" s="21">
        <v>72</v>
      </c>
      <c r="L175" s="9" t="s">
        <v>134</v>
      </c>
      <c r="M175" s="21">
        <f t="shared" ref="M175" si="89">(G175*C166+(A166-1)*H175+H169*(B166-1))*-1</f>
        <v>-75</v>
      </c>
    </row>
    <row r="176" spans="1:13">
      <c r="E176" s="21">
        <f t="shared" si="74"/>
        <v>176</v>
      </c>
      <c r="F176" s="9" t="s">
        <v>30</v>
      </c>
      <c r="M176" s="21">
        <v>3</v>
      </c>
    </row>
    <row r="177" spans="1:13">
      <c r="A177" s="21">
        <f t="shared" ref="A177:A240" si="90">QUOTIENT( D177-1,G178*H178)+1</f>
        <v>1</v>
      </c>
      <c r="B177" s="21">
        <f t="shared" ref="B177" si="91">QUOTIENT( D177-1,G178)+1-(A177-1)*H178</f>
        <v>3</v>
      </c>
      <c r="C177" s="21">
        <f t="shared" ref="C177" si="92">D177-(B177-1)*G178-((A177-1)*G178*H178)</f>
        <v>4</v>
      </c>
      <c r="D177" s="21">
        <f>COUNT($D$11:$D176)+1</f>
        <v>16</v>
      </c>
    </row>
    <row r="178" spans="1:13">
      <c r="E178" s="21">
        <f t="shared" si="74"/>
        <v>178</v>
      </c>
      <c r="F178" s="9" t="s">
        <v>93</v>
      </c>
      <c r="G178" s="21">
        <v>6</v>
      </c>
      <c r="H178" s="21">
        <v>6</v>
      </c>
      <c r="I178" s="21">
        <v>5</v>
      </c>
      <c r="J178" s="9" t="s">
        <v>252</v>
      </c>
      <c r="M178" s="21">
        <f t="shared" ref="M178:M241" si="93">J178+D177</f>
        <v>20616</v>
      </c>
    </row>
    <row r="179" spans="1:13">
      <c r="E179" s="21">
        <f t="shared" si="74"/>
        <v>179</v>
      </c>
      <c r="F179" s="9" t="s">
        <v>142</v>
      </c>
      <c r="M179" s="21">
        <v>199107</v>
      </c>
    </row>
    <row r="180" spans="1:13">
      <c r="E180" s="21">
        <f t="shared" si="74"/>
        <v>180</v>
      </c>
      <c r="F180" s="9" t="s">
        <v>126</v>
      </c>
      <c r="G180" s="21">
        <v>5</v>
      </c>
      <c r="H180" s="21">
        <v>30</v>
      </c>
      <c r="M180" s="21">
        <f t="shared" ref="M180" si="94">(MOD(D177-1,G178*H178)+1)*G180+H180*(B177-1)</f>
        <v>140</v>
      </c>
    </row>
    <row r="181" spans="1:13">
      <c r="E181" s="21">
        <f t="shared" si="74"/>
        <v>181</v>
      </c>
      <c r="F181" s="9" t="s">
        <v>29</v>
      </c>
      <c r="M181" s="21" t="s">
        <v>246</v>
      </c>
    </row>
    <row r="182" spans="1:13">
      <c r="E182" s="21">
        <f t="shared" si="74"/>
        <v>182</v>
      </c>
      <c r="F182" s="9" t="s">
        <v>118</v>
      </c>
      <c r="M182" s="21" t="s">
        <v>248</v>
      </c>
    </row>
    <row r="183" spans="1:13">
      <c r="E183" s="21">
        <f t="shared" si="74"/>
        <v>183</v>
      </c>
      <c r="F183" s="9" t="s">
        <v>98</v>
      </c>
      <c r="K183" s="9" t="s">
        <v>137</v>
      </c>
      <c r="M183" s="21">
        <v>2</v>
      </c>
    </row>
    <row r="184" spans="1:13">
      <c r="E184" s="21">
        <f t="shared" si="74"/>
        <v>184</v>
      </c>
      <c r="F184" s="9" t="s">
        <v>175</v>
      </c>
      <c r="K184" s="9" t="s">
        <v>136</v>
      </c>
      <c r="M184" s="21" t="s">
        <v>250</v>
      </c>
    </row>
    <row r="185" spans="1:13">
      <c r="E185" s="21">
        <f t="shared" si="74"/>
        <v>185</v>
      </c>
      <c r="F185" s="9" t="s">
        <v>113</v>
      </c>
      <c r="L185" s="9" t="s">
        <v>134</v>
      </c>
      <c r="M185" s="21">
        <v>-90</v>
      </c>
    </row>
    <row r="186" spans="1:13">
      <c r="E186" s="21">
        <f t="shared" si="74"/>
        <v>186</v>
      </c>
      <c r="F186" s="9" t="s">
        <v>31</v>
      </c>
      <c r="G186" s="21">
        <v>5</v>
      </c>
      <c r="H186" s="21">
        <v>72</v>
      </c>
      <c r="L186" s="9" t="s">
        <v>134</v>
      </c>
      <c r="M186" s="21">
        <f t="shared" ref="M186" si="95">(G186*C177+(A177-1)*H186+H180*(B177-1))*-1</f>
        <v>-80</v>
      </c>
    </row>
    <row r="187" spans="1:13">
      <c r="E187" s="21">
        <f t="shared" si="74"/>
        <v>187</v>
      </c>
      <c r="F187" s="9" t="s">
        <v>30</v>
      </c>
      <c r="M187" s="21">
        <v>3</v>
      </c>
    </row>
    <row r="188" spans="1:13">
      <c r="A188" s="21">
        <f t="shared" ref="A188:A251" si="96">QUOTIENT( D188-1,G189*H189)+1</f>
        <v>1</v>
      </c>
      <c r="B188" s="21">
        <f t="shared" ref="B188" si="97">QUOTIENT( D188-1,G189)+1-(A188-1)*H189</f>
        <v>3</v>
      </c>
      <c r="C188" s="21">
        <f t="shared" ref="C188" si="98">D188-(B188-1)*G189-((A188-1)*G189*H189)</f>
        <v>5</v>
      </c>
      <c r="D188" s="21">
        <f>COUNT($D$11:$D187)+1</f>
        <v>17</v>
      </c>
    </row>
    <row r="189" spans="1:13">
      <c r="E189" s="21">
        <f t="shared" si="74"/>
        <v>189</v>
      </c>
      <c r="F189" s="9" t="s">
        <v>93</v>
      </c>
      <c r="G189" s="21">
        <v>6</v>
      </c>
      <c r="H189" s="21">
        <v>6</v>
      </c>
      <c r="I189" s="21">
        <v>5</v>
      </c>
      <c r="J189" s="9" t="s">
        <v>252</v>
      </c>
      <c r="M189" s="21">
        <f t="shared" ref="M189:M252" si="99">J189+D188</f>
        <v>20617</v>
      </c>
    </row>
    <row r="190" spans="1:13">
      <c r="E190" s="21">
        <f t="shared" si="74"/>
        <v>190</v>
      </c>
      <c r="F190" s="9" t="s">
        <v>142</v>
      </c>
      <c r="M190" s="21">
        <v>199107</v>
      </c>
    </row>
    <row r="191" spans="1:13">
      <c r="E191" s="21">
        <f t="shared" si="74"/>
        <v>191</v>
      </c>
      <c r="F191" s="9" t="s">
        <v>126</v>
      </c>
      <c r="G191" s="21">
        <v>5</v>
      </c>
      <c r="H191" s="21">
        <v>30</v>
      </c>
      <c r="M191" s="21">
        <f t="shared" ref="M191" si="100">(MOD(D188-1,G189*H189)+1)*G191+H191*(B188-1)</f>
        <v>145</v>
      </c>
    </row>
    <row r="192" spans="1:13">
      <c r="E192" s="21">
        <f t="shared" si="74"/>
        <v>192</v>
      </c>
      <c r="F192" s="9" t="s">
        <v>29</v>
      </c>
      <c r="M192" s="21" t="s">
        <v>246</v>
      </c>
    </row>
    <row r="193" spans="1:13">
      <c r="E193" s="21">
        <f t="shared" si="74"/>
        <v>193</v>
      </c>
      <c r="F193" s="9" t="s">
        <v>118</v>
      </c>
      <c r="M193" s="21" t="s">
        <v>248</v>
      </c>
    </row>
    <row r="194" spans="1:13">
      <c r="E194" s="21">
        <f t="shared" si="74"/>
        <v>194</v>
      </c>
      <c r="F194" s="9" t="s">
        <v>98</v>
      </c>
      <c r="K194" s="9" t="s">
        <v>137</v>
      </c>
      <c r="M194" s="21">
        <v>2</v>
      </c>
    </row>
    <row r="195" spans="1:13">
      <c r="E195" s="21">
        <f t="shared" si="74"/>
        <v>195</v>
      </c>
      <c r="F195" s="9" t="s">
        <v>175</v>
      </c>
      <c r="K195" s="9" t="s">
        <v>136</v>
      </c>
      <c r="M195" s="21" t="s">
        <v>250</v>
      </c>
    </row>
    <row r="196" spans="1:13">
      <c r="E196" s="21">
        <f t="shared" si="74"/>
        <v>196</v>
      </c>
      <c r="F196" s="9" t="s">
        <v>113</v>
      </c>
      <c r="L196" s="9" t="s">
        <v>134</v>
      </c>
      <c r="M196" s="21">
        <v>-90</v>
      </c>
    </row>
    <row r="197" spans="1:13">
      <c r="E197" s="21">
        <f t="shared" si="74"/>
        <v>197</v>
      </c>
      <c r="F197" s="9" t="s">
        <v>31</v>
      </c>
      <c r="G197" s="21">
        <v>5</v>
      </c>
      <c r="H197" s="21">
        <v>72</v>
      </c>
      <c r="L197" s="9" t="s">
        <v>134</v>
      </c>
      <c r="M197" s="21">
        <f t="shared" ref="M197" si="101">(G197*C188+(A188-1)*H197+H191*(B188-1))*-1</f>
        <v>-85</v>
      </c>
    </row>
    <row r="198" spans="1:13">
      <c r="E198" s="21">
        <f t="shared" si="74"/>
        <v>198</v>
      </c>
      <c r="F198" s="9" t="s">
        <v>30</v>
      </c>
      <c r="M198" s="21">
        <v>3</v>
      </c>
    </row>
    <row r="199" spans="1:13">
      <c r="A199" s="21">
        <f t="shared" ref="A199:A262" si="102">QUOTIENT( D199-1,G200*H200)+1</f>
        <v>1</v>
      </c>
      <c r="B199" s="21">
        <f t="shared" ref="B199" si="103">QUOTIENT( D199-1,G200)+1-(A199-1)*H200</f>
        <v>3</v>
      </c>
      <c r="C199" s="21">
        <f t="shared" ref="C199" si="104">D199-(B199-1)*G200-((A199-1)*G200*H200)</f>
        <v>6</v>
      </c>
      <c r="D199" s="21">
        <f>COUNT($D$11:$D198)+1</f>
        <v>18</v>
      </c>
    </row>
    <row r="200" spans="1:13">
      <c r="E200" s="21">
        <f t="shared" si="74"/>
        <v>200</v>
      </c>
      <c r="F200" s="9" t="s">
        <v>93</v>
      </c>
      <c r="G200" s="21">
        <v>6</v>
      </c>
      <c r="H200" s="21">
        <v>6</v>
      </c>
      <c r="I200" s="21">
        <v>5</v>
      </c>
      <c r="J200" s="9" t="s">
        <v>252</v>
      </c>
      <c r="M200" s="21">
        <f t="shared" ref="M200:M263" si="105">J200+D199</f>
        <v>20618</v>
      </c>
    </row>
    <row r="201" spans="1:13">
      <c r="E201" s="21">
        <f t="shared" si="74"/>
        <v>201</v>
      </c>
      <c r="F201" s="9" t="s">
        <v>142</v>
      </c>
      <c r="M201" s="21">
        <v>199107</v>
      </c>
    </row>
    <row r="202" spans="1:13">
      <c r="E202" s="21">
        <f t="shared" si="74"/>
        <v>202</v>
      </c>
      <c r="F202" s="9" t="s">
        <v>126</v>
      </c>
      <c r="G202" s="21">
        <v>5</v>
      </c>
      <c r="H202" s="21">
        <v>30</v>
      </c>
      <c r="M202" s="21">
        <f t="shared" ref="M202" si="106">(MOD(D199-1,G200*H200)+1)*G202+H202*(B199-1)</f>
        <v>150</v>
      </c>
    </row>
    <row r="203" spans="1:13">
      <c r="E203" s="21">
        <f t="shared" si="74"/>
        <v>203</v>
      </c>
      <c r="F203" s="9" t="s">
        <v>29</v>
      </c>
      <c r="M203" s="21" t="s">
        <v>246</v>
      </c>
    </row>
    <row r="204" spans="1:13">
      <c r="E204" s="21">
        <f t="shared" si="74"/>
        <v>204</v>
      </c>
      <c r="F204" s="9" t="s">
        <v>118</v>
      </c>
      <c r="M204" s="21" t="s">
        <v>248</v>
      </c>
    </row>
    <row r="205" spans="1:13">
      <c r="E205" s="21">
        <f t="shared" si="74"/>
        <v>205</v>
      </c>
      <c r="F205" s="9" t="s">
        <v>98</v>
      </c>
      <c r="K205" s="9" t="s">
        <v>137</v>
      </c>
      <c r="M205" s="21">
        <v>2</v>
      </c>
    </row>
    <row r="206" spans="1:13">
      <c r="E206" s="21">
        <f t="shared" si="74"/>
        <v>206</v>
      </c>
      <c r="F206" s="9" t="s">
        <v>175</v>
      </c>
      <c r="K206" s="9" t="s">
        <v>136</v>
      </c>
      <c r="M206" s="21" t="s">
        <v>250</v>
      </c>
    </row>
    <row r="207" spans="1:13">
      <c r="E207" s="21">
        <f t="shared" si="74"/>
        <v>207</v>
      </c>
      <c r="F207" s="9" t="s">
        <v>113</v>
      </c>
      <c r="L207" s="9" t="s">
        <v>134</v>
      </c>
      <c r="M207" s="21">
        <v>-90</v>
      </c>
    </row>
    <row r="208" spans="1:13">
      <c r="E208" s="21">
        <f t="shared" si="74"/>
        <v>208</v>
      </c>
      <c r="F208" s="9" t="s">
        <v>31</v>
      </c>
      <c r="G208" s="21">
        <v>5</v>
      </c>
      <c r="H208" s="21">
        <v>72</v>
      </c>
      <c r="L208" s="9" t="s">
        <v>134</v>
      </c>
      <c r="M208" s="21">
        <f t="shared" ref="M208" si="107">(G208*C199+(A199-1)*H208+H202*(B199-1))*-1</f>
        <v>-90</v>
      </c>
    </row>
    <row r="209" spans="1:13">
      <c r="E209" s="21">
        <f t="shared" ref="E209:E272" si="108">ROW(E209)</f>
        <v>209</v>
      </c>
      <c r="F209" s="9" t="s">
        <v>30</v>
      </c>
      <c r="M209" s="21">
        <v>3</v>
      </c>
    </row>
    <row r="210" spans="1:13">
      <c r="A210" s="21">
        <f t="shared" ref="A210:A273" si="109">QUOTIENT( D210-1,G211*H211)+1</f>
        <v>1</v>
      </c>
      <c r="B210" s="21">
        <f t="shared" ref="B210" si="110">QUOTIENT( D210-1,G211)+1-(A210-1)*H211</f>
        <v>4</v>
      </c>
      <c r="C210" s="21">
        <f t="shared" ref="C210" si="111">D210-(B210-1)*G211-((A210-1)*G211*H211)</f>
        <v>1</v>
      </c>
      <c r="D210" s="21">
        <f>COUNT($D$11:$D209)+1</f>
        <v>19</v>
      </c>
    </row>
    <row r="211" spans="1:13">
      <c r="E211" s="21">
        <f t="shared" ref="E211:E274" si="112">ROW(E211)</f>
        <v>211</v>
      </c>
      <c r="F211" s="9" t="s">
        <v>93</v>
      </c>
      <c r="G211" s="21">
        <v>6</v>
      </c>
      <c r="H211" s="21">
        <v>6</v>
      </c>
      <c r="I211" s="21">
        <v>5</v>
      </c>
      <c r="J211" s="9" t="s">
        <v>252</v>
      </c>
      <c r="M211" s="21">
        <f t="shared" ref="M211:M274" si="113">J211+D210</f>
        <v>20619</v>
      </c>
    </row>
    <row r="212" spans="1:13">
      <c r="E212" s="21">
        <f t="shared" si="112"/>
        <v>212</v>
      </c>
      <c r="F212" s="9" t="s">
        <v>142</v>
      </c>
      <c r="M212" s="21">
        <v>199107</v>
      </c>
    </row>
    <row r="213" spans="1:13">
      <c r="E213" s="21">
        <f t="shared" si="112"/>
        <v>213</v>
      </c>
      <c r="F213" s="9" t="s">
        <v>126</v>
      </c>
      <c r="G213" s="21">
        <v>5</v>
      </c>
      <c r="H213" s="21">
        <v>30</v>
      </c>
      <c r="M213" s="21">
        <f t="shared" ref="M213" si="114">(MOD(D210-1,G211*H211)+1)*G213+H213*(B210-1)</f>
        <v>185</v>
      </c>
    </row>
    <row r="214" spans="1:13">
      <c r="E214" s="21">
        <f t="shared" si="112"/>
        <v>214</v>
      </c>
      <c r="F214" s="9" t="s">
        <v>29</v>
      </c>
      <c r="M214" s="21" t="s">
        <v>246</v>
      </c>
    </row>
    <row r="215" spans="1:13">
      <c r="E215" s="21">
        <f t="shared" si="112"/>
        <v>215</v>
      </c>
      <c r="F215" s="9" t="s">
        <v>118</v>
      </c>
      <c r="M215" s="21" t="s">
        <v>248</v>
      </c>
    </row>
    <row r="216" spans="1:13">
      <c r="E216" s="21">
        <f t="shared" si="112"/>
        <v>216</v>
      </c>
      <c r="F216" s="9" t="s">
        <v>98</v>
      </c>
      <c r="K216" s="9" t="s">
        <v>137</v>
      </c>
      <c r="M216" s="21">
        <v>2</v>
      </c>
    </row>
    <row r="217" spans="1:13">
      <c r="E217" s="21">
        <f t="shared" si="112"/>
        <v>217</v>
      </c>
      <c r="F217" s="9" t="s">
        <v>175</v>
      </c>
      <c r="K217" s="9" t="s">
        <v>136</v>
      </c>
      <c r="M217" s="21" t="s">
        <v>250</v>
      </c>
    </row>
    <row r="218" spans="1:13">
      <c r="E218" s="21">
        <f t="shared" si="112"/>
        <v>218</v>
      </c>
      <c r="F218" s="9" t="s">
        <v>113</v>
      </c>
      <c r="L218" s="9" t="s">
        <v>134</v>
      </c>
      <c r="M218" s="21">
        <v>-90</v>
      </c>
    </row>
    <row r="219" spans="1:13">
      <c r="E219" s="21">
        <f t="shared" si="112"/>
        <v>219</v>
      </c>
      <c r="F219" s="9" t="s">
        <v>31</v>
      </c>
      <c r="G219" s="21">
        <v>5</v>
      </c>
      <c r="H219" s="21">
        <v>72</v>
      </c>
      <c r="L219" s="9" t="s">
        <v>134</v>
      </c>
      <c r="M219" s="21">
        <f t="shared" ref="M219" si="115">(G219*C210+(A210-1)*H219+H213*(B210-1))*-1</f>
        <v>-95</v>
      </c>
    </row>
    <row r="220" spans="1:13">
      <c r="E220" s="21">
        <f t="shared" si="112"/>
        <v>220</v>
      </c>
      <c r="F220" s="9" t="s">
        <v>30</v>
      </c>
      <c r="M220" s="21">
        <v>3</v>
      </c>
    </row>
    <row r="221" spans="1:13">
      <c r="A221" s="21">
        <f t="shared" ref="A221:A284" si="116">QUOTIENT( D221-1,G222*H222)+1</f>
        <v>1</v>
      </c>
      <c r="B221" s="21">
        <f t="shared" ref="B221" si="117">QUOTIENT( D221-1,G222)+1-(A221-1)*H222</f>
        <v>4</v>
      </c>
      <c r="C221" s="21">
        <f t="shared" ref="C221" si="118">D221-(B221-1)*G222-((A221-1)*G222*H222)</f>
        <v>2</v>
      </c>
      <c r="D221" s="21">
        <f>COUNT($D$11:$D220)+1</f>
        <v>20</v>
      </c>
    </row>
    <row r="222" spans="1:13">
      <c r="E222" s="21">
        <f t="shared" si="112"/>
        <v>222</v>
      </c>
      <c r="F222" s="9" t="s">
        <v>93</v>
      </c>
      <c r="G222" s="21">
        <v>6</v>
      </c>
      <c r="H222" s="21">
        <v>6</v>
      </c>
      <c r="I222" s="21">
        <v>5</v>
      </c>
      <c r="J222" s="9" t="s">
        <v>252</v>
      </c>
      <c r="M222" s="21">
        <f t="shared" ref="M222:M285" si="119">J222+D221</f>
        <v>20620</v>
      </c>
    </row>
    <row r="223" spans="1:13">
      <c r="E223" s="21">
        <f t="shared" si="112"/>
        <v>223</v>
      </c>
      <c r="F223" s="9" t="s">
        <v>142</v>
      </c>
      <c r="M223" s="21">
        <v>199107</v>
      </c>
    </row>
    <row r="224" spans="1:13">
      <c r="E224" s="21">
        <f t="shared" si="112"/>
        <v>224</v>
      </c>
      <c r="F224" s="9" t="s">
        <v>126</v>
      </c>
      <c r="G224" s="21">
        <v>5</v>
      </c>
      <c r="H224" s="21">
        <v>30</v>
      </c>
      <c r="M224" s="21">
        <f t="shared" ref="M224" si="120">(MOD(D221-1,G222*H222)+1)*G224+H224*(B221-1)</f>
        <v>190</v>
      </c>
    </row>
    <row r="225" spans="1:13">
      <c r="E225" s="21">
        <f t="shared" si="112"/>
        <v>225</v>
      </c>
      <c r="F225" s="9" t="s">
        <v>29</v>
      </c>
      <c r="M225" s="21" t="s">
        <v>246</v>
      </c>
    </row>
    <row r="226" spans="1:13">
      <c r="E226" s="21">
        <f t="shared" si="112"/>
        <v>226</v>
      </c>
      <c r="F226" s="9" t="s">
        <v>118</v>
      </c>
      <c r="M226" s="21" t="s">
        <v>248</v>
      </c>
    </row>
    <row r="227" spans="1:13">
      <c r="E227" s="21">
        <f t="shared" si="112"/>
        <v>227</v>
      </c>
      <c r="F227" s="9" t="s">
        <v>98</v>
      </c>
      <c r="K227" s="9" t="s">
        <v>137</v>
      </c>
      <c r="M227" s="21">
        <v>2</v>
      </c>
    </row>
    <row r="228" spans="1:13">
      <c r="E228" s="21">
        <f t="shared" si="112"/>
        <v>228</v>
      </c>
      <c r="F228" s="9" t="s">
        <v>175</v>
      </c>
      <c r="K228" s="9" t="s">
        <v>136</v>
      </c>
      <c r="M228" s="21" t="s">
        <v>250</v>
      </c>
    </row>
    <row r="229" spans="1:13">
      <c r="E229" s="21">
        <f t="shared" si="112"/>
        <v>229</v>
      </c>
      <c r="F229" s="9" t="s">
        <v>113</v>
      </c>
      <c r="L229" s="9" t="s">
        <v>134</v>
      </c>
      <c r="M229" s="21">
        <v>-90</v>
      </c>
    </row>
    <row r="230" spans="1:13">
      <c r="E230" s="21">
        <f t="shared" si="112"/>
        <v>230</v>
      </c>
      <c r="F230" s="9" t="s">
        <v>31</v>
      </c>
      <c r="G230" s="21">
        <v>5</v>
      </c>
      <c r="H230" s="21">
        <v>72</v>
      </c>
      <c r="L230" s="9" t="s">
        <v>134</v>
      </c>
      <c r="M230" s="21">
        <f t="shared" ref="M230" si="121">(G230*C221+(A221-1)*H230+H224*(B221-1))*-1</f>
        <v>-100</v>
      </c>
    </row>
    <row r="231" spans="1:13">
      <c r="E231" s="21">
        <f t="shared" si="112"/>
        <v>231</v>
      </c>
      <c r="F231" s="9" t="s">
        <v>30</v>
      </c>
      <c r="M231" s="21">
        <v>3</v>
      </c>
    </row>
    <row r="232" spans="1:13">
      <c r="A232" s="21">
        <f t="shared" ref="A232:A295" si="122">QUOTIENT( D232-1,G233*H233)+1</f>
        <v>1</v>
      </c>
      <c r="B232" s="21">
        <f t="shared" ref="B232" si="123">QUOTIENT( D232-1,G233)+1-(A232-1)*H233</f>
        <v>4</v>
      </c>
      <c r="C232" s="21">
        <f t="shared" ref="C232" si="124">D232-(B232-1)*G233-((A232-1)*G233*H233)</f>
        <v>3</v>
      </c>
      <c r="D232" s="21">
        <f>COUNT($D$11:$D231)+1</f>
        <v>21</v>
      </c>
    </row>
    <row r="233" spans="1:13">
      <c r="E233" s="21">
        <f t="shared" si="112"/>
        <v>233</v>
      </c>
      <c r="F233" s="9" t="s">
        <v>93</v>
      </c>
      <c r="G233" s="21">
        <v>6</v>
      </c>
      <c r="H233" s="21">
        <v>6</v>
      </c>
      <c r="I233" s="21">
        <v>5</v>
      </c>
      <c r="J233" s="9" t="s">
        <v>252</v>
      </c>
      <c r="M233" s="21">
        <f t="shared" ref="M233:M296" si="125">J233+D232</f>
        <v>20621</v>
      </c>
    </row>
    <row r="234" spans="1:13">
      <c r="E234" s="21">
        <f t="shared" si="112"/>
        <v>234</v>
      </c>
      <c r="F234" s="9" t="s">
        <v>142</v>
      </c>
      <c r="M234" s="21">
        <v>199107</v>
      </c>
    </row>
    <row r="235" spans="1:13">
      <c r="E235" s="21">
        <f t="shared" si="112"/>
        <v>235</v>
      </c>
      <c r="F235" s="9" t="s">
        <v>126</v>
      </c>
      <c r="G235" s="21">
        <v>5</v>
      </c>
      <c r="H235" s="21">
        <v>30</v>
      </c>
      <c r="M235" s="21">
        <f t="shared" ref="M235" si="126">(MOD(D232-1,G233*H233)+1)*G235+H235*(B232-1)</f>
        <v>195</v>
      </c>
    </row>
    <row r="236" spans="1:13">
      <c r="E236" s="21">
        <f t="shared" si="112"/>
        <v>236</v>
      </c>
      <c r="F236" s="9" t="s">
        <v>29</v>
      </c>
      <c r="M236" s="21" t="s">
        <v>246</v>
      </c>
    </row>
    <row r="237" spans="1:13">
      <c r="E237" s="21">
        <f t="shared" si="112"/>
        <v>237</v>
      </c>
      <c r="F237" s="9" t="s">
        <v>118</v>
      </c>
      <c r="M237" s="21" t="s">
        <v>248</v>
      </c>
    </row>
    <row r="238" spans="1:13">
      <c r="E238" s="21">
        <f t="shared" si="112"/>
        <v>238</v>
      </c>
      <c r="F238" s="9" t="s">
        <v>98</v>
      </c>
      <c r="K238" s="9" t="s">
        <v>137</v>
      </c>
      <c r="M238" s="21">
        <v>2</v>
      </c>
    </row>
    <row r="239" spans="1:13">
      <c r="E239" s="21">
        <f t="shared" si="112"/>
        <v>239</v>
      </c>
      <c r="F239" s="9" t="s">
        <v>175</v>
      </c>
      <c r="K239" s="9" t="s">
        <v>136</v>
      </c>
      <c r="M239" s="21" t="s">
        <v>250</v>
      </c>
    </row>
    <row r="240" spans="1:13">
      <c r="E240" s="21">
        <f t="shared" si="112"/>
        <v>240</v>
      </c>
      <c r="F240" s="9" t="s">
        <v>113</v>
      </c>
      <c r="L240" s="9" t="s">
        <v>134</v>
      </c>
      <c r="M240" s="21">
        <v>-90</v>
      </c>
    </row>
    <row r="241" spans="1:13">
      <c r="E241" s="21">
        <f t="shared" si="112"/>
        <v>241</v>
      </c>
      <c r="F241" s="9" t="s">
        <v>31</v>
      </c>
      <c r="G241" s="21">
        <v>5</v>
      </c>
      <c r="H241" s="21">
        <v>72</v>
      </c>
      <c r="L241" s="9" t="s">
        <v>134</v>
      </c>
      <c r="M241" s="21">
        <f t="shared" ref="M241" si="127">(G241*C232+(A232-1)*H241+H235*(B232-1))*-1</f>
        <v>-105</v>
      </c>
    </row>
    <row r="242" spans="1:13">
      <c r="E242" s="21">
        <f t="shared" si="112"/>
        <v>242</v>
      </c>
      <c r="F242" s="9" t="s">
        <v>30</v>
      </c>
      <c r="M242" s="21">
        <v>3</v>
      </c>
    </row>
    <row r="243" spans="1:13">
      <c r="A243" s="21">
        <f t="shared" ref="A243:A306" si="128">QUOTIENT( D243-1,G244*H244)+1</f>
        <v>1</v>
      </c>
      <c r="B243" s="21">
        <f t="shared" ref="B243" si="129">QUOTIENT( D243-1,G244)+1-(A243-1)*H244</f>
        <v>4</v>
      </c>
      <c r="C243" s="21">
        <f t="shared" ref="C243" si="130">D243-(B243-1)*G244-((A243-1)*G244*H244)</f>
        <v>4</v>
      </c>
      <c r="D243" s="21">
        <f>COUNT($D$11:$D242)+1</f>
        <v>22</v>
      </c>
    </row>
    <row r="244" spans="1:13">
      <c r="E244" s="21">
        <f t="shared" si="112"/>
        <v>244</v>
      </c>
      <c r="F244" s="9" t="s">
        <v>93</v>
      </c>
      <c r="G244" s="21">
        <v>6</v>
      </c>
      <c r="H244" s="21">
        <v>6</v>
      </c>
      <c r="I244" s="21">
        <v>5</v>
      </c>
      <c r="J244" s="9" t="s">
        <v>252</v>
      </c>
      <c r="M244" s="21">
        <f t="shared" ref="M244:M307" si="131">J244+D243</f>
        <v>20622</v>
      </c>
    </row>
    <row r="245" spans="1:13">
      <c r="E245" s="21">
        <f t="shared" si="112"/>
        <v>245</v>
      </c>
      <c r="F245" s="9" t="s">
        <v>142</v>
      </c>
      <c r="M245" s="21">
        <v>199107</v>
      </c>
    </row>
    <row r="246" spans="1:13">
      <c r="E246" s="21">
        <f t="shared" si="112"/>
        <v>246</v>
      </c>
      <c r="F246" s="9" t="s">
        <v>126</v>
      </c>
      <c r="G246" s="21">
        <v>5</v>
      </c>
      <c r="H246" s="21">
        <v>30</v>
      </c>
      <c r="M246" s="21">
        <f t="shared" ref="M246" si="132">(MOD(D243-1,G244*H244)+1)*G246+H246*(B243-1)</f>
        <v>200</v>
      </c>
    </row>
    <row r="247" spans="1:13">
      <c r="E247" s="21">
        <f t="shared" si="112"/>
        <v>247</v>
      </c>
      <c r="F247" s="9" t="s">
        <v>29</v>
      </c>
      <c r="M247" s="21" t="s">
        <v>246</v>
      </c>
    </row>
    <row r="248" spans="1:13">
      <c r="E248" s="21">
        <f t="shared" si="112"/>
        <v>248</v>
      </c>
      <c r="F248" s="9" t="s">
        <v>118</v>
      </c>
      <c r="M248" s="21" t="s">
        <v>248</v>
      </c>
    </row>
    <row r="249" spans="1:13">
      <c r="E249" s="21">
        <f t="shared" si="112"/>
        <v>249</v>
      </c>
      <c r="F249" s="9" t="s">
        <v>98</v>
      </c>
      <c r="K249" s="9" t="s">
        <v>137</v>
      </c>
      <c r="M249" s="21">
        <v>2</v>
      </c>
    </row>
    <row r="250" spans="1:13">
      <c r="E250" s="21">
        <f t="shared" si="112"/>
        <v>250</v>
      </c>
      <c r="F250" s="9" t="s">
        <v>175</v>
      </c>
      <c r="K250" s="9" t="s">
        <v>136</v>
      </c>
      <c r="M250" s="21" t="s">
        <v>250</v>
      </c>
    </row>
    <row r="251" spans="1:13">
      <c r="E251" s="21">
        <f t="shared" si="112"/>
        <v>251</v>
      </c>
      <c r="F251" s="9" t="s">
        <v>113</v>
      </c>
      <c r="L251" s="9" t="s">
        <v>134</v>
      </c>
      <c r="M251" s="21">
        <v>-90</v>
      </c>
    </row>
    <row r="252" spans="1:13">
      <c r="E252" s="21">
        <f t="shared" si="112"/>
        <v>252</v>
      </c>
      <c r="F252" s="9" t="s">
        <v>31</v>
      </c>
      <c r="G252" s="21">
        <v>5</v>
      </c>
      <c r="H252" s="21">
        <v>72</v>
      </c>
      <c r="L252" s="9" t="s">
        <v>134</v>
      </c>
      <c r="M252" s="21">
        <f t="shared" ref="M252" si="133">(G252*C243+(A243-1)*H252+H246*(B243-1))*-1</f>
        <v>-110</v>
      </c>
    </row>
    <row r="253" spans="1:13">
      <c r="E253" s="21">
        <f t="shared" si="112"/>
        <v>253</v>
      </c>
      <c r="F253" s="9" t="s">
        <v>30</v>
      </c>
      <c r="M253" s="21">
        <v>3</v>
      </c>
    </row>
    <row r="254" spans="1:13">
      <c r="A254" s="21">
        <f t="shared" ref="A254:A317" si="134">QUOTIENT( D254-1,G255*H255)+1</f>
        <v>1</v>
      </c>
      <c r="B254" s="21">
        <f t="shared" ref="B254" si="135">QUOTIENT( D254-1,G255)+1-(A254-1)*H255</f>
        <v>4</v>
      </c>
      <c r="C254" s="21">
        <f t="shared" ref="C254" si="136">D254-(B254-1)*G255-((A254-1)*G255*H255)</f>
        <v>5</v>
      </c>
      <c r="D254" s="21">
        <f>COUNT($D$11:$D253)+1</f>
        <v>23</v>
      </c>
    </row>
    <row r="255" spans="1:13">
      <c r="E255" s="21">
        <f t="shared" si="112"/>
        <v>255</v>
      </c>
      <c r="F255" s="9" t="s">
        <v>93</v>
      </c>
      <c r="G255" s="21">
        <v>6</v>
      </c>
      <c r="H255" s="21">
        <v>6</v>
      </c>
      <c r="I255" s="21">
        <v>5</v>
      </c>
      <c r="J255" s="9" t="s">
        <v>252</v>
      </c>
      <c r="M255" s="21">
        <f t="shared" ref="M255:M318" si="137">J255+D254</f>
        <v>20623</v>
      </c>
    </row>
    <row r="256" spans="1:13">
      <c r="E256" s="21">
        <f t="shared" si="112"/>
        <v>256</v>
      </c>
      <c r="F256" s="9" t="s">
        <v>142</v>
      </c>
      <c r="M256" s="21">
        <v>199107</v>
      </c>
    </row>
    <row r="257" spans="1:13">
      <c r="E257" s="21">
        <f t="shared" si="112"/>
        <v>257</v>
      </c>
      <c r="F257" s="9" t="s">
        <v>126</v>
      </c>
      <c r="G257" s="21">
        <v>5</v>
      </c>
      <c r="H257" s="21">
        <v>30</v>
      </c>
      <c r="M257" s="21">
        <f t="shared" ref="M257" si="138">(MOD(D254-1,G255*H255)+1)*G257+H257*(B254-1)</f>
        <v>205</v>
      </c>
    </row>
    <row r="258" spans="1:13">
      <c r="E258" s="21">
        <f t="shared" si="112"/>
        <v>258</v>
      </c>
      <c r="F258" s="9" t="s">
        <v>29</v>
      </c>
      <c r="M258" s="21" t="s">
        <v>246</v>
      </c>
    </row>
    <row r="259" spans="1:13">
      <c r="E259" s="21">
        <f t="shared" si="112"/>
        <v>259</v>
      </c>
      <c r="F259" s="9" t="s">
        <v>118</v>
      </c>
      <c r="M259" s="21" t="s">
        <v>248</v>
      </c>
    </row>
    <row r="260" spans="1:13">
      <c r="E260" s="21">
        <f t="shared" si="112"/>
        <v>260</v>
      </c>
      <c r="F260" s="9" t="s">
        <v>98</v>
      </c>
      <c r="K260" s="9" t="s">
        <v>137</v>
      </c>
      <c r="M260" s="21">
        <v>2</v>
      </c>
    </row>
    <row r="261" spans="1:13">
      <c r="E261" s="21">
        <f t="shared" si="112"/>
        <v>261</v>
      </c>
      <c r="F261" s="9" t="s">
        <v>175</v>
      </c>
      <c r="K261" s="9" t="s">
        <v>136</v>
      </c>
      <c r="M261" s="21" t="s">
        <v>250</v>
      </c>
    </row>
    <row r="262" spans="1:13">
      <c r="E262" s="21">
        <f t="shared" si="112"/>
        <v>262</v>
      </c>
      <c r="F262" s="9" t="s">
        <v>113</v>
      </c>
      <c r="L262" s="9" t="s">
        <v>134</v>
      </c>
      <c r="M262" s="21">
        <v>-90</v>
      </c>
    </row>
    <row r="263" spans="1:13">
      <c r="E263" s="21">
        <f t="shared" si="112"/>
        <v>263</v>
      </c>
      <c r="F263" s="9" t="s">
        <v>31</v>
      </c>
      <c r="G263" s="21">
        <v>5</v>
      </c>
      <c r="H263" s="21">
        <v>72</v>
      </c>
      <c r="L263" s="9" t="s">
        <v>134</v>
      </c>
      <c r="M263" s="21">
        <f t="shared" ref="M263" si="139">(G263*C254+(A254-1)*H263+H257*(B254-1))*-1</f>
        <v>-115</v>
      </c>
    </row>
    <row r="264" spans="1:13">
      <c r="E264" s="21">
        <f t="shared" si="112"/>
        <v>264</v>
      </c>
      <c r="F264" s="9" t="s">
        <v>30</v>
      </c>
      <c r="M264" s="21">
        <v>3</v>
      </c>
    </row>
    <row r="265" spans="1:13">
      <c r="A265" s="21">
        <f t="shared" ref="A265:A328" si="140">QUOTIENT( D265-1,G266*H266)+1</f>
        <v>1</v>
      </c>
      <c r="B265" s="21">
        <f t="shared" ref="B265" si="141">QUOTIENT( D265-1,G266)+1-(A265-1)*H266</f>
        <v>4</v>
      </c>
      <c r="C265" s="21">
        <f t="shared" ref="C265" si="142">D265-(B265-1)*G266-((A265-1)*G266*H266)</f>
        <v>6</v>
      </c>
      <c r="D265" s="21">
        <f>COUNT($D$11:$D264)+1</f>
        <v>24</v>
      </c>
    </row>
    <row r="266" spans="1:13">
      <c r="E266" s="21">
        <f t="shared" si="112"/>
        <v>266</v>
      </c>
      <c r="F266" s="9" t="s">
        <v>93</v>
      </c>
      <c r="G266" s="21">
        <v>6</v>
      </c>
      <c r="H266" s="21">
        <v>6</v>
      </c>
      <c r="I266" s="21">
        <v>5</v>
      </c>
      <c r="J266" s="9" t="s">
        <v>252</v>
      </c>
      <c r="M266" s="21">
        <f t="shared" ref="M266:M329" si="143">J266+D265</f>
        <v>20624</v>
      </c>
    </row>
    <row r="267" spans="1:13">
      <c r="E267" s="21">
        <f t="shared" si="112"/>
        <v>267</v>
      </c>
      <c r="F267" s="9" t="s">
        <v>142</v>
      </c>
      <c r="M267" s="21">
        <v>199107</v>
      </c>
    </row>
    <row r="268" spans="1:13">
      <c r="E268" s="21">
        <f t="shared" si="112"/>
        <v>268</v>
      </c>
      <c r="F268" s="9" t="s">
        <v>126</v>
      </c>
      <c r="G268" s="21">
        <v>5</v>
      </c>
      <c r="H268" s="21">
        <v>30</v>
      </c>
      <c r="M268" s="21">
        <f t="shared" ref="M268" si="144">(MOD(D265-1,G266*H266)+1)*G268+H268*(B265-1)</f>
        <v>210</v>
      </c>
    </row>
    <row r="269" spans="1:13">
      <c r="E269" s="21">
        <f t="shared" si="112"/>
        <v>269</v>
      </c>
      <c r="F269" s="9" t="s">
        <v>29</v>
      </c>
      <c r="M269" s="21" t="s">
        <v>246</v>
      </c>
    </row>
    <row r="270" spans="1:13">
      <c r="E270" s="21">
        <f t="shared" si="112"/>
        <v>270</v>
      </c>
      <c r="F270" s="9" t="s">
        <v>118</v>
      </c>
      <c r="M270" s="21" t="s">
        <v>248</v>
      </c>
    </row>
    <row r="271" spans="1:13">
      <c r="E271" s="21">
        <f t="shared" si="112"/>
        <v>271</v>
      </c>
      <c r="F271" s="9" t="s">
        <v>98</v>
      </c>
      <c r="K271" s="9" t="s">
        <v>137</v>
      </c>
      <c r="M271" s="21">
        <v>2</v>
      </c>
    </row>
    <row r="272" spans="1:13">
      <c r="E272" s="21">
        <f t="shared" si="112"/>
        <v>272</v>
      </c>
      <c r="F272" s="9" t="s">
        <v>175</v>
      </c>
      <c r="K272" s="9" t="s">
        <v>136</v>
      </c>
      <c r="M272" s="21" t="s">
        <v>250</v>
      </c>
    </row>
    <row r="273" spans="1:13">
      <c r="E273" s="21">
        <f t="shared" si="112"/>
        <v>273</v>
      </c>
      <c r="F273" s="9" t="s">
        <v>113</v>
      </c>
      <c r="L273" s="9" t="s">
        <v>134</v>
      </c>
      <c r="M273" s="21">
        <v>-90</v>
      </c>
    </row>
    <row r="274" spans="1:13">
      <c r="E274" s="21">
        <f t="shared" si="112"/>
        <v>274</v>
      </c>
      <c r="F274" s="9" t="s">
        <v>31</v>
      </c>
      <c r="G274" s="21">
        <v>5</v>
      </c>
      <c r="H274" s="21">
        <v>72</v>
      </c>
      <c r="L274" s="9" t="s">
        <v>134</v>
      </c>
      <c r="M274" s="21">
        <f t="shared" ref="M274" si="145">(G274*C265+(A265-1)*H274+H268*(B265-1))*-1</f>
        <v>-120</v>
      </c>
    </row>
    <row r="275" spans="1:13">
      <c r="E275" s="21">
        <f t="shared" ref="E275:E338" si="146">ROW(E275)</f>
        <v>275</v>
      </c>
      <c r="F275" s="9" t="s">
        <v>30</v>
      </c>
      <c r="M275" s="21">
        <v>3</v>
      </c>
    </row>
    <row r="276" spans="1:13">
      <c r="A276" s="21">
        <f t="shared" ref="A276:A339" si="147">QUOTIENT( D276-1,G277*H277)+1</f>
        <v>1</v>
      </c>
      <c r="B276" s="21">
        <f t="shared" ref="B276" si="148">QUOTIENT( D276-1,G277)+1-(A276-1)*H277</f>
        <v>5</v>
      </c>
      <c r="C276" s="21">
        <f t="shared" ref="C276" si="149">D276-(B276-1)*G277-((A276-1)*G277*H277)</f>
        <v>1</v>
      </c>
      <c r="D276" s="21">
        <f>COUNT($D$11:$D275)+1</f>
        <v>25</v>
      </c>
    </row>
    <row r="277" spans="1:13">
      <c r="E277" s="21">
        <f t="shared" ref="E277:E340" si="150">ROW(E277)</f>
        <v>277</v>
      </c>
      <c r="F277" s="9" t="s">
        <v>93</v>
      </c>
      <c r="G277" s="21">
        <v>6</v>
      </c>
      <c r="H277" s="21">
        <v>6</v>
      </c>
      <c r="I277" s="21">
        <v>5</v>
      </c>
      <c r="J277" s="9" t="s">
        <v>252</v>
      </c>
      <c r="M277" s="21">
        <f t="shared" ref="M277:M340" si="151">J277+D276</f>
        <v>20625</v>
      </c>
    </row>
    <row r="278" spans="1:13">
      <c r="E278" s="21">
        <f t="shared" si="150"/>
        <v>278</v>
      </c>
      <c r="F278" s="9" t="s">
        <v>142</v>
      </c>
      <c r="M278" s="21">
        <v>199107</v>
      </c>
    </row>
    <row r="279" spans="1:13">
      <c r="E279" s="21">
        <f t="shared" si="150"/>
        <v>279</v>
      </c>
      <c r="F279" s="9" t="s">
        <v>126</v>
      </c>
      <c r="G279" s="21">
        <v>5</v>
      </c>
      <c r="H279" s="21">
        <v>30</v>
      </c>
      <c r="M279" s="21">
        <f t="shared" ref="M279" si="152">(MOD(D276-1,G277*H277)+1)*G279+H279*(B276-1)</f>
        <v>245</v>
      </c>
    </row>
    <row r="280" spans="1:13">
      <c r="E280" s="21">
        <f t="shared" si="150"/>
        <v>280</v>
      </c>
      <c r="F280" s="9" t="s">
        <v>29</v>
      </c>
      <c r="M280" s="21" t="s">
        <v>246</v>
      </c>
    </row>
    <row r="281" spans="1:13">
      <c r="E281" s="21">
        <f t="shared" si="150"/>
        <v>281</v>
      </c>
      <c r="F281" s="9" t="s">
        <v>118</v>
      </c>
      <c r="M281" s="21" t="s">
        <v>248</v>
      </c>
    </row>
    <row r="282" spans="1:13">
      <c r="E282" s="21">
        <f t="shared" si="150"/>
        <v>282</v>
      </c>
      <c r="F282" s="9" t="s">
        <v>98</v>
      </c>
      <c r="K282" s="9" t="s">
        <v>137</v>
      </c>
      <c r="M282" s="21">
        <v>2</v>
      </c>
    </row>
    <row r="283" spans="1:13">
      <c r="E283" s="21">
        <f t="shared" si="150"/>
        <v>283</v>
      </c>
      <c r="F283" s="9" t="s">
        <v>175</v>
      </c>
      <c r="K283" s="9" t="s">
        <v>136</v>
      </c>
      <c r="M283" s="21" t="s">
        <v>250</v>
      </c>
    </row>
    <row r="284" spans="1:13">
      <c r="E284" s="21">
        <f t="shared" si="150"/>
        <v>284</v>
      </c>
      <c r="F284" s="9" t="s">
        <v>113</v>
      </c>
      <c r="L284" s="9" t="s">
        <v>134</v>
      </c>
      <c r="M284" s="21">
        <v>-90</v>
      </c>
    </row>
    <row r="285" spans="1:13">
      <c r="E285" s="21">
        <f t="shared" si="150"/>
        <v>285</v>
      </c>
      <c r="F285" s="9" t="s">
        <v>31</v>
      </c>
      <c r="G285" s="21">
        <v>5</v>
      </c>
      <c r="H285" s="21">
        <v>72</v>
      </c>
      <c r="L285" s="9" t="s">
        <v>134</v>
      </c>
      <c r="M285" s="21">
        <f t="shared" ref="M285" si="153">(G285*C276+(A276-1)*H285+H279*(B276-1))*-1</f>
        <v>-125</v>
      </c>
    </row>
    <row r="286" spans="1:13">
      <c r="E286" s="21">
        <f t="shared" si="150"/>
        <v>286</v>
      </c>
      <c r="F286" s="9" t="s">
        <v>30</v>
      </c>
      <c r="M286" s="21">
        <v>3</v>
      </c>
    </row>
    <row r="287" spans="1:13">
      <c r="A287" s="21">
        <f t="shared" ref="A287:A350" si="154">QUOTIENT( D287-1,G288*H288)+1</f>
        <v>1</v>
      </c>
      <c r="B287" s="21">
        <f t="shared" ref="B287" si="155">QUOTIENT( D287-1,G288)+1-(A287-1)*H288</f>
        <v>5</v>
      </c>
      <c r="C287" s="21">
        <f t="shared" ref="C287" si="156">D287-(B287-1)*G288-((A287-1)*G288*H288)</f>
        <v>2</v>
      </c>
      <c r="D287" s="21">
        <f>COUNT($D$11:$D286)+1</f>
        <v>26</v>
      </c>
    </row>
    <row r="288" spans="1:13">
      <c r="E288" s="21">
        <f t="shared" si="150"/>
        <v>288</v>
      </c>
      <c r="F288" s="9" t="s">
        <v>93</v>
      </c>
      <c r="G288" s="21">
        <v>6</v>
      </c>
      <c r="H288" s="21">
        <v>6</v>
      </c>
      <c r="I288" s="21">
        <v>5</v>
      </c>
      <c r="J288" s="9" t="s">
        <v>252</v>
      </c>
      <c r="M288" s="21">
        <f t="shared" ref="M288:M351" si="157">J288+D287</f>
        <v>20626</v>
      </c>
    </row>
    <row r="289" spans="1:13">
      <c r="E289" s="21">
        <f t="shared" si="150"/>
        <v>289</v>
      </c>
      <c r="F289" s="9" t="s">
        <v>142</v>
      </c>
      <c r="M289" s="21">
        <v>199107</v>
      </c>
    </row>
    <row r="290" spans="1:13">
      <c r="E290" s="21">
        <f t="shared" si="150"/>
        <v>290</v>
      </c>
      <c r="F290" s="9" t="s">
        <v>126</v>
      </c>
      <c r="G290" s="21">
        <v>5</v>
      </c>
      <c r="H290" s="21">
        <v>30</v>
      </c>
      <c r="M290" s="21">
        <f t="shared" ref="M290" si="158">(MOD(D287-1,G288*H288)+1)*G290+H290*(B287-1)</f>
        <v>250</v>
      </c>
    </row>
    <row r="291" spans="1:13">
      <c r="E291" s="21">
        <f t="shared" si="150"/>
        <v>291</v>
      </c>
      <c r="F291" s="9" t="s">
        <v>29</v>
      </c>
      <c r="M291" s="21" t="s">
        <v>246</v>
      </c>
    </row>
    <row r="292" spans="1:13">
      <c r="E292" s="21">
        <f t="shared" si="150"/>
        <v>292</v>
      </c>
      <c r="F292" s="9" t="s">
        <v>118</v>
      </c>
      <c r="M292" s="21" t="s">
        <v>248</v>
      </c>
    </row>
    <row r="293" spans="1:13">
      <c r="E293" s="21">
        <f t="shared" si="150"/>
        <v>293</v>
      </c>
      <c r="F293" s="9" t="s">
        <v>98</v>
      </c>
      <c r="K293" s="9" t="s">
        <v>137</v>
      </c>
      <c r="M293" s="21">
        <v>2</v>
      </c>
    </row>
    <row r="294" spans="1:13">
      <c r="E294" s="21">
        <f t="shared" si="150"/>
        <v>294</v>
      </c>
      <c r="F294" s="9" t="s">
        <v>175</v>
      </c>
      <c r="K294" s="9" t="s">
        <v>136</v>
      </c>
      <c r="M294" s="21" t="s">
        <v>250</v>
      </c>
    </row>
    <row r="295" spans="1:13">
      <c r="E295" s="21">
        <f t="shared" si="150"/>
        <v>295</v>
      </c>
      <c r="F295" s="9" t="s">
        <v>113</v>
      </c>
      <c r="L295" s="9" t="s">
        <v>134</v>
      </c>
      <c r="M295" s="21">
        <v>-90</v>
      </c>
    </row>
    <row r="296" spans="1:13">
      <c r="E296" s="21">
        <f t="shared" si="150"/>
        <v>296</v>
      </c>
      <c r="F296" s="9" t="s">
        <v>31</v>
      </c>
      <c r="G296" s="21">
        <v>5</v>
      </c>
      <c r="H296" s="21">
        <v>72</v>
      </c>
      <c r="L296" s="9" t="s">
        <v>134</v>
      </c>
      <c r="M296" s="21">
        <f t="shared" ref="M296" si="159">(G296*C287+(A287-1)*H296+H290*(B287-1))*-1</f>
        <v>-130</v>
      </c>
    </row>
    <row r="297" spans="1:13">
      <c r="E297" s="21">
        <f t="shared" si="150"/>
        <v>297</v>
      </c>
      <c r="F297" s="9" t="s">
        <v>30</v>
      </c>
      <c r="M297" s="21">
        <v>3</v>
      </c>
    </row>
    <row r="298" spans="1:13">
      <c r="A298" s="21">
        <f t="shared" ref="A298:A361" si="160">QUOTIENT( D298-1,G299*H299)+1</f>
        <v>1</v>
      </c>
      <c r="B298" s="21">
        <f t="shared" ref="B298" si="161">QUOTIENT( D298-1,G299)+1-(A298-1)*H299</f>
        <v>5</v>
      </c>
      <c r="C298" s="21">
        <f t="shared" ref="C298" si="162">D298-(B298-1)*G299-((A298-1)*G299*H299)</f>
        <v>3</v>
      </c>
      <c r="D298" s="21">
        <f>COUNT($D$11:$D297)+1</f>
        <v>27</v>
      </c>
    </row>
    <row r="299" spans="1:13">
      <c r="E299" s="21">
        <f t="shared" si="150"/>
        <v>299</v>
      </c>
      <c r="F299" s="9" t="s">
        <v>93</v>
      </c>
      <c r="G299" s="21">
        <v>6</v>
      </c>
      <c r="H299" s="21">
        <v>6</v>
      </c>
      <c r="I299" s="21">
        <v>5</v>
      </c>
      <c r="J299" s="9" t="s">
        <v>252</v>
      </c>
      <c r="M299" s="21">
        <f t="shared" ref="M299:M362" si="163">J299+D298</f>
        <v>20627</v>
      </c>
    </row>
    <row r="300" spans="1:13">
      <c r="E300" s="21">
        <f t="shared" si="150"/>
        <v>300</v>
      </c>
      <c r="F300" s="9" t="s">
        <v>142</v>
      </c>
      <c r="M300" s="21">
        <v>199107</v>
      </c>
    </row>
    <row r="301" spans="1:13">
      <c r="E301" s="21">
        <f t="shared" si="150"/>
        <v>301</v>
      </c>
      <c r="F301" s="9" t="s">
        <v>126</v>
      </c>
      <c r="G301" s="21">
        <v>5</v>
      </c>
      <c r="H301" s="21">
        <v>30</v>
      </c>
      <c r="M301" s="21">
        <f t="shared" ref="M301" si="164">(MOD(D298-1,G299*H299)+1)*G301+H301*(B298-1)</f>
        <v>255</v>
      </c>
    </row>
    <row r="302" spans="1:13">
      <c r="E302" s="21">
        <f t="shared" si="150"/>
        <v>302</v>
      </c>
      <c r="F302" s="9" t="s">
        <v>29</v>
      </c>
      <c r="M302" s="21" t="s">
        <v>246</v>
      </c>
    </row>
    <row r="303" spans="1:13">
      <c r="E303" s="21">
        <f t="shared" si="150"/>
        <v>303</v>
      </c>
      <c r="F303" s="9" t="s">
        <v>118</v>
      </c>
      <c r="M303" s="21" t="s">
        <v>248</v>
      </c>
    </row>
    <row r="304" spans="1:13">
      <c r="E304" s="21">
        <f t="shared" si="150"/>
        <v>304</v>
      </c>
      <c r="F304" s="9" t="s">
        <v>98</v>
      </c>
      <c r="K304" s="9" t="s">
        <v>137</v>
      </c>
      <c r="M304" s="21">
        <v>2</v>
      </c>
    </row>
    <row r="305" spans="1:13">
      <c r="E305" s="21">
        <f t="shared" si="150"/>
        <v>305</v>
      </c>
      <c r="F305" s="9" t="s">
        <v>175</v>
      </c>
      <c r="K305" s="9" t="s">
        <v>136</v>
      </c>
      <c r="M305" s="21" t="s">
        <v>250</v>
      </c>
    </row>
    <row r="306" spans="1:13">
      <c r="E306" s="21">
        <f t="shared" si="150"/>
        <v>306</v>
      </c>
      <c r="F306" s="9" t="s">
        <v>113</v>
      </c>
      <c r="L306" s="9" t="s">
        <v>134</v>
      </c>
      <c r="M306" s="21">
        <v>-90</v>
      </c>
    </row>
    <row r="307" spans="1:13">
      <c r="E307" s="21">
        <f t="shared" si="150"/>
        <v>307</v>
      </c>
      <c r="F307" s="9" t="s">
        <v>31</v>
      </c>
      <c r="G307" s="21">
        <v>5</v>
      </c>
      <c r="H307" s="21">
        <v>72</v>
      </c>
      <c r="L307" s="9" t="s">
        <v>134</v>
      </c>
      <c r="M307" s="21">
        <f t="shared" ref="M307" si="165">(G307*C298+(A298-1)*H307+H301*(B298-1))*-1</f>
        <v>-135</v>
      </c>
    </row>
    <row r="308" spans="1:13">
      <c r="E308" s="21">
        <f t="shared" si="150"/>
        <v>308</v>
      </c>
      <c r="F308" s="9" t="s">
        <v>30</v>
      </c>
      <c r="M308" s="21">
        <v>3</v>
      </c>
    </row>
    <row r="309" spans="1:13">
      <c r="A309" s="21">
        <f t="shared" ref="A309:A372" si="166">QUOTIENT( D309-1,G310*H310)+1</f>
        <v>1</v>
      </c>
      <c r="B309" s="21">
        <f t="shared" ref="B309" si="167">QUOTIENT( D309-1,G310)+1-(A309-1)*H310</f>
        <v>5</v>
      </c>
      <c r="C309" s="21">
        <f t="shared" ref="C309" si="168">D309-(B309-1)*G310-((A309-1)*G310*H310)</f>
        <v>4</v>
      </c>
      <c r="D309" s="21">
        <f>COUNT($D$11:$D308)+1</f>
        <v>28</v>
      </c>
    </row>
    <row r="310" spans="1:13">
      <c r="E310" s="21">
        <f t="shared" si="150"/>
        <v>310</v>
      </c>
      <c r="F310" s="9" t="s">
        <v>93</v>
      </c>
      <c r="G310" s="21">
        <v>6</v>
      </c>
      <c r="H310" s="21">
        <v>6</v>
      </c>
      <c r="I310" s="21">
        <v>5</v>
      </c>
      <c r="J310" s="9" t="s">
        <v>252</v>
      </c>
      <c r="M310" s="21">
        <f t="shared" ref="M310:M373" si="169">J310+D309</f>
        <v>20628</v>
      </c>
    </row>
    <row r="311" spans="1:13">
      <c r="E311" s="21">
        <f t="shared" si="150"/>
        <v>311</v>
      </c>
      <c r="F311" s="9" t="s">
        <v>142</v>
      </c>
      <c r="M311" s="21">
        <v>199107</v>
      </c>
    </row>
    <row r="312" spans="1:13">
      <c r="E312" s="21">
        <f t="shared" si="150"/>
        <v>312</v>
      </c>
      <c r="F312" s="9" t="s">
        <v>126</v>
      </c>
      <c r="G312" s="21">
        <v>5</v>
      </c>
      <c r="H312" s="21">
        <v>30</v>
      </c>
      <c r="M312" s="21">
        <f t="shared" ref="M312" si="170">(MOD(D309-1,G310*H310)+1)*G312+H312*(B309-1)</f>
        <v>260</v>
      </c>
    </row>
    <row r="313" spans="1:13">
      <c r="E313" s="21">
        <f t="shared" si="150"/>
        <v>313</v>
      </c>
      <c r="F313" s="9" t="s">
        <v>29</v>
      </c>
      <c r="M313" s="21" t="s">
        <v>246</v>
      </c>
    </row>
    <row r="314" spans="1:13">
      <c r="E314" s="21">
        <f t="shared" si="150"/>
        <v>314</v>
      </c>
      <c r="F314" s="9" t="s">
        <v>118</v>
      </c>
      <c r="M314" s="21" t="s">
        <v>248</v>
      </c>
    </row>
    <row r="315" spans="1:13">
      <c r="E315" s="21">
        <f t="shared" si="150"/>
        <v>315</v>
      </c>
      <c r="F315" s="9" t="s">
        <v>98</v>
      </c>
      <c r="K315" s="9" t="s">
        <v>137</v>
      </c>
      <c r="M315" s="21">
        <v>2</v>
      </c>
    </row>
    <row r="316" spans="1:13">
      <c r="E316" s="21">
        <f t="shared" si="150"/>
        <v>316</v>
      </c>
      <c r="F316" s="9" t="s">
        <v>175</v>
      </c>
      <c r="K316" s="9" t="s">
        <v>136</v>
      </c>
      <c r="M316" s="21" t="s">
        <v>250</v>
      </c>
    </row>
    <row r="317" spans="1:13">
      <c r="E317" s="21">
        <f t="shared" si="150"/>
        <v>317</v>
      </c>
      <c r="F317" s="9" t="s">
        <v>113</v>
      </c>
      <c r="L317" s="9" t="s">
        <v>134</v>
      </c>
      <c r="M317" s="21">
        <v>-90</v>
      </c>
    </row>
    <row r="318" spans="1:13">
      <c r="E318" s="21">
        <f t="shared" si="150"/>
        <v>318</v>
      </c>
      <c r="F318" s="9" t="s">
        <v>31</v>
      </c>
      <c r="G318" s="21">
        <v>5</v>
      </c>
      <c r="H318" s="21">
        <v>72</v>
      </c>
      <c r="L318" s="9" t="s">
        <v>134</v>
      </c>
      <c r="M318" s="21">
        <f t="shared" ref="M318" si="171">(G318*C309+(A309-1)*H318+H312*(B309-1))*-1</f>
        <v>-140</v>
      </c>
    </row>
    <row r="319" spans="1:13">
      <c r="E319" s="21">
        <f t="shared" si="150"/>
        <v>319</v>
      </c>
      <c r="F319" s="9" t="s">
        <v>30</v>
      </c>
      <c r="M319" s="21">
        <v>3</v>
      </c>
    </row>
    <row r="320" spans="1:13">
      <c r="A320" s="21">
        <f t="shared" ref="A320:A383" si="172">QUOTIENT( D320-1,G321*H321)+1</f>
        <v>1</v>
      </c>
      <c r="B320" s="21">
        <f t="shared" ref="B320" si="173">QUOTIENT( D320-1,G321)+1-(A320-1)*H321</f>
        <v>5</v>
      </c>
      <c r="C320" s="21">
        <f t="shared" ref="C320" si="174">D320-(B320-1)*G321-((A320-1)*G321*H321)</f>
        <v>5</v>
      </c>
      <c r="D320" s="21">
        <f>COUNT($D$11:$D319)+1</f>
        <v>29</v>
      </c>
    </row>
    <row r="321" spans="1:13">
      <c r="E321" s="21">
        <f t="shared" si="150"/>
        <v>321</v>
      </c>
      <c r="F321" s="9" t="s">
        <v>93</v>
      </c>
      <c r="G321" s="21">
        <v>6</v>
      </c>
      <c r="H321" s="21">
        <v>6</v>
      </c>
      <c r="I321" s="21">
        <v>5</v>
      </c>
      <c r="J321" s="9" t="s">
        <v>252</v>
      </c>
      <c r="M321" s="21">
        <f t="shared" ref="M321:M384" si="175">J321+D320</f>
        <v>20629</v>
      </c>
    </row>
    <row r="322" spans="1:13">
      <c r="E322" s="21">
        <f t="shared" si="150"/>
        <v>322</v>
      </c>
      <c r="F322" s="9" t="s">
        <v>142</v>
      </c>
      <c r="M322" s="21">
        <v>199107</v>
      </c>
    </row>
    <row r="323" spans="1:13">
      <c r="E323" s="21">
        <f t="shared" si="150"/>
        <v>323</v>
      </c>
      <c r="F323" s="9" t="s">
        <v>126</v>
      </c>
      <c r="G323" s="21">
        <v>5</v>
      </c>
      <c r="H323" s="21">
        <v>30</v>
      </c>
      <c r="M323" s="21">
        <f t="shared" ref="M323" si="176">(MOD(D320-1,G321*H321)+1)*G323+H323*(B320-1)</f>
        <v>265</v>
      </c>
    </row>
    <row r="324" spans="1:13">
      <c r="E324" s="21">
        <f t="shared" si="150"/>
        <v>324</v>
      </c>
      <c r="F324" s="9" t="s">
        <v>29</v>
      </c>
      <c r="M324" s="21" t="s">
        <v>246</v>
      </c>
    </row>
    <row r="325" spans="1:13">
      <c r="E325" s="21">
        <f t="shared" si="150"/>
        <v>325</v>
      </c>
      <c r="F325" s="9" t="s">
        <v>118</v>
      </c>
      <c r="M325" s="21" t="s">
        <v>248</v>
      </c>
    </row>
    <row r="326" spans="1:13">
      <c r="E326" s="21">
        <f t="shared" si="150"/>
        <v>326</v>
      </c>
      <c r="F326" s="9" t="s">
        <v>98</v>
      </c>
      <c r="K326" s="9" t="s">
        <v>137</v>
      </c>
      <c r="M326" s="21">
        <v>2</v>
      </c>
    </row>
    <row r="327" spans="1:13">
      <c r="E327" s="21">
        <f t="shared" si="150"/>
        <v>327</v>
      </c>
      <c r="F327" s="9" t="s">
        <v>175</v>
      </c>
      <c r="K327" s="9" t="s">
        <v>136</v>
      </c>
      <c r="M327" s="21" t="s">
        <v>250</v>
      </c>
    </row>
    <row r="328" spans="1:13">
      <c r="E328" s="21">
        <f t="shared" si="150"/>
        <v>328</v>
      </c>
      <c r="F328" s="9" t="s">
        <v>113</v>
      </c>
      <c r="L328" s="9" t="s">
        <v>134</v>
      </c>
      <c r="M328" s="21">
        <v>-90</v>
      </c>
    </row>
    <row r="329" spans="1:13">
      <c r="E329" s="21">
        <f t="shared" si="150"/>
        <v>329</v>
      </c>
      <c r="F329" s="9" t="s">
        <v>31</v>
      </c>
      <c r="G329" s="21">
        <v>5</v>
      </c>
      <c r="H329" s="21">
        <v>72</v>
      </c>
      <c r="L329" s="9" t="s">
        <v>134</v>
      </c>
      <c r="M329" s="21">
        <f t="shared" ref="M329" si="177">(G329*C320+(A320-1)*H329+H323*(B320-1))*-1</f>
        <v>-145</v>
      </c>
    </row>
    <row r="330" spans="1:13">
      <c r="E330" s="21">
        <f t="shared" si="150"/>
        <v>330</v>
      </c>
      <c r="F330" s="9" t="s">
        <v>30</v>
      </c>
      <c r="M330" s="21">
        <v>3</v>
      </c>
    </row>
    <row r="331" spans="1:13">
      <c r="A331" s="21">
        <f t="shared" ref="A331:A394" si="178">QUOTIENT( D331-1,G332*H332)+1</f>
        <v>1</v>
      </c>
      <c r="B331" s="21">
        <f t="shared" ref="B331" si="179">QUOTIENT( D331-1,G332)+1-(A331-1)*H332</f>
        <v>5</v>
      </c>
      <c r="C331" s="21">
        <f t="shared" ref="C331" si="180">D331-(B331-1)*G332-((A331-1)*G332*H332)</f>
        <v>6</v>
      </c>
      <c r="D331" s="21">
        <f>COUNT($D$11:$D330)+1</f>
        <v>30</v>
      </c>
    </row>
    <row r="332" spans="1:13">
      <c r="E332" s="21">
        <f t="shared" si="150"/>
        <v>332</v>
      </c>
      <c r="F332" s="9" t="s">
        <v>93</v>
      </c>
      <c r="G332" s="21">
        <v>6</v>
      </c>
      <c r="H332" s="21">
        <v>6</v>
      </c>
      <c r="I332" s="21">
        <v>5</v>
      </c>
      <c r="J332" s="9" t="s">
        <v>252</v>
      </c>
      <c r="M332" s="21">
        <f t="shared" ref="M332:M395" si="181">J332+D331</f>
        <v>20630</v>
      </c>
    </row>
    <row r="333" spans="1:13">
      <c r="E333" s="21">
        <f t="shared" si="150"/>
        <v>333</v>
      </c>
      <c r="F333" s="9" t="s">
        <v>142</v>
      </c>
      <c r="M333" s="21">
        <v>199107</v>
      </c>
    </row>
    <row r="334" spans="1:13">
      <c r="E334" s="21">
        <f t="shared" si="150"/>
        <v>334</v>
      </c>
      <c r="F334" s="9" t="s">
        <v>126</v>
      </c>
      <c r="G334" s="21">
        <v>5</v>
      </c>
      <c r="H334" s="21">
        <v>30</v>
      </c>
      <c r="M334" s="21">
        <f t="shared" ref="M334" si="182">(MOD(D331-1,G332*H332)+1)*G334+H334*(B331-1)</f>
        <v>270</v>
      </c>
    </row>
    <row r="335" spans="1:13">
      <c r="E335" s="21">
        <f t="shared" si="150"/>
        <v>335</v>
      </c>
      <c r="F335" s="9" t="s">
        <v>29</v>
      </c>
      <c r="M335" s="21" t="s">
        <v>246</v>
      </c>
    </row>
    <row r="336" spans="1:13">
      <c r="E336" s="21">
        <f t="shared" si="150"/>
        <v>336</v>
      </c>
      <c r="F336" s="9" t="s">
        <v>118</v>
      </c>
      <c r="M336" s="21" t="s">
        <v>248</v>
      </c>
    </row>
    <row r="337" spans="1:13">
      <c r="E337" s="21">
        <f t="shared" si="150"/>
        <v>337</v>
      </c>
      <c r="F337" s="9" t="s">
        <v>98</v>
      </c>
      <c r="K337" s="9" t="s">
        <v>137</v>
      </c>
      <c r="M337" s="21">
        <v>2</v>
      </c>
    </row>
    <row r="338" spans="1:13">
      <c r="E338" s="21">
        <f t="shared" si="150"/>
        <v>338</v>
      </c>
      <c r="F338" s="9" t="s">
        <v>175</v>
      </c>
      <c r="K338" s="9" t="s">
        <v>136</v>
      </c>
      <c r="M338" s="21" t="s">
        <v>250</v>
      </c>
    </row>
    <row r="339" spans="1:13">
      <c r="E339" s="21">
        <f t="shared" si="150"/>
        <v>339</v>
      </c>
      <c r="F339" s="9" t="s">
        <v>113</v>
      </c>
      <c r="L339" s="9" t="s">
        <v>134</v>
      </c>
      <c r="M339" s="21">
        <v>-90</v>
      </c>
    </row>
    <row r="340" spans="1:13">
      <c r="E340" s="21">
        <f t="shared" si="150"/>
        <v>340</v>
      </c>
      <c r="F340" s="9" t="s">
        <v>31</v>
      </c>
      <c r="G340" s="21">
        <v>5</v>
      </c>
      <c r="H340" s="21">
        <v>72</v>
      </c>
      <c r="L340" s="9" t="s">
        <v>134</v>
      </c>
      <c r="M340" s="21">
        <f t="shared" ref="M340" si="183">(G340*C331+(A331-1)*H340+H334*(B331-1))*-1</f>
        <v>-150</v>
      </c>
    </row>
    <row r="341" spans="1:13">
      <c r="E341" s="21">
        <f t="shared" ref="E341:E404" si="184">ROW(E341)</f>
        <v>341</v>
      </c>
      <c r="F341" s="9" t="s">
        <v>30</v>
      </c>
      <c r="M341" s="21">
        <v>3</v>
      </c>
    </row>
    <row r="342" spans="1:13">
      <c r="A342" s="21">
        <f t="shared" ref="A342:A405" si="185">QUOTIENT( D342-1,G343*H343)+1</f>
        <v>1</v>
      </c>
      <c r="B342" s="21">
        <f t="shared" ref="B342" si="186">QUOTIENT( D342-1,G343)+1-(A342-1)*H343</f>
        <v>6</v>
      </c>
      <c r="C342" s="21">
        <f t="shared" ref="C342" si="187">D342-(B342-1)*G343-((A342-1)*G343*H343)</f>
        <v>1</v>
      </c>
      <c r="D342" s="21">
        <f>COUNT($D$11:$D341)+1</f>
        <v>31</v>
      </c>
    </row>
    <row r="343" spans="1:13">
      <c r="E343" s="21">
        <f t="shared" ref="E343:E406" si="188">ROW(E343)</f>
        <v>343</v>
      </c>
      <c r="F343" s="9" t="s">
        <v>93</v>
      </c>
      <c r="G343" s="21">
        <v>6</v>
      </c>
      <c r="H343" s="21">
        <v>6</v>
      </c>
      <c r="I343" s="21">
        <v>5</v>
      </c>
      <c r="J343" s="9" t="s">
        <v>252</v>
      </c>
      <c r="M343" s="21">
        <f t="shared" ref="M343:M406" si="189">J343+D342</f>
        <v>20631</v>
      </c>
    </row>
    <row r="344" spans="1:13">
      <c r="E344" s="21">
        <f t="shared" si="188"/>
        <v>344</v>
      </c>
      <c r="F344" s="9" t="s">
        <v>142</v>
      </c>
      <c r="M344" s="21">
        <v>199107</v>
      </c>
    </row>
    <row r="345" spans="1:13">
      <c r="E345" s="21">
        <f t="shared" si="188"/>
        <v>345</v>
      </c>
      <c r="F345" s="9" t="s">
        <v>126</v>
      </c>
      <c r="G345" s="21">
        <v>5</v>
      </c>
      <c r="H345" s="21">
        <v>30</v>
      </c>
      <c r="M345" s="21">
        <f t="shared" ref="M345" si="190">(MOD(D342-1,G343*H343)+1)*G345+H345*(B342-1)</f>
        <v>305</v>
      </c>
    </row>
    <row r="346" spans="1:13">
      <c r="E346" s="21">
        <f t="shared" si="188"/>
        <v>346</v>
      </c>
      <c r="F346" s="9" t="s">
        <v>29</v>
      </c>
      <c r="M346" s="21" t="s">
        <v>246</v>
      </c>
    </row>
    <row r="347" spans="1:13">
      <c r="E347" s="21">
        <f t="shared" si="188"/>
        <v>347</v>
      </c>
      <c r="F347" s="9" t="s">
        <v>118</v>
      </c>
      <c r="M347" s="21" t="s">
        <v>248</v>
      </c>
    </row>
    <row r="348" spans="1:13">
      <c r="E348" s="21">
        <f t="shared" si="188"/>
        <v>348</v>
      </c>
      <c r="F348" s="9" t="s">
        <v>98</v>
      </c>
      <c r="K348" s="9" t="s">
        <v>137</v>
      </c>
      <c r="M348" s="21">
        <v>2</v>
      </c>
    </row>
    <row r="349" spans="1:13">
      <c r="E349" s="21">
        <f t="shared" si="188"/>
        <v>349</v>
      </c>
      <c r="F349" s="9" t="s">
        <v>175</v>
      </c>
      <c r="K349" s="9" t="s">
        <v>136</v>
      </c>
      <c r="M349" s="21" t="s">
        <v>250</v>
      </c>
    </row>
    <row r="350" spans="1:13">
      <c r="E350" s="21">
        <f t="shared" si="188"/>
        <v>350</v>
      </c>
      <c r="F350" s="9" t="s">
        <v>113</v>
      </c>
      <c r="L350" s="9" t="s">
        <v>134</v>
      </c>
      <c r="M350" s="21">
        <v>-90</v>
      </c>
    </row>
    <row r="351" spans="1:13">
      <c r="E351" s="21">
        <f t="shared" si="188"/>
        <v>351</v>
      </c>
      <c r="F351" s="9" t="s">
        <v>31</v>
      </c>
      <c r="G351" s="21">
        <v>5</v>
      </c>
      <c r="H351" s="21">
        <v>72</v>
      </c>
      <c r="L351" s="9" t="s">
        <v>134</v>
      </c>
      <c r="M351" s="21">
        <f t="shared" ref="M351" si="191">(G351*C342+(A342-1)*H351+H345*(B342-1))*-1</f>
        <v>-155</v>
      </c>
    </row>
    <row r="352" spans="1:13">
      <c r="E352" s="21">
        <f t="shared" si="188"/>
        <v>352</v>
      </c>
      <c r="F352" s="9" t="s">
        <v>30</v>
      </c>
      <c r="M352" s="21">
        <v>3</v>
      </c>
    </row>
    <row r="353" spans="1:13">
      <c r="A353" s="21">
        <f t="shared" ref="A353:A416" si="192">QUOTIENT( D353-1,G354*H354)+1</f>
        <v>1</v>
      </c>
      <c r="B353" s="21">
        <f t="shared" ref="B353" si="193">QUOTIENT( D353-1,G354)+1-(A353-1)*H354</f>
        <v>6</v>
      </c>
      <c r="C353" s="21">
        <f t="shared" ref="C353" si="194">D353-(B353-1)*G354-((A353-1)*G354*H354)</f>
        <v>2</v>
      </c>
      <c r="D353" s="21">
        <f>COUNT($D$11:$D352)+1</f>
        <v>32</v>
      </c>
    </row>
    <row r="354" spans="1:13">
      <c r="E354" s="21">
        <f t="shared" si="188"/>
        <v>354</v>
      </c>
      <c r="F354" s="9" t="s">
        <v>93</v>
      </c>
      <c r="G354" s="21">
        <v>6</v>
      </c>
      <c r="H354" s="21">
        <v>6</v>
      </c>
      <c r="I354" s="21">
        <v>5</v>
      </c>
      <c r="J354" s="9" t="s">
        <v>252</v>
      </c>
      <c r="M354" s="21">
        <f t="shared" ref="M354:M417" si="195">J354+D353</f>
        <v>20632</v>
      </c>
    </row>
    <row r="355" spans="1:13">
      <c r="E355" s="21">
        <f t="shared" si="188"/>
        <v>355</v>
      </c>
      <c r="F355" s="9" t="s">
        <v>142</v>
      </c>
      <c r="M355" s="21">
        <v>199107</v>
      </c>
    </row>
    <row r="356" spans="1:13">
      <c r="E356" s="21">
        <f t="shared" si="188"/>
        <v>356</v>
      </c>
      <c r="F356" s="9" t="s">
        <v>126</v>
      </c>
      <c r="G356" s="21">
        <v>5</v>
      </c>
      <c r="H356" s="21">
        <v>30</v>
      </c>
      <c r="M356" s="21">
        <f t="shared" ref="M356" si="196">(MOD(D353-1,G354*H354)+1)*G356+H356*(B353-1)</f>
        <v>310</v>
      </c>
    </row>
    <row r="357" spans="1:13">
      <c r="E357" s="21">
        <f t="shared" si="188"/>
        <v>357</v>
      </c>
      <c r="F357" s="9" t="s">
        <v>29</v>
      </c>
      <c r="M357" s="21" t="s">
        <v>246</v>
      </c>
    </row>
    <row r="358" spans="1:13">
      <c r="E358" s="21">
        <f t="shared" si="188"/>
        <v>358</v>
      </c>
      <c r="F358" s="9" t="s">
        <v>118</v>
      </c>
      <c r="M358" s="21" t="s">
        <v>248</v>
      </c>
    </row>
    <row r="359" spans="1:13">
      <c r="E359" s="21">
        <f t="shared" si="188"/>
        <v>359</v>
      </c>
      <c r="F359" s="9" t="s">
        <v>98</v>
      </c>
      <c r="K359" s="9" t="s">
        <v>137</v>
      </c>
      <c r="M359" s="21">
        <v>2</v>
      </c>
    </row>
    <row r="360" spans="1:13">
      <c r="E360" s="21">
        <f t="shared" si="188"/>
        <v>360</v>
      </c>
      <c r="F360" s="9" t="s">
        <v>175</v>
      </c>
      <c r="K360" s="9" t="s">
        <v>136</v>
      </c>
      <c r="M360" s="21" t="s">
        <v>250</v>
      </c>
    </row>
    <row r="361" spans="1:13">
      <c r="E361" s="21">
        <f t="shared" si="188"/>
        <v>361</v>
      </c>
      <c r="F361" s="9" t="s">
        <v>113</v>
      </c>
      <c r="L361" s="9" t="s">
        <v>134</v>
      </c>
      <c r="M361" s="21">
        <v>-90</v>
      </c>
    </row>
    <row r="362" spans="1:13">
      <c r="E362" s="21">
        <f t="shared" si="188"/>
        <v>362</v>
      </c>
      <c r="F362" s="9" t="s">
        <v>31</v>
      </c>
      <c r="G362" s="21">
        <v>5</v>
      </c>
      <c r="H362" s="21">
        <v>72</v>
      </c>
      <c r="L362" s="9" t="s">
        <v>134</v>
      </c>
      <c r="M362" s="21">
        <f t="shared" ref="M362" si="197">(G362*C353+(A353-1)*H362+H356*(B353-1))*-1</f>
        <v>-160</v>
      </c>
    </row>
    <row r="363" spans="1:13">
      <c r="E363" s="21">
        <f t="shared" si="188"/>
        <v>363</v>
      </c>
      <c r="F363" s="9" t="s">
        <v>30</v>
      </c>
      <c r="M363" s="21">
        <v>3</v>
      </c>
    </row>
    <row r="364" spans="1:13">
      <c r="A364" s="21">
        <f t="shared" ref="A364:A427" si="198">QUOTIENT( D364-1,G365*H365)+1</f>
        <v>1</v>
      </c>
      <c r="B364" s="21">
        <f t="shared" ref="B364" si="199">QUOTIENT( D364-1,G365)+1-(A364-1)*H365</f>
        <v>6</v>
      </c>
      <c r="C364" s="21">
        <f t="shared" ref="C364" si="200">D364-(B364-1)*G365-((A364-1)*G365*H365)</f>
        <v>3</v>
      </c>
      <c r="D364" s="21">
        <f>COUNT($D$11:$D363)+1</f>
        <v>33</v>
      </c>
    </row>
    <row r="365" spans="1:13">
      <c r="E365" s="21">
        <f t="shared" si="188"/>
        <v>365</v>
      </c>
      <c r="F365" s="9" t="s">
        <v>93</v>
      </c>
      <c r="G365" s="21">
        <v>6</v>
      </c>
      <c r="H365" s="21">
        <v>6</v>
      </c>
      <c r="I365" s="21">
        <v>5</v>
      </c>
      <c r="J365" s="9" t="s">
        <v>252</v>
      </c>
      <c r="M365" s="21">
        <f t="shared" ref="M365:M428" si="201">J365+D364</f>
        <v>20633</v>
      </c>
    </row>
    <row r="366" spans="1:13">
      <c r="E366" s="21">
        <f t="shared" si="188"/>
        <v>366</v>
      </c>
      <c r="F366" s="9" t="s">
        <v>142</v>
      </c>
      <c r="M366" s="21">
        <v>199107</v>
      </c>
    </row>
    <row r="367" spans="1:13">
      <c r="E367" s="21">
        <f t="shared" si="188"/>
        <v>367</v>
      </c>
      <c r="F367" s="9" t="s">
        <v>126</v>
      </c>
      <c r="G367" s="21">
        <v>5</v>
      </c>
      <c r="H367" s="21">
        <v>30</v>
      </c>
      <c r="M367" s="21">
        <f t="shared" ref="M367" si="202">(MOD(D364-1,G365*H365)+1)*G367+H367*(B364-1)</f>
        <v>315</v>
      </c>
    </row>
    <row r="368" spans="1:13">
      <c r="E368" s="21">
        <f t="shared" si="188"/>
        <v>368</v>
      </c>
      <c r="F368" s="9" t="s">
        <v>29</v>
      </c>
      <c r="M368" s="21" t="s">
        <v>246</v>
      </c>
    </row>
    <row r="369" spans="1:13">
      <c r="E369" s="21">
        <f t="shared" si="188"/>
        <v>369</v>
      </c>
      <c r="F369" s="9" t="s">
        <v>118</v>
      </c>
      <c r="M369" s="21" t="s">
        <v>248</v>
      </c>
    </row>
    <row r="370" spans="1:13">
      <c r="E370" s="21">
        <f t="shared" si="188"/>
        <v>370</v>
      </c>
      <c r="F370" s="9" t="s">
        <v>98</v>
      </c>
      <c r="K370" s="9" t="s">
        <v>137</v>
      </c>
      <c r="M370" s="21">
        <v>2</v>
      </c>
    </row>
    <row r="371" spans="1:13">
      <c r="E371" s="21">
        <f t="shared" si="188"/>
        <v>371</v>
      </c>
      <c r="F371" s="9" t="s">
        <v>175</v>
      </c>
      <c r="K371" s="9" t="s">
        <v>136</v>
      </c>
      <c r="M371" s="21" t="s">
        <v>250</v>
      </c>
    </row>
    <row r="372" spans="1:13">
      <c r="E372" s="21">
        <f t="shared" si="188"/>
        <v>372</v>
      </c>
      <c r="F372" s="9" t="s">
        <v>113</v>
      </c>
      <c r="L372" s="9" t="s">
        <v>134</v>
      </c>
      <c r="M372" s="21">
        <v>-90</v>
      </c>
    </row>
    <row r="373" spans="1:13">
      <c r="E373" s="21">
        <f t="shared" si="188"/>
        <v>373</v>
      </c>
      <c r="F373" s="9" t="s">
        <v>31</v>
      </c>
      <c r="G373" s="21">
        <v>5</v>
      </c>
      <c r="H373" s="21">
        <v>72</v>
      </c>
      <c r="L373" s="9" t="s">
        <v>134</v>
      </c>
      <c r="M373" s="21">
        <f t="shared" ref="M373" si="203">(G373*C364+(A364-1)*H373+H367*(B364-1))*-1</f>
        <v>-165</v>
      </c>
    </row>
    <row r="374" spans="1:13">
      <c r="E374" s="21">
        <f t="shared" si="188"/>
        <v>374</v>
      </c>
      <c r="F374" s="9" t="s">
        <v>30</v>
      </c>
      <c r="M374" s="21">
        <v>3</v>
      </c>
    </row>
    <row r="375" spans="1:13">
      <c r="A375" s="21">
        <f t="shared" ref="A375:A438" si="204">QUOTIENT( D375-1,G376*H376)+1</f>
        <v>1</v>
      </c>
      <c r="B375" s="21">
        <f t="shared" ref="B375" si="205">QUOTIENT( D375-1,G376)+1-(A375-1)*H376</f>
        <v>6</v>
      </c>
      <c r="C375" s="21">
        <f t="shared" ref="C375" si="206">D375-(B375-1)*G376-((A375-1)*G376*H376)</f>
        <v>4</v>
      </c>
      <c r="D375" s="21">
        <f>COUNT($D$11:$D374)+1</f>
        <v>34</v>
      </c>
    </row>
    <row r="376" spans="1:13">
      <c r="E376" s="21">
        <f t="shared" si="188"/>
        <v>376</v>
      </c>
      <c r="F376" s="9" t="s">
        <v>93</v>
      </c>
      <c r="G376" s="21">
        <v>6</v>
      </c>
      <c r="H376" s="21">
        <v>6</v>
      </c>
      <c r="I376" s="21">
        <v>5</v>
      </c>
      <c r="J376" s="9" t="s">
        <v>252</v>
      </c>
      <c r="M376" s="21">
        <f t="shared" ref="M376:M439" si="207">J376+D375</f>
        <v>20634</v>
      </c>
    </row>
    <row r="377" spans="1:13">
      <c r="E377" s="21">
        <f t="shared" si="188"/>
        <v>377</v>
      </c>
      <c r="F377" s="9" t="s">
        <v>142</v>
      </c>
      <c r="M377" s="21">
        <v>199107</v>
      </c>
    </row>
    <row r="378" spans="1:13">
      <c r="E378" s="21">
        <f t="shared" si="188"/>
        <v>378</v>
      </c>
      <c r="F378" s="9" t="s">
        <v>126</v>
      </c>
      <c r="G378" s="21">
        <v>5</v>
      </c>
      <c r="H378" s="21">
        <v>30</v>
      </c>
      <c r="M378" s="21">
        <f t="shared" ref="M378" si="208">(MOD(D375-1,G376*H376)+1)*G378+H378*(B375-1)</f>
        <v>320</v>
      </c>
    </row>
    <row r="379" spans="1:13">
      <c r="E379" s="21">
        <f t="shared" si="188"/>
        <v>379</v>
      </c>
      <c r="F379" s="9" t="s">
        <v>29</v>
      </c>
      <c r="M379" s="21" t="s">
        <v>246</v>
      </c>
    </row>
    <row r="380" spans="1:13">
      <c r="E380" s="21">
        <f t="shared" si="188"/>
        <v>380</v>
      </c>
      <c r="F380" s="9" t="s">
        <v>118</v>
      </c>
      <c r="M380" s="21" t="s">
        <v>248</v>
      </c>
    </row>
    <row r="381" spans="1:13">
      <c r="E381" s="21">
        <f t="shared" si="188"/>
        <v>381</v>
      </c>
      <c r="F381" s="9" t="s">
        <v>98</v>
      </c>
      <c r="K381" s="9" t="s">
        <v>137</v>
      </c>
      <c r="M381" s="21">
        <v>2</v>
      </c>
    </row>
    <row r="382" spans="1:13">
      <c r="E382" s="21">
        <f t="shared" si="188"/>
        <v>382</v>
      </c>
      <c r="F382" s="9" t="s">
        <v>175</v>
      </c>
      <c r="K382" s="9" t="s">
        <v>136</v>
      </c>
      <c r="M382" s="21" t="s">
        <v>250</v>
      </c>
    </row>
    <row r="383" spans="1:13">
      <c r="E383" s="21">
        <f t="shared" si="188"/>
        <v>383</v>
      </c>
      <c r="F383" s="9" t="s">
        <v>113</v>
      </c>
      <c r="L383" s="9" t="s">
        <v>134</v>
      </c>
      <c r="M383" s="21">
        <v>-90</v>
      </c>
    </row>
    <row r="384" spans="1:13">
      <c r="E384" s="21">
        <f t="shared" si="188"/>
        <v>384</v>
      </c>
      <c r="F384" s="9" t="s">
        <v>31</v>
      </c>
      <c r="G384" s="21">
        <v>5</v>
      </c>
      <c r="H384" s="21">
        <v>72</v>
      </c>
      <c r="L384" s="9" t="s">
        <v>134</v>
      </c>
      <c r="M384" s="21">
        <f t="shared" ref="M384" si="209">(G384*C375+(A375-1)*H384+H378*(B375-1))*-1</f>
        <v>-170</v>
      </c>
    </row>
    <row r="385" spans="1:13">
      <c r="E385" s="21">
        <f t="shared" si="188"/>
        <v>385</v>
      </c>
      <c r="F385" s="9" t="s">
        <v>30</v>
      </c>
      <c r="M385" s="21">
        <v>3</v>
      </c>
    </row>
    <row r="386" spans="1:13">
      <c r="A386" s="21">
        <f t="shared" ref="A386:A449" si="210">QUOTIENT( D386-1,G387*H387)+1</f>
        <v>1</v>
      </c>
      <c r="B386" s="21">
        <f t="shared" ref="B386" si="211">QUOTIENT( D386-1,G387)+1-(A386-1)*H387</f>
        <v>6</v>
      </c>
      <c r="C386" s="21">
        <f t="shared" ref="C386" si="212">D386-(B386-1)*G387-((A386-1)*G387*H387)</f>
        <v>5</v>
      </c>
      <c r="D386" s="21">
        <f>COUNT($D$11:$D385)+1</f>
        <v>35</v>
      </c>
    </row>
    <row r="387" spans="1:13">
      <c r="E387" s="21">
        <f t="shared" si="188"/>
        <v>387</v>
      </c>
      <c r="F387" s="9" t="s">
        <v>93</v>
      </c>
      <c r="G387" s="21">
        <v>6</v>
      </c>
      <c r="H387" s="21">
        <v>6</v>
      </c>
      <c r="I387" s="21">
        <v>5</v>
      </c>
      <c r="J387" s="9" t="s">
        <v>252</v>
      </c>
      <c r="M387" s="21">
        <f t="shared" ref="M387:M450" si="213">J387+D386</f>
        <v>20635</v>
      </c>
    </row>
    <row r="388" spans="1:13">
      <c r="E388" s="21">
        <f t="shared" si="188"/>
        <v>388</v>
      </c>
      <c r="F388" s="9" t="s">
        <v>142</v>
      </c>
      <c r="M388" s="21">
        <v>199107</v>
      </c>
    </row>
    <row r="389" spans="1:13">
      <c r="E389" s="21">
        <f t="shared" si="188"/>
        <v>389</v>
      </c>
      <c r="F389" s="9" t="s">
        <v>126</v>
      </c>
      <c r="G389" s="21">
        <v>5</v>
      </c>
      <c r="H389" s="21">
        <v>30</v>
      </c>
      <c r="M389" s="21">
        <f t="shared" ref="M389" si="214">(MOD(D386-1,G387*H387)+1)*G389+H389*(B386-1)</f>
        <v>325</v>
      </c>
    </row>
    <row r="390" spans="1:13">
      <c r="E390" s="21">
        <f t="shared" si="188"/>
        <v>390</v>
      </c>
      <c r="F390" s="9" t="s">
        <v>29</v>
      </c>
      <c r="M390" s="21" t="s">
        <v>246</v>
      </c>
    </row>
    <row r="391" spans="1:13">
      <c r="E391" s="21">
        <f t="shared" si="188"/>
        <v>391</v>
      </c>
      <c r="F391" s="9" t="s">
        <v>118</v>
      </c>
      <c r="M391" s="21" t="s">
        <v>248</v>
      </c>
    </row>
    <row r="392" spans="1:13">
      <c r="E392" s="21">
        <f t="shared" si="188"/>
        <v>392</v>
      </c>
      <c r="F392" s="9" t="s">
        <v>98</v>
      </c>
      <c r="K392" s="9" t="s">
        <v>137</v>
      </c>
      <c r="M392" s="21">
        <v>2</v>
      </c>
    </row>
    <row r="393" spans="1:13">
      <c r="E393" s="21">
        <f t="shared" si="188"/>
        <v>393</v>
      </c>
      <c r="F393" s="9" t="s">
        <v>175</v>
      </c>
      <c r="K393" s="9" t="s">
        <v>136</v>
      </c>
      <c r="M393" s="21" t="s">
        <v>250</v>
      </c>
    </row>
    <row r="394" spans="1:13">
      <c r="E394" s="21">
        <f t="shared" si="188"/>
        <v>394</v>
      </c>
      <c r="F394" s="9" t="s">
        <v>113</v>
      </c>
      <c r="L394" s="9" t="s">
        <v>134</v>
      </c>
      <c r="M394" s="21">
        <v>-90</v>
      </c>
    </row>
    <row r="395" spans="1:13">
      <c r="E395" s="21">
        <f t="shared" si="188"/>
        <v>395</v>
      </c>
      <c r="F395" s="9" t="s">
        <v>31</v>
      </c>
      <c r="G395" s="21">
        <v>5</v>
      </c>
      <c r="H395" s="21">
        <v>72</v>
      </c>
      <c r="L395" s="9" t="s">
        <v>134</v>
      </c>
      <c r="M395" s="21">
        <f t="shared" ref="M395" si="215">(G395*C386+(A386-1)*H395+H389*(B386-1))*-1</f>
        <v>-175</v>
      </c>
    </row>
    <row r="396" spans="1:13">
      <c r="E396" s="21">
        <f t="shared" si="188"/>
        <v>396</v>
      </c>
      <c r="F396" s="9" t="s">
        <v>30</v>
      </c>
      <c r="M396" s="21">
        <v>3</v>
      </c>
    </row>
    <row r="397" spans="1:13">
      <c r="A397" s="21">
        <f t="shared" ref="A397:A460" si="216">QUOTIENT( D397-1,G398*H398)+1</f>
        <v>1</v>
      </c>
      <c r="B397" s="21">
        <f t="shared" ref="B397" si="217">QUOTIENT( D397-1,G398)+1-(A397-1)*H398</f>
        <v>6</v>
      </c>
      <c r="C397" s="21">
        <f t="shared" ref="C397" si="218">D397-(B397-1)*G398-((A397-1)*G398*H398)</f>
        <v>6</v>
      </c>
      <c r="D397" s="21">
        <f>COUNT($D$11:$D396)+1</f>
        <v>36</v>
      </c>
    </row>
    <row r="398" spans="1:13">
      <c r="E398" s="21">
        <f t="shared" si="188"/>
        <v>398</v>
      </c>
      <c r="F398" s="9" t="s">
        <v>93</v>
      </c>
      <c r="G398" s="21">
        <v>6</v>
      </c>
      <c r="H398" s="21">
        <v>6</v>
      </c>
      <c r="I398" s="21">
        <v>5</v>
      </c>
      <c r="J398" s="9" t="s">
        <v>252</v>
      </c>
      <c r="M398" s="21">
        <f t="shared" ref="M398:M461" si="219">J398+D397</f>
        <v>20636</v>
      </c>
    </row>
    <row r="399" spans="1:13">
      <c r="E399" s="21">
        <f t="shared" si="188"/>
        <v>399</v>
      </c>
      <c r="F399" s="9" t="s">
        <v>142</v>
      </c>
      <c r="M399" s="21">
        <v>199107</v>
      </c>
    </row>
    <row r="400" spans="1:13">
      <c r="E400" s="21">
        <f t="shared" si="188"/>
        <v>400</v>
      </c>
      <c r="F400" s="9" t="s">
        <v>126</v>
      </c>
      <c r="G400" s="21">
        <v>5</v>
      </c>
      <c r="H400" s="21">
        <v>30</v>
      </c>
      <c r="M400" s="21">
        <f t="shared" ref="M400" si="220">(MOD(D397-1,G398*H398)+1)*G400+H400*(B397-1)</f>
        <v>330</v>
      </c>
    </row>
    <row r="401" spans="1:13">
      <c r="E401" s="21">
        <f t="shared" si="188"/>
        <v>401</v>
      </c>
      <c r="F401" s="9" t="s">
        <v>29</v>
      </c>
      <c r="M401" s="21" t="s">
        <v>246</v>
      </c>
    </row>
    <row r="402" spans="1:13">
      <c r="E402" s="21">
        <f t="shared" si="188"/>
        <v>402</v>
      </c>
      <c r="F402" s="9" t="s">
        <v>118</v>
      </c>
      <c r="M402" s="21" t="s">
        <v>248</v>
      </c>
    </row>
    <row r="403" spans="1:13">
      <c r="E403" s="21">
        <f t="shared" si="188"/>
        <v>403</v>
      </c>
      <c r="F403" s="9" t="s">
        <v>98</v>
      </c>
      <c r="K403" s="9" t="s">
        <v>137</v>
      </c>
      <c r="M403" s="21">
        <v>2</v>
      </c>
    </row>
    <row r="404" spans="1:13">
      <c r="E404" s="21">
        <f t="shared" si="188"/>
        <v>404</v>
      </c>
      <c r="F404" s="9" t="s">
        <v>175</v>
      </c>
      <c r="K404" s="9" t="s">
        <v>136</v>
      </c>
      <c r="M404" s="21" t="s">
        <v>250</v>
      </c>
    </row>
    <row r="405" spans="1:13">
      <c r="E405" s="21">
        <f t="shared" si="188"/>
        <v>405</v>
      </c>
      <c r="F405" s="9" t="s">
        <v>113</v>
      </c>
      <c r="L405" s="9" t="s">
        <v>134</v>
      </c>
      <c r="M405" s="21">
        <v>-90</v>
      </c>
    </row>
    <row r="406" spans="1:13">
      <c r="E406" s="21">
        <f t="shared" si="188"/>
        <v>406</v>
      </c>
      <c r="F406" s="9" t="s">
        <v>31</v>
      </c>
      <c r="G406" s="21">
        <v>5</v>
      </c>
      <c r="H406" s="21">
        <v>72</v>
      </c>
      <c r="L406" s="9" t="s">
        <v>134</v>
      </c>
      <c r="M406" s="21">
        <f t="shared" ref="M406" si="221">(G406*C397+(A397-1)*H406+H400*(B397-1))*-1</f>
        <v>-180</v>
      </c>
    </row>
    <row r="407" spans="1:13">
      <c r="E407" s="21">
        <f t="shared" ref="E407:E470" si="222">ROW(E407)</f>
        <v>407</v>
      </c>
      <c r="F407" s="9" t="s">
        <v>30</v>
      </c>
      <c r="M407" s="21">
        <v>3</v>
      </c>
    </row>
    <row r="408" spans="1:13">
      <c r="A408" s="21">
        <f t="shared" ref="A408:A471" si="223">QUOTIENT( D408-1,G409*H409)+1</f>
        <v>2</v>
      </c>
      <c r="B408" s="21">
        <f t="shared" ref="B408" si="224">QUOTIENT( D408-1,G409)+1-(A408-1)*H409</f>
        <v>1</v>
      </c>
      <c r="C408" s="21">
        <f t="shared" ref="C408" si="225">D408-(B408-1)*G409-((A408-1)*G409*H409)</f>
        <v>1</v>
      </c>
      <c r="D408" s="21">
        <f>COUNT($D$11:$D407)+1</f>
        <v>37</v>
      </c>
    </row>
    <row r="409" spans="1:13">
      <c r="E409" s="21">
        <f t="shared" ref="E409:E472" si="226">ROW(E409)</f>
        <v>409</v>
      </c>
      <c r="F409" s="9" t="s">
        <v>93</v>
      </c>
      <c r="G409" s="21">
        <v>6</v>
      </c>
      <c r="H409" s="21">
        <v>6</v>
      </c>
      <c r="I409" s="21">
        <v>5</v>
      </c>
      <c r="J409" s="9" t="s">
        <v>252</v>
      </c>
      <c r="M409" s="21">
        <f t="shared" ref="M409:M472" si="227">J409+D408</f>
        <v>20637</v>
      </c>
    </row>
    <row r="410" spans="1:13">
      <c r="E410" s="21">
        <f t="shared" si="226"/>
        <v>410</v>
      </c>
      <c r="F410" s="9" t="s">
        <v>142</v>
      </c>
      <c r="M410" s="21">
        <v>199107</v>
      </c>
    </row>
    <row r="411" spans="1:13">
      <c r="E411" s="21">
        <f t="shared" si="226"/>
        <v>411</v>
      </c>
      <c r="F411" s="9" t="s">
        <v>126</v>
      </c>
      <c r="G411" s="21">
        <v>5</v>
      </c>
      <c r="H411" s="21">
        <v>30</v>
      </c>
      <c r="M411" s="21">
        <f t="shared" ref="M411" si="228">(MOD(D408-1,G409*H409)+1)*G411+H411*(B408-1)</f>
        <v>5</v>
      </c>
    </row>
    <row r="412" spans="1:13">
      <c r="E412" s="21">
        <f t="shared" si="226"/>
        <v>412</v>
      </c>
      <c r="F412" s="9" t="s">
        <v>29</v>
      </c>
      <c r="M412" s="21" t="s">
        <v>246</v>
      </c>
    </row>
    <row r="413" spans="1:13">
      <c r="E413" s="21">
        <f t="shared" si="226"/>
        <v>413</v>
      </c>
      <c r="F413" s="9" t="s">
        <v>118</v>
      </c>
      <c r="M413" s="21" t="s">
        <v>248</v>
      </c>
    </row>
    <row r="414" spans="1:13">
      <c r="E414" s="21">
        <f t="shared" si="226"/>
        <v>414</v>
      </c>
      <c r="F414" s="9" t="s">
        <v>98</v>
      </c>
      <c r="K414" s="9" t="s">
        <v>137</v>
      </c>
      <c r="M414" s="21">
        <v>2</v>
      </c>
    </row>
    <row r="415" spans="1:13">
      <c r="E415" s="21">
        <f t="shared" si="226"/>
        <v>415</v>
      </c>
      <c r="F415" s="9" t="s">
        <v>175</v>
      </c>
      <c r="K415" s="9" t="s">
        <v>136</v>
      </c>
      <c r="M415" s="21" t="s">
        <v>250</v>
      </c>
    </row>
    <row r="416" spans="1:13">
      <c r="E416" s="21">
        <f t="shared" si="226"/>
        <v>416</v>
      </c>
      <c r="F416" s="9" t="s">
        <v>113</v>
      </c>
      <c r="L416" s="9" t="s">
        <v>134</v>
      </c>
      <c r="M416" s="21">
        <v>-90</v>
      </c>
    </row>
    <row r="417" spans="1:13">
      <c r="E417" s="21">
        <f t="shared" si="226"/>
        <v>417</v>
      </c>
      <c r="F417" s="9" t="s">
        <v>31</v>
      </c>
      <c r="G417" s="21">
        <v>5</v>
      </c>
      <c r="H417" s="21">
        <v>72</v>
      </c>
      <c r="L417" s="9" t="s">
        <v>134</v>
      </c>
      <c r="M417" s="21">
        <f t="shared" ref="M417" si="229">(G417*C408+(A408-1)*H417+H411*(B408-1))*-1</f>
        <v>-77</v>
      </c>
    </row>
    <row r="418" spans="1:13">
      <c r="E418" s="21">
        <f t="shared" si="226"/>
        <v>418</v>
      </c>
      <c r="F418" s="9" t="s">
        <v>30</v>
      </c>
      <c r="M418" s="21">
        <v>3</v>
      </c>
    </row>
    <row r="419" spans="1:13">
      <c r="A419" s="21">
        <f t="shared" ref="A419:A482" si="230">QUOTIENT( D419-1,G420*H420)+1</f>
        <v>2</v>
      </c>
      <c r="B419" s="21">
        <f t="shared" ref="B419" si="231">QUOTIENT( D419-1,G420)+1-(A419-1)*H420</f>
        <v>1</v>
      </c>
      <c r="C419" s="21">
        <f t="shared" ref="C419" si="232">D419-(B419-1)*G420-((A419-1)*G420*H420)</f>
        <v>2</v>
      </c>
      <c r="D419" s="21">
        <f>COUNT($D$11:$D418)+1</f>
        <v>38</v>
      </c>
    </row>
    <row r="420" spans="1:13">
      <c r="E420" s="21">
        <f t="shared" si="226"/>
        <v>420</v>
      </c>
      <c r="F420" s="9" t="s">
        <v>93</v>
      </c>
      <c r="G420" s="21">
        <v>6</v>
      </c>
      <c r="H420" s="21">
        <v>6</v>
      </c>
      <c r="I420" s="21">
        <v>5</v>
      </c>
      <c r="J420" s="9" t="s">
        <v>252</v>
      </c>
      <c r="M420" s="21">
        <f t="shared" ref="M420:M483" si="233">J420+D419</f>
        <v>20638</v>
      </c>
    </row>
    <row r="421" spans="1:13">
      <c r="E421" s="21">
        <f t="shared" si="226"/>
        <v>421</v>
      </c>
      <c r="F421" s="9" t="s">
        <v>142</v>
      </c>
      <c r="M421" s="21">
        <v>199107</v>
      </c>
    </row>
    <row r="422" spans="1:13">
      <c r="E422" s="21">
        <f t="shared" si="226"/>
        <v>422</v>
      </c>
      <c r="F422" s="9" t="s">
        <v>126</v>
      </c>
      <c r="G422" s="21">
        <v>5</v>
      </c>
      <c r="H422" s="21">
        <v>30</v>
      </c>
      <c r="M422" s="21">
        <f t="shared" ref="M422" si="234">(MOD(D419-1,G420*H420)+1)*G422+H422*(B419-1)</f>
        <v>10</v>
      </c>
    </row>
    <row r="423" spans="1:13">
      <c r="E423" s="21">
        <f t="shared" si="226"/>
        <v>423</v>
      </c>
      <c r="F423" s="9" t="s">
        <v>29</v>
      </c>
      <c r="M423" s="21" t="s">
        <v>246</v>
      </c>
    </row>
    <row r="424" spans="1:13">
      <c r="E424" s="21">
        <f t="shared" si="226"/>
        <v>424</v>
      </c>
      <c r="F424" s="9" t="s">
        <v>118</v>
      </c>
      <c r="M424" s="21" t="s">
        <v>248</v>
      </c>
    </row>
    <row r="425" spans="1:13">
      <c r="E425" s="21">
        <f t="shared" si="226"/>
        <v>425</v>
      </c>
      <c r="F425" s="9" t="s">
        <v>98</v>
      </c>
      <c r="K425" s="9" t="s">
        <v>137</v>
      </c>
      <c r="M425" s="21">
        <v>2</v>
      </c>
    </row>
    <row r="426" spans="1:13">
      <c r="E426" s="21">
        <f t="shared" si="226"/>
        <v>426</v>
      </c>
      <c r="F426" s="9" t="s">
        <v>175</v>
      </c>
      <c r="K426" s="9" t="s">
        <v>136</v>
      </c>
      <c r="M426" s="21" t="s">
        <v>250</v>
      </c>
    </row>
    <row r="427" spans="1:13">
      <c r="E427" s="21">
        <f t="shared" si="226"/>
        <v>427</v>
      </c>
      <c r="F427" s="9" t="s">
        <v>113</v>
      </c>
      <c r="L427" s="9" t="s">
        <v>134</v>
      </c>
      <c r="M427" s="21">
        <v>-90</v>
      </c>
    </row>
    <row r="428" spans="1:13">
      <c r="E428" s="21">
        <f t="shared" si="226"/>
        <v>428</v>
      </c>
      <c r="F428" s="9" t="s">
        <v>31</v>
      </c>
      <c r="G428" s="21">
        <v>5</v>
      </c>
      <c r="H428" s="21">
        <v>72</v>
      </c>
      <c r="L428" s="9" t="s">
        <v>134</v>
      </c>
      <c r="M428" s="21">
        <f t="shared" ref="M428" si="235">(G428*C419+(A419-1)*H428+H422*(B419-1))*-1</f>
        <v>-82</v>
      </c>
    </row>
    <row r="429" spans="1:13">
      <c r="E429" s="21">
        <f t="shared" si="226"/>
        <v>429</v>
      </c>
      <c r="F429" s="9" t="s">
        <v>30</v>
      </c>
      <c r="M429" s="21">
        <v>3</v>
      </c>
    </row>
    <row r="430" spans="1:13">
      <c r="A430" s="21">
        <f t="shared" ref="A430:A493" si="236">QUOTIENT( D430-1,G431*H431)+1</f>
        <v>2</v>
      </c>
      <c r="B430" s="21">
        <f t="shared" ref="B430" si="237">QUOTIENT( D430-1,G431)+1-(A430-1)*H431</f>
        <v>1</v>
      </c>
      <c r="C430" s="21">
        <f t="shared" ref="C430" si="238">D430-(B430-1)*G431-((A430-1)*G431*H431)</f>
        <v>3</v>
      </c>
      <c r="D430" s="21">
        <f>COUNT($D$11:$D429)+1</f>
        <v>39</v>
      </c>
    </row>
    <row r="431" spans="1:13">
      <c r="E431" s="21">
        <f t="shared" si="226"/>
        <v>431</v>
      </c>
      <c r="F431" s="9" t="s">
        <v>93</v>
      </c>
      <c r="G431" s="21">
        <v>6</v>
      </c>
      <c r="H431" s="21">
        <v>6</v>
      </c>
      <c r="I431" s="21">
        <v>5</v>
      </c>
      <c r="J431" s="9" t="s">
        <v>252</v>
      </c>
      <c r="M431" s="21">
        <f t="shared" ref="M431:M494" si="239">J431+D430</f>
        <v>20639</v>
      </c>
    </row>
    <row r="432" spans="1:13">
      <c r="E432" s="21">
        <f t="shared" si="226"/>
        <v>432</v>
      </c>
      <c r="F432" s="9" t="s">
        <v>142</v>
      </c>
      <c r="M432" s="21">
        <v>199107</v>
      </c>
    </row>
    <row r="433" spans="1:13">
      <c r="E433" s="21">
        <f t="shared" si="226"/>
        <v>433</v>
      </c>
      <c r="F433" s="9" t="s">
        <v>126</v>
      </c>
      <c r="G433" s="21">
        <v>5</v>
      </c>
      <c r="H433" s="21">
        <v>30</v>
      </c>
      <c r="M433" s="21">
        <f t="shared" ref="M433" si="240">(MOD(D430-1,G431*H431)+1)*G433+H433*(B430-1)</f>
        <v>15</v>
      </c>
    </row>
    <row r="434" spans="1:13">
      <c r="E434" s="21">
        <f t="shared" si="226"/>
        <v>434</v>
      </c>
      <c r="F434" s="9" t="s">
        <v>29</v>
      </c>
      <c r="M434" s="21" t="s">
        <v>246</v>
      </c>
    </row>
    <row r="435" spans="1:13">
      <c r="E435" s="21">
        <f t="shared" si="226"/>
        <v>435</v>
      </c>
      <c r="F435" s="9" t="s">
        <v>118</v>
      </c>
      <c r="M435" s="21" t="s">
        <v>248</v>
      </c>
    </row>
    <row r="436" spans="1:13">
      <c r="E436" s="21">
        <f t="shared" si="226"/>
        <v>436</v>
      </c>
      <c r="F436" s="9" t="s">
        <v>98</v>
      </c>
      <c r="K436" s="9" t="s">
        <v>137</v>
      </c>
      <c r="M436" s="21">
        <v>2</v>
      </c>
    </row>
    <row r="437" spans="1:13">
      <c r="E437" s="21">
        <f t="shared" si="226"/>
        <v>437</v>
      </c>
      <c r="F437" s="9" t="s">
        <v>175</v>
      </c>
      <c r="K437" s="9" t="s">
        <v>136</v>
      </c>
      <c r="M437" s="21" t="s">
        <v>250</v>
      </c>
    </row>
    <row r="438" spans="1:13">
      <c r="E438" s="21">
        <f t="shared" si="226"/>
        <v>438</v>
      </c>
      <c r="F438" s="9" t="s">
        <v>113</v>
      </c>
      <c r="L438" s="9" t="s">
        <v>134</v>
      </c>
      <c r="M438" s="21">
        <v>-90</v>
      </c>
    </row>
    <row r="439" spans="1:13">
      <c r="E439" s="21">
        <f t="shared" si="226"/>
        <v>439</v>
      </c>
      <c r="F439" s="9" t="s">
        <v>31</v>
      </c>
      <c r="G439" s="21">
        <v>5</v>
      </c>
      <c r="H439" s="21">
        <v>72</v>
      </c>
      <c r="L439" s="9" t="s">
        <v>134</v>
      </c>
      <c r="M439" s="21">
        <f t="shared" ref="M439" si="241">(G439*C430+(A430-1)*H439+H433*(B430-1))*-1</f>
        <v>-87</v>
      </c>
    </row>
    <row r="440" spans="1:13">
      <c r="E440" s="21">
        <f t="shared" si="226"/>
        <v>440</v>
      </c>
      <c r="F440" s="9" t="s">
        <v>30</v>
      </c>
      <c r="M440" s="21">
        <v>3</v>
      </c>
    </row>
    <row r="441" spans="1:13">
      <c r="A441" s="21">
        <f t="shared" ref="A441:A504" si="242">QUOTIENT( D441-1,G442*H442)+1</f>
        <v>2</v>
      </c>
      <c r="B441" s="21">
        <f t="shared" ref="B441" si="243">QUOTIENT( D441-1,G442)+1-(A441-1)*H442</f>
        <v>1</v>
      </c>
      <c r="C441" s="21">
        <f t="shared" ref="C441" si="244">D441-(B441-1)*G442-((A441-1)*G442*H442)</f>
        <v>4</v>
      </c>
      <c r="D441" s="21">
        <f>COUNT($D$11:$D440)+1</f>
        <v>40</v>
      </c>
    </row>
    <row r="442" spans="1:13">
      <c r="E442" s="21">
        <f t="shared" si="226"/>
        <v>442</v>
      </c>
      <c r="F442" s="9" t="s">
        <v>93</v>
      </c>
      <c r="G442" s="21">
        <v>6</v>
      </c>
      <c r="H442" s="21">
        <v>6</v>
      </c>
      <c r="I442" s="21">
        <v>5</v>
      </c>
      <c r="J442" s="9" t="s">
        <v>252</v>
      </c>
      <c r="M442" s="21">
        <f t="shared" ref="M442:M505" si="245">J442+D441</f>
        <v>20640</v>
      </c>
    </row>
    <row r="443" spans="1:13">
      <c r="E443" s="21">
        <f t="shared" si="226"/>
        <v>443</v>
      </c>
      <c r="F443" s="9" t="s">
        <v>142</v>
      </c>
      <c r="M443" s="21">
        <v>199107</v>
      </c>
    </row>
    <row r="444" spans="1:13">
      <c r="E444" s="21">
        <f t="shared" si="226"/>
        <v>444</v>
      </c>
      <c r="F444" s="9" t="s">
        <v>126</v>
      </c>
      <c r="G444" s="21">
        <v>5</v>
      </c>
      <c r="H444" s="21">
        <v>30</v>
      </c>
      <c r="M444" s="21">
        <f t="shared" ref="M444" si="246">(MOD(D441-1,G442*H442)+1)*G444+H444*(B441-1)</f>
        <v>20</v>
      </c>
    </row>
    <row r="445" spans="1:13">
      <c r="E445" s="21">
        <f t="shared" si="226"/>
        <v>445</v>
      </c>
      <c r="F445" s="9" t="s">
        <v>29</v>
      </c>
      <c r="M445" s="21" t="s">
        <v>246</v>
      </c>
    </row>
    <row r="446" spans="1:13">
      <c r="E446" s="21">
        <f t="shared" si="226"/>
        <v>446</v>
      </c>
      <c r="F446" s="9" t="s">
        <v>118</v>
      </c>
      <c r="M446" s="21" t="s">
        <v>248</v>
      </c>
    </row>
    <row r="447" spans="1:13">
      <c r="E447" s="21">
        <f t="shared" si="226"/>
        <v>447</v>
      </c>
      <c r="F447" s="9" t="s">
        <v>98</v>
      </c>
      <c r="K447" s="9" t="s">
        <v>137</v>
      </c>
      <c r="M447" s="21">
        <v>2</v>
      </c>
    </row>
    <row r="448" spans="1:13">
      <c r="E448" s="21">
        <f t="shared" si="226"/>
        <v>448</v>
      </c>
      <c r="F448" s="9" t="s">
        <v>175</v>
      </c>
      <c r="K448" s="9" t="s">
        <v>136</v>
      </c>
      <c r="M448" s="21" t="s">
        <v>250</v>
      </c>
    </row>
    <row r="449" spans="1:13">
      <c r="E449" s="21">
        <f t="shared" si="226"/>
        <v>449</v>
      </c>
      <c r="F449" s="9" t="s">
        <v>113</v>
      </c>
      <c r="L449" s="9" t="s">
        <v>134</v>
      </c>
      <c r="M449" s="21">
        <v>-90</v>
      </c>
    </row>
    <row r="450" spans="1:13">
      <c r="E450" s="21">
        <f t="shared" si="226"/>
        <v>450</v>
      </c>
      <c r="F450" s="9" t="s">
        <v>31</v>
      </c>
      <c r="G450" s="21">
        <v>5</v>
      </c>
      <c r="H450" s="21">
        <v>72</v>
      </c>
      <c r="L450" s="9" t="s">
        <v>134</v>
      </c>
      <c r="M450" s="21">
        <f t="shared" ref="M450" si="247">(G450*C441+(A441-1)*H450+H444*(B441-1))*-1</f>
        <v>-92</v>
      </c>
    </row>
    <row r="451" spans="1:13">
      <c r="E451" s="21">
        <f t="shared" si="226"/>
        <v>451</v>
      </c>
      <c r="F451" s="9" t="s">
        <v>30</v>
      </c>
      <c r="M451" s="21">
        <v>3</v>
      </c>
    </row>
    <row r="452" spans="1:13">
      <c r="A452" s="21">
        <f t="shared" ref="A452:A515" si="248">QUOTIENT( D452-1,G453*H453)+1</f>
        <v>2</v>
      </c>
      <c r="B452" s="21">
        <f t="shared" ref="B452" si="249">QUOTIENT( D452-1,G453)+1-(A452-1)*H453</f>
        <v>1</v>
      </c>
      <c r="C452" s="21">
        <f t="shared" ref="C452" si="250">D452-(B452-1)*G453-((A452-1)*G453*H453)</f>
        <v>5</v>
      </c>
      <c r="D452" s="21">
        <f>COUNT($D$11:$D451)+1</f>
        <v>41</v>
      </c>
    </row>
    <row r="453" spans="1:13">
      <c r="E453" s="21">
        <f t="shared" si="226"/>
        <v>453</v>
      </c>
      <c r="F453" s="9" t="s">
        <v>93</v>
      </c>
      <c r="G453" s="21">
        <v>6</v>
      </c>
      <c r="H453" s="21">
        <v>6</v>
      </c>
      <c r="I453" s="21">
        <v>5</v>
      </c>
      <c r="J453" s="9" t="s">
        <v>252</v>
      </c>
      <c r="M453" s="21">
        <f t="shared" ref="M453:M516" si="251">J453+D452</f>
        <v>20641</v>
      </c>
    </row>
    <row r="454" spans="1:13">
      <c r="E454" s="21">
        <f t="shared" si="226"/>
        <v>454</v>
      </c>
      <c r="F454" s="9" t="s">
        <v>142</v>
      </c>
      <c r="M454" s="21">
        <v>199107</v>
      </c>
    </row>
    <row r="455" spans="1:13">
      <c r="E455" s="21">
        <f t="shared" si="226"/>
        <v>455</v>
      </c>
      <c r="F455" s="9" t="s">
        <v>126</v>
      </c>
      <c r="G455" s="21">
        <v>5</v>
      </c>
      <c r="H455" s="21">
        <v>30</v>
      </c>
      <c r="M455" s="21">
        <f t="shared" ref="M455" si="252">(MOD(D452-1,G453*H453)+1)*G455+H455*(B452-1)</f>
        <v>25</v>
      </c>
    </row>
    <row r="456" spans="1:13">
      <c r="E456" s="21">
        <f t="shared" si="226"/>
        <v>456</v>
      </c>
      <c r="F456" s="9" t="s">
        <v>29</v>
      </c>
      <c r="M456" s="21" t="s">
        <v>246</v>
      </c>
    </row>
    <row r="457" spans="1:13">
      <c r="E457" s="21">
        <f t="shared" si="226"/>
        <v>457</v>
      </c>
      <c r="F457" s="9" t="s">
        <v>118</v>
      </c>
      <c r="M457" s="21" t="s">
        <v>248</v>
      </c>
    </row>
    <row r="458" spans="1:13">
      <c r="E458" s="21">
        <f t="shared" si="226"/>
        <v>458</v>
      </c>
      <c r="F458" s="9" t="s">
        <v>98</v>
      </c>
      <c r="K458" s="9" t="s">
        <v>137</v>
      </c>
      <c r="M458" s="21">
        <v>2</v>
      </c>
    </row>
    <row r="459" spans="1:13">
      <c r="E459" s="21">
        <f t="shared" si="226"/>
        <v>459</v>
      </c>
      <c r="F459" s="9" t="s">
        <v>175</v>
      </c>
      <c r="K459" s="9" t="s">
        <v>136</v>
      </c>
      <c r="M459" s="21" t="s">
        <v>250</v>
      </c>
    </row>
    <row r="460" spans="1:13">
      <c r="E460" s="21">
        <f t="shared" si="226"/>
        <v>460</v>
      </c>
      <c r="F460" s="9" t="s">
        <v>113</v>
      </c>
      <c r="L460" s="9" t="s">
        <v>134</v>
      </c>
      <c r="M460" s="21">
        <v>-90</v>
      </c>
    </row>
    <row r="461" spans="1:13">
      <c r="E461" s="21">
        <f t="shared" si="226"/>
        <v>461</v>
      </c>
      <c r="F461" s="9" t="s">
        <v>31</v>
      </c>
      <c r="G461" s="21">
        <v>5</v>
      </c>
      <c r="H461" s="21">
        <v>72</v>
      </c>
      <c r="L461" s="9" t="s">
        <v>134</v>
      </c>
      <c r="M461" s="21">
        <f t="shared" ref="M461" si="253">(G461*C452+(A452-1)*H461+H455*(B452-1))*-1</f>
        <v>-97</v>
      </c>
    </row>
    <row r="462" spans="1:13">
      <c r="E462" s="21">
        <f t="shared" si="226"/>
        <v>462</v>
      </c>
      <c r="F462" s="9" t="s">
        <v>30</v>
      </c>
      <c r="M462" s="21">
        <v>3</v>
      </c>
    </row>
    <row r="463" spans="1:13">
      <c r="A463" s="21">
        <f t="shared" ref="A463:A526" si="254">QUOTIENT( D463-1,G464*H464)+1</f>
        <v>2</v>
      </c>
      <c r="B463" s="21">
        <f t="shared" ref="B463" si="255">QUOTIENT( D463-1,G464)+1-(A463-1)*H464</f>
        <v>1</v>
      </c>
      <c r="C463" s="21">
        <f t="shared" ref="C463" si="256">D463-(B463-1)*G464-((A463-1)*G464*H464)</f>
        <v>6</v>
      </c>
      <c r="D463" s="21">
        <f>COUNT($D$11:$D462)+1</f>
        <v>42</v>
      </c>
    </row>
    <row r="464" spans="1:13">
      <c r="E464" s="21">
        <f t="shared" si="226"/>
        <v>464</v>
      </c>
      <c r="F464" s="9" t="s">
        <v>93</v>
      </c>
      <c r="G464" s="21">
        <v>6</v>
      </c>
      <c r="H464" s="21">
        <v>6</v>
      </c>
      <c r="I464" s="21">
        <v>5</v>
      </c>
      <c r="J464" s="9" t="s">
        <v>252</v>
      </c>
      <c r="M464" s="21">
        <f t="shared" ref="M464:M527" si="257">J464+D463</f>
        <v>20642</v>
      </c>
    </row>
    <row r="465" spans="1:13">
      <c r="E465" s="21">
        <f t="shared" si="226"/>
        <v>465</v>
      </c>
      <c r="F465" s="9" t="s">
        <v>142</v>
      </c>
      <c r="M465" s="21">
        <v>199107</v>
      </c>
    </row>
    <row r="466" spans="1:13">
      <c r="E466" s="21">
        <f t="shared" si="226"/>
        <v>466</v>
      </c>
      <c r="F466" s="9" t="s">
        <v>126</v>
      </c>
      <c r="G466" s="21">
        <v>5</v>
      </c>
      <c r="H466" s="21">
        <v>30</v>
      </c>
      <c r="M466" s="21">
        <f t="shared" ref="M466" si="258">(MOD(D463-1,G464*H464)+1)*G466+H466*(B463-1)</f>
        <v>30</v>
      </c>
    </row>
    <row r="467" spans="1:13">
      <c r="E467" s="21">
        <f t="shared" si="226"/>
        <v>467</v>
      </c>
      <c r="F467" s="9" t="s">
        <v>29</v>
      </c>
      <c r="M467" s="21" t="s">
        <v>246</v>
      </c>
    </row>
    <row r="468" spans="1:13">
      <c r="E468" s="21">
        <f t="shared" si="226"/>
        <v>468</v>
      </c>
      <c r="F468" s="9" t="s">
        <v>118</v>
      </c>
      <c r="M468" s="21" t="s">
        <v>248</v>
      </c>
    </row>
    <row r="469" spans="1:13">
      <c r="E469" s="21">
        <f t="shared" si="226"/>
        <v>469</v>
      </c>
      <c r="F469" s="9" t="s">
        <v>98</v>
      </c>
      <c r="K469" s="9" t="s">
        <v>137</v>
      </c>
      <c r="M469" s="21">
        <v>2</v>
      </c>
    </row>
    <row r="470" spans="1:13">
      <c r="E470" s="21">
        <f t="shared" si="226"/>
        <v>470</v>
      </c>
      <c r="F470" s="9" t="s">
        <v>175</v>
      </c>
      <c r="K470" s="9" t="s">
        <v>136</v>
      </c>
      <c r="M470" s="21" t="s">
        <v>250</v>
      </c>
    </row>
    <row r="471" spans="1:13">
      <c r="E471" s="21">
        <f t="shared" si="226"/>
        <v>471</v>
      </c>
      <c r="F471" s="9" t="s">
        <v>113</v>
      </c>
      <c r="L471" s="9" t="s">
        <v>134</v>
      </c>
      <c r="M471" s="21">
        <v>-90</v>
      </c>
    </row>
    <row r="472" spans="1:13">
      <c r="E472" s="21">
        <f t="shared" si="226"/>
        <v>472</v>
      </c>
      <c r="F472" s="9" t="s">
        <v>31</v>
      </c>
      <c r="G472" s="21">
        <v>5</v>
      </c>
      <c r="H472" s="21">
        <v>72</v>
      </c>
      <c r="L472" s="9" t="s">
        <v>134</v>
      </c>
      <c r="M472" s="21">
        <f t="shared" ref="M472" si="259">(G472*C463+(A463-1)*H472+H466*(B463-1))*-1</f>
        <v>-102</v>
      </c>
    </row>
    <row r="473" spans="1:13">
      <c r="E473" s="21">
        <f t="shared" ref="E473:E536" si="260">ROW(E473)</f>
        <v>473</v>
      </c>
      <c r="F473" s="9" t="s">
        <v>30</v>
      </c>
      <c r="M473" s="21">
        <v>3</v>
      </c>
    </row>
    <row r="474" spans="1:13">
      <c r="A474" s="21">
        <f t="shared" ref="A474:A537" si="261">QUOTIENT( D474-1,G475*H475)+1</f>
        <v>2</v>
      </c>
      <c r="B474" s="21">
        <f t="shared" ref="B474" si="262">QUOTIENT( D474-1,G475)+1-(A474-1)*H475</f>
        <v>2</v>
      </c>
      <c r="C474" s="21">
        <f t="shared" ref="C474" si="263">D474-(B474-1)*G475-((A474-1)*G475*H475)</f>
        <v>1</v>
      </c>
      <c r="D474" s="21">
        <f>COUNT($D$11:$D473)+1</f>
        <v>43</v>
      </c>
    </row>
    <row r="475" spans="1:13">
      <c r="E475" s="21">
        <f t="shared" ref="E475:E538" si="264">ROW(E475)</f>
        <v>475</v>
      </c>
      <c r="F475" s="9" t="s">
        <v>93</v>
      </c>
      <c r="G475" s="21">
        <v>6</v>
      </c>
      <c r="H475" s="21">
        <v>6</v>
      </c>
      <c r="I475" s="21">
        <v>5</v>
      </c>
      <c r="J475" s="9" t="s">
        <v>252</v>
      </c>
      <c r="M475" s="21">
        <f t="shared" ref="M475:M538" si="265">J475+D474</f>
        <v>20643</v>
      </c>
    </row>
    <row r="476" spans="1:13">
      <c r="E476" s="21">
        <f t="shared" si="264"/>
        <v>476</v>
      </c>
      <c r="F476" s="9" t="s">
        <v>142</v>
      </c>
      <c r="M476" s="21">
        <v>199107</v>
      </c>
    </row>
    <row r="477" spans="1:13">
      <c r="E477" s="21">
        <f t="shared" si="264"/>
        <v>477</v>
      </c>
      <c r="F477" s="9" t="s">
        <v>126</v>
      </c>
      <c r="G477" s="21">
        <v>5</v>
      </c>
      <c r="H477" s="21">
        <v>30</v>
      </c>
      <c r="M477" s="21">
        <f t="shared" ref="M477" si="266">(MOD(D474-1,G475*H475)+1)*G477+H477*(B474-1)</f>
        <v>65</v>
      </c>
    </row>
    <row r="478" spans="1:13">
      <c r="E478" s="21">
        <f t="shared" si="264"/>
        <v>478</v>
      </c>
      <c r="F478" s="9" t="s">
        <v>29</v>
      </c>
      <c r="M478" s="21" t="s">
        <v>246</v>
      </c>
    </row>
    <row r="479" spans="1:13">
      <c r="E479" s="21">
        <f t="shared" si="264"/>
        <v>479</v>
      </c>
      <c r="F479" s="9" t="s">
        <v>118</v>
      </c>
      <c r="M479" s="21" t="s">
        <v>248</v>
      </c>
    </row>
    <row r="480" spans="1:13">
      <c r="E480" s="21">
        <f t="shared" si="264"/>
        <v>480</v>
      </c>
      <c r="F480" s="9" t="s">
        <v>98</v>
      </c>
      <c r="K480" s="9" t="s">
        <v>137</v>
      </c>
      <c r="M480" s="21">
        <v>2</v>
      </c>
    </row>
    <row r="481" spans="1:13">
      <c r="E481" s="21">
        <f t="shared" si="264"/>
        <v>481</v>
      </c>
      <c r="F481" s="9" t="s">
        <v>175</v>
      </c>
      <c r="K481" s="9" t="s">
        <v>136</v>
      </c>
      <c r="M481" s="21" t="s">
        <v>250</v>
      </c>
    </row>
    <row r="482" spans="1:13">
      <c r="E482" s="21">
        <f t="shared" si="264"/>
        <v>482</v>
      </c>
      <c r="F482" s="9" t="s">
        <v>113</v>
      </c>
      <c r="L482" s="9" t="s">
        <v>134</v>
      </c>
      <c r="M482" s="21">
        <v>-90</v>
      </c>
    </row>
    <row r="483" spans="1:13">
      <c r="E483" s="21">
        <f t="shared" si="264"/>
        <v>483</v>
      </c>
      <c r="F483" s="9" t="s">
        <v>31</v>
      </c>
      <c r="G483" s="21">
        <v>5</v>
      </c>
      <c r="H483" s="21">
        <v>72</v>
      </c>
      <c r="L483" s="9" t="s">
        <v>134</v>
      </c>
      <c r="M483" s="21">
        <f t="shared" ref="M483" si="267">(G483*C474+(A474-1)*H483+H477*(B474-1))*-1</f>
        <v>-107</v>
      </c>
    </row>
    <row r="484" spans="1:13">
      <c r="E484" s="21">
        <f t="shared" si="264"/>
        <v>484</v>
      </c>
      <c r="F484" s="9" t="s">
        <v>30</v>
      </c>
      <c r="M484" s="21">
        <v>3</v>
      </c>
    </row>
    <row r="485" spans="1:13">
      <c r="A485" s="21">
        <f t="shared" ref="A485:A548" si="268">QUOTIENT( D485-1,G486*H486)+1</f>
        <v>2</v>
      </c>
      <c r="B485" s="21">
        <f t="shared" ref="B485" si="269">QUOTIENT( D485-1,G486)+1-(A485-1)*H486</f>
        <v>2</v>
      </c>
      <c r="C485" s="21">
        <f t="shared" ref="C485" si="270">D485-(B485-1)*G486-((A485-1)*G486*H486)</f>
        <v>2</v>
      </c>
      <c r="D485" s="21">
        <f>COUNT($D$11:$D484)+1</f>
        <v>44</v>
      </c>
    </row>
    <row r="486" spans="1:13">
      <c r="E486" s="21">
        <f t="shared" si="264"/>
        <v>486</v>
      </c>
      <c r="F486" s="9" t="s">
        <v>93</v>
      </c>
      <c r="G486" s="21">
        <v>6</v>
      </c>
      <c r="H486" s="21">
        <v>6</v>
      </c>
      <c r="I486" s="21">
        <v>5</v>
      </c>
      <c r="J486" s="9" t="s">
        <v>252</v>
      </c>
      <c r="M486" s="21">
        <f t="shared" ref="M486:M549" si="271">J486+D485</f>
        <v>20644</v>
      </c>
    </row>
    <row r="487" spans="1:13">
      <c r="E487" s="21">
        <f t="shared" si="264"/>
        <v>487</v>
      </c>
      <c r="F487" s="9" t="s">
        <v>142</v>
      </c>
      <c r="M487" s="21">
        <v>199107</v>
      </c>
    </row>
    <row r="488" spans="1:13">
      <c r="E488" s="21">
        <f t="shared" si="264"/>
        <v>488</v>
      </c>
      <c r="F488" s="9" t="s">
        <v>126</v>
      </c>
      <c r="G488" s="21">
        <v>5</v>
      </c>
      <c r="H488" s="21">
        <v>30</v>
      </c>
      <c r="M488" s="21">
        <f t="shared" ref="M488" si="272">(MOD(D485-1,G486*H486)+1)*G488+H488*(B485-1)</f>
        <v>70</v>
      </c>
    </row>
    <row r="489" spans="1:13">
      <c r="E489" s="21">
        <f t="shared" si="264"/>
        <v>489</v>
      </c>
      <c r="F489" s="9" t="s">
        <v>29</v>
      </c>
      <c r="M489" s="21" t="s">
        <v>246</v>
      </c>
    </row>
    <row r="490" spans="1:13">
      <c r="E490" s="21">
        <f t="shared" si="264"/>
        <v>490</v>
      </c>
      <c r="F490" s="9" t="s">
        <v>118</v>
      </c>
      <c r="M490" s="21" t="s">
        <v>248</v>
      </c>
    </row>
    <row r="491" spans="1:13">
      <c r="E491" s="21">
        <f t="shared" si="264"/>
        <v>491</v>
      </c>
      <c r="F491" s="9" t="s">
        <v>98</v>
      </c>
      <c r="K491" s="9" t="s">
        <v>137</v>
      </c>
      <c r="M491" s="21">
        <v>2</v>
      </c>
    </row>
    <row r="492" spans="1:13">
      <c r="E492" s="21">
        <f t="shared" si="264"/>
        <v>492</v>
      </c>
      <c r="F492" s="9" t="s">
        <v>175</v>
      </c>
      <c r="K492" s="9" t="s">
        <v>136</v>
      </c>
      <c r="M492" s="21" t="s">
        <v>250</v>
      </c>
    </row>
    <row r="493" spans="1:13">
      <c r="E493" s="21">
        <f t="shared" si="264"/>
        <v>493</v>
      </c>
      <c r="F493" s="9" t="s">
        <v>113</v>
      </c>
      <c r="L493" s="9" t="s">
        <v>134</v>
      </c>
      <c r="M493" s="21">
        <v>-90</v>
      </c>
    </row>
    <row r="494" spans="1:13">
      <c r="E494" s="21">
        <f t="shared" si="264"/>
        <v>494</v>
      </c>
      <c r="F494" s="9" t="s">
        <v>31</v>
      </c>
      <c r="G494" s="21">
        <v>5</v>
      </c>
      <c r="H494" s="21">
        <v>72</v>
      </c>
      <c r="L494" s="9" t="s">
        <v>134</v>
      </c>
      <c r="M494" s="21">
        <f t="shared" ref="M494" si="273">(G494*C485+(A485-1)*H494+H488*(B485-1))*-1</f>
        <v>-112</v>
      </c>
    </row>
    <row r="495" spans="1:13">
      <c r="E495" s="21">
        <f t="shared" si="264"/>
        <v>495</v>
      </c>
      <c r="F495" s="9" t="s">
        <v>30</v>
      </c>
      <c r="M495" s="21">
        <v>3</v>
      </c>
    </row>
    <row r="496" spans="1:13">
      <c r="A496" s="21">
        <f t="shared" ref="A496:A559" si="274">QUOTIENT( D496-1,G497*H497)+1</f>
        <v>2</v>
      </c>
      <c r="B496" s="21">
        <f t="shared" ref="B496" si="275">QUOTIENT( D496-1,G497)+1-(A496-1)*H497</f>
        <v>2</v>
      </c>
      <c r="C496" s="21">
        <f t="shared" ref="C496" si="276">D496-(B496-1)*G497-((A496-1)*G497*H497)</f>
        <v>3</v>
      </c>
      <c r="D496" s="21">
        <f>COUNT($D$11:$D495)+1</f>
        <v>45</v>
      </c>
    </row>
    <row r="497" spans="1:13">
      <c r="E497" s="21">
        <f t="shared" si="264"/>
        <v>497</v>
      </c>
      <c r="F497" s="9" t="s">
        <v>93</v>
      </c>
      <c r="G497" s="21">
        <v>6</v>
      </c>
      <c r="H497" s="21">
        <v>6</v>
      </c>
      <c r="I497" s="21">
        <v>5</v>
      </c>
      <c r="J497" s="9" t="s">
        <v>252</v>
      </c>
      <c r="M497" s="21">
        <f t="shared" ref="M497:M560" si="277">J497+D496</f>
        <v>20645</v>
      </c>
    </row>
    <row r="498" spans="1:13">
      <c r="E498" s="21">
        <f t="shared" si="264"/>
        <v>498</v>
      </c>
      <c r="F498" s="9" t="s">
        <v>142</v>
      </c>
      <c r="M498" s="21">
        <v>199107</v>
      </c>
    </row>
    <row r="499" spans="1:13">
      <c r="E499" s="21">
        <f t="shared" si="264"/>
        <v>499</v>
      </c>
      <c r="F499" s="9" t="s">
        <v>126</v>
      </c>
      <c r="G499" s="21">
        <v>5</v>
      </c>
      <c r="H499" s="21">
        <v>30</v>
      </c>
      <c r="M499" s="21">
        <f t="shared" ref="M499" si="278">(MOD(D496-1,G497*H497)+1)*G499+H499*(B496-1)</f>
        <v>75</v>
      </c>
    </row>
    <row r="500" spans="1:13">
      <c r="E500" s="21">
        <f t="shared" si="264"/>
        <v>500</v>
      </c>
      <c r="F500" s="9" t="s">
        <v>29</v>
      </c>
      <c r="M500" s="21" t="s">
        <v>246</v>
      </c>
    </row>
    <row r="501" spans="1:13">
      <c r="E501" s="21">
        <f t="shared" si="264"/>
        <v>501</v>
      </c>
      <c r="F501" s="9" t="s">
        <v>118</v>
      </c>
      <c r="M501" s="21" t="s">
        <v>248</v>
      </c>
    </row>
    <row r="502" spans="1:13">
      <c r="E502" s="21">
        <f t="shared" si="264"/>
        <v>502</v>
      </c>
      <c r="F502" s="9" t="s">
        <v>98</v>
      </c>
      <c r="K502" s="9" t="s">
        <v>137</v>
      </c>
      <c r="M502" s="21">
        <v>2</v>
      </c>
    </row>
    <row r="503" spans="1:13">
      <c r="E503" s="21">
        <f t="shared" si="264"/>
        <v>503</v>
      </c>
      <c r="F503" s="9" t="s">
        <v>175</v>
      </c>
      <c r="K503" s="9" t="s">
        <v>136</v>
      </c>
      <c r="M503" s="21" t="s">
        <v>250</v>
      </c>
    </row>
    <row r="504" spans="1:13">
      <c r="E504" s="21">
        <f t="shared" si="264"/>
        <v>504</v>
      </c>
      <c r="F504" s="9" t="s">
        <v>113</v>
      </c>
      <c r="L504" s="9" t="s">
        <v>134</v>
      </c>
      <c r="M504" s="21">
        <v>-90</v>
      </c>
    </row>
    <row r="505" spans="1:13">
      <c r="E505" s="21">
        <f t="shared" si="264"/>
        <v>505</v>
      </c>
      <c r="F505" s="9" t="s">
        <v>31</v>
      </c>
      <c r="G505" s="21">
        <v>5</v>
      </c>
      <c r="H505" s="21">
        <v>72</v>
      </c>
      <c r="L505" s="9" t="s">
        <v>134</v>
      </c>
      <c r="M505" s="21">
        <f t="shared" ref="M505" si="279">(G505*C496+(A496-1)*H505+H499*(B496-1))*-1</f>
        <v>-117</v>
      </c>
    </row>
    <row r="506" spans="1:13">
      <c r="E506" s="21">
        <f t="shared" si="264"/>
        <v>506</v>
      </c>
      <c r="F506" s="9" t="s">
        <v>30</v>
      </c>
      <c r="M506" s="21">
        <v>3</v>
      </c>
    </row>
    <row r="507" spans="1:13">
      <c r="A507" s="21">
        <f t="shared" ref="A507:A570" si="280">QUOTIENT( D507-1,G508*H508)+1</f>
        <v>2</v>
      </c>
      <c r="B507" s="21">
        <f t="shared" ref="B507" si="281">QUOTIENT( D507-1,G508)+1-(A507-1)*H508</f>
        <v>2</v>
      </c>
      <c r="C507" s="21">
        <f t="shared" ref="C507" si="282">D507-(B507-1)*G508-((A507-1)*G508*H508)</f>
        <v>4</v>
      </c>
      <c r="D507" s="21">
        <f>COUNT($D$11:$D506)+1</f>
        <v>46</v>
      </c>
    </row>
    <row r="508" spans="1:13">
      <c r="E508" s="21">
        <f t="shared" si="264"/>
        <v>508</v>
      </c>
      <c r="F508" s="9" t="s">
        <v>93</v>
      </c>
      <c r="G508" s="21">
        <v>6</v>
      </c>
      <c r="H508" s="21">
        <v>6</v>
      </c>
      <c r="I508" s="21">
        <v>5</v>
      </c>
      <c r="J508" s="9" t="s">
        <v>252</v>
      </c>
      <c r="M508" s="21">
        <f t="shared" ref="M508:M571" si="283">J508+D507</f>
        <v>20646</v>
      </c>
    </row>
    <row r="509" spans="1:13">
      <c r="E509" s="21">
        <f t="shared" si="264"/>
        <v>509</v>
      </c>
      <c r="F509" s="9" t="s">
        <v>142</v>
      </c>
      <c r="M509" s="21">
        <v>199107</v>
      </c>
    </row>
    <row r="510" spans="1:13">
      <c r="E510" s="21">
        <f t="shared" si="264"/>
        <v>510</v>
      </c>
      <c r="F510" s="9" t="s">
        <v>126</v>
      </c>
      <c r="G510" s="21">
        <v>5</v>
      </c>
      <c r="H510" s="21">
        <v>30</v>
      </c>
      <c r="M510" s="21">
        <f t="shared" ref="M510" si="284">(MOD(D507-1,G508*H508)+1)*G510+H510*(B507-1)</f>
        <v>80</v>
      </c>
    </row>
    <row r="511" spans="1:13">
      <c r="E511" s="21">
        <f t="shared" si="264"/>
        <v>511</v>
      </c>
      <c r="F511" s="9" t="s">
        <v>29</v>
      </c>
      <c r="M511" s="21" t="s">
        <v>246</v>
      </c>
    </row>
    <row r="512" spans="1:13">
      <c r="E512" s="21">
        <f t="shared" si="264"/>
        <v>512</v>
      </c>
      <c r="F512" s="9" t="s">
        <v>118</v>
      </c>
      <c r="M512" s="21" t="s">
        <v>248</v>
      </c>
    </row>
    <row r="513" spans="1:13">
      <c r="E513" s="21">
        <f t="shared" si="264"/>
        <v>513</v>
      </c>
      <c r="F513" s="9" t="s">
        <v>98</v>
      </c>
      <c r="K513" s="9" t="s">
        <v>137</v>
      </c>
      <c r="M513" s="21">
        <v>2</v>
      </c>
    </row>
    <row r="514" spans="1:13">
      <c r="E514" s="21">
        <f t="shared" si="264"/>
        <v>514</v>
      </c>
      <c r="F514" s="9" t="s">
        <v>175</v>
      </c>
      <c r="K514" s="9" t="s">
        <v>136</v>
      </c>
      <c r="M514" s="21" t="s">
        <v>250</v>
      </c>
    </row>
    <row r="515" spans="1:13">
      <c r="E515" s="21">
        <f t="shared" si="264"/>
        <v>515</v>
      </c>
      <c r="F515" s="9" t="s">
        <v>113</v>
      </c>
      <c r="L515" s="9" t="s">
        <v>134</v>
      </c>
      <c r="M515" s="21">
        <v>-90</v>
      </c>
    </row>
    <row r="516" spans="1:13">
      <c r="E516" s="21">
        <f t="shared" si="264"/>
        <v>516</v>
      </c>
      <c r="F516" s="9" t="s">
        <v>31</v>
      </c>
      <c r="G516" s="21">
        <v>5</v>
      </c>
      <c r="H516" s="21">
        <v>72</v>
      </c>
      <c r="L516" s="9" t="s">
        <v>134</v>
      </c>
      <c r="M516" s="21">
        <f t="shared" ref="M516" si="285">(G516*C507+(A507-1)*H516+H510*(B507-1))*-1</f>
        <v>-122</v>
      </c>
    </row>
    <row r="517" spans="1:13">
      <c r="E517" s="21">
        <f t="shared" si="264"/>
        <v>517</v>
      </c>
      <c r="F517" s="9" t="s">
        <v>30</v>
      </c>
      <c r="M517" s="21">
        <v>3</v>
      </c>
    </row>
    <row r="518" spans="1:13">
      <c r="A518" s="21">
        <f t="shared" ref="A518:A581" si="286">QUOTIENT( D518-1,G519*H519)+1</f>
        <v>2</v>
      </c>
      <c r="B518" s="21">
        <f t="shared" ref="B518" si="287">QUOTIENT( D518-1,G519)+1-(A518-1)*H519</f>
        <v>2</v>
      </c>
      <c r="C518" s="21">
        <f t="shared" ref="C518" si="288">D518-(B518-1)*G519-((A518-1)*G519*H519)</f>
        <v>5</v>
      </c>
      <c r="D518" s="21">
        <f>COUNT($D$11:$D517)+1</f>
        <v>47</v>
      </c>
    </row>
    <row r="519" spans="1:13">
      <c r="E519" s="21">
        <f t="shared" si="264"/>
        <v>519</v>
      </c>
      <c r="F519" s="9" t="s">
        <v>93</v>
      </c>
      <c r="G519" s="21">
        <v>6</v>
      </c>
      <c r="H519" s="21">
        <v>6</v>
      </c>
      <c r="I519" s="21">
        <v>5</v>
      </c>
      <c r="J519" s="9" t="s">
        <v>252</v>
      </c>
      <c r="M519" s="21">
        <f t="shared" ref="M519:M582" si="289">J519+D518</f>
        <v>20647</v>
      </c>
    </row>
    <row r="520" spans="1:13">
      <c r="E520" s="21">
        <f t="shared" si="264"/>
        <v>520</v>
      </c>
      <c r="F520" s="9" t="s">
        <v>142</v>
      </c>
      <c r="M520" s="21">
        <v>199107</v>
      </c>
    </row>
    <row r="521" spans="1:13">
      <c r="E521" s="21">
        <f t="shared" si="264"/>
        <v>521</v>
      </c>
      <c r="F521" s="9" t="s">
        <v>126</v>
      </c>
      <c r="G521" s="21">
        <v>5</v>
      </c>
      <c r="H521" s="21">
        <v>30</v>
      </c>
      <c r="M521" s="21">
        <f t="shared" ref="M521" si="290">(MOD(D518-1,G519*H519)+1)*G521+H521*(B518-1)</f>
        <v>85</v>
      </c>
    </row>
    <row r="522" spans="1:13">
      <c r="E522" s="21">
        <f t="shared" si="264"/>
        <v>522</v>
      </c>
      <c r="F522" s="9" t="s">
        <v>29</v>
      </c>
      <c r="M522" s="21" t="s">
        <v>246</v>
      </c>
    </row>
    <row r="523" spans="1:13">
      <c r="E523" s="21">
        <f t="shared" si="264"/>
        <v>523</v>
      </c>
      <c r="F523" s="9" t="s">
        <v>118</v>
      </c>
      <c r="M523" s="21" t="s">
        <v>248</v>
      </c>
    </row>
    <row r="524" spans="1:13">
      <c r="E524" s="21">
        <f t="shared" si="264"/>
        <v>524</v>
      </c>
      <c r="F524" s="9" t="s">
        <v>98</v>
      </c>
      <c r="K524" s="9" t="s">
        <v>137</v>
      </c>
      <c r="M524" s="21">
        <v>2</v>
      </c>
    </row>
    <row r="525" spans="1:13">
      <c r="E525" s="21">
        <f t="shared" si="264"/>
        <v>525</v>
      </c>
      <c r="F525" s="9" t="s">
        <v>175</v>
      </c>
      <c r="K525" s="9" t="s">
        <v>136</v>
      </c>
      <c r="M525" s="21" t="s">
        <v>250</v>
      </c>
    </row>
    <row r="526" spans="1:13">
      <c r="E526" s="21">
        <f t="shared" si="264"/>
        <v>526</v>
      </c>
      <c r="F526" s="9" t="s">
        <v>113</v>
      </c>
      <c r="L526" s="9" t="s">
        <v>134</v>
      </c>
      <c r="M526" s="21">
        <v>-90</v>
      </c>
    </row>
    <row r="527" spans="1:13">
      <c r="E527" s="21">
        <f t="shared" si="264"/>
        <v>527</v>
      </c>
      <c r="F527" s="9" t="s">
        <v>31</v>
      </c>
      <c r="G527" s="21">
        <v>5</v>
      </c>
      <c r="H527" s="21">
        <v>72</v>
      </c>
      <c r="L527" s="9" t="s">
        <v>134</v>
      </c>
      <c r="M527" s="21">
        <f t="shared" ref="M527" si="291">(G527*C518+(A518-1)*H527+H521*(B518-1))*-1</f>
        <v>-127</v>
      </c>
    </row>
    <row r="528" spans="1:13">
      <c r="E528" s="21">
        <f t="shared" si="264"/>
        <v>528</v>
      </c>
      <c r="F528" s="9" t="s">
        <v>30</v>
      </c>
      <c r="M528" s="21">
        <v>3</v>
      </c>
    </row>
    <row r="529" spans="1:13">
      <c r="A529" s="21">
        <f t="shared" ref="A529:A592" si="292">QUOTIENT( D529-1,G530*H530)+1</f>
        <v>2</v>
      </c>
      <c r="B529" s="21">
        <f t="shared" ref="B529" si="293">QUOTIENT( D529-1,G530)+1-(A529-1)*H530</f>
        <v>2</v>
      </c>
      <c r="C529" s="21">
        <f t="shared" ref="C529" si="294">D529-(B529-1)*G530-((A529-1)*G530*H530)</f>
        <v>6</v>
      </c>
      <c r="D529" s="21">
        <f>COUNT($D$11:$D528)+1</f>
        <v>48</v>
      </c>
    </row>
    <row r="530" spans="1:13">
      <c r="E530" s="21">
        <f t="shared" si="264"/>
        <v>530</v>
      </c>
      <c r="F530" s="9" t="s">
        <v>93</v>
      </c>
      <c r="G530" s="21">
        <v>6</v>
      </c>
      <c r="H530" s="21">
        <v>6</v>
      </c>
      <c r="I530" s="21">
        <v>5</v>
      </c>
      <c r="J530" s="9" t="s">
        <v>252</v>
      </c>
      <c r="M530" s="21">
        <f t="shared" ref="M530:M593" si="295">J530+D529</f>
        <v>20648</v>
      </c>
    </row>
    <row r="531" spans="1:13">
      <c r="E531" s="21">
        <f t="shared" si="264"/>
        <v>531</v>
      </c>
      <c r="F531" s="9" t="s">
        <v>142</v>
      </c>
      <c r="M531" s="21">
        <v>199107</v>
      </c>
    </row>
    <row r="532" spans="1:13">
      <c r="E532" s="21">
        <f t="shared" si="264"/>
        <v>532</v>
      </c>
      <c r="F532" s="9" t="s">
        <v>126</v>
      </c>
      <c r="G532" s="21">
        <v>5</v>
      </c>
      <c r="H532" s="21">
        <v>30</v>
      </c>
      <c r="M532" s="21">
        <f t="shared" ref="M532" si="296">(MOD(D529-1,G530*H530)+1)*G532+H532*(B529-1)</f>
        <v>90</v>
      </c>
    </row>
    <row r="533" spans="1:13">
      <c r="E533" s="21">
        <f t="shared" si="264"/>
        <v>533</v>
      </c>
      <c r="F533" s="9" t="s">
        <v>29</v>
      </c>
      <c r="M533" s="21" t="s">
        <v>246</v>
      </c>
    </row>
    <row r="534" spans="1:13">
      <c r="E534" s="21">
        <f t="shared" si="264"/>
        <v>534</v>
      </c>
      <c r="F534" s="9" t="s">
        <v>118</v>
      </c>
      <c r="M534" s="21" t="s">
        <v>248</v>
      </c>
    </row>
    <row r="535" spans="1:13">
      <c r="E535" s="21">
        <f t="shared" si="264"/>
        <v>535</v>
      </c>
      <c r="F535" s="9" t="s">
        <v>98</v>
      </c>
      <c r="K535" s="9" t="s">
        <v>137</v>
      </c>
      <c r="M535" s="21">
        <v>2</v>
      </c>
    </row>
    <row r="536" spans="1:13">
      <c r="E536" s="21">
        <f t="shared" si="264"/>
        <v>536</v>
      </c>
      <c r="F536" s="9" t="s">
        <v>175</v>
      </c>
      <c r="K536" s="9" t="s">
        <v>136</v>
      </c>
      <c r="M536" s="21" t="s">
        <v>250</v>
      </c>
    </row>
    <row r="537" spans="1:13">
      <c r="E537" s="21">
        <f t="shared" si="264"/>
        <v>537</v>
      </c>
      <c r="F537" s="9" t="s">
        <v>113</v>
      </c>
      <c r="L537" s="9" t="s">
        <v>134</v>
      </c>
      <c r="M537" s="21">
        <v>-90</v>
      </c>
    </row>
    <row r="538" spans="1:13">
      <c r="E538" s="21">
        <f t="shared" si="264"/>
        <v>538</v>
      </c>
      <c r="F538" s="9" t="s">
        <v>31</v>
      </c>
      <c r="G538" s="21">
        <v>5</v>
      </c>
      <c r="H538" s="21">
        <v>72</v>
      </c>
      <c r="L538" s="9" t="s">
        <v>134</v>
      </c>
      <c r="M538" s="21">
        <f t="shared" ref="M538" si="297">(G538*C529+(A529-1)*H538+H532*(B529-1))*-1</f>
        <v>-132</v>
      </c>
    </row>
    <row r="539" spans="1:13">
      <c r="E539" s="21">
        <f t="shared" ref="E539:E602" si="298">ROW(E539)</f>
        <v>539</v>
      </c>
      <c r="F539" s="9" t="s">
        <v>30</v>
      </c>
      <c r="M539" s="21">
        <v>3</v>
      </c>
    </row>
    <row r="540" spans="1:13">
      <c r="A540" s="21">
        <f t="shared" ref="A540:A603" si="299">QUOTIENT( D540-1,G541*H541)+1</f>
        <v>2</v>
      </c>
      <c r="B540" s="21">
        <f t="shared" ref="B540" si="300">QUOTIENT( D540-1,G541)+1-(A540-1)*H541</f>
        <v>3</v>
      </c>
      <c r="C540" s="21">
        <f t="shared" ref="C540" si="301">D540-(B540-1)*G541-((A540-1)*G541*H541)</f>
        <v>1</v>
      </c>
      <c r="D540" s="21">
        <f>COUNT($D$11:$D539)+1</f>
        <v>49</v>
      </c>
    </row>
    <row r="541" spans="1:13">
      <c r="E541" s="21">
        <f t="shared" ref="E541:E604" si="302">ROW(E541)</f>
        <v>541</v>
      </c>
      <c r="F541" s="9" t="s">
        <v>93</v>
      </c>
      <c r="G541" s="21">
        <v>6</v>
      </c>
      <c r="H541" s="21">
        <v>6</v>
      </c>
      <c r="I541" s="21">
        <v>5</v>
      </c>
      <c r="J541" s="9" t="s">
        <v>252</v>
      </c>
      <c r="M541" s="21">
        <f t="shared" ref="M541:M604" si="303">J541+D540</f>
        <v>20649</v>
      </c>
    </row>
    <row r="542" spans="1:13">
      <c r="E542" s="21">
        <f t="shared" si="302"/>
        <v>542</v>
      </c>
      <c r="F542" s="9" t="s">
        <v>142</v>
      </c>
      <c r="M542" s="21">
        <v>199107</v>
      </c>
    </row>
    <row r="543" spans="1:13">
      <c r="E543" s="21">
        <f t="shared" si="302"/>
        <v>543</v>
      </c>
      <c r="F543" s="9" t="s">
        <v>126</v>
      </c>
      <c r="G543" s="21">
        <v>5</v>
      </c>
      <c r="H543" s="21">
        <v>30</v>
      </c>
      <c r="M543" s="21">
        <f t="shared" ref="M543" si="304">(MOD(D540-1,G541*H541)+1)*G543+H543*(B540-1)</f>
        <v>125</v>
      </c>
    </row>
    <row r="544" spans="1:13">
      <c r="E544" s="21">
        <f t="shared" si="302"/>
        <v>544</v>
      </c>
      <c r="F544" s="9" t="s">
        <v>29</v>
      </c>
      <c r="M544" s="21" t="s">
        <v>246</v>
      </c>
    </row>
    <row r="545" spans="1:13">
      <c r="E545" s="21">
        <f t="shared" si="302"/>
        <v>545</v>
      </c>
      <c r="F545" s="9" t="s">
        <v>118</v>
      </c>
      <c r="M545" s="21" t="s">
        <v>248</v>
      </c>
    </row>
    <row r="546" spans="1:13">
      <c r="E546" s="21">
        <f t="shared" si="302"/>
        <v>546</v>
      </c>
      <c r="F546" s="9" t="s">
        <v>98</v>
      </c>
      <c r="K546" s="9" t="s">
        <v>137</v>
      </c>
      <c r="M546" s="21">
        <v>2</v>
      </c>
    </row>
    <row r="547" spans="1:13">
      <c r="E547" s="21">
        <f t="shared" si="302"/>
        <v>547</v>
      </c>
      <c r="F547" s="9" t="s">
        <v>175</v>
      </c>
      <c r="K547" s="9" t="s">
        <v>136</v>
      </c>
      <c r="M547" s="21" t="s">
        <v>250</v>
      </c>
    </row>
    <row r="548" spans="1:13">
      <c r="E548" s="21">
        <f t="shared" si="302"/>
        <v>548</v>
      </c>
      <c r="F548" s="9" t="s">
        <v>113</v>
      </c>
      <c r="L548" s="9" t="s">
        <v>134</v>
      </c>
      <c r="M548" s="21">
        <v>-90</v>
      </c>
    </row>
    <row r="549" spans="1:13">
      <c r="E549" s="21">
        <f t="shared" si="302"/>
        <v>549</v>
      </c>
      <c r="F549" s="9" t="s">
        <v>31</v>
      </c>
      <c r="G549" s="21">
        <v>5</v>
      </c>
      <c r="H549" s="21">
        <v>72</v>
      </c>
      <c r="L549" s="9" t="s">
        <v>134</v>
      </c>
      <c r="M549" s="21">
        <f t="shared" ref="M549" si="305">(G549*C540+(A540-1)*H549+H543*(B540-1))*-1</f>
        <v>-137</v>
      </c>
    </row>
    <row r="550" spans="1:13">
      <c r="E550" s="21">
        <f t="shared" si="302"/>
        <v>550</v>
      </c>
      <c r="F550" s="9" t="s">
        <v>30</v>
      </c>
      <c r="M550" s="21">
        <v>3</v>
      </c>
    </row>
    <row r="551" spans="1:13">
      <c r="A551" s="21">
        <f t="shared" ref="A551:A614" si="306">QUOTIENT( D551-1,G552*H552)+1</f>
        <v>2</v>
      </c>
      <c r="B551" s="21">
        <f t="shared" ref="B551" si="307">QUOTIENT( D551-1,G552)+1-(A551-1)*H552</f>
        <v>3</v>
      </c>
      <c r="C551" s="21">
        <f t="shared" ref="C551" si="308">D551-(B551-1)*G552-((A551-1)*G552*H552)</f>
        <v>2</v>
      </c>
      <c r="D551" s="21">
        <f>COUNT($D$11:$D550)+1</f>
        <v>50</v>
      </c>
    </row>
    <row r="552" spans="1:13">
      <c r="E552" s="21">
        <f t="shared" si="302"/>
        <v>552</v>
      </c>
      <c r="F552" s="9" t="s">
        <v>93</v>
      </c>
      <c r="G552" s="21">
        <v>6</v>
      </c>
      <c r="H552" s="21">
        <v>6</v>
      </c>
      <c r="I552" s="21">
        <v>5</v>
      </c>
      <c r="J552" s="9" t="s">
        <v>252</v>
      </c>
      <c r="M552" s="21">
        <f t="shared" ref="M552:M615" si="309">J552+D551</f>
        <v>20650</v>
      </c>
    </row>
    <row r="553" spans="1:13">
      <c r="E553" s="21">
        <f t="shared" si="302"/>
        <v>553</v>
      </c>
      <c r="F553" s="9" t="s">
        <v>142</v>
      </c>
      <c r="M553" s="21">
        <v>199107</v>
      </c>
    </row>
    <row r="554" spans="1:13">
      <c r="E554" s="21">
        <f t="shared" si="302"/>
        <v>554</v>
      </c>
      <c r="F554" s="9" t="s">
        <v>126</v>
      </c>
      <c r="G554" s="21">
        <v>5</v>
      </c>
      <c r="H554" s="21">
        <v>30</v>
      </c>
      <c r="M554" s="21">
        <f t="shared" ref="M554" si="310">(MOD(D551-1,G552*H552)+1)*G554+H554*(B551-1)</f>
        <v>130</v>
      </c>
    </row>
    <row r="555" spans="1:13">
      <c r="E555" s="21">
        <f t="shared" si="302"/>
        <v>555</v>
      </c>
      <c r="F555" s="9" t="s">
        <v>29</v>
      </c>
      <c r="M555" s="21" t="s">
        <v>246</v>
      </c>
    </row>
    <row r="556" spans="1:13">
      <c r="E556" s="21">
        <f t="shared" si="302"/>
        <v>556</v>
      </c>
      <c r="F556" s="9" t="s">
        <v>118</v>
      </c>
      <c r="M556" s="21" t="s">
        <v>248</v>
      </c>
    </row>
    <row r="557" spans="1:13">
      <c r="E557" s="21">
        <f t="shared" si="302"/>
        <v>557</v>
      </c>
      <c r="F557" s="9" t="s">
        <v>98</v>
      </c>
      <c r="K557" s="9" t="s">
        <v>137</v>
      </c>
      <c r="M557" s="21">
        <v>2</v>
      </c>
    </row>
    <row r="558" spans="1:13">
      <c r="E558" s="21">
        <f t="shared" si="302"/>
        <v>558</v>
      </c>
      <c r="F558" s="9" t="s">
        <v>175</v>
      </c>
      <c r="K558" s="9" t="s">
        <v>136</v>
      </c>
      <c r="M558" s="21" t="s">
        <v>250</v>
      </c>
    </row>
    <row r="559" spans="1:13">
      <c r="E559" s="21">
        <f t="shared" si="302"/>
        <v>559</v>
      </c>
      <c r="F559" s="9" t="s">
        <v>113</v>
      </c>
      <c r="L559" s="9" t="s">
        <v>134</v>
      </c>
      <c r="M559" s="21">
        <v>-90</v>
      </c>
    </row>
    <row r="560" spans="1:13">
      <c r="E560" s="21">
        <f t="shared" si="302"/>
        <v>560</v>
      </c>
      <c r="F560" s="9" t="s">
        <v>31</v>
      </c>
      <c r="G560" s="21">
        <v>5</v>
      </c>
      <c r="H560" s="21">
        <v>72</v>
      </c>
      <c r="L560" s="9" t="s">
        <v>134</v>
      </c>
      <c r="M560" s="21">
        <f t="shared" ref="M560" si="311">(G560*C551+(A551-1)*H560+H554*(B551-1))*-1</f>
        <v>-142</v>
      </c>
    </row>
    <row r="561" spans="1:13">
      <c r="E561" s="21">
        <f t="shared" si="302"/>
        <v>561</v>
      </c>
      <c r="F561" s="9" t="s">
        <v>30</v>
      </c>
      <c r="M561" s="21">
        <v>3</v>
      </c>
    </row>
    <row r="562" spans="1:13">
      <c r="A562" s="21">
        <f t="shared" ref="A562:A625" si="312">QUOTIENT( D562-1,G563*H563)+1</f>
        <v>2</v>
      </c>
      <c r="B562" s="21">
        <f t="shared" ref="B562" si="313">QUOTIENT( D562-1,G563)+1-(A562-1)*H563</f>
        <v>3</v>
      </c>
      <c r="C562" s="21">
        <f t="shared" ref="C562" si="314">D562-(B562-1)*G563-((A562-1)*G563*H563)</f>
        <v>3</v>
      </c>
      <c r="D562" s="21">
        <f>COUNT($D$11:$D561)+1</f>
        <v>51</v>
      </c>
    </row>
    <row r="563" spans="1:13">
      <c r="E563" s="21">
        <f t="shared" si="302"/>
        <v>563</v>
      </c>
      <c r="F563" s="9" t="s">
        <v>93</v>
      </c>
      <c r="G563" s="21">
        <v>6</v>
      </c>
      <c r="H563" s="21">
        <v>6</v>
      </c>
      <c r="I563" s="21">
        <v>5</v>
      </c>
      <c r="J563" s="9" t="s">
        <v>252</v>
      </c>
      <c r="M563" s="21">
        <f t="shared" ref="M563:M626" si="315">J563+D562</f>
        <v>20651</v>
      </c>
    </row>
    <row r="564" spans="1:13">
      <c r="E564" s="21">
        <f t="shared" si="302"/>
        <v>564</v>
      </c>
      <c r="F564" s="9" t="s">
        <v>142</v>
      </c>
      <c r="M564" s="21">
        <v>199107</v>
      </c>
    </row>
    <row r="565" spans="1:13">
      <c r="E565" s="21">
        <f t="shared" si="302"/>
        <v>565</v>
      </c>
      <c r="F565" s="9" t="s">
        <v>126</v>
      </c>
      <c r="G565" s="21">
        <v>5</v>
      </c>
      <c r="H565" s="21">
        <v>30</v>
      </c>
      <c r="M565" s="21">
        <f t="shared" ref="M565" si="316">(MOD(D562-1,G563*H563)+1)*G565+H565*(B562-1)</f>
        <v>135</v>
      </c>
    </row>
    <row r="566" spans="1:13">
      <c r="E566" s="21">
        <f t="shared" si="302"/>
        <v>566</v>
      </c>
      <c r="F566" s="9" t="s">
        <v>29</v>
      </c>
      <c r="M566" s="21" t="s">
        <v>246</v>
      </c>
    </row>
    <row r="567" spans="1:13">
      <c r="E567" s="21">
        <f t="shared" si="302"/>
        <v>567</v>
      </c>
      <c r="F567" s="9" t="s">
        <v>118</v>
      </c>
      <c r="M567" s="21" t="s">
        <v>248</v>
      </c>
    </row>
    <row r="568" spans="1:13">
      <c r="E568" s="21">
        <f t="shared" si="302"/>
        <v>568</v>
      </c>
      <c r="F568" s="9" t="s">
        <v>98</v>
      </c>
      <c r="K568" s="9" t="s">
        <v>137</v>
      </c>
      <c r="M568" s="21">
        <v>2</v>
      </c>
    </row>
    <row r="569" spans="1:13">
      <c r="E569" s="21">
        <f t="shared" si="302"/>
        <v>569</v>
      </c>
      <c r="F569" s="9" t="s">
        <v>175</v>
      </c>
      <c r="K569" s="9" t="s">
        <v>136</v>
      </c>
      <c r="M569" s="21" t="s">
        <v>250</v>
      </c>
    </row>
    <row r="570" spans="1:13">
      <c r="E570" s="21">
        <f t="shared" si="302"/>
        <v>570</v>
      </c>
      <c r="F570" s="9" t="s">
        <v>113</v>
      </c>
      <c r="L570" s="9" t="s">
        <v>134</v>
      </c>
      <c r="M570" s="21">
        <v>-90</v>
      </c>
    </row>
    <row r="571" spans="1:13">
      <c r="E571" s="21">
        <f t="shared" si="302"/>
        <v>571</v>
      </c>
      <c r="F571" s="9" t="s">
        <v>31</v>
      </c>
      <c r="G571" s="21">
        <v>5</v>
      </c>
      <c r="H571" s="21">
        <v>72</v>
      </c>
      <c r="L571" s="9" t="s">
        <v>134</v>
      </c>
      <c r="M571" s="21">
        <f t="shared" ref="M571" si="317">(G571*C562+(A562-1)*H571+H565*(B562-1))*-1</f>
        <v>-147</v>
      </c>
    </row>
    <row r="572" spans="1:13">
      <c r="E572" s="21">
        <f t="shared" si="302"/>
        <v>572</v>
      </c>
      <c r="F572" s="9" t="s">
        <v>30</v>
      </c>
      <c r="M572" s="21">
        <v>3</v>
      </c>
    </row>
    <row r="573" spans="1:13">
      <c r="A573" s="21">
        <f t="shared" ref="A573:A636" si="318">QUOTIENT( D573-1,G574*H574)+1</f>
        <v>2</v>
      </c>
      <c r="B573" s="21">
        <f t="shared" ref="B573" si="319">QUOTIENT( D573-1,G574)+1-(A573-1)*H574</f>
        <v>3</v>
      </c>
      <c r="C573" s="21">
        <f t="shared" ref="C573" si="320">D573-(B573-1)*G574-((A573-1)*G574*H574)</f>
        <v>4</v>
      </c>
      <c r="D573" s="21">
        <f>COUNT($D$11:$D572)+1</f>
        <v>52</v>
      </c>
    </row>
    <row r="574" spans="1:13">
      <c r="E574" s="21">
        <f t="shared" si="302"/>
        <v>574</v>
      </c>
      <c r="F574" s="9" t="s">
        <v>93</v>
      </c>
      <c r="G574" s="21">
        <v>6</v>
      </c>
      <c r="H574" s="21">
        <v>6</v>
      </c>
      <c r="I574" s="21">
        <v>5</v>
      </c>
      <c r="J574" s="9" t="s">
        <v>252</v>
      </c>
      <c r="M574" s="21">
        <f t="shared" ref="M574:M637" si="321">J574+D573</f>
        <v>20652</v>
      </c>
    </row>
    <row r="575" spans="1:13">
      <c r="E575" s="21">
        <f t="shared" si="302"/>
        <v>575</v>
      </c>
      <c r="F575" s="9" t="s">
        <v>142</v>
      </c>
      <c r="M575" s="21">
        <v>199107</v>
      </c>
    </row>
    <row r="576" spans="1:13">
      <c r="E576" s="21">
        <f t="shared" si="302"/>
        <v>576</v>
      </c>
      <c r="F576" s="9" t="s">
        <v>126</v>
      </c>
      <c r="G576" s="21">
        <v>5</v>
      </c>
      <c r="H576" s="21">
        <v>30</v>
      </c>
      <c r="M576" s="21">
        <f t="shared" ref="M576" si="322">(MOD(D573-1,G574*H574)+1)*G576+H576*(B573-1)</f>
        <v>140</v>
      </c>
    </row>
    <row r="577" spans="1:13">
      <c r="E577" s="21">
        <f t="shared" si="302"/>
        <v>577</v>
      </c>
      <c r="F577" s="9" t="s">
        <v>29</v>
      </c>
      <c r="M577" s="21" t="s">
        <v>246</v>
      </c>
    </row>
    <row r="578" spans="1:13">
      <c r="E578" s="21">
        <f t="shared" si="302"/>
        <v>578</v>
      </c>
      <c r="F578" s="9" t="s">
        <v>118</v>
      </c>
      <c r="M578" s="21" t="s">
        <v>248</v>
      </c>
    </row>
    <row r="579" spans="1:13">
      <c r="E579" s="21">
        <f t="shared" si="302"/>
        <v>579</v>
      </c>
      <c r="F579" s="9" t="s">
        <v>98</v>
      </c>
      <c r="K579" s="9" t="s">
        <v>137</v>
      </c>
      <c r="M579" s="21">
        <v>2</v>
      </c>
    </row>
    <row r="580" spans="1:13">
      <c r="E580" s="21">
        <f t="shared" si="302"/>
        <v>580</v>
      </c>
      <c r="F580" s="9" t="s">
        <v>175</v>
      </c>
      <c r="K580" s="9" t="s">
        <v>136</v>
      </c>
      <c r="M580" s="21" t="s">
        <v>250</v>
      </c>
    </row>
    <row r="581" spans="1:13">
      <c r="E581" s="21">
        <f t="shared" si="302"/>
        <v>581</v>
      </c>
      <c r="F581" s="9" t="s">
        <v>113</v>
      </c>
      <c r="L581" s="9" t="s">
        <v>134</v>
      </c>
      <c r="M581" s="21">
        <v>-90</v>
      </c>
    </row>
    <row r="582" spans="1:13">
      <c r="E582" s="21">
        <f t="shared" si="302"/>
        <v>582</v>
      </c>
      <c r="F582" s="9" t="s">
        <v>31</v>
      </c>
      <c r="G582" s="21">
        <v>5</v>
      </c>
      <c r="H582" s="21">
        <v>72</v>
      </c>
      <c r="L582" s="9" t="s">
        <v>134</v>
      </c>
      <c r="M582" s="21">
        <f t="shared" ref="M582" si="323">(G582*C573+(A573-1)*H582+H576*(B573-1))*-1</f>
        <v>-152</v>
      </c>
    </row>
    <row r="583" spans="1:13">
      <c r="E583" s="21">
        <f t="shared" si="302"/>
        <v>583</v>
      </c>
      <c r="F583" s="9" t="s">
        <v>30</v>
      </c>
      <c r="M583" s="21">
        <v>3</v>
      </c>
    </row>
    <row r="584" spans="1:13">
      <c r="A584" s="21">
        <f t="shared" ref="A584:A647" si="324">QUOTIENT( D584-1,G585*H585)+1</f>
        <v>2</v>
      </c>
      <c r="B584" s="21">
        <f t="shared" ref="B584" si="325">QUOTIENT( D584-1,G585)+1-(A584-1)*H585</f>
        <v>3</v>
      </c>
      <c r="C584" s="21">
        <f t="shared" ref="C584" si="326">D584-(B584-1)*G585-((A584-1)*G585*H585)</f>
        <v>5</v>
      </c>
      <c r="D584" s="21">
        <f>COUNT($D$11:$D583)+1</f>
        <v>53</v>
      </c>
    </row>
    <row r="585" spans="1:13">
      <c r="E585" s="21">
        <f t="shared" si="302"/>
        <v>585</v>
      </c>
      <c r="F585" s="9" t="s">
        <v>93</v>
      </c>
      <c r="G585" s="21">
        <v>6</v>
      </c>
      <c r="H585" s="21">
        <v>6</v>
      </c>
      <c r="I585" s="21">
        <v>5</v>
      </c>
      <c r="J585" s="9" t="s">
        <v>252</v>
      </c>
      <c r="M585" s="21">
        <f t="shared" ref="M585:M648" si="327">J585+D584</f>
        <v>20653</v>
      </c>
    </row>
    <row r="586" spans="1:13">
      <c r="E586" s="21">
        <f t="shared" si="302"/>
        <v>586</v>
      </c>
      <c r="F586" s="9" t="s">
        <v>142</v>
      </c>
      <c r="M586" s="21">
        <v>199107</v>
      </c>
    </row>
    <row r="587" spans="1:13">
      <c r="E587" s="21">
        <f t="shared" si="302"/>
        <v>587</v>
      </c>
      <c r="F587" s="9" t="s">
        <v>126</v>
      </c>
      <c r="G587" s="21">
        <v>5</v>
      </c>
      <c r="H587" s="21">
        <v>30</v>
      </c>
      <c r="M587" s="21">
        <f t="shared" ref="M587" si="328">(MOD(D584-1,G585*H585)+1)*G587+H587*(B584-1)</f>
        <v>145</v>
      </c>
    </row>
    <row r="588" spans="1:13">
      <c r="E588" s="21">
        <f t="shared" si="302"/>
        <v>588</v>
      </c>
      <c r="F588" s="9" t="s">
        <v>29</v>
      </c>
      <c r="M588" s="21" t="s">
        <v>246</v>
      </c>
    </row>
    <row r="589" spans="1:13">
      <c r="E589" s="21">
        <f t="shared" si="302"/>
        <v>589</v>
      </c>
      <c r="F589" s="9" t="s">
        <v>118</v>
      </c>
      <c r="M589" s="21" t="s">
        <v>248</v>
      </c>
    </row>
    <row r="590" spans="1:13">
      <c r="E590" s="21">
        <f t="shared" si="302"/>
        <v>590</v>
      </c>
      <c r="F590" s="9" t="s">
        <v>98</v>
      </c>
      <c r="K590" s="9" t="s">
        <v>137</v>
      </c>
      <c r="M590" s="21">
        <v>2</v>
      </c>
    </row>
    <row r="591" spans="1:13">
      <c r="E591" s="21">
        <f t="shared" si="302"/>
        <v>591</v>
      </c>
      <c r="F591" s="9" t="s">
        <v>175</v>
      </c>
      <c r="K591" s="9" t="s">
        <v>136</v>
      </c>
      <c r="M591" s="21" t="s">
        <v>250</v>
      </c>
    </row>
    <row r="592" spans="1:13">
      <c r="E592" s="21">
        <f t="shared" si="302"/>
        <v>592</v>
      </c>
      <c r="F592" s="9" t="s">
        <v>113</v>
      </c>
      <c r="L592" s="9" t="s">
        <v>134</v>
      </c>
      <c r="M592" s="21">
        <v>-90</v>
      </c>
    </row>
    <row r="593" spans="1:13">
      <c r="E593" s="21">
        <f t="shared" si="302"/>
        <v>593</v>
      </c>
      <c r="F593" s="9" t="s">
        <v>31</v>
      </c>
      <c r="G593" s="21">
        <v>5</v>
      </c>
      <c r="H593" s="21">
        <v>72</v>
      </c>
      <c r="L593" s="9" t="s">
        <v>134</v>
      </c>
      <c r="M593" s="21">
        <f t="shared" ref="M593" si="329">(G593*C584+(A584-1)*H593+H587*(B584-1))*-1</f>
        <v>-157</v>
      </c>
    </row>
    <row r="594" spans="1:13">
      <c r="E594" s="21">
        <f t="shared" si="302"/>
        <v>594</v>
      </c>
      <c r="F594" s="9" t="s">
        <v>30</v>
      </c>
      <c r="M594" s="21">
        <v>3</v>
      </c>
    </row>
    <row r="595" spans="1:13">
      <c r="A595" s="21">
        <f t="shared" ref="A595:A658" si="330">QUOTIENT( D595-1,G596*H596)+1</f>
        <v>2</v>
      </c>
      <c r="B595" s="21">
        <f t="shared" ref="B595" si="331">QUOTIENT( D595-1,G596)+1-(A595-1)*H596</f>
        <v>3</v>
      </c>
      <c r="C595" s="21">
        <f t="shared" ref="C595" si="332">D595-(B595-1)*G596-((A595-1)*G596*H596)</f>
        <v>6</v>
      </c>
      <c r="D595" s="21">
        <f>COUNT($D$11:$D594)+1</f>
        <v>54</v>
      </c>
    </row>
    <row r="596" spans="1:13">
      <c r="E596" s="21">
        <f t="shared" si="302"/>
        <v>596</v>
      </c>
      <c r="F596" s="9" t="s">
        <v>93</v>
      </c>
      <c r="G596" s="21">
        <v>6</v>
      </c>
      <c r="H596" s="21">
        <v>6</v>
      </c>
      <c r="I596" s="21">
        <v>5</v>
      </c>
      <c r="J596" s="9" t="s">
        <v>252</v>
      </c>
      <c r="M596" s="21">
        <f t="shared" ref="M596:M659" si="333">J596+D595</f>
        <v>20654</v>
      </c>
    </row>
    <row r="597" spans="1:13">
      <c r="E597" s="21">
        <f t="shared" si="302"/>
        <v>597</v>
      </c>
      <c r="F597" s="9" t="s">
        <v>142</v>
      </c>
      <c r="M597" s="21">
        <v>199107</v>
      </c>
    </row>
    <row r="598" spans="1:13">
      <c r="E598" s="21">
        <f t="shared" si="302"/>
        <v>598</v>
      </c>
      <c r="F598" s="9" t="s">
        <v>126</v>
      </c>
      <c r="G598" s="21">
        <v>5</v>
      </c>
      <c r="H598" s="21">
        <v>30</v>
      </c>
      <c r="M598" s="21">
        <f t="shared" ref="M598" si="334">(MOD(D595-1,G596*H596)+1)*G598+H598*(B595-1)</f>
        <v>150</v>
      </c>
    </row>
    <row r="599" spans="1:13">
      <c r="E599" s="21">
        <f t="shared" si="302"/>
        <v>599</v>
      </c>
      <c r="F599" s="9" t="s">
        <v>29</v>
      </c>
      <c r="M599" s="21" t="s">
        <v>246</v>
      </c>
    </row>
    <row r="600" spans="1:13">
      <c r="E600" s="21">
        <f t="shared" si="302"/>
        <v>600</v>
      </c>
      <c r="F600" s="9" t="s">
        <v>118</v>
      </c>
      <c r="M600" s="21" t="s">
        <v>248</v>
      </c>
    </row>
    <row r="601" spans="1:13">
      <c r="E601" s="21">
        <f t="shared" si="302"/>
        <v>601</v>
      </c>
      <c r="F601" s="9" t="s">
        <v>98</v>
      </c>
      <c r="K601" s="9" t="s">
        <v>137</v>
      </c>
      <c r="M601" s="21">
        <v>2</v>
      </c>
    </row>
    <row r="602" spans="1:13">
      <c r="E602" s="21">
        <f t="shared" si="302"/>
        <v>602</v>
      </c>
      <c r="F602" s="9" t="s">
        <v>175</v>
      </c>
      <c r="K602" s="9" t="s">
        <v>136</v>
      </c>
      <c r="M602" s="21" t="s">
        <v>250</v>
      </c>
    </row>
    <row r="603" spans="1:13">
      <c r="E603" s="21">
        <f t="shared" si="302"/>
        <v>603</v>
      </c>
      <c r="F603" s="9" t="s">
        <v>113</v>
      </c>
      <c r="L603" s="9" t="s">
        <v>134</v>
      </c>
      <c r="M603" s="21">
        <v>-90</v>
      </c>
    </row>
    <row r="604" spans="1:13">
      <c r="E604" s="21">
        <f t="shared" si="302"/>
        <v>604</v>
      </c>
      <c r="F604" s="9" t="s">
        <v>31</v>
      </c>
      <c r="G604" s="21">
        <v>5</v>
      </c>
      <c r="H604" s="21">
        <v>72</v>
      </c>
      <c r="L604" s="9" t="s">
        <v>134</v>
      </c>
      <c r="M604" s="21">
        <f t="shared" ref="M604" si="335">(G604*C595+(A595-1)*H604+H598*(B595-1))*-1</f>
        <v>-162</v>
      </c>
    </row>
    <row r="605" spans="1:13">
      <c r="E605" s="21">
        <f t="shared" ref="E605:E668" si="336">ROW(E605)</f>
        <v>605</v>
      </c>
      <c r="F605" s="9" t="s">
        <v>30</v>
      </c>
      <c r="M605" s="21">
        <v>3</v>
      </c>
    </row>
    <row r="606" spans="1:13">
      <c r="A606" s="21">
        <f t="shared" ref="A606:A669" si="337">QUOTIENT( D606-1,G607*H607)+1</f>
        <v>2</v>
      </c>
      <c r="B606" s="21">
        <f t="shared" ref="B606" si="338">QUOTIENT( D606-1,G607)+1-(A606-1)*H607</f>
        <v>4</v>
      </c>
      <c r="C606" s="21">
        <f t="shared" ref="C606" si="339">D606-(B606-1)*G607-((A606-1)*G607*H607)</f>
        <v>1</v>
      </c>
      <c r="D606" s="21">
        <f>COUNT($D$11:$D605)+1</f>
        <v>55</v>
      </c>
    </row>
    <row r="607" spans="1:13">
      <c r="E607" s="21">
        <f t="shared" ref="E607:E670" si="340">ROW(E607)</f>
        <v>607</v>
      </c>
      <c r="F607" s="9" t="s">
        <v>93</v>
      </c>
      <c r="G607" s="21">
        <v>6</v>
      </c>
      <c r="H607" s="21">
        <v>6</v>
      </c>
      <c r="I607" s="21">
        <v>5</v>
      </c>
      <c r="J607" s="9" t="s">
        <v>252</v>
      </c>
      <c r="M607" s="21">
        <f t="shared" ref="M607:M670" si="341">J607+D606</f>
        <v>20655</v>
      </c>
    </row>
    <row r="608" spans="1:13">
      <c r="E608" s="21">
        <f t="shared" si="340"/>
        <v>608</v>
      </c>
      <c r="F608" s="9" t="s">
        <v>142</v>
      </c>
      <c r="M608" s="21">
        <v>199107</v>
      </c>
    </row>
    <row r="609" spans="1:13">
      <c r="E609" s="21">
        <f t="shared" si="340"/>
        <v>609</v>
      </c>
      <c r="F609" s="9" t="s">
        <v>126</v>
      </c>
      <c r="G609" s="21">
        <v>5</v>
      </c>
      <c r="H609" s="21">
        <v>30</v>
      </c>
      <c r="M609" s="21">
        <f t="shared" ref="M609" si="342">(MOD(D606-1,G607*H607)+1)*G609+H609*(B606-1)</f>
        <v>185</v>
      </c>
    </row>
    <row r="610" spans="1:13">
      <c r="E610" s="21">
        <f t="shared" si="340"/>
        <v>610</v>
      </c>
      <c r="F610" s="9" t="s">
        <v>29</v>
      </c>
      <c r="M610" s="21" t="s">
        <v>246</v>
      </c>
    </row>
    <row r="611" spans="1:13">
      <c r="E611" s="21">
        <f t="shared" si="340"/>
        <v>611</v>
      </c>
      <c r="F611" s="9" t="s">
        <v>118</v>
      </c>
      <c r="M611" s="21" t="s">
        <v>248</v>
      </c>
    </row>
    <row r="612" spans="1:13">
      <c r="E612" s="21">
        <f t="shared" si="340"/>
        <v>612</v>
      </c>
      <c r="F612" s="9" t="s">
        <v>98</v>
      </c>
      <c r="K612" s="9" t="s">
        <v>137</v>
      </c>
      <c r="M612" s="21">
        <v>2</v>
      </c>
    </row>
    <row r="613" spans="1:13">
      <c r="E613" s="21">
        <f t="shared" si="340"/>
        <v>613</v>
      </c>
      <c r="F613" s="9" t="s">
        <v>175</v>
      </c>
      <c r="K613" s="9" t="s">
        <v>136</v>
      </c>
      <c r="M613" s="21" t="s">
        <v>250</v>
      </c>
    </row>
    <row r="614" spans="1:13">
      <c r="E614" s="21">
        <f t="shared" si="340"/>
        <v>614</v>
      </c>
      <c r="F614" s="9" t="s">
        <v>113</v>
      </c>
      <c r="L614" s="9" t="s">
        <v>134</v>
      </c>
      <c r="M614" s="21">
        <v>-90</v>
      </c>
    </row>
    <row r="615" spans="1:13">
      <c r="E615" s="21">
        <f t="shared" si="340"/>
        <v>615</v>
      </c>
      <c r="F615" s="9" t="s">
        <v>31</v>
      </c>
      <c r="G615" s="21">
        <v>5</v>
      </c>
      <c r="H615" s="21">
        <v>72</v>
      </c>
      <c r="L615" s="9" t="s">
        <v>134</v>
      </c>
      <c r="M615" s="21">
        <f t="shared" ref="M615" si="343">(G615*C606+(A606-1)*H615+H609*(B606-1))*-1</f>
        <v>-167</v>
      </c>
    </row>
    <row r="616" spans="1:13">
      <c r="E616" s="21">
        <f t="shared" si="340"/>
        <v>616</v>
      </c>
      <c r="F616" s="9" t="s">
        <v>30</v>
      </c>
      <c r="M616" s="21">
        <v>3</v>
      </c>
    </row>
    <row r="617" spans="1:13">
      <c r="A617" s="21">
        <f t="shared" ref="A617:A680" si="344">QUOTIENT( D617-1,G618*H618)+1</f>
        <v>2</v>
      </c>
      <c r="B617" s="21">
        <f t="shared" ref="B617" si="345">QUOTIENT( D617-1,G618)+1-(A617-1)*H618</f>
        <v>4</v>
      </c>
      <c r="C617" s="21">
        <f t="shared" ref="C617" si="346">D617-(B617-1)*G618-((A617-1)*G618*H618)</f>
        <v>2</v>
      </c>
      <c r="D617" s="21">
        <f>COUNT($D$11:$D616)+1</f>
        <v>56</v>
      </c>
    </row>
    <row r="618" spans="1:13">
      <c r="E618" s="21">
        <f t="shared" si="340"/>
        <v>618</v>
      </c>
      <c r="F618" s="9" t="s">
        <v>93</v>
      </c>
      <c r="G618" s="21">
        <v>6</v>
      </c>
      <c r="H618" s="21">
        <v>6</v>
      </c>
      <c r="I618" s="21">
        <v>5</v>
      </c>
      <c r="J618" s="9" t="s">
        <v>252</v>
      </c>
      <c r="M618" s="21">
        <f t="shared" ref="M618:M681" si="347">J618+D617</f>
        <v>20656</v>
      </c>
    </row>
    <row r="619" spans="1:13">
      <c r="E619" s="21">
        <f t="shared" si="340"/>
        <v>619</v>
      </c>
      <c r="F619" s="9" t="s">
        <v>142</v>
      </c>
      <c r="M619" s="21">
        <v>199107</v>
      </c>
    </row>
    <row r="620" spans="1:13">
      <c r="E620" s="21">
        <f t="shared" si="340"/>
        <v>620</v>
      </c>
      <c r="F620" s="9" t="s">
        <v>126</v>
      </c>
      <c r="G620" s="21">
        <v>5</v>
      </c>
      <c r="H620" s="21">
        <v>30</v>
      </c>
      <c r="M620" s="21">
        <f t="shared" ref="M620" si="348">(MOD(D617-1,G618*H618)+1)*G620+H620*(B617-1)</f>
        <v>190</v>
      </c>
    </row>
    <row r="621" spans="1:13">
      <c r="E621" s="21">
        <f t="shared" si="340"/>
        <v>621</v>
      </c>
      <c r="F621" s="9" t="s">
        <v>29</v>
      </c>
      <c r="M621" s="21" t="s">
        <v>246</v>
      </c>
    </row>
    <row r="622" spans="1:13">
      <c r="E622" s="21">
        <f t="shared" si="340"/>
        <v>622</v>
      </c>
      <c r="F622" s="9" t="s">
        <v>118</v>
      </c>
      <c r="M622" s="21" t="s">
        <v>248</v>
      </c>
    </row>
    <row r="623" spans="1:13">
      <c r="E623" s="21">
        <f t="shared" si="340"/>
        <v>623</v>
      </c>
      <c r="F623" s="9" t="s">
        <v>98</v>
      </c>
      <c r="K623" s="9" t="s">
        <v>137</v>
      </c>
      <c r="M623" s="21">
        <v>2</v>
      </c>
    </row>
    <row r="624" spans="1:13">
      <c r="E624" s="21">
        <f t="shared" si="340"/>
        <v>624</v>
      </c>
      <c r="F624" s="9" t="s">
        <v>175</v>
      </c>
      <c r="K624" s="9" t="s">
        <v>136</v>
      </c>
      <c r="M624" s="21" t="s">
        <v>250</v>
      </c>
    </row>
    <row r="625" spans="1:13">
      <c r="E625" s="21">
        <f t="shared" si="340"/>
        <v>625</v>
      </c>
      <c r="F625" s="9" t="s">
        <v>113</v>
      </c>
      <c r="L625" s="9" t="s">
        <v>134</v>
      </c>
      <c r="M625" s="21">
        <v>-90</v>
      </c>
    </row>
    <row r="626" spans="1:13">
      <c r="E626" s="21">
        <f t="shared" si="340"/>
        <v>626</v>
      </c>
      <c r="F626" s="9" t="s">
        <v>31</v>
      </c>
      <c r="G626" s="21">
        <v>5</v>
      </c>
      <c r="H626" s="21">
        <v>72</v>
      </c>
      <c r="L626" s="9" t="s">
        <v>134</v>
      </c>
      <c r="M626" s="21">
        <f t="shared" ref="M626" si="349">(G626*C617+(A617-1)*H626+H620*(B617-1))*-1</f>
        <v>-172</v>
      </c>
    </row>
    <row r="627" spans="1:13">
      <c r="E627" s="21">
        <f t="shared" si="340"/>
        <v>627</v>
      </c>
      <c r="F627" s="9" t="s">
        <v>30</v>
      </c>
      <c r="M627" s="21">
        <v>3</v>
      </c>
    </row>
    <row r="628" spans="1:13">
      <c r="A628" s="21">
        <f t="shared" ref="A628:A691" si="350">QUOTIENT( D628-1,G629*H629)+1</f>
        <v>2</v>
      </c>
      <c r="B628" s="21">
        <f t="shared" ref="B628" si="351">QUOTIENT( D628-1,G629)+1-(A628-1)*H629</f>
        <v>4</v>
      </c>
      <c r="C628" s="21">
        <f t="shared" ref="C628" si="352">D628-(B628-1)*G629-((A628-1)*G629*H629)</f>
        <v>3</v>
      </c>
      <c r="D628" s="21">
        <f>COUNT($D$11:$D627)+1</f>
        <v>57</v>
      </c>
    </row>
    <row r="629" spans="1:13">
      <c r="E629" s="21">
        <f t="shared" si="340"/>
        <v>629</v>
      </c>
      <c r="F629" s="9" t="s">
        <v>93</v>
      </c>
      <c r="G629" s="21">
        <v>6</v>
      </c>
      <c r="H629" s="21">
        <v>6</v>
      </c>
      <c r="I629" s="21">
        <v>5</v>
      </c>
      <c r="J629" s="9" t="s">
        <v>252</v>
      </c>
      <c r="M629" s="21">
        <f t="shared" ref="M629:M692" si="353">J629+D628</f>
        <v>20657</v>
      </c>
    </row>
    <row r="630" spans="1:13">
      <c r="E630" s="21">
        <f t="shared" si="340"/>
        <v>630</v>
      </c>
      <c r="F630" s="9" t="s">
        <v>142</v>
      </c>
      <c r="M630" s="21">
        <v>199107</v>
      </c>
    </row>
    <row r="631" spans="1:13">
      <c r="E631" s="21">
        <f t="shared" si="340"/>
        <v>631</v>
      </c>
      <c r="F631" s="9" t="s">
        <v>126</v>
      </c>
      <c r="G631" s="21">
        <v>5</v>
      </c>
      <c r="H631" s="21">
        <v>30</v>
      </c>
      <c r="M631" s="21">
        <f t="shared" ref="M631" si="354">(MOD(D628-1,G629*H629)+1)*G631+H631*(B628-1)</f>
        <v>195</v>
      </c>
    </row>
    <row r="632" spans="1:13">
      <c r="E632" s="21">
        <f t="shared" si="340"/>
        <v>632</v>
      </c>
      <c r="F632" s="9" t="s">
        <v>29</v>
      </c>
      <c r="M632" s="21" t="s">
        <v>246</v>
      </c>
    </row>
    <row r="633" spans="1:13">
      <c r="E633" s="21">
        <f t="shared" si="340"/>
        <v>633</v>
      </c>
      <c r="F633" s="9" t="s">
        <v>118</v>
      </c>
      <c r="M633" s="21" t="s">
        <v>248</v>
      </c>
    </row>
    <row r="634" spans="1:13">
      <c r="E634" s="21">
        <f t="shared" si="340"/>
        <v>634</v>
      </c>
      <c r="F634" s="9" t="s">
        <v>98</v>
      </c>
      <c r="K634" s="9" t="s">
        <v>137</v>
      </c>
      <c r="M634" s="21">
        <v>2</v>
      </c>
    </row>
    <row r="635" spans="1:13">
      <c r="E635" s="21">
        <f t="shared" si="340"/>
        <v>635</v>
      </c>
      <c r="F635" s="9" t="s">
        <v>175</v>
      </c>
      <c r="K635" s="9" t="s">
        <v>136</v>
      </c>
      <c r="M635" s="21" t="s">
        <v>250</v>
      </c>
    </row>
    <row r="636" spans="1:13">
      <c r="E636" s="21">
        <f t="shared" si="340"/>
        <v>636</v>
      </c>
      <c r="F636" s="9" t="s">
        <v>113</v>
      </c>
      <c r="L636" s="9" t="s">
        <v>134</v>
      </c>
      <c r="M636" s="21">
        <v>-90</v>
      </c>
    </row>
    <row r="637" spans="1:13">
      <c r="E637" s="21">
        <f t="shared" si="340"/>
        <v>637</v>
      </c>
      <c r="F637" s="9" t="s">
        <v>31</v>
      </c>
      <c r="G637" s="21">
        <v>5</v>
      </c>
      <c r="H637" s="21">
        <v>72</v>
      </c>
      <c r="L637" s="9" t="s">
        <v>134</v>
      </c>
      <c r="M637" s="21">
        <f t="shared" ref="M637" si="355">(G637*C628+(A628-1)*H637+H631*(B628-1))*-1</f>
        <v>-177</v>
      </c>
    </row>
    <row r="638" spans="1:13">
      <c r="E638" s="21">
        <f t="shared" si="340"/>
        <v>638</v>
      </c>
      <c r="F638" s="9" t="s">
        <v>30</v>
      </c>
      <c r="M638" s="21">
        <v>3</v>
      </c>
    </row>
    <row r="639" spans="1:13">
      <c r="A639" s="21">
        <f t="shared" ref="A639:A702" si="356">QUOTIENT( D639-1,G640*H640)+1</f>
        <v>2</v>
      </c>
      <c r="B639" s="21">
        <f t="shared" ref="B639" si="357">QUOTIENT( D639-1,G640)+1-(A639-1)*H640</f>
        <v>4</v>
      </c>
      <c r="C639" s="21">
        <f t="shared" ref="C639" si="358">D639-(B639-1)*G640-((A639-1)*G640*H640)</f>
        <v>4</v>
      </c>
      <c r="D639" s="21">
        <f>COUNT($D$11:$D638)+1</f>
        <v>58</v>
      </c>
    </row>
    <row r="640" spans="1:13">
      <c r="E640" s="21">
        <f t="shared" si="340"/>
        <v>640</v>
      </c>
      <c r="F640" s="9" t="s">
        <v>93</v>
      </c>
      <c r="G640" s="21">
        <v>6</v>
      </c>
      <c r="H640" s="21">
        <v>6</v>
      </c>
      <c r="I640" s="21">
        <v>5</v>
      </c>
      <c r="J640" s="9" t="s">
        <v>252</v>
      </c>
      <c r="M640" s="21">
        <f t="shared" ref="M640:M703" si="359">J640+D639</f>
        <v>20658</v>
      </c>
    </row>
    <row r="641" spans="1:13">
      <c r="E641" s="21">
        <f t="shared" si="340"/>
        <v>641</v>
      </c>
      <c r="F641" s="9" t="s">
        <v>142</v>
      </c>
      <c r="M641" s="21">
        <v>199107</v>
      </c>
    </row>
    <row r="642" spans="1:13">
      <c r="E642" s="21">
        <f t="shared" si="340"/>
        <v>642</v>
      </c>
      <c r="F642" s="9" t="s">
        <v>126</v>
      </c>
      <c r="G642" s="21">
        <v>5</v>
      </c>
      <c r="H642" s="21">
        <v>30</v>
      </c>
      <c r="M642" s="21">
        <f t="shared" ref="M642" si="360">(MOD(D639-1,G640*H640)+1)*G642+H642*(B639-1)</f>
        <v>200</v>
      </c>
    </row>
    <row r="643" spans="1:13">
      <c r="E643" s="21">
        <f t="shared" si="340"/>
        <v>643</v>
      </c>
      <c r="F643" s="9" t="s">
        <v>29</v>
      </c>
      <c r="M643" s="21" t="s">
        <v>246</v>
      </c>
    </row>
    <row r="644" spans="1:13">
      <c r="E644" s="21">
        <f t="shared" si="340"/>
        <v>644</v>
      </c>
      <c r="F644" s="9" t="s">
        <v>118</v>
      </c>
      <c r="M644" s="21" t="s">
        <v>248</v>
      </c>
    </row>
    <row r="645" spans="1:13">
      <c r="E645" s="21">
        <f t="shared" si="340"/>
        <v>645</v>
      </c>
      <c r="F645" s="9" t="s">
        <v>98</v>
      </c>
      <c r="K645" s="9" t="s">
        <v>137</v>
      </c>
      <c r="M645" s="21">
        <v>2</v>
      </c>
    </row>
    <row r="646" spans="1:13">
      <c r="E646" s="21">
        <f t="shared" si="340"/>
        <v>646</v>
      </c>
      <c r="F646" s="9" t="s">
        <v>175</v>
      </c>
      <c r="K646" s="9" t="s">
        <v>136</v>
      </c>
      <c r="M646" s="21" t="s">
        <v>250</v>
      </c>
    </row>
    <row r="647" spans="1:13">
      <c r="E647" s="21">
        <f t="shared" si="340"/>
        <v>647</v>
      </c>
      <c r="F647" s="9" t="s">
        <v>113</v>
      </c>
      <c r="L647" s="9" t="s">
        <v>134</v>
      </c>
      <c r="M647" s="21">
        <v>-90</v>
      </c>
    </row>
    <row r="648" spans="1:13">
      <c r="E648" s="21">
        <f t="shared" si="340"/>
        <v>648</v>
      </c>
      <c r="F648" s="9" t="s">
        <v>31</v>
      </c>
      <c r="G648" s="21">
        <v>5</v>
      </c>
      <c r="H648" s="21">
        <v>72</v>
      </c>
      <c r="L648" s="9" t="s">
        <v>134</v>
      </c>
      <c r="M648" s="21">
        <f t="shared" ref="M648" si="361">(G648*C639+(A639-1)*H648+H642*(B639-1))*-1</f>
        <v>-182</v>
      </c>
    </row>
    <row r="649" spans="1:13">
      <c r="E649" s="21">
        <f t="shared" si="340"/>
        <v>649</v>
      </c>
      <c r="F649" s="9" t="s">
        <v>30</v>
      </c>
      <c r="M649" s="21">
        <v>3</v>
      </c>
    </row>
    <row r="650" spans="1:13">
      <c r="A650" s="21">
        <f t="shared" ref="A650:A713" si="362">QUOTIENT( D650-1,G651*H651)+1</f>
        <v>2</v>
      </c>
      <c r="B650" s="21">
        <f t="shared" ref="B650" si="363">QUOTIENT( D650-1,G651)+1-(A650-1)*H651</f>
        <v>4</v>
      </c>
      <c r="C650" s="21">
        <f t="shared" ref="C650" si="364">D650-(B650-1)*G651-((A650-1)*G651*H651)</f>
        <v>5</v>
      </c>
      <c r="D650" s="21">
        <f>COUNT($D$11:$D649)+1</f>
        <v>59</v>
      </c>
    </row>
    <row r="651" spans="1:13">
      <c r="E651" s="21">
        <f t="shared" si="340"/>
        <v>651</v>
      </c>
      <c r="F651" s="9" t="s">
        <v>93</v>
      </c>
      <c r="G651" s="21">
        <v>6</v>
      </c>
      <c r="H651" s="21">
        <v>6</v>
      </c>
      <c r="I651" s="21">
        <v>5</v>
      </c>
      <c r="J651" s="9" t="s">
        <v>252</v>
      </c>
      <c r="M651" s="21">
        <f t="shared" ref="M651:M714" si="365">J651+D650</f>
        <v>20659</v>
      </c>
    </row>
    <row r="652" spans="1:13">
      <c r="E652" s="21">
        <f t="shared" si="340"/>
        <v>652</v>
      </c>
      <c r="F652" s="9" t="s">
        <v>142</v>
      </c>
      <c r="M652" s="21">
        <v>199107</v>
      </c>
    </row>
    <row r="653" spans="1:13">
      <c r="E653" s="21">
        <f t="shared" si="340"/>
        <v>653</v>
      </c>
      <c r="F653" s="9" t="s">
        <v>126</v>
      </c>
      <c r="G653" s="21">
        <v>5</v>
      </c>
      <c r="H653" s="21">
        <v>30</v>
      </c>
      <c r="M653" s="21">
        <f t="shared" ref="M653" si="366">(MOD(D650-1,G651*H651)+1)*G653+H653*(B650-1)</f>
        <v>205</v>
      </c>
    </row>
    <row r="654" spans="1:13">
      <c r="E654" s="21">
        <f t="shared" si="340"/>
        <v>654</v>
      </c>
      <c r="F654" s="9" t="s">
        <v>29</v>
      </c>
      <c r="M654" s="21" t="s">
        <v>246</v>
      </c>
    </row>
    <row r="655" spans="1:13">
      <c r="E655" s="21">
        <f t="shared" si="340"/>
        <v>655</v>
      </c>
      <c r="F655" s="9" t="s">
        <v>118</v>
      </c>
      <c r="M655" s="21" t="s">
        <v>248</v>
      </c>
    </row>
    <row r="656" spans="1:13">
      <c r="E656" s="21">
        <f t="shared" si="340"/>
        <v>656</v>
      </c>
      <c r="F656" s="9" t="s">
        <v>98</v>
      </c>
      <c r="K656" s="9" t="s">
        <v>137</v>
      </c>
      <c r="M656" s="21">
        <v>2</v>
      </c>
    </row>
    <row r="657" spans="1:13">
      <c r="E657" s="21">
        <f t="shared" si="340"/>
        <v>657</v>
      </c>
      <c r="F657" s="9" t="s">
        <v>175</v>
      </c>
      <c r="K657" s="9" t="s">
        <v>136</v>
      </c>
      <c r="M657" s="21" t="s">
        <v>250</v>
      </c>
    </row>
    <row r="658" spans="1:13">
      <c r="E658" s="21">
        <f t="shared" si="340"/>
        <v>658</v>
      </c>
      <c r="F658" s="9" t="s">
        <v>113</v>
      </c>
      <c r="L658" s="9" t="s">
        <v>134</v>
      </c>
      <c r="M658" s="21">
        <v>-90</v>
      </c>
    </row>
    <row r="659" spans="1:13">
      <c r="E659" s="21">
        <f t="shared" si="340"/>
        <v>659</v>
      </c>
      <c r="F659" s="9" t="s">
        <v>31</v>
      </c>
      <c r="G659" s="21">
        <v>5</v>
      </c>
      <c r="H659" s="21">
        <v>72</v>
      </c>
      <c r="L659" s="9" t="s">
        <v>134</v>
      </c>
      <c r="M659" s="21">
        <f t="shared" ref="M659" si="367">(G659*C650+(A650-1)*H659+H653*(B650-1))*-1</f>
        <v>-187</v>
      </c>
    </row>
    <row r="660" spans="1:13">
      <c r="E660" s="21">
        <f t="shared" si="340"/>
        <v>660</v>
      </c>
      <c r="F660" s="9" t="s">
        <v>30</v>
      </c>
      <c r="M660" s="21">
        <v>3</v>
      </c>
    </row>
    <row r="661" spans="1:13">
      <c r="A661" s="21">
        <f t="shared" ref="A661:A724" si="368">QUOTIENT( D661-1,G662*H662)+1</f>
        <v>2</v>
      </c>
      <c r="B661" s="21">
        <f t="shared" ref="B661" si="369">QUOTIENT( D661-1,G662)+1-(A661-1)*H662</f>
        <v>4</v>
      </c>
      <c r="C661" s="21">
        <f t="shared" ref="C661" si="370">D661-(B661-1)*G662-((A661-1)*G662*H662)</f>
        <v>6</v>
      </c>
      <c r="D661" s="21">
        <f>COUNT($D$11:$D660)+1</f>
        <v>60</v>
      </c>
    </row>
    <row r="662" spans="1:13">
      <c r="E662" s="21">
        <f t="shared" si="340"/>
        <v>662</v>
      </c>
      <c r="F662" s="9" t="s">
        <v>93</v>
      </c>
      <c r="G662" s="21">
        <v>6</v>
      </c>
      <c r="H662" s="21">
        <v>6</v>
      </c>
      <c r="I662" s="21">
        <v>5</v>
      </c>
      <c r="J662" s="9" t="s">
        <v>252</v>
      </c>
      <c r="M662" s="21">
        <f t="shared" ref="M662:M725" si="371">J662+D661</f>
        <v>20660</v>
      </c>
    </row>
    <row r="663" spans="1:13">
      <c r="E663" s="21">
        <f t="shared" si="340"/>
        <v>663</v>
      </c>
      <c r="F663" s="9" t="s">
        <v>142</v>
      </c>
      <c r="M663" s="21">
        <v>199107</v>
      </c>
    </row>
    <row r="664" spans="1:13">
      <c r="E664" s="21">
        <f t="shared" si="340"/>
        <v>664</v>
      </c>
      <c r="F664" s="9" t="s">
        <v>126</v>
      </c>
      <c r="G664" s="21">
        <v>5</v>
      </c>
      <c r="H664" s="21">
        <v>30</v>
      </c>
      <c r="M664" s="21">
        <f t="shared" ref="M664" si="372">(MOD(D661-1,G662*H662)+1)*G664+H664*(B661-1)</f>
        <v>210</v>
      </c>
    </row>
    <row r="665" spans="1:13">
      <c r="E665" s="21">
        <f t="shared" si="340"/>
        <v>665</v>
      </c>
      <c r="F665" s="9" t="s">
        <v>29</v>
      </c>
      <c r="M665" s="21" t="s">
        <v>246</v>
      </c>
    </row>
    <row r="666" spans="1:13">
      <c r="E666" s="21">
        <f t="shared" si="340"/>
        <v>666</v>
      </c>
      <c r="F666" s="9" t="s">
        <v>118</v>
      </c>
      <c r="M666" s="21" t="s">
        <v>248</v>
      </c>
    </row>
    <row r="667" spans="1:13">
      <c r="E667" s="21">
        <f t="shared" si="340"/>
        <v>667</v>
      </c>
      <c r="F667" s="9" t="s">
        <v>98</v>
      </c>
      <c r="K667" s="9" t="s">
        <v>137</v>
      </c>
      <c r="M667" s="21">
        <v>2</v>
      </c>
    </row>
    <row r="668" spans="1:13">
      <c r="E668" s="21">
        <f t="shared" si="340"/>
        <v>668</v>
      </c>
      <c r="F668" s="9" t="s">
        <v>175</v>
      </c>
      <c r="K668" s="9" t="s">
        <v>136</v>
      </c>
      <c r="M668" s="21" t="s">
        <v>250</v>
      </c>
    </row>
    <row r="669" spans="1:13">
      <c r="E669" s="21">
        <f t="shared" si="340"/>
        <v>669</v>
      </c>
      <c r="F669" s="9" t="s">
        <v>113</v>
      </c>
      <c r="L669" s="9" t="s">
        <v>134</v>
      </c>
      <c r="M669" s="21">
        <v>-90</v>
      </c>
    </row>
    <row r="670" spans="1:13">
      <c r="E670" s="21">
        <f t="shared" si="340"/>
        <v>670</v>
      </c>
      <c r="F670" s="9" t="s">
        <v>31</v>
      </c>
      <c r="G670" s="21">
        <v>5</v>
      </c>
      <c r="H670" s="21">
        <v>72</v>
      </c>
      <c r="L670" s="9" t="s">
        <v>134</v>
      </c>
      <c r="M670" s="21">
        <f t="shared" ref="M670" si="373">(G670*C661+(A661-1)*H670+H664*(B661-1))*-1</f>
        <v>-192</v>
      </c>
    </row>
    <row r="671" spans="1:13">
      <c r="E671" s="21">
        <f t="shared" ref="E671:E734" si="374">ROW(E671)</f>
        <v>671</v>
      </c>
      <c r="F671" s="9" t="s">
        <v>30</v>
      </c>
      <c r="M671" s="21">
        <v>3</v>
      </c>
    </row>
    <row r="672" spans="1:13">
      <c r="A672" s="21">
        <f t="shared" ref="A672:A735" si="375">QUOTIENT( D672-1,G673*H673)+1</f>
        <v>2</v>
      </c>
      <c r="B672" s="21">
        <f t="shared" ref="B672" si="376">QUOTIENT( D672-1,G673)+1-(A672-1)*H673</f>
        <v>5</v>
      </c>
      <c r="C672" s="21">
        <f t="shared" ref="C672" si="377">D672-(B672-1)*G673-((A672-1)*G673*H673)</f>
        <v>1</v>
      </c>
      <c r="D672" s="21">
        <f>COUNT($D$11:$D671)+1</f>
        <v>61</v>
      </c>
    </row>
    <row r="673" spans="1:13">
      <c r="E673" s="21">
        <f t="shared" ref="E673:E736" si="378">ROW(E673)</f>
        <v>673</v>
      </c>
      <c r="F673" s="9" t="s">
        <v>93</v>
      </c>
      <c r="G673" s="21">
        <v>6</v>
      </c>
      <c r="H673" s="21">
        <v>6</v>
      </c>
      <c r="I673" s="21">
        <v>5</v>
      </c>
      <c r="J673" s="9" t="s">
        <v>252</v>
      </c>
      <c r="M673" s="21">
        <f t="shared" ref="M673:M736" si="379">J673+D672</f>
        <v>20661</v>
      </c>
    </row>
    <row r="674" spans="1:13">
      <c r="E674" s="21">
        <f t="shared" si="378"/>
        <v>674</v>
      </c>
      <c r="F674" s="9" t="s">
        <v>142</v>
      </c>
      <c r="M674" s="21">
        <v>199107</v>
      </c>
    </row>
    <row r="675" spans="1:13">
      <c r="E675" s="21">
        <f t="shared" si="378"/>
        <v>675</v>
      </c>
      <c r="F675" s="9" t="s">
        <v>126</v>
      </c>
      <c r="G675" s="21">
        <v>5</v>
      </c>
      <c r="H675" s="21">
        <v>30</v>
      </c>
      <c r="M675" s="21">
        <f t="shared" ref="M675" si="380">(MOD(D672-1,G673*H673)+1)*G675+H675*(B672-1)</f>
        <v>245</v>
      </c>
    </row>
    <row r="676" spans="1:13">
      <c r="E676" s="21">
        <f t="shared" si="378"/>
        <v>676</v>
      </c>
      <c r="F676" s="9" t="s">
        <v>29</v>
      </c>
      <c r="M676" s="21" t="s">
        <v>246</v>
      </c>
    </row>
    <row r="677" spans="1:13">
      <c r="E677" s="21">
        <f t="shared" si="378"/>
        <v>677</v>
      </c>
      <c r="F677" s="9" t="s">
        <v>118</v>
      </c>
      <c r="M677" s="21" t="s">
        <v>248</v>
      </c>
    </row>
    <row r="678" spans="1:13">
      <c r="E678" s="21">
        <f t="shared" si="378"/>
        <v>678</v>
      </c>
      <c r="F678" s="9" t="s">
        <v>98</v>
      </c>
      <c r="K678" s="9" t="s">
        <v>137</v>
      </c>
      <c r="M678" s="21">
        <v>2</v>
      </c>
    </row>
    <row r="679" spans="1:13">
      <c r="E679" s="21">
        <f t="shared" si="378"/>
        <v>679</v>
      </c>
      <c r="F679" s="9" t="s">
        <v>175</v>
      </c>
      <c r="K679" s="9" t="s">
        <v>136</v>
      </c>
      <c r="M679" s="21" t="s">
        <v>250</v>
      </c>
    </row>
    <row r="680" spans="1:13">
      <c r="E680" s="21">
        <f t="shared" si="378"/>
        <v>680</v>
      </c>
      <c r="F680" s="9" t="s">
        <v>113</v>
      </c>
      <c r="L680" s="9" t="s">
        <v>134</v>
      </c>
      <c r="M680" s="21">
        <v>-90</v>
      </c>
    </row>
    <row r="681" spans="1:13">
      <c r="E681" s="21">
        <f t="shared" si="378"/>
        <v>681</v>
      </c>
      <c r="F681" s="9" t="s">
        <v>31</v>
      </c>
      <c r="G681" s="21">
        <v>5</v>
      </c>
      <c r="H681" s="21">
        <v>72</v>
      </c>
      <c r="L681" s="9" t="s">
        <v>134</v>
      </c>
      <c r="M681" s="21">
        <f t="shared" ref="M681" si="381">(G681*C672+(A672-1)*H681+H675*(B672-1))*-1</f>
        <v>-197</v>
      </c>
    </row>
    <row r="682" spans="1:13">
      <c r="E682" s="21">
        <f t="shared" si="378"/>
        <v>682</v>
      </c>
      <c r="F682" s="9" t="s">
        <v>30</v>
      </c>
      <c r="M682" s="21">
        <v>3</v>
      </c>
    </row>
    <row r="683" spans="1:13">
      <c r="A683" s="21">
        <f t="shared" ref="A683:A746" si="382">QUOTIENT( D683-1,G684*H684)+1</f>
        <v>2</v>
      </c>
      <c r="B683" s="21">
        <f t="shared" ref="B683" si="383">QUOTIENT( D683-1,G684)+1-(A683-1)*H684</f>
        <v>5</v>
      </c>
      <c r="C683" s="21">
        <f t="shared" ref="C683" si="384">D683-(B683-1)*G684-((A683-1)*G684*H684)</f>
        <v>2</v>
      </c>
      <c r="D683" s="21">
        <f>COUNT($D$11:$D682)+1</f>
        <v>62</v>
      </c>
    </row>
    <row r="684" spans="1:13">
      <c r="E684" s="21">
        <f t="shared" si="378"/>
        <v>684</v>
      </c>
      <c r="F684" s="9" t="s">
        <v>93</v>
      </c>
      <c r="G684" s="21">
        <v>6</v>
      </c>
      <c r="H684" s="21">
        <v>6</v>
      </c>
      <c r="I684" s="21">
        <v>5</v>
      </c>
      <c r="J684" s="9" t="s">
        <v>252</v>
      </c>
      <c r="M684" s="21">
        <f t="shared" ref="M684:M747" si="385">J684+D683</f>
        <v>20662</v>
      </c>
    </row>
    <row r="685" spans="1:13">
      <c r="E685" s="21">
        <f t="shared" si="378"/>
        <v>685</v>
      </c>
      <c r="F685" s="9" t="s">
        <v>142</v>
      </c>
      <c r="M685" s="21">
        <v>199107</v>
      </c>
    </row>
    <row r="686" spans="1:13">
      <c r="E686" s="21">
        <f t="shared" si="378"/>
        <v>686</v>
      </c>
      <c r="F686" s="9" t="s">
        <v>126</v>
      </c>
      <c r="G686" s="21">
        <v>5</v>
      </c>
      <c r="H686" s="21">
        <v>30</v>
      </c>
      <c r="M686" s="21">
        <f t="shared" ref="M686" si="386">(MOD(D683-1,G684*H684)+1)*G686+H686*(B683-1)</f>
        <v>250</v>
      </c>
    </row>
    <row r="687" spans="1:13">
      <c r="E687" s="21">
        <f t="shared" si="378"/>
        <v>687</v>
      </c>
      <c r="F687" s="9" t="s">
        <v>29</v>
      </c>
      <c r="M687" s="21" t="s">
        <v>246</v>
      </c>
    </row>
    <row r="688" spans="1:13">
      <c r="E688" s="21">
        <f t="shared" si="378"/>
        <v>688</v>
      </c>
      <c r="F688" s="9" t="s">
        <v>118</v>
      </c>
      <c r="M688" s="21" t="s">
        <v>248</v>
      </c>
    </row>
    <row r="689" spans="1:13">
      <c r="E689" s="21">
        <f t="shared" si="378"/>
        <v>689</v>
      </c>
      <c r="F689" s="9" t="s">
        <v>98</v>
      </c>
      <c r="K689" s="9" t="s">
        <v>137</v>
      </c>
      <c r="M689" s="21">
        <v>2</v>
      </c>
    </row>
    <row r="690" spans="1:13">
      <c r="E690" s="21">
        <f t="shared" si="378"/>
        <v>690</v>
      </c>
      <c r="F690" s="9" t="s">
        <v>175</v>
      </c>
      <c r="K690" s="9" t="s">
        <v>136</v>
      </c>
      <c r="M690" s="21" t="s">
        <v>250</v>
      </c>
    </row>
    <row r="691" spans="1:13">
      <c r="E691" s="21">
        <f t="shared" si="378"/>
        <v>691</v>
      </c>
      <c r="F691" s="9" t="s">
        <v>113</v>
      </c>
      <c r="L691" s="9" t="s">
        <v>134</v>
      </c>
      <c r="M691" s="21">
        <v>-90</v>
      </c>
    </row>
    <row r="692" spans="1:13">
      <c r="E692" s="21">
        <f t="shared" si="378"/>
        <v>692</v>
      </c>
      <c r="F692" s="9" t="s">
        <v>31</v>
      </c>
      <c r="G692" s="21">
        <v>5</v>
      </c>
      <c r="H692" s="21">
        <v>72</v>
      </c>
      <c r="L692" s="9" t="s">
        <v>134</v>
      </c>
      <c r="M692" s="21">
        <f t="shared" ref="M692" si="387">(G692*C683+(A683-1)*H692+H686*(B683-1))*-1</f>
        <v>-202</v>
      </c>
    </row>
    <row r="693" spans="1:13">
      <c r="E693" s="21">
        <f t="shared" si="378"/>
        <v>693</v>
      </c>
      <c r="F693" s="9" t="s">
        <v>30</v>
      </c>
      <c r="M693" s="21">
        <v>3</v>
      </c>
    </row>
    <row r="694" spans="1:13">
      <c r="A694" s="21">
        <f t="shared" ref="A694:A757" si="388">QUOTIENT( D694-1,G695*H695)+1</f>
        <v>2</v>
      </c>
      <c r="B694" s="21">
        <f t="shared" ref="B694" si="389">QUOTIENT( D694-1,G695)+1-(A694-1)*H695</f>
        <v>5</v>
      </c>
      <c r="C694" s="21">
        <f t="shared" ref="C694" si="390">D694-(B694-1)*G695-((A694-1)*G695*H695)</f>
        <v>3</v>
      </c>
      <c r="D694" s="21">
        <f>COUNT($D$11:$D693)+1</f>
        <v>63</v>
      </c>
    </row>
    <row r="695" spans="1:13">
      <c r="E695" s="21">
        <f t="shared" si="378"/>
        <v>695</v>
      </c>
      <c r="F695" s="9" t="s">
        <v>93</v>
      </c>
      <c r="G695" s="21">
        <v>6</v>
      </c>
      <c r="H695" s="21">
        <v>6</v>
      </c>
      <c r="I695" s="21">
        <v>5</v>
      </c>
      <c r="J695" s="9" t="s">
        <v>252</v>
      </c>
      <c r="M695" s="21">
        <f t="shared" ref="M695:M758" si="391">J695+D694</f>
        <v>20663</v>
      </c>
    </row>
    <row r="696" spans="1:13">
      <c r="E696" s="21">
        <f t="shared" si="378"/>
        <v>696</v>
      </c>
      <c r="F696" s="9" t="s">
        <v>142</v>
      </c>
      <c r="M696" s="21">
        <v>199107</v>
      </c>
    </row>
    <row r="697" spans="1:13">
      <c r="E697" s="21">
        <f t="shared" si="378"/>
        <v>697</v>
      </c>
      <c r="F697" s="9" t="s">
        <v>126</v>
      </c>
      <c r="G697" s="21">
        <v>5</v>
      </c>
      <c r="H697" s="21">
        <v>30</v>
      </c>
      <c r="M697" s="21">
        <f t="shared" ref="M697" si="392">(MOD(D694-1,G695*H695)+1)*G697+H697*(B694-1)</f>
        <v>255</v>
      </c>
    </row>
    <row r="698" spans="1:13">
      <c r="E698" s="21">
        <f t="shared" si="378"/>
        <v>698</v>
      </c>
      <c r="F698" s="9" t="s">
        <v>29</v>
      </c>
      <c r="M698" s="21" t="s">
        <v>246</v>
      </c>
    </row>
    <row r="699" spans="1:13">
      <c r="E699" s="21">
        <f t="shared" si="378"/>
        <v>699</v>
      </c>
      <c r="F699" s="9" t="s">
        <v>118</v>
      </c>
      <c r="M699" s="21" t="s">
        <v>248</v>
      </c>
    </row>
    <row r="700" spans="1:13">
      <c r="E700" s="21">
        <f t="shared" si="378"/>
        <v>700</v>
      </c>
      <c r="F700" s="9" t="s">
        <v>98</v>
      </c>
      <c r="K700" s="9" t="s">
        <v>137</v>
      </c>
      <c r="M700" s="21">
        <v>2</v>
      </c>
    </row>
    <row r="701" spans="1:13">
      <c r="E701" s="21">
        <f t="shared" si="378"/>
        <v>701</v>
      </c>
      <c r="F701" s="9" t="s">
        <v>175</v>
      </c>
      <c r="K701" s="9" t="s">
        <v>136</v>
      </c>
      <c r="M701" s="21" t="s">
        <v>250</v>
      </c>
    </row>
    <row r="702" spans="1:13">
      <c r="E702" s="21">
        <f t="shared" si="378"/>
        <v>702</v>
      </c>
      <c r="F702" s="9" t="s">
        <v>113</v>
      </c>
      <c r="L702" s="9" t="s">
        <v>134</v>
      </c>
      <c r="M702" s="21">
        <v>-90</v>
      </c>
    </row>
    <row r="703" spans="1:13">
      <c r="E703" s="21">
        <f t="shared" si="378"/>
        <v>703</v>
      </c>
      <c r="F703" s="9" t="s">
        <v>31</v>
      </c>
      <c r="G703" s="21">
        <v>5</v>
      </c>
      <c r="H703" s="21">
        <v>72</v>
      </c>
      <c r="L703" s="9" t="s">
        <v>134</v>
      </c>
      <c r="M703" s="21">
        <f t="shared" ref="M703" si="393">(G703*C694+(A694-1)*H703+H697*(B694-1))*-1</f>
        <v>-207</v>
      </c>
    </row>
    <row r="704" spans="1:13">
      <c r="E704" s="21">
        <f t="shared" si="378"/>
        <v>704</v>
      </c>
      <c r="F704" s="9" t="s">
        <v>30</v>
      </c>
      <c r="M704" s="21">
        <v>3</v>
      </c>
    </row>
    <row r="705" spans="1:13">
      <c r="A705" s="21">
        <f t="shared" ref="A705:A768" si="394">QUOTIENT( D705-1,G706*H706)+1</f>
        <v>2</v>
      </c>
      <c r="B705" s="21">
        <f t="shared" ref="B705" si="395">QUOTIENT( D705-1,G706)+1-(A705-1)*H706</f>
        <v>5</v>
      </c>
      <c r="C705" s="21">
        <f t="shared" ref="C705" si="396">D705-(B705-1)*G706-((A705-1)*G706*H706)</f>
        <v>4</v>
      </c>
      <c r="D705" s="21">
        <f>COUNT($D$11:$D704)+1</f>
        <v>64</v>
      </c>
    </row>
    <row r="706" spans="1:13">
      <c r="E706" s="21">
        <f t="shared" si="378"/>
        <v>706</v>
      </c>
      <c r="F706" s="9" t="s">
        <v>93</v>
      </c>
      <c r="G706" s="21">
        <v>6</v>
      </c>
      <c r="H706" s="21">
        <v>6</v>
      </c>
      <c r="I706" s="21">
        <v>5</v>
      </c>
      <c r="J706" s="9" t="s">
        <v>252</v>
      </c>
      <c r="M706" s="21">
        <f t="shared" ref="M706:M769" si="397">J706+D705</f>
        <v>20664</v>
      </c>
    </row>
    <row r="707" spans="1:13">
      <c r="E707" s="21">
        <f t="shared" si="378"/>
        <v>707</v>
      </c>
      <c r="F707" s="9" t="s">
        <v>142</v>
      </c>
      <c r="M707" s="21">
        <v>199107</v>
      </c>
    </row>
    <row r="708" spans="1:13">
      <c r="E708" s="21">
        <f t="shared" si="378"/>
        <v>708</v>
      </c>
      <c r="F708" s="9" t="s">
        <v>126</v>
      </c>
      <c r="G708" s="21">
        <v>5</v>
      </c>
      <c r="H708" s="21">
        <v>30</v>
      </c>
      <c r="M708" s="21">
        <f t="shared" ref="M708" si="398">(MOD(D705-1,G706*H706)+1)*G708+H708*(B705-1)</f>
        <v>260</v>
      </c>
    </row>
    <row r="709" spans="1:13">
      <c r="E709" s="21">
        <f t="shared" si="378"/>
        <v>709</v>
      </c>
      <c r="F709" s="9" t="s">
        <v>29</v>
      </c>
      <c r="M709" s="21" t="s">
        <v>246</v>
      </c>
    </row>
    <row r="710" spans="1:13">
      <c r="E710" s="21">
        <f t="shared" si="378"/>
        <v>710</v>
      </c>
      <c r="F710" s="9" t="s">
        <v>118</v>
      </c>
      <c r="M710" s="21" t="s">
        <v>248</v>
      </c>
    </row>
    <row r="711" spans="1:13">
      <c r="E711" s="21">
        <f t="shared" si="378"/>
        <v>711</v>
      </c>
      <c r="F711" s="9" t="s">
        <v>98</v>
      </c>
      <c r="K711" s="9" t="s">
        <v>137</v>
      </c>
      <c r="M711" s="21">
        <v>2</v>
      </c>
    </row>
    <row r="712" spans="1:13">
      <c r="E712" s="21">
        <f t="shared" si="378"/>
        <v>712</v>
      </c>
      <c r="F712" s="9" t="s">
        <v>175</v>
      </c>
      <c r="K712" s="9" t="s">
        <v>136</v>
      </c>
      <c r="M712" s="21" t="s">
        <v>250</v>
      </c>
    </row>
    <row r="713" spans="1:13">
      <c r="E713" s="21">
        <f t="shared" si="378"/>
        <v>713</v>
      </c>
      <c r="F713" s="9" t="s">
        <v>113</v>
      </c>
      <c r="L713" s="9" t="s">
        <v>134</v>
      </c>
      <c r="M713" s="21">
        <v>-90</v>
      </c>
    </row>
    <row r="714" spans="1:13">
      <c r="E714" s="21">
        <f t="shared" si="378"/>
        <v>714</v>
      </c>
      <c r="F714" s="9" t="s">
        <v>31</v>
      </c>
      <c r="G714" s="21">
        <v>5</v>
      </c>
      <c r="H714" s="21">
        <v>72</v>
      </c>
      <c r="L714" s="9" t="s">
        <v>134</v>
      </c>
      <c r="M714" s="21">
        <f t="shared" ref="M714" si="399">(G714*C705+(A705-1)*H714+H708*(B705-1))*-1</f>
        <v>-212</v>
      </c>
    </row>
    <row r="715" spans="1:13">
      <c r="E715" s="21">
        <f t="shared" si="378"/>
        <v>715</v>
      </c>
      <c r="F715" s="9" t="s">
        <v>30</v>
      </c>
      <c r="M715" s="21">
        <v>3</v>
      </c>
    </row>
    <row r="716" spans="1:13">
      <c r="A716" s="21">
        <f t="shared" ref="A716:A779" si="400">QUOTIENT( D716-1,G717*H717)+1</f>
        <v>2</v>
      </c>
      <c r="B716" s="21">
        <f t="shared" ref="B716" si="401">QUOTIENT( D716-1,G717)+1-(A716-1)*H717</f>
        <v>5</v>
      </c>
      <c r="C716" s="21">
        <f t="shared" ref="C716" si="402">D716-(B716-1)*G717-((A716-1)*G717*H717)</f>
        <v>5</v>
      </c>
      <c r="D716" s="21">
        <f>COUNT($D$11:$D715)+1</f>
        <v>65</v>
      </c>
    </row>
    <row r="717" spans="1:13">
      <c r="E717" s="21">
        <f t="shared" si="378"/>
        <v>717</v>
      </c>
      <c r="F717" s="9" t="s">
        <v>93</v>
      </c>
      <c r="G717" s="21">
        <v>6</v>
      </c>
      <c r="H717" s="21">
        <v>6</v>
      </c>
      <c r="I717" s="21">
        <v>5</v>
      </c>
      <c r="J717" s="9" t="s">
        <v>252</v>
      </c>
      <c r="M717" s="21">
        <f t="shared" ref="M717:M780" si="403">J717+D716</f>
        <v>20665</v>
      </c>
    </row>
    <row r="718" spans="1:13">
      <c r="E718" s="21">
        <f t="shared" si="378"/>
        <v>718</v>
      </c>
      <c r="F718" s="9" t="s">
        <v>142</v>
      </c>
      <c r="M718" s="21">
        <v>199107</v>
      </c>
    </row>
    <row r="719" spans="1:13">
      <c r="E719" s="21">
        <f t="shared" si="378"/>
        <v>719</v>
      </c>
      <c r="F719" s="9" t="s">
        <v>126</v>
      </c>
      <c r="G719" s="21">
        <v>5</v>
      </c>
      <c r="H719" s="21">
        <v>30</v>
      </c>
      <c r="M719" s="21">
        <f t="shared" ref="M719" si="404">(MOD(D716-1,G717*H717)+1)*G719+H719*(B716-1)</f>
        <v>265</v>
      </c>
    </row>
    <row r="720" spans="1:13">
      <c r="E720" s="21">
        <f t="shared" si="378"/>
        <v>720</v>
      </c>
      <c r="F720" s="9" t="s">
        <v>29</v>
      </c>
      <c r="M720" s="21" t="s">
        <v>246</v>
      </c>
    </row>
    <row r="721" spans="1:13">
      <c r="E721" s="21">
        <f t="shared" si="378"/>
        <v>721</v>
      </c>
      <c r="F721" s="9" t="s">
        <v>118</v>
      </c>
      <c r="M721" s="21" t="s">
        <v>248</v>
      </c>
    </row>
    <row r="722" spans="1:13">
      <c r="E722" s="21">
        <f t="shared" si="378"/>
        <v>722</v>
      </c>
      <c r="F722" s="9" t="s">
        <v>98</v>
      </c>
      <c r="K722" s="9" t="s">
        <v>137</v>
      </c>
      <c r="M722" s="21">
        <v>2</v>
      </c>
    </row>
    <row r="723" spans="1:13">
      <c r="E723" s="21">
        <f t="shared" si="378"/>
        <v>723</v>
      </c>
      <c r="F723" s="9" t="s">
        <v>175</v>
      </c>
      <c r="K723" s="9" t="s">
        <v>136</v>
      </c>
      <c r="M723" s="21" t="s">
        <v>250</v>
      </c>
    </row>
    <row r="724" spans="1:13">
      <c r="E724" s="21">
        <f t="shared" si="378"/>
        <v>724</v>
      </c>
      <c r="F724" s="9" t="s">
        <v>113</v>
      </c>
      <c r="L724" s="9" t="s">
        <v>134</v>
      </c>
      <c r="M724" s="21">
        <v>-90</v>
      </c>
    </row>
    <row r="725" spans="1:13">
      <c r="E725" s="21">
        <f t="shared" si="378"/>
        <v>725</v>
      </c>
      <c r="F725" s="9" t="s">
        <v>31</v>
      </c>
      <c r="G725" s="21">
        <v>5</v>
      </c>
      <c r="H725" s="21">
        <v>72</v>
      </c>
      <c r="L725" s="9" t="s">
        <v>134</v>
      </c>
      <c r="M725" s="21">
        <f t="shared" ref="M725" si="405">(G725*C716+(A716-1)*H725+H719*(B716-1))*-1</f>
        <v>-217</v>
      </c>
    </row>
    <row r="726" spans="1:13">
      <c r="E726" s="21">
        <f t="shared" si="378"/>
        <v>726</v>
      </c>
      <c r="F726" s="9" t="s">
        <v>30</v>
      </c>
      <c r="M726" s="21">
        <v>3</v>
      </c>
    </row>
    <row r="727" spans="1:13">
      <c r="A727" s="21">
        <f t="shared" ref="A727:A790" si="406">QUOTIENT( D727-1,G728*H728)+1</f>
        <v>2</v>
      </c>
      <c r="B727" s="21">
        <f t="shared" ref="B727" si="407">QUOTIENT( D727-1,G728)+1-(A727-1)*H728</f>
        <v>5</v>
      </c>
      <c r="C727" s="21">
        <f t="shared" ref="C727" si="408">D727-(B727-1)*G728-((A727-1)*G728*H728)</f>
        <v>6</v>
      </c>
      <c r="D727" s="21">
        <f>COUNT($D$11:$D726)+1</f>
        <v>66</v>
      </c>
    </row>
    <row r="728" spans="1:13">
      <c r="E728" s="21">
        <f t="shared" si="378"/>
        <v>728</v>
      </c>
      <c r="F728" s="9" t="s">
        <v>93</v>
      </c>
      <c r="G728" s="21">
        <v>6</v>
      </c>
      <c r="H728" s="21">
        <v>6</v>
      </c>
      <c r="I728" s="21">
        <v>5</v>
      </c>
      <c r="J728" s="9" t="s">
        <v>252</v>
      </c>
      <c r="M728" s="21">
        <f t="shared" ref="M728:M791" si="409">J728+D727</f>
        <v>20666</v>
      </c>
    </row>
    <row r="729" spans="1:13">
      <c r="E729" s="21">
        <f t="shared" si="378"/>
        <v>729</v>
      </c>
      <c r="F729" s="9" t="s">
        <v>142</v>
      </c>
      <c r="M729" s="21">
        <v>199107</v>
      </c>
    </row>
    <row r="730" spans="1:13">
      <c r="E730" s="21">
        <f t="shared" si="378"/>
        <v>730</v>
      </c>
      <c r="F730" s="9" t="s">
        <v>126</v>
      </c>
      <c r="G730" s="21">
        <v>5</v>
      </c>
      <c r="H730" s="21">
        <v>30</v>
      </c>
      <c r="M730" s="21">
        <f t="shared" ref="M730" si="410">(MOD(D727-1,G728*H728)+1)*G730+H730*(B727-1)</f>
        <v>270</v>
      </c>
    </row>
    <row r="731" spans="1:13">
      <c r="E731" s="21">
        <f t="shared" si="378"/>
        <v>731</v>
      </c>
      <c r="F731" s="9" t="s">
        <v>29</v>
      </c>
      <c r="M731" s="21" t="s">
        <v>246</v>
      </c>
    </row>
    <row r="732" spans="1:13">
      <c r="E732" s="21">
        <f t="shared" si="378"/>
        <v>732</v>
      </c>
      <c r="F732" s="9" t="s">
        <v>118</v>
      </c>
      <c r="M732" s="21" t="s">
        <v>248</v>
      </c>
    </row>
    <row r="733" spans="1:13">
      <c r="E733" s="21">
        <f t="shared" si="378"/>
        <v>733</v>
      </c>
      <c r="F733" s="9" t="s">
        <v>98</v>
      </c>
      <c r="K733" s="9" t="s">
        <v>137</v>
      </c>
      <c r="M733" s="21">
        <v>2</v>
      </c>
    </row>
    <row r="734" spans="1:13">
      <c r="E734" s="21">
        <f t="shared" si="378"/>
        <v>734</v>
      </c>
      <c r="F734" s="9" t="s">
        <v>175</v>
      </c>
      <c r="K734" s="9" t="s">
        <v>136</v>
      </c>
      <c r="M734" s="21" t="s">
        <v>250</v>
      </c>
    </row>
    <row r="735" spans="1:13">
      <c r="E735" s="21">
        <f t="shared" si="378"/>
        <v>735</v>
      </c>
      <c r="F735" s="9" t="s">
        <v>113</v>
      </c>
      <c r="L735" s="9" t="s">
        <v>134</v>
      </c>
      <c r="M735" s="21">
        <v>-90</v>
      </c>
    </row>
    <row r="736" spans="1:13">
      <c r="E736" s="21">
        <f t="shared" si="378"/>
        <v>736</v>
      </c>
      <c r="F736" s="9" t="s">
        <v>31</v>
      </c>
      <c r="G736" s="21">
        <v>5</v>
      </c>
      <c r="H736" s="21">
        <v>72</v>
      </c>
      <c r="L736" s="9" t="s">
        <v>134</v>
      </c>
      <c r="M736" s="21">
        <f t="shared" ref="M736" si="411">(G736*C727+(A727-1)*H736+H730*(B727-1))*-1</f>
        <v>-222</v>
      </c>
    </row>
    <row r="737" spans="1:13">
      <c r="E737" s="21">
        <f t="shared" ref="E737:E800" si="412">ROW(E737)</f>
        <v>737</v>
      </c>
      <c r="F737" s="9" t="s">
        <v>30</v>
      </c>
      <c r="M737" s="21">
        <v>3</v>
      </c>
    </row>
    <row r="738" spans="1:13">
      <c r="A738" s="21">
        <f t="shared" ref="A738:A801" si="413">QUOTIENT( D738-1,G739*H739)+1</f>
        <v>2</v>
      </c>
      <c r="B738" s="21">
        <f t="shared" ref="B738" si="414">QUOTIENT( D738-1,G739)+1-(A738-1)*H739</f>
        <v>6</v>
      </c>
      <c r="C738" s="21">
        <f t="shared" ref="C738" si="415">D738-(B738-1)*G739-((A738-1)*G739*H739)</f>
        <v>1</v>
      </c>
      <c r="D738" s="21">
        <f>COUNT($D$11:$D737)+1</f>
        <v>67</v>
      </c>
    </row>
    <row r="739" spans="1:13">
      <c r="E739" s="21">
        <f t="shared" ref="E739:E802" si="416">ROW(E739)</f>
        <v>739</v>
      </c>
      <c r="F739" s="9" t="s">
        <v>93</v>
      </c>
      <c r="G739" s="21">
        <v>6</v>
      </c>
      <c r="H739" s="21">
        <v>6</v>
      </c>
      <c r="I739" s="21">
        <v>5</v>
      </c>
      <c r="J739" s="9" t="s">
        <v>252</v>
      </c>
      <c r="M739" s="21">
        <f t="shared" ref="M739:M802" si="417">J739+D738</f>
        <v>20667</v>
      </c>
    </row>
    <row r="740" spans="1:13">
      <c r="E740" s="21">
        <f t="shared" si="416"/>
        <v>740</v>
      </c>
      <c r="F740" s="9" t="s">
        <v>142</v>
      </c>
      <c r="M740" s="21">
        <v>199107</v>
      </c>
    </row>
    <row r="741" spans="1:13">
      <c r="E741" s="21">
        <f t="shared" si="416"/>
        <v>741</v>
      </c>
      <c r="F741" s="9" t="s">
        <v>126</v>
      </c>
      <c r="G741" s="21">
        <v>5</v>
      </c>
      <c r="H741" s="21">
        <v>30</v>
      </c>
      <c r="M741" s="21">
        <f t="shared" ref="M741" si="418">(MOD(D738-1,G739*H739)+1)*G741+H741*(B738-1)</f>
        <v>305</v>
      </c>
    </row>
    <row r="742" spans="1:13">
      <c r="E742" s="21">
        <f t="shared" si="416"/>
        <v>742</v>
      </c>
      <c r="F742" s="9" t="s">
        <v>29</v>
      </c>
      <c r="M742" s="21" t="s">
        <v>246</v>
      </c>
    </row>
    <row r="743" spans="1:13">
      <c r="E743" s="21">
        <f t="shared" si="416"/>
        <v>743</v>
      </c>
      <c r="F743" s="9" t="s">
        <v>118</v>
      </c>
      <c r="M743" s="21" t="s">
        <v>248</v>
      </c>
    </row>
    <row r="744" spans="1:13">
      <c r="E744" s="21">
        <f t="shared" si="416"/>
        <v>744</v>
      </c>
      <c r="F744" s="9" t="s">
        <v>98</v>
      </c>
      <c r="K744" s="9" t="s">
        <v>137</v>
      </c>
      <c r="M744" s="21">
        <v>2</v>
      </c>
    </row>
    <row r="745" spans="1:13">
      <c r="E745" s="21">
        <f t="shared" si="416"/>
        <v>745</v>
      </c>
      <c r="F745" s="9" t="s">
        <v>175</v>
      </c>
      <c r="K745" s="9" t="s">
        <v>136</v>
      </c>
      <c r="M745" s="21" t="s">
        <v>250</v>
      </c>
    </row>
    <row r="746" spans="1:13">
      <c r="E746" s="21">
        <f t="shared" si="416"/>
        <v>746</v>
      </c>
      <c r="F746" s="9" t="s">
        <v>113</v>
      </c>
      <c r="L746" s="9" t="s">
        <v>134</v>
      </c>
      <c r="M746" s="21">
        <v>-90</v>
      </c>
    </row>
    <row r="747" spans="1:13">
      <c r="E747" s="21">
        <f t="shared" si="416"/>
        <v>747</v>
      </c>
      <c r="F747" s="9" t="s">
        <v>31</v>
      </c>
      <c r="G747" s="21">
        <v>5</v>
      </c>
      <c r="H747" s="21">
        <v>72</v>
      </c>
      <c r="L747" s="9" t="s">
        <v>134</v>
      </c>
      <c r="M747" s="21">
        <f t="shared" ref="M747" si="419">(G747*C738+(A738-1)*H747+H741*(B738-1))*-1</f>
        <v>-227</v>
      </c>
    </row>
    <row r="748" spans="1:13">
      <c r="E748" s="21">
        <f t="shared" si="416"/>
        <v>748</v>
      </c>
      <c r="F748" s="9" t="s">
        <v>30</v>
      </c>
      <c r="M748" s="21">
        <v>3</v>
      </c>
    </row>
    <row r="749" spans="1:13">
      <c r="A749" s="21">
        <f t="shared" ref="A749:A812" si="420">QUOTIENT( D749-1,G750*H750)+1</f>
        <v>2</v>
      </c>
      <c r="B749" s="21">
        <f t="shared" ref="B749" si="421">QUOTIENT( D749-1,G750)+1-(A749-1)*H750</f>
        <v>6</v>
      </c>
      <c r="C749" s="21">
        <f t="shared" ref="C749" si="422">D749-(B749-1)*G750-((A749-1)*G750*H750)</f>
        <v>2</v>
      </c>
      <c r="D749" s="21">
        <f>COUNT($D$11:$D748)+1</f>
        <v>68</v>
      </c>
    </row>
    <row r="750" spans="1:13">
      <c r="E750" s="21">
        <f t="shared" si="416"/>
        <v>750</v>
      </c>
      <c r="F750" s="9" t="s">
        <v>93</v>
      </c>
      <c r="G750" s="21">
        <v>6</v>
      </c>
      <c r="H750" s="21">
        <v>6</v>
      </c>
      <c r="I750" s="21">
        <v>5</v>
      </c>
      <c r="J750" s="9" t="s">
        <v>252</v>
      </c>
      <c r="M750" s="21">
        <f t="shared" ref="M750:M813" si="423">J750+D749</f>
        <v>20668</v>
      </c>
    </row>
    <row r="751" spans="1:13">
      <c r="E751" s="21">
        <f t="shared" si="416"/>
        <v>751</v>
      </c>
      <c r="F751" s="9" t="s">
        <v>142</v>
      </c>
      <c r="M751" s="21">
        <v>199107</v>
      </c>
    </row>
    <row r="752" spans="1:13">
      <c r="E752" s="21">
        <f t="shared" si="416"/>
        <v>752</v>
      </c>
      <c r="F752" s="9" t="s">
        <v>126</v>
      </c>
      <c r="G752" s="21">
        <v>5</v>
      </c>
      <c r="H752" s="21">
        <v>30</v>
      </c>
      <c r="M752" s="21">
        <f t="shared" ref="M752" si="424">(MOD(D749-1,G750*H750)+1)*G752+H752*(B749-1)</f>
        <v>310</v>
      </c>
    </row>
    <row r="753" spans="1:13">
      <c r="E753" s="21">
        <f t="shared" si="416"/>
        <v>753</v>
      </c>
      <c r="F753" s="9" t="s">
        <v>29</v>
      </c>
      <c r="M753" s="21" t="s">
        <v>246</v>
      </c>
    </row>
    <row r="754" spans="1:13">
      <c r="E754" s="21">
        <f t="shared" si="416"/>
        <v>754</v>
      </c>
      <c r="F754" s="9" t="s">
        <v>118</v>
      </c>
      <c r="M754" s="21" t="s">
        <v>248</v>
      </c>
    </row>
    <row r="755" spans="1:13">
      <c r="E755" s="21">
        <f t="shared" si="416"/>
        <v>755</v>
      </c>
      <c r="F755" s="9" t="s">
        <v>98</v>
      </c>
      <c r="K755" s="9" t="s">
        <v>137</v>
      </c>
      <c r="M755" s="21">
        <v>2</v>
      </c>
    </row>
    <row r="756" spans="1:13">
      <c r="E756" s="21">
        <f t="shared" si="416"/>
        <v>756</v>
      </c>
      <c r="F756" s="9" t="s">
        <v>175</v>
      </c>
      <c r="K756" s="9" t="s">
        <v>136</v>
      </c>
      <c r="M756" s="21" t="s">
        <v>250</v>
      </c>
    </row>
    <row r="757" spans="1:13">
      <c r="E757" s="21">
        <f t="shared" si="416"/>
        <v>757</v>
      </c>
      <c r="F757" s="9" t="s">
        <v>113</v>
      </c>
      <c r="L757" s="9" t="s">
        <v>134</v>
      </c>
      <c r="M757" s="21">
        <v>-90</v>
      </c>
    </row>
    <row r="758" spans="1:13">
      <c r="E758" s="21">
        <f t="shared" si="416"/>
        <v>758</v>
      </c>
      <c r="F758" s="9" t="s">
        <v>31</v>
      </c>
      <c r="G758" s="21">
        <v>5</v>
      </c>
      <c r="H758" s="21">
        <v>72</v>
      </c>
      <c r="L758" s="9" t="s">
        <v>134</v>
      </c>
      <c r="M758" s="21">
        <f t="shared" ref="M758" si="425">(G758*C749+(A749-1)*H758+H752*(B749-1))*-1</f>
        <v>-232</v>
      </c>
    </row>
    <row r="759" spans="1:13">
      <c r="E759" s="21">
        <f t="shared" si="416"/>
        <v>759</v>
      </c>
      <c r="F759" s="9" t="s">
        <v>30</v>
      </c>
      <c r="M759" s="21">
        <v>3</v>
      </c>
    </row>
    <row r="760" spans="1:13">
      <c r="A760" s="21">
        <f t="shared" ref="A760:A823" si="426">QUOTIENT( D760-1,G761*H761)+1</f>
        <v>2</v>
      </c>
      <c r="B760" s="21">
        <f t="shared" ref="B760" si="427">QUOTIENT( D760-1,G761)+1-(A760-1)*H761</f>
        <v>6</v>
      </c>
      <c r="C760" s="21">
        <f t="shared" ref="C760" si="428">D760-(B760-1)*G761-((A760-1)*G761*H761)</f>
        <v>3</v>
      </c>
      <c r="D760" s="21">
        <f>COUNT($D$11:$D759)+1</f>
        <v>69</v>
      </c>
    </row>
    <row r="761" spans="1:13">
      <c r="E761" s="21">
        <f t="shared" si="416"/>
        <v>761</v>
      </c>
      <c r="F761" s="9" t="s">
        <v>93</v>
      </c>
      <c r="G761" s="21">
        <v>6</v>
      </c>
      <c r="H761" s="21">
        <v>6</v>
      </c>
      <c r="I761" s="21">
        <v>5</v>
      </c>
      <c r="J761" s="9" t="s">
        <v>252</v>
      </c>
      <c r="M761" s="21">
        <f t="shared" ref="M761:M824" si="429">J761+D760</f>
        <v>20669</v>
      </c>
    </row>
    <row r="762" spans="1:13">
      <c r="E762" s="21">
        <f t="shared" si="416"/>
        <v>762</v>
      </c>
      <c r="F762" s="9" t="s">
        <v>142</v>
      </c>
      <c r="M762" s="21">
        <v>199107</v>
      </c>
    </row>
    <row r="763" spans="1:13">
      <c r="E763" s="21">
        <f t="shared" si="416"/>
        <v>763</v>
      </c>
      <c r="F763" s="9" t="s">
        <v>126</v>
      </c>
      <c r="G763" s="21">
        <v>5</v>
      </c>
      <c r="H763" s="21">
        <v>30</v>
      </c>
      <c r="M763" s="21">
        <f t="shared" ref="M763" si="430">(MOD(D760-1,G761*H761)+1)*G763+H763*(B760-1)</f>
        <v>315</v>
      </c>
    </row>
    <row r="764" spans="1:13">
      <c r="E764" s="21">
        <f t="shared" si="416"/>
        <v>764</v>
      </c>
      <c r="F764" s="9" t="s">
        <v>29</v>
      </c>
      <c r="M764" s="21" t="s">
        <v>246</v>
      </c>
    </row>
    <row r="765" spans="1:13">
      <c r="E765" s="21">
        <f t="shared" si="416"/>
        <v>765</v>
      </c>
      <c r="F765" s="9" t="s">
        <v>118</v>
      </c>
      <c r="M765" s="21" t="s">
        <v>248</v>
      </c>
    </row>
    <row r="766" spans="1:13">
      <c r="E766" s="21">
        <f t="shared" si="416"/>
        <v>766</v>
      </c>
      <c r="F766" s="9" t="s">
        <v>98</v>
      </c>
      <c r="K766" s="9" t="s">
        <v>137</v>
      </c>
      <c r="M766" s="21">
        <v>2</v>
      </c>
    </row>
    <row r="767" spans="1:13">
      <c r="E767" s="21">
        <f t="shared" si="416"/>
        <v>767</v>
      </c>
      <c r="F767" s="9" t="s">
        <v>175</v>
      </c>
      <c r="K767" s="9" t="s">
        <v>136</v>
      </c>
      <c r="M767" s="21" t="s">
        <v>250</v>
      </c>
    </row>
    <row r="768" spans="1:13">
      <c r="E768" s="21">
        <f t="shared" si="416"/>
        <v>768</v>
      </c>
      <c r="F768" s="9" t="s">
        <v>113</v>
      </c>
      <c r="L768" s="9" t="s">
        <v>134</v>
      </c>
      <c r="M768" s="21">
        <v>-90</v>
      </c>
    </row>
    <row r="769" spans="1:13">
      <c r="E769" s="21">
        <f t="shared" si="416"/>
        <v>769</v>
      </c>
      <c r="F769" s="9" t="s">
        <v>31</v>
      </c>
      <c r="G769" s="21">
        <v>5</v>
      </c>
      <c r="H769" s="21">
        <v>72</v>
      </c>
      <c r="L769" s="9" t="s">
        <v>134</v>
      </c>
      <c r="M769" s="21">
        <f t="shared" ref="M769" si="431">(G769*C760+(A760-1)*H769+H763*(B760-1))*-1</f>
        <v>-237</v>
      </c>
    </row>
    <row r="770" spans="1:13">
      <c r="E770" s="21">
        <f t="shared" si="416"/>
        <v>770</v>
      </c>
      <c r="F770" s="9" t="s">
        <v>30</v>
      </c>
      <c r="M770" s="21">
        <v>3</v>
      </c>
    </row>
    <row r="771" spans="1:13">
      <c r="A771" s="21">
        <f t="shared" ref="A771:A834" si="432">QUOTIENT( D771-1,G772*H772)+1</f>
        <v>2</v>
      </c>
      <c r="B771" s="21">
        <f t="shared" ref="B771" si="433">QUOTIENT( D771-1,G772)+1-(A771-1)*H772</f>
        <v>6</v>
      </c>
      <c r="C771" s="21">
        <f t="shared" ref="C771" si="434">D771-(B771-1)*G772-((A771-1)*G772*H772)</f>
        <v>4</v>
      </c>
      <c r="D771" s="21">
        <f>COUNT($D$11:$D770)+1</f>
        <v>70</v>
      </c>
    </row>
    <row r="772" spans="1:13">
      <c r="E772" s="21">
        <f t="shared" si="416"/>
        <v>772</v>
      </c>
      <c r="F772" s="9" t="s">
        <v>93</v>
      </c>
      <c r="G772" s="21">
        <v>6</v>
      </c>
      <c r="H772" s="21">
        <v>6</v>
      </c>
      <c r="I772" s="21">
        <v>5</v>
      </c>
      <c r="J772" s="9" t="s">
        <v>252</v>
      </c>
      <c r="M772" s="21">
        <f t="shared" ref="M772:M835" si="435">J772+D771</f>
        <v>20670</v>
      </c>
    </row>
    <row r="773" spans="1:13">
      <c r="E773" s="21">
        <f t="shared" si="416"/>
        <v>773</v>
      </c>
      <c r="F773" s="9" t="s">
        <v>142</v>
      </c>
      <c r="M773" s="21">
        <v>199107</v>
      </c>
    </row>
    <row r="774" spans="1:13">
      <c r="E774" s="21">
        <f t="shared" si="416"/>
        <v>774</v>
      </c>
      <c r="F774" s="9" t="s">
        <v>126</v>
      </c>
      <c r="G774" s="21">
        <v>5</v>
      </c>
      <c r="H774" s="21">
        <v>30</v>
      </c>
      <c r="M774" s="21">
        <f t="shared" ref="M774" si="436">(MOD(D771-1,G772*H772)+1)*G774+H774*(B771-1)</f>
        <v>320</v>
      </c>
    </row>
    <row r="775" spans="1:13">
      <c r="E775" s="21">
        <f t="shared" si="416"/>
        <v>775</v>
      </c>
      <c r="F775" s="9" t="s">
        <v>29</v>
      </c>
      <c r="M775" s="21" t="s">
        <v>246</v>
      </c>
    </row>
    <row r="776" spans="1:13">
      <c r="E776" s="21">
        <f t="shared" si="416"/>
        <v>776</v>
      </c>
      <c r="F776" s="9" t="s">
        <v>118</v>
      </c>
      <c r="M776" s="21" t="s">
        <v>248</v>
      </c>
    </row>
    <row r="777" spans="1:13">
      <c r="E777" s="21">
        <f t="shared" si="416"/>
        <v>777</v>
      </c>
      <c r="F777" s="9" t="s">
        <v>98</v>
      </c>
      <c r="K777" s="9" t="s">
        <v>137</v>
      </c>
      <c r="M777" s="21">
        <v>2</v>
      </c>
    </row>
    <row r="778" spans="1:13">
      <c r="E778" s="21">
        <f t="shared" si="416"/>
        <v>778</v>
      </c>
      <c r="F778" s="9" t="s">
        <v>175</v>
      </c>
      <c r="K778" s="9" t="s">
        <v>136</v>
      </c>
      <c r="M778" s="21" t="s">
        <v>250</v>
      </c>
    </row>
    <row r="779" spans="1:13">
      <c r="E779" s="21">
        <f t="shared" si="416"/>
        <v>779</v>
      </c>
      <c r="F779" s="9" t="s">
        <v>113</v>
      </c>
      <c r="L779" s="9" t="s">
        <v>134</v>
      </c>
      <c r="M779" s="21">
        <v>-90</v>
      </c>
    </row>
    <row r="780" spans="1:13">
      <c r="E780" s="21">
        <f t="shared" si="416"/>
        <v>780</v>
      </c>
      <c r="F780" s="9" t="s">
        <v>31</v>
      </c>
      <c r="G780" s="21">
        <v>5</v>
      </c>
      <c r="H780" s="21">
        <v>72</v>
      </c>
      <c r="L780" s="9" t="s">
        <v>134</v>
      </c>
      <c r="M780" s="21">
        <f t="shared" ref="M780" si="437">(G780*C771+(A771-1)*H780+H774*(B771-1))*-1</f>
        <v>-242</v>
      </c>
    </row>
    <row r="781" spans="1:13">
      <c r="E781" s="21">
        <f t="shared" si="416"/>
        <v>781</v>
      </c>
      <c r="F781" s="9" t="s">
        <v>30</v>
      </c>
      <c r="M781" s="21">
        <v>3</v>
      </c>
    </row>
    <row r="782" spans="1:13">
      <c r="A782" s="21">
        <f t="shared" ref="A782:A845" si="438">QUOTIENT( D782-1,G783*H783)+1</f>
        <v>2</v>
      </c>
      <c r="B782" s="21">
        <f t="shared" ref="B782" si="439">QUOTIENT( D782-1,G783)+1-(A782-1)*H783</f>
        <v>6</v>
      </c>
      <c r="C782" s="21">
        <f t="shared" ref="C782" si="440">D782-(B782-1)*G783-((A782-1)*G783*H783)</f>
        <v>5</v>
      </c>
      <c r="D782" s="21">
        <f>COUNT($D$11:$D781)+1</f>
        <v>71</v>
      </c>
    </row>
    <row r="783" spans="1:13">
      <c r="E783" s="21">
        <f t="shared" si="416"/>
        <v>783</v>
      </c>
      <c r="F783" s="9" t="s">
        <v>93</v>
      </c>
      <c r="G783" s="21">
        <v>6</v>
      </c>
      <c r="H783" s="21">
        <v>6</v>
      </c>
      <c r="I783" s="21">
        <v>5</v>
      </c>
      <c r="J783" s="9" t="s">
        <v>252</v>
      </c>
      <c r="M783" s="21">
        <f t="shared" ref="M783:M846" si="441">J783+D782</f>
        <v>20671</v>
      </c>
    </row>
    <row r="784" spans="1:13">
      <c r="E784" s="21">
        <f t="shared" si="416"/>
        <v>784</v>
      </c>
      <c r="F784" s="9" t="s">
        <v>142</v>
      </c>
      <c r="M784" s="21">
        <v>199107</v>
      </c>
    </row>
    <row r="785" spans="1:13">
      <c r="E785" s="21">
        <f t="shared" si="416"/>
        <v>785</v>
      </c>
      <c r="F785" s="9" t="s">
        <v>126</v>
      </c>
      <c r="G785" s="21">
        <v>5</v>
      </c>
      <c r="H785" s="21">
        <v>30</v>
      </c>
      <c r="M785" s="21">
        <f t="shared" ref="M785" si="442">(MOD(D782-1,G783*H783)+1)*G785+H785*(B782-1)</f>
        <v>325</v>
      </c>
    </row>
    <row r="786" spans="1:13">
      <c r="E786" s="21">
        <f t="shared" si="416"/>
        <v>786</v>
      </c>
      <c r="F786" s="9" t="s">
        <v>29</v>
      </c>
      <c r="M786" s="21" t="s">
        <v>246</v>
      </c>
    </row>
    <row r="787" spans="1:13">
      <c r="E787" s="21">
        <f t="shared" si="416"/>
        <v>787</v>
      </c>
      <c r="F787" s="9" t="s">
        <v>118</v>
      </c>
      <c r="M787" s="21" t="s">
        <v>248</v>
      </c>
    </row>
    <row r="788" spans="1:13">
      <c r="E788" s="21">
        <f t="shared" si="416"/>
        <v>788</v>
      </c>
      <c r="F788" s="9" t="s">
        <v>98</v>
      </c>
      <c r="K788" s="9" t="s">
        <v>137</v>
      </c>
      <c r="M788" s="21">
        <v>2</v>
      </c>
    </row>
    <row r="789" spans="1:13">
      <c r="E789" s="21">
        <f t="shared" si="416"/>
        <v>789</v>
      </c>
      <c r="F789" s="9" t="s">
        <v>175</v>
      </c>
      <c r="K789" s="9" t="s">
        <v>136</v>
      </c>
      <c r="M789" s="21" t="s">
        <v>250</v>
      </c>
    </row>
    <row r="790" spans="1:13">
      <c r="E790" s="21">
        <f t="shared" si="416"/>
        <v>790</v>
      </c>
      <c r="F790" s="9" t="s">
        <v>113</v>
      </c>
      <c r="L790" s="9" t="s">
        <v>134</v>
      </c>
      <c r="M790" s="21">
        <v>-90</v>
      </c>
    </row>
    <row r="791" spans="1:13">
      <c r="E791" s="21">
        <f t="shared" si="416"/>
        <v>791</v>
      </c>
      <c r="F791" s="9" t="s">
        <v>31</v>
      </c>
      <c r="G791" s="21">
        <v>5</v>
      </c>
      <c r="H791" s="21">
        <v>72</v>
      </c>
      <c r="L791" s="9" t="s">
        <v>134</v>
      </c>
      <c r="M791" s="21">
        <f t="shared" ref="M791" si="443">(G791*C782+(A782-1)*H791+H785*(B782-1))*-1</f>
        <v>-247</v>
      </c>
    </row>
    <row r="792" spans="1:13">
      <c r="E792" s="21">
        <f t="shared" si="416"/>
        <v>792</v>
      </c>
      <c r="F792" s="9" t="s">
        <v>30</v>
      </c>
      <c r="M792" s="21">
        <v>3</v>
      </c>
    </row>
    <row r="793" spans="1:13">
      <c r="A793" s="21">
        <f t="shared" ref="A793:A856" si="444">QUOTIENT( D793-1,G794*H794)+1</f>
        <v>2</v>
      </c>
      <c r="B793" s="21">
        <f t="shared" ref="B793" si="445">QUOTIENT( D793-1,G794)+1-(A793-1)*H794</f>
        <v>6</v>
      </c>
      <c r="C793" s="21">
        <f t="shared" ref="C793" si="446">D793-(B793-1)*G794-((A793-1)*G794*H794)</f>
        <v>6</v>
      </c>
      <c r="D793" s="21">
        <f>COUNT($D$11:$D792)+1</f>
        <v>72</v>
      </c>
    </row>
    <row r="794" spans="1:13">
      <c r="E794" s="21">
        <f t="shared" si="416"/>
        <v>794</v>
      </c>
      <c r="F794" s="9" t="s">
        <v>93</v>
      </c>
      <c r="G794" s="21">
        <v>6</v>
      </c>
      <c r="H794" s="21">
        <v>6</v>
      </c>
      <c r="I794" s="21">
        <v>5</v>
      </c>
      <c r="J794" s="9" t="s">
        <v>252</v>
      </c>
      <c r="M794" s="21">
        <f t="shared" ref="M794:M857" si="447">J794+D793</f>
        <v>20672</v>
      </c>
    </row>
    <row r="795" spans="1:13">
      <c r="E795" s="21">
        <f t="shared" si="416"/>
        <v>795</v>
      </c>
      <c r="F795" s="9" t="s">
        <v>142</v>
      </c>
      <c r="M795" s="21">
        <v>199107</v>
      </c>
    </row>
    <row r="796" spans="1:13">
      <c r="E796" s="21">
        <f t="shared" si="416"/>
        <v>796</v>
      </c>
      <c r="F796" s="9" t="s">
        <v>126</v>
      </c>
      <c r="G796" s="21">
        <v>5</v>
      </c>
      <c r="H796" s="21">
        <v>30</v>
      </c>
      <c r="M796" s="21">
        <f t="shared" ref="M796" si="448">(MOD(D793-1,G794*H794)+1)*G796+H796*(B793-1)</f>
        <v>330</v>
      </c>
    </row>
    <row r="797" spans="1:13">
      <c r="E797" s="21">
        <f t="shared" si="416"/>
        <v>797</v>
      </c>
      <c r="F797" s="9" t="s">
        <v>29</v>
      </c>
      <c r="M797" s="21" t="s">
        <v>246</v>
      </c>
    </row>
    <row r="798" spans="1:13">
      <c r="E798" s="21">
        <f t="shared" si="416"/>
        <v>798</v>
      </c>
      <c r="F798" s="9" t="s">
        <v>118</v>
      </c>
      <c r="M798" s="21" t="s">
        <v>248</v>
      </c>
    </row>
    <row r="799" spans="1:13">
      <c r="E799" s="21">
        <f t="shared" si="416"/>
        <v>799</v>
      </c>
      <c r="F799" s="9" t="s">
        <v>98</v>
      </c>
      <c r="K799" s="9" t="s">
        <v>137</v>
      </c>
      <c r="M799" s="21">
        <v>2</v>
      </c>
    </row>
    <row r="800" spans="1:13">
      <c r="E800" s="21">
        <f t="shared" si="416"/>
        <v>800</v>
      </c>
      <c r="F800" s="9" t="s">
        <v>175</v>
      </c>
      <c r="K800" s="9" t="s">
        <v>136</v>
      </c>
      <c r="M800" s="21" t="s">
        <v>250</v>
      </c>
    </row>
    <row r="801" spans="1:13">
      <c r="E801" s="21">
        <f t="shared" si="416"/>
        <v>801</v>
      </c>
      <c r="F801" s="9" t="s">
        <v>113</v>
      </c>
      <c r="L801" s="9" t="s">
        <v>134</v>
      </c>
      <c r="M801" s="21">
        <v>-90</v>
      </c>
    </row>
    <row r="802" spans="1:13">
      <c r="E802" s="21">
        <f t="shared" si="416"/>
        <v>802</v>
      </c>
      <c r="F802" s="9" t="s">
        <v>31</v>
      </c>
      <c r="G802" s="21">
        <v>5</v>
      </c>
      <c r="H802" s="21">
        <v>72</v>
      </c>
      <c r="L802" s="9" t="s">
        <v>134</v>
      </c>
      <c r="M802" s="21">
        <f t="shared" ref="M802" si="449">(G802*C793+(A793-1)*H802+H796*(B793-1))*-1</f>
        <v>-252</v>
      </c>
    </row>
    <row r="803" spans="1:13">
      <c r="E803" s="21">
        <f t="shared" ref="E803:E866" si="450">ROW(E803)</f>
        <v>803</v>
      </c>
      <c r="F803" s="9" t="s">
        <v>30</v>
      </c>
      <c r="M803" s="21">
        <v>3</v>
      </c>
    </row>
    <row r="804" spans="1:13">
      <c r="A804" s="21">
        <f t="shared" ref="A804:A867" si="451">QUOTIENT( D804-1,G805*H805)+1</f>
        <v>3</v>
      </c>
      <c r="B804" s="21">
        <f t="shared" ref="B804" si="452">QUOTIENT( D804-1,G805)+1-(A804-1)*H805</f>
        <v>1</v>
      </c>
      <c r="C804" s="21">
        <f t="shared" ref="C804" si="453">D804-(B804-1)*G805-((A804-1)*G805*H805)</f>
        <v>1</v>
      </c>
      <c r="D804" s="21">
        <f>COUNT($D$11:$D803)+1</f>
        <v>73</v>
      </c>
    </row>
    <row r="805" spans="1:13">
      <c r="E805" s="21">
        <f t="shared" ref="E805:E868" si="454">ROW(E805)</f>
        <v>805</v>
      </c>
      <c r="F805" s="9" t="s">
        <v>93</v>
      </c>
      <c r="G805" s="21">
        <v>6</v>
      </c>
      <c r="H805" s="21">
        <v>6</v>
      </c>
      <c r="I805" s="21">
        <v>5</v>
      </c>
      <c r="J805" s="9" t="s">
        <v>252</v>
      </c>
      <c r="M805" s="21">
        <f t="shared" ref="M805:M868" si="455">J805+D804</f>
        <v>20673</v>
      </c>
    </row>
    <row r="806" spans="1:13">
      <c r="E806" s="21">
        <f t="shared" si="454"/>
        <v>806</v>
      </c>
      <c r="F806" s="9" t="s">
        <v>142</v>
      </c>
      <c r="M806" s="21">
        <v>199107</v>
      </c>
    </row>
    <row r="807" spans="1:13">
      <c r="E807" s="21">
        <f t="shared" si="454"/>
        <v>807</v>
      </c>
      <c r="F807" s="9" t="s">
        <v>126</v>
      </c>
      <c r="G807" s="21">
        <v>5</v>
      </c>
      <c r="H807" s="21">
        <v>30</v>
      </c>
      <c r="M807" s="21">
        <f t="shared" ref="M807" si="456">(MOD(D804-1,G805*H805)+1)*G807+H807*(B804-1)</f>
        <v>5</v>
      </c>
    </row>
    <row r="808" spans="1:13">
      <c r="E808" s="21">
        <f t="shared" si="454"/>
        <v>808</v>
      </c>
      <c r="F808" s="9" t="s">
        <v>29</v>
      </c>
      <c r="M808" s="21" t="s">
        <v>246</v>
      </c>
    </row>
    <row r="809" spans="1:13">
      <c r="E809" s="21">
        <f t="shared" si="454"/>
        <v>809</v>
      </c>
      <c r="F809" s="9" t="s">
        <v>118</v>
      </c>
      <c r="M809" s="21" t="s">
        <v>248</v>
      </c>
    </row>
    <row r="810" spans="1:13">
      <c r="E810" s="21">
        <f t="shared" si="454"/>
        <v>810</v>
      </c>
      <c r="F810" s="9" t="s">
        <v>98</v>
      </c>
      <c r="K810" s="9" t="s">
        <v>137</v>
      </c>
      <c r="M810" s="21">
        <v>2</v>
      </c>
    </row>
    <row r="811" spans="1:13">
      <c r="E811" s="21">
        <f t="shared" si="454"/>
        <v>811</v>
      </c>
      <c r="F811" s="9" t="s">
        <v>175</v>
      </c>
      <c r="K811" s="9" t="s">
        <v>136</v>
      </c>
      <c r="M811" s="21" t="s">
        <v>250</v>
      </c>
    </row>
    <row r="812" spans="1:13">
      <c r="E812" s="21">
        <f t="shared" si="454"/>
        <v>812</v>
      </c>
      <c r="F812" s="9" t="s">
        <v>113</v>
      </c>
      <c r="L812" s="9" t="s">
        <v>134</v>
      </c>
      <c r="M812" s="21">
        <v>-90</v>
      </c>
    </row>
    <row r="813" spans="1:13">
      <c r="E813" s="21">
        <f t="shared" si="454"/>
        <v>813</v>
      </c>
      <c r="F813" s="9" t="s">
        <v>31</v>
      </c>
      <c r="G813" s="21">
        <v>5</v>
      </c>
      <c r="H813" s="21">
        <v>72</v>
      </c>
      <c r="L813" s="9" t="s">
        <v>134</v>
      </c>
      <c r="M813" s="21">
        <f t="shared" ref="M813" si="457">(G813*C804+(A804-1)*H813+H807*(B804-1))*-1</f>
        <v>-149</v>
      </c>
    </row>
    <row r="814" spans="1:13">
      <c r="E814" s="21">
        <f t="shared" si="454"/>
        <v>814</v>
      </c>
      <c r="F814" s="9" t="s">
        <v>30</v>
      </c>
      <c r="M814" s="21">
        <v>3</v>
      </c>
    </row>
    <row r="815" spans="1:13">
      <c r="A815" s="21">
        <f t="shared" ref="A815:A878" si="458">QUOTIENT( D815-1,G816*H816)+1</f>
        <v>3</v>
      </c>
      <c r="B815" s="21">
        <f t="shared" ref="B815" si="459">QUOTIENT( D815-1,G816)+1-(A815-1)*H816</f>
        <v>1</v>
      </c>
      <c r="C815" s="21">
        <f t="shared" ref="C815" si="460">D815-(B815-1)*G816-((A815-1)*G816*H816)</f>
        <v>2</v>
      </c>
      <c r="D815" s="21">
        <f>COUNT($D$11:$D814)+1</f>
        <v>74</v>
      </c>
    </row>
    <row r="816" spans="1:13">
      <c r="E816" s="21">
        <f t="shared" si="454"/>
        <v>816</v>
      </c>
      <c r="F816" s="9" t="s">
        <v>93</v>
      </c>
      <c r="G816" s="21">
        <v>6</v>
      </c>
      <c r="H816" s="21">
        <v>6</v>
      </c>
      <c r="I816" s="21">
        <v>5</v>
      </c>
      <c r="J816" s="9" t="s">
        <v>252</v>
      </c>
      <c r="M816" s="21">
        <f t="shared" ref="M816:M879" si="461">J816+D815</f>
        <v>20674</v>
      </c>
    </row>
    <row r="817" spans="1:13">
      <c r="E817" s="21">
        <f t="shared" si="454"/>
        <v>817</v>
      </c>
      <c r="F817" s="9" t="s">
        <v>142</v>
      </c>
      <c r="M817" s="21">
        <v>199107</v>
      </c>
    </row>
    <row r="818" spans="1:13">
      <c r="E818" s="21">
        <f t="shared" si="454"/>
        <v>818</v>
      </c>
      <c r="F818" s="9" t="s">
        <v>126</v>
      </c>
      <c r="G818" s="21">
        <v>5</v>
      </c>
      <c r="H818" s="21">
        <v>30</v>
      </c>
      <c r="M818" s="21">
        <f t="shared" ref="M818" si="462">(MOD(D815-1,G816*H816)+1)*G818+H818*(B815-1)</f>
        <v>10</v>
      </c>
    </row>
    <row r="819" spans="1:13">
      <c r="E819" s="21">
        <f t="shared" si="454"/>
        <v>819</v>
      </c>
      <c r="F819" s="9" t="s">
        <v>29</v>
      </c>
      <c r="M819" s="21" t="s">
        <v>246</v>
      </c>
    </row>
    <row r="820" spans="1:13">
      <c r="E820" s="21">
        <f t="shared" si="454"/>
        <v>820</v>
      </c>
      <c r="F820" s="9" t="s">
        <v>118</v>
      </c>
      <c r="M820" s="21" t="s">
        <v>248</v>
      </c>
    </row>
    <row r="821" spans="1:13">
      <c r="E821" s="21">
        <f t="shared" si="454"/>
        <v>821</v>
      </c>
      <c r="F821" s="9" t="s">
        <v>98</v>
      </c>
      <c r="K821" s="9" t="s">
        <v>137</v>
      </c>
      <c r="M821" s="21">
        <v>2</v>
      </c>
    </row>
    <row r="822" spans="1:13">
      <c r="E822" s="21">
        <f t="shared" si="454"/>
        <v>822</v>
      </c>
      <c r="F822" s="9" t="s">
        <v>175</v>
      </c>
      <c r="K822" s="9" t="s">
        <v>136</v>
      </c>
      <c r="M822" s="21" t="s">
        <v>250</v>
      </c>
    </row>
    <row r="823" spans="1:13">
      <c r="E823" s="21">
        <f t="shared" si="454"/>
        <v>823</v>
      </c>
      <c r="F823" s="9" t="s">
        <v>113</v>
      </c>
      <c r="L823" s="9" t="s">
        <v>134</v>
      </c>
      <c r="M823" s="21">
        <v>-90</v>
      </c>
    </row>
    <row r="824" spans="1:13">
      <c r="E824" s="21">
        <f t="shared" si="454"/>
        <v>824</v>
      </c>
      <c r="F824" s="9" t="s">
        <v>31</v>
      </c>
      <c r="G824" s="21">
        <v>5</v>
      </c>
      <c r="H824" s="21">
        <v>72</v>
      </c>
      <c r="L824" s="9" t="s">
        <v>134</v>
      </c>
      <c r="M824" s="21">
        <f t="shared" ref="M824" si="463">(G824*C815+(A815-1)*H824+H818*(B815-1))*-1</f>
        <v>-154</v>
      </c>
    </row>
    <row r="825" spans="1:13">
      <c r="E825" s="21">
        <f t="shared" si="454"/>
        <v>825</v>
      </c>
      <c r="F825" s="9" t="s">
        <v>30</v>
      </c>
      <c r="M825" s="21">
        <v>3</v>
      </c>
    </row>
    <row r="826" spans="1:13">
      <c r="A826" s="21">
        <f t="shared" ref="A826:A889" si="464">QUOTIENT( D826-1,G827*H827)+1</f>
        <v>3</v>
      </c>
      <c r="B826" s="21">
        <f t="shared" ref="B826" si="465">QUOTIENT( D826-1,G827)+1-(A826-1)*H827</f>
        <v>1</v>
      </c>
      <c r="C826" s="21">
        <f t="shared" ref="C826" si="466">D826-(B826-1)*G827-((A826-1)*G827*H827)</f>
        <v>3</v>
      </c>
      <c r="D826" s="21">
        <f>COUNT($D$11:$D825)+1</f>
        <v>75</v>
      </c>
    </row>
    <row r="827" spans="1:13">
      <c r="E827" s="21">
        <f t="shared" si="454"/>
        <v>827</v>
      </c>
      <c r="F827" s="9" t="s">
        <v>93</v>
      </c>
      <c r="G827" s="21">
        <v>6</v>
      </c>
      <c r="H827" s="21">
        <v>6</v>
      </c>
      <c r="I827" s="21">
        <v>5</v>
      </c>
      <c r="J827" s="9" t="s">
        <v>252</v>
      </c>
      <c r="M827" s="21">
        <f t="shared" ref="M827:M890" si="467">J827+D826</f>
        <v>20675</v>
      </c>
    </row>
    <row r="828" spans="1:13">
      <c r="E828" s="21">
        <f t="shared" si="454"/>
        <v>828</v>
      </c>
      <c r="F828" s="9" t="s">
        <v>142</v>
      </c>
      <c r="M828" s="21">
        <v>199107</v>
      </c>
    </row>
    <row r="829" spans="1:13">
      <c r="E829" s="21">
        <f t="shared" si="454"/>
        <v>829</v>
      </c>
      <c r="F829" s="9" t="s">
        <v>126</v>
      </c>
      <c r="G829" s="21">
        <v>5</v>
      </c>
      <c r="H829" s="21">
        <v>30</v>
      </c>
      <c r="M829" s="21">
        <f t="shared" ref="M829" si="468">(MOD(D826-1,G827*H827)+1)*G829+H829*(B826-1)</f>
        <v>15</v>
      </c>
    </row>
    <row r="830" spans="1:13">
      <c r="E830" s="21">
        <f t="shared" si="454"/>
        <v>830</v>
      </c>
      <c r="F830" s="9" t="s">
        <v>29</v>
      </c>
      <c r="M830" s="21" t="s">
        <v>246</v>
      </c>
    </row>
    <row r="831" spans="1:13">
      <c r="E831" s="21">
        <f t="shared" si="454"/>
        <v>831</v>
      </c>
      <c r="F831" s="9" t="s">
        <v>118</v>
      </c>
      <c r="M831" s="21" t="s">
        <v>248</v>
      </c>
    </row>
    <row r="832" spans="1:13">
      <c r="E832" s="21">
        <f t="shared" si="454"/>
        <v>832</v>
      </c>
      <c r="F832" s="9" t="s">
        <v>98</v>
      </c>
      <c r="K832" s="9" t="s">
        <v>137</v>
      </c>
      <c r="M832" s="21">
        <v>2</v>
      </c>
    </row>
    <row r="833" spans="1:13">
      <c r="E833" s="21">
        <f t="shared" si="454"/>
        <v>833</v>
      </c>
      <c r="F833" s="9" t="s">
        <v>175</v>
      </c>
      <c r="K833" s="9" t="s">
        <v>136</v>
      </c>
      <c r="M833" s="21" t="s">
        <v>250</v>
      </c>
    </row>
    <row r="834" spans="1:13">
      <c r="E834" s="21">
        <f t="shared" si="454"/>
        <v>834</v>
      </c>
      <c r="F834" s="9" t="s">
        <v>113</v>
      </c>
      <c r="L834" s="9" t="s">
        <v>134</v>
      </c>
      <c r="M834" s="21">
        <v>-90</v>
      </c>
    </row>
    <row r="835" spans="1:13">
      <c r="E835" s="21">
        <f t="shared" si="454"/>
        <v>835</v>
      </c>
      <c r="F835" s="9" t="s">
        <v>31</v>
      </c>
      <c r="G835" s="21">
        <v>5</v>
      </c>
      <c r="H835" s="21">
        <v>72</v>
      </c>
      <c r="L835" s="9" t="s">
        <v>134</v>
      </c>
      <c r="M835" s="21">
        <f t="shared" ref="M835" si="469">(G835*C826+(A826-1)*H835+H829*(B826-1))*-1</f>
        <v>-159</v>
      </c>
    </row>
    <row r="836" spans="1:13">
      <c r="E836" s="21">
        <f t="shared" si="454"/>
        <v>836</v>
      </c>
      <c r="F836" s="9" t="s">
        <v>30</v>
      </c>
      <c r="M836" s="21">
        <v>3</v>
      </c>
    </row>
    <row r="837" spans="1:13">
      <c r="A837" s="21">
        <f t="shared" ref="A837:A900" si="470">QUOTIENT( D837-1,G838*H838)+1</f>
        <v>3</v>
      </c>
      <c r="B837" s="21">
        <f t="shared" ref="B837" si="471">QUOTIENT( D837-1,G838)+1-(A837-1)*H838</f>
        <v>1</v>
      </c>
      <c r="C837" s="21">
        <f t="shared" ref="C837" si="472">D837-(B837-1)*G838-((A837-1)*G838*H838)</f>
        <v>4</v>
      </c>
      <c r="D837" s="21">
        <f>COUNT($D$11:$D836)+1</f>
        <v>76</v>
      </c>
    </row>
    <row r="838" spans="1:13">
      <c r="E838" s="21">
        <f t="shared" si="454"/>
        <v>838</v>
      </c>
      <c r="F838" s="9" t="s">
        <v>93</v>
      </c>
      <c r="G838" s="21">
        <v>6</v>
      </c>
      <c r="H838" s="21">
        <v>6</v>
      </c>
      <c r="I838" s="21">
        <v>5</v>
      </c>
      <c r="J838" s="9" t="s">
        <v>252</v>
      </c>
      <c r="M838" s="21">
        <f t="shared" ref="M838:M901" si="473">J838+D837</f>
        <v>20676</v>
      </c>
    </row>
    <row r="839" spans="1:13">
      <c r="E839" s="21">
        <f t="shared" si="454"/>
        <v>839</v>
      </c>
      <c r="F839" s="9" t="s">
        <v>142</v>
      </c>
      <c r="M839" s="21">
        <v>199107</v>
      </c>
    </row>
    <row r="840" spans="1:13">
      <c r="E840" s="21">
        <f t="shared" si="454"/>
        <v>840</v>
      </c>
      <c r="F840" s="9" t="s">
        <v>126</v>
      </c>
      <c r="G840" s="21">
        <v>5</v>
      </c>
      <c r="H840" s="21">
        <v>30</v>
      </c>
      <c r="M840" s="21">
        <f t="shared" ref="M840" si="474">(MOD(D837-1,G838*H838)+1)*G840+H840*(B837-1)</f>
        <v>20</v>
      </c>
    </row>
    <row r="841" spans="1:13">
      <c r="E841" s="21">
        <f t="shared" si="454"/>
        <v>841</v>
      </c>
      <c r="F841" s="9" t="s">
        <v>29</v>
      </c>
      <c r="M841" s="21" t="s">
        <v>246</v>
      </c>
    </row>
    <row r="842" spans="1:13">
      <c r="E842" s="21">
        <f t="shared" si="454"/>
        <v>842</v>
      </c>
      <c r="F842" s="9" t="s">
        <v>118</v>
      </c>
      <c r="M842" s="21" t="s">
        <v>248</v>
      </c>
    </row>
    <row r="843" spans="1:13">
      <c r="E843" s="21">
        <f t="shared" si="454"/>
        <v>843</v>
      </c>
      <c r="F843" s="9" t="s">
        <v>98</v>
      </c>
      <c r="K843" s="9" t="s">
        <v>137</v>
      </c>
      <c r="M843" s="21">
        <v>2</v>
      </c>
    </row>
    <row r="844" spans="1:13">
      <c r="E844" s="21">
        <f t="shared" si="454"/>
        <v>844</v>
      </c>
      <c r="F844" s="9" t="s">
        <v>175</v>
      </c>
      <c r="K844" s="9" t="s">
        <v>136</v>
      </c>
      <c r="M844" s="21" t="s">
        <v>250</v>
      </c>
    </row>
    <row r="845" spans="1:13">
      <c r="E845" s="21">
        <f t="shared" si="454"/>
        <v>845</v>
      </c>
      <c r="F845" s="9" t="s">
        <v>113</v>
      </c>
      <c r="L845" s="9" t="s">
        <v>134</v>
      </c>
      <c r="M845" s="21">
        <v>-90</v>
      </c>
    </row>
    <row r="846" spans="1:13">
      <c r="E846" s="21">
        <f t="shared" si="454"/>
        <v>846</v>
      </c>
      <c r="F846" s="9" t="s">
        <v>31</v>
      </c>
      <c r="G846" s="21">
        <v>5</v>
      </c>
      <c r="H846" s="21">
        <v>72</v>
      </c>
      <c r="L846" s="9" t="s">
        <v>134</v>
      </c>
      <c r="M846" s="21">
        <f t="shared" ref="M846" si="475">(G846*C837+(A837-1)*H846+H840*(B837-1))*-1</f>
        <v>-164</v>
      </c>
    </row>
    <row r="847" spans="1:13">
      <c r="E847" s="21">
        <f t="shared" si="454"/>
        <v>847</v>
      </c>
      <c r="F847" s="9" t="s">
        <v>30</v>
      </c>
      <c r="M847" s="21">
        <v>3</v>
      </c>
    </row>
    <row r="848" spans="1:13">
      <c r="A848" s="21">
        <f t="shared" ref="A848:A911" si="476">QUOTIENT( D848-1,G849*H849)+1</f>
        <v>3</v>
      </c>
      <c r="B848" s="21">
        <f t="shared" ref="B848" si="477">QUOTIENT( D848-1,G849)+1-(A848-1)*H849</f>
        <v>1</v>
      </c>
      <c r="C848" s="21">
        <f t="shared" ref="C848" si="478">D848-(B848-1)*G849-((A848-1)*G849*H849)</f>
        <v>5</v>
      </c>
      <c r="D848" s="21">
        <f>COUNT($D$11:$D847)+1</f>
        <v>77</v>
      </c>
    </row>
    <row r="849" spans="1:13">
      <c r="E849" s="21">
        <f t="shared" si="454"/>
        <v>849</v>
      </c>
      <c r="F849" s="9" t="s">
        <v>93</v>
      </c>
      <c r="G849" s="21">
        <v>6</v>
      </c>
      <c r="H849" s="21">
        <v>6</v>
      </c>
      <c r="I849" s="21">
        <v>5</v>
      </c>
      <c r="J849" s="9" t="s">
        <v>252</v>
      </c>
      <c r="M849" s="21">
        <f t="shared" ref="M849:M912" si="479">J849+D848</f>
        <v>20677</v>
      </c>
    </row>
    <row r="850" spans="1:13">
      <c r="E850" s="21">
        <f t="shared" si="454"/>
        <v>850</v>
      </c>
      <c r="F850" s="9" t="s">
        <v>142</v>
      </c>
      <c r="M850" s="21">
        <v>199107</v>
      </c>
    </row>
    <row r="851" spans="1:13">
      <c r="E851" s="21">
        <f t="shared" si="454"/>
        <v>851</v>
      </c>
      <c r="F851" s="9" t="s">
        <v>126</v>
      </c>
      <c r="G851" s="21">
        <v>5</v>
      </c>
      <c r="H851" s="21">
        <v>30</v>
      </c>
      <c r="M851" s="21">
        <f t="shared" ref="M851" si="480">(MOD(D848-1,G849*H849)+1)*G851+H851*(B848-1)</f>
        <v>25</v>
      </c>
    </row>
    <row r="852" spans="1:13">
      <c r="E852" s="21">
        <f t="shared" si="454"/>
        <v>852</v>
      </c>
      <c r="F852" s="9" t="s">
        <v>29</v>
      </c>
      <c r="M852" s="21" t="s">
        <v>246</v>
      </c>
    </row>
    <row r="853" spans="1:13">
      <c r="E853" s="21">
        <f t="shared" si="454"/>
        <v>853</v>
      </c>
      <c r="F853" s="9" t="s">
        <v>118</v>
      </c>
      <c r="M853" s="21" t="s">
        <v>248</v>
      </c>
    </row>
    <row r="854" spans="1:13">
      <c r="E854" s="21">
        <f t="shared" si="454"/>
        <v>854</v>
      </c>
      <c r="F854" s="9" t="s">
        <v>98</v>
      </c>
      <c r="K854" s="9" t="s">
        <v>137</v>
      </c>
      <c r="M854" s="21">
        <v>2</v>
      </c>
    </row>
    <row r="855" spans="1:13">
      <c r="E855" s="21">
        <f t="shared" si="454"/>
        <v>855</v>
      </c>
      <c r="F855" s="9" t="s">
        <v>175</v>
      </c>
      <c r="K855" s="9" t="s">
        <v>136</v>
      </c>
      <c r="M855" s="21" t="s">
        <v>250</v>
      </c>
    </row>
    <row r="856" spans="1:13">
      <c r="E856" s="21">
        <f t="shared" si="454"/>
        <v>856</v>
      </c>
      <c r="F856" s="9" t="s">
        <v>113</v>
      </c>
      <c r="L856" s="9" t="s">
        <v>134</v>
      </c>
      <c r="M856" s="21">
        <v>-90</v>
      </c>
    </row>
    <row r="857" spans="1:13">
      <c r="E857" s="21">
        <f t="shared" si="454"/>
        <v>857</v>
      </c>
      <c r="F857" s="9" t="s">
        <v>31</v>
      </c>
      <c r="G857" s="21">
        <v>5</v>
      </c>
      <c r="H857" s="21">
        <v>72</v>
      </c>
      <c r="L857" s="9" t="s">
        <v>134</v>
      </c>
      <c r="M857" s="21">
        <f t="shared" ref="M857" si="481">(G857*C848+(A848-1)*H857+H851*(B848-1))*-1</f>
        <v>-169</v>
      </c>
    </row>
    <row r="858" spans="1:13">
      <c r="E858" s="21">
        <f t="shared" si="454"/>
        <v>858</v>
      </c>
      <c r="F858" s="9" t="s">
        <v>30</v>
      </c>
      <c r="M858" s="21">
        <v>3</v>
      </c>
    </row>
    <row r="859" spans="1:13">
      <c r="A859" s="21">
        <f t="shared" ref="A859:A922" si="482">QUOTIENT( D859-1,G860*H860)+1</f>
        <v>3</v>
      </c>
      <c r="B859" s="21">
        <f t="shared" ref="B859" si="483">QUOTIENT( D859-1,G860)+1-(A859-1)*H860</f>
        <v>1</v>
      </c>
      <c r="C859" s="21">
        <f t="shared" ref="C859" si="484">D859-(B859-1)*G860-((A859-1)*G860*H860)</f>
        <v>6</v>
      </c>
      <c r="D859" s="21">
        <f>COUNT($D$11:$D858)+1</f>
        <v>78</v>
      </c>
    </row>
    <row r="860" spans="1:13">
      <c r="E860" s="21">
        <f t="shared" si="454"/>
        <v>860</v>
      </c>
      <c r="F860" s="9" t="s">
        <v>93</v>
      </c>
      <c r="G860" s="21">
        <v>6</v>
      </c>
      <c r="H860" s="21">
        <v>6</v>
      </c>
      <c r="I860" s="21">
        <v>5</v>
      </c>
      <c r="J860" s="9" t="s">
        <v>252</v>
      </c>
      <c r="M860" s="21">
        <f t="shared" ref="M860:M923" si="485">J860+D859</f>
        <v>20678</v>
      </c>
    </row>
    <row r="861" spans="1:13">
      <c r="E861" s="21">
        <f t="shared" si="454"/>
        <v>861</v>
      </c>
      <c r="F861" s="9" t="s">
        <v>142</v>
      </c>
      <c r="M861" s="21">
        <v>199107</v>
      </c>
    </row>
    <row r="862" spans="1:13">
      <c r="E862" s="21">
        <f t="shared" si="454"/>
        <v>862</v>
      </c>
      <c r="F862" s="9" t="s">
        <v>126</v>
      </c>
      <c r="G862" s="21">
        <v>5</v>
      </c>
      <c r="H862" s="21">
        <v>30</v>
      </c>
      <c r="M862" s="21">
        <f t="shared" ref="M862" si="486">(MOD(D859-1,G860*H860)+1)*G862+H862*(B859-1)</f>
        <v>30</v>
      </c>
    </row>
    <row r="863" spans="1:13">
      <c r="E863" s="21">
        <f t="shared" si="454"/>
        <v>863</v>
      </c>
      <c r="F863" s="9" t="s">
        <v>29</v>
      </c>
      <c r="M863" s="21" t="s">
        <v>246</v>
      </c>
    </row>
    <row r="864" spans="1:13">
      <c r="E864" s="21">
        <f t="shared" si="454"/>
        <v>864</v>
      </c>
      <c r="F864" s="9" t="s">
        <v>118</v>
      </c>
      <c r="M864" s="21" t="s">
        <v>248</v>
      </c>
    </row>
    <row r="865" spans="1:13">
      <c r="E865" s="21">
        <f t="shared" si="454"/>
        <v>865</v>
      </c>
      <c r="F865" s="9" t="s">
        <v>98</v>
      </c>
      <c r="K865" s="9" t="s">
        <v>137</v>
      </c>
      <c r="M865" s="21">
        <v>2</v>
      </c>
    </row>
    <row r="866" spans="1:13">
      <c r="E866" s="21">
        <f t="shared" si="454"/>
        <v>866</v>
      </c>
      <c r="F866" s="9" t="s">
        <v>175</v>
      </c>
      <c r="K866" s="9" t="s">
        <v>136</v>
      </c>
      <c r="M866" s="21" t="s">
        <v>250</v>
      </c>
    </row>
    <row r="867" spans="1:13">
      <c r="E867" s="21">
        <f t="shared" si="454"/>
        <v>867</v>
      </c>
      <c r="F867" s="9" t="s">
        <v>113</v>
      </c>
      <c r="L867" s="9" t="s">
        <v>134</v>
      </c>
      <c r="M867" s="21">
        <v>-90</v>
      </c>
    </row>
    <row r="868" spans="1:13">
      <c r="E868" s="21">
        <f t="shared" si="454"/>
        <v>868</v>
      </c>
      <c r="F868" s="9" t="s">
        <v>31</v>
      </c>
      <c r="G868" s="21">
        <v>5</v>
      </c>
      <c r="H868" s="21">
        <v>72</v>
      </c>
      <c r="L868" s="9" t="s">
        <v>134</v>
      </c>
      <c r="M868" s="21">
        <f t="shared" ref="M868" si="487">(G868*C859+(A859-1)*H868+H862*(B859-1))*-1</f>
        <v>-174</v>
      </c>
    </row>
    <row r="869" spans="1:13">
      <c r="E869" s="21">
        <f t="shared" ref="E869:E932" si="488">ROW(E869)</f>
        <v>869</v>
      </c>
      <c r="F869" s="9" t="s">
        <v>30</v>
      </c>
      <c r="M869" s="21">
        <v>3</v>
      </c>
    </row>
    <row r="870" spans="1:13">
      <c r="A870" s="21">
        <f t="shared" ref="A870:A933" si="489">QUOTIENT( D870-1,G871*H871)+1</f>
        <v>3</v>
      </c>
      <c r="B870" s="21">
        <f t="shared" ref="B870" si="490">QUOTIENT( D870-1,G871)+1-(A870-1)*H871</f>
        <v>2</v>
      </c>
      <c r="C870" s="21">
        <f t="shared" ref="C870" si="491">D870-(B870-1)*G871-((A870-1)*G871*H871)</f>
        <v>1</v>
      </c>
      <c r="D870" s="21">
        <f>COUNT($D$11:$D869)+1</f>
        <v>79</v>
      </c>
    </row>
    <row r="871" spans="1:13">
      <c r="E871" s="21">
        <f t="shared" ref="E871:E934" si="492">ROW(E871)</f>
        <v>871</v>
      </c>
      <c r="F871" s="9" t="s">
        <v>93</v>
      </c>
      <c r="G871" s="21">
        <v>6</v>
      </c>
      <c r="H871" s="21">
        <v>6</v>
      </c>
      <c r="I871" s="21">
        <v>5</v>
      </c>
      <c r="J871" s="9" t="s">
        <v>252</v>
      </c>
      <c r="M871" s="21">
        <f t="shared" ref="M871:M934" si="493">J871+D870</f>
        <v>20679</v>
      </c>
    </row>
    <row r="872" spans="1:13">
      <c r="E872" s="21">
        <f t="shared" si="492"/>
        <v>872</v>
      </c>
      <c r="F872" s="9" t="s">
        <v>142</v>
      </c>
      <c r="M872" s="21">
        <v>199107</v>
      </c>
    </row>
    <row r="873" spans="1:13">
      <c r="E873" s="21">
        <f t="shared" si="492"/>
        <v>873</v>
      </c>
      <c r="F873" s="9" t="s">
        <v>126</v>
      </c>
      <c r="G873" s="21">
        <v>5</v>
      </c>
      <c r="H873" s="21">
        <v>30</v>
      </c>
      <c r="M873" s="21">
        <f t="shared" ref="M873" si="494">(MOD(D870-1,G871*H871)+1)*G873+H873*(B870-1)</f>
        <v>65</v>
      </c>
    </row>
    <row r="874" spans="1:13">
      <c r="E874" s="21">
        <f t="shared" si="492"/>
        <v>874</v>
      </c>
      <c r="F874" s="9" t="s">
        <v>29</v>
      </c>
      <c r="M874" s="21" t="s">
        <v>246</v>
      </c>
    </row>
    <row r="875" spans="1:13">
      <c r="E875" s="21">
        <f t="shared" si="492"/>
        <v>875</v>
      </c>
      <c r="F875" s="9" t="s">
        <v>118</v>
      </c>
      <c r="M875" s="21" t="s">
        <v>248</v>
      </c>
    </row>
    <row r="876" spans="1:13">
      <c r="E876" s="21">
        <f t="shared" si="492"/>
        <v>876</v>
      </c>
      <c r="F876" s="9" t="s">
        <v>98</v>
      </c>
      <c r="K876" s="9" t="s">
        <v>137</v>
      </c>
      <c r="M876" s="21">
        <v>2</v>
      </c>
    </row>
    <row r="877" spans="1:13">
      <c r="E877" s="21">
        <f t="shared" si="492"/>
        <v>877</v>
      </c>
      <c r="F877" s="9" t="s">
        <v>175</v>
      </c>
      <c r="K877" s="9" t="s">
        <v>136</v>
      </c>
      <c r="M877" s="21" t="s">
        <v>250</v>
      </c>
    </row>
    <row r="878" spans="1:13">
      <c r="E878" s="21">
        <f t="shared" si="492"/>
        <v>878</v>
      </c>
      <c r="F878" s="9" t="s">
        <v>113</v>
      </c>
      <c r="L878" s="9" t="s">
        <v>134</v>
      </c>
      <c r="M878" s="21">
        <v>-90</v>
      </c>
    </row>
    <row r="879" spans="1:13">
      <c r="E879" s="21">
        <f t="shared" si="492"/>
        <v>879</v>
      </c>
      <c r="F879" s="9" t="s">
        <v>31</v>
      </c>
      <c r="G879" s="21">
        <v>5</v>
      </c>
      <c r="H879" s="21">
        <v>72</v>
      </c>
      <c r="L879" s="9" t="s">
        <v>134</v>
      </c>
      <c r="M879" s="21">
        <f t="shared" ref="M879" si="495">(G879*C870+(A870-1)*H879+H873*(B870-1))*-1</f>
        <v>-179</v>
      </c>
    </row>
    <row r="880" spans="1:13">
      <c r="E880" s="21">
        <f t="shared" si="492"/>
        <v>880</v>
      </c>
      <c r="F880" s="9" t="s">
        <v>30</v>
      </c>
      <c r="M880" s="21">
        <v>3</v>
      </c>
    </row>
    <row r="881" spans="1:13">
      <c r="A881" s="21">
        <f t="shared" ref="A881:A944" si="496">QUOTIENT( D881-1,G882*H882)+1</f>
        <v>3</v>
      </c>
      <c r="B881" s="21">
        <f t="shared" ref="B881" si="497">QUOTIENT( D881-1,G882)+1-(A881-1)*H882</f>
        <v>2</v>
      </c>
      <c r="C881" s="21">
        <f t="shared" ref="C881" si="498">D881-(B881-1)*G882-((A881-1)*G882*H882)</f>
        <v>2</v>
      </c>
      <c r="D881" s="21">
        <f>COUNT($D$11:$D880)+1</f>
        <v>80</v>
      </c>
    </row>
    <row r="882" spans="1:13">
      <c r="E882" s="21">
        <f t="shared" si="492"/>
        <v>882</v>
      </c>
      <c r="F882" s="9" t="s">
        <v>93</v>
      </c>
      <c r="G882" s="21">
        <v>6</v>
      </c>
      <c r="H882" s="21">
        <v>6</v>
      </c>
      <c r="I882" s="21">
        <v>5</v>
      </c>
      <c r="J882" s="9" t="s">
        <v>252</v>
      </c>
      <c r="M882" s="21">
        <f t="shared" ref="M882:M945" si="499">J882+D881</f>
        <v>20680</v>
      </c>
    </row>
    <row r="883" spans="1:13">
      <c r="E883" s="21">
        <f t="shared" si="492"/>
        <v>883</v>
      </c>
      <c r="F883" s="9" t="s">
        <v>142</v>
      </c>
      <c r="M883" s="21">
        <v>199107</v>
      </c>
    </row>
    <row r="884" spans="1:13">
      <c r="E884" s="21">
        <f t="shared" si="492"/>
        <v>884</v>
      </c>
      <c r="F884" s="9" t="s">
        <v>126</v>
      </c>
      <c r="G884" s="21">
        <v>5</v>
      </c>
      <c r="H884" s="21">
        <v>30</v>
      </c>
      <c r="M884" s="21">
        <f t="shared" ref="M884" si="500">(MOD(D881-1,G882*H882)+1)*G884+H884*(B881-1)</f>
        <v>70</v>
      </c>
    </row>
    <row r="885" spans="1:13">
      <c r="E885" s="21">
        <f t="shared" si="492"/>
        <v>885</v>
      </c>
      <c r="F885" s="9" t="s">
        <v>29</v>
      </c>
      <c r="M885" s="21" t="s">
        <v>246</v>
      </c>
    </row>
    <row r="886" spans="1:13">
      <c r="E886" s="21">
        <f t="shared" si="492"/>
        <v>886</v>
      </c>
      <c r="F886" s="9" t="s">
        <v>118</v>
      </c>
      <c r="M886" s="21" t="s">
        <v>248</v>
      </c>
    </row>
    <row r="887" spans="1:13">
      <c r="E887" s="21">
        <f t="shared" si="492"/>
        <v>887</v>
      </c>
      <c r="F887" s="9" t="s">
        <v>98</v>
      </c>
      <c r="K887" s="9" t="s">
        <v>137</v>
      </c>
      <c r="M887" s="21">
        <v>2</v>
      </c>
    </row>
    <row r="888" spans="1:13">
      <c r="E888" s="21">
        <f t="shared" si="492"/>
        <v>888</v>
      </c>
      <c r="F888" s="9" t="s">
        <v>175</v>
      </c>
      <c r="K888" s="9" t="s">
        <v>136</v>
      </c>
      <c r="M888" s="21" t="s">
        <v>250</v>
      </c>
    </row>
    <row r="889" spans="1:13">
      <c r="E889" s="21">
        <f t="shared" si="492"/>
        <v>889</v>
      </c>
      <c r="F889" s="9" t="s">
        <v>113</v>
      </c>
      <c r="L889" s="9" t="s">
        <v>134</v>
      </c>
      <c r="M889" s="21">
        <v>-90</v>
      </c>
    </row>
    <row r="890" spans="1:13">
      <c r="E890" s="21">
        <f t="shared" si="492"/>
        <v>890</v>
      </c>
      <c r="F890" s="9" t="s">
        <v>31</v>
      </c>
      <c r="G890" s="21">
        <v>5</v>
      </c>
      <c r="H890" s="21">
        <v>72</v>
      </c>
      <c r="L890" s="9" t="s">
        <v>134</v>
      </c>
      <c r="M890" s="21">
        <f t="shared" ref="M890" si="501">(G890*C881+(A881-1)*H890+H884*(B881-1))*-1</f>
        <v>-184</v>
      </c>
    </row>
    <row r="891" spans="1:13">
      <c r="E891" s="21">
        <f t="shared" si="492"/>
        <v>891</v>
      </c>
      <c r="F891" s="9" t="s">
        <v>30</v>
      </c>
      <c r="M891" s="21">
        <v>3</v>
      </c>
    </row>
    <row r="892" spans="1:13">
      <c r="A892" s="21">
        <f t="shared" ref="A892:A955" si="502">QUOTIENT( D892-1,G893*H893)+1</f>
        <v>3</v>
      </c>
      <c r="B892" s="21">
        <f t="shared" ref="B892" si="503">QUOTIENT( D892-1,G893)+1-(A892-1)*H893</f>
        <v>2</v>
      </c>
      <c r="C892" s="21">
        <f t="shared" ref="C892" si="504">D892-(B892-1)*G893-((A892-1)*G893*H893)</f>
        <v>3</v>
      </c>
      <c r="D892" s="21">
        <f>COUNT($D$11:$D891)+1</f>
        <v>81</v>
      </c>
    </row>
    <row r="893" spans="1:13">
      <c r="E893" s="21">
        <f t="shared" si="492"/>
        <v>893</v>
      </c>
      <c r="F893" s="9" t="s">
        <v>93</v>
      </c>
      <c r="G893" s="21">
        <v>6</v>
      </c>
      <c r="H893" s="21">
        <v>6</v>
      </c>
      <c r="I893" s="21">
        <v>5</v>
      </c>
      <c r="J893" s="9" t="s">
        <v>252</v>
      </c>
      <c r="M893" s="21">
        <f t="shared" ref="M893:M956" si="505">J893+D892</f>
        <v>20681</v>
      </c>
    </row>
    <row r="894" spans="1:13">
      <c r="E894" s="21">
        <f t="shared" si="492"/>
        <v>894</v>
      </c>
      <c r="F894" s="9" t="s">
        <v>142</v>
      </c>
      <c r="M894" s="21">
        <v>199107</v>
      </c>
    </row>
    <row r="895" spans="1:13">
      <c r="E895" s="21">
        <f t="shared" si="492"/>
        <v>895</v>
      </c>
      <c r="F895" s="9" t="s">
        <v>126</v>
      </c>
      <c r="G895" s="21">
        <v>5</v>
      </c>
      <c r="H895" s="21">
        <v>30</v>
      </c>
      <c r="M895" s="21">
        <f t="shared" ref="M895" si="506">(MOD(D892-1,G893*H893)+1)*G895+H895*(B892-1)</f>
        <v>75</v>
      </c>
    </row>
    <row r="896" spans="1:13">
      <c r="E896" s="21">
        <f t="shared" si="492"/>
        <v>896</v>
      </c>
      <c r="F896" s="9" t="s">
        <v>29</v>
      </c>
      <c r="M896" s="21" t="s">
        <v>246</v>
      </c>
    </row>
    <row r="897" spans="1:13">
      <c r="E897" s="21">
        <f t="shared" si="492"/>
        <v>897</v>
      </c>
      <c r="F897" s="9" t="s">
        <v>118</v>
      </c>
      <c r="M897" s="21" t="s">
        <v>248</v>
      </c>
    </row>
    <row r="898" spans="1:13">
      <c r="E898" s="21">
        <f t="shared" si="492"/>
        <v>898</v>
      </c>
      <c r="F898" s="9" t="s">
        <v>98</v>
      </c>
      <c r="K898" s="9" t="s">
        <v>137</v>
      </c>
      <c r="M898" s="21">
        <v>2</v>
      </c>
    </row>
    <row r="899" spans="1:13">
      <c r="E899" s="21">
        <f t="shared" si="492"/>
        <v>899</v>
      </c>
      <c r="F899" s="9" t="s">
        <v>175</v>
      </c>
      <c r="K899" s="9" t="s">
        <v>136</v>
      </c>
      <c r="M899" s="21" t="s">
        <v>250</v>
      </c>
    </row>
    <row r="900" spans="1:13">
      <c r="E900" s="21">
        <f t="shared" si="492"/>
        <v>900</v>
      </c>
      <c r="F900" s="9" t="s">
        <v>113</v>
      </c>
      <c r="L900" s="9" t="s">
        <v>134</v>
      </c>
      <c r="M900" s="21">
        <v>-90</v>
      </c>
    </row>
    <row r="901" spans="1:13">
      <c r="E901" s="21">
        <f t="shared" si="492"/>
        <v>901</v>
      </c>
      <c r="F901" s="9" t="s">
        <v>31</v>
      </c>
      <c r="G901" s="21">
        <v>5</v>
      </c>
      <c r="H901" s="21">
        <v>72</v>
      </c>
      <c r="L901" s="9" t="s">
        <v>134</v>
      </c>
      <c r="M901" s="21">
        <f t="shared" ref="M901" si="507">(G901*C892+(A892-1)*H901+H895*(B892-1))*-1</f>
        <v>-189</v>
      </c>
    </row>
    <row r="902" spans="1:13">
      <c r="E902" s="21">
        <f t="shared" si="492"/>
        <v>902</v>
      </c>
      <c r="F902" s="9" t="s">
        <v>30</v>
      </c>
      <c r="M902" s="21">
        <v>3</v>
      </c>
    </row>
    <row r="903" spans="1:13">
      <c r="A903" s="21">
        <f t="shared" ref="A903:A966" si="508">QUOTIENT( D903-1,G904*H904)+1</f>
        <v>3</v>
      </c>
      <c r="B903" s="21">
        <f t="shared" ref="B903" si="509">QUOTIENT( D903-1,G904)+1-(A903-1)*H904</f>
        <v>2</v>
      </c>
      <c r="C903" s="21">
        <f t="shared" ref="C903" si="510">D903-(B903-1)*G904-((A903-1)*G904*H904)</f>
        <v>4</v>
      </c>
      <c r="D903" s="21">
        <f>COUNT($D$11:$D902)+1</f>
        <v>82</v>
      </c>
    </row>
    <row r="904" spans="1:13">
      <c r="E904" s="21">
        <f t="shared" si="492"/>
        <v>904</v>
      </c>
      <c r="F904" s="9" t="s">
        <v>93</v>
      </c>
      <c r="G904" s="21">
        <v>6</v>
      </c>
      <c r="H904" s="21">
        <v>6</v>
      </c>
      <c r="I904" s="21">
        <v>5</v>
      </c>
      <c r="J904" s="9" t="s">
        <v>252</v>
      </c>
      <c r="M904" s="21">
        <f t="shared" ref="M904:M967" si="511">J904+D903</f>
        <v>20682</v>
      </c>
    </row>
    <row r="905" spans="1:13">
      <c r="E905" s="21">
        <f t="shared" si="492"/>
        <v>905</v>
      </c>
      <c r="F905" s="9" t="s">
        <v>142</v>
      </c>
      <c r="M905" s="21">
        <v>199107</v>
      </c>
    </row>
    <row r="906" spans="1:13">
      <c r="E906" s="21">
        <f t="shared" si="492"/>
        <v>906</v>
      </c>
      <c r="F906" s="9" t="s">
        <v>126</v>
      </c>
      <c r="G906" s="21">
        <v>5</v>
      </c>
      <c r="H906" s="21">
        <v>30</v>
      </c>
      <c r="M906" s="21">
        <f t="shared" ref="M906" si="512">(MOD(D903-1,G904*H904)+1)*G906+H906*(B903-1)</f>
        <v>80</v>
      </c>
    </row>
    <row r="907" spans="1:13">
      <c r="E907" s="21">
        <f t="shared" si="492"/>
        <v>907</v>
      </c>
      <c r="F907" s="9" t="s">
        <v>29</v>
      </c>
      <c r="M907" s="21" t="s">
        <v>246</v>
      </c>
    </row>
    <row r="908" spans="1:13">
      <c r="E908" s="21">
        <f t="shared" si="492"/>
        <v>908</v>
      </c>
      <c r="F908" s="9" t="s">
        <v>118</v>
      </c>
      <c r="M908" s="21" t="s">
        <v>248</v>
      </c>
    </row>
    <row r="909" spans="1:13">
      <c r="E909" s="21">
        <f t="shared" si="492"/>
        <v>909</v>
      </c>
      <c r="F909" s="9" t="s">
        <v>98</v>
      </c>
      <c r="K909" s="9" t="s">
        <v>137</v>
      </c>
      <c r="M909" s="21">
        <v>2</v>
      </c>
    </row>
    <row r="910" spans="1:13">
      <c r="E910" s="21">
        <f t="shared" si="492"/>
        <v>910</v>
      </c>
      <c r="F910" s="9" t="s">
        <v>175</v>
      </c>
      <c r="K910" s="9" t="s">
        <v>136</v>
      </c>
      <c r="M910" s="21" t="s">
        <v>250</v>
      </c>
    </row>
    <row r="911" spans="1:13">
      <c r="E911" s="21">
        <f t="shared" si="492"/>
        <v>911</v>
      </c>
      <c r="F911" s="9" t="s">
        <v>113</v>
      </c>
      <c r="L911" s="9" t="s">
        <v>134</v>
      </c>
      <c r="M911" s="21">
        <v>-90</v>
      </c>
    </row>
    <row r="912" spans="1:13">
      <c r="E912" s="21">
        <f t="shared" si="492"/>
        <v>912</v>
      </c>
      <c r="F912" s="9" t="s">
        <v>31</v>
      </c>
      <c r="G912" s="21">
        <v>5</v>
      </c>
      <c r="H912" s="21">
        <v>72</v>
      </c>
      <c r="L912" s="9" t="s">
        <v>134</v>
      </c>
      <c r="M912" s="21">
        <f t="shared" ref="M912" si="513">(G912*C903+(A903-1)*H912+H906*(B903-1))*-1</f>
        <v>-194</v>
      </c>
    </row>
    <row r="913" spans="1:13">
      <c r="E913" s="21">
        <f t="shared" si="492"/>
        <v>913</v>
      </c>
      <c r="F913" s="9" t="s">
        <v>30</v>
      </c>
      <c r="M913" s="21">
        <v>3</v>
      </c>
    </row>
    <row r="914" spans="1:13">
      <c r="A914" s="21">
        <f t="shared" ref="A914:A977" si="514">QUOTIENT( D914-1,G915*H915)+1</f>
        <v>3</v>
      </c>
      <c r="B914" s="21">
        <f t="shared" ref="B914" si="515">QUOTIENT( D914-1,G915)+1-(A914-1)*H915</f>
        <v>2</v>
      </c>
      <c r="C914" s="21">
        <f t="shared" ref="C914" si="516">D914-(B914-1)*G915-((A914-1)*G915*H915)</f>
        <v>5</v>
      </c>
      <c r="D914" s="21">
        <f>COUNT($D$11:$D913)+1</f>
        <v>83</v>
      </c>
    </row>
    <row r="915" spans="1:13">
      <c r="E915" s="21">
        <f t="shared" si="492"/>
        <v>915</v>
      </c>
      <c r="F915" s="9" t="s">
        <v>93</v>
      </c>
      <c r="G915" s="21">
        <v>6</v>
      </c>
      <c r="H915" s="21">
        <v>6</v>
      </c>
      <c r="I915" s="21">
        <v>5</v>
      </c>
      <c r="J915" s="9" t="s">
        <v>252</v>
      </c>
      <c r="M915" s="21">
        <f t="shared" ref="M915:M978" si="517">J915+D914</f>
        <v>20683</v>
      </c>
    </row>
    <row r="916" spans="1:13">
      <c r="E916" s="21">
        <f t="shared" si="492"/>
        <v>916</v>
      </c>
      <c r="F916" s="9" t="s">
        <v>142</v>
      </c>
      <c r="M916" s="21">
        <v>199107</v>
      </c>
    </row>
    <row r="917" spans="1:13">
      <c r="E917" s="21">
        <f t="shared" si="492"/>
        <v>917</v>
      </c>
      <c r="F917" s="9" t="s">
        <v>126</v>
      </c>
      <c r="G917" s="21">
        <v>5</v>
      </c>
      <c r="H917" s="21">
        <v>30</v>
      </c>
      <c r="M917" s="21">
        <f t="shared" ref="M917" si="518">(MOD(D914-1,G915*H915)+1)*G917+H917*(B914-1)</f>
        <v>85</v>
      </c>
    </row>
    <row r="918" spans="1:13">
      <c r="E918" s="21">
        <f t="shared" si="492"/>
        <v>918</v>
      </c>
      <c r="F918" s="9" t="s">
        <v>29</v>
      </c>
      <c r="M918" s="21" t="s">
        <v>246</v>
      </c>
    </row>
    <row r="919" spans="1:13">
      <c r="E919" s="21">
        <f t="shared" si="492"/>
        <v>919</v>
      </c>
      <c r="F919" s="9" t="s">
        <v>118</v>
      </c>
      <c r="M919" s="21" t="s">
        <v>248</v>
      </c>
    </row>
    <row r="920" spans="1:13">
      <c r="E920" s="21">
        <f t="shared" si="492"/>
        <v>920</v>
      </c>
      <c r="F920" s="9" t="s">
        <v>98</v>
      </c>
      <c r="K920" s="9" t="s">
        <v>137</v>
      </c>
      <c r="M920" s="21">
        <v>2</v>
      </c>
    </row>
    <row r="921" spans="1:13">
      <c r="E921" s="21">
        <f t="shared" si="492"/>
        <v>921</v>
      </c>
      <c r="F921" s="9" t="s">
        <v>175</v>
      </c>
      <c r="K921" s="9" t="s">
        <v>136</v>
      </c>
      <c r="M921" s="21" t="s">
        <v>250</v>
      </c>
    </row>
    <row r="922" spans="1:13">
      <c r="E922" s="21">
        <f t="shared" si="492"/>
        <v>922</v>
      </c>
      <c r="F922" s="9" t="s">
        <v>113</v>
      </c>
      <c r="L922" s="9" t="s">
        <v>134</v>
      </c>
      <c r="M922" s="21">
        <v>-90</v>
      </c>
    </row>
    <row r="923" spans="1:13">
      <c r="E923" s="21">
        <f t="shared" si="492"/>
        <v>923</v>
      </c>
      <c r="F923" s="9" t="s">
        <v>31</v>
      </c>
      <c r="G923" s="21">
        <v>5</v>
      </c>
      <c r="H923" s="21">
        <v>72</v>
      </c>
      <c r="L923" s="9" t="s">
        <v>134</v>
      </c>
      <c r="M923" s="21">
        <f t="shared" ref="M923" si="519">(G923*C914+(A914-1)*H923+H917*(B914-1))*-1</f>
        <v>-199</v>
      </c>
    </row>
    <row r="924" spans="1:13">
      <c r="E924" s="21">
        <f t="shared" si="492"/>
        <v>924</v>
      </c>
      <c r="F924" s="9" t="s">
        <v>30</v>
      </c>
      <c r="M924" s="21">
        <v>3</v>
      </c>
    </row>
    <row r="925" spans="1:13">
      <c r="A925" s="21">
        <f t="shared" ref="A925:A988" si="520">QUOTIENT( D925-1,G926*H926)+1</f>
        <v>3</v>
      </c>
      <c r="B925" s="21">
        <f t="shared" ref="B925" si="521">QUOTIENT( D925-1,G926)+1-(A925-1)*H926</f>
        <v>2</v>
      </c>
      <c r="C925" s="21">
        <f t="shared" ref="C925" si="522">D925-(B925-1)*G926-((A925-1)*G926*H926)</f>
        <v>6</v>
      </c>
      <c r="D925" s="21">
        <f>COUNT($D$11:$D924)+1</f>
        <v>84</v>
      </c>
    </row>
    <row r="926" spans="1:13">
      <c r="E926" s="21">
        <f t="shared" si="492"/>
        <v>926</v>
      </c>
      <c r="F926" s="9" t="s">
        <v>93</v>
      </c>
      <c r="G926" s="21">
        <v>6</v>
      </c>
      <c r="H926" s="21">
        <v>6</v>
      </c>
      <c r="I926" s="21">
        <v>5</v>
      </c>
      <c r="J926" s="9" t="s">
        <v>252</v>
      </c>
      <c r="M926" s="21">
        <f t="shared" ref="M926:M989" si="523">J926+D925</f>
        <v>20684</v>
      </c>
    </row>
    <row r="927" spans="1:13">
      <c r="E927" s="21">
        <f t="shared" si="492"/>
        <v>927</v>
      </c>
      <c r="F927" s="9" t="s">
        <v>142</v>
      </c>
      <c r="M927" s="21">
        <v>199107</v>
      </c>
    </row>
    <row r="928" spans="1:13">
      <c r="E928" s="21">
        <f t="shared" si="492"/>
        <v>928</v>
      </c>
      <c r="F928" s="9" t="s">
        <v>126</v>
      </c>
      <c r="G928" s="21">
        <v>5</v>
      </c>
      <c r="H928" s="21">
        <v>30</v>
      </c>
      <c r="M928" s="21">
        <f t="shared" ref="M928" si="524">(MOD(D925-1,G926*H926)+1)*G928+H928*(B925-1)</f>
        <v>90</v>
      </c>
    </row>
    <row r="929" spans="1:13">
      <c r="E929" s="21">
        <f t="shared" si="492"/>
        <v>929</v>
      </c>
      <c r="F929" s="9" t="s">
        <v>29</v>
      </c>
      <c r="M929" s="21" t="s">
        <v>246</v>
      </c>
    </row>
    <row r="930" spans="1:13">
      <c r="E930" s="21">
        <f t="shared" si="492"/>
        <v>930</v>
      </c>
      <c r="F930" s="9" t="s">
        <v>118</v>
      </c>
      <c r="M930" s="21" t="s">
        <v>248</v>
      </c>
    </row>
    <row r="931" spans="1:13">
      <c r="E931" s="21">
        <f t="shared" si="492"/>
        <v>931</v>
      </c>
      <c r="F931" s="9" t="s">
        <v>98</v>
      </c>
      <c r="K931" s="9" t="s">
        <v>137</v>
      </c>
      <c r="M931" s="21">
        <v>2</v>
      </c>
    </row>
    <row r="932" spans="1:13">
      <c r="E932" s="21">
        <f t="shared" si="492"/>
        <v>932</v>
      </c>
      <c r="F932" s="9" t="s">
        <v>175</v>
      </c>
      <c r="K932" s="9" t="s">
        <v>136</v>
      </c>
      <c r="M932" s="21" t="s">
        <v>250</v>
      </c>
    </row>
    <row r="933" spans="1:13">
      <c r="E933" s="21">
        <f t="shared" si="492"/>
        <v>933</v>
      </c>
      <c r="F933" s="9" t="s">
        <v>113</v>
      </c>
      <c r="L933" s="9" t="s">
        <v>134</v>
      </c>
      <c r="M933" s="21">
        <v>-90</v>
      </c>
    </row>
    <row r="934" spans="1:13">
      <c r="E934" s="21">
        <f t="shared" si="492"/>
        <v>934</v>
      </c>
      <c r="F934" s="9" t="s">
        <v>31</v>
      </c>
      <c r="G934" s="21">
        <v>5</v>
      </c>
      <c r="H934" s="21">
        <v>72</v>
      </c>
      <c r="L934" s="9" t="s">
        <v>134</v>
      </c>
      <c r="M934" s="21">
        <f t="shared" ref="M934" si="525">(G934*C925+(A925-1)*H934+H928*(B925-1))*-1</f>
        <v>-204</v>
      </c>
    </row>
    <row r="935" spans="1:13">
      <c r="E935" s="21">
        <f t="shared" ref="E935:E998" si="526">ROW(E935)</f>
        <v>935</v>
      </c>
      <c r="F935" s="9" t="s">
        <v>30</v>
      </c>
      <c r="M935" s="21">
        <v>3</v>
      </c>
    </row>
    <row r="936" spans="1:13">
      <c r="A936" s="21">
        <f t="shared" ref="A936:A999" si="527">QUOTIENT( D936-1,G937*H937)+1</f>
        <v>3</v>
      </c>
      <c r="B936" s="21">
        <f t="shared" ref="B936" si="528">QUOTIENT( D936-1,G937)+1-(A936-1)*H937</f>
        <v>3</v>
      </c>
      <c r="C936" s="21">
        <f t="shared" ref="C936" si="529">D936-(B936-1)*G937-((A936-1)*G937*H937)</f>
        <v>1</v>
      </c>
      <c r="D936" s="21">
        <f>COUNT($D$11:$D935)+1</f>
        <v>85</v>
      </c>
    </row>
    <row r="937" spans="1:13">
      <c r="E937" s="21">
        <f t="shared" ref="E937:E1000" si="530">ROW(E937)</f>
        <v>937</v>
      </c>
      <c r="F937" s="9" t="s">
        <v>93</v>
      </c>
      <c r="G937" s="21">
        <v>6</v>
      </c>
      <c r="H937" s="21">
        <v>6</v>
      </c>
      <c r="I937" s="21">
        <v>5</v>
      </c>
      <c r="J937" s="9" t="s">
        <v>252</v>
      </c>
      <c r="M937" s="21">
        <f t="shared" ref="M937:M1000" si="531">J937+D936</f>
        <v>20685</v>
      </c>
    </row>
    <row r="938" spans="1:13">
      <c r="E938" s="21">
        <f t="shared" si="530"/>
        <v>938</v>
      </c>
      <c r="F938" s="9" t="s">
        <v>142</v>
      </c>
      <c r="M938" s="21">
        <v>199107</v>
      </c>
    </row>
    <row r="939" spans="1:13">
      <c r="E939" s="21">
        <f t="shared" si="530"/>
        <v>939</v>
      </c>
      <c r="F939" s="9" t="s">
        <v>126</v>
      </c>
      <c r="G939" s="21">
        <v>5</v>
      </c>
      <c r="H939" s="21">
        <v>30</v>
      </c>
      <c r="M939" s="21">
        <f t="shared" ref="M939" si="532">(MOD(D936-1,G937*H937)+1)*G939+H939*(B936-1)</f>
        <v>125</v>
      </c>
    </row>
    <row r="940" spans="1:13">
      <c r="E940" s="21">
        <f t="shared" si="530"/>
        <v>940</v>
      </c>
      <c r="F940" s="9" t="s">
        <v>29</v>
      </c>
      <c r="M940" s="21" t="s">
        <v>246</v>
      </c>
    </row>
    <row r="941" spans="1:13">
      <c r="E941" s="21">
        <f t="shared" si="530"/>
        <v>941</v>
      </c>
      <c r="F941" s="9" t="s">
        <v>118</v>
      </c>
      <c r="M941" s="21" t="s">
        <v>248</v>
      </c>
    </row>
    <row r="942" spans="1:13">
      <c r="E942" s="21">
        <f t="shared" si="530"/>
        <v>942</v>
      </c>
      <c r="F942" s="9" t="s">
        <v>98</v>
      </c>
      <c r="K942" s="9" t="s">
        <v>137</v>
      </c>
      <c r="M942" s="21">
        <v>2</v>
      </c>
    </row>
    <row r="943" spans="1:13">
      <c r="E943" s="21">
        <f t="shared" si="530"/>
        <v>943</v>
      </c>
      <c r="F943" s="9" t="s">
        <v>175</v>
      </c>
      <c r="K943" s="9" t="s">
        <v>136</v>
      </c>
      <c r="M943" s="21" t="s">
        <v>250</v>
      </c>
    </row>
    <row r="944" spans="1:13">
      <c r="E944" s="21">
        <f t="shared" si="530"/>
        <v>944</v>
      </c>
      <c r="F944" s="9" t="s">
        <v>113</v>
      </c>
      <c r="L944" s="9" t="s">
        <v>134</v>
      </c>
      <c r="M944" s="21">
        <v>-90</v>
      </c>
    </row>
    <row r="945" spans="1:13">
      <c r="E945" s="21">
        <f t="shared" si="530"/>
        <v>945</v>
      </c>
      <c r="F945" s="9" t="s">
        <v>31</v>
      </c>
      <c r="G945" s="21">
        <v>5</v>
      </c>
      <c r="H945" s="21">
        <v>72</v>
      </c>
      <c r="L945" s="9" t="s">
        <v>134</v>
      </c>
      <c r="M945" s="21">
        <f t="shared" ref="M945" si="533">(G945*C936+(A936-1)*H945+H939*(B936-1))*-1</f>
        <v>-209</v>
      </c>
    </row>
    <row r="946" spans="1:13">
      <c r="E946" s="21">
        <f t="shared" si="530"/>
        <v>946</v>
      </c>
      <c r="F946" s="9" t="s">
        <v>30</v>
      </c>
      <c r="M946" s="21">
        <v>3</v>
      </c>
    </row>
    <row r="947" spans="1:13">
      <c r="A947" s="21">
        <f t="shared" ref="A947:A1010" si="534">QUOTIENT( D947-1,G948*H948)+1</f>
        <v>3</v>
      </c>
      <c r="B947" s="21">
        <f t="shared" ref="B947" si="535">QUOTIENT( D947-1,G948)+1-(A947-1)*H948</f>
        <v>3</v>
      </c>
      <c r="C947" s="21">
        <f t="shared" ref="C947" si="536">D947-(B947-1)*G948-((A947-1)*G948*H948)</f>
        <v>2</v>
      </c>
      <c r="D947" s="21">
        <f>COUNT($D$11:$D946)+1</f>
        <v>86</v>
      </c>
    </row>
    <row r="948" spans="1:13">
      <c r="E948" s="21">
        <f t="shared" si="530"/>
        <v>948</v>
      </c>
      <c r="F948" s="9" t="s">
        <v>93</v>
      </c>
      <c r="G948" s="21">
        <v>6</v>
      </c>
      <c r="H948" s="21">
        <v>6</v>
      </c>
      <c r="I948" s="21">
        <v>5</v>
      </c>
      <c r="J948" s="9" t="s">
        <v>252</v>
      </c>
      <c r="M948" s="21">
        <f t="shared" ref="M948:M1011" si="537">J948+D947</f>
        <v>20686</v>
      </c>
    </row>
    <row r="949" spans="1:13">
      <c r="E949" s="21">
        <f t="shared" si="530"/>
        <v>949</v>
      </c>
      <c r="F949" s="9" t="s">
        <v>142</v>
      </c>
      <c r="M949" s="21">
        <v>199107</v>
      </c>
    </row>
    <row r="950" spans="1:13">
      <c r="E950" s="21">
        <f t="shared" si="530"/>
        <v>950</v>
      </c>
      <c r="F950" s="9" t="s">
        <v>126</v>
      </c>
      <c r="G950" s="21">
        <v>5</v>
      </c>
      <c r="H950" s="21">
        <v>30</v>
      </c>
      <c r="M950" s="21">
        <f t="shared" ref="M950" si="538">(MOD(D947-1,G948*H948)+1)*G950+H950*(B947-1)</f>
        <v>130</v>
      </c>
    </row>
    <row r="951" spans="1:13">
      <c r="E951" s="21">
        <f t="shared" si="530"/>
        <v>951</v>
      </c>
      <c r="F951" s="9" t="s">
        <v>29</v>
      </c>
      <c r="M951" s="21" t="s">
        <v>246</v>
      </c>
    </row>
    <row r="952" spans="1:13">
      <c r="E952" s="21">
        <f t="shared" si="530"/>
        <v>952</v>
      </c>
      <c r="F952" s="9" t="s">
        <v>118</v>
      </c>
      <c r="M952" s="21" t="s">
        <v>248</v>
      </c>
    </row>
    <row r="953" spans="1:13">
      <c r="E953" s="21">
        <f t="shared" si="530"/>
        <v>953</v>
      </c>
      <c r="F953" s="9" t="s">
        <v>98</v>
      </c>
      <c r="K953" s="9" t="s">
        <v>137</v>
      </c>
      <c r="M953" s="21">
        <v>2</v>
      </c>
    </row>
    <row r="954" spans="1:13">
      <c r="E954" s="21">
        <f t="shared" si="530"/>
        <v>954</v>
      </c>
      <c r="F954" s="9" t="s">
        <v>175</v>
      </c>
      <c r="K954" s="9" t="s">
        <v>136</v>
      </c>
      <c r="M954" s="21" t="s">
        <v>250</v>
      </c>
    </row>
    <row r="955" spans="1:13">
      <c r="E955" s="21">
        <f t="shared" si="530"/>
        <v>955</v>
      </c>
      <c r="F955" s="9" t="s">
        <v>113</v>
      </c>
      <c r="L955" s="9" t="s">
        <v>134</v>
      </c>
      <c r="M955" s="21">
        <v>-90</v>
      </c>
    </row>
    <row r="956" spans="1:13">
      <c r="E956" s="21">
        <f t="shared" si="530"/>
        <v>956</v>
      </c>
      <c r="F956" s="9" t="s">
        <v>31</v>
      </c>
      <c r="G956" s="21">
        <v>5</v>
      </c>
      <c r="H956" s="21">
        <v>72</v>
      </c>
      <c r="L956" s="9" t="s">
        <v>134</v>
      </c>
      <c r="M956" s="21">
        <f t="shared" ref="M956" si="539">(G956*C947+(A947-1)*H956+H950*(B947-1))*-1</f>
        <v>-214</v>
      </c>
    </row>
    <row r="957" spans="1:13">
      <c r="E957" s="21">
        <f t="shared" si="530"/>
        <v>957</v>
      </c>
      <c r="F957" s="9" t="s">
        <v>30</v>
      </c>
      <c r="M957" s="21">
        <v>3</v>
      </c>
    </row>
    <row r="958" spans="1:13">
      <c r="A958" s="21">
        <f t="shared" ref="A958:A1021" si="540">QUOTIENT( D958-1,G959*H959)+1</f>
        <v>3</v>
      </c>
      <c r="B958" s="21">
        <f t="shared" ref="B958" si="541">QUOTIENT( D958-1,G959)+1-(A958-1)*H959</f>
        <v>3</v>
      </c>
      <c r="C958" s="21">
        <f t="shared" ref="C958" si="542">D958-(B958-1)*G959-((A958-1)*G959*H959)</f>
        <v>3</v>
      </c>
      <c r="D958" s="21">
        <f>COUNT($D$11:$D957)+1</f>
        <v>87</v>
      </c>
    </row>
    <row r="959" spans="1:13">
      <c r="E959" s="21">
        <f t="shared" si="530"/>
        <v>959</v>
      </c>
      <c r="F959" s="9" t="s">
        <v>93</v>
      </c>
      <c r="G959" s="21">
        <v>6</v>
      </c>
      <c r="H959" s="21">
        <v>6</v>
      </c>
      <c r="I959" s="21">
        <v>5</v>
      </c>
      <c r="J959" s="9" t="s">
        <v>252</v>
      </c>
      <c r="M959" s="21">
        <f t="shared" ref="M959:M1022" si="543">J959+D958</f>
        <v>20687</v>
      </c>
    </row>
    <row r="960" spans="1:13">
      <c r="E960" s="21">
        <f t="shared" si="530"/>
        <v>960</v>
      </c>
      <c r="F960" s="9" t="s">
        <v>142</v>
      </c>
      <c r="M960" s="21">
        <v>199107</v>
      </c>
    </row>
    <row r="961" spans="1:13">
      <c r="E961" s="21">
        <f t="shared" si="530"/>
        <v>961</v>
      </c>
      <c r="F961" s="9" t="s">
        <v>126</v>
      </c>
      <c r="G961" s="21">
        <v>5</v>
      </c>
      <c r="H961" s="21">
        <v>30</v>
      </c>
      <c r="M961" s="21">
        <f t="shared" ref="M961" si="544">(MOD(D958-1,G959*H959)+1)*G961+H961*(B958-1)</f>
        <v>135</v>
      </c>
    </row>
    <row r="962" spans="1:13">
      <c r="E962" s="21">
        <f t="shared" si="530"/>
        <v>962</v>
      </c>
      <c r="F962" s="9" t="s">
        <v>29</v>
      </c>
      <c r="M962" s="21" t="s">
        <v>246</v>
      </c>
    </row>
    <row r="963" spans="1:13">
      <c r="E963" s="21">
        <f t="shared" si="530"/>
        <v>963</v>
      </c>
      <c r="F963" s="9" t="s">
        <v>118</v>
      </c>
      <c r="M963" s="21" t="s">
        <v>248</v>
      </c>
    </row>
    <row r="964" spans="1:13">
      <c r="E964" s="21">
        <f t="shared" si="530"/>
        <v>964</v>
      </c>
      <c r="F964" s="9" t="s">
        <v>98</v>
      </c>
      <c r="K964" s="9" t="s">
        <v>137</v>
      </c>
      <c r="M964" s="21">
        <v>2</v>
      </c>
    </row>
    <row r="965" spans="1:13">
      <c r="E965" s="21">
        <f t="shared" si="530"/>
        <v>965</v>
      </c>
      <c r="F965" s="9" t="s">
        <v>175</v>
      </c>
      <c r="K965" s="9" t="s">
        <v>136</v>
      </c>
      <c r="M965" s="21" t="s">
        <v>250</v>
      </c>
    </row>
    <row r="966" spans="1:13">
      <c r="E966" s="21">
        <f t="shared" si="530"/>
        <v>966</v>
      </c>
      <c r="F966" s="9" t="s">
        <v>113</v>
      </c>
      <c r="L966" s="9" t="s">
        <v>134</v>
      </c>
      <c r="M966" s="21">
        <v>-90</v>
      </c>
    </row>
    <row r="967" spans="1:13">
      <c r="E967" s="21">
        <f t="shared" si="530"/>
        <v>967</v>
      </c>
      <c r="F967" s="9" t="s">
        <v>31</v>
      </c>
      <c r="G967" s="21">
        <v>5</v>
      </c>
      <c r="H967" s="21">
        <v>72</v>
      </c>
      <c r="L967" s="9" t="s">
        <v>134</v>
      </c>
      <c r="M967" s="21">
        <f t="shared" ref="M967" si="545">(G967*C958+(A958-1)*H967+H961*(B958-1))*-1</f>
        <v>-219</v>
      </c>
    </row>
    <row r="968" spans="1:13">
      <c r="E968" s="21">
        <f t="shared" si="530"/>
        <v>968</v>
      </c>
      <c r="F968" s="9" t="s">
        <v>30</v>
      </c>
      <c r="M968" s="21">
        <v>3</v>
      </c>
    </row>
    <row r="969" spans="1:13">
      <c r="A969" s="21">
        <f t="shared" ref="A969:A1032" si="546">QUOTIENT( D969-1,G970*H970)+1</f>
        <v>3</v>
      </c>
      <c r="B969" s="21">
        <f t="shared" ref="B969" si="547">QUOTIENT( D969-1,G970)+1-(A969-1)*H970</f>
        <v>3</v>
      </c>
      <c r="C969" s="21">
        <f t="shared" ref="C969" si="548">D969-(B969-1)*G970-((A969-1)*G970*H970)</f>
        <v>4</v>
      </c>
      <c r="D969" s="21">
        <f>COUNT($D$11:$D968)+1</f>
        <v>88</v>
      </c>
    </row>
    <row r="970" spans="1:13">
      <c r="E970" s="21">
        <f t="shared" si="530"/>
        <v>970</v>
      </c>
      <c r="F970" s="9" t="s">
        <v>93</v>
      </c>
      <c r="G970" s="21">
        <v>6</v>
      </c>
      <c r="H970" s="21">
        <v>6</v>
      </c>
      <c r="I970" s="21">
        <v>5</v>
      </c>
      <c r="J970" s="9" t="s">
        <v>252</v>
      </c>
      <c r="M970" s="21">
        <f t="shared" ref="M970:M1033" si="549">J970+D969</f>
        <v>20688</v>
      </c>
    </row>
    <row r="971" spans="1:13">
      <c r="E971" s="21">
        <f t="shared" si="530"/>
        <v>971</v>
      </c>
      <c r="F971" s="9" t="s">
        <v>142</v>
      </c>
      <c r="M971" s="21">
        <v>199107</v>
      </c>
    </row>
    <row r="972" spans="1:13">
      <c r="E972" s="21">
        <f t="shared" si="530"/>
        <v>972</v>
      </c>
      <c r="F972" s="9" t="s">
        <v>126</v>
      </c>
      <c r="G972" s="21">
        <v>5</v>
      </c>
      <c r="H972" s="21">
        <v>30</v>
      </c>
      <c r="M972" s="21">
        <f t="shared" ref="M972" si="550">(MOD(D969-1,G970*H970)+1)*G972+H972*(B969-1)</f>
        <v>140</v>
      </c>
    </row>
    <row r="973" spans="1:13">
      <c r="E973" s="21">
        <f t="shared" si="530"/>
        <v>973</v>
      </c>
      <c r="F973" s="9" t="s">
        <v>29</v>
      </c>
      <c r="M973" s="21" t="s">
        <v>246</v>
      </c>
    </row>
    <row r="974" spans="1:13">
      <c r="E974" s="21">
        <f t="shared" si="530"/>
        <v>974</v>
      </c>
      <c r="F974" s="9" t="s">
        <v>118</v>
      </c>
      <c r="M974" s="21" t="s">
        <v>248</v>
      </c>
    </row>
    <row r="975" spans="1:13">
      <c r="E975" s="21">
        <f t="shared" si="530"/>
        <v>975</v>
      </c>
      <c r="F975" s="9" t="s">
        <v>98</v>
      </c>
      <c r="K975" s="9" t="s">
        <v>137</v>
      </c>
      <c r="M975" s="21">
        <v>2</v>
      </c>
    </row>
    <row r="976" spans="1:13">
      <c r="E976" s="21">
        <f t="shared" si="530"/>
        <v>976</v>
      </c>
      <c r="F976" s="9" t="s">
        <v>175</v>
      </c>
      <c r="K976" s="9" t="s">
        <v>136</v>
      </c>
      <c r="M976" s="21" t="s">
        <v>250</v>
      </c>
    </row>
    <row r="977" spans="1:13">
      <c r="E977" s="21">
        <f t="shared" si="530"/>
        <v>977</v>
      </c>
      <c r="F977" s="9" t="s">
        <v>113</v>
      </c>
      <c r="L977" s="9" t="s">
        <v>134</v>
      </c>
      <c r="M977" s="21">
        <v>-90</v>
      </c>
    </row>
    <row r="978" spans="1:13">
      <c r="E978" s="21">
        <f t="shared" si="530"/>
        <v>978</v>
      </c>
      <c r="F978" s="9" t="s">
        <v>31</v>
      </c>
      <c r="G978" s="21">
        <v>5</v>
      </c>
      <c r="H978" s="21">
        <v>72</v>
      </c>
      <c r="L978" s="9" t="s">
        <v>134</v>
      </c>
      <c r="M978" s="21">
        <f t="shared" ref="M978" si="551">(G978*C969+(A969-1)*H978+H972*(B969-1))*-1</f>
        <v>-224</v>
      </c>
    </row>
    <row r="979" spans="1:13">
      <c r="E979" s="21">
        <f t="shared" si="530"/>
        <v>979</v>
      </c>
      <c r="F979" s="9" t="s">
        <v>30</v>
      </c>
      <c r="M979" s="21">
        <v>3</v>
      </c>
    </row>
    <row r="980" spans="1:13">
      <c r="A980" s="21">
        <f t="shared" ref="A980:A1043" si="552">QUOTIENT( D980-1,G981*H981)+1</f>
        <v>3</v>
      </c>
      <c r="B980" s="21">
        <f t="shared" ref="B980" si="553">QUOTIENT( D980-1,G981)+1-(A980-1)*H981</f>
        <v>3</v>
      </c>
      <c r="C980" s="21">
        <f t="shared" ref="C980" si="554">D980-(B980-1)*G981-((A980-1)*G981*H981)</f>
        <v>5</v>
      </c>
      <c r="D980" s="21">
        <f>COUNT($D$11:$D979)+1</f>
        <v>89</v>
      </c>
    </row>
    <row r="981" spans="1:13">
      <c r="E981" s="21">
        <f t="shared" si="530"/>
        <v>981</v>
      </c>
      <c r="F981" s="9" t="s">
        <v>93</v>
      </c>
      <c r="G981" s="21">
        <v>6</v>
      </c>
      <c r="H981" s="21">
        <v>6</v>
      </c>
      <c r="I981" s="21">
        <v>5</v>
      </c>
      <c r="J981" s="9" t="s">
        <v>252</v>
      </c>
      <c r="M981" s="21">
        <f t="shared" ref="M981:M1044" si="555">J981+D980</f>
        <v>20689</v>
      </c>
    </row>
    <row r="982" spans="1:13">
      <c r="E982" s="21">
        <f t="shared" si="530"/>
        <v>982</v>
      </c>
      <c r="F982" s="9" t="s">
        <v>142</v>
      </c>
      <c r="M982" s="21">
        <v>199107</v>
      </c>
    </row>
    <row r="983" spans="1:13">
      <c r="E983" s="21">
        <f t="shared" si="530"/>
        <v>983</v>
      </c>
      <c r="F983" s="9" t="s">
        <v>126</v>
      </c>
      <c r="G983" s="21">
        <v>5</v>
      </c>
      <c r="H983" s="21">
        <v>30</v>
      </c>
      <c r="M983" s="21">
        <f t="shared" ref="M983" si="556">(MOD(D980-1,G981*H981)+1)*G983+H983*(B980-1)</f>
        <v>145</v>
      </c>
    </row>
    <row r="984" spans="1:13">
      <c r="E984" s="21">
        <f t="shared" si="530"/>
        <v>984</v>
      </c>
      <c r="F984" s="9" t="s">
        <v>29</v>
      </c>
      <c r="M984" s="21" t="s">
        <v>246</v>
      </c>
    </row>
    <row r="985" spans="1:13">
      <c r="E985" s="21">
        <f t="shared" si="530"/>
        <v>985</v>
      </c>
      <c r="F985" s="9" t="s">
        <v>118</v>
      </c>
      <c r="M985" s="21" t="s">
        <v>248</v>
      </c>
    </row>
    <row r="986" spans="1:13">
      <c r="E986" s="21">
        <f t="shared" si="530"/>
        <v>986</v>
      </c>
      <c r="F986" s="9" t="s">
        <v>98</v>
      </c>
      <c r="K986" s="9" t="s">
        <v>137</v>
      </c>
      <c r="M986" s="21">
        <v>2</v>
      </c>
    </row>
    <row r="987" spans="1:13">
      <c r="E987" s="21">
        <f t="shared" si="530"/>
        <v>987</v>
      </c>
      <c r="F987" s="9" t="s">
        <v>175</v>
      </c>
      <c r="K987" s="9" t="s">
        <v>136</v>
      </c>
      <c r="M987" s="21" t="s">
        <v>250</v>
      </c>
    </row>
    <row r="988" spans="1:13">
      <c r="E988" s="21">
        <f t="shared" si="530"/>
        <v>988</v>
      </c>
      <c r="F988" s="9" t="s">
        <v>113</v>
      </c>
      <c r="L988" s="9" t="s">
        <v>134</v>
      </c>
      <c r="M988" s="21">
        <v>-90</v>
      </c>
    </row>
    <row r="989" spans="1:13">
      <c r="E989" s="21">
        <f t="shared" si="530"/>
        <v>989</v>
      </c>
      <c r="F989" s="9" t="s">
        <v>31</v>
      </c>
      <c r="G989" s="21">
        <v>5</v>
      </c>
      <c r="H989" s="21">
        <v>72</v>
      </c>
      <c r="L989" s="9" t="s">
        <v>134</v>
      </c>
      <c r="M989" s="21">
        <f t="shared" ref="M989" si="557">(G989*C980+(A980-1)*H989+H983*(B980-1))*-1</f>
        <v>-229</v>
      </c>
    </row>
    <row r="990" spans="1:13">
      <c r="E990" s="21">
        <f t="shared" si="530"/>
        <v>990</v>
      </c>
      <c r="F990" s="9" t="s">
        <v>30</v>
      </c>
      <c r="M990" s="21">
        <v>3</v>
      </c>
    </row>
    <row r="991" spans="1:13">
      <c r="A991" s="21">
        <f t="shared" ref="A991:A1054" si="558">QUOTIENT( D991-1,G992*H992)+1</f>
        <v>3</v>
      </c>
      <c r="B991" s="21">
        <f t="shared" ref="B991" si="559">QUOTIENT( D991-1,G992)+1-(A991-1)*H992</f>
        <v>3</v>
      </c>
      <c r="C991" s="21">
        <f t="shared" ref="C991" si="560">D991-(B991-1)*G992-((A991-1)*G992*H992)</f>
        <v>6</v>
      </c>
      <c r="D991" s="21">
        <f>COUNT($D$11:$D990)+1</f>
        <v>90</v>
      </c>
    </row>
    <row r="992" spans="1:13">
      <c r="E992" s="21">
        <f t="shared" si="530"/>
        <v>992</v>
      </c>
      <c r="F992" s="9" t="s">
        <v>93</v>
      </c>
      <c r="G992" s="21">
        <v>6</v>
      </c>
      <c r="H992" s="21">
        <v>6</v>
      </c>
      <c r="I992" s="21">
        <v>5</v>
      </c>
      <c r="J992" s="9" t="s">
        <v>252</v>
      </c>
      <c r="M992" s="21">
        <f t="shared" ref="M992:M1055" si="561">J992+D991</f>
        <v>20690</v>
      </c>
    </row>
    <row r="993" spans="1:13">
      <c r="E993" s="21">
        <f t="shared" si="530"/>
        <v>993</v>
      </c>
      <c r="F993" s="9" t="s">
        <v>142</v>
      </c>
      <c r="M993" s="21">
        <v>199107</v>
      </c>
    </row>
    <row r="994" spans="1:13">
      <c r="E994" s="21">
        <f t="shared" si="530"/>
        <v>994</v>
      </c>
      <c r="F994" s="9" t="s">
        <v>126</v>
      </c>
      <c r="G994" s="21">
        <v>5</v>
      </c>
      <c r="H994" s="21">
        <v>30</v>
      </c>
      <c r="M994" s="21">
        <f t="shared" ref="M994" si="562">(MOD(D991-1,G992*H992)+1)*G994+H994*(B991-1)</f>
        <v>150</v>
      </c>
    </row>
    <row r="995" spans="1:13">
      <c r="E995" s="21">
        <f t="shared" si="530"/>
        <v>995</v>
      </c>
      <c r="F995" s="9" t="s">
        <v>29</v>
      </c>
      <c r="M995" s="21" t="s">
        <v>246</v>
      </c>
    </row>
    <row r="996" spans="1:13">
      <c r="E996" s="21">
        <f t="shared" si="530"/>
        <v>996</v>
      </c>
      <c r="F996" s="9" t="s">
        <v>118</v>
      </c>
      <c r="M996" s="21" t="s">
        <v>248</v>
      </c>
    </row>
    <row r="997" spans="1:13">
      <c r="E997" s="21">
        <f t="shared" si="530"/>
        <v>997</v>
      </c>
      <c r="F997" s="9" t="s">
        <v>98</v>
      </c>
      <c r="K997" s="9" t="s">
        <v>137</v>
      </c>
      <c r="M997" s="21">
        <v>2</v>
      </c>
    </row>
    <row r="998" spans="1:13">
      <c r="E998" s="21">
        <f t="shared" si="530"/>
        <v>998</v>
      </c>
      <c r="F998" s="9" t="s">
        <v>175</v>
      </c>
      <c r="K998" s="9" t="s">
        <v>136</v>
      </c>
      <c r="M998" s="21" t="s">
        <v>250</v>
      </c>
    </row>
    <row r="999" spans="1:13">
      <c r="E999" s="21">
        <f t="shared" si="530"/>
        <v>999</v>
      </c>
      <c r="F999" s="9" t="s">
        <v>113</v>
      </c>
      <c r="L999" s="9" t="s">
        <v>134</v>
      </c>
      <c r="M999" s="21">
        <v>-90</v>
      </c>
    </row>
    <row r="1000" spans="1:13">
      <c r="E1000" s="21">
        <f t="shared" si="530"/>
        <v>1000</v>
      </c>
      <c r="F1000" s="9" t="s">
        <v>31</v>
      </c>
      <c r="G1000" s="21">
        <v>5</v>
      </c>
      <c r="H1000" s="21">
        <v>72</v>
      </c>
      <c r="L1000" s="9" t="s">
        <v>134</v>
      </c>
      <c r="M1000" s="21">
        <f t="shared" ref="M1000" si="563">(G1000*C991+(A991-1)*H1000+H994*(B991-1))*-1</f>
        <v>-234</v>
      </c>
    </row>
    <row r="1001" spans="1:13">
      <c r="E1001" s="21">
        <f t="shared" ref="E1001:E1064" si="564">ROW(E1001)</f>
        <v>1001</v>
      </c>
      <c r="F1001" s="9" t="s">
        <v>30</v>
      </c>
      <c r="M1001" s="21">
        <v>3</v>
      </c>
    </row>
    <row r="1002" spans="1:13">
      <c r="A1002" s="21">
        <f t="shared" ref="A1002:A1065" si="565">QUOTIENT( D1002-1,G1003*H1003)+1</f>
        <v>3</v>
      </c>
      <c r="B1002" s="21">
        <f t="shared" ref="B1002" si="566">QUOTIENT( D1002-1,G1003)+1-(A1002-1)*H1003</f>
        <v>4</v>
      </c>
      <c r="C1002" s="21">
        <f t="shared" ref="C1002" si="567">D1002-(B1002-1)*G1003-((A1002-1)*G1003*H1003)</f>
        <v>1</v>
      </c>
      <c r="D1002" s="21">
        <f>COUNT($D$11:$D1001)+1</f>
        <v>91</v>
      </c>
    </row>
    <row r="1003" spans="1:13">
      <c r="E1003" s="21">
        <f t="shared" ref="E1003:E1066" si="568">ROW(E1003)</f>
        <v>1003</v>
      </c>
      <c r="F1003" s="9" t="s">
        <v>93</v>
      </c>
      <c r="G1003" s="21">
        <v>6</v>
      </c>
      <c r="H1003" s="21">
        <v>6</v>
      </c>
      <c r="I1003" s="21">
        <v>5</v>
      </c>
      <c r="J1003" s="9" t="s">
        <v>252</v>
      </c>
      <c r="M1003" s="21">
        <f t="shared" ref="M1003:M1066" si="569">J1003+D1002</f>
        <v>20691</v>
      </c>
    </row>
    <row r="1004" spans="1:13">
      <c r="E1004" s="21">
        <f t="shared" si="568"/>
        <v>1004</v>
      </c>
      <c r="F1004" s="9" t="s">
        <v>142</v>
      </c>
      <c r="M1004" s="21">
        <v>199107</v>
      </c>
    </row>
    <row r="1005" spans="1:13">
      <c r="E1005" s="21">
        <f t="shared" si="568"/>
        <v>1005</v>
      </c>
      <c r="F1005" s="9" t="s">
        <v>126</v>
      </c>
      <c r="G1005" s="21">
        <v>5</v>
      </c>
      <c r="H1005" s="21">
        <v>30</v>
      </c>
      <c r="M1005" s="21">
        <f t="shared" ref="M1005" si="570">(MOD(D1002-1,G1003*H1003)+1)*G1005+H1005*(B1002-1)</f>
        <v>185</v>
      </c>
    </row>
    <row r="1006" spans="1:13">
      <c r="E1006" s="21">
        <f t="shared" si="568"/>
        <v>1006</v>
      </c>
      <c r="F1006" s="9" t="s">
        <v>29</v>
      </c>
      <c r="M1006" s="21" t="s">
        <v>246</v>
      </c>
    </row>
    <row r="1007" spans="1:13">
      <c r="E1007" s="21">
        <f t="shared" si="568"/>
        <v>1007</v>
      </c>
      <c r="F1007" s="9" t="s">
        <v>118</v>
      </c>
      <c r="M1007" s="21" t="s">
        <v>248</v>
      </c>
    </row>
    <row r="1008" spans="1:13">
      <c r="E1008" s="21">
        <f t="shared" si="568"/>
        <v>1008</v>
      </c>
      <c r="F1008" s="9" t="s">
        <v>98</v>
      </c>
      <c r="K1008" s="9" t="s">
        <v>137</v>
      </c>
      <c r="M1008" s="21">
        <v>2</v>
      </c>
    </row>
    <row r="1009" spans="1:13">
      <c r="E1009" s="21">
        <f t="shared" si="568"/>
        <v>1009</v>
      </c>
      <c r="F1009" s="9" t="s">
        <v>175</v>
      </c>
      <c r="K1009" s="9" t="s">
        <v>136</v>
      </c>
      <c r="M1009" s="21" t="s">
        <v>250</v>
      </c>
    </row>
    <row r="1010" spans="1:13">
      <c r="E1010" s="21">
        <f t="shared" si="568"/>
        <v>1010</v>
      </c>
      <c r="F1010" s="9" t="s">
        <v>113</v>
      </c>
      <c r="L1010" s="9" t="s">
        <v>134</v>
      </c>
      <c r="M1010" s="21">
        <v>-90</v>
      </c>
    </row>
    <row r="1011" spans="1:13">
      <c r="E1011" s="21">
        <f t="shared" si="568"/>
        <v>1011</v>
      </c>
      <c r="F1011" s="9" t="s">
        <v>31</v>
      </c>
      <c r="G1011" s="21">
        <v>5</v>
      </c>
      <c r="H1011" s="21">
        <v>72</v>
      </c>
      <c r="L1011" s="9" t="s">
        <v>134</v>
      </c>
      <c r="M1011" s="21">
        <f t="shared" ref="M1011" si="571">(G1011*C1002+(A1002-1)*H1011+H1005*(B1002-1))*-1</f>
        <v>-239</v>
      </c>
    </row>
    <row r="1012" spans="1:13">
      <c r="E1012" s="21">
        <f t="shared" si="568"/>
        <v>1012</v>
      </c>
      <c r="F1012" s="9" t="s">
        <v>30</v>
      </c>
      <c r="M1012" s="21">
        <v>3</v>
      </c>
    </row>
    <row r="1013" spans="1:13">
      <c r="A1013" s="21">
        <f t="shared" ref="A1013:A1076" si="572">QUOTIENT( D1013-1,G1014*H1014)+1</f>
        <v>3</v>
      </c>
      <c r="B1013" s="21">
        <f t="shared" ref="B1013" si="573">QUOTIENT( D1013-1,G1014)+1-(A1013-1)*H1014</f>
        <v>4</v>
      </c>
      <c r="C1013" s="21">
        <f t="shared" ref="C1013" si="574">D1013-(B1013-1)*G1014-((A1013-1)*G1014*H1014)</f>
        <v>2</v>
      </c>
      <c r="D1013" s="21">
        <f>COUNT($D$11:$D1012)+1</f>
        <v>92</v>
      </c>
    </row>
    <row r="1014" spans="1:13">
      <c r="E1014" s="21">
        <f t="shared" si="568"/>
        <v>1014</v>
      </c>
      <c r="F1014" s="9" t="s">
        <v>93</v>
      </c>
      <c r="G1014" s="21">
        <v>6</v>
      </c>
      <c r="H1014" s="21">
        <v>6</v>
      </c>
      <c r="I1014" s="21">
        <v>5</v>
      </c>
      <c r="J1014" s="9" t="s">
        <v>252</v>
      </c>
      <c r="M1014" s="21">
        <f t="shared" ref="M1014:M1077" si="575">J1014+D1013</f>
        <v>20692</v>
      </c>
    </row>
    <row r="1015" spans="1:13">
      <c r="E1015" s="21">
        <f t="shared" si="568"/>
        <v>1015</v>
      </c>
      <c r="F1015" s="9" t="s">
        <v>142</v>
      </c>
      <c r="M1015" s="21">
        <v>199107</v>
      </c>
    </row>
    <row r="1016" spans="1:13">
      <c r="E1016" s="21">
        <f t="shared" si="568"/>
        <v>1016</v>
      </c>
      <c r="F1016" s="9" t="s">
        <v>126</v>
      </c>
      <c r="G1016" s="21">
        <v>5</v>
      </c>
      <c r="H1016" s="21">
        <v>30</v>
      </c>
      <c r="M1016" s="21">
        <f t="shared" ref="M1016" si="576">(MOD(D1013-1,G1014*H1014)+1)*G1016+H1016*(B1013-1)</f>
        <v>190</v>
      </c>
    </row>
    <row r="1017" spans="1:13">
      <c r="E1017" s="21">
        <f t="shared" si="568"/>
        <v>1017</v>
      </c>
      <c r="F1017" s="9" t="s">
        <v>29</v>
      </c>
      <c r="M1017" s="21" t="s">
        <v>246</v>
      </c>
    </row>
    <row r="1018" spans="1:13">
      <c r="E1018" s="21">
        <f t="shared" si="568"/>
        <v>1018</v>
      </c>
      <c r="F1018" s="9" t="s">
        <v>118</v>
      </c>
      <c r="M1018" s="21" t="s">
        <v>248</v>
      </c>
    </row>
    <row r="1019" spans="1:13">
      <c r="E1019" s="21">
        <f t="shared" si="568"/>
        <v>1019</v>
      </c>
      <c r="F1019" s="9" t="s">
        <v>98</v>
      </c>
      <c r="K1019" s="9" t="s">
        <v>137</v>
      </c>
      <c r="M1019" s="21">
        <v>2</v>
      </c>
    </row>
    <row r="1020" spans="1:13">
      <c r="E1020" s="21">
        <f t="shared" si="568"/>
        <v>1020</v>
      </c>
      <c r="F1020" s="9" t="s">
        <v>175</v>
      </c>
      <c r="K1020" s="9" t="s">
        <v>136</v>
      </c>
      <c r="M1020" s="21" t="s">
        <v>250</v>
      </c>
    </row>
    <row r="1021" spans="1:13">
      <c r="E1021" s="21">
        <f t="shared" si="568"/>
        <v>1021</v>
      </c>
      <c r="F1021" s="9" t="s">
        <v>113</v>
      </c>
      <c r="L1021" s="9" t="s">
        <v>134</v>
      </c>
      <c r="M1021" s="21">
        <v>-90</v>
      </c>
    </row>
    <row r="1022" spans="1:13">
      <c r="E1022" s="21">
        <f t="shared" si="568"/>
        <v>1022</v>
      </c>
      <c r="F1022" s="9" t="s">
        <v>31</v>
      </c>
      <c r="G1022" s="21">
        <v>5</v>
      </c>
      <c r="H1022" s="21">
        <v>72</v>
      </c>
      <c r="L1022" s="9" t="s">
        <v>134</v>
      </c>
      <c r="M1022" s="21">
        <f t="shared" ref="M1022" si="577">(G1022*C1013+(A1013-1)*H1022+H1016*(B1013-1))*-1</f>
        <v>-244</v>
      </c>
    </row>
    <row r="1023" spans="1:13">
      <c r="E1023" s="21">
        <f t="shared" si="568"/>
        <v>1023</v>
      </c>
      <c r="F1023" s="9" t="s">
        <v>30</v>
      </c>
      <c r="M1023" s="21">
        <v>3</v>
      </c>
    </row>
    <row r="1024" spans="1:13">
      <c r="A1024" s="21">
        <f t="shared" ref="A1024:A1087" si="578">QUOTIENT( D1024-1,G1025*H1025)+1</f>
        <v>3</v>
      </c>
      <c r="B1024" s="21">
        <f t="shared" ref="B1024" si="579">QUOTIENT( D1024-1,G1025)+1-(A1024-1)*H1025</f>
        <v>4</v>
      </c>
      <c r="C1024" s="21">
        <f t="shared" ref="C1024" si="580">D1024-(B1024-1)*G1025-((A1024-1)*G1025*H1025)</f>
        <v>3</v>
      </c>
      <c r="D1024" s="21">
        <f>COUNT($D$11:$D1023)+1</f>
        <v>93</v>
      </c>
    </row>
    <row r="1025" spans="1:13">
      <c r="E1025" s="21">
        <f t="shared" si="568"/>
        <v>1025</v>
      </c>
      <c r="F1025" s="9" t="s">
        <v>93</v>
      </c>
      <c r="G1025" s="21">
        <v>6</v>
      </c>
      <c r="H1025" s="21">
        <v>6</v>
      </c>
      <c r="I1025" s="21">
        <v>5</v>
      </c>
      <c r="J1025" s="9" t="s">
        <v>252</v>
      </c>
      <c r="M1025" s="21">
        <f t="shared" ref="M1025:M1088" si="581">J1025+D1024</f>
        <v>20693</v>
      </c>
    </row>
    <row r="1026" spans="1:13">
      <c r="E1026" s="21">
        <f t="shared" si="568"/>
        <v>1026</v>
      </c>
      <c r="F1026" s="9" t="s">
        <v>142</v>
      </c>
      <c r="M1026" s="21">
        <v>199107</v>
      </c>
    </row>
    <row r="1027" spans="1:13">
      <c r="E1027" s="21">
        <f t="shared" si="568"/>
        <v>1027</v>
      </c>
      <c r="F1027" s="9" t="s">
        <v>126</v>
      </c>
      <c r="G1027" s="21">
        <v>5</v>
      </c>
      <c r="H1027" s="21">
        <v>30</v>
      </c>
      <c r="M1027" s="21">
        <f t="shared" ref="M1027" si="582">(MOD(D1024-1,G1025*H1025)+1)*G1027+H1027*(B1024-1)</f>
        <v>195</v>
      </c>
    </row>
    <row r="1028" spans="1:13">
      <c r="E1028" s="21">
        <f t="shared" si="568"/>
        <v>1028</v>
      </c>
      <c r="F1028" s="9" t="s">
        <v>29</v>
      </c>
      <c r="M1028" s="21" t="s">
        <v>246</v>
      </c>
    </row>
    <row r="1029" spans="1:13">
      <c r="E1029" s="21">
        <f t="shared" si="568"/>
        <v>1029</v>
      </c>
      <c r="F1029" s="9" t="s">
        <v>118</v>
      </c>
      <c r="M1029" s="21" t="s">
        <v>248</v>
      </c>
    </row>
    <row r="1030" spans="1:13">
      <c r="E1030" s="21">
        <f t="shared" si="568"/>
        <v>1030</v>
      </c>
      <c r="F1030" s="9" t="s">
        <v>98</v>
      </c>
      <c r="K1030" s="9" t="s">
        <v>137</v>
      </c>
      <c r="M1030" s="21">
        <v>2</v>
      </c>
    </row>
    <row r="1031" spans="1:13">
      <c r="E1031" s="21">
        <f t="shared" si="568"/>
        <v>1031</v>
      </c>
      <c r="F1031" s="9" t="s">
        <v>175</v>
      </c>
      <c r="K1031" s="9" t="s">
        <v>136</v>
      </c>
      <c r="M1031" s="21" t="s">
        <v>250</v>
      </c>
    </row>
    <row r="1032" spans="1:13">
      <c r="E1032" s="21">
        <f t="shared" si="568"/>
        <v>1032</v>
      </c>
      <c r="F1032" s="9" t="s">
        <v>113</v>
      </c>
      <c r="L1032" s="9" t="s">
        <v>134</v>
      </c>
      <c r="M1032" s="21">
        <v>-90</v>
      </c>
    </row>
    <row r="1033" spans="1:13">
      <c r="E1033" s="21">
        <f t="shared" si="568"/>
        <v>1033</v>
      </c>
      <c r="F1033" s="9" t="s">
        <v>31</v>
      </c>
      <c r="G1033" s="21">
        <v>5</v>
      </c>
      <c r="H1033" s="21">
        <v>72</v>
      </c>
      <c r="L1033" s="9" t="s">
        <v>134</v>
      </c>
      <c r="M1033" s="21">
        <f t="shared" ref="M1033" si="583">(G1033*C1024+(A1024-1)*H1033+H1027*(B1024-1))*-1</f>
        <v>-249</v>
      </c>
    </row>
    <row r="1034" spans="1:13">
      <c r="E1034" s="21">
        <f t="shared" si="568"/>
        <v>1034</v>
      </c>
      <c r="F1034" s="9" t="s">
        <v>30</v>
      </c>
      <c r="M1034" s="21">
        <v>3</v>
      </c>
    </row>
    <row r="1035" spans="1:13">
      <c r="A1035" s="21">
        <f t="shared" ref="A1035:A1098" si="584">QUOTIENT( D1035-1,G1036*H1036)+1</f>
        <v>3</v>
      </c>
      <c r="B1035" s="21">
        <f t="shared" ref="B1035" si="585">QUOTIENT( D1035-1,G1036)+1-(A1035-1)*H1036</f>
        <v>4</v>
      </c>
      <c r="C1035" s="21">
        <f t="shared" ref="C1035" si="586">D1035-(B1035-1)*G1036-((A1035-1)*G1036*H1036)</f>
        <v>4</v>
      </c>
      <c r="D1035" s="21">
        <f>COUNT($D$11:$D1034)+1</f>
        <v>94</v>
      </c>
    </row>
    <row r="1036" spans="1:13">
      <c r="E1036" s="21">
        <f t="shared" si="568"/>
        <v>1036</v>
      </c>
      <c r="F1036" s="9" t="s">
        <v>93</v>
      </c>
      <c r="G1036" s="21">
        <v>6</v>
      </c>
      <c r="H1036" s="21">
        <v>6</v>
      </c>
      <c r="I1036" s="21">
        <v>5</v>
      </c>
      <c r="J1036" s="9" t="s">
        <v>252</v>
      </c>
      <c r="M1036" s="21">
        <f t="shared" ref="M1036:M1099" si="587">J1036+D1035</f>
        <v>20694</v>
      </c>
    </row>
    <row r="1037" spans="1:13">
      <c r="E1037" s="21">
        <f t="shared" si="568"/>
        <v>1037</v>
      </c>
      <c r="F1037" s="9" t="s">
        <v>142</v>
      </c>
      <c r="M1037" s="21">
        <v>199107</v>
      </c>
    </row>
    <row r="1038" spans="1:13">
      <c r="E1038" s="21">
        <f t="shared" si="568"/>
        <v>1038</v>
      </c>
      <c r="F1038" s="9" t="s">
        <v>126</v>
      </c>
      <c r="G1038" s="21">
        <v>5</v>
      </c>
      <c r="H1038" s="21">
        <v>30</v>
      </c>
      <c r="M1038" s="21">
        <f t="shared" ref="M1038" si="588">(MOD(D1035-1,G1036*H1036)+1)*G1038+H1038*(B1035-1)</f>
        <v>200</v>
      </c>
    </row>
    <row r="1039" spans="1:13">
      <c r="E1039" s="21">
        <f t="shared" si="568"/>
        <v>1039</v>
      </c>
      <c r="F1039" s="9" t="s">
        <v>29</v>
      </c>
      <c r="M1039" s="21" t="s">
        <v>246</v>
      </c>
    </row>
    <row r="1040" spans="1:13">
      <c r="E1040" s="21">
        <f t="shared" si="568"/>
        <v>1040</v>
      </c>
      <c r="F1040" s="9" t="s">
        <v>118</v>
      </c>
      <c r="M1040" s="21" t="s">
        <v>248</v>
      </c>
    </row>
    <row r="1041" spans="1:13">
      <c r="E1041" s="21">
        <f t="shared" si="568"/>
        <v>1041</v>
      </c>
      <c r="F1041" s="9" t="s">
        <v>98</v>
      </c>
      <c r="K1041" s="9" t="s">
        <v>137</v>
      </c>
      <c r="M1041" s="21">
        <v>2</v>
      </c>
    </row>
    <row r="1042" spans="1:13">
      <c r="E1042" s="21">
        <f t="shared" si="568"/>
        <v>1042</v>
      </c>
      <c r="F1042" s="9" t="s">
        <v>175</v>
      </c>
      <c r="K1042" s="9" t="s">
        <v>136</v>
      </c>
      <c r="M1042" s="21" t="s">
        <v>250</v>
      </c>
    </row>
    <row r="1043" spans="1:13">
      <c r="E1043" s="21">
        <f t="shared" si="568"/>
        <v>1043</v>
      </c>
      <c r="F1043" s="9" t="s">
        <v>113</v>
      </c>
      <c r="L1043" s="9" t="s">
        <v>134</v>
      </c>
      <c r="M1043" s="21">
        <v>-90</v>
      </c>
    </row>
    <row r="1044" spans="1:13">
      <c r="E1044" s="21">
        <f t="shared" si="568"/>
        <v>1044</v>
      </c>
      <c r="F1044" s="9" t="s">
        <v>31</v>
      </c>
      <c r="G1044" s="21">
        <v>5</v>
      </c>
      <c r="H1044" s="21">
        <v>72</v>
      </c>
      <c r="L1044" s="9" t="s">
        <v>134</v>
      </c>
      <c r="M1044" s="21">
        <f t="shared" ref="M1044" si="589">(G1044*C1035+(A1035-1)*H1044+H1038*(B1035-1))*-1</f>
        <v>-254</v>
      </c>
    </row>
    <row r="1045" spans="1:13">
      <c r="E1045" s="21">
        <f t="shared" si="568"/>
        <v>1045</v>
      </c>
      <c r="F1045" s="9" t="s">
        <v>30</v>
      </c>
      <c r="M1045" s="21">
        <v>3</v>
      </c>
    </row>
    <row r="1046" spans="1:13">
      <c r="A1046" s="21">
        <f t="shared" ref="A1046:A1109" si="590">QUOTIENT( D1046-1,G1047*H1047)+1</f>
        <v>3</v>
      </c>
      <c r="B1046" s="21">
        <f t="shared" ref="B1046" si="591">QUOTIENT( D1046-1,G1047)+1-(A1046-1)*H1047</f>
        <v>4</v>
      </c>
      <c r="C1046" s="21">
        <f t="shared" ref="C1046" si="592">D1046-(B1046-1)*G1047-((A1046-1)*G1047*H1047)</f>
        <v>5</v>
      </c>
      <c r="D1046" s="21">
        <f>COUNT($D$11:$D1045)+1</f>
        <v>95</v>
      </c>
    </row>
    <row r="1047" spans="1:13">
      <c r="E1047" s="21">
        <f t="shared" si="568"/>
        <v>1047</v>
      </c>
      <c r="F1047" s="9" t="s">
        <v>93</v>
      </c>
      <c r="G1047" s="21">
        <v>6</v>
      </c>
      <c r="H1047" s="21">
        <v>6</v>
      </c>
      <c r="I1047" s="21">
        <v>5</v>
      </c>
      <c r="J1047" s="9" t="s">
        <v>252</v>
      </c>
      <c r="M1047" s="21">
        <f t="shared" ref="M1047:M1110" si="593">J1047+D1046</f>
        <v>20695</v>
      </c>
    </row>
    <row r="1048" spans="1:13">
      <c r="E1048" s="21">
        <f t="shared" si="568"/>
        <v>1048</v>
      </c>
      <c r="F1048" s="9" t="s">
        <v>142</v>
      </c>
      <c r="M1048" s="21">
        <v>199107</v>
      </c>
    </row>
    <row r="1049" spans="1:13">
      <c r="E1049" s="21">
        <f t="shared" si="568"/>
        <v>1049</v>
      </c>
      <c r="F1049" s="9" t="s">
        <v>126</v>
      </c>
      <c r="G1049" s="21">
        <v>5</v>
      </c>
      <c r="H1049" s="21">
        <v>30</v>
      </c>
      <c r="M1049" s="21">
        <f t="shared" ref="M1049" si="594">(MOD(D1046-1,G1047*H1047)+1)*G1049+H1049*(B1046-1)</f>
        <v>205</v>
      </c>
    </row>
    <row r="1050" spans="1:13">
      <c r="E1050" s="21">
        <f t="shared" si="568"/>
        <v>1050</v>
      </c>
      <c r="F1050" s="9" t="s">
        <v>29</v>
      </c>
      <c r="M1050" s="21" t="s">
        <v>246</v>
      </c>
    </row>
    <row r="1051" spans="1:13">
      <c r="E1051" s="21">
        <f t="shared" si="568"/>
        <v>1051</v>
      </c>
      <c r="F1051" s="9" t="s">
        <v>118</v>
      </c>
      <c r="M1051" s="21" t="s">
        <v>248</v>
      </c>
    </row>
    <row r="1052" spans="1:13">
      <c r="E1052" s="21">
        <f t="shared" si="568"/>
        <v>1052</v>
      </c>
      <c r="F1052" s="9" t="s">
        <v>98</v>
      </c>
      <c r="K1052" s="9" t="s">
        <v>137</v>
      </c>
      <c r="M1052" s="21">
        <v>2</v>
      </c>
    </row>
    <row r="1053" spans="1:13">
      <c r="E1053" s="21">
        <f t="shared" si="568"/>
        <v>1053</v>
      </c>
      <c r="F1053" s="9" t="s">
        <v>175</v>
      </c>
      <c r="K1053" s="9" t="s">
        <v>136</v>
      </c>
      <c r="M1053" s="21" t="s">
        <v>250</v>
      </c>
    </row>
    <row r="1054" spans="1:13">
      <c r="E1054" s="21">
        <f t="shared" si="568"/>
        <v>1054</v>
      </c>
      <c r="F1054" s="9" t="s">
        <v>113</v>
      </c>
      <c r="L1054" s="9" t="s">
        <v>134</v>
      </c>
      <c r="M1054" s="21">
        <v>-90</v>
      </c>
    </row>
    <row r="1055" spans="1:13">
      <c r="E1055" s="21">
        <f t="shared" si="568"/>
        <v>1055</v>
      </c>
      <c r="F1055" s="9" t="s">
        <v>31</v>
      </c>
      <c r="G1055" s="21">
        <v>5</v>
      </c>
      <c r="H1055" s="21">
        <v>72</v>
      </c>
      <c r="L1055" s="9" t="s">
        <v>134</v>
      </c>
      <c r="M1055" s="21">
        <f t="shared" ref="M1055" si="595">(G1055*C1046+(A1046-1)*H1055+H1049*(B1046-1))*-1</f>
        <v>-259</v>
      </c>
    </row>
    <row r="1056" spans="1:13">
      <c r="E1056" s="21">
        <f t="shared" si="568"/>
        <v>1056</v>
      </c>
      <c r="F1056" s="9" t="s">
        <v>30</v>
      </c>
      <c r="M1056" s="21">
        <v>3</v>
      </c>
    </row>
    <row r="1057" spans="1:13">
      <c r="A1057" s="21">
        <f t="shared" ref="A1057:A1120" si="596">QUOTIENT( D1057-1,G1058*H1058)+1</f>
        <v>3</v>
      </c>
      <c r="B1057" s="21">
        <f t="shared" ref="B1057" si="597">QUOTIENT( D1057-1,G1058)+1-(A1057-1)*H1058</f>
        <v>4</v>
      </c>
      <c r="C1057" s="21">
        <f t="shared" ref="C1057" si="598">D1057-(B1057-1)*G1058-((A1057-1)*G1058*H1058)</f>
        <v>6</v>
      </c>
      <c r="D1057" s="21">
        <f>COUNT($D$11:$D1056)+1</f>
        <v>96</v>
      </c>
    </row>
    <row r="1058" spans="1:13">
      <c r="E1058" s="21">
        <f t="shared" si="568"/>
        <v>1058</v>
      </c>
      <c r="F1058" s="9" t="s">
        <v>93</v>
      </c>
      <c r="G1058" s="21">
        <v>6</v>
      </c>
      <c r="H1058" s="21">
        <v>6</v>
      </c>
      <c r="I1058" s="21">
        <v>5</v>
      </c>
      <c r="J1058" s="9" t="s">
        <v>252</v>
      </c>
      <c r="M1058" s="21">
        <f t="shared" ref="M1058:M1121" si="599">J1058+D1057</f>
        <v>20696</v>
      </c>
    </row>
    <row r="1059" spans="1:13">
      <c r="E1059" s="21">
        <f t="shared" si="568"/>
        <v>1059</v>
      </c>
      <c r="F1059" s="9" t="s">
        <v>142</v>
      </c>
      <c r="M1059" s="21">
        <v>199107</v>
      </c>
    </row>
    <row r="1060" spans="1:13">
      <c r="E1060" s="21">
        <f t="shared" si="568"/>
        <v>1060</v>
      </c>
      <c r="F1060" s="9" t="s">
        <v>126</v>
      </c>
      <c r="G1060" s="21">
        <v>5</v>
      </c>
      <c r="H1060" s="21">
        <v>30</v>
      </c>
      <c r="M1060" s="21">
        <f t="shared" ref="M1060" si="600">(MOD(D1057-1,G1058*H1058)+1)*G1060+H1060*(B1057-1)</f>
        <v>210</v>
      </c>
    </row>
    <row r="1061" spans="1:13">
      <c r="E1061" s="21">
        <f t="shared" si="568"/>
        <v>1061</v>
      </c>
      <c r="F1061" s="9" t="s">
        <v>29</v>
      </c>
      <c r="M1061" s="21" t="s">
        <v>246</v>
      </c>
    </row>
    <row r="1062" spans="1:13">
      <c r="E1062" s="21">
        <f t="shared" si="568"/>
        <v>1062</v>
      </c>
      <c r="F1062" s="9" t="s">
        <v>118</v>
      </c>
      <c r="M1062" s="21" t="s">
        <v>248</v>
      </c>
    </row>
    <row r="1063" spans="1:13">
      <c r="E1063" s="21">
        <f t="shared" si="568"/>
        <v>1063</v>
      </c>
      <c r="F1063" s="9" t="s">
        <v>98</v>
      </c>
      <c r="K1063" s="9" t="s">
        <v>137</v>
      </c>
      <c r="M1063" s="21">
        <v>2</v>
      </c>
    </row>
    <row r="1064" spans="1:13">
      <c r="E1064" s="21">
        <f t="shared" si="568"/>
        <v>1064</v>
      </c>
      <c r="F1064" s="9" t="s">
        <v>175</v>
      </c>
      <c r="K1064" s="9" t="s">
        <v>136</v>
      </c>
      <c r="M1064" s="21" t="s">
        <v>250</v>
      </c>
    </row>
    <row r="1065" spans="1:13">
      <c r="E1065" s="21">
        <f t="shared" si="568"/>
        <v>1065</v>
      </c>
      <c r="F1065" s="9" t="s">
        <v>113</v>
      </c>
      <c r="L1065" s="9" t="s">
        <v>134</v>
      </c>
      <c r="M1065" s="21">
        <v>-90</v>
      </c>
    </row>
    <row r="1066" spans="1:13">
      <c r="E1066" s="21">
        <f t="shared" si="568"/>
        <v>1066</v>
      </c>
      <c r="F1066" s="9" t="s">
        <v>31</v>
      </c>
      <c r="G1066" s="21">
        <v>5</v>
      </c>
      <c r="H1066" s="21">
        <v>72</v>
      </c>
      <c r="L1066" s="9" t="s">
        <v>134</v>
      </c>
      <c r="M1066" s="21">
        <f t="shared" ref="M1066" si="601">(G1066*C1057+(A1057-1)*H1066+H1060*(B1057-1))*-1</f>
        <v>-264</v>
      </c>
    </row>
    <row r="1067" spans="1:13">
      <c r="E1067" s="21">
        <f t="shared" ref="E1067:E1130" si="602">ROW(E1067)</f>
        <v>1067</v>
      </c>
      <c r="F1067" s="9" t="s">
        <v>30</v>
      </c>
      <c r="M1067" s="21">
        <v>3</v>
      </c>
    </row>
    <row r="1068" spans="1:13">
      <c r="A1068" s="21">
        <f t="shared" ref="A1068:A1131" si="603">QUOTIENT( D1068-1,G1069*H1069)+1</f>
        <v>3</v>
      </c>
      <c r="B1068" s="21">
        <f t="shared" ref="B1068" si="604">QUOTIENT( D1068-1,G1069)+1-(A1068-1)*H1069</f>
        <v>5</v>
      </c>
      <c r="C1068" s="21">
        <f t="shared" ref="C1068" si="605">D1068-(B1068-1)*G1069-((A1068-1)*G1069*H1069)</f>
        <v>1</v>
      </c>
      <c r="D1068" s="21">
        <f>COUNT($D$11:$D1067)+1</f>
        <v>97</v>
      </c>
    </row>
    <row r="1069" spans="1:13">
      <c r="E1069" s="21">
        <f t="shared" ref="E1069:E1132" si="606">ROW(E1069)</f>
        <v>1069</v>
      </c>
      <c r="F1069" s="9" t="s">
        <v>93</v>
      </c>
      <c r="G1069" s="21">
        <v>6</v>
      </c>
      <c r="H1069" s="21">
        <v>6</v>
      </c>
      <c r="I1069" s="21">
        <v>5</v>
      </c>
      <c r="J1069" s="9" t="s">
        <v>252</v>
      </c>
      <c r="M1069" s="21">
        <f t="shared" ref="M1069:M1132" si="607">J1069+D1068</f>
        <v>20697</v>
      </c>
    </row>
    <row r="1070" spans="1:13">
      <c r="E1070" s="21">
        <f t="shared" si="606"/>
        <v>1070</v>
      </c>
      <c r="F1070" s="9" t="s">
        <v>142</v>
      </c>
      <c r="M1070" s="21">
        <v>199107</v>
      </c>
    </row>
    <row r="1071" spans="1:13">
      <c r="E1071" s="21">
        <f t="shared" si="606"/>
        <v>1071</v>
      </c>
      <c r="F1071" s="9" t="s">
        <v>126</v>
      </c>
      <c r="G1071" s="21">
        <v>5</v>
      </c>
      <c r="H1071" s="21">
        <v>30</v>
      </c>
      <c r="M1071" s="21">
        <f t="shared" ref="M1071" si="608">(MOD(D1068-1,G1069*H1069)+1)*G1071+H1071*(B1068-1)</f>
        <v>245</v>
      </c>
    </row>
    <row r="1072" spans="1:13">
      <c r="E1072" s="21">
        <f t="shared" si="606"/>
        <v>1072</v>
      </c>
      <c r="F1072" s="9" t="s">
        <v>29</v>
      </c>
      <c r="M1072" s="21" t="s">
        <v>246</v>
      </c>
    </row>
    <row r="1073" spans="1:13">
      <c r="E1073" s="21">
        <f t="shared" si="606"/>
        <v>1073</v>
      </c>
      <c r="F1073" s="9" t="s">
        <v>118</v>
      </c>
      <c r="M1073" s="21" t="s">
        <v>248</v>
      </c>
    </row>
    <row r="1074" spans="1:13">
      <c r="E1074" s="21">
        <f t="shared" si="606"/>
        <v>1074</v>
      </c>
      <c r="F1074" s="9" t="s">
        <v>98</v>
      </c>
      <c r="K1074" s="9" t="s">
        <v>137</v>
      </c>
      <c r="M1074" s="21">
        <v>2</v>
      </c>
    </row>
    <row r="1075" spans="1:13">
      <c r="E1075" s="21">
        <f t="shared" si="606"/>
        <v>1075</v>
      </c>
      <c r="F1075" s="9" t="s">
        <v>175</v>
      </c>
      <c r="K1075" s="9" t="s">
        <v>136</v>
      </c>
      <c r="M1075" s="21" t="s">
        <v>250</v>
      </c>
    </row>
    <row r="1076" spans="1:13">
      <c r="E1076" s="21">
        <f t="shared" si="606"/>
        <v>1076</v>
      </c>
      <c r="F1076" s="9" t="s">
        <v>113</v>
      </c>
      <c r="L1076" s="9" t="s">
        <v>134</v>
      </c>
      <c r="M1076" s="21">
        <v>-90</v>
      </c>
    </row>
    <row r="1077" spans="1:13">
      <c r="E1077" s="21">
        <f t="shared" si="606"/>
        <v>1077</v>
      </c>
      <c r="F1077" s="9" t="s">
        <v>31</v>
      </c>
      <c r="G1077" s="21">
        <v>5</v>
      </c>
      <c r="H1077" s="21">
        <v>72</v>
      </c>
      <c r="L1077" s="9" t="s">
        <v>134</v>
      </c>
      <c r="M1077" s="21">
        <f t="shared" ref="M1077" si="609">(G1077*C1068+(A1068-1)*H1077+H1071*(B1068-1))*-1</f>
        <v>-269</v>
      </c>
    </row>
    <row r="1078" spans="1:13">
      <c r="E1078" s="21">
        <f t="shared" si="606"/>
        <v>1078</v>
      </c>
      <c r="F1078" s="9" t="s">
        <v>30</v>
      </c>
      <c r="M1078" s="21">
        <v>3</v>
      </c>
    </row>
    <row r="1079" spans="1:13">
      <c r="A1079" s="21">
        <f t="shared" ref="A1079:A1142" si="610">QUOTIENT( D1079-1,G1080*H1080)+1</f>
        <v>3</v>
      </c>
      <c r="B1079" s="21">
        <f t="shared" ref="B1079" si="611">QUOTIENT( D1079-1,G1080)+1-(A1079-1)*H1080</f>
        <v>5</v>
      </c>
      <c r="C1079" s="21">
        <f t="shared" ref="C1079" si="612">D1079-(B1079-1)*G1080-((A1079-1)*G1080*H1080)</f>
        <v>2</v>
      </c>
      <c r="D1079" s="21">
        <f>COUNT($D$11:$D1078)+1</f>
        <v>98</v>
      </c>
    </row>
    <row r="1080" spans="1:13">
      <c r="E1080" s="21">
        <f t="shared" si="606"/>
        <v>1080</v>
      </c>
      <c r="F1080" s="9" t="s">
        <v>93</v>
      </c>
      <c r="G1080" s="21">
        <v>6</v>
      </c>
      <c r="H1080" s="21">
        <v>6</v>
      </c>
      <c r="I1080" s="21">
        <v>5</v>
      </c>
      <c r="J1080" s="9" t="s">
        <v>252</v>
      </c>
      <c r="M1080" s="21">
        <f t="shared" ref="M1080:M1143" si="613">J1080+D1079</f>
        <v>20698</v>
      </c>
    </row>
    <row r="1081" spans="1:13">
      <c r="E1081" s="21">
        <f t="shared" si="606"/>
        <v>1081</v>
      </c>
      <c r="F1081" s="9" t="s">
        <v>142</v>
      </c>
      <c r="M1081" s="21">
        <v>199107</v>
      </c>
    </row>
    <row r="1082" spans="1:13">
      <c r="E1082" s="21">
        <f t="shared" si="606"/>
        <v>1082</v>
      </c>
      <c r="F1082" s="9" t="s">
        <v>126</v>
      </c>
      <c r="G1082" s="21">
        <v>5</v>
      </c>
      <c r="H1082" s="21">
        <v>30</v>
      </c>
      <c r="M1082" s="21">
        <f t="shared" ref="M1082" si="614">(MOD(D1079-1,G1080*H1080)+1)*G1082+H1082*(B1079-1)</f>
        <v>250</v>
      </c>
    </row>
    <row r="1083" spans="1:13">
      <c r="E1083" s="21">
        <f t="shared" si="606"/>
        <v>1083</v>
      </c>
      <c r="F1083" s="9" t="s">
        <v>29</v>
      </c>
      <c r="M1083" s="21" t="s">
        <v>246</v>
      </c>
    </row>
    <row r="1084" spans="1:13">
      <c r="E1084" s="21">
        <f t="shared" si="606"/>
        <v>1084</v>
      </c>
      <c r="F1084" s="9" t="s">
        <v>118</v>
      </c>
      <c r="M1084" s="21" t="s">
        <v>248</v>
      </c>
    </row>
    <row r="1085" spans="1:13">
      <c r="E1085" s="21">
        <f t="shared" si="606"/>
        <v>1085</v>
      </c>
      <c r="F1085" s="9" t="s">
        <v>98</v>
      </c>
      <c r="K1085" s="9" t="s">
        <v>137</v>
      </c>
      <c r="M1085" s="21">
        <v>2</v>
      </c>
    </row>
    <row r="1086" spans="1:13">
      <c r="E1086" s="21">
        <f t="shared" si="606"/>
        <v>1086</v>
      </c>
      <c r="F1086" s="9" t="s">
        <v>175</v>
      </c>
      <c r="K1086" s="9" t="s">
        <v>136</v>
      </c>
      <c r="M1086" s="21" t="s">
        <v>250</v>
      </c>
    </row>
    <row r="1087" spans="1:13">
      <c r="E1087" s="21">
        <f t="shared" si="606"/>
        <v>1087</v>
      </c>
      <c r="F1087" s="9" t="s">
        <v>113</v>
      </c>
      <c r="L1087" s="9" t="s">
        <v>134</v>
      </c>
      <c r="M1087" s="21">
        <v>-90</v>
      </c>
    </row>
    <row r="1088" spans="1:13">
      <c r="E1088" s="21">
        <f t="shared" si="606"/>
        <v>1088</v>
      </c>
      <c r="F1088" s="9" t="s">
        <v>31</v>
      </c>
      <c r="G1088" s="21">
        <v>5</v>
      </c>
      <c r="H1088" s="21">
        <v>72</v>
      </c>
      <c r="L1088" s="9" t="s">
        <v>134</v>
      </c>
      <c r="M1088" s="21">
        <f t="shared" ref="M1088" si="615">(G1088*C1079+(A1079-1)*H1088+H1082*(B1079-1))*-1</f>
        <v>-274</v>
      </c>
    </row>
    <row r="1089" spans="1:13">
      <c r="E1089" s="21">
        <f t="shared" si="606"/>
        <v>1089</v>
      </c>
      <c r="F1089" s="9" t="s">
        <v>30</v>
      </c>
      <c r="M1089" s="21">
        <v>3</v>
      </c>
    </row>
    <row r="1090" spans="1:13">
      <c r="A1090" s="21">
        <f t="shared" ref="A1090:A1153" si="616">QUOTIENT( D1090-1,G1091*H1091)+1</f>
        <v>3</v>
      </c>
      <c r="B1090" s="21">
        <f t="shared" ref="B1090" si="617">QUOTIENT( D1090-1,G1091)+1-(A1090-1)*H1091</f>
        <v>5</v>
      </c>
      <c r="C1090" s="21">
        <f t="shared" ref="C1090" si="618">D1090-(B1090-1)*G1091-((A1090-1)*G1091*H1091)</f>
        <v>3</v>
      </c>
      <c r="D1090" s="21">
        <f>COUNT($D$11:$D1089)+1</f>
        <v>99</v>
      </c>
    </row>
    <row r="1091" spans="1:13">
      <c r="E1091" s="21">
        <f t="shared" si="606"/>
        <v>1091</v>
      </c>
      <c r="F1091" s="9" t="s">
        <v>93</v>
      </c>
      <c r="G1091" s="21">
        <v>6</v>
      </c>
      <c r="H1091" s="21">
        <v>6</v>
      </c>
      <c r="I1091" s="21">
        <v>5</v>
      </c>
      <c r="J1091" s="9" t="s">
        <v>252</v>
      </c>
      <c r="M1091" s="21">
        <f t="shared" ref="M1091:M1154" si="619">J1091+D1090</f>
        <v>20699</v>
      </c>
    </row>
    <row r="1092" spans="1:13">
      <c r="E1092" s="21">
        <f t="shared" si="606"/>
        <v>1092</v>
      </c>
      <c r="F1092" s="9" t="s">
        <v>142</v>
      </c>
      <c r="M1092" s="21">
        <v>199107</v>
      </c>
    </row>
    <row r="1093" spans="1:13">
      <c r="E1093" s="21">
        <f t="shared" si="606"/>
        <v>1093</v>
      </c>
      <c r="F1093" s="9" t="s">
        <v>126</v>
      </c>
      <c r="G1093" s="21">
        <v>5</v>
      </c>
      <c r="H1093" s="21">
        <v>30</v>
      </c>
      <c r="M1093" s="21">
        <f t="shared" ref="M1093" si="620">(MOD(D1090-1,G1091*H1091)+1)*G1093+H1093*(B1090-1)</f>
        <v>255</v>
      </c>
    </row>
    <row r="1094" spans="1:13">
      <c r="E1094" s="21">
        <f t="shared" si="606"/>
        <v>1094</v>
      </c>
      <c r="F1094" s="9" t="s">
        <v>29</v>
      </c>
      <c r="M1094" s="21" t="s">
        <v>246</v>
      </c>
    </row>
    <row r="1095" spans="1:13">
      <c r="E1095" s="21">
        <f t="shared" si="606"/>
        <v>1095</v>
      </c>
      <c r="F1095" s="9" t="s">
        <v>118</v>
      </c>
      <c r="M1095" s="21" t="s">
        <v>248</v>
      </c>
    </row>
    <row r="1096" spans="1:13">
      <c r="E1096" s="21">
        <f t="shared" si="606"/>
        <v>1096</v>
      </c>
      <c r="F1096" s="9" t="s">
        <v>98</v>
      </c>
      <c r="K1096" s="9" t="s">
        <v>137</v>
      </c>
      <c r="M1096" s="21">
        <v>2</v>
      </c>
    </row>
    <row r="1097" spans="1:13">
      <c r="E1097" s="21">
        <f t="shared" si="606"/>
        <v>1097</v>
      </c>
      <c r="F1097" s="9" t="s">
        <v>175</v>
      </c>
      <c r="K1097" s="9" t="s">
        <v>136</v>
      </c>
      <c r="M1097" s="21" t="s">
        <v>250</v>
      </c>
    </row>
    <row r="1098" spans="1:13">
      <c r="E1098" s="21">
        <f t="shared" si="606"/>
        <v>1098</v>
      </c>
      <c r="F1098" s="9" t="s">
        <v>113</v>
      </c>
      <c r="L1098" s="9" t="s">
        <v>134</v>
      </c>
      <c r="M1098" s="21">
        <v>-90</v>
      </c>
    </row>
    <row r="1099" spans="1:13">
      <c r="E1099" s="21">
        <f t="shared" si="606"/>
        <v>1099</v>
      </c>
      <c r="F1099" s="9" t="s">
        <v>31</v>
      </c>
      <c r="G1099" s="21">
        <v>5</v>
      </c>
      <c r="H1099" s="21">
        <v>72</v>
      </c>
      <c r="L1099" s="9" t="s">
        <v>134</v>
      </c>
      <c r="M1099" s="21">
        <f t="shared" ref="M1099" si="621">(G1099*C1090+(A1090-1)*H1099+H1093*(B1090-1))*-1</f>
        <v>-279</v>
      </c>
    </row>
    <row r="1100" spans="1:13">
      <c r="E1100" s="21">
        <f t="shared" si="606"/>
        <v>1100</v>
      </c>
      <c r="F1100" s="9" t="s">
        <v>30</v>
      </c>
      <c r="M1100" s="21">
        <v>3</v>
      </c>
    </row>
    <row r="1101" spans="1:13">
      <c r="A1101" s="21">
        <f t="shared" ref="A1101:A1164" si="622">QUOTIENT( D1101-1,G1102*H1102)+1</f>
        <v>3</v>
      </c>
      <c r="B1101" s="21">
        <f t="shared" ref="B1101" si="623">QUOTIENT( D1101-1,G1102)+1-(A1101-1)*H1102</f>
        <v>5</v>
      </c>
      <c r="C1101" s="21">
        <f t="shared" ref="C1101" si="624">D1101-(B1101-1)*G1102-((A1101-1)*G1102*H1102)</f>
        <v>4</v>
      </c>
      <c r="D1101" s="21">
        <f>COUNT($D$11:$D1100)+1</f>
        <v>100</v>
      </c>
    </row>
    <row r="1102" spans="1:13">
      <c r="E1102" s="21">
        <f t="shared" si="606"/>
        <v>1102</v>
      </c>
      <c r="F1102" s="9" t="s">
        <v>93</v>
      </c>
      <c r="G1102" s="21">
        <v>6</v>
      </c>
      <c r="H1102" s="21">
        <v>6</v>
      </c>
      <c r="I1102" s="21">
        <v>5</v>
      </c>
      <c r="J1102" s="9" t="s">
        <v>252</v>
      </c>
      <c r="M1102" s="21">
        <f t="shared" ref="M1102:M1165" si="625">J1102+D1101</f>
        <v>20700</v>
      </c>
    </row>
    <row r="1103" spans="1:13">
      <c r="E1103" s="21">
        <f t="shared" si="606"/>
        <v>1103</v>
      </c>
      <c r="F1103" s="9" t="s">
        <v>142</v>
      </c>
      <c r="M1103" s="21">
        <v>199107</v>
      </c>
    </row>
    <row r="1104" spans="1:13">
      <c r="E1104" s="21">
        <f t="shared" si="606"/>
        <v>1104</v>
      </c>
      <c r="F1104" s="9" t="s">
        <v>126</v>
      </c>
      <c r="G1104" s="21">
        <v>5</v>
      </c>
      <c r="H1104" s="21">
        <v>30</v>
      </c>
      <c r="M1104" s="21">
        <f t="shared" ref="M1104" si="626">(MOD(D1101-1,G1102*H1102)+1)*G1104+H1104*(B1101-1)</f>
        <v>260</v>
      </c>
    </row>
    <row r="1105" spans="1:13">
      <c r="E1105" s="21">
        <f t="shared" si="606"/>
        <v>1105</v>
      </c>
      <c r="F1105" s="9" t="s">
        <v>29</v>
      </c>
      <c r="M1105" s="21" t="s">
        <v>246</v>
      </c>
    </row>
    <row r="1106" spans="1:13">
      <c r="E1106" s="21">
        <f t="shared" si="606"/>
        <v>1106</v>
      </c>
      <c r="F1106" s="9" t="s">
        <v>118</v>
      </c>
      <c r="M1106" s="21" t="s">
        <v>248</v>
      </c>
    </row>
    <row r="1107" spans="1:13">
      <c r="E1107" s="21">
        <f t="shared" si="606"/>
        <v>1107</v>
      </c>
      <c r="F1107" s="9" t="s">
        <v>98</v>
      </c>
      <c r="K1107" s="9" t="s">
        <v>137</v>
      </c>
      <c r="M1107" s="21">
        <v>2</v>
      </c>
    </row>
    <row r="1108" spans="1:13">
      <c r="E1108" s="21">
        <f t="shared" si="606"/>
        <v>1108</v>
      </c>
      <c r="F1108" s="9" t="s">
        <v>175</v>
      </c>
      <c r="K1108" s="9" t="s">
        <v>136</v>
      </c>
      <c r="M1108" s="21" t="s">
        <v>250</v>
      </c>
    </row>
    <row r="1109" spans="1:13">
      <c r="E1109" s="21">
        <f t="shared" si="606"/>
        <v>1109</v>
      </c>
      <c r="F1109" s="9" t="s">
        <v>113</v>
      </c>
      <c r="L1109" s="9" t="s">
        <v>134</v>
      </c>
      <c r="M1109" s="21">
        <v>-90</v>
      </c>
    </row>
    <row r="1110" spans="1:13">
      <c r="E1110" s="21">
        <f t="shared" si="606"/>
        <v>1110</v>
      </c>
      <c r="F1110" s="9" t="s">
        <v>31</v>
      </c>
      <c r="G1110" s="21">
        <v>5</v>
      </c>
      <c r="H1110" s="21">
        <v>72</v>
      </c>
      <c r="L1110" s="9" t="s">
        <v>134</v>
      </c>
      <c r="M1110" s="21">
        <f t="shared" ref="M1110" si="627">(G1110*C1101+(A1101-1)*H1110+H1104*(B1101-1))*-1</f>
        <v>-284</v>
      </c>
    </row>
    <row r="1111" spans="1:13">
      <c r="E1111" s="21">
        <f t="shared" si="606"/>
        <v>1111</v>
      </c>
      <c r="F1111" s="9" t="s">
        <v>30</v>
      </c>
      <c r="M1111" s="21">
        <v>3</v>
      </c>
    </row>
    <row r="1112" spans="1:13">
      <c r="A1112" s="21">
        <f t="shared" ref="A1112:A1175" si="628">QUOTIENT( D1112-1,G1113*H1113)+1</f>
        <v>3</v>
      </c>
      <c r="B1112" s="21">
        <f t="shared" ref="B1112" si="629">QUOTIENT( D1112-1,G1113)+1-(A1112-1)*H1113</f>
        <v>5</v>
      </c>
      <c r="C1112" s="21">
        <f t="shared" ref="C1112" si="630">D1112-(B1112-1)*G1113-((A1112-1)*G1113*H1113)</f>
        <v>5</v>
      </c>
      <c r="D1112" s="21">
        <f>COUNT($D$11:$D1111)+1</f>
        <v>101</v>
      </c>
    </row>
    <row r="1113" spans="1:13">
      <c r="E1113" s="21">
        <f t="shared" si="606"/>
        <v>1113</v>
      </c>
      <c r="F1113" s="9" t="s">
        <v>93</v>
      </c>
      <c r="G1113" s="21">
        <v>6</v>
      </c>
      <c r="H1113" s="21">
        <v>6</v>
      </c>
      <c r="I1113" s="21">
        <v>5</v>
      </c>
      <c r="J1113" s="9" t="s">
        <v>252</v>
      </c>
      <c r="M1113" s="21">
        <f t="shared" ref="M1113:M1176" si="631">J1113+D1112</f>
        <v>20701</v>
      </c>
    </row>
    <row r="1114" spans="1:13">
      <c r="E1114" s="21">
        <f t="shared" si="606"/>
        <v>1114</v>
      </c>
      <c r="F1114" s="9" t="s">
        <v>142</v>
      </c>
      <c r="M1114" s="21">
        <v>199107</v>
      </c>
    </row>
    <row r="1115" spans="1:13">
      <c r="E1115" s="21">
        <f t="shared" si="606"/>
        <v>1115</v>
      </c>
      <c r="F1115" s="9" t="s">
        <v>126</v>
      </c>
      <c r="G1115" s="21">
        <v>5</v>
      </c>
      <c r="H1115" s="21">
        <v>30</v>
      </c>
      <c r="M1115" s="21">
        <f t="shared" ref="M1115" si="632">(MOD(D1112-1,G1113*H1113)+1)*G1115+H1115*(B1112-1)</f>
        <v>265</v>
      </c>
    </row>
    <row r="1116" spans="1:13">
      <c r="E1116" s="21">
        <f t="shared" si="606"/>
        <v>1116</v>
      </c>
      <c r="F1116" s="9" t="s">
        <v>29</v>
      </c>
      <c r="M1116" s="21" t="s">
        <v>246</v>
      </c>
    </row>
    <row r="1117" spans="1:13">
      <c r="E1117" s="21">
        <f t="shared" si="606"/>
        <v>1117</v>
      </c>
      <c r="F1117" s="9" t="s">
        <v>118</v>
      </c>
      <c r="M1117" s="21" t="s">
        <v>248</v>
      </c>
    </row>
    <row r="1118" spans="1:13">
      <c r="E1118" s="21">
        <f t="shared" si="606"/>
        <v>1118</v>
      </c>
      <c r="F1118" s="9" t="s">
        <v>98</v>
      </c>
      <c r="K1118" s="9" t="s">
        <v>137</v>
      </c>
      <c r="M1118" s="21">
        <v>2</v>
      </c>
    </row>
    <row r="1119" spans="1:13">
      <c r="E1119" s="21">
        <f t="shared" si="606"/>
        <v>1119</v>
      </c>
      <c r="F1119" s="9" t="s">
        <v>175</v>
      </c>
      <c r="K1119" s="9" t="s">
        <v>136</v>
      </c>
      <c r="M1119" s="21" t="s">
        <v>250</v>
      </c>
    </row>
    <row r="1120" spans="1:13">
      <c r="E1120" s="21">
        <f t="shared" si="606"/>
        <v>1120</v>
      </c>
      <c r="F1120" s="9" t="s">
        <v>113</v>
      </c>
      <c r="L1120" s="9" t="s">
        <v>134</v>
      </c>
      <c r="M1120" s="21">
        <v>-90</v>
      </c>
    </row>
    <row r="1121" spans="1:13">
      <c r="E1121" s="21">
        <f t="shared" si="606"/>
        <v>1121</v>
      </c>
      <c r="F1121" s="9" t="s">
        <v>31</v>
      </c>
      <c r="G1121" s="21">
        <v>5</v>
      </c>
      <c r="H1121" s="21">
        <v>72</v>
      </c>
      <c r="L1121" s="9" t="s">
        <v>134</v>
      </c>
      <c r="M1121" s="21">
        <f t="shared" ref="M1121" si="633">(G1121*C1112+(A1112-1)*H1121+H1115*(B1112-1))*-1</f>
        <v>-289</v>
      </c>
    </row>
    <row r="1122" spans="1:13">
      <c r="E1122" s="21">
        <f t="shared" si="606"/>
        <v>1122</v>
      </c>
      <c r="F1122" s="9" t="s">
        <v>30</v>
      </c>
      <c r="M1122" s="21">
        <v>3</v>
      </c>
    </row>
    <row r="1123" spans="1:13">
      <c r="A1123" s="21">
        <f t="shared" ref="A1123:A1186" si="634">QUOTIENT( D1123-1,G1124*H1124)+1</f>
        <v>3</v>
      </c>
      <c r="B1123" s="21">
        <f t="shared" ref="B1123" si="635">QUOTIENT( D1123-1,G1124)+1-(A1123-1)*H1124</f>
        <v>5</v>
      </c>
      <c r="C1123" s="21">
        <f t="shared" ref="C1123" si="636">D1123-(B1123-1)*G1124-((A1123-1)*G1124*H1124)</f>
        <v>6</v>
      </c>
      <c r="D1123" s="21">
        <f>COUNT($D$11:$D1122)+1</f>
        <v>102</v>
      </c>
    </row>
    <row r="1124" spans="1:13">
      <c r="E1124" s="21">
        <f t="shared" si="606"/>
        <v>1124</v>
      </c>
      <c r="F1124" s="9" t="s">
        <v>93</v>
      </c>
      <c r="G1124" s="21">
        <v>6</v>
      </c>
      <c r="H1124" s="21">
        <v>6</v>
      </c>
      <c r="I1124" s="21">
        <v>5</v>
      </c>
      <c r="J1124" s="9" t="s">
        <v>252</v>
      </c>
      <c r="M1124" s="21">
        <f t="shared" ref="M1124:M1187" si="637">J1124+D1123</f>
        <v>20702</v>
      </c>
    </row>
    <row r="1125" spans="1:13">
      <c r="E1125" s="21">
        <f t="shared" si="606"/>
        <v>1125</v>
      </c>
      <c r="F1125" s="9" t="s">
        <v>142</v>
      </c>
      <c r="M1125" s="21">
        <v>199107</v>
      </c>
    </row>
    <row r="1126" spans="1:13">
      <c r="E1126" s="21">
        <f t="shared" si="606"/>
        <v>1126</v>
      </c>
      <c r="F1126" s="9" t="s">
        <v>126</v>
      </c>
      <c r="G1126" s="21">
        <v>5</v>
      </c>
      <c r="H1126" s="21">
        <v>30</v>
      </c>
      <c r="M1126" s="21">
        <f t="shared" ref="M1126" si="638">(MOD(D1123-1,G1124*H1124)+1)*G1126+H1126*(B1123-1)</f>
        <v>270</v>
      </c>
    </row>
    <row r="1127" spans="1:13">
      <c r="E1127" s="21">
        <f t="shared" si="606"/>
        <v>1127</v>
      </c>
      <c r="F1127" s="9" t="s">
        <v>29</v>
      </c>
      <c r="M1127" s="21" t="s">
        <v>246</v>
      </c>
    </row>
    <row r="1128" spans="1:13">
      <c r="E1128" s="21">
        <f t="shared" si="606"/>
        <v>1128</v>
      </c>
      <c r="F1128" s="9" t="s">
        <v>118</v>
      </c>
      <c r="M1128" s="21" t="s">
        <v>248</v>
      </c>
    </row>
    <row r="1129" spans="1:13">
      <c r="E1129" s="21">
        <f t="shared" si="606"/>
        <v>1129</v>
      </c>
      <c r="F1129" s="9" t="s">
        <v>98</v>
      </c>
      <c r="K1129" s="9" t="s">
        <v>137</v>
      </c>
      <c r="M1129" s="21">
        <v>2</v>
      </c>
    </row>
    <row r="1130" spans="1:13">
      <c r="E1130" s="21">
        <f t="shared" si="606"/>
        <v>1130</v>
      </c>
      <c r="F1130" s="9" t="s">
        <v>175</v>
      </c>
      <c r="K1130" s="9" t="s">
        <v>136</v>
      </c>
      <c r="M1130" s="21" t="s">
        <v>250</v>
      </c>
    </row>
    <row r="1131" spans="1:13">
      <c r="E1131" s="21">
        <f t="shared" si="606"/>
        <v>1131</v>
      </c>
      <c r="F1131" s="9" t="s">
        <v>113</v>
      </c>
      <c r="L1131" s="9" t="s">
        <v>134</v>
      </c>
      <c r="M1131" s="21">
        <v>-90</v>
      </c>
    </row>
    <row r="1132" spans="1:13">
      <c r="E1132" s="21">
        <f t="shared" si="606"/>
        <v>1132</v>
      </c>
      <c r="F1132" s="9" t="s">
        <v>31</v>
      </c>
      <c r="G1132" s="21">
        <v>5</v>
      </c>
      <c r="H1132" s="21">
        <v>72</v>
      </c>
      <c r="L1132" s="9" t="s">
        <v>134</v>
      </c>
      <c r="M1132" s="21">
        <f t="shared" ref="M1132" si="639">(G1132*C1123+(A1123-1)*H1132+H1126*(B1123-1))*-1</f>
        <v>-294</v>
      </c>
    </row>
    <row r="1133" spans="1:13">
      <c r="E1133" s="21">
        <f t="shared" ref="E1133:E1196" si="640">ROW(E1133)</f>
        <v>1133</v>
      </c>
      <c r="F1133" s="9" t="s">
        <v>30</v>
      </c>
      <c r="M1133" s="21">
        <v>3</v>
      </c>
    </row>
    <row r="1134" spans="1:13">
      <c r="A1134" s="21">
        <f t="shared" ref="A1134:A1197" si="641">QUOTIENT( D1134-1,G1135*H1135)+1</f>
        <v>3</v>
      </c>
      <c r="B1134" s="21">
        <f t="shared" ref="B1134" si="642">QUOTIENT( D1134-1,G1135)+1-(A1134-1)*H1135</f>
        <v>6</v>
      </c>
      <c r="C1134" s="21">
        <f t="shared" ref="C1134" si="643">D1134-(B1134-1)*G1135-((A1134-1)*G1135*H1135)</f>
        <v>1</v>
      </c>
      <c r="D1134" s="21">
        <f>COUNT($D$11:$D1133)+1</f>
        <v>103</v>
      </c>
    </row>
    <row r="1135" spans="1:13">
      <c r="E1135" s="21">
        <f t="shared" ref="E1135:E1198" si="644">ROW(E1135)</f>
        <v>1135</v>
      </c>
      <c r="F1135" s="9" t="s">
        <v>93</v>
      </c>
      <c r="G1135" s="21">
        <v>6</v>
      </c>
      <c r="H1135" s="21">
        <v>6</v>
      </c>
      <c r="I1135" s="21">
        <v>5</v>
      </c>
      <c r="J1135" s="9" t="s">
        <v>252</v>
      </c>
      <c r="M1135" s="21">
        <f t="shared" ref="M1135:M1198" si="645">J1135+D1134</f>
        <v>20703</v>
      </c>
    </row>
    <row r="1136" spans="1:13">
      <c r="E1136" s="21">
        <f t="shared" si="644"/>
        <v>1136</v>
      </c>
      <c r="F1136" s="9" t="s">
        <v>142</v>
      </c>
      <c r="M1136" s="21">
        <v>199107</v>
      </c>
    </row>
    <row r="1137" spans="1:13">
      <c r="E1137" s="21">
        <f t="shared" si="644"/>
        <v>1137</v>
      </c>
      <c r="F1137" s="9" t="s">
        <v>126</v>
      </c>
      <c r="G1137" s="21">
        <v>5</v>
      </c>
      <c r="H1137" s="21">
        <v>30</v>
      </c>
      <c r="M1137" s="21">
        <f t="shared" ref="M1137" si="646">(MOD(D1134-1,G1135*H1135)+1)*G1137+H1137*(B1134-1)</f>
        <v>305</v>
      </c>
    </row>
    <row r="1138" spans="1:13">
      <c r="E1138" s="21">
        <f t="shared" si="644"/>
        <v>1138</v>
      </c>
      <c r="F1138" s="9" t="s">
        <v>29</v>
      </c>
      <c r="M1138" s="21" t="s">
        <v>246</v>
      </c>
    </row>
    <row r="1139" spans="1:13">
      <c r="E1139" s="21">
        <f t="shared" si="644"/>
        <v>1139</v>
      </c>
      <c r="F1139" s="9" t="s">
        <v>118</v>
      </c>
      <c r="M1139" s="21" t="s">
        <v>248</v>
      </c>
    </row>
    <row r="1140" spans="1:13">
      <c r="E1140" s="21">
        <f t="shared" si="644"/>
        <v>1140</v>
      </c>
      <c r="F1140" s="9" t="s">
        <v>98</v>
      </c>
      <c r="K1140" s="9" t="s">
        <v>137</v>
      </c>
      <c r="M1140" s="21">
        <v>2</v>
      </c>
    </row>
    <row r="1141" spans="1:13">
      <c r="E1141" s="21">
        <f t="shared" si="644"/>
        <v>1141</v>
      </c>
      <c r="F1141" s="9" t="s">
        <v>175</v>
      </c>
      <c r="K1141" s="9" t="s">
        <v>136</v>
      </c>
      <c r="M1141" s="21" t="s">
        <v>250</v>
      </c>
    </row>
    <row r="1142" spans="1:13">
      <c r="E1142" s="21">
        <f t="shared" si="644"/>
        <v>1142</v>
      </c>
      <c r="F1142" s="9" t="s">
        <v>113</v>
      </c>
      <c r="L1142" s="9" t="s">
        <v>134</v>
      </c>
      <c r="M1142" s="21">
        <v>-90</v>
      </c>
    </row>
    <row r="1143" spans="1:13">
      <c r="E1143" s="21">
        <f t="shared" si="644"/>
        <v>1143</v>
      </c>
      <c r="F1143" s="9" t="s">
        <v>31</v>
      </c>
      <c r="G1143" s="21">
        <v>5</v>
      </c>
      <c r="H1143" s="21">
        <v>72</v>
      </c>
      <c r="L1143" s="9" t="s">
        <v>134</v>
      </c>
      <c r="M1143" s="21">
        <f t="shared" ref="M1143" si="647">(G1143*C1134+(A1134-1)*H1143+H1137*(B1134-1))*-1</f>
        <v>-299</v>
      </c>
    </row>
    <row r="1144" spans="1:13">
      <c r="E1144" s="21">
        <f t="shared" si="644"/>
        <v>1144</v>
      </c>
      <c r="F1144" s="9" t="s">
        <v>30</v>
      </c>
      <c r="M1144" s="21">
        <v>3</v>
      </c>
    </row>
    <row r="1145" spans="1:13">
      <c r="A1145" s="21">
        <f t="shared" ref="A1145:A1208" si="648">QUOTIENT( D1145-1,G1146*H1146)+1</f>
        <v>3</v>
      </c>
      <c r="B1145" s="21">
        <f t="shared" ref="B1145" si="649">QUOTIENT( D1145-1,G1146)+1-(A1145-1)*H1146</f>
        <v>6</v>
      </c>
      <c r="C1145" s="21">
        <f t="shared" ref="C1145" si="650">D1145-(B1145-1)*G1146-((A1145-1)*G1146*H1146)</f>
        <v>2</v>
      </c>
      <c r="D1145" s="21">
        <f>COUNT($D$11:$D1144)+1</f>
        <v>104</v>
      </c>
    </row>
    <row r="1146" spans="1:13">
      <c r="E1146" s="21">
        <f t="shared" si="644"/>
        <v>1146</v>
      </c>
      <c r="F1146" s="9" t="s">
        <v>93</v>
      </c>
      <c r="G1146" s="21">
        <v>6</v>
      </c>
      <c r="H1146" s="21">
        <v>6</v>
      </c>
      <c r="I1146" s="21">
        <v>5</v>
      </c>
      <c r="J1146" s="9" t="s">
        <v>252</v>
      </c>
      <c r="M1146" s="21">
        <f t="shared" ref="M1146:M1209" si="651">J1146+D1145</f>
        <v>20704</v>
      </c>
    </row>
    <row r="1147" spans="1:13">
      <c r="E1147" s="21">
        <f t="shared" si="644"/>
        <v>1147</v>
      </c>
      <c r="F1147" s="9" t="s">
        <v>142</v>
      </c>
      <c r="M1147" s="21">
        <v>199107</v>
      </c>
    </row>
    <row r="1148" spans="1:13">
      <c r="E1148" s="21">
        <f t="shared" si="644"/>
        <v>1148</v>
      </c>
      <c r="F1148" s="9" t="s">
        <v>126</v>
      </c>
      <c r="G1148" s="21">
        <v>5</v>
      </c>
      <c r="H1148" s="21">
        <v>30</v>
      </c>
      <c r="M1148" s="21">
        <f t="shared" ref="M1148" si="652">(MOD(D1145-1,G1146*H1146)+1)*G1148+H1148*(B1145-1)</f>
        <v>310</v>
      </c>
    </row>
    <row r="1149" spans="1:13">
      <c r="E1149" s="21">
        <f t="shared" si="644"/>
        <v>1149</v>
      </c>
      <c r="F1149" s="9" t="s">
        <v>29</v>
      </c>
      <c r="M1149" s="21" t="s">
        <v>246</v>
      </c>
    </row>
    <row r="1150" spans="1:13">
      <c r="E1150" s="21">
        <f t="shared" si="644"/>
        <v>1150</v>
      </c>
      <c r="F1150" s="9" t="s">
        <v>118</v>
      </c>
      <c r="M1150" s="21" t="s">
        <v>248</v>
      </c>
    </row>
    <row r="1151" spans="1:13">
      <c r="E1151" s="21">
        <f t="shared" si="644"/>
        <v>1151</v>
      </c>
      <c r="F1151" s="9" t="s">
        <v>98</v>
      </c>
      <c r="K1151" s="9" t="s">
        <v>137</v>
      </c>
      <c r="M1151" s="21">
        <v>2</v>
      </c>
    </row>
    <row r="1152" spans="1:13">
      <c r="E1152" s="21">
        <f t="shared" si="644"/>
        <v>1152</v>
      </c>
      <c r="F1152" s="9" t="s">
        <v>175</v>
      </c>
      <c r="K1152" s="9" t="s">
        <v>136</v>
      </c>
      <c r="M1152" s="21" t="s">
        <v>250</v>
      </c>
    </row>
    <row r="1153" spans="1:13">
      <c r="E1153" s="21">
        <f t="shared" si="644"/>
        <v>1153</v>
      </c>
      <c r="F1153" s="9" t="s">
        <v>113</v>
      </c>
      <c r="L1153" s="9" t="s">
        <v>134</v>
      </c>
      <c r="M1153" s="21">
        <v>-90</v>
      </c>
    </row>
    <row r="1154" spans="1:13">
      <c r="E1154" s="21">
        <f t="shared" si="644"/>
        <v>1154</v>
      </c>
      <c r="F1154" s="9" t="s">
        <v>31</v>
      </c>
      <c r="G1154" s="21">
        <v>5</v>
      </c>
      <c r="H1154" s="21">
        <v>72</v>
      </c>
      <c r="L1154" s="9" t="s">
        <v>134</v>
      </c>
      <c r="M1154" s="21">
        <f t="shared" ref="M1154" si="653">(G1154*C1145+(A1145-1)*H1154+H1148*(B1145-1))*-1</f>
        <v>-304</v>
      </c>
    </row>
    <row r="1155" spans="1:13">
      <c r="E1155" s="21">
        <f t="shared" si="644"/>
        <v>1155</v>
      </c>
      <c r="F1155" s="9" t="s">
        <v>30</v>
      </c>
      <c r="M1155" s="21">
        <v>3</v>
      </c>
    </row>
    <row r="1156" spans="1:13">
      <c r="A1156" s="21">
        <f t="shared" ref="A1156:A1219" si="654">QUOTIENT( D1156-1,G1157*H1157)+1</f>
        <v>3</v>
      </c>
      <c r="B1156" s="21">
        <f t="shared" ref="B1156" si="655">QUOTIENT( D1156-1,G1157)+1-(A1156-1)*H1157</f>
        <v>6</v>
      </c>
      <c r="C1156" s="21">
        <f t="shared" ref="C1156" si="656">D1156-(B1156-1)*G1157-((A1156-1)*G1157*H1157)</f>
        <v>3</v>
      </c>
      <c r="D1156" s="21">
        <f>COUNT($D$11:$D1155)+1</f>
        <v>105</v>
      </c>
    </row>
    <row r="1157" spans="1:13">
      <c r="E1157" s="21">
        <f t="shared" si="644"/>
        <v>1157</v>
      </c>
      <c r="F1157" s="9" t="s">
        <v>93</v>
      </c>
      <c r="G1157" s="21">
        <v>6</v>
      </c>
      <c r="H1157" s="21">
        <v>6</v>
      </c>
      <c r="I1157" s="21">
        <v>5</v>
      </c>
      <c r="J1157" s="9" t="s">
        <v>252</v>
      </c>
      <c r="M1157" s="21">
        <f t="shared" ref="M1157:M1220" si="657">J1157+D1156</f>
        <v>20705</v>
      </c>
    </row>
    <row r="1158" spans="1:13">
      <c r="E1158" s="21">
        <f t="shared" si="644"/>
        <v>1158</v>
      </c>
      <c r="F1158" s="9" t="s">
        <v>142</v>
      </c>
      <c r="M1158" s="21">
        <v>199107</v>
      </c>
    </row>
    <row r="1159" spans="1:13">
      <c r="E1159" s="21">
        <f t="shared" si="644"/>
        <v>1159</v>
      </c>
      <c r="F1159" s="9" t="s">
        <v>126</v>
      </c>
      <c r="G1159" s="21">
        <v>5</v>
      </c>
      <c r="H1159" s="21">
        <v>30</v>
      </c>
      <c r="M1159" s="21">
        <f t="shared" ref="M1159" si="658">(MOD(D1156-1,G1157*H1157)+1)*G1159+H1159*(B1156-1)</f>
        <v>315</v>
      </c>
    </row>
    <row r="1160" spans="1:13">
      <c r="E1160" s="21">
        <f t="shared" si="644"/>
        <v>1160</v>
      </c>
      <c r="F1160" s="9" t="s">
        <v>29</v>
      </c>
      <c r="M1160" s="21" t="s">
        <v>246</v>
      </c>
    </row>
    <row r="1161" spans="1:13">
      <c r="E1161" s="21">
        <f t="shared" si="644"/>
        <v>1161</v>
      </c>
      <c r="F1161" s="9" t="s">
        <v>118</v>
      </c>
      <c r="M1161" s="21" t="s">
        <v>248</v>
      </c>
    </row>
    <row r="1162" spans="1:13">
      <c r="E1162" s="21">
        <f t="shared" si="644"/>
        <v>1162</v>
      </c>
      <c r="F1162" s="9" t="s">
        <v>98</v>
      </c>
      <c r="K1162" s="9" t="s">
        <v>137</v>
      </c>
      <c r="M1162" s="21">
        <v>2</v>
      </c>
    </row>
    <row r="1163" spans="1:13">
      <c r="E1163" s="21">
        <f t="shared" si="644"/>
        <v>1163</v>
      </c>
      <c r="F1163" s="9" t="s">
        <v>175</v>
      </c>
      <c r="K1163" s="9" t="s">
        <v>136</v>
      </c>
      <c r="M1163" s="21" t="s">
        <v>250</v>
      </c>
    </row>
    <row r="1164" spans="1:13">
      <c r="E1164" s="21">
        <f t="shared" si="644"/>
        <v>1164</v>
      </c>
      <c r="F1164" s="9" t="s">
        <v>113</v>
      </c>
      <c r="L1164" s="9" t="s">
        <v>134</v>
      </c>
      <c r="M1164" s="21">
        <v>-90</v>
      </c>
    </row>
    <row r="1165" spans="1:13">
      <c r="E1165" s="21">
        <f t="shared" si="644"/>
        <v>1165</v>
      </c>
      <c r="F1165" s="9" t="s">
        <v>31</v>
      </c>
      <c r="G1165" s="21">
        <v>5</v>
      </c>
      <c r="H1165" s="21">
        <v>72</v>
      </c>
      <c r="L1165" s="9" t="s">
        <v>134</v>
      </c>
      <c r="M1165" s="21">
        <f t="shared" ref="M1165" si="659">(G1165*C1156+(A1156-1)*H1165+H1159*(B1156-1))*-1</f>
        <v>-309</v>
      </c>
    </row>
    <row r="1166" spans="1:13">
      <c r="E1166" s="21">
        <f t="shared" si="644"/>
        <v>1166</v>
      </c>
      <c r="F1166" s="9" t="s">
        <v>30</v>
      </c>
      <c r="M1166" s="21">
        <v>3</v>
      </c>
    </row>
    <row r="1167" spans="1:13">
      <c r="A1167" s="21">
        <f t="shared" ref="A1167:A1230" si="660">QUOTIENT( D1167-1,G1168*H1168)+1</f>
        <v>3</v>
      </c>
      <c r="B1167" s="21">
        <f t="shared" ref="B1167" si="661">QUOTIENT( D1167-1,G1168)+1-(A1167-1)*H1168</f>
        <v>6</v>
      </c>
      <c r="C1167" s="21">
        <f t="shared" ref="C1167" si="662">D1167-(B1167-1)*G1168-((A1167-1)*G1168*H1168)</f>
        <v>4</v>
      </c>
      <c r="D1167" s="21">
        <f>COUNT($D$11:$D1166)+1</f>
        <v>106</v>
      </c>
    </row>
    <row r="1168" spans="1:13">
      <c r="E1168" s="21">
        <f t="shared" si="644"/>
        <v>1168</v>
      </c>
      <c r="F1168" s="9" t="s">
        <v>93</v>
      </c>
      <c r="G1168" s="21">
        <v>6</v>
      </c>
      <c r="H1168" s="21">
        <v>6</v>
      </c>
      <c r="I1168" s="21">
        <v>5</v>
      </c>
      <c r="J1168" s="9" t="s">
        <v>252</v>
      </c>
      <c r="M1168" s="21">
        <f t="shared" ref="M1168:M1231" si="663">J1168+D1167</f>
        <v>20706</v>
      </c>
    </row>
    <row r="1169" spans="1:13">
      <c r="E1169" s="21">
        <f t="shared" si="644"/>
        <v>1169</v>
      </c>
      <c r="F1169" s="9" t="s">
        <v>142</v>
      </c>
      <c r="M1169" s="21">
        <v>199107</v>
      </c>
    </row>
    <row r="1170" spans="1:13">
      <c r="E1170" s="21">
        <f t="shared" si="644"/>
        <v>1170</v>
      </c>
      <c r="F1170" s="9" t="s">
        <v>126</v>
      </c>
      <c r="G1170" s="21">
        <v>5</v>
      </c>
      <c r="H1170" s="21">
        <v>30</v>
      </c>
      <c r="M1170" s="21">
        <f t="shared" ref="M1170" si="664">(MOD(D1167-1,G1168*H1168)+1)*G1170+H1170*(B1167-1)</f>
        <v>320</v>
      </c>
    </row>
    <row r="1171" spans="1:13">
      <c r="E1171" s="21">
        <f t="shared" si="644"/>
        <v>1171</v>
      </c>
      <c r="F1171" s="9" t="s">
        <v>29</v>
      </c>
      <c r="M1171" s="21" t="s">
        <v>246</v>
      </c>
    </row>
    <row r="1172" spans="1:13">
      <c r="E1172" s="21">
        <f t="shared" si="644"/>
        <v>1172</v>
      </c>
      <c r="F1172" s="9" t="s">
        <v>118</v>
      </c>
      <c r="M1172" s="21" t="s">
        <v>248</v>
      </c>
    </row>
    <row r="1173" spans="1:13">
      <c r="E1173" s="21">
        <f t="shared" si="644"/>
        <v>1173</v>
      </c>
      <c r="F1173" s="9" t="s">
        <v>98</v>
      </c>
      <c r="K1173" s="9" t="s">
        <v>137</v>
      </c>
      <c r="M1173" s="21">
        <v>2</v>
      </c>
    </row>
    <row r="1174" spans="1:13">
      <c r="E1174" s="21">
        <f t="shared" si="644"/>
        <v>1174</v>
      </c>
      <c r="F1174" s="9" t="s">
        <v>175</v>
      </c>
      <c r="K1174" s="9" t="s">
        <v>136</v>
      </c>
      <c r="M1174" s="21" t="s">
        <v>250</v>
      </c>
    </row>
    <row r="1175" spans="1:13">
      <c r="E1175" s="21">
        <f t="shared" si="644"/>
        <v>1175</v>
      </c>
      <c r="F1175" s="9" t="s">
        <v>113</v>
      </c>
      <c r="L1175" s="9" t="s">
        <v>134</v>
      </c>
      <c r="M1175" s="21">
        <v>-90</v>
      </c>
    </row>
    <row r="1176" spans="1:13">
      <c r="E1176" s="21">
        <f t="shared" si="644"/>
        <v>1176</v>
      </c>
      <c r="F1176" s="9" t="s">
        <v>31</v>
      </c>
      <c r="G1176" s="21">
        <v>5</v>
      </c>
      <c r="H1176" s="21">
        <v>72</v>
      </c>
      <c r="L1176" s="9" t="s">
        <v>134</v>
      </c>
      <c r="M1176" s="21">
        <f t="shared" ref="M1176" si="665">(G1176*C1167+(A1167-1)*H1176+H1170*(B1167-1))*-1</f>
        <v>-314</v>
      </c>
    </row>
    <row r="1177" spans="1:13">
      <c r="E1177" s="21">
        <f t="shared" si="644"/>
        <v>1177</v>
      </c>
      <c r="F1177" s="9" t="s">
        <v>30</v>
      </c>
      <c r="M1177" s="21">
        <v>3</v>
      </c>
    </row>
    <row r="1178" spans="1:13">
      <c r="A1178" s="21">
        <f t="shared" ref="A1178:A1241" si="666">QUOTIENT( D1178-1,G1179*H1179)+1</f>
        <v>3</v>
      </c>
      <c r="B1178" s="21">
        <f t="shared" ref="B1178" si="667">QUOTIENT( D1178-1,G1179)+1-(A1178-1)*H1179</f>
        <v>6</v>
      </c>
      <c r="C1178" s="21">
        <f t="shared" ref="C1178" si="668">D1178-(B1178-1)*G1179-((A1178-1)*G1179*H1179)</f>
        <v>5</v>
      </c>
      <c r="D1178" s="21">
        <f>COUNT($D$11:$D1177)+1</f>
        <v>107</v>
      </c>
    </row>
    <row r="1179" spans="1:13">
      <c r="E1179" s="21">
        <f t="shared" si="644"/>
        <v>1179</v>
      </c>
      <c r="F1179" s="9" t="s">
        <v>93</v>
      </c>
      <c r="G1179" s="21">
        <v>6</v>
      </c>
      <c r="H1179" s="21">
        <v>6</v>
      </c>
      <c r="I1179" s="21">
        <v>5</v>
      </c>
      <c r="J1179" s="9" t="s">
        <v>252</v>
      </c>
      <c r="M1179" s="21">
        <f t="shared" ref="M1179:M1242" si="669">J1179+D1178</f>
        <v>20707</v>
      </c>
    </row>
    <row r="1180" spans="1:13">
      <c r="E1180" s="21">
        <f t="shared" si="644"/>
        <v>1180</v>
      </c>
      <c r="F1180" s="9" t="s">
        <v>142</v>
      </c>
      <c r="M1180" s="21">
        <v>199107</v>
      </c>
    </row>
    <row r="1181" spans="1:13">
      <c r="E1181" s="21">
        <f t="shared" si="644"/>
        <v>1181</v>
      </c>
      <c r="F1181" s="9" t="s">
        <v>126</v>
      </c>
      <c r="G1181" s="21">
        <v>5</v>
      </c>
      <c r="H1181" s="21">
        <v>30</v>
      </c>
      <c r="M1181" s="21">
        <f t="shared" ref="M1181" si="670">(MOD(D1178-1,G1179*H1179)+1)*G1181+H1181*(B1178-1)</f>
        <v>325</v>
      </c>
    </row>
    <row r="1182" spans="1:13">
      <c r="E1182" s="21">
        <f t="shared" si="644"/>
        <v>1182</v>
      </c>
      <c r="F1182" s="9" t="s">
        <v>29</v>
      </c>
      <c r="M1182" s="21" t="s">
        <v>246</v>
      </c>
    </row>
    <row r="1183" spans="1:13">
      <c r="E1183" s="21">
        <f t="shared" si="644"/>
        <v>1183</v>
      </c>
      <c r="F1183" s="9" t="s">
        <v>118</v>
      </c>
      <c r="M1183" s="21" t="s">
        <v>248</v>
      </c>
    </row>
    <row r="1184" spans="1:13">
      <c r="E1184" s="21">
        <f t="shared" si="644"/>
        <v>1184</v>
      </c>
      <c r="F1184" s="9" t="s">
        <v>98</v>
      </c>
      <c r="K1184" s="9" t="s">
        <v>137</v>
      </c>
      <c r="M1184" s="21">
        <v>2</v>
      </c>
    </row>
    <row r="1185" spans="1:13">
      <c r="E1185" s="21">
        <f t="shared" si="644"/>
        <v>1185</v>
      </c>
      <c r="F1185" s="9" t="s">
        <v>175</v>
      </c>
      <c r="K1185" s="9" t="s">
        <v>136</v>
      </c>
      <c r="M1185" s="21" t="s">
        <v>250</v>
      </c>
    </row>
    <row r="1186" spans="1:13">
      <c r="E1186" s="21">
        <f t="shared" si="644"/>
        <v>1186</v>
      </c>
      <c r="F1186" s="9" t="s">
        <v>113</v>
      </c>
      <c r="L1186" s="9" t="s">
        <v>134</v>
      </c>
      <c r="M1186" s="21">
        <v>-90</v>
      </c>
    </row>
    <row r="1187" spans="1:13">
      <c r="E1187" s="21">
        <f t="shared" si="644"/>
        <v>1187</v>
      </c>
      <c r="F1187" s="9" t="s">
        <v>31</v>
      </c>
      <c r="G1187" s="21">
        <v>5</v>
      </c>
      <c r="H1187" s="21">
        <v>72</v>
      </c>
      <c r="L1187" s="9" t="s">
        <v>134</v>
      </c>
      <c r="M1187" s="21">
        <f t="shared" ref="M1187" si="671">(G1187*C1178+(A1178-1)*H1187+H1181*(B1178-1))*-1</f>
        <v>-319</v>
      </c>
    </row>
    <row r="1188" spans="1:13">
      <c r="E1188" s="21">
        <f t="shared" si="644"/>
        <v>1188</v>
      </c>
      <c r="F1188" s="9" t="s">
        <v>30</v>
      </c>
      <c r="M1188" s="21">
        <v>3</v>
      </c>
    </row>
    <row r="1189" spans="1:13">
      <c r="A1189" s="21">
        <f t="shared" ref="A1189:A1252" si="672">QUOTIENT( D1189-1,G1190*H1190)+1</f>
        <v>3</v>
      </c>
      <c r="B1189" s="21">
        <f t="shared" ref="B1189" si="673">QUOTIENT( D1189-1,G1190)+1-(A1189-1)*H1190</f>
        <v>6</v>
      </c>
      <c r="C1189" s="21">
        <f t="shared" ref="C1189" si="674">D1189-(B1189-1)*G1190-((A1189-1)*G1190*H1190)</f>
        <v>6</v>
      </c>
      <c r="D1189" s="21">
        <f>COUNT($D$11:$D1188)+1</f>
        <v>108</v>
      </c>
    </row>
    <row r="1190" spans="1:13">
      <c r="E1190" s="21">
        <f t="shared" si="644"/>
        <v>1190</v>
      </c>
      <c r="F1190" s="9" t="s">
        <v>93</v>
      </c>
      <c r="G1190" s="21">
        <v>6</v>
      </c>
      <c r="H1190" s="21">
        <v>6</v>
      </c>
      <c r="I1190" s="21">
        <v>5</v>
      </c>
      <c r="J1190" s="9" t="s">
        <v>252</v>
      </c>
      <c r="M1190" s="21">
        <f t="shared" ref="M1190:M1253" si="675">J1190+D1189</f>
        <v>20708</v>
      </c>
    </row>
    <row r="1191" spans="1:13">
      <c r="E1191" s="21">
        <f t="shared" si="644"/>
        <v>1191</v>
      </c>
      <c r="F1191" s="9" t="s">
        <v>142</v>
      </c>
      <c r="M1191" s="21">
        <v>199107</v>
      </c>
    </row>
    <row r="1192" spans="1:13">
      <c r="E1192" s="21">
        <f t="shared" si="644"/>
        <v>1192</v>
      </c>
      <c r="F1192" s="9" t="s">
        <v>126</v>
      </c>
      <c r="G1192" s="21">
        <v>5</v>
      </c>
      <c r="H1192" s="21">
        <v>30</v>
      </c>
      <c r="M1192" s="21">
        <f t="shared" ref="M1192" si="676">(MOD(D1189-1,G1190*H1190)+1)*G1192+H1192*(B1189-1)</f>
        <v>330</v>
      </c>
    </row>
    <row r="1193" spans="1:13">
      <c r="E1193" s="21">
        <f t="shared" si="644"/>
        <v>1193</v>
      </c>
      <c r="F1193" s="9" t="s">
        <v>29</v>
      </c>
      <c r="M1193" s="21" t="s">
        <v>246</v>
      </c>
    </row>
    <row r="1194" spans="1:13">
      <c r="E1194" s="21">
        <f t="shared" si="644"/>
        <v>1194</v>
      </c>
      <c r="F1194" s="9" t="s">
        <v>118</v>
      </c>
      <c r="M1194" s="21" t="s">
        <v>248</v>
      </c>
    </row>
    <row r="1195" spans="1:13">
      <c r="E1195" s="21">
        <f t="shared" si="644"/>
        <v>1195</v>
      </c>
      <c r="F1195" s="9" t="s">
        <v>98</v>
      </c>
      <c r="K1195" s="9" t="s">
        <v>137</v>
      </c>
      <c r="M1195" s="21">
        <v>2</v>
      </c>
    </row>
    <row r="1196" spans="1:13">
      <c r="E1196" s="21">
        <f t="shared" si="644"/>
        <v>1196</v>
      </c>
      <c r="F1196" s="9" t="s">
        <v>175</v>
      </c>
      <c r="K1196" s="9" t="s">
        <v>136</v>
      </c>
      <c r="M1196" s="21" t="s">
        <v>250</v>
      </c>
    </row>
    <row r="1197" spans="1:13">
      <c r="E1197" s="21">
        <f t="shared" si="644"/>
        <v>1197</v>
      </c>
      <c r="F1197" s="9" t="s">
        <v>113</v>
      </c>
      <c r="L1197" s="9" t="s">
        <v>134</v>
      </c>
      <c r="M1197" s="21">
        <v>-90</v>
      </c>
    </row>
    <row r="1198" spans="1:13">
      <c r="E1198" s="21">
        <f t="shared" si="644"/>
        <v>1198</v>
      </c>
      <c r="F1198" s="9" t="s">
        <v>31</v>
      </c>
      <c r="G1198" s="21">
        <v>5</v>
      </c>
      <c r="H1198" s="21">
        <v>72</v>
      </c>
      <c r="L1198" s="9" t="s">
        <v>134</v>
      </c>
      <c r="M1198" s="21">
        <f t="shared" ref="M1198" si="677">(G1198*C1189+(A1189-1)*H1198+H1192*(B1189-1))*-1</f>
        <v>-324</v>
      </c>
    </row>
    <row r="1199" spans="1:13">
      <c r="E1199" s="21">
        <f t="shared" ref="E1199:E1262" si="678">ROW(E1199)</f>
        <v>1199</v>
      </c>
      <c r="F1199" s="9" t="s">
        <v>30</v>
      </c>
      <c r="M1199" s="21">
        <v>3</v>
      </c>
    </row>
    <row r="1200" spans="1:13">
      <c r="A1200" s="21">
        <f t="shared" ref="A1200:A1263" si="679">QUOTIENT( D1200-1,G1201*H1201)+1</f>
        <v>4</v>
      </c>
      <c r="B1200" s="21">
        <f t="shared" ref="B1200" si="680">QUOTIENT( D1200-1,G1201)+1-(A1200-1)*H1201</f>
        <v>1</v>
      </c>
      <c r="C1200" s="21">
        <f t="shared" ref="C1200" si="681">D1200-(B1200-1)*G1201-((A1200-1)*G1201*H1201)</f>
        <v>1</v>
      </c>
      <c r="D1200" s="21">
        <f>COUNT($D$11:$D1199)+1</f>
        <v>109</v>
      </c>
    </row>
    <row r="1201" spans="1:13">
      <c r="E1201" s="21">
        <f t="shared" ref="E1201:E1264" si="682">ROW(E1201)</f>
        <v>1201</v>
      </c>
      <c r="F1201" s="9" t="s">
        <v>93</v>
      </c>
      <c r="G1201" s="21">
        <v>6</v>
      </c>
      <c r="H1201" s="21">
        <v>6</v>
      </c>
      <c r="I1201" s="21">
        <v>5</v>
      </c>
      <c r="J1201" s="9" t="s">
        <v>252</v>
      </c>
      <c r="M1201" s="21">
        <f t="shared" ref="M1201:M1264" si="683">J1201+D1200</f>
        <v>20709</v>
      </c>
    </row>
    <row r="1202" spans="1:13">
      <c r="E1202" s="21">
        <f t="shared" si="682"/>
        <v>1202</v>
      </c>
      <c r="F1202" s="9" t="s">
        <v>142</v>
      </c>
      <c r="M1202" s="21">
        <v>199107</v>
      </c>
    </row>
    <row r="1203" spans="1:13">
      <c r="E1203" s="21">
        <f t="shared" si="682"/>
        <v>1203</v>
      </c>
      <c r="F1203" s="9" t="s">
        <v>126</v>
      </c>
      <c r="G1203" s="21">
        <v>5</v>
      </c>
      <c r="H1203" s="21">
        <v>30</v>
      </c>
      <c r="M1203" s="21">
        <f t="shared" ref="M1203" si="684">(MOD(D1200-1,G1201*H1201)+1)*G1203+H1203*(B1200-1)</f>
        <v>5</v>
      </c>
    </row>
    <row r="1204" spans="1:13">
      <c r="E1204" s="21">
        <f t="shared" si="682"/>
        <v>1204</v>
      </c>
      <c r="F1204" s="9" t="s">
        <v>29</v>
      </c>
      <c r="M1204" s="21" t="s">
        <v>246</v>
      </c>
    </row>
    <row r="1205" spans="1:13">
      <c r="E1205" s="21">
        <f t="shared" si="682"/>
        <v>1205</v>
      </c>
      <c r="F1205" s="9" t="s">
        <v>118</v>
      </c>
      <c r="M1205" s="21" t="s">
        <v>248</v>
      </c>
    </row>
    <row r="1206" spans="1:13">
      <c r="E1206" s="21">
        <f t="shared" si="682"/>
        <v>1206</v>
      </c>
      <c r="F1206" s="9" t="s">
        <v>98</v>
      </c>
      <c r="K1206" s="9" t="s">
        <v>137</v>
      </c>
      <c r="M1206" s="21">
        <v>2</v>
      </c>
    </row>
    <row r="1207" spans="1:13">
      <c r="E1207" s="21">
        <f t="shared" si="682"/>
        <v>1207</v>
      </c>
      <c r="F1207" s="9" t="s">
        <v>175</v>
      </c>
      <c r="K1207" s="9" t="s">
        <v>136</v>
      </c>
      <c r="M1207" s="21" t="s">
        <v>250</v>
      </c>
    </row>
    <row r="1208" spans="1:13">
      <c r="E1208" s="21">
        <f t="shared" si="682"/>
        <v>1208</v>
      </c>
      <c r="F1208" s="9" t="s">
        <v>113</v>
      </c>
      <c r="L1208" s="9" t="s">
        <v>134</v>
      </c>
      <c r="M1208" s="21">
        <v>-90</v>
      </c>
    </row>
    <row r="1209" spans="1:13">
      <c r="E1209" s="21">
        <f t="shared" si="682"/>
        <v>1209</v>
      </c>
      <c r="F1209" s="9" t="s">
        <v>31</v>
      </c>
      <c r="G1209" s="21">
        <v>5</v>
      </c>
      <c r="H1209" s="21">
        <v>72</v>
      </c>
      <c r="L1209" s="9" t="s">
        <v>134</v>
      </c>
      <c r="M1209" s="21">
        <f t="shared" ref="M1209" si="685">(G1209*C1200+(A1200-1)*H1209+H1203*(B1200-1))*-1</f>
        <v>-221</v>
      </c>
    </row>
    <row r="1210" spans="1:13">
      <c r="E1210" s="21">
        <f t="shared" si="682"/>
        <v>1210</v>
      </c>
      <c r="F1210" s="9" t="s">
        <v>30</v>
      </c>
      <c r="M1210" s="21">
        <v>3</v>
      </c>
    </row>
    <row r="1211" spans="1:13">
      <c r="A1211" s="21">
        <f t="shared" ref="A1211:A1274" si="686">QUOTIENT( D1211-1,G1212*H1212)+1</f>
        <v>4</v>
      </c>
      <c r="B1211" s="21">
        <f t="shared" ref="B1211" si="687">QUOTIENT( D1211-1,G1212)+1-(A1211-1)*H1212</f>
        <v>1</v>
      </c>
      <c r="C1211" s="21">
        <f t="shared" ref="C1211" si="688">D1211-(B1211-1)*G1212-((A1211-1)*G1212*H1212)</f>
        <v>2</v>
      </c>
      <c r="D1211" s="21">
        <f>COUNT($D$11:$D1210)+1</f>
        <v>110</v>
      </c>
    </row>
    <row r="1212" spans="1:13">
      <c r="E1212" s="21">
        <f t="shared" si="682"/>
        <v>1212</v>
      </c>
      <c r="F1212" s="9" t="s">
        <v>93</v>
      </c>
      <c r="G1212" s="21">
        <v>6</v>
      </c>
      <c r="H1212" s="21">
        <v>6</v>
      </c>
      <c r="I1212" s="21">
        <v>5</v>
      </c>
      <c r="J1212" s="9" t="s">
        <v>252</v>
      </c>
      <c r="M1212" s="21">
        <f t="shared" ref="M1212:M1275" si="689">J1212+D1211</f>
        <v>20710</v>
      </c>
    </row>
    <row r="1213" spans="1:13">
      <c r="E1213" s="21">
        <f t="shared" si="682"/>
        <v>1213</v>
      </c>
      <c r="F1213" s="9" t="s">
        <v>142</v>
      </c>
      <c r="M1213" s="21">
        <v>199107</v>
      </c>
    </row>
    <row r="1214" spans="1:13">
      <c r="E1214" s="21">
        <f t="shared" si="682"/>
        <v>1214</v>
      </c>
      <c r="F1214" s="9" t="s">
        <v>126</v>
      </c>
      <c r="G1214" s="21">
        <v>5</v>
      </c>
      <c r="H1214" s="21">
        <v>30</v>
      </c>
      <c r="M1214" s="21">
        <f t="shared" ref="M1214" si="690">(MOD(D1211-1,G1212*H1212)+1)*G1214+H1214*(B1211-1)</f>
        <v>10</v>
      </c>
    </row>
    <row r="1215" spans="1:13">
      <c r="E1215" s="21">
        <f t="shared" si="682"/>
        <v>1215</v>
      </c>
      <c r="F1215" s="9" t="s">
        <v>29</v>
      </c>
      <c r="M1215" s="21" t="s">
        <v>246</v>
      </c>
    </row>
    <row r="1216" spans="1:13">
      <c r="E1216" s="21">
        <f t="shared" si="682"/>
        <v>1216</v>
      </c>
      <c r="F1216" s="9" t="s">
        <v>118</v>
      </c>
      <c r="M1216" s="21" t="s">
        <v>248</v>
      </c>
    </row>
    <row r="1217" spans="1:13">
      <c r="E1217" s="21">
        <f t="shared" si="682"/>
        <v>1217</v>
      </c>
      <c r="F1217" s="9" t="s">
        <v>98</v>
      </c>
      <c r="K1217" s="9" t="s">
        <v>137</v>
      </c>
      <c r="M1217" s="21">
        <v>2</v>
      </c>
    </row>
    <row r="1218" spans="1:13">
      <c r="E1218" s="21">
        <f t="shared" si="682"/>
        <v>1218</v>
      </c>
      <c r="F1218" s="9" t="s">
        <v>175</v>
      </c>
      <c r="K1218" s="9" t="s">
        <v>136</v>
      </c>
      <c r="M1218" s="21" t="s">
        <v>250</v>
      </c>
    </row>
    <row r="1219" spans="1:13">
      <c r="E1219" s="21">
        <f t="shared" si="682"/>
        <v>1219</v>
      </c>
      <c r="F1219" s="9" t="s">
        <v>113</v>
      </c>
      <c r="L1219" s="9" t="s">
        <v>134</v>
      </c>
      <c r="M1219" s="21">
        <v>-90</v>
      </c>
    </row>
    <row r="1220" spans="1:13">
      <c r="E1220" s="21">
        <f t="shared" si="682"/>
        <v>1220</v>
      </c>
      <c r="F1220" s="9" t="s">
        <v>31</v>
      </c>
      <c r="G1220" s="21">
        <v>5</v>
      </c>
      <c r="H1220" s="21">
        <v>72</v>
      </c>
      <c r="L1220" s="9" t="s">
        <v>134</v>
      </c>
      <c r="M1220" s="21">
        <f t="shared" ref="M1220" si="691">(G1220*C1211+(A1211-1)*H1220+H1214*(B1211-1))*-1</f>
        <v>-226</v>
      </c>
    </row>
    <row r="1221" spans="1:13">
      <c r="E1221" s="21">
        <f t="shared" si="682"/>
        <v>1221</v>
      </c>
      <c r="F1221" s="9" t="s">
        <v>30</v>
      </c>
      <c r="M1221" s="21">
        <v>3</v>
      </c>
    </row>
    <row r="1222" spans="1:13">
      <c r="A1222" s="21">
        <f t="shared" ref="A1222:A1285" si="692">QUOTIENT( D1222-1,G1223*H1223)+1</f>
        <v>4</v>
      </c>
      <c r="B1222" s="21">
        <f t="shared" ref="B1222" si="693">QUOTIENT( D1222-1,G1223)+1-(A1222-1)*H1223</f>
        <v>1</v>
      </c>
      <c r="C1222" s="21">
        <f t="shared" ref="C1222" si="694">D1222-(B1222-1)*G1223-((A1222-1)*G1223*H1223)</f>
        <v>3</v>
      </c>
      <c r="D1222" s="21">
        <f>COUNT($D$11:$D1221)+1</f>
        <v>111</v>
      </c>
    </row>
    <row r="1223" spans="1:13">
      <c r="E1223" s="21">
        <f t="shared" si="682"/>
        <v>1223</v>
      </c>
      <c r="F1223" s="9" t="s">
        <v>93</v>
      </c>
      <c r="G1223" s="21">
        <v>6</v>
      </c>
      <c r="H1223" s="21">
        <v>6</v>
      </c>
      <c r="I1223" s="21">
        <v>5</v>
      </c>
      <c r="J1223" s="9" t="s">
        <v>252</v>
      </c>
      <c r="M1223" s="21">
        <f t="shared" ref="M1223:M1286" si="695">J1223+D1222</f>
        <v>20711</v>
      </c>
    </row>
    <row r="1224" spans="1:13">
      <c r="E1224" s="21">
        <f t="shared" si="682"/>
        <v>1224</v>
      </c>
      <c r="F1224" s="9" t="s">
        <v>142</v>
      </c>
      <c r="M1224" s="21">
        <v>199107</v>
      </c>
    </row>
    <row r="1225" spans="1:13">
      <c r="E1225" s="21">
        <f t="shared" si="682"/>
        <v>1225</v>
      </c>
      <c r="F1225" s="9" t="s">
        <v>126</v>
      </c>
      <c r="G1225" s="21">
        <v>5</v>
      </c>
      <c r="H1225" s="21">
        <v>30</v>
      </c>
      <c r="M1225" s="21">
        <f t="shared" ref="M1225" si="696">(MOD(D1222-1,G1223*H1223)+1)*G1225+H1225*(B1222-1)</f>
        <v>15</v>
      </c>
    </row>
    <row r="1226" spans="1:13">
      <c r="E1226" s="21">
        <f t="shared" si="682"/>
        <v>1226</v>
      </c>
      <c r="F1226" s="9" t="s">
        <v>29</v>
      </c>
      <c r="M1226" s="21" t="s">
        <v>246</v>
      </c>
    </row>
    <row r="1227" spans="1:13">
      <c r="E1227" s="21">
        <f t="shared" si="682"/>
        <v>1227</v>
      </c>
      <c r="F1227" s="9" t="s">
        <v>118</v>
      </c>
      <c r="M1227" s="21" t="s">
        <v>248</v>
      </c>
    </row>
    <row r="1228" spans="1:13">
      <c r="E1228" s="21">
        <f t="shared" si="682"/>
        <v>1228</v>
      </c>
      <c r="F1228" s="9" t="s">
        <v>98</v>
      </c>
      <c r="K1228" s="9" t="s">
        <v>137</v>
      </c>
      <c r="M1228" s="21">
        <v>2</v>
      </c>
    </row>
    <row r="1229" spans="1:13">
      <c r="E1229" s="21">
        <f t="shared" si="682"/>
        <v>1229</v>
      </c>
      <c r="F1229" s="9" t="s">
        <v>175</v>
      </c>
      <c r="K1229" s="9" t="s">
        <v>136</v>
      </c>
      <c r="M1229" s="21" t="s">
        <v>250</v>
      </c>
    </row>
    <row r="1230" spans="1:13">
      <c r="E1230" s="21">
        <f t="shared" si="682"/>
        <v>1230</v>
      </c>
      <c r="F1230" s="9" t="s">
        <v>113</v>
      </c>
      <c r="L1230" s="9" t="s">
        <v>134</v>
      </c>
      <c r="M1230" s="21">
        <v>-90</v>
      </c>
    </row>
    <row r="1231" spans="1:13">
      <c r="E1231" s="21">
        <f t="shared" si="682"/>
        <v>1231</v>
      </c>
      <c r="F1231" s="9" t="s">
        <v>31</v>
      </c>
      <c r="G1231" s="21">
        <v>5</v>
      </c>
      <c r="H1231" s="21">
        <v>72</v>
      </c>
      <c r="L1231" s="9" t="s">
        <v>134</v>
      </c>
      <c r="M1231" s="21">
        <f t="shared" ref="M1231" si="697">(G1231*C1222+(A1222-1)*H1231+H1225*(B1222-1))*-1</f>
        <v>-231</v>
      </c>
    </row>
    <row r="1232" spans="1:13">
      <c r="E1232" s="21">
        <f t="shared" si="682"/>
        <v>1232</v>
      </c>
      <c r="F1232" s="9" t="s">
        <v>30</v>
      </c>
      <c r="M1232" s="21">
        <v>3</v>
      </c>
    </row>
    <row r="1233" spans="1:13">
      <c r="A1233" s="21">
        <f t="shared" ref="A1233:A1296" si="698">QUOTIENT( D1233-1,G1234*H1234)+1</f>
        <v>4</v>
      </c>
      <c r="B1233" s="21">
        <f t="shared" ref="B1233" si="699">QUOTIENT( D1233-1,G1234)+1-(A1233-1)*H1234</f>
        <v>1</v>
      </c>
      <c r="C1233" s="21">
        <f t="shared" ref="C1233" si="700">D1233-(B1233-1)*G1234-((A1233-1)*G1234*H1234)</f>
        <v>4</v>
      </c>
      <c r="D1233" s="21">
        <f>COUNT($D$11:$D1232)+1</f>
        <v>112</v>
      </c>
    </row>
    <row r="1234" spans="1:13">
      <c r="E1234" s="21">
        <f t="shared" si="682"/>
        <v>1234</v>
      </c>
      <c r="F1234" s="9" t="s">
        <v>93</v>
      </c>
      <c r="G1234" s="21">
        <v>6</v>
      </c>
      <c r="H1234" s="21">
        <v>6</v>
      </c>
      <c r="I1234" s="21">
        <v>5</v>
      </c>
      <c r="J1234" s="9" t="s">
        <v>252</v>
      </c>
      <c r="M1234" s="21">
        <f t="shared" ref="M1234:M1297" si="701">J1234+D1233</f>
        <v>20712</v>
      </c>
    </row>
    <row r="1235" spans="1:13">
      <c r="E1235" s="21">
        <f t="shared" si="682"/>
        <v>1235</v>
      </c>
      <c r="F1235" s="9" t="s">
        <v>142</v>
      </c>
      <c r="M1235" s="21">
        <v>199107</v>
      </c>
    </row>
    <row r="1236" spans="1:13">
      <c r="E1236" s="21">
        <f t="shared" si="682"/>
        <v>1236</v>
      </c>
      <c r="F1236" s="9" t="s">
        <v>126</v>
      </c>
      <c r="G1236" s="21">
        <v>5</v>
      </c>
      <c r="H1236" s="21">
        <v>30</v>
      </c>
      <c r="M1236" s="21">
        <f t="shared" ref="M1236" si="702">(MOD(D1233-1,G1234*H1234)+1)*G1236+H1236*(B1233-1)</f>
        <v>20</v>
      </c>
    </row>
    <row r="1237" spans="1:13">
      <c r="E1237" s="21">
        <f t="shared" si="682"/>
        <v>1237</v>
      </c>
      <c r="F1237" s="9" t="s">
        <v>29</v>
      </c>
      <c r="M1237" s="21" t="s">
        <v>246</v>
      </c>
    </row>
    <row r="1238" spans="1:13">
      <c r="E1238" s="21">
        <f t="shared" si="682"/>
        <v>1238</v>
      </c>
      <c r="F1238" s="9" t="s">
        <v>118</v>
      </c>
      <c r="M1238" s="21" t="s">
        <v>248</v>
      </c>
    </row>
    <row r="1239" spans="1:13">
      <c r="E1239" s="21">
        <f t="shared" si="682"/>
        <v>1239</v>
      </c>
      <c r="F1239" s="9" t="s">
        <v>98</v>
      </c>
      <c r="K1239" s="9" t="s">
        <v>137</v>
      </c>
      <c r="M1239" s="21">
        <v>2</v>
      </c>
    </row>
    <row r="1240" spans="1:13">
      <c r="E1240" s="21">
        <f t="shared" si="682"/>
        <v>1240</v>
      </c>
      <c r="F1240" s="9" t="s">
        <v>175</v>
      </c>
      <c r="K1240" s="9" t="s">
        <v>136</v>
      </c>
      <c r="M1240" s="21" t="s">
        <v>250</v>
      </c>
    </row>
    <row r="1241" spans="1:13">
      <c r="E1241" s="21">
        <f t="shared" si="682"/>
        <v>1241</v>
      </c>
      <c r="F1241" s="9" t="s">
        <v>113</v>
      </c>
      <c r="L1241" s="9" t="s">
        <v>134</v>
      </c>
      <c r="M1241" s="21">
        <v>-90</v>
      </c>
    </row>
    <row r="1242" spans="1:13">
      <c r="E1242" s="21">
        <f t="shared" si="682"/>
        <v>1242</v>
      </c>
      <c r="F1242" s="9" t="s">
        <v>31</v>
      </c>
      <c r="G1242" s="21">
        <v>5</v>
      </c>
      <c r="H1242" s="21">
        <v>72</v>
      </c>
      <c r="L1242" s="9" t="s">
        <v>134</v>
      </c>
      <c r="M1242" s="21">
        <f t="shared" ref="M1242" si="703">(G1242*C1233+(A1233-1)*H1242+H1236*(B1233-1))*-1</f>
        <v>-236</v>
      </c>
    </row>
    <row r="1243" spans="1:13">
      <c r="E1243" s="21">
        <f t="shared" si="682"/>
        <v>1243</v>
      </c>
      <c r="F1243" s="9" t="s">
        <v>30</v>
      </c>
      <c r="M1243" s="21">
        <v>3</v>
      </c>
    </row>
    <row r="1244" spans="1:13">
      <c r="A1244" s="21">
        <f t="shared" ref="A1244:A1307" si="704">QUOTIENT( D1244-1,G1245*H1245)+1</f>
        <v>4</v>
      </c>
      <c r="B1244" s="21">
        <f t="shared" ref="B1244" si="705">QUOTIENT( D1244-1,G1245)+1-(A1244-1)*H1245</f>
        <v>1</v>
      </c>
      <c r="C1244" s="21">
        <f t="shared" ref="C1244" si="706">D1244-(B1244-1)*G1245-((A1244-1)*G1245*H1245)</f>
        <v>5</v>
      </c>
      <c r="D1244" s="21">
        <f>COUNT($D$11:$D1243)+1</f>
        <v>113</v>
      </c>
    </row>
    <row r="1245" spans="1:13">
      <c r="E1245" s="21">
        <f t="shared" si="682"/>
        <v>1245</v>
      </c>
      <c r="F1245" s="9" t="s">
        <v>93</v>
      </c>
      <c r="G1245" s="21">
        <v>6</v>
      </c>
      <c r="H1245" s="21">
        <v>6</v>
      </c>
      <c r="I1245" s="21">
        <v>5</v>
      </c>
      <c r="J1245" s="9" t="s">
        <v>252</v>
      </c>
      <c r="M1245" s="21">
        <f t="shared" ref="M1245:M1308" si="707">J1245+D1244</f>
        <v>20713</v>
      </c>
    </row>
    <row r="1246" spans="1:13">
      <c r="E1246" s="21">
        <f t="shared" si="682"/>
        <v>1246</v>
      </c>
      <c r="F1246" s="9" t="s">
        <v>142</v>
      </c>
      <c r="M1246" s="21">
        <v>199107</v>
      </c>
    </row>
    <row r="1247" spans="1:13">
      <c r="E1247" s="21">
        <f t="shared" si="682"/>
        <v>1247</v>
      </c>
      <c r="F1247" s="9" t="s">
        <v>126</v>
      </c>
      <c r="G1247" s="21">
        <v>5</v>
      </c>
      <c r="H1247" s="21">
        <v>30</v>
      </c>
      <c r="M1247" s="21">
        <f t="shared" ref="M1247" si="708">(MOD(D1244-1,G1245*H1245)+1)*G1247+H1247*(B1244-1)</f>
        <v>25</v>
      </c>
    </row>
    <row r="1248" spans="1:13">
      <c r="E1248" s="21">
        <f t="shared" si="682"/>
        <v>1248</v>
      </c>
      <c r="F1248" s="9" t="s">
        <v>29</v>
      </c>
      <c r="M1248" s="21" t="s">
        <v>246</v>
      </c>
    </row>
    <row r="1249" spans="1:13">
      <c r="E1249" s="21">
        <f t="shared" si="682"/>
        <v>1249</v>
      </c>
      <c r="F1249" s="9" t="s">
        <v>118</v>
      </c>
      <c r="M1249" s="21" t="s">
        <v>248</v>
      </c>
    </row>
    <row r="1250" spans="1:13">
      <c r="E1250" s="21">
        <f t="shared" si="682"/>
        <v>1250</v>
      </c>
      <c r="F1250" s="9" t="s">
        <v>98</v>
      </c>
      <c r="K1250" s="9" t="s">
        <v>137</v>
      </c>
      <c r="M1250" s="21">
        <v>2</v>
      </c>
    </row>
    <row r="1251" spans="1:13">
      <c r="E1251" s="21">
        <f t="shared" si="682"/>
        <v>1251</v>
      </c>
      <c r="F1251" s="9" t="s">
        <v>175</v>
      </c>
      <c r="K1251" s="9" t="s">
        <v>136</v>
      </c>
      <c r="M1251" s="21" t="s">
        <v>250</v>
      </c>
    </row>
    <row r="1252" spans="1:13">
      <c r="E1252" s="21">
        <f t="shared" si="682"/>
        <v>1252</v>
      </c>
      <c r="F1252" s="9" t="s">
        <v>113</v>
      </c>
      <c r="L1252" s="9" t="s">
        <v>134</v>
      </c>
      <c r="M1252" s="21">
        <v>-90</v>
      </c>
    </row>
    <row r="1253" spans="1:13">
      <c r="E1253" s="21">
        <f t="shared" si="682"/>
        <v>1253</v>
      </c>
      <c r="F1253" s="9" t="s">
        <v>31</v>
      </c>
      <c r="G1253" s="21">
        <v>5</v>
      </c>
      <c r="H1253" s="21">
        <v>72</v>
      </c>
      <c r="L1253" s="9" t="s">
        <v>134</v>
      </c>
      <c r="M1253" s="21">
        <f t="shared" ref="M1253" si="709">(G1253*C1244+(A1244-1)*H1253+H1247*(B1244-1))*-1</f>
        <v>-241</v>
      </c>
    </row>
    <row r="1254" spans="1:13">
      <c r="E1254" s="21">
        <f t="shared" si="682"/>
        <v>1254</v>
      </c>
      <c r="F1254" s="9" t="s">
        <v>30</v>
      </c>
      <c r="M1254" s="21">
        <v>3</v>
      </c>
    </row>
    <row r="1255" spans="1:13">
      <c r="A1255" s="21">
        <f t="shared" ref="A1255:A1318" si="710">QUOTIENT( D1255-1,G1256*H1256)+1</f>
        <v>4</v>
      </c>
      <c r="B1255" s="21">
        <f t="shared" ref="B1255" si="711">QUOTIENT( D1255-1,G1256)+1-(A1255-1)*H1256</f>
        <v>1</v>
      </c>
      <c r="C1255" s="21">
        <f t="shared" ref="C1255" si="712">D1255-(B1255-1)*G1256-((A1255-1)*G1256*H1256)</f>
        <v>6</v>
      </c>
      <c r="D1255" s="21">
        <f>COUNT($D$11:$D1254)+1</f>
        <v>114</v>
      </c>
    </row>
    <row r="1256" spans="1:13">
      <c r="E1256" s="21">
        <f t="shared" si="682"/>
        <v>1256</v>
      </c>
      <c r="F1256" s="9" t="s">
        <v>93</v>
      </c>
      <c r="G1256" s="21">
        <v>6</v>
      </c>
      <c r="H1256" s="21">
        <v>6</v>
      </c>
      <c r="I1256" s="21">
        <v>5</v>
      </c>
      <c r="J1256" s="9" t="s">
        <v>252</v>
      </c>
      <c r="M1256" s="21">
        <f t="shared" ref="M1256:M1319" si="713">J1256+D1255</f>
        <v>20714</v>
      </c>
    </row>
    <row r="1257" spans="1:13">
      <c r="E1257" s="21">
        <f t="shared" si="682"/>
        <v>1257</v>
      </c>
      <c r="F1257" s="9" t="s">
        <v>142</v>
      </c>
      <c r="M1257" s="21">
        <v>199107</v>
      </c>
    </row>
    <row r="1258" spans="1:13">
      <c r="E1258" s="21">
        <f t="shared" si="682"/>
        <v>1258</v>
      </c>
      <c r="F1258" s="9" t="s">
        <v>126</v>
      </c>
      <c r="G1258" s="21">
        <v>5</v>
      </c>
      <c r="H1258" s="21">
        <v>30</v>
      </c>
      <c r="M1258" s="21">
        <f t="shared" ref="M1258" si="714">(MOD(D1255-1,G1256*H1256)+1)*G1258+H1258*(B1255-1)</f>
        <v>30</v>
      </c>
    </row>
    <row r="1259" spans="1:13">
      <c r="E1259" s="21">
        <f t="shared" si="682"/>
        <v>1259</v>
      </c>
      <c r="F1259" s="9" t="s">
        <v>29</v>
      </c>
      <c r="M1259" s="21" t="s">
        <v>246</v>
      </c>
    </row>
    <row r="1260" spans="1:13">
      <c r="E1260" s="21">
        <f t="shared" si="682"/>
        <v>1260</v>
      </c>
      <c r="F1260" s="9" t="s">
        <v>118</v>
      </c>
      <c r="M1260" s="21" t="s">
        <v>248</v>
      </c>
    </row>
    <row r="1261" spans="1:13">
      <c r="E1261" s="21">
        <f t="shared" si="682"/>
        <v>1261</v>
      </c>
      <c r="F1261" s="9" t="s">
        <v>98</v>
      </c>
      <c r="K1261" s="9" t="s">
        <v>137</v>
      </c>
      <c r="M1261" s="21">
        <v>2</v>
      </c>
    </row>
    <row r="1262" spans="1:13">
      <c r="E1262" s="21">
        <f t="shared" si="682"/>
        <v>1262</v>
      </c>
      <c r="F1262" s="9" t="s">
        <v>175</v>
      </c>
      <c r="K1262" s="9" t="s">
        <v>136</v>
      </c>
      <c r="M1262" s="21" t="s">
        <v>250</v>
      </c>
    </row>
    <row r="1263" spans="1:13">
      <c r="E1263" s="21">
        <f t="shared" si="682"/>
        <v>1263</v>
      </c>
      <c r="F1263" s="9" t="s">
        <v>113</v>
      </c>
      <c r="L1263" s="9" t="s">
        <v>134</v>
      </c>
      <c r="M1263" s="21">
        <v>-90</v>
      </c>
    </row>
    <row r="1264" spans="1:13">
      <c r="E1264" s="21">
        <f t="shared" si="682"/>
        <v>1264</v>
      </c>
      <c r="F1264" s="9" t="s">
        <v>31</v>
      </c>
      <c r="G1264" s="21">
        <v>5</v>
      </c>
      <c r="H1264" s="21">
        <v>72</v>
      </c>
      <c r="L1264" s="9" t="s">
        <v>134</v>
      </c>
      <c r="M1264" s="21">
        <f t="shared" ref="M1264" si="715">(G1264*C1255+(A1255-1)*H1264+H1258*(B1255-1))*-1</f>
        <v>-246</v>
      </c>
    </row>
    <row r="1265" spans="1:13">
      <c r="E1265" s="21">
        <f t="shared" ref="E1265:E1328" si="716">ROW(E1265)</f>
        <v>1265</v>
      </c>
      <c r="F1265" s="9" t="s">
        <v>30</v>
      </c>
      <c r="M1265" s="21">
        <v>3</v>
      </c>
    </row>
    <row r="1266" spans="1:13">
      <c r="A1266" s="21">
        <f t="shared" ref="A1266:A1329" si="717">QUOTIENT( D1266-1,G1267*H1267)+1</f>
        <v>4</v>
      </c>
      <c r="B1266" s="21">
        <f t="shared" ref="B1266" si="718">QUOTIENT( D1266-1,G1267)+1-(A1266-1)*H1267</f>
        <v>2</v>
      </c>
      <c r="C1266" s="21">
        <f t="shared" ref="C1266" si="719">D1266-(B1266-1)*G1267-((A1266-1)*G1267*H1267)</f>
        <v>1</v>
      </c>
      <c r="D1266" s="21">
        <f>COUNT($D$11:$D1265)+1</f>
        <v>115</v>
      </c>
    </row>
    <row r="1267" spans="1:13">
      <c r="E1267" s="21">
        <f t="shared" ref="E1267:E1330" si="720">ROW(E1267)</f>
        <v>1267</v>
      </c>
      <c r="F1267" s="9" t="s">
        <v>93</v>
      </c>
      <c r="G1267" s="21">
        <v>6</v>
      </c>
      <c r="H1267" s="21">
        <v>6</v>
      </c>
      <c r="I1267" s="21">
        <v>5</v>
      </c>
      <c r="J1267" s="9" t="s">
        <v>252</v>
      </c>
      <c r="M1267" s="21">
        <f t="shared" ref="M1267:M1330" si="721">J1267+D1266</f>
        <v>20715</v>
      </c>
    </row>
    <row r="1268" spans="1:13">
      <c r="E1268" s="21">
        <f t="shared" si="720"/>
        <v>1268</v>
      </c>
      <c r="F1268" s="9" t="s">
        <v>142</v>
      </c>
      <c r="M1268" s="21">
        <v>199107</v>
      </c>
    </row>
    <row r="1269" spans="1:13">
      <c r="E1269" s="21">
        <f t="shared" si="720"/>
        <v>1269</v>
      </c>
      <c r="F1269" s="9" t="s">
        <v>126</v>
      </c>
      <c r="G1269" s="21">
        <v>5</v>
      </c>
      <c r="H1269" s="21">
        <v>30</v>
      </c>
      <c r="M1269" s="21">
        <f t="shared" ref="M1269" si="722">(MOD(D1266-1,G1267*H1267)+1)*G1269+H1269*(B1266-1)</f>
        <v>65</v>
      </c>
    </row>
    <row r="1270" spans="1:13">
      <c r="E1270" s="21">
        <f t="shared" si="720"/>
        <v>1270</v>
      </c>
      <c r="F1270" s="9" t="s">
        <v>29</v>
      </c>
      <c r="M1270" s="21" t="s">
        <v>246</v>
      </c>
    </row>
    <row r="1271" spans="1:13">
      <c r="E1271" s="21">
        <f t="shared" si="720"/>
        <v>1271</v>
      </c>
      <c r="F1271" s="9" t="s">
        <v>118</v>
      </c>
      <c r="M1271" s="21" t="s">
        <v>248</v>
      </c>
    </row>
    <row r="1272" spans="1:13">
      <c r="E1272" s="21">
        <f t="shared" si="720"/>
        <v>1272</v>
      </c>
      <c r="F1272" s="9" t="s">
        <v>98</v>
      </c>
      <c r="K1272" s="9" t="s">
        <v>137</v>
      </c>
      <c r="M1272" s="21">
        <v>2</v>
      </c>
    </row>
    <row r="1273" spans="1:13">
      <c r="E1273" s="21">
        <f t="shared" si="720"/>
        <v>1273</v>
      </c>
      <c r="F1273" s="9" t="s">
        <v>175</v>
      </c>
      <c r="K1273" s="9" t="s">
        <v>136</v>
      </c>
      <c r="M1273" s="21" t="s">
        <v>250</v>
      </c>
    </row>
    <row r="1274" spans="1:13">
      <c r="E1274" s="21">
        <f t="shared" si="720"/>
        <v>1274</v>
      </c>
      <c r="F1274" s="9" t="s">
        <v>113</v>
      </c>
      <c r="L1274" s="9" t="s">
        <v>134</v>
      </c>
      <c r="M1274" s="21">
        <v>-90</v>
      </c>
    </row>
    <row r="1275" spans="1:13">
      <c r="E1275" s="21">
        <f t="shared" si="720"/>
        <v>1275</v>
      </c>
      <c r="F1275" s="9" t="s">
        <v>31</v>
      </c>
      <c r="G1275" s="21">
        <v>5</v>
      </c>
      <c r="H1275" s="21">
        <v>72</v>
      </c>
      <c r="L1275" s="9" t="s">
        <v>134</v>
      </c>
      <c r="M1275" s="21">
        <f t="shared" ref="M1275" si="723">(G1275*C1266+(A1266-1)*H1275+H1269*(B1266-1))*-1</f>
        <v>-251</v>
      </c>
    </row>
    <row r="1276" spans="1:13">
      <c r="E1276" s="21">
        <f t="shared" si="720"/>
        <v>1276</v>
      </c>
      <c r="F1276" s="9" t="s">
        <v>30</v>
      </c>
      <c r="M1276" s="21">
        <v>3</v>
      </c>
    </row>
    <row r="1277" spans="1:13">
      <c r="A1277" s="21">
        <f t="shared" ref="A1277:A1340" si="724">QUOTIENT( D1277-1,G1278*H1278)+1</f>
        <v>4</v>
      </c>
      <c r="B1277" s="21">
        <f t="shared" ref="B1277" si="725">QUOTIENT( D1277-1,G1278)+1-(A1277-1)*H1278</f>
        <v>2</v>
      </c>
      <c r="C1277" s="21">
        <f t="shared" ref="C1277" si="726">D1277-(B1277-1)*G1278-((A1277-1)*G1278*H1278)</f>
        <v>2</v>
      </c>
      <c r="D1277" s="21">
        <f>COUNT($D$11:$D1276)+1</f>
        <v>116</v>
      </c>
    </row>
    <row r="1278" spans="1:13">
      <c r="E1278" s="21">
        <f t="shared" si="720"/>
        <v>1278</v>
      </c>
      <c r="F1278" s="9" t="s">
        <v>93</v>
      </c>
      <c r="G1278" s="21">
        <v>6</v>
      </c>
      <c r="H1278" s="21">
        <v>6</v>
      </c>
      <c r="I1278" s="21">
        <v>5</v>
      </c>
      <c r="J1278" s="9" t="s">
        <v>252</v>
      </c>
      <c r="M1278" s="21">
        <f t="shared" ref="M1278:M1341" si="727">J1278+D1277</f>
        <v>20716</v>
      </c>
    </row>
    <row r="1279" spans="1:13">
      <c r="E1279" s="21">
        <f t="shared" si="720"/>
        <v>1279</v>
      </c>
      <c r="F1279" s="9" t="s">
        <v>142</v>
      </c>
      <c r="M1279" s="21">
        <v>199107</v>
      </c>
    </row>
    <row r="1280" spans="1:13">
      <c r="E1280" s="21">
        <f t="shared" si="720"/>
        <v>1280</v>
      </c>
      <c r="F1280" s="9" t="s">
        <v>126</v>
      </c>
      <c r="G1280" s="21">
        <v>5</v>
      </c>
      <c r="H1280" s="21">
        <v>30</v>
      </c>
      <c r="M1280" s="21">
        <f t="shared" ref="M1280" si="728">(MOD(D1277-1,G1278*H1278)+1)*G1280+H1280*(B1277-1)</f>
        <v>70</v>
      </c>
    </row>
    <row r="1281" spans="1:13">
      <c r="E1281" s="21">
        <f t="shared" si="720"/>
        <v>1281</v>
      </c>
      <c r="F1281" s="9" t="s">
        <v>29</v>
      </c>
      <c r="M1281" s="21" t="s">
        <v>246</v>
      </c>
    </row>
    <row r="1282" spans="1:13">
      <c r="E1282" s="21">
        <f t="shared" si="720"/>
        <v>1282</v>
      </c>
      <c r="F1282" s="9" t="s">
        <v>118</v>
      </c>
      <c r="M1282" s="21" t="s">
        <v>248</v>
      </c>
    </row>
    <row r="1283" spans="1:13">
      <c r="E1283" s="21">
        <f t="shared" si="720"/>
        <v>1283</v>
      </c>
      <c r="F1283" s="9" t="s">
        <v>98</v>
      </c>
      <c r="K1283" s="9" t="s">
        <v>137</v>
      </c>
      <c r="M1283" s="21">
        <v>2</v>
      </c>
    </row>
    <row r="1284" spans="1:13">
      <c r="E1284" s="21">
        <f t="shared" si="720"/>
        <v>1284</v>
      </c>
      <c r="F1284" s="9" t="s">
        <v>175</v>
      </c>
      <c r="K1284" s="9" t="s">
        <v>136</v>
      </c>
      <c r="M1284" s="21" t="s">
        <v>250</v>
      </c>
    </row>
    <row r="1285" spans="1:13">
      <c r="E1285" s="21">
        <f t="shared" si="720"/>
        <v>1285</v>
      </c>
      <c r="F1285" s="9" t="s">
        <v>113</v>
      </c>
      <c r="L1285" s="9" t="s">
        <v>134</v>
      </c>
      <c r="M1285" s="21">
        <v>-90</v>
      </c>
    </row>
    <row r="1286" spans="1:13">
      <c r="E1286" s="21">
        <f t="shared" si="720"/>
        <v>1286</v>
      </c>
      <c r="F1286" s="9" t="s">
        <v>31</v>
      </c>
      <c r="G1286" s="21">
        <v>5</v>
      </c>
      <c r="H1286" s="21">
        <v>72</v>
      </c>
      <c r="L1286" s="9" t="s">
        <v>134</v>
      </c>
      <c r="M1286" s="21">
        <f t="shared" ref="M1286" si="729">(G1286*C1277+(A1277-1)*H1286+H1280*(B1277-1))*-1</f>
        <v>-256</v>
      </c>
    </row>
    <row r="1287" spans="1:13">
      <c r="E1287" s="21">
        <f t="shared" si="720"/>
        <v>1287</v>
      </c>
      <c r="F1287" s="9" t="s">
        <v>30</v>
      </c>
      <c r="M1287" s="21">
        <v>3</v>
      </c>
    </row>
    <row r="1288" spans="1:13">
      <c r="A1288" s="21">
        <f t="shared" ref="A1288:A1351" si="730">QUOTIENT( D1288-1,G1289*H1289)+1</f>
        <v>4</v>
      </c>
      <c r="B1288" s="21">
        <f t="shared" ref="B1288" si="731">QUOTIENT( D1288-1,G1289)+1-(A1288-1)*H1289</f>
        <v>2</v>
      </c>
      <c r="C1288" s="21">
        <f t="shared" ref="C1288" si="732">D1288-(B1288-1)*G1289-((A1288-1)*G1289*H1289)</f>
        <v>3</v>
      </c>
      <c r="D1288" s="21">
        <f>COUNT($D$11:$D1287)+1</f>
        <v>117</v>
      </c>
    </row>
    <row r="1289" spans="1:13">
      <c r="E1289" s="21">
        <f t="shared" si="720"/>
        <v>1289</v>
      </c>
      <c r="F1289" s="9" t="s">
        <v>93</v>
      </c>
      <c r="G1289" s="21">
        <v>6</v>
      </c>
      <c r="H1289" s="21">
        <v>6</v>
      </c>
      <c r="I1289" s="21">
        <v>5</v>
      </c>
      <c r="J1289" s="9" t="s">
        <v>252</v>
      </c>
      <c r="M1289" s="21">
        <f t="shared" ref="M1289:M1352" si="733">J1289+D1288</f>
        <v>20717</v>
      </c>
    </row>
    <row r="1290" spans="1:13">
      <c r="E1290" s="21">
        <f t="shared" si="720"/>
        <v>1290</v>
      </c>
      <c r="F1290" s="9" t="s">
        <v>142</v>
      </c>
      <c r="M1290" s="21">
        <v>199107</v>
      </c>
    </row>
    <row r="1291" spans="1:13">
      <c r="E1291" s="21">
        <f t="shared" si="720"/>
        <v>1291</v>
      </c>
      <c r="F1291" s="9" t="s">
        <v>126</v>
      </c>
      <c r="G1291" s="21">
        <v>5</v>
      </c>
      <c r="H1291" s="21">
        <v>30</v>
      </c>
      <c r="M1291" s="21">
        <f t="shared" ref="M1291" si="734">(MOD(D1288-1,G1289*H1289)+1)*G1291+H1291*(B1288-1)</f>
        <v>75</v>
      </c>
    </row>
    <row r="1292" spans="1:13">
      <c r="E1292" s="21">
        <f t="shared" si="720"/>
        <v>1292</v>
      </c>
      <c r="F1292" s="9" t="s">
        <v>29</v>
      </c>
      <c r="M1292" s="21" t="s">
        <v>246</v>
      </c>
    </row>
    <row r="1293" spans="1:13">
      <c r="E1293" s="21">
        <f t="shared" si="720"/>
        <v>1293</v>
      </c>
      <c r="F1293" s="9" t="s">
        <v>118</v>
      </c>
      <c r="M1293" s="21" t="s">
        <v>248</v>
      </c>
    </row>
    <row r="1294" spans="1:13">
      <c r="E1294" s="21">
        <f t="shared" si="720"/>
        <v>1294</v>
      </c>
      <c r="F1294" s="9" t="s">
        <v>98</v>
      </c>
      <c r="K1294" s="9" t="s">
        <v>137</v>
      </c>
      <c r="M1294" s="21">
        <v>2</v>
      </c>
    </row>
    <row r="1295" spans="1:13">
      <c r="E1295" s="21">
        <f t="shared" si="720"/>
        <v>1295</v>
      </c>
      <c r="F1295" s="9" t="s">
        <v>175</v>
      </c>
      <c r="K1295" s="9" t="s">
        <v>136</v>
      </c>
      <c r="M1295" s="21" t="s">
        <v>250</v>
      </c>
    </row>
    <row r="1296" spans="1:13">
      <c r="E1296" s="21">
        <f t="shared" si="720"/>
        <v>1296</v>
      </c>
      <c r="F1296" s="9" t="s">
        <v>113</v>
      </c>
      <c r="L1296" s="9" t="s">
        <v>134</v>
      </c>
      <c r="M1296" s="21">
        <v>-90</v>
      </c>
    </row>
    <row r="1297" spans="1:13">
      <c r="E1297" s="21">
        <f t="shared" si="720"/>
        <v>1297</v>
      </c>
      <c r="F1297" s="9" t="s">
        <v>31</v>
      </c>
      <c r="G1297" s="21">
        <v>5</v>
      </c>
      <c r="H1297" s="21">
        <v>72</v>
      </c>
      <c r="L1297" s="9" t="s">
        <v>134</v>
      </c>
      <c r="M1297" s="21">
        <f t="shared" ref="M1297" si="735">(G1297*C1288+(A1288-1)*H1297+H1291*(B1288-1))*-1</f>
        <v>-261</v>
      </c>
    </row>
    <row r="1298" spans="1:13">
      <c r="E1298" s="21">
        <f t="shared" si="720"/>
        <v>1298</v>
      </c>
      <c r="F1298" s="9" t="s">
        <v>30</v>
      </c>
      <c r="M1298" s="21">
        <v>3</v>
      </c>
    </row>
    <row r="1299" spans="1:13">
      <c r="A1299" s="21">
        <f t="shared" ref="A1299:A1362" si="736">QUOTIENT( D1299-1,G1300*H1300)+1</f>
        <v>4</v>
      </c>
      <c r="B1299" s="21">
        <f t="shared" ref="B1299" si="737">QUOTIENT( D1299-1,G1300)+1-(A1299-1)*H1300</f>
        <v>2</v>
      </c>
      <c r="C1299" s="21">
        <f t="shared" ref="C1299" si="738">D1299-(B1299-1)*G1300-((A1299-1)*G1300*H1300)</f>
        <v>4</v>
      </c>
      <c r="D1299" s="21">
        <f>COUNT($D$11:$D1298)+1</f>
        <v>118</v>
      </c>
    </row>
    <row r="1300" spans="1:13">
      <c r="E1300" s="21">
        <f t="shared" si="720"/>
        <v>1300</v>
      </c>
      <c r="F1300" s="9" t="s">
        <v>93</v>
      </c>
      <c r="G1300" s="21">
        <v>6</v>
      </c>
      <c r="H1300" s="21">
        <v>6</v>
      </c>
      <c r="I1300" s="21">
        <v>5</v>
      </c>
      <c r="J1300" s="9" t="s">
        <v>252</v>
      </c>
      <c r="M1300" s="21">
        <f t="shared" ref="M1300:M1363" si="739">J1300+D1299</f>
        <v>20718</v>
      </c>
    </row>
    <row r="1301" spans="1:13">
      <c r="E1301" s="21">
        <f t="shared" si="720"/>
        <v>1301</v>
      </c>
      <c r="F1301" s="9" t="s">
        <v>142</v>
      </c>
      <c r="M1301" s="21">
        <v>199107</v>
      </c>
    </row>
    <row r="1302" spans="1:13">
      <c r="E1302" s="21">
        <f t="shared" si="720"/>
        <v>1302</v>
      </c>
      <c r="F1302" s="9" t="s">
        <v>126</v>
      </c>
      <c r="G1302" s="21">
        <v>5</v>
      </c>
      <c r="H1302" s="21">
        <v>30</v>
      </c>
      <c r="M1302" s="21">
        <f t="shared" ref="M1302" si="740">(MOD(D1299-1,G1300*H1300)+1)*G1302+H1302*(B1299-1)</f>
        <v>80</v>
      </c>
    </row>
    <row r="1303" spans="1:13">
      <c r="E1303" s="21">
        <f t="shared" si="720"/>
        <v>1303</v>
      </c>
      <c r="F1303" s="9" t="s">
        <v>29</v>
      </c>
      <c r="M1303" s="21" t="s">
        <v>246</v>
      </c>
    </row>
    <row r="1304" spans="1:13">
      <c r="E1304" s="21">
        <f t="shared" si="720"/>
        <v>1304</v>
      </c>
      <c r="F1304" s="9" t="s">
        <v>118</v>
      </c>
      <c r="M1304" s="21" t="s">
        <v>248</v>
      </c>
    </row>
    <row r="1305" spans="1:13">
      <c r="E1305" s="21">
        <f t="shared" si="720"/>
        <v>1305</v>
      </c>
      <c r="F1305" s="9" t="s">
        <v>98</v>
      </c>
      <c r="K1305" s="9" t="s">
        <v>137</v>
      </c>
      <c r="M1305" s="21">
        <v>2</v>
      </c>
    </row>
    <row r="1306" spans="1:13">
      <c r="E1306" s="21">
        <f t="shared" si="720"/>
        <v>1306</v>
      </c>
      <c r="F1306" s="9" t="s">
        <v>175</v>
      </c>
      <c r="K1306" s="9" t="s">
        <v>136</v>
      </c>
      <c r="M1306" s="21" t="s">
        <v>250</v>
      </c>
    </row>
    <row r="1307" spans="1:13">
      <c r="E1307" s="21">
        <f t="shared" si="720"/>
        <v>1307</v>
      </c>
      <c r="F1307" s="9" t="s">
        <v>113</v>
      </c>
      <c r="L1307" s="9" t="s">
        <v>134</v>
      </c>
      <c r="M1307" s="21">
        <v>-90</v>
      </c>
    </row>
    <row r="1308" spans="1:13">
      <c r="E1308" s="21">
        <f t="shared" si="720"/>
        <v>1308</v>
      </c>
      <c r="F1308" s="9" t="s">
        <v>31</v>
      </c>
      <c r="G1308" s="21">
        <v>5</v>
      </c>
      <c r="H1308" s="21">
        <v>72</v>
      </c>
      <c r="L1308" s="9" t="s">
        <v>134</v>
      </c>
      <c r="M1308" s="21">
        <f t="shared" ref="M1308" si="741">(G1308*C1299+(A1299-1)*H1308+H1302*(B1299-1))*-1</f>
        <v>-266</v>
      </c>
    </row>
    <row r="1309" spans="1:13">
      <c r="E1309" s="21">
        <f t="shared" si="720"/>
        <v>1309</v>
      </c>
      <c r="F1309" s="9" t="s">
        <v>30</v>
      </c>
      <c r="M1309" s="21">
        <v>3</v>
      </c>
    </row>
    <row r="1310" spans="1:13">
      <c r="A1310" s="21">
        <f t="shared" ref="A1310:A1373" si="742">QUOTIENT( D1310-1,G1311*H1311)+1</f>
        <v>4</v>
      </c>
      <c r="B1310" s="21">
        <f t="shared" ref="B1310" si="743">QUOTIENT( D1310-1,G1311)+1-(A1310-1)*H1311</f>
        <v>2</v>
      </c>
      <c r="C1310" s="21">
        <f t="shared" ref="C1310" si="744">D1310-(B1310-1)*G1311-((A1310-1)*G1311*H1311)</f>
        <v>5</v>
      </c>
      <c r="D1310" s="21">
        <f>COUNT($D$11:$D1309)+1</f>
        <v>119</v>
      </c>
    </row>
    <row r="1311" spans="1:13">
      <c r="E1311" s="21">
        <f t="shared" si="720"/>
        <v>1311</v>
      </c>
      <c r="F1311" s="9" t="s">
        <v>93</v>
      </c>
      <c r="G1311" s="21">
        <v>6</v>
      </c>
      <c r="H1311" s="21">
        <v>6</v>
      </c>
      <c r="I1311" s="21">
        <v>5</v>
      </c>
      <c r="J1311" s="9" t="s">
        <v>252</v>
      </c>
      <c r="M1311" s="21">
        <f t="shared" ref="M1311:M1374" si="745">J1311+D1310</f>
        <v>20719</v>
      </c>
    </row>
    <row r="1312" spans="1:13">
      <c r="E1312" s="21">
        <f t="shared" si="720"/>
        <v>1312</v>
      </c>
      <c r="F1312" s="9" t="s">
        <v>142</v>
      </c>
      <c r="M1312" s="21">
        <v>199107</v>
      </c>
    </row>
    <row r="1313" spans="1:13">
      <c r="E1313" s="21">
        <f t="shared" si="720"/>
        <v>1313</v>
      </c>
      <c r="F1313" s="9" t="s">
        <v>126</v>
      </c>
      <c r="G1313" s="21">
        <v>5</v>
      </c>
      <c r="H1313" s="21">
        <v>30</v>
      </c>
      <c r="M1313" s="21">
        <f t="shared" ref="M1313" si="746">(MOD(D1310-1,G1311*H1311)+1)*G1313+H1313*(B1310-1)</f>
        <v>85</v>
      </c>
    </row>
    <row r="1314" spans="1:13">
      <c r="E1314" s="21">
        <f t="shared" si="720"/>
        <v>1314</v>
      </c>
      <c r="F1314" s="9" t="s">
        <v>29</v>
      </c>
      <c r="M1314" s="21" t="s">
        <v>246</v>
      </c>
    </row>
    <row r="1315" spans="1:13">
      <c r="E1315" s="21">
        <f t="shared" si="720"/>
        <v>1315</v>
      </c>
      <c r="F1315" s="9" t="s">
        <v>118</v>
      </c>
      <c r="M1315" s="21" t="s">
        <v>248</v>
      </c>
    </row>
    <row r="1316" spans="1:13">
      <c r="E1316" s="21">
        <f t="shared" si="720"/>
        <v>1316</v>
      </c>
      <c r="F1316" s="9" t="s">
        <v>98</v>
      </c>
      <c r="K1316" s="9" t="s">
        <v>137</v>
      </c>
      <c r="M1316" s="21">
        <v>2</v>
      </c>
    </row>
    <row r="1317" spans="1:13">
      <c r="E1317" s="21">
        <f t="shared" si="720"/>
        <v>1317</v>
      </c>
      <c r="F1317" s="9" t="s">
        <v>175</v>
      </c>
      <c r="K1317" s="9" t="s">
        <v>136</v>
      </c>
      <c r="M1317" s="21" t="s">
        <v>250</v>
      </c>
    </row>
    <row r="1318" spans="1:13">
      <c r="E1318" s="21">
        <f t="shared" si="720"/>
        <v>1318</v>
      </c>
      <c r="F1318" s="9" t="s">
        <v>113</v>
      </c>
      <c r="L1318" s="9" t="s">
        <v>134</v>
      </c>
      <c r="M1318" s="21">
        <v>-90</v>
      </c>
    </row>
    <row r="1319" spans="1:13">
      <c r="E1319" s="21">
        <f t="shared" si="720"/>
        <v>1319</v>
      </c>
      <c r="F1319" s="9" t="s">
        <v>31</v>
      </c>
      <c r="G1319" s="21">
        <v>5</v>
      </c>
      <c r="H1319" s="21">
        <v>72</v>
      </c>
      <c r="L1319" s="9" t="s">
        <v>134</v>
      </c>
      <c r="M1319" s="21">
        <f t="shared" ref="M1319" si="747">(G1319*C1310+(A1310-1)*H1319+H1313*(B1310-1))*-1</f>
        <v>-271</v>
      </c>
    </row>
    <row r="1320" spans="1:13">
      <c r="E1320" s="21">
        <f t="shared" si="720"/>
        <v>1320</v>
      </c>
      <c r="F1320" s="9" t="s">
        <v>30</v>
      </c>
      <c r="M1320" s="21">
        <v>3</v>
      </c>
    </row>
    <row r="1321" spans="1:13">
      <c r="A1321" s="21">
        <f t="shared" ref="A1321:A1384" si="748">QUOTIENT( D1321-1,G1322*H1322)+1</f>
        <v>4</v>
      </c>
      <c r="B1321" s="21">
        <f t="shared" ref="B1321" si="749">QUOTIENT( D1321-1,G1322)+1-(A1321-1)*H1322</f>
        <v>2</v>
      </c>
      <c r="C1321" s="21">
        <f t="shared" ref="C1321" si="750">D1321-(B1321-1)*G1322-((A1321-1)*G1322*H1322)</f>
        <v>6</v>
      </c>
      <c r="D1321" s="21">
        <f>COUNT($D$11:$D1320)+1</f>
        <v>120</v>
      </c>
    </row>
    <row r="1322" spans="1:13">
      <c r="E1322" s="21">
        <f t="shared" si="720"/>
        <v>1322</v>
      </c>
      <c r="F1322" s="9" t="s">
        <v>93</v>
      </c>
      <c r="G1322" s="21">
        <v>6</v>
      </c>
      <c r="H1322" s="21">
        <v>6</v>
      </c>
      <c r="I1322" s="21">
        <v>5</v>
      </c>
      <c r="J1322" s="9" t="s">
        <v>252</v>
      </c>
      <c r="M1322" s="21">
        <f t="shared" ref="M1322:M1385" si="751">J1322+D1321</f>
        <v>20720</v>
      </c>
    </row>
    <row r="1323" spans="1:13">
      <c r="E1323" s="21">
        <f t="shared" si="720"/>
        <v>1323</v>
      </c>
      <c r="F1323" s="9" t="s">
        <v>142</v>
      </c>
      <c r="M1323" s="21">
        <v>199107</v>
      </c>
    </row>
    <row r="1324" spans="1:13">
      <c r="E1324" s="21">
        <f t="shared" si="720"/>
        <v>1324</v>
      </c>
      <c r="F1324" s="9" t="s">
        <v>126</v>
      </c>
      <c r="G1324" s="21">
        <v>5</v>
      </c>
      <c r="H1324" s="21">
        <v>30</v>
      </c>
      <c r="M1324" s="21">
        <f t="shared" ref="M1324" si="752">(MOD(D1321-1,G1322*H1322)+1)*G1324+H1324*(B1321-1)</f>
        <v>90</v>
      </c>
    </row>
    <row r="1325" spans="1:13">
      <c r="E1325" s="21">
        <f t="shared" si="720"/>
        <v>1325</v>
      </c>
      <c r="F1325" s="9" t="s">
        <v>29</v>
      </c>
      <c r="M1325" s="21" t="s">
        <v>246</v>
      </c>
    </row>
    <row r="1326" spans="1:13">
      <c r="E1326" s="21">
        <f t="shared" si="720"/>
        <v>1326</v>
      </c>
      <c r="F1326" s="9" t="s">
        <v>118</v>
      </c>
      <c r="M1326" s="21" t="s">
        <v>248</v>
      </c>
    </row>
    <row r="1327" spans="1:13">
      <c r="E1327" s="21">
        <f t="shared" si="720"/>
        <v>1327</v>
      </c>
      <c r="F1327" s="9" t="s">
        <v>98</v>
      </c>
      <c r="K1327" s="9" t="s">
        <v>137</v>
      </c>
      <c r="M1327" s="21">
        <v>2</v>
      </c>
    </row>
    <row r="1328" spans="1:13">
      <c r="E1328" s="21">
        <f t="shared" si="720"/>
        <v>1328</v>
      </c>
      <c r="F1328" s="9" t="s">
        <v>175</v>
      </c>
      <c r="K1328" s="9" t="s">
        <v>136</v>
      </c>
      <c r="M1328" s="21" t="s">
        <v>250</v>
      </c>
    </row>
    <row r="1329" spans="1:13">
      <c r="E1329" s="21">
        <f t="shared" si="720"/>
        <v>1329</v>
      </c>
      <c r="F1329" s="9" t="s">
        <v>113</v>
      </c>
      <c r="L1329" s="9" t="s">
        <v>134</v>
      </c>
      <c r="M1329" s="21">
        <v>-90</v>
      </c>
    </row>
    <row r="1330" spans="1:13">
      <c r="E1330" s="21">
        <f t="shared" si="720"/>
        <v>1330</v>
      </c>
      <c r="F1330" s="9" t="s">
        <v>31</v>
      </c>
      <c r="G1330" s="21">
        <v>5</v>
      </c>
      <c r="H1330" s="21">
        <v>72</v>
      </c>
      <c r="L1330" s="9" t="s">
        <v>134</v>
      </c>
      <c r="M1330" s="21">
        <f t="shared" ref="M1330" si="753">(G1330*C1321+(A1321-1)*H1330+H1324*(B1321-1))*-1</f>
        <v>-276</v>
      </c>
    </row>
    <row r="1331" spans="1:13">
      <c r="E1331" s="21">
        <f t="shared" ref="E1331:E1394" si="754">ROW(E1331)</f>
        <v>1331</v>
      </c>
      <c r="F1331" s="9" t="s">
        <v>30</v>
      </c>
      <c r="M1331" s="21">
        <v>3</v>
      </c>
    </row>
    <row r="1332" spans="1:13">
      <c r="A1332" s="21">
        <f t="shared" ref="A1332:A1395" si="755">QUOTIENT( D1332-1,G1333*H1333)+1</f>
        <v>4</v>
      </c>
      <c r="B1332" s="21">
        <f t="shared" ref="B1332" si="756">QUOTIENT( D1332-1,G1333)+1-(A1332-1)*H1333</f>
        <v>3</v>
      </c>
      <c r="C1332" s="21">
        <f t="shared" ref="C1332" si="757">D1332-(B1332-1)*G1333-((A1332-1)*G1333*H1333)</f>
        <v>1</v>
      </c>
      <c r="D1332" s="21">
        <f>COUNT($D$11:$D1331)+1</f>
        <v>121</v>
      </c>
    </row>
    <row r="1333" spans="1:13">
      <c r="E1333" s="21">
        <f t="shared" ref="E1333:E1396" si="758">ROW(E1333)</f>
        <v>1333</v>
      </c>
      <c r="F1333" s="9" t="s">
        <v>93</v>
      </c>
      <c r="G1333" s="21">
        <v>6</v>
      </c>
      <c r="H1333" s="21">
        <v>6</v>
      </c>
      <c r="I1333" s="21">
        <v>5</v>
      </c>
      <c r="J1333" s="9" t="s">
        <v>252</v>
      </c>
      <c r="M1333" s="21">
        <f t="shared" ref="M1333:M1396" si="759">J1333+D1332</f>
        <v>20721</v>
      </c>
    </row>
    <row r="1334" spans="1:13">
      <c r="E1334" s="21">
        <f t="shared" si="758"/>
        <v>1334</v>
      </c>
      <c r="F1334" s="9" t="s">
        <v>142</v>
      </c>
      <c r="M1334" s="21">
        <v>199107</v>
      </c>
    </row>
    <row r="1335" spans="1:13">
      <c r="E1335" s="21">
        <f t="shared" si="758"/>
        <v>1335</v>
      </c>
      <c r="F1335" s="9" t="s">
        <v>126</v>
      </c>
      <c r="G1335" s="21">
        <v>5</v>
      </c>
      <c r="H1335" s="21">
        <v>30</v>
      </c>
      <c r="M1335" s="21">
        <f t="shared" ref="M1335" si="760">(MOD(D1332-1,G1333*H1333)+1)*G1335+H1335*(B1332-1)</f>
        <v>125</v>
      </c>
    </row>
    <row r="1336" spans="1:13">
      <c r="E1336" s="21">
        <f t="shared" si="758"/>
        <v>1336</v>
      </c>
      <c r="F1336" s="9" t="s">
        <v>29</v>
      </c>
      <c r="M1336" s="21" t="s">
        <v>246</v>
      </c>
    </row>
    <row r="1337" spans="1:13">
      <c r="E1337" s="21">
        <f t="shared" si="758"/>
        <v>1337</v>
      </c>
      <c r="F1337" s="9" t="s">
        <v>118</v>
      </c>
      <c r="M1337" s="21" t="s">
        <v>248</v>
      </c>
    </row>
    <row r="1338" spans="1:13">
      <c r="E1338" s="21">
        <f t="shared" si="758"/>
        <v>1338</v>
      </c>
      <c r="F1338" s="9" t="s">
        <v>98</v>
      </c>
      <c r="K1338" s="9" t="s">
        <v>137</v>
      </c>
      <c r="M1338" s="21">
        <v>2</v>
      </c>
    </row>
    <row r="1339" spans="1:13">
      <c r="E1339" s="21">
        <f t="shared" si="758"/>
        <v>1339</v>
      </c>
      <c r="F1339" s="9" t="s">
        <v>175</v>
      </c>
      <c r="K1339" s="9" t="s">
        <v>136</v>
      </c>
      <c r="M1339" s="21" t="s">
        <v>250</v>
      </c>
    </row>
    <row r="1340" spans="1:13">
      <c r="E1340" s="21">
        <f t="shared" si="758"/>
        <v>1340</v>
      </c>
      <c r="F1340" s="9" t="s">
        <v>113</v>
      </c>
      <c r="L1340" s="9" t="s">
        <v>134</v>
      </c>
      <c r="M1340" s="21">
        <v>-90</v>
      </c>
    </row>
    <row r="1341" spans="1:13">
      <c r="E1341" s="21">
        <f t="shared" si="758"/>
        <v>1341</v>
      </c>
      <c r="F1341" s="9" t="s">
        <v>31</v>
      </c>
      <c r="G1341" s="21">
        <v>5</v>
      </c>
      <c r="H1341" s="21">
        <v>72</v>
      </c>
      <c r="L1341" s="9" t="s">
        <v>134</v>
      </c>
      <c r="M1341" s="21">
        <f t="shared" ref="M1341" si="761">(G1341*C1332+(A1332-1)*H1341+H1335*(B1332-1))*-1</f>
        <v>-281</v>
      </c>
    </row>
    <row r="1342" spans="1:13">
      <c r="E1342" s="21">
        <f t="shared" si="758"/>
        <v>1342</v>
      </c>
      <c r="F1342" s="9" t="s">
        <v>30</v>
      </c>
      <c r="M1342" s="21">
        <v>3</v>
      </c>
    </row>
    <row r="1343" spans="1:13">
      <c r="A1343" s="21">
        <f t="shared" ref="A1343:A1406" si="762">QUOTIENT( D1343-1,G1344*H1344)+1</f>
        <v>4</v>
      </c>
      <c r="B1343" s="21">
        <f t="shared" ref="B1343" si="763">QUOTIENT( D1343-1,G1344)+1-(A1343-1)*H1344</f>
        <v>3</v>
      </c>
      <c r="C1343" s="21">
        <f t="shared" ref="C1343" si="764">D1343-(B1343-1)*G1344-((A1343-1)*G1344*H1344)</f>
        <v>2</v>
      </c>
      <c r="D1343" s="21">
        <f>COUNT($D$11:$D1342)+1</f>
        <v>122</v>
      </c>
    </row>
    <row r="1344" spans="1:13">
      <c r="E1344" s="21">
        <f t="shared" si="758"/>
        <v>1344</v>
      </c>
      <c r="F1344" s="9" t="s">
        <v>93</v>
      </c>
      <c r="G1344" s="21">
        <v>6</v>
      </c>
      <c r="H1344" s="21">
        <v>6</v>
      </c>
      <c r="I1344" s="21">
        <v>5</v>
      </c>
      <c r="J1344" s="9" t="s">
        <v>252</v>
      </c>
      <c r="M1344" s="21">
        <f t="shared" ref="M1344:M1407" si="765">J1344+D1343</f>
        <v>20722</v>
      </c>
    </row>
    <row r="1345" spans="1:13">
      <c r="E1345" s="21">
        <f t="shared" si="758"/>
        <v>1345</v>
      </c>
      <c r="F1345" s="9" t="s">
        <v>142</v>
      </c>
      <c r="M1345" s="21">
        <v>199107</v>
      </c>
    </row>
    <row r="1346" spans="1:13">
      <c r="E1346" s="21">
        <f t="shared" si="758"/>
        <v>1346</v>
      </c>
      <c r="F1346" s="9" t="s">
        <v>126</v>
      </c>
      <c r="G1346" s="21">
        <v>5</v>
      </c>
      <c r="H1346" s="21">
        <v>30</v>
      </c>
      <c r="M1346" s="21">
        <f t="shared" ref="M1346" si="766">(MOD(D1343-1,G1344*H1344)+1)*G1346+H1346*(B1343-1)</f>
        <v>130</v>
      </c>
    </row>
    <row r="1347" spans="1:13">
      <c r="E1347" s="21">
        <f t="shared" si="758"/>
        <v>1347</v>
      </c>
      <c r="F1347" s="9" t="s">
        <v>29</v>
      </c>
      <c r="M1347" s="21" t="s">
        <v>246</v>
      </c>
    </row>
    <row r="1348" spans="1:13">
      <c r="E1348" s="21">
        <f t="shared" si="758"/>
        <v>1348</v>
      </c>
      <c r="F1348" s="9" t="s">
        <v>118</v>
      </c>
      <c r="M1348" s="21" t="s">
        <v>248</v>
      </c>
    </row>
    <row r="1349" spans="1:13">
      <c r="E1349" s="21">
        <f t="shared" si="758"/>
        <v>1349</v>
      </c>
      <c r="F1349" s="9" t="s">
        <v>98</v>
      </c>
      <c r="K1349" s="9" t="s">
        <v>137</v>
      </c>
      <c r="M1349" s="21">
        <v>2</v>
      </c>
    </row>
    <row r="1350" spans="1:13">
      <c r="E1350" s="21">
        <f t="shared" si="758"/>
        <v>1350</v>
      </c>
      <c r="F1350" s="9" t="s">
        <v>175</v>
      </c>
      <c r="K1350" s="9" t="s">
        <v>136</v>
      </c>
      <c r="M1350" s="21" t="s">
        <v>250</v>
      </c>
    </row>
    <row r="1351" spans="1:13">
      <c r="E1351" s="21">
        <f t="shared" si="758"/>
        <v>1351</v>
      </c>
      <c r="F1351" s="9" t="s">
        <v>113</v>
      </c>
      <c r="L1351" s="9" t="s">
        <v>134</v>
      </c>
      <c r="M1351" s="21">
        <v>-90</v>
      </c>
    </row>
    <row r="1352" spans="1:13">
      <c r="E1352" s="21">
        <f t="shared" si="758"/>
        <v>1352</v>
      </c>
      <c r="F1352" s="9" t="s">
        <v>31</v>
      </c>
      <c r="G1352" s="21">
        <v>5</v>
      </c>
      <c r="H1352" s="21">
        <v>72</v>
      </c>
      <c r="L1352" s="9" t="s">
        <v>134</v>
      </c>
      <c r="M1352" s="21">
        <f t="shared" ref="M1352" si="767">(G1352*C1343+(A1343-1)*H1352+H1346*(B1343-1))*-1</f>
        <v>-286</v>
      </c>
    </row>
    <row r="1353" spans="1:13">
      <c r="E1353" s="21">
        <f t="shared" si="758"/>
        <v>1353</v>
      </c>
      <c r="F1353" s="9" t="s">
        <v>30</v>
      </c>
      <c r="M1353" s="21">
        <v>3</v>
      </c>
    </row>
    <row r="1354" spans="1:13">
      <c r="A1354" s="21">
        <f t="shared" ref="A1354:A1417" si="768">QUOTIENT( D1354-1,G1355*H1355)+1</f>
        <v>4</v>
      </c>
      <c r="B1354" s="21">
        <f t="shared" ref="B1354" si="769">QUOTIENT( D1354-1,G1355)+1-(A1354-1)*H1355</f>
        <v>3</v>
      </c>
      <c r="C1354" s="21">
        <f t="shared" ref="C1354" si="770">D1354-(B1354-1)*G1355-((A1354-1)*G1355*H1355)</f>
        <v>3</v>
      </c>
      <c r="D1354" s="21">
        <f>COUNT($D$11:$D1353)+1</f>
        <v>123</v>
      </c>
    </row>
    <row r="1355" spans="1:13">
      <c r="E1355" s="21">
        <f t="shared" si="758"/>
        <v>1355</v>
      </c>
      <c r="F1355" s="9" t="s">
        <v>93</v>
      </c>
      <c r="G1355" s="21">
        <v>6</v>
      </c>
      <c r="H1355" s="21">
        <v>6</v>
      </c>
      <c r="I1355" s="21">
        <v>5</v>
      </c>
      <c r="J1355" s="9" t="s">
        <v>252</v>
      </c>
      <c r="M1355" s="21">
        <f t="shared" ref="M1355:M1418" si="771">J1355+D1354</f>
        <v>20723</v>
      </c>
    </row>
    <row r="1356" spans="1:13">
      <c r="E1356" s="21">
        <f t="shared" si="758"/>
        <v>1356</v>
      </c>
      <c r="F1356" s="9" t="s">
        <v>142</v>
      </c>
      <c r="M1356" s="21">
        <v>199107</v>
      </c>
    </row>
    <row r="1357" spans="1:13">
      <c r="E1357" s="21">
        <f t="shared" si="758"/>
        <v>1357</v>
      </c>
      <c r="F1357" s="9" t="s">
        <v>126</v>
      </c>
      <c r="G1357" s="21">
        <v>5</v>
      </c>
      <c r="H1357" s="21">
        <v>30</v>
      </c>
      <c r="M1357" s="21">
        <f t="shared" ref="M1357" si="772">(MOD(D1354-1,G1355*H1355)+1)*G1357+H1357*(B1354-1)</f>
        <v>135</v>
      </c>
    </row>
    <row r="1358" spans="1:13">
      <c r="E1358" s="21">
        <f t="shared" si="758"/>
        <v>1358</v>
      </c>
      <c r="F1358" s="9" t="s">
        <v>29</v>
      </c>
      <c r="M1358" s="21" t="s">
        <v>246</v>
      </c>
    </row>
    <row r="1359" spans="1:13">
      <c r="E1359" s="21">
        <f t="shared" si="758"/>
        <v>1359</v>
      </c>
      <c r="F1359" s="9" t="s">
        <v>118</v>
      </c>
      <c r="M1359" s="21" t="s">
        <v>248</v>
      </c>
    </row>
    <row r="1360" spans="1:13">
      <c r="E1360" s="21">
        <f t="shared" si="758"/>
        <v>1360</v>
      </c>
      <c r="F1360" s="9" t="s">
        <v>98</v>
      </c>
      <c r="K1360" s="9" t="s">
        <v>137</v>
      </c>
      <c r="M1360" s="21">
        <v>2</v>
      </c>
    </row>
    <row r="1361" spans="1:13">
      <c r="E1361" s="21">
        <f t="shared" si="758"/>
        <v>1361</v>
      </c>
      <c r="F1361" s="9" t="s">
        <v>175</v>
      </c>
      <c r="K1361" s="9" t="s">
        <v>136</v>
      </c>
      <c r="M1361" s="21" t="s">
        <v>250</v>
      </c>
    </row>
    <row r="1362" spans="1:13">
      <c r="E1362" s="21">
        <f t="shared" si="758"/>
        <v>1362</v>
      </c>
      <c r="F1362" s="9" t="s">
        <v>113</v>
      </c>
      <c r="L1362" s="9" t="s">
        <v>134</v>
      </c>
      <c r="M1362" s="21">
        <v>-90</v>
      </c>
    </row>
    <row r="1363" spans="1:13">
      <c r="E1363" s="21">
        <f t="shared" si="758"/>
        <v>1363</v>
      </c>
      <c r="F1363" s="9" t="s">
        <v>31</v>
      </c>
      <c r="G1363" s="21">
        <v>5</v>
      </c>
      <c r="H1363" s="21">
        <v>72</v>
      </c>
      <c r="L1363" s="9" t="s">
        <v>134</v>
      </c>
      <c r="M1363" s="21">
        <f t="shared" ref="M1363" si="773">(G1363*C1354+(A1354-1)*H1363+H1357*(B1354-1))*-1</f>
        <v>-291</v>
      </c>
    </row>
    <row r="1364" spans="1:13">
      <c r="E1364" s="21">
        <f t="shared" si="758"/>
        <v>1364</v>
      </c>
      <c r="F1364" s="9" t="s">
        <v>30</v>
      </c>
      <c r="M1364" s="21">
        <v>3</v>
      </c>
    </row>
    <row r="1365" spans="1:13">
      <c r="A1365" s="21">
        <f t="shared" ref="A1365:A1428" si="774">QUOTIENT( D1365-1,G1366*H1366)+1</f>
        <v>4</v>
      </c>
      <c r="B1365" s="21">
        <f t="shared" ref="B1365" si="775">QUOTIENT( D1365-1,G1366)+1-(A1365-1)*H1366</f>
        <v>3</v>
      </c>
      <c r="C1365" s="21">
        <f t="shared" ref="C1365" si="776">D1365-(B1365-1)*G1366-((A1365-1)*G1366*H1366)</f>
        <v>4</v>
      </c>
      <c r="D1365" s="21">
        <f>COUNT($D$11:$D1364)+1</f>
        <v>124</v>
      </c>
    </row>
    <row r="1366" spans="1:13">
      <c r="E1366" s="21">
        <f t="shared" si="758"/>
        <v>1366</v>
      </c>
      <c r="F1366" s="9" t="s">
        <v>93</v>
      </c>
      <c r="G1366" s="21">
        <v>6</v>
      </c>
      <c r="H1366" s="21">
        <v>6</v>
      </c>
      <c r="I1366" s="21">
        <v>5</v>
      </c>
      <c r="J1366" s="9" t="s">
        <v>252</v>
      </c>
      <c r="M1366" s="21">
        <f t="shared" ref="M1366:M1429" si="777">J1366+D1365</f>
        <v>20724</v>
      </c>
    </row>
    <row r="1367" spans="1:13">
      <c r="E1367" s="21">
        <f t="shared" si="758"/>
        <v>1367</v>
      </c>
      <c r="F1367" s="9" t="s">
        <v>142</v>
      </c>
      <c r="M1367" s="21">
        <v>199107</v>
      </c>
    </row>
    <row r="1368" spans="1:13">
      <c r="E1368" s="21">
        <f t="shared" si="758"/>
        <v>1368</v>
      </c>
      <c r="F1368" s="9" t="s">
        <v>126</v>
      </c>
      <c r="G1368" s="21">
        <v>5</v>
      </c>
      <c r="H1368" s="21">
        <v>30</v>
      </c>
      <c r="M1368" s="21">
        <f t="shared" ref="M1368" si="778">(MOD(D1365-1,G1366*H1366)+1)*G1368+H1368*(B1365-1)</f>
        <v>140</v>
      </c>
    </row>
    <row r="1369" spans="1:13">
      <c r="E1369" s="21">
        <f t="shared" si="758"/>
        <v>1369</v>
      </c>
      <c r="F1369" s="9" t="s">
        <v>29</v>
      </c>
      <c r="M1369" s="21" t="s">
        <v>246</v>
      </c>
    </row>
    <row r="1370" spans="1:13">
      <c r="E1370" s="21">
        <f t="shared" si="758"/>
        <v>1370</v>
      </c>
      <c r="F1370" s="9" t="s">
        <v>118</v>
      </c>
      <c r="M1370" s="21" t="s">
        <v>248</v>
      </c>
    </row>
    <row r="1371" spans="1:13">
      <c r="E1371" s="21">
        <f t="shared" si="758"/>
        <v>1371</v>
      </c>
      <c r="F1371" s="9" t="s">
        <v>98</v>
      </c>
      <c r="K1371" s="9" t="s">
        <v>137</v>
      </c>
      <c r="M1371" s="21">
        <v>2</v>
      </c>
    </row>
    <row r="1372" spans="1:13">
      <c r="E1372" s="21">
        <f t="shared" si="758"/>
        <v>1372</v>
      </c>
      <c r="F1372" s="9" t="s">
        <v>175</v>
      </c>
      <c r="K1372" s="9" t="s">
        <v>136</v>
      </c>
      <c r="M1372" s="21" t="s">
        <v>250</v>
      </c>
    </row>
    <row r="1373" spans="1:13">
      <c r="E1373" s="21">
        <f t="shared" si="758"/>
        <v>1373</v>
      </c>
      <c r="F1373" s="9" t="s">
        <v>113</v>
      </c>
      <c r="L1373" s="9" t="s">
        <v>134</v>
      </c>
      <c r="M1373" s="21">
        <v>-90</v>
      </c>
    </row>
    <row r="1374" spans="1:13">
      <c r="E1374" s="21">
        <f t="shared" si="758"/>
        <v>1374</v>
      </c>
      <c r="F1374" s="9" t="s">
        <v>31</v>
      </c>
      <c r="G1374" s="21">
        <v>5</v>
      </c>
      <c r="H1374" s="21">
        <v>72</v>
      </c>
      <c r="L1374" s="9" t="s">
        <v>134</v>
      </c>
      <c r="M1374" s="21">
        <f t="shared" ref="M1374" si="779">(G1374*C1365+(A1365-1)*H1374+H1368*(B1365-1))*-1</f>
        <v>-296</v>
      </c>
    </row>
    <row r="1375" spans="1:13">
      <c r="E1375" s="21">
        <f t="shared" si="758"/>
        <v>1375</v>
      </c>
      <c r="F1375" s="9" t="s">
        <v>30</v>
      </c>
      <c r="M1375" s="21">
        <v>3</v>
      </c>
    </row>
    <row r="1376" spans="1:13">
      <c r="A1376" s="21">
        <f t="shared" ref="A1376:A1439" si="780">QUOTIENT( D1376-1,G1377*H1377)+1</f>
        <v>4</v>
      </c>
      <c r="B1376" s="21">
        <f t="shared" ref="B1376" si="781">QUOTIENT( D1376-1,G1377)+1-(A1376-1)*H1377</f>
        <v>3</v>
      </c>
      <c r="C1376" s="21">
        <f t="shared" ref="C1376" si="782">D1376-(B1376-1)*G1377-((A1376-1)*G1377*H1377)</f>
        <v>5</v>
      </c>
      <c r="D1376" s="21">
        <f>COUNT($D$11:$D1375)+1</f>
        <v>125</v>
      </c>
    </row>
    <row r="1377" spans="1:13">
      <c r="E1377" s="21">
        <f t="shared" si="758"/>
        <v>1377</v>
      </c>
      <c r="F1377" s="9" t="s">
        <v>93</v>
      </c>
      <c r="G1377" s="21">
        <v>6</v>
      </c>
      <c r="H1377" s="21">
        <v>6</v>
      </c>
      <c r="I1377" s="21">
        <v>5</v>
      </c>
      <c r="J1377" s="9" t="s">
        <v>252</v>
      </c>
      <c r="M1377" s="21">
        <f t="shared" ref="M1377:M1440" si="783">J1377+D1376</f>
        <v>20725</v>
      </c>
    </row>
    <row r="1378" spans="1:13">
      <c r="E1378" s="21">
        <f t="shared" si="758"/>
        <v>1378</v>
      </c>
      <c r="F1378" s="9" t="s">
        <v>142</v>
      </c>
      <c r="M1378" s="21">
        <v>199107</v>
      </c>
    </row>
    <row r="1379" spans="1:13">
      <c r="E1379" s="21">
        <f t="shared" si="758"/>
        <v>1379</v>
      </c>
      <c r="F1379" s="9" t="s">
        <v>126</v>
      </c>
      <c r="G1379" s="21">
        <v>5</v>
      </c>
      <c r="H1379" s="21">
        <v>30</v>
      </c>
      <c r="M1379" s="21">
        <f t="shared" ref="M1379" si="784">(MOD(D1376-1,G1377*H1377)+1)*G1379+H1379*(B1376-1)</f>
        <v>145</v>
      </c>
    </row>
    <row r="1380" spans="1:13">
      <c r="E1380" s="21">
        <f t="shared" si="758"/>
        <v>1380</v>
      </c>
      <c r="F1380" s="9" t="s">
        <v>29</v>
      </c>
      <c r="M1380" s="21" t="s">
        <v>246</v>
      </c>
    </row>
    <row r="1381" spans="1:13">
      <c r="E1381" s="21">
        <f t="shared" si="758"/>
        <v>1381</v>
      </c>
      <c r="F1381" s="9" t="s">
        <v>118</v>
      </c>
      <c r="M1381" s="21" t="s">
        <v>248</v>
      </c>
    </row>
    <row r="1382" spans="1:13">
      <c r="E1382" s="21">
        <f t="shared" si="758"/>
        <v>1382</v>
      </c>
      <c r="F1382" s="9" t="s">
        <v>98</v>
      </c>
      <c r="K1382" s="9" t="s">
        <v>137</v>
      </c>
      <c r="M1382" s="21">
        <v>2</v>
      </c>
    </row>
    <row r="1383" spans="1:13">
      <c r="E1383" s="21">
        <f t="shared" si="758"/>
        <v>1383</v>
      </c>
      <c r="F1383" s="9" t="s">
        <v>175</v>
      </c>
      <c r="K1383" s="9" t="s">
        <v>136</v>
      </c>
      <c r="M1383" s="21" t="s">
        <v>250</v>
      </c>
    </row>
    <row r="1384" spans="1:13">
      <c r="E1384" s="21">
        <f t="shared" si="758"/>
        <v>1384</v>
      </c>
      <c r="F1384" s="9" t="s">
        <v>113</v>
      </c>
      <c r="L1384" s="9" t="s">
        <v>134</v>
      </c>
      <c r="M1384" s="21">
        <v>-90</v>
      </c>
    </row>
    <row r="1385" spans="1:13">
      <c r="E1385" s="21">
        <f t="shared" si="758"/>
        <v>1385</v>
      </c>
      <c r="F1385" s="9" t="s">
        <v>31</v>
      </c>
      <c r="G1385" s="21">
        <v>5</v>
      </c>
      <c r="H1385" s="21">
        <v>72</v>
      </c>
      <c r="L1385" s="9" t="s">
        <v>134</v>
      </c>
      <c r="M1385" s="21">
        <f t="shared" ref="M1385" si="785">(G1385*C1376+(A1376-1)*H1385+H1379*(B1376-1))*-1</f>
        <v>-301</v>
      </c>
    </row>
    <row r="1386" spans="1:13">
      <c r="E1386" s="21">
        <f t="shared" si="758"/>
        <v>1386</v>
      </c>
      <c r="F1386" s="9" t="s">
        <v>30</v>
      </c>
      <c r="M1386" s="21">
        <v>3</v>
      </c>
    </row>
    <row r="1387" spans="1:13">
      <c r="A1387" s="21">
        <f t="shared" ref="A1387:A1450" si="786">QUOTIENT( D1387-1,G1388*H1388)+1</f>
        <v>4</v>
      </c>
      <c r="B1387" s="21">
        <f t="shared" ref="B1387" si="787">QUOTIENT( D1387-1,G1388)+1-(A1387-1)*H1388</f>
        <v>3</v>
      </c>
      <c r="C1387" s="21">
        <f t="shared" ref="C1387" si="788">D1387-(B1387-1)*G1388-((A1387-1)*G1388*H1388)</f>
        <v>6</v>
      </c>
      <c r="D1387" s="21">
        <f>COUNT($D$11:$D1386)+1</f>
        <v>126</v>
      </c>
    </row>
    <row r="1388" spans="1:13">
      <c r="E1388" s="21">
        <f t="shared" si="758"/>
        <v>1388</v>
      </c>
      <c r="F1388" s="9" t="s">
        <v>93</v>
      </c>
      <c r="G1388" s="21">
        <v>6</v>
      </c>
      <c r="H1388" s="21">
        <v>6</v>
      </c>
      <c r="I1388" s="21">
        <v>5</v>
      </c>
      <c r="J1388" s="9" t="s">
        <v>252</v>
      </c>
      <c r="M1388" s="21">
        <f t="shared" ref="M1388:M1451" si="789">J1388+D1387</f>
        <v>20726</v>
      </c>
    </row>
    <row r="1389" spans="1:13">
      <c r="E1389" s="21">
        <f t="shared" si="758"/>
        <v>1389</v>
      </c>
      <c r="F1389" s="9" t="s">
        <v>142</v>
      </c>
      <c r="M1389" s="21">
        <v>199107</v>
      </c>
    </row>
    <row r="1390" spans="1:13">
      <c r="E1390" s="21">
        <f t="shared" si="758"/>
        <v>1390</v>
      </c>
      <c r="F1390" s="9" t="s">
        <v>126</v>
      </c>
      <c r="G1390" s="21">
        <v>5</v>
      </c>
      <c r="H1390" s="21">
        <v>30</v>
      </c>
      <c r="M1390" s="21">
        <f t="shared" ref="M1390" si="790">(MOD(D1387-1,G1388*H1388)+1)*G1390+H1390*(B1387-1)</f>
        <v>150</v>
      </c>
    </row>
    <row r="1391" spans="1:13">
      <c r="E1391" s="21">
        <f t="shared" si="758"/>
        <v>1391</v>
      </c>
      <c r="F1391" s="9" t="s">
        <v>29</v>
      </c>
      <c r="M1391" s="21" t="s">
        <v>246</v>
      </c>
    </row>
    <row r="1392" spans="1:13">
      <c r="E1392" s="21">
        <f t="shared" si="758"/>
        <v>1392</v>
      </c>
      <c r="F1392" s="9" t="s">
        <v>118</v>
      </c>
      <c r="M1392" s="21" t="s">
        <v>248</v>
      </c>
    </row>
    <row r="1393" spans="1:13">
      <c r="E1393" s="21">
        <f t="shared" si="758"/>
        <v>1393</v>
      </c>
      <c r="F1393" s="9" t="s">
        <v>98</v>
      </c>
      <c r="K1393" s="9" t="s">
        <v>137</v>
      </c>
      <c r="M1393" s="21">
        <v>2</v>
      </c>
    </row>
    <row r="1394" spans="1:13">
      <c r="E1394" s="21">
        <f t="shared" si="758"/>
        <v>1394</v>
      </c>
      <c r="F1394" s="9" t="s">
        <v>175</v>
      </c>
      <c r="K1394" s="9" t="s">
        <v>136</v>
      </c>
      <c r="M1394" s="21" t="s">
        <v>250</v>
      </c>
    </row>
    <row r="1395" spans="1:13">
      <c r="E1395" s="21">
        <f t="shared" si="758"/>
        <v>1395</v>
      </c>
      <c r="F1395" s="9" t="s">
        <v>113</v>
      </c>
      <c r="L1395" s="9" t="s">
        <v>134</v>
      </c>
      <c r="M1395" s="21">
        <v>-90</v>
      </c>
    </row>
    <row r="1396" spans="1:13">
      <c r="E1396" s="21">
        <f t="shared" si="758"/>
        <v>1396</v>
      </c>
      <c r="F1396" s="9" t="s">
        <v>31</v>
      </c>
      <c r="G1396" s="21">
        <v>5</v>
      </c>
      <c r="H1396" s="21">
        <v>72</v>
      </c>
      <c r="L1396" s="9" t="s">
        <v>134</v>
      </c>
      <c r="M1396" s="21">
        <f t="shared" ref="M1396" si="791">(G1396*C1387+(A1387-1)*H1396+H1390*(B1387-1))*-1</f>
        <v>-306</v>
      </c>
    </row>
    <row r="1397" spans="1:13">
      <c r="E1397" s="21">
        <f t="shared" ref="E1397:E1460" si="792">ROW(E1397)</f>
        <v>1397</v>
      </c>
      <c r="F1397" s="9" t="s">
        <v>30</v>
      </c>
      <c r="M1397" s="21">
        <v>3</v>
      </c>
    </row>
    <row r="1398" spans="1:13">
      <c r="A1398" s="21">
        <f t="shared" ref="A1398:A1461" si="793">QUOTIENT( D1398-1,G1399*H1399)+1</f>
        <v>4</v>
      </c>
      <c r="B1398" s="21">
        <f t="shared" ref="B1398" si="794">QUOTIENT( D1398-1,G1399)+1-(A1398-1)*H1399</f>
        <v>4</v>
      </c>
      <c r="C1398" s="21">
        <f t="shared" ref="C1398" si="795">D1398-(B1398-1)*G1399-((A1398-1)*G1399*H1399)</f>
        <v>1</v>
      </c>
      <c r="D1398" s="21">
        <f>COUNT($D$11:$D1397)+1</f>
        <v>127</v>
      </c>
    </row>
    <row r="1399" spans="1:13">
      <c r="E1399" s="21">
        <f t="shared" ref="E1399:E1462" si="796">ROW(E1399)</f>
        <v>1399</v>
      </c>
      <c r="F1399" s="9" t="s">
        <v>93</v>
      </c>
      <c r="G1399" s="21">
        <v>6</v>
      </c>
      <c r="H1399" s="21">
        <v>6</v>
      </c>
      <c r="I1399" s="21">
        <v>5</v>
      </c>
      <c r="J1399" s="9" t="s">
        <v>252</v>
      </c>
      <c r="M1399" s="21">
        <f t="shared" ref="M1399:M1462" si="797">J1399+D1398</f>
        <v>20727</v>
      </c>
    </row>
    <row r="1400" spans="1:13">
      <c r="E1400" s="21">
        <f t="shared" si="796"/>
        <v>1400</v>
      </c>
      <c r="F1400" s="9" t="s">
        <v>142</v>
      </c>
      <c r="M1400" s="21">
        <v>199107</v>
      </c>
    </row>
    <row r="1401" spans="1:13">
      <c r="E1401" s="21">
        <f t="shared" si="796"/>
        <v>1401</v>
      </c>
      <c r="F1401" s="9" t="s">
        <v>126</v>
      </c>
      <c r="G1401" s="21">
        <v>5</v>
      </c>
      <c r="H1401" s="21">
        <v>30</v>
      </c>
      <c r="M1401" s="21">
        <f t="shared" ref="M1401" si="798">(MOD(D1398-1,G1399*H1399)+1)*G1401+H1401*(B1398-1)</f>
        <v>185</v>
      </c>
    </row>
    <row r="1402" spans="1:13">
      <c r="E1402" s="21">
        <f t="shared" si="796"/>
        <v>1402</v>
      </c>
      <c r="F1402" s="9" t="s">
        <v>29</v>
      </c>
      <c r="M1402" s="21" t="s">
        <v>246</v>
      </c>
    </row>
    <row r="1403" spans="1:13">
      <c r="E1403" s="21">
        <f t="shared" si="796"/>
        <v>1403</v>
      </c>
      <c r="F1403" s="9" t="s">
        <v>118</v>
      </c>
      <c r="M1403" s="21" t="s">
        <v>248</v>
      </c>
    </row>
    <row r="1404" spans="1:13">
      <c r="E1404" s="21">
        <f t="shared" si="796"/>
        <v>1404</v>
      </c>
      <c r="F1404" s="9" t="s">
        <v>98</v>
      </c>
      <c r="K1404" s="9" t="s">
        <v>137</v>
      </c>
      <c r="M1404" s="21">
        <v>2</v>
      </c>
    </row>
    <row r="1405" spans="1:13">
      <c r="E1405" s="21">
        <f t="shared" si="796"/>
        <v>1405</v>
      </c>
      <c r="F1405" s="9" t="s">
        <v>175</v>
      </c>
      <c r="K1405" s="9" t="s">
        <v>136</v>
      </c>
      <c r="M1405" s="21" t="s">
        <v>250</v>
      </c>
    </row>
    <row r="1406" spans="1:13">
      <c r="E1406" s="21">
        <f t="shared" si="796"/>
        <v>1406</v>
      </c>
      <c r="F1406" s="9" t="s">
        <v>113</v>
      </c>
      <c r="L1406" s="9" t="s">
        <v>134</v>
      </c>
      <c r="M1406" s="21">
        <v>-90</v>
      </c>
    </row>
    <row r="1407" spans="1:13">
      <c r="E1407" s="21">
        <f t="shared" si="796"/>
        <v>1407</v>
      </c>
      <c r="F1407" s="9" t="s">
        <v>31</v>
      </c>
      <c r="G1407" s="21">
        <v>5</v>
      </c>
      <c r="H1407" s="21">
        <v>72</v>
      </c>
      <c r="L1407" s="9" t="s">
        <v>134</v>
      </c>
      <c r="M1407" s="21">
        <f t="shared" ref="M1407" si="799">(G1407*C1398+(A1398-1)*H1407+H1401*(B1398-1))*-1</f>
        <v>-311</v>
      </c>
    </row>
    <row r="1408" spans="1:13">
      <c r="E1408" s="21">
        <f t="shared" si="796"/>
        <v>1408</v>
      </c>
      <c r="F1408" s="9" t="s">
        <v>30</v>
      </c>
      <c r="M1408" s="21">
        <v>3</v>
      </c>
    </row>
    <row r="1409" spans="1:13">
      <c r="A1409" s="21">
        <f t="shared" ref="A1409:A1472" si="800">QUOTIENT( D1409-1,G1410*H1410)+1</f>
        <v>4</v>
      </c>
      <c r="B1409" s="21">
        <f t="shared" ref="B1409" si="801">QUOTIENT( D1409-1,G1410)+1-(A1409-1)*H1410</f>
        <v>4</v>
      </c>
      <c r="C1409" s="21">
        <f t="shared" ref="C1409" si="802">D1409-(B1409-1)*G1410-((A1409-1)*G1410*H1410)</f>
        <v>2</v>
      </c>
      <c r="D1409" s="21">
        <f>COUNT($D$11:$D1408)+1</f>
        <v>128</v>
      </c>
    </row>
    <row r="1410" spans="1:13">
      <c r="E1410" s="21">
        <f t="shared" si="796"/>
        <v>1410</v>
      </c>
      <c r="F1410" s="9" t="s">
        <v>93</v>
      </c>
      <c r="G1410" s="21">
        <v>6</v>
      </c>
      <c r="H1410" s="21">
        <v>6</v>
      </c>
      <c r="I1410" s="21">
        <v>5</v>
      </c>
      <c r="J1410" s="9" t="s">
        <v>252</v>
      </c>
      <c r="M1410" s="21">
        <f t="shared" ref="M1410:M1473" si="803">J1410+D1409</f>
        <v>20728</v>
      </c>
    </row>
    <row r="1411" spans="1:13">
      <c r="E1411" s="21">
        <f t="shared" si="796"/>
        <v>1411</v>
      </c>
      <c r="F1411" s="9" t="s">
        <v>142</v>
      </c>
      <c r="M1411" s="21">
        <v>199107</v>
      </c>
    </row>
    <row r="1412" spans="1:13">
      <c r="E1412" s="21">
        <f t="shared" si="796"/>
        <v>1412</v>
      </c>
      <c r="F1412" s="9" t="s">
        <v>126</v>
      </c>
      <c r="G1412" s="21">
        <v>5</v>
      </c>
      <c r="H1412" s="21">
        <v>30</v>
      </c>
      <c r="M1412" s="21">
        <f t="shared" ref="M1412" si="804">(MOD(D1409-1,G1410*H1410)+1)*G1412+H1412*(B1409-1)</f>
        <v>190</v>
      </c>
    </row>
    <row r="1413" spans="1:13">
      <c r="E1413" s="21">
        <f t="shared" si="796"/>
        <v>1413</v>
      </c>
      <c r="F1413" s="9" t="s">
        <v>29</v>
      </c>
      <c r="M1413" s="21" t="s">
        <v>246</v>
      </c>
    </row>
    <row r="1414" spans="1:13">
      <c r="E1414" s="21">
        <f t="shared" si="796"/>
        <v>1414</v>
      </c>
      <c r="F1414" s="9" t="s">
        <v>118</v>
      </c>
      <c r="M1414" s="21" t="s">
        <v>248</v>
      </c>
    </row>
    <row r="1415" spans="1:13">
      <c r="E1415" s="21">
        <f t="shared" si="796"/>
        <v>1415</v>
      </c>
      <c r="F1415" s="9" t="s">
        <v>98</v>
      </c>
      <c r="K1415" s="9" t="s">
        <v>137</v>
      </c>
      <c r="M1415" s="21">
        <v>2</v>
      </c>
    </row>
    <row r="1416" spans="1:13">
      <c r="E1416" s="21">
        <f t="shared" si="796"/>
        <v>1416</v>
      </c>
      <c r="F1416" s="9" t="s">
        <v>175</v>
      </c>
      <c r="K1416" s="9" t="s">
        <v>136</v>
      </c>
      <c r="M1416" s="21" t="s">
        <v>250</v>
      </c>
    </row>
    <row r="1417" spans="1:13">
      <c r="E1417" s="21">
        <f t="shared" si="796"/>
        <v>1417</v>
      </c>
      <c r="F1417" s="9" t="s">
        <v>113</v>
      </c>
      <c r="L1417" s="9" t="s">
        <v>134</v>
      </c>
      <c r="M1417" s="21">
        <v>-90</v>
      </c>
    </row>
    <row r="1418" spans="1:13">
      <c r="E1418" s="21">
        <f t="shared" si="796"/>
        <v>1418</v>
      </c>
      <c r="F1418" s="9" t="s">
        <v>31</v>
      </c>
      <c r="G1418" s="21">
        <v>5</v>
      </c>
      <c r="H1418" s="21">
        <v>72</v>
      </c>
      <c r="L1418" s="9" t="s">
        <v>134</v>
      </c>
      <c r="M1418" s="21">
        <f t="shared" ref="M1418" si="805">(G1418*C1409+(A1409-1)*H1418+H1412*(B1409-1))*-1</f>
        <v>-316</v>
      </c>
    </row>
    <row r="1419" spans="1:13">
      <c r="E1419" s="21">
        <f t="shared" si="796"/>
        <v>1419</v>
      </c>
      <c r="F1419" s="9" t="s">
        <v>30</v>
      </c>
      <c r="M1419" s="21">
        <v>3</v>
      </c>
    </row>
    <row r="1420" spans="1:13">
      <c r="A1420" s="21">
        <f t="shared" ref="A1420:A1483" si="806">QUOTIENT( D1420-1,G1421*H1421)+1</f>
        <v>4</v>
      </c>
      <c r="B1420" s="21">
        <f t="shared" ref="B1420" si="807">QUOTIENT( D1420-1,G1421)+1-(A1420-1)*H1421</f>
        <v>4</v>
      </c>
      <c r="C1420" s="21">
        <f t="shared" ref="C1420" si="808">D1420-(B1420-1)*G1421-((A1420-1)*G1421*H1421)</f>
        <v>3</v>
      </c>
      <c r="D1420" s="21">
        <f>COUNT($D$11:$D1419)+1</f>
        <v>129</v>
      </c>
    </row>
    <row r="1421" spans="1:13">
      <c r="E1421" s="21">
        <f t="shared" si="796"/>
        <v>1421</v>
      </c>
      <c r="F1421" s="9" t="s">
        <v>93</v>
      </c>
      <c r="G1421" s="21">
        <v>6</v>
      </c>
      <c r="H1421" s="21">
        <v>6</v>
      </c>
      <c r="I1421" s="21">
        <v>5</v>
      </c>
      <c r="J1421" s="9" t="s">
        <v>252</v>
      </c>
      <c r="M1421" s="21">
        <f t="shared" ref="M1421:M1484" si="809">J1421+D1420</f>
        <v>20729</v>
      </c>
    </row>
    <row r="1422" spans="1:13">
      <c r="E1422" s="21">
        <f t="shared" si="796"/>
        <v>1422</v>
      </c>
      <c r="F1422" s="9" t="s">
        <v>142</v>
      </c>
      <c r="M1422" s="21">
        <v>199107</v>
      </c>
    </row>
    <row r="1423" spans="1:13">
      <c r="E1423" s="21">
        <f t="shared" si="796"/>
        <v>1423</v>
      </c>
      <c r="F1423" s="9" t="s">
        <v>126</v>
      </c>
      <c r="G1423" s="21">
        <v>5</v>
      </c>
      <c r="H1423" s="21">
        <v>30</v>
      </c>
      <c r="M1423" s="21">
        <f t="shared" ref="M1423" si="810">(MOD(D1420-1,G1421*H1421)+1)*G1423+H1423*(B1420-1)</f>
        <v>195</v>
      </c>
    </row>
    <row r="1424" spans="1:13">
      <c r="E1424" s="21">
        <f t="shared" si="796"/>
        <v>1424</v>
      </c>
      <c r="F1424" s="9" t="s">
        <v>29</v>
      </c>
      <c r="M1424" s="21" t="s">
        <v>246</v>
      </c>
    </row>
    <row r="1425" spans="1:13">
      <c r="E1425" s="21">
        <f t="shared" si="796"/>
        <v>1425</v>
      </c>
      <c r="F1425" s="9" t="s">
        <v>118</v>
      </c>
      <c r="M1425" s="21" t="s">
        <v>248</v>
      </c>
    </row>
    <row r="1426" spans="1:13">
      <c r="E1426" s="21">
        <f t="shared" si="796"/>
        <v>1426</v>
      </c>
      <c r="F1426" s="9" t="s">
        <v>98</v>
      </c>
      <c r="K1426" s="9" t="s">
        <v>137</v>
      </c>
      <c r="M1426" s="21">
        <v>2</v>
      </c>
    </row>
    <row r="1427" spans="1:13">
      <c r="E1427" s="21">
        <f t="shared" si="796"/>
        <v>1427</v>
      </c>
      <c r="F1427" s="9" t="s">
        <v>175</v>
      </c>
      <c r="K1427" s="9" t="s">
        <v>136</v>
      </c>
      <c r="M1427" s="21" t="s">
        <v>250</v>
      </c>
    </row>
    <row r="1428" spans="1:13">
      <c r="E1428" s="21">
        <f t="shared" si="796"/>
        <v>1428</v>
      </c>
      <c r="F1428" s="9" t="s">
        <v>113</v>
      </c>
      <c r="L1428" s="9" t="s">
        <v>134</v>
      </c>
      <c r="M1428" s="21">
        <v>-90</v>
      </c>
    </row>
    <row r="1429" spans="1:13">
      <c r="E1429" s="21">
        <f t="shared" si="796"/>
        <v>1429</v>
      </c>
      <c r="F1429" s="9" t="s">
        <v>31</v>
      </c>
      <c r="G1429" s="21">
        <v>5</v>
      </c>
      <c r="H1429" s="21">
        <v>72</v>
      </c>
      <c r="L1429" s="9" t="s">
        <v>134</v>
      </c>
      <c r="M1429" s="21">
        <f t="shared" ref="M1429" si="811">(G1429*C1420+(A1420-1)*H1429+H1423*(B1420-1))*-1</f>
        <v>-321</v>
      </c>
    </row>
    <row r="1430" spans="1:13">
      <c r="E1430" s="21">
        <f t="shared" si="796"/>
        <v>1430</v>
      </c>
      <c r="F1430" s="9" t="s">
        <v>30</v>
      </c>
      <c r="M1430" s="21">
        <v>3</v>
      </c>
    </row>
    <row r="1431" spans="1:13">
      <c r="A1431" s="21">
        <f t="shared" ref="A1431:A1494" si="812">QUOTIENT( D1431-1,G1432*H1432)+1</f>
        <v>4</v>
      </c>
      <c r="B1431" s="21">
        <f t="shared" ref="B1431" si="813">QUOTIENT( D1431-1,G1432)+1-(A1431-1)*H1432</f>
        <v>4</v>
      </c>
      <c r="C1431" s="21">
        <f t="shared" ref="C1431" si="814">D1431-(B1431-1)*G1432-((A1431-1)*G1432*H1432)</f>
        <v>4</v>
      </c>
      <c r="D1431" s="21">
        <f>COUNT($D$11:$D1430)+1</f>
        <v>130</v>
      </c>
    </row>
    <row r="1432" spans="1:13">
      <c r="E1432" s="21">
        <f t="shared" si="796"/>
        <v>1432</v>
      </c>
      <c r="F1432" s="9" t="s">
        <v>93</v>
      </c>
      <c r="G1432" s="21">
        <v>6</v>
      </c>
      <c r="H1432" s="21">
        <v>6</v>
      </c>
      <c r="I1432" s="21">
        <v>5</v>
      </c>
      <c r="J1432" s="9" t="s">
        <v>252</v>
      </c>
      <c r="M1432" s="21">
        <f t="shared" ref="M1432:M1495" si="815">J1432+D1431</f>
        <v>20730</v>
      </c>
    </row>
    <row r="1433" spans="1:13">
      <c r="E1433" s="21">
        <f t="shared" si="796"/>
        <v>1433</v>
      </c>
      <c r="F1433" s="9" t="s">
        <v>142</v>
      </c>
      <c r="M1433" s="21">
        <v>199107</v>
      </c>
    </row>
    <row r="1434" spans="1:13">
      <c r="E1434" s="21">
        <f t="shared" si="796"/>
        <v>1434</v>
      </c>
      <c r="F1434" s="9" t="s">
        <v>126</v>
      </c>
      <c r="G1434" s="21">
        <v>5</v>
      </c>
      <c r="H1434" s="21">
        <v>30</v>
      </c>
      <c r="M1434" s="21">
        <f t="shared" ref="M1434" si="816">(MOD(D1431-1,G1432*H1432)+1)*G1434+H1434*(B1431-1)</f>
        <v>200</v>
      </c>
    </row>
    <row r="1435" spans="1:13">
      <c r="E1435" s="21">
        <f t="shared" si="796"/>
        <v>1435</v>
      </c>
      <c r="F1435" s="9" t="s">
        <v>29</v>
      </c>
      <c r="M1435" s="21" t="s">
        <v>246</v>
      </c>
    </row>
    <row r="1436" spans="1:13">
      <c r="E1436" s="21">
        <f t="shared" si="796"/>
        <v>1436</v>
      </c>
      <c r="F1436" s="9" t="s">
        <v>118</v>
      </c>
      <c r="M1436" s="21" t="s">
        <v>248</v>
      </c>
    </row>
    <row r="1437" spans="1:13">
      <c r="E1437" s="21">
        <f t="shared" si="796"/>
        <v>1437</v>
      </c>
      <c r="F1437" s="9" t="s">
        <v>98</v>
      </c>
      <c r="K1437" s="9" t="s">
        <v>137</v>
      </c>
      <c r="M1437" s="21">
        <v>2</v>
      </c>
    </row>
    <row r="1438" spans="1:13">
      <c r="E1438" s="21">
        <f t="shared" si="796"/>
        <v>1438</v>
      </c>
      <c r="F1438" s="9" t="s">
        <v>175</v>
      </c>
      <c r="K1438" s="9" t="s">
        <v>136</v>
      </c>
      <c r="M1438" s="21" t="s">
        <v>250</v>
      </c>
    </row>
    <row r="1439" spans="1:13">
      <c r="E1439" s="21">
        <f t="shared" si="796"/>
        <v>1439</v>
      </c>
      <c r="F1439" s="9" t="s">
        <v>113</v>
      </c>
      <c r="L1439" s="9" t="s">
        <v>134</v>
      </c>
      <c r="M1439" s="21">
        <v>-90</v>
      </c>
    </row>
    <row r="1440" spans="1:13">
      <c r="E1440" s="21">
        <f t="shared" si="796"/>
        <v>1440</v>
      </c>
      <c r="F1440" s="9" t="s">
        <v>31</v>
      </c>
      <c r="G1440" s="21">
        <v>5</v>
      </c>
      <c r="H1440" s="21">
        <v>72</v>
      </c>
      <c r="L1440" s="9" t="s">
        <v>134</v>
      </c>
      <c r="M1440" s="21">
        <f t="shared" ref="M1440" si="817">(G1440*C1431+(A1431-1)*H1440+H1434*(B1431-1))*-1</f>
        <v>-326</v>
      </c>
    </row>
    <row r="1441" spans="1:13">
      <c r="E1441" s="21">
        <f t="shared" si="796"/>
        <v>1441</v>
      </c>
      <c r="F1441" s="9" t="s">
        <v>30</v>
      </c>
      <c r="M1441" s="21">
        <v>3</v>
      </c>
    </row>
    <row r="1442" spans="1:13">
      <c r="A1442" s="21">
        <f t="shared" ref="A1442:A1505" si="818">QUOTIENT( D1442-1,G1443*H1443)+1</f>
        <v>4</v>
      </c>
      <c r="B1442" s="21">
        <f t="shared" ref="B1442" si="819">QUOTIENT( D1442-1,G1443)+1-(A1442-1)*H1443</f>
        <v>4</v>
      </c>
      <c r="C1442" s="21">
        <f t="shared" ref="C1442" si="820">D1442-(B1442-1)*G1443-((A1442-1)*G1443*H1443)</f>
        <v>5</v>
      </c>
      <c r="D1442" s="21">
        <f>COUNT($D$11:$D1441)+1</f>
        <v>131</v>
      </c>
    </row>
    <row r="1443" spans="1:13">
      <c r="E1443" s="21">
        <f t="shared" si="796"/>
        <v>1443</v>
      </c>
      <c r="F1443" s="9" t="s">
        <v>93</v>
      </c>
      <c r="G1443" s="21">
        <v>6</v>
      </c>
      <c r="H1443" s="21">
        <v>6</v>
      </c>
      <c r="I1443" s="21">
        <v>5</v>
      </c>
      <c r="J1443" s="9" t="s">
        <v>252</v>
      </c>
      <c r="M1443" s="21">
        <f t="shared" ref="M1443:M1506" si="821">J1443+D1442</f>
        <v>20731</v>
      </c>
    </row>
    <row r="1444" spans="1:13">
      <c r="E1444" s="21">
        <f t="shared" si="796"/>
        <v>1444</v>
      </c>
      <c r="F1444" s="9" t="s">
        <v>142</v>
      </c>
      <c r="M1444" s="21">
        <v>199107</v>
      </c>
    </row>
    <row r="1445" spans="1:13">
      <c r="E1445" s="21">
        <f t="shared" si="796"/>
        <v>1445</v>
      </c>
      <c r="F1445" s="9" t="s">
        <v>126</v>
      </c>
      <c r="G1445" s="21">
        <v>5</v>
      </c>
      <c r="H1445" s="21">
        <v>30</v>
      </c>
      <c r="M1445" s="21">
        <f t="shared" ref="M1445" si="822">(MOD(D1442-1,G1443*H1443)+1)*G1445+H1445*(B1442-1)</f>
        <v>205</v>
      </c>
    </row>
    <row r="1446" spans="1:13">
      <c r="E1446" s="21">
        <f t="shared" si="796"/>
        <v>1446</v>
      </c>
      <c r="F1446" s="9" t="s">
        <v>29</v>
      </c>
      <c r="M1446" s="21" t="s">
        <v>246</v>
      </c>
    </row>
    <row r="1447" spans="1:13">
      <c r="E1447" s="21">
        <f t="shared" si="796"/>
        <v>1447</v>
      </c>
      <c r="F1447" s="9" t="s">
        <v>118</v>
      </c>
      <c r="M1447" s="21" t="s">
        <v>248</v>
      </c>
    </row>
    <row r="1448" spans="1:13">
      <c r="E1448" s="21">
        <f t="shared" si="796"/>
        <v>1448</v>
      </c>
      <c r="F1448" s="9" t="s">
        <v>98</v>
      </c>
      <c r="K1448" s="9" t="s">
        <v>137</v>
      </c>
      <c r="M1448" s="21">
        <v>2</v>
      </c>
    </row>
    <row r="1449" spans="1:13">
      <c r="E1449" s="21">
        <f t="shared" si="796"/>
        <v>1449</v>
      </c>
      <c r="F1449" s="9" t="s">
        <v>175</v>
      </c>
      <c r="K1449" s="9" t="s">
        <v>136</v>
      </c>
      <c r="M1449" s="21" t="s">
        <v>250</v>
      </c>
    </row>
    <row r="1450" spans="1:13">
      <c r="E1450" s="21">
        <f t="shared" si="796"/>
        <v>1450</v>
      </c>
      <c r="F1450" s="9" t="s">
        <v>113</v>
      </c>
      <c r="L1450" s="9" t="s">
        <v>134</v>
      </c>
      <c r="M1450" s="21">
        <v>-90</v>
      </c>
    </row>
    <row r="1451" spans="1:13">
      <c r="E1451" s="21">
        <f t="shared" si="796"/>
        <v>1451</v>
      </c>
      <c r="F1451" s="9" t="s">
        <v>31</v>
      </c>
      <c r="G1451" s="21">
        <v>5</v>
      </c>
      <c r="H1451" s="21">
        <v>72</v>
      </c>
      <c r="L1451" s="9" t="s">
        <v>134</v>
      </c>
      <c r="M1451" s="21">
        <f t="shared" ref="M1451" si="823">(G1451*C1442+(A1442-1)*H1451+H1445*(B1442-1))*-1</f>
        <v>-331</v>
      </c>
    </row>
    <row r="1452" spans="1:13">
      <c r="E1452" s="21">
        <f t="shared" si="796"/>
        <v>1452</v>
      </c>
      <c r="F1452" s="9" t="s">
        <v>30</v>
      </c>
      <c r="M1452" s="21">
        <v>3</v>
      </c>
    </row>
    <row r="1453" spans="1:13">
      <c r="A1453" s="21">
        <f t="shared" ref="A1453:A1516" si="824">QUOTIENT( D1453-1,G1454*H1454)+1</f>
        <v>4</v>
      </c>
      <c r="B1453" s="21">
        <f t="shared" ref="B1453" si="825">QUOTIENT( D1453-1,G1454)+1-(A1453-1)*H1454</f>
        <v>4</v>
      </c>
      <c r="C1453" s="21">
        <f t="shared" ref="C1453" si="826">D1453-(B1453-1)*G1454-((A1453-1)*G1454*H1454)</f>
        <v>6</v>
      </c>
      <c r="D1453" s="21">
        <f>COUNT($D$11:$D1452)+1</f>
        <v>132</v>
      </c>
    </row>
    <row r="1454" spans="1:13">
      <c r="E1454" s="21">
        <f t="shared" si="796"/>
        <v>1454</v>
      </c>
      <c r="F1454" s="9" t="s">
        <v>93</v>
      </c>
      <c r="G1454" s="21">
        <v>6</v>
      </c>
      <c r="H1454" s="21">
        <v>6</v>
      </c>
      <c r="I1454" s="21">
        <v>5</v>
      </c>
      <c r="J1454" s="9" t="s">
        <v>252</v>
      </c>
      <c r="M1454" s="21">
        <f t="shared" ref="M1454:M1517" si="827">J1454+D1453</f>
        <v>20732</v>
      </c>
    </row>
    <row r="1455" spans="1:13">
      <c r="E1455" s="21">
        <f t="shared" si="796"/>
        <v>1455</v>
      </c>
      <c r="F1455" s="9" t="s">
        <v>142</v>
      </c>
      <c r="M1455" s="21">
        <v>199107</v>
      </c>
    </row>
    <row r="1456" spans="1:13">
      <c r="E1456" s="21">
        <f t="shared" si="796"/>
        <v>1456</v>
      </c>
      <c r="F1456" s="9" t="s">
        <v>126</v>
      </c>
      <c r="G1456" s="21">
        <v>5</v>
      </c>
      <c r="H1456" s="21">
        <v>30</v>
      </c>
      <c r="M1456" s="21">
        <f t="shared" ref="M1456" si="828">(MOD(D1453-1,G1454*H1454)+1)*G1456+H1456*(B1453-1)</f>
        <v>210</v>
      </c>
    </row>
    <row r="1457" spans="1:13">
      <c r="E1457" s="21">
        <f t="shared" si="796"/>
        <v>1457</v>
      </c>
      <c r="F1457" s="9" t="s">
        <v>29</v>
      </c>
      <c r="M1457" s="21" t="s">
        <v>246</v>
      </c>
    </row>
    <row r="1458" spans="1:13">
      <c r="E1458" s="21">
        <f t="shared" si="796"/>
        <v>1458</v>
      </c>
      <c r="F1458" s="9" t="s">
        <v>118</v>
      </c>
      <c r="M1458" s="21" t="s">
        <v>248</v>
      </c>
    </row>
    <row r="1459" spans="1:13">
      <c r="E1459" s="21">
        <f t="shared" si="796"/>
        <v>1459</v>
      </c>
      <c r="F1459" s="9" t="s">
        <v>98</v>
      </c>
      <c r="K1459" s="9" t="s">
        <v>137</v>
      </c>
      <c r="M1459" s="21">
        <v>2</v>
      </c>
    </row>
    <row r="1460" spans="1:13">
      <c r="E1460" s="21">
        <f t="shared" si="796"/>
        <v>1460</v>
      </c>
      <c r="F1460" s="9" t="s">
        <v>175</v>
      </c>
      <c r="K1460" s="9" t="s">
        <v>136</v>
      </c>
      <c r="M1460" s="21" t="s">
        <v>250</v>
      </c>
    </row>
    <row r="1461" spans="1:13">
      <c r="E1461" s="21">
        <f t="shared" si="796"/>
        <v>1461</v>
      </c>
      <c r="F1461" s="9" t="s">
        <v>113</v>
      </c>
      <c r="L1461" s="9" t="s">
        <v>134</v>
      </c>
      <c r="M1461" s="21">
        <v>-90</v>
      </c>
    </row>
    <row r="1462" spans="1:13">
      <c r="E1462" s="21">
        <f t="shared" si="796"/>
        <v>1462</v>
      </c>
      <c r="F1462" s="9" t="s">
        <v>31</v>
      </c>
      <c r="G1462" s="21">
        <v>5</v>
      </c>
      <c r="H1462" s="21">
        <v>72</v>
      </c>
      <c r="L1462" s="9" t="s">
        <v>134</v>
      </c>
      <c r="M1462" s="21">
        <f t="shared" ref="M1462" si="829">(G1462*C1453+(A1453-1)*H1462+H1456*(B1453-1))*-1</f>
        <v>-336</v>
      </c>
    </row>
    <row r="1463" spans="1:13">
      <c r="E1463" s="21">
        <f t="shared" ref="E1463:E1526" si="830">ROW(E1463)</f>
        <v>1463</v>
      </c>
      <c r="F1463" s="9" t="s">
        <v>30</v>
      </c>
      <c r="M1463" s="21">
        <v>3</v>
      </c>
    </row>
    <row r="1464" spans="1:13">
      <c r="A1464" s="21">
        <f t="shared" ref="A1464:A1527" si="831">QUOTIENT( D1464-1,G1465*H1465)+1</f>
        <v>4</v>
      </c>
      <c r="B1464" s="21">
        <f t="shared" ref="B1464" si="832">QUOTIENT( D1464-1,G1465)+1-(A1464-1)*H1465</f>
        <v>5</v>
      </c>
      <c r="C1464" s="21">
        <f t="shared" ref="C1464" si="833">D1464-(B1464-1)*G1465-((A1464-1)*G1465*H1465)</f>
        <v>1</v>
      </c>
      <c r="D1464" s="21">
        <f>COUNT($D$11:$D1463)+1</f>
        <v>133</v>
      </c>
    </row>
    <row r="1465" spans="1:13">
      <c r="E1465" s="21">
        <f t="shared" ref="E1465:E1528" si="834">ROW(E1465)</f>
        <v>1465</v>
      </c>
      <c r="F1465" s="9" t="s">
        <v>93</v>
      </c>
      <c r="G1465" s="21">
        <v>6</v>
      </c>
      <c r="H1465" s="21">
        <v>6</v>
      </c>
      <c r="I1465" s="21">
        <v>5</v>
      </c>
      <c r="J1465" s="9" t="s">
        <v>252</v>
      </c>
      <c r="M1465" s="21">
        <f t="shared" ref="M1465:M1528" si="835">J1465+D1464</f>
        <v>20733</v>
      </c>
    </row>
    <row r="1466" spans="1:13">
      <c r="E1466" s="21">
        <f t="shared" si="834"/>
        <v>1466</v>
      </c>
      <c r="F1466" s="9" t="s">
        <v>142</v>
      </c>
      <c r="M1466" s="21">
        <v>199107</v>
      </c>
    </row>
    <row r="1467" spans="1:13">
      <c r="E1467" s="21">
        <f t="shared" si="834"/>
        <v>1467</v>
      </c>
      <c r="F1467" s="9" t="s">
        <v>126</v>
      </c>
      <c r="G1467" s="21">
        <v>5</v>
      </c>
      <c r="H1467" s="21">
        <v>30</v>
      </c>
      <c r="M1467" s="21">
        <f t="shared" ref="M1467" si="836">(MOD(D1464-1,G1465*H1465)+1)*G1467+H1467*(B1464-1)</f>
        <v>245</v>
      </c>
    </row>
    <row r="1468" spans="1:13">
      <c r="E1468" s="21">
        <f t="shared" si="834"/>
        <v>1468</v>
      </c>
      <c r="F1468" s="9" t="s">
        <v>29</v>
      </c>
      <c r="M1468" s="21" t="s">
        <v>246</v>
      </c>
    </row>
    <row r="1469" spans="1:13">
      <c r="E1469" s="21">
        <f t="shared" si="834"/>
        <v>1469</v>
      </c>
      <c r="F1469" s="9" t="s">
        <v>118</v>
      </c>
      <c r="M1469" s="21" t="s">
        <v>248</v>
      </c>
    </row>
    <row r="1470" spans="1:13">
      <c r="E1470" s="21">
        <f t="shared" si="834"/>
        <v>1470</v>
      </c>
      <c r="F1470" s="9" t="s">
        <v>98</v>
      </c>
      <c r="K1470" s="9" t="s">
        <v>137</v>
      </c>
      <c r="M1470" s="21">
        <v>2</v>
      </c>
    </row>
    <row r="1471" spans="1:13">
      <c r="E1471" s="21">
        <f t="shared" si="834"/>
        <v>1471</v>
      </c>
      <c r="F1471" s="9" t="s">
        <v>175</v>
      </c>
      <c r="K1471" s="9" t="s">
        <v>136</v>
      </c>
      <c r="M1471" s="21" t="s">
        <v>250</v>
      </c>
    </row>
    <row r="1472" spans="1:13">
      <c r="E1472" s="21">
        <f t="shared" si="834"/>
        <v>1472</v>
      </c>
      <c r="F1472" s="9" t="s">
        <v>113</v>
      </c>
      <c r="L1472" s="9" t="s">
        <v>134</v>
      </c>
      <c r="M1472" s="21">
        <v>-90</v>
      </c>
    </row>
    <row r="1473" spans="1:13">
      <c r="E1473" s="21">
        <f t="shared" si="834"/>
        <v>1473</v>
      </c>
      <c r="F1473" s="9" t="s">
        <v>31</v>
      </c>
      <c r="G1473" s="21">
        <v>5</v>
      </c>
      <c r="H1473" s="21">
        <v>72</v>
      </c>
      <c r="L1473" s="9" t="s">
        <v>134</v>
      </c>
      <c r="M1473" s="21">
        <f t="shared" ref="M1473" si="837">(G1473*C1464+(A1464-1)*H1473+H1467*(B1464-1))*-1</f>
        <v>-341</v>
      </c>
    </row>
    <row r="1474" spans="1:13">
      <c r="E1474" s="21">
        <f t="shared" si="834"/>
        <v>1474</v>
      </c>
      <c r="F1474" s="9" t="s">
        <v>30</v>
      </c>
      <c r="M1474" s="21">
        <v>3</v>
      </c>
    </row>
    <row r="1475" spans="1:13">
      <c r="A1475" s="21">
        <f t="shared" ref="A1475:A1538" si="838">QUOTIENT( D1475-1,G1476*H1476)+1</f>
        <v>4</v>
      </c>
      <c r="B1475" s="21">
        <f t="shared" ref="B1475" si="839">QUOTIENT( D1475-1,G1476)+1-(A1475-1)*H1476</f>
        <v>5</v>
      </c>
      <c r="C1475" s="21">
        <f t="shared" ref="C1475" si="840">D1475-(B1475-1)*G1476-((A1475-1)*G1476*H1476)</f>
        <v>2</v>
      </c>
      <c r="D1475" s="21">
        <f>COUNT($D$11:$D1474)+1</f>
        <v>134</v>
      </c>
    </row>
    <row r="1476" spans="1:13">
      <c r="E1476" s="21">
        <f t="shared" si="834"/>
        <v>1476</v>
      </c>
      <c r="F1476" s="9" t="s">
        <v>93</v>
      </c>
      <c r="G1476" s="21">
        <v>6</v>
      </c>
      <c r="H1476" s="21">
        <v>6</v>
      </c>
      <c r="I1476" s="21">
        <v>5</v>
      </c>
      <c r="J1476" s="9" t="s">
        <v>252</v>
      </c>
      <c r="M1476" s="21">
        <f t="shared" ref="M1476:M1539" si="841">J1476+D1475</f>
        <v>20734</v>
      </c>
    </row>
    <row r="1477" spans="1:13">
      <c r="E1477" s="21">
        <f t="shared" si="834"/>
        <v>1477</v>
      </c>
      <c r="F1477" s="9" t="s">
        <v>142</v>
      </c>
      <c r="M1477" s="21">
        <v>199107</v>
      </c>
    </row>
    <row r="1478" spans="1:13">
      <c r="E1478" s="21">
        <f t="shared" si="834"/>
        <v>1478</v>
      </c>
      <c r="F1478" s="9" t="s">
        <v>126</v>
      </c>
      <c r="G1478" s="21">
        <v>5</v>
      </c>
      <c r="H1478" s="21">
        <v>30</v>
      </c>
      <c r="M1478" s="21">
        <f t="shared" ref="M1478" si="842">(MOD(D1475-1,G1476*H1476)+1)*G1478+H1478*(B1475-1)</f>
        <v>250</v>
      </c>
    </row>
    <row r="1479" spans="1:13">
      <c r="E1479" s="21">
        <f t="shared" si="834"/>
        <v>1479</v>
      </c>
      <c r="F1479" s="9" t="s">
        <v>29</v>
      </c>
      <c r="M1479" s="21" t="s">
        <v>246</v>
      </c>
    </row>
    <row r="1480" spans="1:13">
      <c r="E1480" s="21">
        <f t="shared" si="834"/>
        <v>1480</v>
      </c>
      <c r="F1480" s="9" t="s">
        <v>118</v>
      </c>
      <c r="M1480" s="21" t="s">
        <v>248</v>
      </c>
    </row>
    <row r="1481" spans="1:13">
      <c r="E1481" s="21">
        <f t="shared" si="834"/>
        <v>1481</v>
      </c>
      <c r="F1481" s="9" t="s">
        <v>98</v>
      </c>
      <c r="K1481" s="9" t="s">
        <v>137</v>
      </c>
      <c r="M1481" s="21">
        <v>2</v>
      </c>
    </row>
    <row r="1482" spans="1:13">
      <c r="E1482" s="21">
        <f t="shared" si="834"/>
        <v>1482</v>
      </c>
      <c r="F1482" s="9" t="s">
        <v>175</v>
      </c>
      <c r="K1482" s="9" t="s">
        <v>136</v>
      </c>
      <c r="M1482" s="21" t="s">
        <v>250</v>
      </c>
    </row>
    <row r="1483" spans="1:13">
      <c r="E1483" s="21">
        <f t="shared" si="834"/>
        <v>1483</v>
      </c>
      <c r="F1483" s="9" t="s">
        <v>113</v>
      </c>
      <c r="L1483" s="9" t="s">
        <v>134</v>
      </c>
      <c r="M1483" s="21">
        <v>-90</v>
      </c>
    </row>
    <row r="1484" spans="1:13">
      <c r="E1484" s="21">
        <f t="shared" si="834"/>
        <v>1484</v>
      </c>
      <c r="F1484" s="9" t="s">
        <v>31</v>
      </c>
      <c r="G1484" s="21">
        <v>5</v>
      </c>
      <c r="H1484" s="21">
        <v>72</v>
      </c>
      <c r="L1484" s="9" t="s">
        <v>134</v>
      </c>
      <c r="M1484" s="21">
        <f t="shared" ref="M1484" si="843">(G1484*C1475+(A1475-1)*H1484+H1478*(B1475-1))*-1</f>
        <v>-346</v>
      </c>
    </row>
    <row r="1485" spans="1:13">
      <c r="E1485" s="21">
        <f t="shared" si="834"/>
        <v>1485</v>
      </c>
      <c r="F1485" s="9" t="s">
        <v>30</v>
      </c>
      <c r="M1485" s="21">
        <v>3</v>
      </c>
    </row>
    <row r="1486" spans="1:13">
      <c r="A1486" s="21">
        <f t="shared" ref="A1486:A1549" si="844">QUOTIENT( D1486-1,G1487*H1487)+1</f>
        <v>4</v>
      </c>
      <c r="B1486" s="21">
        <f t="shared" ref="B1486" si="845">QUOTIENT( D1486-1,G1487)+1-(A1486-1)*H1487</f>
        <v>5</v>
      </c>
      <c r="C1486" s="21">
        <f t="shared" ref="C1486" si="846">D1486-(B1486-1)*G1487-((A1486-1)*G1487*H1487)</f>
        <v>3</v>
      </c>
      <c r="D1486" s="21">
        <f>COUNT($D$11:$D1485)+1</f>
        <v>135</v>
      </c>
    </row>
    <row r="1487" spans="1:13">
      <c r="E1487" s="21">
        <f t="shared" si="834"/>
        <v>1487</v>
      </c>
      <c r="F1487" s="9" t="s">
        <v>93</v>
      </c>
      <c r="G1487" s="21">
        <v>6</v>
      </c>
      <c r="H1487" s="21">
        <v>6</v>
      </c>
      <c r="I1487" s="21">
        <v>5</v>
      </c>
      <c r="J1487" s="9" t="s">
        <v>252</v>
      </c>
      <c r="M1487" s="21">
        <f t="shared" ref="M1487:M1550" si="847">J1487+D1486</f>
        <v>20735</v>
      </c>
    </row>
    <row r="1488" spans="1:13">
      <c r="E1488" s="21">
        <f t="shared" si="834"/>
        <v>1488</v>
      </c>
      <c r="F1488" s="9" t="s">
        <v>142</v>
      </c>
      <c r="M1488" s="21">
        <v>199107</v>
      </c>
    </row>
    <row r="1489" spans="1:13">
      <c r="E1489" s="21">
        <f t="shared" si="834"/>
        <v>1489</v>
      </c>
      <c r="F1489" s="9" t="s">
        <v>126</v>
      </c>
      <c r="G1489" s="21">
        <v>5</v>
      </c>
      <c r="H1489" s="21">
        <v>30</v>
      </c>
      <c r="M1489" s="21">
        <f t="shared" ref="M1489" si="848">(MOD(D1486-1,G1487*H1487)+1)*G1489+H1489*(B1486-1)</f>
        <v>255</v>
      </c>
    </row>
    <row r="1490" spans="1:13">
      <c r="E1490" s="21">
        <f t="shared" si="834"/>
        <v>1490</v>
      </c>
      <c r="F1490" s="9" t="s">
        <v>29</v>
      </c>
      <c r="M1490" s="21" t="s">
        <v>246</v>
      </c>
    </row>
    <row r="1491" spans="1:13">
      <c r="E1491" s="21">
        <f t="shared" si="834"/>
        <v>1491</v>
      </c>
      <c r="F1491" s="9" t="s">
        <v>118</v>
      </c>
      <c r="M1491" s="21" t="s">
        <v>248</v>
      </c>
    </row>
    <row r="1492" spans="1:13">
      <c r="E1492" s="21">
        <f t="shared" si="834"/>
        <v>1492</v>
      </c>
      <c r="F1492" s="9" t="s">
        <v>98</v>
      </c>
      <c r="K1492" s="9" t="s">
        <v>137</v>
      </c>
      <c r="M1492" s="21">
        <v>2</v>
      </c>
    </row>
    <row r="1493" spans="1:13">
      <c r="E1493" s="21">
        <f t="shared" si="834"/>
        <v>1493</v>
      </c>
      <c r="F1493" s="9" t="s">
        <v>175</v>
      </c>
      <c r="K1493" s="9" t="s">
        <v>136</v>
      </c>
      <c r="M1493" s="21" t="s">
        <v>250</v>
      </c>
    </row>
    <row r="1494" spans="1:13">
      <c r="E1494" s="21">
        <f t="shared" si="834"/>
        <v>1494</v>
      </c>
      <c r="F1494" s="9" t="s">
        <v>113</v>
      </c>
      <c r="L1494" s="9" t="s">
        <v>134</v>
      </c>
      <c r="M1494" s="21">
        <v>-90</v>
      </c>
    </row>
    <row r="1495" spans="1:13">
      <c r="E1495" s="21">
        <f t="shared" si="834"/>
        <v>1495</v>
      </c>
      <c r="F1495" s="9" t="s">
        <v>31</v>
      </c>
      <c r="G1495" s="21">
        <v>5</v>
      </c>
      <c r="H1495" s="21">
        <v>72</v>
      </c>
      <c r="L1495" s="9" t="s">
        <v>134</v>
      </c>
      <c r="M1495" s="21">
        <f t="shared" ref="M1495" si="849">(G1495*C1486+(A1486-1)*H1495+H1489*(B1486-1))*-1</f>
        <v>-351</v>
      </c>
    </row>
    <row r="1496" spans="1:13">
      <c r="E1496" s="21">
        <f t="shared" si="834"/>
        <v>1496</v>
      </c>
      <c r="F1496" s="9" t="s">
        <v>30</v>
      </c>
      <c r="M1496" s="21">
        <v>3</v>
      </c>
    </row>
    <row r="1497" spans="1:13">
      <c r="A1497" s="21">
        <f t="shared" ref="A1497:A1560" si="850">QUOTIENT( D1497-1,G1498*H1498)+1</f>
        <v>4</v>
      </c>
      <c r="B1497" s="21">
        <f t="shared" ref="B1497" si="851">QUOTIENT( D1497-1,G1498)+1-(A1497-1)*H1498</f>
        <v>5</v>
      </c>
      <c r="C1497" s="21">
        <f t="shared" ref="C1497" si="852">D1497-(B1497-1)*G1498-((A1497-1)*G1498*H1498)</f>
        <v>4</v>
      </c>
      <c r="D1497" s="21">
        <f>COUNT($D$11:$D1496)+1</f>
        <v>136</v>
      </c>
    </row>
    <row r="1498" spans="1:13">
      <c r="E1498" s="21">
        <f t="shared" si="834"/>
        <v>1498</v>
      </c>
      <c r="F1498" s="9" t="s">
        <v>93</v>
      </c>
      <c r="G1498" s="21">
        <v>6</v>
      </c>
      <c r="H1498" s="21">
        <v>6</v>
      </c>
      <c r="I1498" s="21">
        <v>5</v>
      </c>
      <c r="J1498" s="9" t="s">
        <v>252</v>
      </c>
      <c r="M1498" s="21">
        <f t="shared" ref="M1498:M1561" si="853">J1498+D1497</f>
        <v>20736</v>
      </c>
    </row>
    <row r="1499" spans="1:13">
      <c r="E1499" s="21">
        <f t="shared" si="834"/>
        <v>1499</v>
      </c>
      <c r="F1499" s="9" t="s">
        <v>142</v>
      </c>
      <c r="M1499" s="21">
        <v>199107</v>
      </c>
    </row>
    <row r="1500" spans="1:13">
      <c r="E1500" s="21">
        <f t="shared" si="834"/>
        <v>1500</v>
      </c>
      <c r="F1500" s="9" t="s">
        <v>126</v>
      </c>
      <c r="G1500" s="21">
        <v>5</v>
      </c>
      <c r="H1500" s="21">
        <v>30</v>
      </c>
      <c r="M1500" s="21">
        <f t="shared" ref="M1500" si="854">(MOD(D1497-1,G1498*H1498)+1)*G1500+H1500*(B1497-1)</f>
        <v>260</v>
      </c>
    </row>
    <row r="1501" spans="1:13">
      <c r="E1501" s="21">
        <f t="shared" si="834"/>
        <v>1501</v>
      </c>
      <c r="F1501" s="9" t="s">
        <v>29</v>
      </c>
      <c r="M1501" s="21" t="s">
        <v>246</v>
      </c>
    </row>
    <row r="1502" spans="1:13">
      <c r="E1502" s="21">
        <f t="shared" si="834"/>
        <v>1502</v>
      </c>
      <c r="F1502" s="9" t="s">
        <v>118</v>
      </c>
      <c r="M1502" s="21" t="s">
        <v>248</v>
      </c>
    </row>
    <row r="1503" spans="1:13">
      <c r="E1503" s="21">
        <f t="shared" si="834"/>
        <v>1503</v>
      </c>
      <c r="F1503" s="9" t="s">
        <v>98</v>
      </c>
      <c r="K1503" s="9" t="s">
        <v>137</v>
      </c>
      <c r="M1503" s="21">
        <v>2</v>
      </c>
    </row>
    <row r="1504" spans="1:13">
      <c r="E1504" s="21">
        <f t="shared" si="834"/>
        <v>1504</v>
      </c>
      <c r="F1504" s="9" t="s">
        <v>175</v>
      </c>
      <c r="K1504" s="9" t="s">
        <v>136</v>
      </c>
      <c r="M1504" s="21" t="s">
        <v>250</v>
      </c>
    </row>
    <row r="1505" spans="1:13">
      <c r="E1505" s="21">
        <f t="shared" si="834"/>
        <v>1505</v>
      </c>
      <c r="F1505" s="9" t="s">
        <v>113</v>
      </c>
      <c r="L1505" s="9" t="s">
        <v>134</v>
      </c>
      <c r="M1505" s="21">
        <v>-90</v>
      </c>
    </row>
    <row r="1506" spans="1:13">
      <c r="E1506" s="21">
        <f t="shared" si="834"/>
        <v>1506</v>
      </c>
      <c r="F1506" s="9" t="s">
        <v>31</v>
      </c>
      <c r="G1506" s="21">
        <v>5</v>
      </c>
      <c r="H1506" s="21">
        <v>72</v>
      </c>
      <c r="L1506" s="9" t="s">
        <v>134</v>
      </c>
      <c r="M1506" s="21">
        <f t="shared" ref="M1506" si="855">(G1506*C1497+(A1497-1)*H1506+H1500*(B1497-1))*-1</f>
        <v>-356</v>
      </c>
    </row>
    <row r="1507" spans="1:13">
      <c r="E1507" s="21">
        <f t="shared" si="834"/>
        <v>1507</v>
      </c>
      <c r="F1507" s="9" t="s">
        <v>30</v>
      </c>
      <c r="M1507" s="21">
        <v>3</v>
      </c>
    </row>
    <row r="1508" spans="1:13">
      <c r="A1508" s="21">
        <f t="shared" ref="A1508:A1571" si="856">QUOTIENT( D1508-1,G1509*H1509)+1</f>
        <v>4</v>
      </c>
      <c r="B1508" s="21">
        <f t="shared" ref="B1508" si="857">QUOTIENT( D1508-1,G1509)+1-(A1508-1)*H1509</f>
        <v>5</v>
      </c>
      <c r="C1508" s="21">
        <f t="shared" ref="C1508" si="858">D1508-(B1508-1)*G1509-((A1508-1)*G1509*H1509)</f>
        <v>5</v>
      </c>
      <c r="D1508" s="21">
        <f>COUNT($D$11:$D1507)+1</f>
        <v>137</v>
      </c>
    </row>
    <row r="1509" spans="1:13">
      <c r="E1509" s="21">
        <f t="shared" si="834"/>
        <v>1509</v>
      </c>
      <c r="F1509" s="9" t="s">
        <v>93</v>
      </c>
      <c r="G1509" s="21">
        <v>6</v>
      </c>
      <c r="H1509" s="21">
        <v>6</v>
      </c>
      <c r="I1509" s="21">
        <v>5</v>
      </c>
      <c r="J1509" s="9" t="s">
        <v>252</v>
      </c>
      <c r="M1509" s="21">
        <f t="shared" ref="M1509:M1572" si="859">J1509+D1508</f>
        <v>20737</v>
      </c>
    </row>
    <row r="1510" spans="1:13">
      <c r="E1510" s="21">
        <f t="shared" si="834"/>
        <v>1510</v>
      </c>
      <c r="F1510" s="9" t="s">
        <v>142</v>
      </c>
      <c r="M1510" s="21">
        <v>199107</v>
      </c>
    </row>
    <row r="1511" spans="1:13">
      <c r="E1511" s="21">
        <f t="shared" si="834"/>
        <v>1511</v>
      </c>
      <c r="F1511" s="9" t="s">
        <v>126</v>
      </c>
      <c r="G1511" s="21">
        <v>5</v>
      </c>
      <c r="H1511" s="21">
        <v>30</v>
      </c>
      <c r="M1511" s="21">
        <f t="shared" ref="M1511" si="860">(MOD(D1508-1,G1509*H1509)+1)*G1511+H1511*(B1508-1)</f>
        <v>265</v>
      </c>
    </row>
    <row r="1512" spans="1:13">
      <c r="E1512" s="21">
        <f t="shared" si="834"/>
        <v>1512</v>
      </c>
      <c r="F1512" s="9" t="s">
        <v>29</v>
      </c>
      <c r="M1512" s="21" t="s">
        <v>246</v>
      </c>
    </row>
    <row r="1513" spans="1:13">
      <c r="E1513" s="21">
        <f t="shared" si="834"/>
        <v>1513</v>
      </c>
      <c r="F1513" s="9" t="s">
        <v>118</v>
      </c>
      <c r="M1513" s="21" t="s">
        <v>248</v>
      </c>
    </row>
    <row r="1514" spans="1:13">
      <c r="E1514" s="21">
        <f t="shared" si="834"/>
        <v>1514</v>
      </c>
      <c r="F1514" s="9" t="s">
        <v>98</v>
      </c>
      <c r="K1514" s="9" t="s">
        <v>137</v>
      </c>
      <c r="M1514" s="21">
        <v>2</v>
      </c>
    </row>
    <row r="1515" spans="1:13">
      <c r="E1515" s="21">
        <f t="shared" si="834"/>
        <v>1515</v>
      </c>
      <c r="F1515" s="9" t="s">
        <v>175</v>
      </c>
      <c r="K1515" s="9" t="s">
        <v>136</v>
      </c>
      <c r="M1515" s="21" t="s">
        <v>250</v>
      </c>
    </row>
    <row r="1516" spans="1:13">
      <c r="E1516" s="21">
        <f t="shared" si="834"/>
        <v>1516</v>
      </c>
      <c r="F1516" s="9" t="s">
        <v>113</v>
      </c>
      <c r="L1516" s="9" t="s">
        <v>134</v>
      </c>
      <c r="M1516" s="21">
        <v>-90</v>
      </c>
    </row>
    <row r="1517" spans="1:13">
      <c r="E1517" s="21">
        <f t="shared" si="834"/>
        <v>1517</v>
      </c>
      <c r="F1517" s="9" t="s">
        <v>31</v>
      </c>
      <c r="G1517" s="21">
        <v>5</v>
      </c>
      <c r="H1517" s="21">
        <v>72</v>
      </c>
      <c r="L1517" s="9" t="s">
        <v>134</v>
      </c>
      <c r="M1517" s="21">
        <f t="shared" ref="M1517" si="861">(G1517*C1508+(A1508-1)*H1517+H1511*(B1508-1))*-1</f>
        <v>-361</v>
      </c>
    </row>
    <row r="1518" spans="1:13">
      <c r="E1518" s="21">
        <f t="shared" si="834"/>
        <v>1518</v>
      </c>
      <c r="F1518" s="9" t="s">
        <v>30</v>
      </c>
      <c r="M1518" s="21">
        <v>3</v>
      </c>
    </row>
    <row r="1519" spans="1:13">
      <c r="A1519" s="21">
        <f t="shared" ref="A1519:A1582" si="862">QUOTIENT( D1519-1,G1520*H1520)+1</f>
        <v>4</v>
      </c>
      <c r="B1519" s="21">
        <f t="shared" ref="B1519" si="863">QUOTIENT( D1519-1,G1520)+1-(A1519-1)*H1520</f>
        <v>5</v>
      </c>
      <c r="C1519" s="21">
        <f t="shared" ref="C1519" si="864">D1519-(B1519-1)*G1520-((A1519-1)*G1520*H1520)</f>
        <v>6</v>
      </c>
      <c r="D1519" s="21">
        <f>COUNT($D$11:$D1518)+1</f>
        <v>138</v>
      </c>
    </row>
    <row r="1520" spans="1:13">
      <c r="E1520" s="21">
        <f t="shared" si="834"/>
        <v>1520</v>
      </c>
      <c r="F1520" s="9" t="s">
        <v>93</v>
      </c>
      <c r="G1520" s="21">
        <v>6</v>
      </c>
      <c r="H1520" s="21">
        <v>6</v>
      </c>
      <c r="I1520" s="21">
        <v>5</v>
      </c>
      <c r="J1520" s="9" t="s">
        <v>252</v>
      </c>
      <c r="M1520" s="21">
        <f t="shared" ref="M1520:M1583" si="865">J1520+D1519</f>
        <v>20738</v>
      </c>
    </row>
    <row r="1521" spans="1:13">
      <c r="E1521" s="21">
        <f t="shared" si="834"/>
        <v>1521</v>
      </c>
      <c r="F1521" s="9" t="s">
        <v>142</v>
      </c>
      <c r="M1521" s="21">
        <v>199107</v>
      </c>
    </row>
    <row r="1522" spans="1:13">
      <c r="E1522" s="21">
        <f t="shared" si="834"/>
        <v>1522</v>
      </c>
      <c r="F1522" s="9" t="s">
        <v>126</v>
      </c>
      <c r="G1522" s="21">
        <v>5</v>
      </c>
      <c r="H1522" s="21">
        <v>30</v>
      </c>
      <c r="M1522" s="21">
        <f t="shared" ref="M1522" si="866">(MOD(D1519-1,G1520*H1520)+1)*G1522+H1522*(B1519-1)</f>
        <v>270</v>
      </c>
    </row>
    <row r="1523" spans="1:13">
      <c r="E1523" s="21">
        <f t="shared" si="834"/>
        <v>1523</v>
      </c>
      <c r="F1523" s="9" t="s">
        <v>29</v>
      </c>
      <c r="M1523" s="21" t="s">
        <v>246</v>
      </c>
    </row>
    <row r="1524" spans="1:13">
      <c r="E1524" s="21">
        <f t="shared" si="834"/>
        <v>1524</v>
      </c>
      <c r="F1524" s="9" t="s">
        <v>118</v>
      </c>
      <c r="M1524" s="21" t="s">
        <v>248</v>
      </c>
    </row>
    <row r="1525" spans="1:13">
      <c r="E1525" s="21">
        <f t="shared" si="834"/>
        <v>1525</v>
      </c>
      <c r="F1525" s="9" t="s">
        <v>98</v>
      </c>
      <c r="K1525" s="9" t="s">
        <v>137</v>
      </c>
      <c r="M1525" s="21">
        <v>2</v>
      </c>
    </row>
    <row r="1526" spans="1:13">
      <c r="E1526" s="21">
        <f t="shared" si="834"/>
        <v>1526</v>
      </c>
      <c r="F1526" s="9" t="s">
        <v>175</v>
      </c>
      <c r="K1526" s="9" t="s">
        <v>136</v>
      </c>
      <c r="M1526" s="21" t="s">
        <v>250</v>
      </c>
    </row>
    <row r="1527" spans="1:13">
      <c r="E1527" s="21">
        <f t="shared" si="834"/>
        <v>1527</v>
      </c>
      <c r="F1527" s="9" t="s">
        <v>113</v>
      </c>
      <c r="L1527" s="9" t="s">
        <v>134</v>
      </c>
      <c r="M1527" s="21">
        <v>-90</v>
      </c>
    </row>
    <row r="1528" spans="1:13">
      <c r="E1528" s="21">
        <f t="shared" si="834"/>
        <v>1528</v>
      </c>
      <c r="F1528" s="9" t="s">
        <v>31</v>
      </c>
      <c r="G1528" s="21">
        <v>5</v>
      </c>
      <c r="H1528" s="21">
        <v>72</v>
      </c>
      <c r="L1528" s="9" t="s">
        <v>134</v>
      </c>
      <c r="M1528" s="21">
        <f t="shared" ref="M1528" si="867">(G1528*C1519+(A1519-1)*H1528+H1522*(B1519-1))*-1</f>
        <v>-366</v>
      </c>
    </row>
    <row r="1529" spans="1:13">
      <c r="E1529" s="21">
        <f t="shared" ref="E1529:E1592" si="868">ROW(E1529)</f>
        <v>1529</v>
      </c>
      <c r="F1529" s="9" t="s">
        <v>30</v>
      </c>
      <c r="M1529" s="21">
        <v>3</v>
      </c>
    </row>
    <row r="1530" spans="1:13">
      <c r="A1530" s="21">
        <f t="shared" ref="A1530:A1593" si="869">QUOTIENT( D1530-1,G1531*H1531)+1</f>
        <v>4</v>
      </c>
      <c r="B1530" s="21">
        <f t="shared" ref="B1530" si="870">QUOTIENT( D1530-1,G1531)+1-(A1530-1)*H1531</f>
        <v>6</v>
      </c>
      <c r="C1530" s="21">
        <f t="shared" ref="C1530" si="871">D1530-(B1530-1)*G1531-((A1530-1)*G1531*H1531)</f>
        <v>1</v>
      </c>
      <c r="D1530" s="21">
        <f>COUNT($D$11:$D1529)+1</f>
        <v>139</v>
      </c>
    </row>
    <row r="1531" spans="1:13">
      <c r="E1531" s="21">
        <f t="shared" ref="E1531:E1594" si="872">ROW(E1531)</f>
        <v>1531</v>
      </c>
      <c r="F1531" s="9" t="s">
        <v>93</v>
      </c>
      <c r="G1531" s="21">
        <v>6</v>
      </c>
      <c r="H1531" s="21">
        <v>6</v>
      </c>
      <c r="I1531" s="21">
        <v>5</v>
      </c>
      <c r="J1531" s="9" t="s">
        <v>252</v>
      </c>
      <c r="M1531" s="21">
        <f t="shared" ref="M1531:M1594" si="873">J1531+D1530</f>
        <v>20739</v>
      </c>
    </row>
    <row r="1532" spans="1:13">
      <c r="E1532" s="21">
        <f t="shared" si="872"/>
        <v>1532</v>
      </c>
      <c r="F1532" s="9" t="s">
        <v>142</v>
      </c>
      <c r="M1532" s="21">
        <v>199107</v>
      </c>
    </row>
    <row r="1533" spans="1:13">
      <c r="E1533" s="21">
        <f t="shared" si="872"/>
        <v>1533</v>
      </c>
      <c r="F1533" s="9" t="s">
        <v>126</v>
      </c>
      <c r="G1533" s="21">
        <v>5</v>
      </c>
      <c r="H1533" s="21">
        <v>30</v>
      </c>
      <c r="M1533" s="21">
        <f t="shared" ref="M1533" si="874">(MOD(D1530-1,G1531*H1531)+1)*G1533+H1533*(B1530-1)</f>
        <v>305</v>
      </c>
    </row>
    <row r="1534" spans="1:13">
      <c r="E1534" s="21">
        <f t="shared" si="872"/>
        <v>1534</v>
      </c>
      <c r="F1534" s="9" t="s">
        <v>29</v>
      </c>
      <c r="M1534" s="21" t="s">
        <v>246</v>
      </c>
    </row>
    <row r="1535" spans="1:13">
      <c r="E1535" s="21">
        <f t="shared" si="872"/>
        <v>1535</v>
      </c>
      <c r="F1535" s="9" t="s">
        <v>118</v>
      </c>
      <c r="M1535" s="21" t="s">
        <v>248</v>
      </c>
    </row>
    <row r="1536" spans="1:13">
      <c r="E1536" s="21">
        <f t="shared" si="872"/>
        <v>1536</v>
      </c>
      <c r="F1536" s="9" t="s">
        <v>98</v>
      </c>
      <c r="K1536" s="9" t="s">
        <v>137</v>
      </c>
      <c r="M1536" s="21">
        <v>2</v>
      </c>
    </row>
    <row r="1537" spans="1:13">
      <c r="E1537" s="21">
        <f t="shared" si="872"/>
        <v>1537</v>
      </c>
      <c r="F1537" s="9" t="s">
        <v>175</v>
      </c>
      <c r="K1537" s="9" t="s">
        <v>136</v>
      </c>
      <c r="M1537" s="21" t="s">
        <v>250</v>
      </c>
    </row>
    <row r="1538" spans="1:13">
      <c r="E1538" s="21">
        <f t="shared" si="872"/>
        <v>1538</v>
      </c>
      <c r="F1538" s="9" t="s">
        <v>113</v>
      </c>
      <c r="L1538" s="9" t="s">
        <v>134</v>
      </c>
      <c r="M1538" s="21">
        <v>-90</v>
      </c>
    </row>
    <row r="1539" spans="1:13">
      <c r="E1539" s="21">
        <f t="shared" si="872"/>
        <v>1539</v>
      </c>
      <c r="F1539" s="9" t="s">
        <v>31</v>
      </c>
      <c r="G1539" s="21">
        <v>5</v>
      </c>
      <c r="H1539" s="21">
        <v>72</v>
      </c>
      <c r="L1539" s="9" t="s">
        <v>134</v>
      </c>
      <c r="M1539" s="21">
        <f t="shared" ref="M1539" si="875">(G1539*C1530+(A1530-1)*H1539+H1533*(B1530-1))*-1</f>
        <v>-371</v>
      </c>
    </row>
    <row r="1540" spans="1:13">
      <c r="E1540" s="21">
        <f t="shared" si="872"/>
        <v>1540</v>
      </c>
      <c r="F1540" s="9" t="s">
        <v>30</v>
      </c>
      <c r="M1540" s="21">
        <v>3</v>
      </c>
    </row>
    <row r="1541" spans="1:13">
      <c r="A1541" s="21">
        <f t="shared" ref="A1541:A1604" si="876">QUOTIENT( D1541-1,G1542*H1542)+1</f>
        <v>4</v>
      </c>
      <c r="B1541" s="21">
        <f t="shared" ref="B1541" si="877">QUOTIENT( D1541-1,G1542)+1-(A1541-1)*H1542</f>
        <v>6</v>
      </c>
      <c r="C1541" s="21">
        <f t="shared" ref="C1541" si="878">D1541-(B1541-1)*G1542-((A1541-1)*G1542*H1542)</f>
        <v>2</v>
      </c>
      <c r="D1541" s="21">
        <f>COUNT($D$11:$D1540)+1</f>
        <v>140</v>
      </c>
    </row>
    <row r="1542" spans="1:13">
      <c r="E1542" s="21">
        <f t="shared" si="872"/>
        <v>1542</v>
      </c>
      <c r="F1542" s="9" t="s">
        <v>93</v>
      </c>
      <c r="G1542" s="21">
        <v>6</v>
      </c>
      <c r="H1542" s="21">
        <v>6</v>
      </c>
      <c r="I1542" s="21">
        <v>5</v>
      </c>
      <c r="J1542" s="9" t="s">
        <v>252</v>
      </c>
      <c r="M1542" s="21">
        <f t="shared" ref="M1542:M1605" si="879">J1542+D1541</f>
        <v>20740</v>
      </c>
    </row>
    <row r="1543" spans="1:13">
      <c r="E1543" s="21">
        <f t="shared" si="872"/>
        <v>1543</v>
      </c>
      <c r="F1543" s="9" t="s">
        <v>142</v>
      </c>
      <c r="M1543" s="21">
        <v>199107</v>
      </c>
    </row>
    <row r="1544" spans="1:13">
      <c r="E1544" s="21">
        <f t="shared" si="872"/>
        <v>1544</v>
      </c>
      <c r="F1544" s="9" t="s">
        <v>126</v>
      </c>
      <c r="G1544" s="21">
        <v>5</v>
      </c>
      <c r="H1544" s="21">
        <v>30</v>
      </c>
      <c r="M1544" s="21">
        <f t="shared" ref="M1544" si="880">(MOD(D1541-1,G1542*H1542)+1)*G1544+H1544*(B1541-1)</f>
        <v>310</v>
      </c>
    </row>
    <row r="1545" spans="1:13">
      <c r="E1545" s="21">
        <f t="shared" si="872"/>
        <v>1545</v>
      </c>
      <c r="F1545" s="9" t="s">
        <v>29</v>
      </c>
      <c r="M1545" s="21" t="s">
        <v>246</v>
      </c>
    </row>
    <row r="1546" spans="1:13">
      <c r="E1546" s="21">
        <f t="shared" si="872"/>
        <v>1546</v>
      </c>
      <c r="F1546" s="9" t="s">
        <v>118</v>
      </c>
      <c r="M1546" s="21" t="s">
        <v>248</v>
      </c>
    </row>
    <row r="1547" spans="1:13">
      <c r="E1547" s="21">
        <f t="shared" si="872"/>
        <v>1547</v>
      </c>
      <c r="F1547" s="9" t="s">
        <v>98</v>
      </c>
      <c r="K1547" s="9" t="s">
        <v>137</v>
      </c>
      <c r="M1547" s="21">
        <v>2</v>
      </c>
    </row>
    <row r="1548" spans="1:13">
      <c r="E1548" s="21">
        <f t="shared" si="872"/>
        <v>1548</v>
      </c>
      <c r="F1548" s="9" t="s">
        <v>175</v>
      </c>
      <c r="K1548" s="9" t="s">
        <v>136</v>
      </c>
      <c r="M1548" s="21" t="s">
        <v>250</v>
      </c>
    </row>
    <row r="1549" spans="1:13">
      <c r="E1549" s="21">
        <f t="shared" si="872"/>
        <v>1549</v>
      </c>
      <c r="F1549" s="9" t="s">
        <v>113</v>
      </c>
      <c r="L1549" s="9" t="s">
        <v>134</v>
      </c>
      <c r="M1549" s="21">
        <v>-90</v>
      </c>
    </row>
    <row r="1550" spans="1:13">
      <c r="E1550" s="21">
        <f t="shared" si="872"/>
        <v>1550</v>
      </c>
      <c r="F1550" s="9" t="s">
        <v>31</v>
      </c>
      <c r="G1550" s="21">
        <v>5</v>
      </c>
      <c r="H1550" s="21">
        <v>72</v>
      </c>
      <c r="L1550" s="9" t="s">
        <v>134</v>
      </c>
      <c r="M1550" s="21">
        <f t="shared" ref="M1550" si="881">(G1550*C1541+(A1541-1)*H1550+H1544*(B1541-1))*-1</f>
        <v>-376</v>
      </c>
    </row>
    <row r="1551" spans="1:13">
      <c r="E1551" s="21">
        <f t="shared" si="872"/>
        <v>1551</v>
      </c>
      <c r="F1551" s="9" t="s">
        <v>30</v>
      </c>
      <c r="M1551" s="21">
        <v>3</v>
      </c>
    </row>
    <row r="1552" spans="1:13">
      <c r="A1552" s="21">
        <f t="shared" ref="A1552:A1615" si="882">QUOTIENT( D1552-1,G1553*H1553)+1</f>
        <v>4</v>
      </c>
      <c r="B1552" s="21">
        <f t="shared" ref="B1552" si="883">QUOTIENT( D1552-1,G1553)+1-(A1552-1)*H1553</f>
        <v>6</v>
      </c>
      <c r="C1552" s="21">
        <f t="shared" ref="C1552" si="884">D1552-(B1552-1)*G1553-((A1552-1)*G1553*H1553)</f>
        <v>3</v>
      </c>
      <c r="D1552" s="21">
        <f>COUNT($D$11:$D1551)+1</f>
        <v>141</v>
      </c>
    </row>
    <row r="1553" spans="1:13">
      <c r="E1553" s="21">
        <f t="shared" si="872"/>
        <v>1553</v>
      </c>
      <c r="F1553" s="9" t="s">
        <v>93</v>
      </c>
      <c r="G1553" s="21">
        <v>6</v>
      </c>
      <c r="H1553" s="21">
        <v>6</v>
      </c>
      <c r="I1553" s="21">
        <v>5</v>
      </c>
      <c r="J1553" s="9" t="s">
        <v>252</v>
      </c>
      <c r="M1553" s="21">
        <f t="shared" ref="M1553:M1616" si="885">J1553+D1552</f>
        <v>20741</v>
      </c>
    </row>
    <row r="1554" spans="1:13">
      <c r="E1554" s="21">
        <f t="shared" si="872"/>
        <v>1554</v>
      </c>
      <c r="F1554" s="9" t="s">
        <v>142</v>
      </c>
      <c r="M1554" s="21">
        <v>199107</v>
      </c>
    </row>
    <row r="1555" spans="1:13">
      <c r="E1555" s="21">
        <f t="shared" si="872"/>
        <v>1555</v>
      </c>
      <c r="F1555" s="9" t="s">
        <v>126</v>
      </c>
      <c r="G1555" s="21">
        <v>5</v>
      </c>
      <c r="H1555" s="21">
        <v>30</v>
      </c>
      <c r="M1555" s="21">
        <f t="shared" ref="M1555" si="886">(MOD(D1552-1,G1553*H1553)+1)*G1555+H1555*(B1552-1)</f>
        <v>315</v>
      </c>
    </row>
    <row r="1556" spans="1:13">
      <c r="E1556" s="21">
        <f t="shared" si="872"/>
        <v>1556</v>
      </c>
      <c r="F1556" s="9" t="s">
        <v>29</v>
      </c>
      <c r="M1556" s="21" t="s">
        <v>246</v>
      </c>
    </row>
    <row r="1557" spans="1:13">
      <c r="E1557" s="21">
        <f t="shared" si="872"/>
        <v>1557</v>
      </c>
      <c r="F1557" s="9" t="s">
        <v>118</v>
      </c>
      <c r="M1557" s="21" t="s">
        <v>248</v>
      </c>
    </row>
    <row r="1558" spans="1:13">
      <c r="E1558" s="21">
        <f t="shared" si="872"/>
        <v>1558</v>
      </c>
      <c r="F1558" s="9" t="s">
        <v>98</v>
      </c>
      <c r="K1558" s="9" t="s">
        <v>137</v>
      </c>
      <c r="M1558" s="21">
        <v>2</v>
      </c>
    </row>
    <row r="1559" spans="1:13">
      <c r="E1559" s="21">
        <f t="shared" si="872"/>
        <v>1559</v>
      </c>
      <c r="F1559" s="9" t="s">
        <v>175</v>
      </c>
      <c r="K1559" s="9" t="s">
        <v>136</v>
      </c>
      <c r="M1559" s="21" t="s">
        <v>250</v>
      </c>
    </row>
    <row r="1560" spans="1:13">
      <c r="E1560" s="21">
        <f t="shared" si="872"/>
        <v>1560</v>
      </c>
      <c r="F1560" s="9" t="s">
        <v>113</v>
      </c>
      <c r="L1560" s="9" t="s">
        <v>134</v>
      </c>
      <c r="M1560" s="21">
        <v>-90</v>
      </c>
    </row>
    <row r="1561" spans="1:13">
      <c r="E1561" s="21">
        <f t="shared" si="872"/>
        <v>1561</v>
      </c>
      <c r="F1561" s="9" t="s">
        <v>31</v>
      </c>
      <c r="G1561" s="21">
        <v>5</v>
      </c>
      <c r="H1561" s="21">
        <v>72</v>
      </c>
      <c r="L1561" s="9" t="s">
        <v>134</v>
      </c>
      <c r="M1561" s="21">
        <f t="shared" ref="M1561" si="887">(G1561*C1552+(A1552-1)*H1561+H1555*(B1552-1))*-1</f>
        <v>-381</v>
      </c>
    </row>
    <row r="1562" spans="1:13">
      <c r="E1562" s="21">
        <f t="shared" si="872"/>
        <v>1562</v>
      </c>
      <c r="F1562" s="9" t="s">
        <v>30</v>
      </c>
      <c r="M1562" s="21">
        <v>3</v>
      </c>
    </row>
    <row r="1563" spans="1:13">
      <c r="A1563" s="21">
        <f t="shared" ref="A1563:A1626" si="888">QUOTIENT( D1563-1,G1564*H1564)+1</f>
        <v>4</v>
      </c>
      <c r="B1563" s="21">
        <f t="shared" ref="B1563" si="889">QUOTIENT( D1563-1,G1564)+1-(A1563-1)*H1564</f>
        <v>6</v>
      </c>
      <c r="C1563" s="21">
        <f t="shared" ref="C1563" si="890">D1563-(B1563-1)*G1564-((A1563-1)*G1564*H1564)</f>
        <v>4</v>
      </c>
      <c r="D1563" s="21">
        <f>COUNT($D$11:$D1562)+1</f>
        <v>142</v>
      </c>
    </row>
    <row r="1564" spans="1:13">
      <c r="E1564" s="21">
        <f t="shared" si="872"/>
        <v>1564</v>
      </c>
      <c r="F1564" s="9" t="s">
        <v>93</v>
      </c>
      <c r="G1564" s="21">
        <v>6</v>
      </c>
      <c r="H1564" s="21">
        <v>6</v>
      </c>
      <c r="I1564" s="21">
        <v>5</v>
      </c>
      <c r="J1564" s="9" t="s">
        <v>252</v>
      </c>
      <c r="M1564" s="21">
        <f t="shared" ref="M1564:M1627" si="891">J1564+D1563</f>
        <v>20742</v>
      </c>
    </row>
    <row r="1565" spans="1:13">
      <c r="E1565" s="21">
        <f t="shared" si="872"/>
        <v>1565</v>
      </c>
      <c r="F1565" s="9" t="s">
        <v>142</v>
      </c>
      <c r="M1565" s="21">
        <v>199107</v>
      </c>
    </row>
    <row r="1566" spans="1:13">
      <c r="E1566" s="21">
        <f t="shared" si="872"/>
        <v>1566</v>
      </c>
      <c r="F1566" s="9" t="s">
        <v>126</v>
      </c>
      <c r="G1566" s="21">
        <v>5</v>
      </c>
      <c r="H1566" s="21">
        <v>30</v>
      </c>
      <c r="M1566" s="21">
        <f t="shared" ref="M1566" si="892">(MOD(D1563-1,G1564*H1564)+1)*G1566+H1566*(B1563-1)</f>
        <v>320</v>
      </c>
    </row>
    <row r="1567" spans="1:13">
      <c r="E1567" s="21">
        <f t="shared" si="872"/>
        <v>1567</v>
      </c>
      <c r="F1567" s="9" t="s">
        <v>29</v>
      </c>
      <c r="M1567" s="21" t="s">
        <v>246</v>
      </c>
    </row>
    <row r="1568" spans="1:13">
      <c r="E1568" s="21">
        <f t="shared" si="872"/>
        <v>1568</v>
      </c>
      <c r="F1568" s="9" t="s">
        <v>118</v>
      </c>
      <c r="M1568" s="21" t="s">
        <v>248</v>
      </c>
    </row>
    <row r="1569" spans="1:13">
      <c r="E1569" s="21">
        <f t="shared" si="872"/>
        <v>1569</v>
      </c>
      <c r="F1569" s="9" t="s">
        <v>98</v>
      </c>
      <c r="K1569" s="9" t="s">
        <v>137</v>
      </c>
      <c r="M1569" s="21">
        <v>2</v>
      </c>
    </row>
    <row r="1570" spans="1:13">
      <c r="E1570" s="21">
        <f t="shared" si="872"/>
        <v>1570</v>
      </c>
      <c r="F1570" s="9" t="s">
        <v>175</v>
      </c>
      <c r="K1570" s="9" t="s">
        <v>136</v>
      </c>
      <c r="M1570" s="21" t="s">
        <v>250</v>
      </c>
    </row>
    <row r="1571" spans="1:13">
      <c r="E1571" s="21">
        <f t="shared" si="872"/>
        <v>1571</v>
      </c>
      <c r="F1571" s="9" t="s">
        <v>113</v>
      </c>
      <c r="L1571" s="9" t="s">
        <v>134</v>
      </c>
      <c r="M1571" s="21">
        <v>-90</v>
      </c>
    </row>
    <row r="1572" spans="1:13">
      <c r="E1572" s="21">
        <f t="shared" si="872"/>
        <v>1572</v>
      </c>
      <c r="F1572" s="9" t="s">
        <v>31</v>
      </c>
      <c r="G1572" s="21">
        <v>5</v>
      </c>
      <c r="H1572" s="21">
        <v>72</v>
      </c>
      <c r="L1572" s="9" t="s">
        <v>134</v>
      </c>
      <c r="M1572" s="21">
        <f t="shared" ref="M1572" si="893">(G1572*C1563+(A1563-1)*H1572+H1566*(B1563-1))*-1</f>
        <v>-386</v>
      </c>
    </row>
    <row r="1573" spans="1:13">
      <c r="E1573" s="21">
        <f t="shared" si="872"/>
        <v>1573</v>
      </c>
      <c r="F1573" s="9" t="s">
        <v>30</v>
      </c>
      <c r="M1573" s="21">
        <v>3</v>
      </c>
    </row>
    <row r="1574" spans="1:13">
      <c r="A1574" s="21">
        <f t="shared" ref="A1574:A1637" si="894">QUOTIENT( D1574-1,G1575*H1575)+1</f>
        <v>4</v>
      </c>
      <c r="B1574" s="21">
        <f t="shared" ref="B1574" si="895">QUOTIENT( D1574-1,G1575)+1-(A1574-1)*H1575</f>
        <v>6</v>
      </c>
      <c r="C1574" s="21">
        <f t="shared" ref="C1574" si="896">D1574-(B1574-1)*G1575-((A1574-1)*G1575*H1575)</f>
        <v>5</v>
      </c>
      <c r="D1574" s="21">
        <f>COUNT($D$11:$D1573)+1</f>
        <v>143</v>
      </c>
    </row>
    <row r="1575" spans="1:13">
      <c r="E1575" s="21">
        <f t="shared" si="872"/>
        <v>1575</v>
      </c>
      <c r="F1575" s="9" t="s">
        <v>93</v>
      </c>
      <c r="G1575" s="21">
        <v>6</v>
      </c>
      <c r="H1575" s="21">
        <v>6</v>
      </c>
      <c r="I1575" s="21">
        <v>5</v>
      </c>
      <c r="J1575" s="9" t="s">
        <v>252</v>
      </c>
      <c r="M1575" s="21">
        <f t="shared" ref="M1575:M1638" si="897">J1575+D1574</f>
        <v>20743</v>
      </c>
    </row>
    <row r="1576" spans="1:13">
      <c r="E1576" s="21">
        <f t="shared" si="872"/>
        <v>1576</v>
      </c>
      <c r="F1576" s="9" t="s">
        <v>142</v>
      </c>
      <c r="M1576" s="21">
        <v>199107</v>
      </c>
    </row>
    <row r="1577" spans="1:13">
      <c r="E1577" s="21">
        <f t="shared" si="872"/>
        <v>1577</v>
      </c>
      <c r="F1577" s="9" t="s">
        <v>126</v>
      </c>
      <c r="G1577" s="21">
        <v>5</v>
      </c>
      <c r="H1577" s="21">
        <v>30</v>
      </c>
      <c r="M1577" s="21">
        <f t="shared" ref="M1577" si="898">(MOD(D1574-1,G1575*H1575)+1)*G1577+H1577*(B1574-1)</f>
        <v>325</v>
      </c>
    </row>
    <row r="1578" spans="1:13">
      <c r="E1578" s="21">
        <f t="shared" si="872"/>
        <v>1578</v>
      </c>
      <c r="F1578" s="9" t="s">
        <v>29</v>
      </c>
      <c r="M1578" s="21" t="s">
        <v>246</v>
      </c>
    </row>
    <row r="1579" spans="1:13">
      <c r="E1579" s="21">
        <f t="shared" si="872"/>
        <v>1579</v>
      </c>
      <c r="F1579" s="9" t="s">
        <v>118</v>
      </c>
      <c r="M1579" s="21" t="s">
        <v>248</v>
      </c>
    </row>
    <row r="1580" spans="1:13">
      <c r="E1580" s="21">
        <f t="shared" si="872"/>
        <v>1580</v>
      </c>
      <c r="F1580" s="9" t="s">
        <v>98</v>
      </c>
      <c r="K1580" s="9" t="s">
        <v>137</v>
      </c>
      <c r="M1580" s="21">
        <v>2</v>
      </c>
    </row>
    <row r="1581" spans="1:13">
      <c r="E1581" s="21">
        <f t="shared" si="872"/>
        <v>1581</v>
      </c>
      <c r="F1581" s="9" t="s">
        <v>175</v>
      </c>
      <c r="K1581" s="9" t="s">
        <v>136</v>
      </c>
      <c r="M1581" s="21" t="s">
        <v>250</v>
      </c>
    </row>
    <row r="1582" spans="1:13">
      <c r="E1582" s="21">
        <f t="shared" si="872"/>
        <v>1582</v>
      </c>
      <c r="F1582" s="9" t="s">
        <v>113</v>
      </c>
      <c r="L1582" s="9" t="s">
        <v>134</v>
      </c>
      <c r="M1582" s="21">
        <v>-90</v>
      </c>
    </row>
    <row r="1583" spans="1:13">
      <c r="E1583" s="21">
        <f t="shared" si="872"/>
        <v>1583</v>
      </c>
      <c r="F1583" s="9" t="s">
        <v>31</v>
      </c>
      <c r="G1583" s="21">
        <v>5</v>
      </c>
      <c r="H1583" s="21">
        <v>72</v>
      </c>
      <c r="L1583" s="9" t="s">
        <v>134</v>
      </c>
      <c r="M1583" s="21">
        <f t="shared" ref="M1583" si="899">(G1583*C1574+(A1574-1)*H1583+H1577*(B1574-1))*-1</f>
        <v>-391</v>
      </c>
    </row>
    <row r="1584" spans="1:13">
      <c r="E1584" s="21">
        <f t="shared" si="872"/>
        <v>1584</v>
      </c>
      <c r="F1584" s="9" t="s">
        <v>30</v>
      </c>
      <c r="M1584" s="21">
        <v>3</v>
      </c>
    </row>
    <row r="1585" spans="1:13">
      <c r="A1585" s="21">
        <f t="shared" ref="A1585:A1648" si="900">QUOTIENT( D1585-1,G1586*H1586)+1</f>
        <v>4</v>
      </c>
      <c r="B1585" s="21">
        <f t="shared" ref="B1585" si="901">QUOTIENT( D1585-1,G1586)+1-(A1585-1)*H1586</f>
        <v>6</v>
      </c>
      <c r="C1585" s="21">
        <f t="shared" ref="C1585" si="902">D1585-(B1585-1)*G1586-((A1585-1)*G1586*H1586)</f>
        <v>6</v>
      </c>
      <c r="D1585" s="21">
        <f>COUNT($D$11:$D1584)+1</f>
        <v>144</v>
      </c>
    </row>
    <row r="1586" spans="1:13">
      <c r="E1586" s="21">
        <f t="shared" si="872"/>
        <v>1586</v>
      </c>
      <c r="F1586" s="9" t="s">
        <v>93</v>
      </c>
      <c r="G1586" s="21">
        <v>6</v>
      </c>
      <c r="H1586" s="21">
        <v>6</v>
      </c>
      <c r="I1586" s="21">
        <v>5</v>
      </c>
      <c r="J1586" s="9" t="s">
        <v>252</v>
      </c>
      <c r="M1586" s="21">
        <f t="shared" ref="M1586:M1649" si="903">J1586+D1585</f>
        <v>20744</v>
      </c>
    </row>
    <row r="1587" spans="1:13">
      <c r="E1587" s="21">
        <f t="shared" si="872"/>
        <v>1587</v>
      </c>
      <c r="F1587" s="9" t="s">
        <v>142</v>
      </c>
      <c r="M1587" s="21">
        <v>199107</v>
      </c>
    </row>
    <row r="1588" spans="1:13">
      <c r="E1588" s="21">
        <f t="shared" si="872"/>
        <v>1588</v>
      </c>
      <c r="F1588" s="9" t="s">
        <v>126</v>
      </c>
      <c r="G1588" s="21">
        <v>5</v>
      </c>
      <c r="H1588" s="21">
        <v>30</v>
      </c>
      <c r="M1588" s="21">
        <f t="shared" ref="M1588" si="904">(MOD(D1585-1,G1586*H1586)+1)*G1588+H1588*(B1585-1)</f>
        <v>330</v>
      </c>
    </row>
    <row r="1589" spans="1:13">
      <c r="E1589" s="21">
        <f t="shared" si="872"/>
        <v>1589</v>
      </c>
      <c r="F1589" s="9" t="s">
        <v>29</v>
      </c>
      <c r="M1589" s="21" t="s">
        <v>246</v>
      </c>
    </row>
    <row r="1590" spans="1:13">
      <c r="E1590" s="21">
        <f t="shared" si="872"/>
        <v>1590</v>
      </c>
      <c r="F1590" s="9" t="s">
        <v>118</v>
      </c>
      <c r="M1590" s="21" t="s">
        <v>248</v>
      </c>
    </row>
    <row r="1591" spans="1:13">
      <c r="E1591" s="21">
        <f t="shared" si="872"/>
        <v>1591</v>
      </c>
      <c r="F1591" s="9" t="s">
        <v>98</v>
      </c>
      <c r="K1591" s="9" t="s">
        <v>137</v>
      </c>
      <c r="M1591" s="21">
        <v>2</v>
      </c>
    </row>
    <row r="1592" spans="1:13">
      <c r="E1592" s="21">
        <f t="shared" si="872"/>
        <v>1592</v>
      </c>
      <c r="F1592" s="9" t="s">
        <v>175</v>
      </c>
      <c r="K1592" s="9" t="s">
        <v>136</v>
      </c>
      <c r="M1592" s="21" t="s">
        <v>250</v>
      </c>
    </row>
    <row r="1593" spans="1:13">
      <c r="E1593" s="21">
        <f t="shared" si="872"/>
        <v>1593</v>
      </c>
      <c r="F1593" s="9" t="s">
        <v>113</v>
      </c>
      <c r="L1593" s="9" t="s">
        <v>134</v>
      </c>
      <c r="M1593" s="21">
        <v>-90</v>
      </c>
    </row>
    <row r="1594" spans="1:13">
      <c r="E1594" s="21">
        <f t="shared" si="872"/>
        <v>1594</v>
      </c>
      <c r="F1594" s="9" t="s">
        <v>31</v>
      </c>
      <c r="G1594" s="21">
        <v>5</v>
      </c>
      <c r="H1594" s="21">
        <v>72</v>
      </c>
      <c r="L1594" s="9" t="s">
        <v>134</v>
      </c>
      <c r="M1594" s="21">
        <f t="shared" ref="M1594" si="905">(G1594*C1585+(A1585-1)*H1594+H1588*(B1585-1))*-1</f>
        <v>-396</v>
      </c>
    </row>
    <row r="1595" spans="1:13">
      <c r="E1595" s="21">
        <f t="shared" ref="E1595:E1658" si="906">ROW(E1595)</f>
        <v>1595</v>
      </c>
      <c r="F1595" s="9" t="s">
        <v>30</v>
      </c>
      <c r="M1595" s="21">
        <v>3</v>
      </c>
    </row>
    <row r="1596" spans="1:13">
      <c r="A1596" s="21">
        <f t="shared" ref="A1596:A1659" si="907">QUOTIENT( D1596-1,G1597*H1597)+1</f>
        <v>5</v>
      </c>
      <c r="B1596" s="21">
        <f t="shared" ref="B1596" si="908">QUOTIENT( D1596-1,G1597)+1-(A1596-1)*H1597</f>
        <v>1</v>
      </c>
      <c r="C1596" s="21">
        <f t="shared" ref="C1596" si="909">D1596-(B1596-1)*G1597-((A1596-1)*G1597*H1597)</f>
        <v>1</v>
      </c>
      <c r="D1596" s="21">
        <f>COUNT($D$11:$D1595)+1</f>
        <v>145</v>
      </c>
    </row>
    <row r="1597" spans="1:13">
      <c r="E1597" s="21">
        <f t="shared" ref="E1597:E1660" si="910">ROW(E1597)</f>
        <v>1597</v>
      </c>
      <c r="F1597" s="9" t="s">
        <v>93</v>
      </c>
      <c r="G1597" s="21">
        <v>6</v>
      </c>
      <c r="H1597" s="21">
        <v>6</v>
      </c>
      <c r="I1597" s="21">
        <v>5</v>
      </c>
      <c r="J1597" s="9" t="s">
        <v>252</v>
      </c>
      <c r="M1597" s="21">
        <f t="shared" ref="M1597:M1660" si="911">J1597+D1596</f>
        <v>20745</v>
      </c>
    </row>
    <row r="1598" spans="1:13">
      <c r="E1598" s="21">
        <f t="shared" si="910"/>
        <v>1598</v>
      </c>
      <c r="F1598" s="9" t="s">
        <v>142</v>
      </c>
      <c r="M1598" s="21">
        <v>199107</v>
      </c>
    </row>
    <row r="1599" spans="1:13">
      <c r="E1599" s="21">
        <f t="shared" si="910"/>
        <v>1599</v>
      </c>
      <c r="F1599" s="9" t="s">
        <v>126</v>
      </c>
      <c r="G1599" s="21">
        <v>5</v>
      </c>
      <c r="H1599" s="21">
        <v>30</v>
      </c>
      <c r="M1599" s="21">
        <f t="shared" ref="M1599" si="912">(MOD(D1596-1,G1597*H1597)+1)*G1599+H1599*(B1596-1)</f>
        <v>5</v>
      </c>
    </row>
    <row r="1600" spans="1:13">
      <c r="E1600" s="21">
        <f t="shared" si="910"/>
        <v>1600</v>
      </c>
      <c r="F1600" s="9" t="s">
        <v>29</v>
      </c>
      <c r="M1600" s="21" t="s">
        <v>246</v>
      </c>
    </row>
    <row r="1601" spans="1:13">
      <c r="E1601" s="21">
        <f t="shared" si="910"/>
        <v>1601</v>
      </c>
      <c r="F1601" s="9" t="s">
        <v>118</v>
      </c>
      <c r="M1601" s="21" t="s">
        <v>248</v>
      </c>
    </row>
    <row r="1602" spans="1:13">
      <c r="E1602" s="21">
        <f t="shared" si="910"/>
        <v>1602</v>
      </c>
      <c r="F1602" s="9" t="s">
        <v>98</v>
      </c>
      <c r="K1602" s="9" t="s">
        <v>137</v>
      </c>
      <c r="M1602" s="21">
        <v>2</v>
      </c>
    </row>
    <row r="1603" spans="1:13">
      <c r="E1603" s="21">
        <f t="shared" si="910"/>
        <v>1603</v>
      </c>
      <c r="F1603" s="9" t="s">
        <v>175</v>
      </c>
      <c r="K1603" s="9" t="s">
        <v>136</v>
      </c>
      <c r="M1603" s="21" t="s">
        <v>250</v>
      </c>
    </row>
    <row r="1604" spans="1:13">
      <c r="E1604" s="21">
        <f t="shared" si="910"/>
        <v>1604</v>
      </c>
      <c r="F1604" s="9" t="s">
        <v>113</v>
      </c>
      <c r="L1604" s="9" t="s">
        <v>134</v>
      </c>
      <c r="M1604" s="21">
        <v>-90</v>
      </c>
    </row>
    <row r="1605" spans="1:13">
      <c r="E1605" s="21">
        <f t="shared" si="910"/>
        <v>1605</v>
      </c>
      <c r="F1605" s="9" t="s">
        <v>31</v>
      </c>
      <c r="G1605" s="21">
        <v>5</v>
      </c>
      <c r="H1605" s="21">
        <v>72</v>
      </c>
      <c r="L1605" s="9" t="s">
        <v>134</v>
      </c>
      <c r="M1605" s="21">
        <f t="shared" ref="M1605" si="913">(G1605*C1596+(A1596-1)*H1605+H1599*(B1596-1))*-1</f>
        <v>-293</v>
      </c>
    </row>
    <row r="1606" spans="1:13">
      <c r="E1606" s="21">
        <f t="shared" si="910"/>
        <v>1606</v>
      </c>
      <c r="F1606" s="9" t="s">
        <v>30</v>
      </c>
      <c r="M1606" s="21">
        <v>3</v>
      </c>
    </row>
    <row r="1607" spans="1:13">
      <c r="A1607" s="21">
        <f t="shared" ref="A1607:A1670" si="914">QUOTIENT( D1607-1,G1608*H1608)+1</f>
        <v>5</v>
      </c>
      <c r="B1607" s="21">
        <f t="shared" ref="B1607" si="915">QUOTIENT( D1607-1,G1608)+1-(A1607-1)*H1608</f>
        <v>1</v>
      </c>
      <c r="C1607" s="21">
        <f t="shared" ref="C1607" si="916">D1607-(B1607-1)*G1608-((A1607-1)*G1608*H1608)</f>
        <v>2</v>
      </c>
      <c r="D1607" s="21">
        <f>COUNT($D$11:$D1606)+1</f>
        <v>146</v>
      </c>
    </row>
    <row r="1608" spans="1:13">
      <c r="E1608" s="21">
        <f t="shared" si="910"/>
        <v>1608</v>
      </c>
      <c r="F1608" s="9" t="s">
        <v>93</v>
      </c>
      <c r="G1608" s="21">
        <v>6</v>
      </c>
      <c r="H1608" s="21">
        <v>6</v>
      </c>
      <c r="I1608" s="21">
        <v>5</v>
      </c>
      <c r="J1608" s="9" t="s">
        <v>252</v>
      </c>
      <c r="M1608" s="21">
        <f t="shared" ref="M1608:M1671" si="917">J1608+D1607</f>
        <v>20746</v>
      </c>
    </row>
    <row r="1609" spans="1:13">
      <c r="E1609" s="21">
        <f t="shared" si="910"/>
        <v>1609</v>
      </c>
      <c r="F1609" s="9" t="s">
        <v>142</v>
      </c>
      <c r="M1609" s="21">
        <v>199107</v>
      </c>
    </row>
    <row r="1610" spans="1:13">
      <c r="E1610" s="21">
        <f t="shared" si="910"/>
        <v>1610</v>
      </c>
      <c r="F1610" s="9" t="s">
        <v>126</v>
      </c>
      <c r="G1610" s="21">
        <v>5</v>
      </c>
      <c r="H1610" s="21">
        <v>30</v>
      </c>
      <c r="M1610" s="21">
        <f t="shared" ref="M1610" si="918">(MOD(D1607-1,G1608*H1608)+1)*G1610+H1610*(B1607-1)</f>
        <v>10</v>
      </c>
    </row>
    <row r="1611" spans="1:13">
      <c r="E1611" s="21">
        <f t="shared" si="910"/>
        <v>1611</v>
      </c>
      <c r="F1611" s="9" t="s">
        <v>29</v>
      </c>
      <c r="M1611" s="21" t="s">
        <v>246</v>
      </c>
    </row>
    <row r="1612" spans="1:13">
      <c r="E1612" s="21">
        <f t="shared" si="910"/>
        <v>1612</v>
      </c>
      <c r="F1612" s="9" t="s">
        <v>118</v>
      </c>
      <c r="M1612" s="21" t="s">
        <v>248</v>
      </c>
    </row>
    <row r="1613" spans="1:13">
      <c r="E1613" s="21">
        <f t="shared" si="910"/>
        <v>1613</v>
      </c>
      <c r="F1613" s="9" t="s">
        <v>98</v>
      </c>
      <c r="K1613" s="9" t="s">
        <v>137</v>
      </c>
      <c r="M1613" s="21">
        <v>2</v>
      </c>
    </row>
    <row r="1614" spans="1:13">
      <c r="E1614" s="21">
        <f t="shared" si="910"/>
        <v>1614</v>
      </c>
      <c r="F1614" s="9" t="s">
        <v>175</v>
      </c>
      <c r="K1614" s="9" t="s">
        <v>136</v>
      </c>
      <c r="M1614" s="21" t="s">
        <v>250</v>
      </c>
    </row>
    <row r="1615" spans="1:13">
      <c r="E1615" s="21">
        <f t="shared" si="910"/>
        <v>1615</v>
      </c>
      <c r="F1615" s="9" t="s">
        <v>113</v>
      </c>
      <c r="L1615" s="9" t="s">
        <v>134</v>
      </c>
      <c r="M1615" s="21">
        <v>-90</v>
      </c>
    </row>
    <row r="1616" spans="1:13">
      <c r="E1616" s="21">
        <f t="shared" si="910"/>
        <v>1616</v>
      </c>
      <c r="F1616" s="9" t="s">
        <v>31</v>
      </c>
      <c r="G1616" s="21">
        <v>5</v>
      </c>
      <c r="H1616" s="21">
        <v>72</v>
      </c>
      <c r="L1616" s="9" t="s">
        <v>134</v>
      </c>
      <c r="M1616" s="21">
        <f t="shared" ref="M1616" si="919">(G1616*C1607+(A1607-1)*H1616+H1610*(B1607-1))*-1</f>
        <v>-298</v>
      </c>
    </row>
    <row r="1617" spans="1:13">
      <c r="E1617" s="21">
        <f t="shared" si="910"/>
        <v>1617</v>
      </c>
      <c r="F1617" s="9" t="s">
        <v>30</v>
      </c>
      <c r="M1617" s="21">
        <v>3</v>
      </c>
    </row>
    <row r="1618" spans="1:13">
      <c r="A1618" s="21">
        <f t="shared" ref="A1618:A1681" si="920">QUOTIENT( D1618-1,G1619*H1619)+1</f>
        <v>5</v>
      </c>
      <c r="B1618" s="21">
        <f t="shared" ref="B1618" si="921">QUOTIENT( D1618-1,G1619)+1-(A1618-1)*H1619</f>
        <v>1</v>
      </c>
      <c r="C1618" s="21">
        <f t="shared" ref="C1618" si="922">D1618-(B1618-1)*G1619-((A1618-1)*G1619*H1619)</f>
        <v>3</v>
      </c>
      <c r="D1618" s="21">
        <f>COUNT($D$11:$D1617)+1</f>
        <v>147</v>
      </c>
    </row>
    <row r="1619" spans="1:13">
      <c r="E1619" s="21">
        <f t="shared" si="910"/>
        <v>1619</v>
      </c>
      <c r="F1619" s="9" t="s">
        <v>93</v>
      </c>
      <c r="G1619" s="21">
        <v>6</v>
      </c>
      <c r="H1619" s="21">
        <v>6</v>
      </c>
      <c r="I1619" s="21">
        <v>5</v>
      </c>
      <c r="J1619" s="9" t="s">
        <v>252</v>
      </c>
      <c r="M1619" s="21">
        <f t="shared" ref="M1619:M1682" si="923">J1619+D1618</f>
        <v>20747</v>
      </c>
    </row>
    <row r="1620" spans="1:13">
      <c r="E1620" s="21">
        <f t="shared" si="910"/>
        <v>1620</v>
      </c>
      <c r="F1620" s="9" t="s">
        <v>142</v>
      </c>
      <c r="M1620" s="21">
        <v>199107</v>
      </c>
    </row>
    <row r="1621" spans="1:13">
      <c r="E1621" s="21">
        <f t="shared" si="910"/>
        <v>1621</v>
      </c>
      <c r="F1621" s="9" t="s">
        <v>126</v>
      </c>
      <c r="G1621" s="21">
        <v>5</v>
      </c>
      <c r="H1621" s="21">
        <v>30</v>
      </c>
      <c r="M1621" s="21">
        <f t="shared" ref="M1621" si="924">(MOD(D1618-1,G1619*H1619)+1)*G1621+H1621*(B1618-1)</f>
        <v>15</v>
      </c>
    </row>
    <row r="1622" spans="1:13">
      <c r="E1622" s="21">
        <f t="shared" si="910"/>
        <v>1622</v>
      </c>
      <c r="F1622" s="9" t="s">
        <v>29</v>
      </c>
      <c r="M1622" s="21" t="s">
        <v>246</v>
      </c>
    </row>
    <row r="1623" spans="1:13">
      <c r="E1623" s="21">
        <f t="shared" si="910"/>
        <v>1623</v>
      </c>
      <c r="F1623" s="9" t="s">
        <v>118</v>
      </c>
      <c r="M1623" s="21" t="s">
        <v>248</v>
      </c>
    </row>
    <row r="1624" spans="1:13">
      <c r="E1624" s="21">
        <f t="shared" si="910"/>
        <v>1624</v>
      </c>
      <c r="F1624" s="9" t="s">
        <v>98</v>
      </c>
      <c r="K1624" s="9" t="s">
        <v>137</v>
      </c>
      <c r="M1624" s="21">
        <v>2</v>
      </c>
    </row>
    <row r="1625" spans="1:13">
      <c r="E1625" s="21">
        <f t="shared" si="910"/>
        <v>1625</v>
      </c>
      <c r="F1625" s="9" t="s">
        <v>175</v>
      </c>
      <c r="K1625" s="9" t="s">
        <v>136</v>
      </c>
      <c r="M1625" s="21" t="s">
        <v>250</v>
      </c>
    </row>
    <row r="1626" spans="1:13">
      <c r="E1626" s="21">
        <f t="shared" si="910"/>
        <v>1626</v>
      </c>
      <c r="F1626" s="9" t="s">
        <v>113</v>
      </c>
      <c r="L1626" s="9" t="s">
        <v>134</v>
      </c>
      <c r="M1626" s="21">
        <v>-90</v>
      </c>
    </row>
    <row r="1627" spans="1:13">
      <c r="E1627" s="21">
        <f t="shared" si="910"/>
        <v>1627</v>
      </c>
      <c r="F1627" s="9" t="s">
        <v>31</v>
      </c>
      <c r="G1627" s="21">
        <v>5</v>
      </c>
      <c r="H1627" s="21">
        <v>72</v>
      </c>
      <c r="L1627" s="9" t="s">
        <v>134</v>
      </c>
      <c r="M1627" s="21">
        <f t="shared" ref="M1627" si="925">(G1627*C1618+(A1618-1)*H1627+H1621*(B1618-1))*-1</f>
        <v>-303</v>
      </c>
    </row>
    <row r="1628" spans="1:13">
      <c r="E1628" s="21">
        <f t="shared" si="910"/>
        <v>1628</v>
      </c>
      <c r="F1628" s="9" t="s">
        <v>30</v>
      </c>
      <c r="M1628" s="21">
        <v>3</v>
      </c>
    </row>
    <row r="1629" spans="1:13">
      <c r="A1629" s="21">
        <f t="shared" ref="A1629:A1692" si="926">QUOTIENT( D1629-1,G1630*H1630)+1</f>
        <v>5</v>
      </c>
      <c r="B1629" s="21">
        <f t="shared" ref="B1629" si="927">QUOTIENT( D1629-1,G1630)+1-(A1629-1)*H1630</f>
        <v>1</v>
      </c>
      <c r="C1629" s="21">
        <f t="shared" ref="C1629" si="928">D1629-(B1629-1)*G1630-((A1629-1)*G1630*H1630)</f>
        <v>4</v>
      </c>
      <c r="D1629" s="21">
        <f>COUNT($D$11:$D1628)+1</f>
        <v>148</v>
      </c>
    </row>
    <row r="1630" spans="1:13">
      <c r="E1630" s="21">
        <f t="shared" si="910"/>
        <v>1630</v>
      </c>
      <c r="F1630" s="9" t="s">
        <v>93</v>
      </c>
      <c r="G1630" s="21">
        <v>6</v>
      </c>
      <c r="H1630" s="21">
        <v>6</v>
      </c>
      <c r="I1630" s="21">
        <v>5</v>
      </c>
      <c r="J1630" s="9" t="s">
        <v>252</v>
      </c>
      <c r="M1630" s="21">
        <f t="shared" ref="M1630:M1693" si="929">J1630+D1629</f>
        <v>20748</v>
      </c>
    </row>
    <row r="1631" spans="1:13">
      <c r="E1631" s="21">
        <f t="shared" si="910"/>
        <v>1631</v>
      </c>
      <c r="F1631" s="9" t="s">
        <v>142</v>
      </c>
      <c r="M1631" s="21">
        <v>199107</v>
      </c>
    </row>
    <row r="1632" spans="1:13">
      <c r="E1632" s="21">
        <f t="shared" si="910"/>
        <v>1632</v>
      </c>
      <c r="F1632" s="9" t="s">
        <v>126</v>
      </c>
      <c r="G1632" s="21">
        <v>5</v>
      </c>
      <c r="H1632" s="21">
        <v>30</v>
      </c>
      <c r="M1632" s="21">
        <f t="shared" ref="M1632" si="930">(MOD(D1629-1,G1630*H1630)+1)*G1632+H1632*(B1629-1)</f>
        <v>20</v>
      </c>
    </row>
    <row r="1633" spans="1:13">
      <c r="E1633" s="21">
        <f t="shared" si="910"/>
        <v>1633</v>
      </c>
      <c r="F1633" s="9" t="s">
        <v>29</v>
      </c>
      <c r="M1633" s="21" t="s">
        <v>246</v>
      </c>
    </row>
    <row r="1634" spans="1:13">
      <c r="E1634" s="21">
        <f t="shared" si="910"/>
        <v>1634</v>
      </c>
      <c r="F1634" s="9" t="s">
        <v>118</v>
      </c>
      <c r="M1634" s="21" t="s">
        <v>248</v>
      </c>
    </row>
    <row r="1635" spans="1:13">
      <c r="E1635" s="21">
        <f t="shared" si="910"/>
        <v>1635</v>
      </c>
      <c r="F1635" s="9" t="s">
        <v>98</v>
      </c>
      <c r="K1635" s="9" t="s">
        <v>137</v>
      </c>
      <c r="M1635" s="21">
        <v>2</v>
      </c>
    </row>
    <row r="1636" spans="1:13">
      <c r="E1636" s="21">
        <f t="shared" si="910"/>
        <v>1636</v>
      </c>
      <c r="F1636" s="9" t="s">
        <v>175</v>
      </c>
      <c r="K1636" s="9" t="s">
        <v>136</v>
      </c>
      <c r="M1636" s="21" t="s">
        <v>250</v>
      </c>
    </row>
    <row r="1637" spans="1:13">
      <c r="E1637" s="21">
        <f t="shared" si="910"/>
        <v>1637</v>
      </c>
      <c r="F1637" s="9" t="s">
        <v>113</v>
      </c>
      <c r="L1637" s="9" t="s">
        <v>134</v>
      </c>
      <c r="M1637" s="21">
        <v>-90</v>
      </c>
    </row>
    <row r="1638" spans="1:13">
      <c r="E1638" s="21">
        <f t="shared" si="910"/>
        <v>1638</v>
      </c>
      <c r="F1638" s="9" t="s">
        <v>31</v>
      </c>
      <c r="G1638" s="21">
        <v>5</v>
      </c>
      <c r="H1638" s="21">
        <v>72</v>
      </c>
      <c r="L1638" s="9" t="s">
        <v>134</v>
      </c>
      <c r="M1638" s="21">
        <f t="shared" ref="M1638" si="931">(G1638*C1629+(A1629-1)*H1638+H1632*(B1629-1))*-1</f>
        <v>-308</v>
      </c>
    </row>
    <row r="1639" spans="1:13">
      <c r="E1639" s="21">
        <f t="shared" si="910"/>
        <v>1639</v>
      </c>
      <c r="F1639" s="9" t="s">
        <v>30</v>
      </c>
      <c r="M1639" s="21">
        <v>3</v>
      </c>
    </row>
    <row r="1640" spans="1:13">
      <c r="A1640" s="21">
        <f t="shared" ref="A1640:A1703" si="932">QUOTIENT( D1640-1,G1641*H1641)+1</f>
        <v>5</v>
      </c>
      <c r="B1640" s="21">
        <f t="shared" ref="B1640" si="933">QUOTIENT( D1640-1,G1641)+1-(A1640-1)*H1641</f>
        <v>1</v>
      </c>
      <c r="C1640" s="21">
        <f t="shared" ref="C1640" si="934">D1640-(B1640-1)*G1641-((A1640-1)*G1641*H1641)</f>
        <v>5</v>
      </c>
      <c r="D1640" s="21">
        <f>COUNT($D$11:$D1639)+1</f>
        <v>149</v>
      </c>
    </row>
    <row r="1641" spans="1:13">
      <c r="E1641" s="21">
        <f t="shared" si="910"/>
        <v>1641</v>
      </c>
      <c r="F1641" s="9" t="s">
        <v>93</v>
      </c>
      <c r="G1641" s="21">
        <v>6</v>
      </c>
      <c r="H1641" s="21">
        <v>6</v>
      </c>
      <c r="I1641" s="21">
        <v>5</v>
      </c>
      <c r="J1641" s="9" t="s">
        <v>252</v>
      </c>
      <c r="M1641" s="21">
        <f t="shared" ref="M1641:M1704" si="935">J1641+D1640</f>
        <v>20749</v>
      </c>
    </row>
    <row r="1642" spans="1:13">
      <c r="E1642" s="21">
        <f t="shared" si="910"/>
        <v>1642</v>
      </c>
      <c r="F1642" s="9" t="s">
        <v>142</v>
      </c>
      <c r="M1642" s="21">
        <v>199107</v>
      </c>
    </row>
    <row r="1643" spans="1:13">
      <c r="E1643" s="21">
        <f t="shared" si="910"/>
        <v>1643</v>
      </c>
      <c r="F1643" s="9" t="s">
        <v>126</v>
      </c>
      <c r="G1643" s="21">
        <v>5</v>
      </c>
      <c r="H1643" s="21">
        <v>30</v>
      </c>
      <c r="M1643" s="21">
        <f t="shared" ref="M1643" si="936">(MOD(D1640-1,G1641*H1641)+1)*G1643+H1643*(B1640-1)</f>
        <v>25</v>
      </c>
    </row>
    <row r="1644" spans="1:13">
      <c r="E1644" s="21">
        <f t="shared" si="910"/>
        <v>1644</v>
      </c>
      <c r="F1644" s="9" t="s">
        <v>29</v>
      </c>
      <c r="M1644" s="21" t="s">
        <v>246</v>
      </c>
    </row>
    <row r="1645" spans="1:13">
      <c r="E1645" s="21">
        <f t="shared" si="910"/>
        <v>1645</v>
      </c>
      <c r="F1645" s="9" t="s">
        <v>118</v>
      </c>
      <c r="M1645" s="21" t="s">
        <v>248</v>
      </c>
    </row>
    <row r="1646" spans="1:13">
      <c r="E1646" s="21">
        <f t="shared" si="910"/>
        <v>1646</v>
      </c>
      <c r="F1646" s="9" t="s">
        <v>98</v>
      </c>
      <c r="K1646" s="9" t="s">
        <v>137</v>
      </c>
      <c r="M1646" s="21">
        <v>2</v>
      </c>
    </row>
    <row r="1647" spans="1:13">
      <c r="E1647" s="21">
        <f t="shared" si="910"/>
        <v>1647</v>
      </c>
      <c r="F1647" s="9" t="s">
        <v>175</v>
      </c>
      <c r="K1647" s="9" t="s">
        <v>136</v>
      </c>
      <c r="M1647" s="21" t="s">
        <v>250</v>
      </c>
    </row>
    <row r="1648" spans="1:13">
      <c r="E1648" s="21">
        <f t="shared" si="910"/>
        <v>1648</v>
      </c>
      <c r="F1648" s="9" t="s">
        <v>113</v>
      </c>
      <c r="L1648" s="9" t="s">
        <v>134</v>
      </c>
      <c r="M1648" s="21">
        <v>-90</v>
      </c>
    </row>
    <row r="1649" spans="1:13">
      <c r="E1649" s="21">
        <f t="shared" si="910"/>
        <v>1649</v>
      </c>
      <c r="F1649" s="9" t="s">
        <v>31</v>
      </c>
      <c r="G1649" s="21">
        <v>5</v>
      </c>
      <c r="H1649" s="21">
        <v>72</v>
      </c>
      <c r="L1649" s="9" t="s">
        <v>134</v>
      </c>
      <c r="M1649" s="21">
        <f t="shared" ref="M1649" si="937">(G1649*C1640+(A1640-1)*H1649+H1643*(B1640-1))*-1</f>
        <v>-313</v>
      </c>
    </row>
    <row r="1650" spans="1:13">
      <c r="E1650" s="21">
        <f t="shared" si="910"/>
        <v>1650</v>
      </c>
      <c r="F1650" s="9" t="s">
        <v>30</v>
      </c>
      <c r="M1650" s="21">
        <v>3</v>
      </c>
    </row>
    <row r="1651" spans="1:13">
      <c r="A1651" s="21">
        <f t="shared" ref="A1651:A1714" si="938">QUOTIENT( D1651-1,G1652*H1652)+1</f>
        <v>5</v>
      </c>
      <c r="B1651" s="21">
        <f t="shared" ref="B1651" si="939">QUOTIENT( D1651-1,G1652)+1-(A1651-1)*H1652</f>
        <v>1</v>
      </c>
      <c r="C1651" s="21">
        <f t="shared" ref="C1651" si="940">D1651-(B1651-1)*G1652-((A1651-1)*G1652*H1652)</f>
        <v>6</v>
      </c>
      <c r="D1651" s="21">
        <f>COUNT($D$11:$D1650)+1</f>
        <v>150</v>
      </c>
    </row>
    <row r="1652" spans="1:13">
      <c r="E1652" s="21">
        <f t="shared" si="910"/>
        <v>1652</v>
      </c>
      <c r="F1652" s="9" t="s">
        <v>93</v>
      </c>
      <c r="G1652" s="21">
        <v>6</v>
      </c>
      <c r="H1652" s="21">
        <v>6</v>
      </c>
      <c r="I1652" s="21">
        <v>5</v>
      </c>
      <c r="J1652" s="9" t="s">
        <v>252</v>
      </c>
      <c r="M1652" s="21">
        <f t="shared" ref="M1652:M1715" si="941">J1652+D1651</f>
        <v>20750</v>
      </c>
    </row>
    <row r="1653" spans="1:13">
      <c r="E1653" s="21">
        <f t="shared" si="910"/>
        <v>1653</v>
      </c>
      <c r="F1653" s="9" t="s">
        <v>142</v>
      </c>
      <c r="M1653" s="21">
        <v>199107</v>
      </c>
    </row>
    <row r="1654" spans="1:13">
      <c r="E1654" s="21">
        <f t="shared" si="910"/>
        <v>1654</v>
      </c>
      <c r="F1654" s="9" t="s">
        <v>126</v>
      </c>
      <c r="G1654" s="21">
        <v>5</v>
      </c>
      <c r="H1654" s="21">
        <v>30</v>
      </c>
      <c r="M1654" s="21">
        <f t="shared" ref="M1654" si="942">(MOD(D1651-1,G1652*H1652)+1)*G1654+H1654*(B1651-1)</f>
        <v>30</v>
      </c>
    </row>
    <row r="1655" spans="1:13">
      <c r="E1655" s="21">
        <f t="shared" si="910"/>
        <v>1655</v>
      </c>
      <c r="F1655" s="9" t="s">
        <v>29</v>
      </c>
      <c r="M1655" s="21" t="s">
        <v>246</v>
      </c>
    </row>
    <row r="1656" spans="1:13">
      <c r="E1656" s="21">
        <f t="shared" si="910"/>
        <v>1656</v>
      </c>
      <c r="F1656" s="9" t="s">
        <v>118</v>
      </c>
      <c r="M1656" s="21" t="s">
        <v>248</v>
      </c>
    </row>
    <row r="1657" spans="1:13">
      <c r="E1657" s="21">
        <f t="shared" si="910"/>
        <v>1657</v>
      </c>
      <c r="F1657" s="9" t="s">
        <v>98</v>
      </c>
      <c r="K1657" s="9" t="s">
        <v>137</v>
      </c>
      <c r="M1657" s="21">
        <v>2</v>
      </c>
    </row>
    <row r="1658" spans="1:13">
      <c r="E1658" s="21">
        <f t="shared" si="910"/>
        <v>1658</v>
      </c>
      <c r="F1658" s="9" t="s">
        <v>175</v>
      </c>
      <c r="K1658" s="9" t="s">
        <v>136</v>
      </c>
      <c r="M1658" s="21" t="s">
        <v>250</v>
      </c>
    </row>
    <row r="1659" spans="1:13">
      <c r="E1659" s="21">
        <f t="shared" si="910"/>
        <v>1659</v>
      </c>
      <c r="F1659" s="9" t="s">
        <v>113</v>
      </c>
      <c r="L1659" s="9" t="s">
        <v>134</v>
      </c>
      <c r="M1659" s="21">
        <v>-90</v>
      </c>
    </row>
    <row r="1660" spans="1:13">
      <c r="E1660" s="21">
        <f t="shared" si="910"/>
        <v>1660</v>
      </c>
      <c r="F1660" s="9" t="s">
        <v>31</v>
      </c>
      <c r="G1660" s="21">
        <v>5</v>
      </c>
      <c r="H1660" s="21">
        <v>72</v>
      </c>
      <c r="L1660" s="9" t="s">
        <v>134</v>
      </c>
      <c r="M1660" s="21">
        <f t="shared" ref="M1660" si="943">(G1660*C1651+(A1651-1)*H1660+H1654*(B1651-1))*-1</f>
        <v>-318</v>
      </c>
    </row>
    <row r="1661" spans="1:13">
      <c r="E1661" s="21">
        <f t="shared" ref="E1661:E1724" si="944">ROW(E1661)</f>
        <v>1661</v>
      </c>
      <c r="F1661" s="9" t="s">
        <v>30</v>
      </c>
      <c r="M1661" s="21">
        <v>3</v>
      </c>
    </row>
    <row r="1662" spans="1:13">
      <c r="A1662" s="21">
        <f t="shared" ref="A1662:A1725" si="945">QUOTIENT( D1662-1,G1663*H1663)+1</f>
        <v>5</v>
      </c>
      <c r="B1662" s="21">
        <f t="shared" ref="B1662" si="946">QUOTIENT( D1662-1,G1663)+1-(A1662-1)*H1663</f>
        <v>2</v>
      </c>
      <c r="C1662" s="21">
        <f t="shared" ref="C1662" si="947">D1662-(B1662-1)*G1663-((A1662-1)*G1663*H1663)</f>
        <v>1</v>
      </c>
      <c r="D1662" s="21">
        <f>COUNT($D$11:$D1661)+1</f>
        <v>151</v>
      </c>
    </row>
    <row r="1663" spans="1:13">
      <c r="E1663" s="21">
        <f t="shared" ref="E1663:E1726" si="948">ROW(E1663)</f>
        <v>1663</v>
      </c>
      <c r="F1663" s="9" t="s">
        <v>93</v>
      </c>
      <c r="G1663" s="21">
        <v>6</v>
      </c>
      <c r="H1663" s="21">
        <v>6</v>
      </c>
      <c r="I1663" s="21">
        <v>5</v>
      </c>
      <c r="J1663" s="9" t="s">
        <v>252</v>
      </c>
      <c r="M1663" s="21">
        <f t="shared" ref="M1663:M1726" si="949">J1663+D1662</f>
        <v>20751</v>
      </c>
    </row>
    <row r="1664" spans="1:13">
      <c r="E1664" s="21">
        <f t="shared" si="948"/>
        <v>1664</v>
      </c>
      <c r="F1664" s="9" t="s">
        <v>142</v>
      </c>
      <c r="M1664" s="21">
        <v>199107</v>
      </c>
    </row>
    <row r="1665" spans="1:13">
      <c r="E1665" s="21">
        <f t="shared" si="948"/>
        <v>1665</v>
      </c>
      <c r="F1665" s="9" t="s">
        <v>126</v>
      </c>
      <c r="G1665" s="21">
        <v>5</v>
      </c>
      <c r="H1665" s="21">
        <v>30</v>
      </c>
      <c r="M1665" s="21">
        <f t="shared" ref="M1665" si="950">(MOD(D1662-1,G1663*H1663)+1)*G1665+H1665*(B1662-1)</f>
        <v>65</v>
      </c>
    </row>
    <row r="1666" spans="1:13">
      <c r="E1666" s="21">
        <f t="shared" si="948"/>
        <v>1666</v>
      </c>
      <c r="F1666" s="9" t="s">
        <v>29</v>
      </c>
      <c r="M1666" s="21" t="s">
        <v>246</v>
      </c>
    </row>
    <row r="1667" spans="1:13">
      <c r="E1667" s="21">
        <f t="shared" si="948"/>
        <v>1667</v>
      </c>
      <c r="F1667" s="9" t="s">
        <v>118</v>
      </c>
      <c r="M1667" s="21" t="s">
        <v>248</v>
      </c>
    </row>
    <row r="1668" spans="1:13">
      <c r="E1668" s="21">
        <f t="shared" si="948"/>
        <v>1668</v>
      </c>
      <c r="F1668" s="9" t="s">
        <v>98</v>
      </c>
      <c r="K1668" s="9" t="s">
        <v>137</v>
      </c>
      <c r="M1668" s="21">
        <v>2</v>
      </c>
    </row>
    <row r="1669" spans="1:13">
      <c r="E1669" s="21">
        <f t="shared" si="948"/>
        <v>1669</v>
      </c>
      <c r="F1669" s="9" t="s">
        <v>175</v>
      </c>
      <c r="K1669" s="9" t="s">
        <v>136</v>
      </c>
      <c r="M1669" s="21" t="s">
        <v>250</v>
      </c>
    </row>
    <row r="1670" spans="1:13">
      <c r="E1670" s="21">
        <f t="shared" si="948"/>
        <v>1670</v>
      </c>
      <c r="F1670" s="9" t="s">
        <v>113</v>
      </c>
      <c r="L1670" s="9" t="s">
        <v>134</v>
      </c>
      <c r="M1670" s="21">
        <v>-90</v>
      </c>
    </row>
    <row r="1671" spans="1:13">
      <c r="E1671" s="21">
        <f t="shared" si="948"/>
        <v>1671</v>
      </c>
      <c r="F1671" s="9" t="s">
        <v>31</v>
      </c>
      <c r="G1671" s="21">
        <v>5</v>
      </c>
      <c r="H1671" s="21">
        <v>72</v>
      </c>
      <c r="L1671" s="9" t="s">
        <v>134</v>
      </c>
      <c r="M1671" s="21">
        <f t="shared" ref="M1671" si="951">(G1671*C1662+(A1662-1)*H1671+H1665*(B1662-1))*-1</f>
        <v>-323</v>
      </c>
    </row>
    <row r="1672" spans="1:13">
      <c r="E1672" s="21">
        <f t="shared" si="948"/>
        <v>1672</v>
      </c>
      <c r="F1672" s="9" t="s">
        <v>30</v>
      </c>
      <c r="M1672" s="21">
        <v>3</v>
      </c>
    </row>
    <row r="1673" spans="1:13">
      <c r="A1673" s="21">
        <f t="shared" ref="A1673:A1736" si="952">QUOTIENT( D1673-1,G1674*H1674)+1</f>
        <v>5</v>
      </c>
      <c r="B1673" s="21">
        <f t="shared" ref="B1673" si="953">QUOTIENT( D1673-1,G1674)+1-(A1673-1)*H1674</f>
        <v>2</v>
      </c>
      <c r="C1673" s="21">
        <f t="shared" ref="C1673" si="954">D1673-(B1673-1)*G1674-((A1673-1)*G1674*H1674)</f>
        <v>2</v>
      </c>
      <c r="D1673" s="21">
        <f>COUNT($D$11:$D1672)+1</f>
        <v>152</v>
      </c>
    </row>
    <row r="1674" spans="1:13">
      <c r="E1674" s="21">
        <f t="shared" si="948"/>
        <v>1674</v>
      </c>
      <c r="F1674" s="9" t="s">
        <v>93</v>
      </c>
      <c r="G1674" s="21">
        <v>6</v>
      </c>
      <c r="H1674" s="21">
        <v>6</v>
      </c>
      <c r="I1674" s="21">
        <v>5</v>
      </c>
      <c r="J1674" s="9" t="s">
        <v>252</v>
      </c>
      <c r="M1674" s="21">
        <f t="shared" ref="M1674:M1737" si="955">J1674+D1673</f>
        <v>20752</v>
      </c>
    </row>
    <row r="1675" spans="1:13">
      <c r="E1675" s="21">
        <f t="shared" si="948"/>
        <v>1675</v>
      </c>
      <c r="F1675" s="9" t="s">
        <v>142</v>
      </c>
      <c r="M1675" s="21">
        <v>199107</v>
      </c>
    </row>
    <row r="1676" spans="1:13">
      <c r="E1676" s="21">
        <f t="shared" si="948"/>
        <v>1676</v>
      </c>
      <c r="F1676" s="9" t="s">
        <v>126</v>
      </c>
      <c r="G1676" s="21">
        <v>5</v>
      </c>
      <c r="H1676" s="21">
        <v>30</v>
      </c>
      <c r="M1676" s="21">
        <f t="shared" ref="M1676" si="956">(MOD(D1673-1,G1674*H1674)+1)*G1676+H1676*(B1673-1)</f>
        <v>70</v>
      </c>
    </row>
    <row r="1677" spans="1:13">
      <c r="E1677" s="21">
        <f t="shared" si="948"/>
        <v>1677</v>
      </c>
      <c r="F1677" s="9" t="s">
        <v>29</v>
      </c>
      <c r="M1677" s="21" t="s">
        <v>246</v>
      </c>
    </row>
    <row r="1678" spans="1:13">
      <c r="E1678" s="21">
        <f t="shared" si="948"/>
        <v>1678</v>
      </c>
      <c r="F1678" s="9" t="s">
        <v>118</v>
      </c>
      <c r="M1678" s="21" t="s">
        <v>248</v>
      </c>
    </row>
    <row r="1679" spans="1:13">
      <c r="E1679" s="21">
        <f t="shared" si="948"/>
        <v>1679</v>
      </c>
      <c r="F1679" s="9" t="s">
        <v>98</v>
      </c>
      <c r="K1679" s="9" t="s">
        <v>137</v>
      </c>
      <c r="M1679" s="21">
        <v>2</v>
      </c>
    </row>
    <row r="1680" spans="1:13">
      <c r="E1680" s="21">
        <f t="shared" si="948"/>
        <v>1680</v>
      </c>
      <c r="F1680" s="9" t="s">
        <v>175</v>
      </c>
      <c r="K1680" s="9" t="s">
        <v>136</v>
      </c>
      <c r="M1680" s="21" t="s">
        <v>250</v>
      </c>
    </row>
    <row r="1681" spans="1:13">
      <c r="E1681" s="21">
        <f t="shared" si="948"/>
        <v>1681</v>
      </c>
      <c r="F1681" s="9" t="s">
        <v>113</v>
      </c>
      <c r="L1681" s="9" t="s">
        <v>134</v>
      </c>
      <c r="M1681" s="21">
        <v>-90</v>
      </c>
    </row>
    <row r="1682" spans="1:13">
      <c r="E1682" s="21">
        <f t="shared" si="948"/>
        <v>1682</v>
      </c>
      <c r="F1682" s="9" t="s">
        <v>31</v>
      </c>
      <c r="G1682" s="21">
        <v>5</v>
      </c>
      <c r="H1682" s="21">
        <v>72</v>
      </c>
      <c r="L1682" s="9" t="s">
        <v>134</v>
      </c>
      <c r="M1682" s="21">
        <f t="shared" ref="M1682" si="957">(G1682*C1673+(A1673-1)*H1682+H1676*(B1673-1))*-1</f>
        <v>-328</v>
      </c>
    </row>
    <row r="1683" spans="1:13">
      <c r="E1683" s="21">
        <f t="shared" si="948"/>
        <v>1683</v>
      </c>
      <c r="F1683" s="9" t="s">
        <v>30</v>
      </c>
      <c r="M1683" s="21">
        <v>3</v>
      </c>
    </row>
    <row r="1684" spans="1:13">
      <c r="A1684" s="21">
        <f t="shared" ref="A1684:A1747" si="958">QUOTIENT( D1684-1,G1685*H1685)+1</f>
        <v>5</v>
      </c>
      <c r="B1684" s="21">
        <f t="shared" ref="B1684" si="959">QUOTIENT( D1684-1,G1685)+1-(A1684-1)*H1685</f>
        <v>2</v>
      </c>
      <c r="C1684" s="21">
        <f t="shared" ref="C1684" si="960">D1684-(B1684-1)*G1685-((A1684-1)*G1685*H1685)</f>
        <v>3</v>
      </c>
      <c r="D1684" s="21">
        <f>COUNT($D$11:$D1683)+1</f>
        <v>153</v>
      </c>
    </row>
    <row r="1685" spans="1:13">
      <c r="E1685" s="21">
        <f t="shared" si="948"/>
        <v>1685</v>
      </c>
      <c r="F1685" s="9" t="s">
        <v>93</v>
      </c>
      <c r="G1685" s="21">
        <v>6</v>
      </c>
      <c r="H1685" s="21">
        <v>6</v>
      </c>
      <c r="I1685" s="21">
        <v>5</v>
      </c>
      <c r="J1685" s="9" t="s">
        <v>252</v>
      </c>
      <c r="M1685" s="21">
        <f t="shared" ref="M1685:M1748" si="961">J1685+D1684</f>
        <v>20753</v>
      </c>
    </row>
    <row r="1686" spans="1:13">
      <c r="E1686" s="21">
        <f t="shared" si="948"/>
        <v>1686</v>
      </c>
      <c r="F1686" s="9" t="s">
        <v>142</v>
      </c>
      <c r="M1686" s="21">
        <v>199107</v>
      </c>
    </row>
    <row r="1687" spans="1:13">
      <c r="E1687" s="21">
        <f t="shared" si="948"/>
        <v>1687</v>
      </c>
      <c r="F1687" s="9" t="s">
        <v>126</v>
      </c>
      <c r="G1687" s="21">
        <v>5</v>
      </c>
      <c r="H1687" s="21">
        <v>30</v>
      </c>
      <c r="M1687" s="21">
        <f t="shared" ref="M1687" si="962">(MOD(D1684-1,G1685*H1685)+1)*G1687+H1687*(B1684-1)</f>
        <v>75</v>
      </c>
    </row>
    <row r="1688" spans="1:13">
      <c r="E1688" s="21">
        <f t="shared" si="948"/>
        <v>1688</v>
      </c>
      <c r="F1688" s="9" t="s">
        <v>29</v>
      </c>
      <c r="M1688" s="21" t="s">
        <v>246</v>
      </c>
    </row>
    <row r="1689" spans="1:13">
      <c r="E1689" s="21">
        <f t="shared" si="948"/>
        <v>1689</v>
      </c>
      <c r="F1689" s="9" t="s">
        <v>118</v>
      </c>
      <c r="M1689" s="21" t="s">
        <v>248</v>
      </c>
    </row>
    <row r="1690" spans="1:13">
      <c r="E1690" s="21">
        <f t="shared" si="948"/>
        <v>1690</v>
      </c>
      <c r="F1690" s="9" t="s">
        <v>98</v>
      </c>
      <c r="K1690" s="9" t="s">
        <v>137</v>
      </c>
      <c r="M1690" s="21">
        <v>2</v>
      </c>
    </row>
    <row r="1691" spans="1:13">
      <c r="E1691" s="21">
        <f t="shared" si="948"/>
        <v>1691</v>
      </c>
      <c r="F1691" s="9" t="s">
        <v>175</v>
      </c>
      <c r="K1691" s="9" t="s">
        <v>136</v>
      </c>
      <c r="M1691" s="21" t="s">
        <v>250</v>
      </c>
    </row>
    <row r="1692" spans="1:13">
      <c r="E1692" s="21">
        <f t="shared" si="948"/>
        <v>1692</v>
      </c>
      <c r="F1692" s="9" t="s">
        <v>113</v>
      </c>
      <c r="L1692" s="9" t="s">
        <v>134</v>
      </c>
      <c r="M1692" s="21">
        <v>-90</v>
      </c>
    </row>
    <row r="1693" spans="1:13">
      <c r="E1693" s="21">
        <f t="shared" si="948"/>
        <v>1693</v>
      </c>
      <c r="F1693" s="9" t="s">
        <v>31</v>
      </c>
      <c r="G1693" s="21">
        <v>5</v>
      </c>
      <c r="H1693" s="21">
        <v>72</v>
      </c>
      <c r="L1693" s="9" t="s">
        <v>134</v>
      </c>
      <c r="M1693" s="21">
        <f t="shared" ref="M1693" si="963">(G1693*C1684+(A1684-1)*H1693+H1687*(B1684-1))*-1</f>
        <v>-333</v>
      </c>
    </row>
    <row r="1694" spans="1:13">
      <c r="E1694" s="21">
        <f t="shared" si="948"/>
        <v>1694</v>
      </c>
      <c r="F1694" s="9" t="s">
        <v>30</v>
      </c>
      <c r="M1694" s="21">
        <v>3</v>
      </c>
    </row>
    <row r="1695" spans="1:13">
      <c r="A1695" s="21">
        <f t="shared" ref="A1695:A1758" si="964">QUOTIENT( D1695-1,G1696*H1696)+1</f>
        <v>5</v>
      </c>
      <c r="B1695" s="21">
        <f t="shared" ref="B1695" si="965">QUOTIENT( D1695-1,G1696)+1-(A1695-1)*H1696</f>
        <v>2</v>
      </c>
      <c r="C1695" s="21">
        <f t="shared" ref="C1695" si="966">D1695-(B1695-1)*G1696-((A1695-1)*G1696*H1696)</f>
        <v>4</v>
      </c>
      <c r="D1695" s="21">
        <f>COUNT($D$11:$D1694)+1</f>
        <v>154</v>
      </c>
    </row>
    <row r="1696" spans="1:13">
      <c r="E1696" s="21">
        <f t="shared" si="948"/>
        <v>1696</v>
      </c>
      <c r="F1696" s="9" t="s">
        <v>93</v>
      </c>
      <c r="G1696" s="21">
        <v>6</v>
      </c>
      <c r="H1696" s="21">
        <v>6</v>
      </c>
      <c r="I1696" s="21">
        <v>5</v>
      </c>
      <c r="J1696" s="9" t="s">
        <v>252</v>
      </c>
      <c r="M1696" s="21">
        <f t="shared" ref="M1696:M1759" si="967">J1696+D1695</f>
        <v>20754</v>
      </c>
    </row>
    <row r="1697" spans="1:13">
      <c r="E1697" s="21">
        <f t="shared" si="948"/>
        <v>1697</v>
      </c>
      <c r="F1697" s="9" t="s">
        <v>142</v>
      </c>
      <c r="M1697" s="21">
        <v>199107</v>
      </c>
    </row>
    <row r="1698" spans="1:13">
      <c r="E1698" s="21">
        <f t="shared" si="948"/>
        <v>1698</v>
      </c>
      <c r="F1698" s="9" t="s">
        <v>126</v>
      </c>
      <c r="G1698" s="21">
        <v>5</v>
      </c>
      <c r="H1698" s="21">
        <v>30</v>
      </c>
      <c r="M1698" s="21">
        <f t="shared" ref="M1698" si="968">(MOD(D1695-1,G1696*H1696)+1)*G1698+H1698*(B1695-1)</f>
        <v>80</v>
      </c>
    </row>
    <row r="1699" spans="1:13">
      <c r="E1699" s="21">
        <f t="shared" si="948"/>
        <v>1699</v>
      </c>
      <c r="F1699" s="9" t="s">
        <v>29</v>
      </c>
      <c r="M1699" s="21" t="s">
        <v>246</v>
      </c>
    </row>
    <row r="1700" spans="1:13">
      <c r="E1700" s="21">
        <f t="shared" si="948"/>
        <v>1700</v>
      </c>
      <c r="F1700" s="9" t="s">
        <v>118</v>
      </c>
      <c r="M1700" s="21" t="s">
        <v>248</v>
      </c>
    </row>
    <row r="1701" spans="1:13">
      <c r="E1701" s="21">
        <f t="shared" si="948"/>
        <v>1701</v>
      </c>
      <c r="F1701" s="9" t="s">
        <v>98</v>
      </c>
      <c r="K1701" s="9" t="s">
        <v>137</v>
      </c>
      <c r="M1701" s="21">
        <v>2</v>
      </c>
    </row>
    <row r="1702" spans="1:13">
      <c r="E1702" s="21">
        <f t="shared" si="948"/>
        <v>1702</v>
      </c>
      <c r="F1702" s="9" t="s">
        <v>175</v>
      </c>
      <c r="K1702" s="9" t="s">
        <v>136</v>
      </c>
      <c r="M1702" s="21" t="s">
        <v>250</v>
      </c>
    </row>
    <row r="1703" spans="1:13">
      <c r="E1703" s="21">
        <f t="shared" si="948"/>
        <v>1703</v>
      </c>
      <c r="F1703" s="9" t="s">
        <v>113</v>
      </c>
      <c r="L1703" s="9" t="s">
        <v>134</v>
      </c>
      <c r="M1703" s="21">
        <v>-90</v>
      </c>
    </row>
    <row r="1704" spans="1:13">
      <c r="E1704" s="21">
        <f t="shared" si="948"/>
        <v>1704</v>
      </c>
      <c r="F1704" s="9" t="s">
        <v>31</v>
      </c>
      <c r="G1704" s="21">
        <v>5</v>
      </c>
      <c r="H1704" s="21">
        <v>72</v>
      </c>
      <c r="L1704" s="9" t="s">
        <v>134</v>
      </c>
      <c r="M1704" s="21">
        <f t="shared" ref="M1704" si="969">(G1704*C1695+(A1695-1)*H1704+H1698*(B1695-1))*-1</f>
        <v>-338</v>
      </c>
    </row>
    <row r="1705" spans="1:13">
      <c r="E1705" s="21">
        <f t="shared" si="948"/>
        <v>1705</v>
      </c>
      <c r="F1705" s="9" t="s">
        <v>30</v>
      </c>
      <c r="M1705" s="21">
        <v>3</v>
      </c>
    </row>
    <row r="1706" spans="1:13">
      <c r="A1706" s="21">
        <f t="shared" ref="A1706:A1769" si="970">QUOTIENT( D1706-1,G1707*H1707)+1</f>
        <v>5</v>
      </c>
      <c r="B1706" s="21">
        <f t="shared" ref="B1706" si="971">QUOTIENT( D1706-1,G1707)+1-(A1706-1)*H1707</f>
        <v>2</v>
      </c>
      <c r="C1706" s="21">
        <f t="shared" ref="C1706" si="972">D1706-(B1706-1)*G1707-((A1706-1)*G1707*H1707)</f>
        <v>5</v>
      </c>
      <c r="D1706" s="21">
        <f>COUNT($D$11:$D1705)+1</f>
        <v>155</v>
      </c>
    </row>
    <row r="1707" spans="1:13">
      <c r="E1707" s="21">
        <f t="shared" si="948"/>
        <v>1707</v>
      </c>
      <c r="F1707" s="9" t="s">
        <v>93</v>
      </c>
      <c r="G1707" s="21">
        <v>6</v>
      </c>
      <c r="H1707" s="21">
        <v>6</v>
      </c>
      <c r="I1707" s="21">
        <v>5</v>
      </c>
      <c r="J1707" s="9" t="s">
        <v>252</v>
      </c>
      <c r="M1707" s="21">
        <f t="shared" ref="M1707:M1770" si="973">J1707+D1706</f>
        <v>20755</v>
      </c>
    </row>
    <row r="1708" spans="1:13">
      <c r="E1708" s="21">
        <f t="shared" si="948"/>
        <v>1708</v>
      </c>
      <c r="F1708" s="9" t="s">
        <v>142</v>
      </c>
      <c r="M1708" s="21">
        <v>199107</v>
      </c>
    </row>
    <row r="1709" spans="1:13">
      <c r="E1709" s="21">
        <f t="shared" si="948"/>
        <v>1709</v>
      </c>
      <c r="F1709" s="9" t="s">
        <v>126</v>
      </c>
      <c r="G1709" s="21">
        <v>5</v>
      </c>
      <c r="H1709" s="21">
        <v>30</v>
      </c>
      <c r="M1709" s="21">
        <f t="shared" ref="M1709" si="974">(MOD(D1706-1,G1707*H1707)+1)*G1709+H1709*(B1706-1)</f>
        <v>85</v>
      </c>
    </row>
    <row r="1710" spans="1:13">
      <c r="E1710" s="21">
        <f t="shared" si="948"/>
        <v>1710</v>
      </c>
      <c r="F1710" s="9" t="s">
        <v>29</v>
      </c>
      <c r="M1710" s="21" t="s">
        <v>246</v>
      </c>
    </row>
    <row r="1711" spans="1:13">
      <c r="E1711" s="21">
        <f t="shared" si="948"/>
        <v>1711</v>
      </c>
      <c r="F1711" s="9" t="s">
        <v>118</v>
      </c>
      <c r="M1711" s="21" t="s">
        <v>248</v>
      </c>
    </row>
    <row r="1712" spans="1:13">
      <c r="E1712" s="21">
        <f t="shared" si="948"/>
        <v>1712</v>
      </c>
      <c r="F1712" s="9" t="s">
        <v>98</v>
      </c>
      <c r="K1712" s="9" t="s">
        <v>137</v>
      </c>
      <c r="M1712" s="21">
        <v>2</v>
      </c>
    </row>
    <row r="1713" spans="1:13">
      <c r="E1713" s="21">
        <f t="shared" si="948"/>
        <v>1713</v>
      </c>
      <c r="F1713" s="9" t="s">
        <v>175</v>
      </c>
      <c r="K1713" s="9" t="s">
        <v>136</v>
      </c>
      <c r="M1713" s="21" t="s">
        <v>250</v>
      </c>
    </row>
    <row r="1714" spans="1:13">
      <c r="E1714" s="21">
        <f t="shared" si="948"/>
        <v>1714</v>
      </c>
      <c r="F1714" s="9" t="s">
        <v>113</v>
      </c>
      <c r="L1714" s="9" t="s">
        <v>134</v>
      </c>
      <c r="M1714" s="21">
        <v>-90</v>
      </c>
    </row>
    <row r="1715" spans="1:13">
      <c r="E1715" s="21">
        <f t="shared" si="948"/>
        <v>1715</v>
      </c>
      <c r="F1715" s="9" t="s">
        <v>31</v>
      </c>
      <c r="G1715" s="21">
        <v>5</v>
      </c>
      <c r="H1715" s="21">
        <v>72</v>
      </c>
      <c r="L1715" s="9" t="s">
        <v>134</v>
      </c>
      <c r="M1715" s="21">
        <f t="shared" ref="M1715" si="975">(G1715*C1706+(A1706-1)*H1715+H1709*(B1706-1))*-1</f>
        <v>-343</v>
      </c>
    </row>
    <row r="1716" spans="1:13">
      <c r="E1716" s="21">
        <f t="shared" si="948"/>
        <v>1716</v>
      </c>
      <c r="F1716" s="9" t="s">
        <v>30</v>
      </c>
      <c r="M1716" s="21">
        <v>3</v>
      </c>
    </row>
    <row r="1717" spans="1:13">
      <c r="A1717" s="21">
        <f t="shared" ref="A1717:A1780" si="976">QUOTIENT( D1717-1,G1718*H1718)+1</f>
        <v>5</v>
      </c>
      <c r="B1717" s="21">
        <f t="shared" ref="B1717" si="977">QUOTIENT( D1717-1,G1718)+1-(A1717-1)*H1718</f>
        <v>2</v>
      </c>
      <c r="C1717" s="21">
        <f t="shared" ref="C1717" si="978">D1717-(B1717-1)*G1718-((A1717-1)*G1718*H1718)</f>
        <v>6</v>
      </c>
      <c r="D1717" s="21">
        <f>COUNT($D$11:$D1716)+1</f>
        <v>156</v>
      </c>
    </row>
    <row r="1718" spans="1:13">
      <c r="E1718" s="21">
        <f t="shared" si="948"/>
        <v>1718</v>
      </c>
      <c r="F1718" s="9" t="s">
        <v>93</v>
      </c>
      <c r="G1718" s="21">
        <v>6</v>
      </c>
      <c r="H1718" s="21">
        <v>6</v>
      </c>
      <c r="I1718" s="21">
        <v>5</v>
      </c>
      <c r="J1718" s="9" t="s">
        <v>252</v>
      </c>
      <c r="M1718" s="21">
        <f t="shared" ref="M1718:M1781" si="979">J1718+D1717</f>
        <v>20756</v>
      </c>
    </row>
    <row r="1719" spans="1:13">
      <c r="E1719" s="21">
        <f t="shared" si="948"/>
        <v>1719</v>
      </c>
      <c r="F1719" s="9" t="s">
        <v>142</v>
      </c>
      <c r="M1719" s="21">
        <v>199107</v>
      </c>
    </row>
    <row r="1720" spans="1:13">
      <c r="E1720" s="21">
        <f t="shared" si="948"/>
        <v>1720</v>
      </c>
      <c r="F1720" s="9" t="s">
        <v>126</v>
      </c>
      <c r="G1720" s="21">
        <v>5</v>
      </c>
      <c r="H1720" s="21">
        <v>30</v>
      </c>
      <c r="M1720" s="21">
        <f t="shared" ref="M1720" si="980">(MOD(D1717-1,G1718*H1718)+1)*G1720+H1720*(B1717-1)</f>
        <v>90</v>
      </c>
    </row>
    <row r="1721" spans="1:13">
      <c r="E1721" s="21">
        <f t="shared" si="948"/>
        <v>1721</v>
      </c>
      <c r="F1721" s="9" t="s">
        <v>29</v>
      </c>
      <c r="M1721" s="21" t="s">
        <v>246</v>
      </c>
    </row>
    <row r="1722" spans="1:13">
      <c r="E1722" s="21">
        <f t="shared" si="948"/>
        <v>1722</v>
      </c>
      <c r="F1722" s="9" t="s">
        <v>118</v>
      </c>
      <c r="M1722" s="21" t="s">
        <v>248</v>
      </c>
    </row>
    <row r="1723" spans="1:13">
      <c r="E1723" s="21">
        <f t="shared" si="948"/>
        <v>1723</v>
      </c>
      <c r="F1723" s="9" t="s">
        <v>98</v>
      </c>
      <c r="K1723" s="9" t="s">
        <v>137</v>
      </c>
      <c r="M1723" s="21">
        <v>2</v>
      </c>
    </row>
    <row r="1724" spans="1:13">
      <c r="E1724" s="21">
        <f t="shared" si="948"/>
        <v>1724</v>
      </c>
      <c r="F1724" s="9" t="s">
        <v>175</v>
      </c>
      <c r="K1724" s="9" t="s">
        <v>136</v>
      </c>
      <c r="M1724" s="21" t="s">
        <v>250</v>
      </c>
    </row>
    <row r="1725" spans="1:13">
      <c r="E1725" s="21">
        <f t="shared" si="948"/>
        <v>1725</v>
      </c>
      <c r="F1725" s="9" t="s">
        <v>113</v>
      </c>
      <c r="L1725" s="9" t="s">
        <v>134</v>
      </c>
      <c r="M1725" s="21">
        <v>-90</v>
      </c>
    </row>
    <row r="1726" spans="1:13">
      <c r="E1726" s="21">
        <f t="shared" si="948"/>
        <v>1726</v>
      </c>
      <c r="F1726" s="9" t="s">
        <v>31</v>
      </c>
      <c r="G1726" s="21">
        <v>5</v>
      </c>
      <c r="H1726" s="21">
        <v>72</v>
      </c>
      <c r="L1726" s="9" t="s">
        <v>134</v>
      </c>
      <c r="M1726" s="21">
        <f t="shared" ref="M1726" si="981">(G1726*C1717+(A1717-1)*H1726+H1720*(B1717-1))*-1</f>
        <v>-348</v>
      </c>
    </row>
    <row r="1727" spans="1:13">
      <c r="E1727" s="21">
        <f t="shared" ref="E1727:E1790" si="982">ROW(E1727)</f>
        <v>1727</v>
      </c>
      <c r="F1727" s="9" t="s">
        <v>30</v>
      </c>
      <c r="M1727" s="21">
        <v>3</v>
      </c>
    </row>
    <row r="1728" spans="1:13">
      <c r="A1728" s="21">
        <f t="shared" ref="A1728:A1791" si="983">QUOTIENT( D1728-1,G1729*H1729)+1</f>
        <v>5</v>
      </c>
      <c r="B1728" s="21">
        <f t="shared" ref="B1728" si="984">QUOTIENT( D1728-1,G1729)+1-(A1728-1)*H1729</f>
        <v>3</v>
      </c>
      <c r="C1728" s="21">
        <f t="shared" ref="C1728" si="985">D1728-(B1728-1)*G1729-((A1728-1)*G1729*H1729)</f>
        <v>1</v>
      </c>
      <c r="D1728" s="21">
        <f>COUNT($D$11:$D1727)+1</f>
        <v>157</v>
      </c>
    </row>
    <row r="1729" spans="1:13">
      <c r="E1729" s="21">
        <f t="shared" ref="E1729:E1792" si="986">ROW(E1729)</f>
        <v>1729</v>
      </c>
      <c r="F1729" s="9" t="s">
        <v>93</v>
      </c>
      <c r="G1729" s="21">
        <v>6</v>
      </c>
      <c r="H1729" s="21">
        <v>6</v>
      </c>
      <c r="I1729" s="21">
        <v>5</v>
      </c>
      <c r="J1729" s="9" t="s">
        <v>252</v>
      </c>
      <c r="M1729" s="21">
        <f t="shared" ref="M1729:M1792" si="987">J1729+D1728</f>
        <v>20757</v>
      </c>
    </row>
    <row r="1730" spans="1:13">
      <c r="E1730" s="21">
        <f t="shared" si="986"/>
        <v>1730</v>
      </c>
      <c r="F1730" s="9" t="s">
        <v>142</v>
      </c>
      <c r="M1730" s="21">
        <v>199107</v>
      </c>
    </row>
    <row r="1731" spans="1:13">
      <c r="E1731" s="21">
        <f t="shared" si="986"/>
        <v>1731</v>
      </c>
      <c r="F1731" s="9" t="s">
        <v>126</v>
      </c>
      <c r="G1731" s="21">
        <v>5</v>
      </c>
      <c r="H1731" s="21">
        <v>30</v>
      </c>
      <c r="M1731" s="21">
        <f t="shared" ref="M1731" si="988">(MOD(D1728-1,G1729*H1729)+1)*G1731+H1731*(B1728-1)</f>
        <v>125</v>
      </c>
    </row>
    <row r="1732" spans="1:13">
      <c r="E1732" s="21">
        <f t="shared" si="986"/>
        <v>1732</v>
      </c>
      <c r="F1732" s="9" t="s">
        <v>29</v>
      </c>
      <c r="M1732" s="21" t="s">
        <v>246</v>
      </c>
    </row>
    <row r="1733" spans="1:13">
      <c r="E1733" s="21">
        <f t="shared" si="986"/>
        <v>1733</v>
      </c>
      <c r="F1733" s="9" t="s">
        <v>118</v>
      </c>
      <c r="M1733" s="21" t="s">
        <v>248</v>
      </c>
    </row>
    <row r="1734" spans="1:13">
      <c r="E1734" s="21">
        <f t="shared" si="986"/>
        <v>1734</v>
      </c>
      <c r="F1734" s="9" t="s">
        <v>98</v>
      </c>
      <c r="K1734" s="9" t="s">
        <v>137</v>
      </c>
      <c r="M1734" s="21">
        <v>2</v>
      </c>
    </row>
    <row r="1735" spans="1:13">
      <c r="E1735" s="21">
        <f t="shared" si="986"/>
        <v>1735</v>
      </c>
      <c r="F1735" s="9" t="s">
        <v>175</v>
      </c>
      <c r="K1735" s="9" t="s">
        <v>136</v>
      </c>
      <c r="M1735" s="21" t="s">
        <v>250</v>
      </c>
    </row>
    <row r="1736" spans="1:13">
      <c r="E1736" s="21">
        <f t="shared" si="986"/>
        <v>1736</v>
      </c>
      <c r="F1736" s="9" t="s">
        <v>113</v>
      </c>
      <c r="L1736" s="9" t="s">
        <v>134</v>
      </c>
      <c r="M1736" s="21">
        <v>-90</v>
      </c>
    </row>
    <row r="1737" spans="1:13">
      <c r="E1737" s="21">
        <f t="shared" si="986"/>
        <v>1737</v>
      </c>
      <c r="F1737" s="9" t="s">
        <v>31</v>
      </c>
      <c r="G1737" s="21">
        <v>5</v>
      </c>
      <c r="H1737" s="21">
        <v>72</v>
      </c>
      <c r="L1737" s="9" t="s">
        <v>134</v>
      </c>
      <c r="M1737" s="21">
        <f t="shared" ref="M1737" si="989">(G1737*C1728+(A1728-1)*H1737+H1731*(B1728-1))*-1</f>
        <v>-353</v>
      </c>
    </row>
    <row r="1738" spans="1:13">
      <c r="E1738" s="21">
        <f t="shared" si="986"/>
        <v>1738</v>
      </c>
      <c r="F1738" s="9" t="s">
        <v>30</v>
      </c>
      <c r="M1738" s="21">
        <v>3</v>
      </c>
    </row>
    <row r="1739" spans="1:13">
      <c r="A1739" s="21">
        <f t="shared" ref="A1739:A1802" si="990">QUOTIENT( D1739-1,G1740*H1740)+1</f>
        <v>5</v>
      </c>
      <c r="B1739" s="21">
        <f t="shared" ref="B1739" si="991">QUOTIENT( D1739-1,G1740)+1-(A1739-1)*H1740</f>
        <v>3</v>
      </c>
      <c r="C1739" s="21">
        <f t="shared" ref="C1739" si="992">D1739-(B1739-1)*G1740-((A1739-1)*G1740*H1740)</f>
        <v>2</v>
      </c>
      <c r="D1739" s="21">
        <f>COUNT($D$11:$D1738)+1</f>
        <v>158</v>
      </c>
    </row>
    <row r="1740" spans="1:13">
      <c r="E1740" s="21">
        <f t="shared" si="986"/>
        <v>1740</v>
      </c>
      <c r="F1740" s="9" t="s">
        <v>93</v>
      </c>
      <c r="G1740" s="21">
        <v>6</v>
      </c>
      <c r="H1740" s="21">
        <v>6</v>
      </c>
      <c r="I1740" s="21">
        <v>5</v>
      </c>
      <c r="J1740" s="9" t="s">
        <v>252</v>
      </c>
      <c r="M1740" s="21">
        <f t="shared" ref="M1740:M1803" si="993">J1740+D1739</f>
        <v>20758</v>
      </c>
    </row>
    <row r="1741" spans="1:13">
      <c r="E1741" s="21">
        <f t="shared" si="986"/>
        <v>1741</v>
      </c>
      <c r="F1741" s="9" t="s">
        <v>142</v>
      </c>
      <c r="M1741" s="21">
        <v>199107</v>
      </c>
    </row>
    <row r="1742" spans="1:13">
      <c r="E1742" s="21">
        <f t="shared" si="986"/>
        <v>1742</v>
      </c>
      <c r="F1742" s="9" t="s">
        <v>126</v>
      </c>
      <c r="G1742" s="21">
        <v>5</v>
      </c>
      <c r="H1742" s="21">
        <v>30</v>
      </c>
      <c r="M1742" s="21">
        <f t="shared" ref="M1742" si="994">(MOD(D1739-1,G1740*H1740)+1)*G1742+H1742*(B1739-1)</f>
        <v>130</v>
      </c>
    </row>
    <row r="1743" spans="1:13">
      <c r="E1743" s="21">
        <f t="shared" si="986"/>
        <v>1743</v>
      </c>
      <c r="F1743" s="9" t="s">
        <v>29</v>
      </c>
      <c r="M1743" s="21" t="s">
        <v>246</v>
      </c>
    </row>
    <row r="1744" spans="1:13">
      <c r="E1744" s="21">
        <f t="shared" si="986"/>
        <v>1744</v>
      </c>
      <c r="F1744" s="9" t="s">
        <v>118</v>
      </c>
      <c r="M1744" s="21" t="s">
        <v>248</v>
      </c>
    </row>
    <row r="1745" spans="1:13">
      <c r="E1745" s="21">
        <f t="shared" si="986"/>
        <v>1745</v>
      </c>
      <c r="F1745" s="9" t="s">
        <v>98</v>
      </c>
      <c r="K1745" s="9" t="s">
        <v>137</v>
      </c>
      <c r="M1745" s="21">
        <v>2</v>
      </c>
    </row>
    <row r="1746" spans="1:13">
      <c r="E1746" s="21">
        <f t="shared" si="986"/>
        <v>1746</v>
      </c>
      <c r="F1746" s="9" t="s">
        <v>175</v>
      </c>
      <c r="K1746" s="9" t="s">
        <v>136</v>
      </c>
      <c r="M1746" s="21" t="s">
        <v>250</v>
      </c>
    </row>
    <row r="1747" spans="1:13">
      <c r="E1747" s="21">
        <f t="shared" si="986"/>
        <v>1747</v>
      </c>
      <c r="F1747" s="9" t="s">
        <v>113</v>
      </c>
      <c r="L1747" s="9" t="s">
        <v>134</v>
      </c>
      <c r="M1747" s="21">
        <v>-90</v>
      </c>
    </row>
    <row r="1748" spans="1:13">
      <c r="E1748" s="21">
        <f t="shared" si="986"/>
        <v>1748</v>
      </c>
      <c r="F1748" s="9" t="s">
        <v>31</v>
      </c>
      <c r="G1748" s="21">
        <v>5</v>
      </c>
      <c r="H1748" s="21">
        <v>72</v>
      </c>
      <c r="L1748" s="9" t="s">
        <v>134</v>
      </c>
      <c r="M1748" s="21">
        <f t="shared" ref="M1748" si="995">(G1748*C1739+(A1739-1)*H1748+H1742*(B1739-1))*-1</f>
        <v>-358</v>
      </c>
    </row>
    <row r="1749" spans="1:13">
      <c r="E1749" s="21">
        <f t="shared" si="986"/>
        <v>1749</v>
      </c>
      <c r="F1749" s="9" t="s">
        <v>30</v>
      </c>
      <c r="M1749" s="21">
        <v>3</v>
      </c>
    </row>
    <row r="1750" spans="1:13">
      <c r="A1750" s="21">
        <f t="shared" ref="A1750:A1813" si="996">QUOTIENT( D1750-1,G1751*H1751)+1</f>
        <v>5</v>
      </c>
      <c r="B1750" s="21">
        <f t="shared" ref="B1750" si="997">QUOTIENT( D1750-1,G1751)+1-(A1750-1)*H1751</f>
        <v>3</v>
      </c>
      <c r="C1750" s="21">
        <f t="shared" ref="C1750" si="998">D1750-(B1750-1)*G1751-((A1750-1)*G1751*H1751)</f>
        <v>3</v>
      </c>
      <c r="D1750" s="21">
        <f>COUNT($D$11:$D1749)+1</f>
        <v>159</v>
      </c>
    </row>
    <row r="1751" spans="1:13">
      <c r="E1751" s="21">
        <f t="shared" si="986"/>
        <v>1751</v>
      </c>
      <c r="F1751" s="9" t="s">
        <v>93</v>
      </c>
      <c r="G1751" s="21">
        <v>6</v>
      </c>
      <c r="H1751" s="21">
        <v>6</v>
      </c>
      <c r="I1751" s="21">
        <v>5</v>
      </c>
      <c r="J1751" s="9" t="s">
        <v>252</v>
      </c>
      <c r="M1751" s="21">
        <f t="shared" ref="M1751:M1814" si="999">J1751+D1750</f>
        <v>20759</v>
      </c>
    </row>
    <row r="1752" spans="1:13">
      <c r="E1752" s="21">
        <f t="shared" si="986"/>
        <v>1752</v>
      </c>
      <c r="F1752" s="9" t="s">
        <v>142</v>
      </c>
      <c r="M1752" s="21">
        <v>199107</v>
      </c>
    </row>
    <row r="1753" spans="1:13">
      <c r="E1753" s="21">
        <f t="shared" si="986"/>
        <v>1753</v>
      </c>
      <c r="F1753" s="9" t="s">
        <v>126</v>
      </c>
      <c r="G1753" s="21">
        <v>5</v>
      </c>
      <c r="H1753" s="21">
        <v>30</v>
      </c>
      <c r="M1753" s="21">
        <f t="shared" ref="M1753" si="1000">(MOD(D1750-1,G1751*H1751)+1)*G1753+H1753*(B1750-1)</f>
        <v>135</v>
      </c>
    </row>
    <row r="1754" spans="1:13">
      <c r="E1754" s="21">
        <f t="shared" si="986"/>
        <v>1754</v>
      </c>
      <c r="F1754" s="9" t="s">
        <v>29</v>
      </c>
      <c r="M1754" s="21" t="s">
        <v>246</v>
      </c>
    </row>
    <row r="1755" spans="1:13">
      <c r="E1755" s="21">
        <f t="shared" si="986"/>
        <v>1755</v>
      </c>
      <c r="F1755" s="9" t="s">
        <v>118</v>
      </c>
      <c r="M1755" s="21" t="s">
        <v>248</v>
      </c>
    </row>
    <row r="1756" spans="1:13">
      <c r="E1756" s="21">
        <f t="shared" si="986"/>
        <v>1756</v>
      </c>
      <c r="F1756" s="9" t="s">
        <v>98</v>
      </c>
      <c r="K1756" s="9" t="s">
        <v>137</v>
      </c>
      <c r="M1756" s="21">
        <v>2</v>
      </c>
    </row>
    <row r="1757" spans="1:13">
      <c r="E1757" s="21">
        <f t="shared" si="986"/>
        <v>1757</v>
      </c>
      <c r="F1757" s="9" t="s">
        <v>175</v>
      </c>
      <c r="K1757" s="9" t="s">
        <v>136</v>
      </c>
      <c r="M1757" s="21" t="s">
        <v>250</v>
      </c>
    </row>
    <row r="1758" spans="1:13">
      <c r="E1758" s="21">
        <f t="shared" si="986"/>
        <v>1758</v>
      </c>
      <c r="F1758" s="9" t="s">
        <v>113</v>
      </c>
      <c r="L1758" s="9" t="s">
        <v>134</v>
      </c>
      <c r="M1758" s="21">
        <v>-90</v>
      </c>
    </row>
    <row r="1759" spans="1:13">
      <c r="E1759" s="21">
        <f t="shared" si="986"/>
        <v>1759</v>
      </c>
      <c r="F1759" s="9" t="s">
        <v>31</v>
      </c>
      <c r="G1759" s="21">
        <v>5</v>
      </c>
      <c r="H1759" s="21">
        <v>72</v>
      </c>
      <c r="L1759" s="9" t="s">
        <v>134</v>
      </c>
      <c r="M1759" s="21">
        <f t="shared" ref="M1759" si="1001">(G1759*C1750+(A1750-1)*H1759+H1753*(B1750-1))*-1</f>
        <v>-363</v>
      </c>
    </row>
    <row r="1760" spans="1:13">
      <c r="E1760" s="21">
        <f t="shared" si="986"/>
        <v>1760</v>
      </c>
      <c r="F1760" s="9" t="s">
        <v>30</v>
      </c>
      <c r="M1760" s="21">
        <v>3</v>
      </c>
    </row>
    <row r="1761" spans="1:13">
      <c r="A1761" s="21">
        <f t="shared" ref="A1761:A1824" si="1002">QUOTIENT( D1761-1,G1762*H1762)+1</f>
        <v>5</v>
      </c>
      <c r="B1761" s="21">
        <f t="shared" ref="B1761" si="1003">QUOTIENT( D1761-1,G1762)+1-(A1761-1)*H1762</f>
        <v>3</v>
      </c>
      <c r="C1761" s="21">
        <f t="shared" ref="C1761" si="1004">D1761-(B1761-1)*G1762-((A1761-1)*G1762*H1762)</f>
        <v>4</v>
      </c>
      <c r="D1761" s="21">
        <f>COUNT($D$11:$D1760)+1</f>
        <v>160</v>
      </c>
    </row>
    <row r="1762" spans="1:13">
      <c r="E1762" s="21">
        <f t="shared" si="986"/>
        <v>1762</v>
      </c>
      <c r="F1762" s="9" t="s">
        <v>93</v>
      </c>
      <c r="G1762" s="21">
        <v>6</v>
      </c>
      <c r="H1762" s="21">
        <v>6</v>
      </c>
      <c r="I1762" s="21">
        <v>5</v>
      </c>
      <c r="J1762" s="9" t="s">
        <v>252</v>
      </c>
      <c r="M1762" s="21">
        <f t="shared" ref="M1762:M1825" si="1005">J1762+D1761</f>
        <v>20760</v>
      </c>
    </row>
    <row r="1763" spans="1:13">
      <c r="E1763" s="21">
        <f t="shared" si="986"/>
        <v>1763</v>
      </c>
      <c r="F1763" s="9" t="s">
        <v>142</v>
      </c>
      <c r="M1763" s="21">
        <v>199107</v>
      </c>
    </row>
    <row r="1764" spans="1:13">
      <c r="E1764" s="21">
        <f t="shared" si="986"/>
        <v>1764</v>
      </c>
      <c r="F1764" s="9" t="s">
        <v>126</v>
      </c>
      <c r="G1764" s="21">
        <v>5</v>
      </c>
      <c r="H1764" s="21">
        <v>30</v>
      </c>
      <c r="M1764" s="21">
        <f t="shared" ref="M1764" si="1006">(MOD(D1761-1,G1762*H1762)+1)*G1764+H1764*(B1761-1)</f>
        <v>140</v>
      </c>
    </row>
    <row r="1765" spans="1:13">
      <c r="E1765" s="21">
        <f t="shared" si="986"/>
        <v>1765</v>
      </c>
      <c r="F1765" s="9" t="s">
        <v>29</v>
      </c>
      <c r="M1765" s="21" t="s">
        <v>246</v>
      </c>
    </row>
    <row r="1766" spans="1:13">
      <c r="E1766" s="21">
        <f t="shared" si="986"/>
        <v>1766</v>
      </c>
      <c r="F1766" s="9" t="s">
        <v>118</v>
      </c>
      <c r="M1766" s="21" t="s">
        <v>248</v>
      </c>
    </row>
    <row r="1767" spans="1:13">
      <c r="E1767" s="21">
        <f t="shared" si="986"/>
        <v>1767</v>
      </c>
      <c r="F1767" s="9" t="s">
        <v>98</v>
      </c>
      <c r="K1767" s="9" t="s">
        <v>137</v>
      </c>
      <c r="M1767" s="21">
        <v>2</v>
      </c>
    </row>
    <row r="1768" spans="1:13">
      <c r="E1768" s="21">
        <f t="shared" si="986"/>
        <v>1768</v>
      </c>
      <c r="F1768" s="9" t="s">
        <v>175</v>
      </c>
      <c r="K1768" s="9" t="s">
        <v>136</v>
      </c>
      <c r="M1768" s="21" t="s">
        <v>250</v>
      </c>
    </row>
    <row r="1769" spans="1:13">
      <c r="E1769" s="21">
        <f t="shared" si="986"/>
        <v>1769</v>
      </c>
      <c r="F1769" s="9" t="s">
        <v>113</v>
      </c>
      <c r="L1769" s="9" t="s">
        <v>134</v>
      </c>
      <c r="M1769" s="21">
        <v>-90</v>
      </c>
    </row>
    <row r="1770" spans="1:13">
      <c r="E1770" s="21">
        <f t="shared" si="986"/>
        <v>1770</v>
      </c>
      <c r="F1770" s="9" t="s">
        <v>31</v>
      </c>
      <c r="G1770" s="21">
        <v>5</v>
      </c>
      <c r="H1770" s="21">
        <v>72</v>
      </c>
      <c r="L1770" s="9" t="s">
        <v>134</v>
      </c>
      <c r="M1770" s="21">
        <f t="shared" ref="M1770" si="1007">(G1770*C1761+(A1761-1)*H1770+H1764*(B1761-1))*-1</f>
        <v>-368</v>
      </c>
    </row>
    <row r="1771" spans="1:13">
      <c r="E1771" s="21">
        <f t="shared" si="986"/>
        <v>1771</v>
      </c>
      <c r="F1771" s="9" t="s">
        <v>30</v>
      </c>
      <c r="M1771" s="21">
        <v>3</v>
      </c>
    </row>
    <row r="1772" spans="1:13">
      <c r="A1772" s="21">
        <f t="shared" ref="A1772:A1835" si="1008">QUOTIENT( D1772-1,G1773*H1773)+1</f>
        <v>5</v>
      </c>
      <c r="B1772" s="21">
        <f t="shared" ref="B1772" si="1009">QUOTIENT( D1772-1,G1773)+1-(A1772-1)*H1773</f>
        <v>3</v>
      </c>
      <c r="C1772" s="21">
        <f t="shared" ref="C1772" si="1010">D1772-(B1772-1)*G1773-((A1772-1)*G1773*H1773)</f>
        <v>5</v>
      </c>
      <c r="D1772" s="21">
        <f>COUNT($D$11:$D1771)+1</f>
        <v>161</v>
      </c>
    </row>
    <row r="1773" spans="1:13">
      <c r="E1773" s="21">
        <f t="shared" si="986"/>
        <v>1773</v>
      </c>
      <c r="F1773" s="9" t="s">
        <v>93</v>
      </c>
      <c r="G1773" s="21">
        <v>6</v>
      </c>
      <c r="H1773" s="21">
        <v>6</v>
      </c>
      <c r="I1773" s="21">
        <v>5</v>
      </c>
      <c r="J1773" s="9" t="s">
        <v>252</v>
      </c>
      <c r="M1773" s="21">
        <f t="shared" ref="M1773:M1836" si="1011">J1773+D1772</f>
        <v>20761</v>
      </c>
    </row>
    <row r="1774" spans="1:13">
      <c r="E1774" s="21">
        <f t="shared" si="986"/>
        <v>1774</v>
      </c>
      <c r="F1774" s="9" t="s">
        <v>142</v>
      </c>
      <c r="M1774" s="21">
        <v>199107</v>
      </c>
    </row>
    <row r="1775" spans="1:13">
      <c r="E1775" s="21">
        <f t="shared" si="986"/>
        <v>1775</v>
      </c>
      <c r="F1775" s="9" t="s">
        <v>126</v>
      </c>
      <c r="G1775" s="21">
        <v>5</v>
      </c>
      <c r="H1775" s="21">
        <v>30</v>
      </c>
      <c r="M1775" s="21">
        <f t="shared" ref="M1775" si="1012">(MOD(D1772-1,G1773*H1773)+1)*G1775+H1775*(B1772-1)</f>
        <v>145</v>
      </c>
    </row>
    <row r="1776" spans="1:13">
      <c r="E1776" s="21">
        <f t="shared" si="986"/>
        <v>1776</v>
      </c>
      <c r="F1776" s="9" t="s">
        <v>29</v>
      </c>
      <c r="M1776" s="21" t="s">
        <v>246</v>
      </c>
    </row>
    <row r="1777" spans="1:13">
      <c r="E1777" s="21">
        <f t="shared" si="986"/>
        <v>1777</v>
      </c>
      <c r="F1777" s="9" t="s">
        <v>118</v>
      </c>
      <c r="M1777" s="21" t="s">
        <v>248</v>
      </c>
    </row>
    <row r="1778" spans="1:13">
      <c r="E1778" s="21">
        <f t="shared" si="986"/>
        <v>1778</v>
      </c>
      <c r="F1778" s="9" t="s">
        <v>98</v>
      </c>
      <c r="K1778" s="9" t="s">
        <v>137</v>
      </c>
      <c r="M1778" s="21">
        <v>2</v>
      </c>
    </row>
    <row r="1779" spans="1:13">
      <c r="E1779" s="21">
        <f t="shared" si="986"/>
        <v>1779</v>
      </c>
      <c r="F1779" s="9" t="s">
        <v>175</v>
      </c>
      <c r="K1779" s="9" t="s">
        <v>136</v>
      </c>
      <c r="M1779" s="21" t="s">
        <v>250</v>
      </c>
    </row>
    <row r="1780" spans="1:13">
      <c r="E1780" s="21">
        <f t="shared" si="986"/>
        <v>1780</v>
      </c>
      <c r="F1780" s="9" t="s">
        <v>113</v>
      </c>
      <c r="L1780" s="9" t="s">
        <v>134</v>
      </c>
      <c r="M1780" s="21">
        <v>-90</v>
      </c>
    </row>
    <row r="1781" spans="1:13">
      <c r="E1781" s="21">
        <f t="shared" si="986"/>
        <v>1781</v>
      </c>
      <c r="F1781" s="9" t="s">
        <v>31</v>
      </c>
      <c r="G1781" s="21">
        <v>5</v>
      </c>
      <c r="H1781" s="21">
        <v>72</v>
      </c>
      <c r="L1781" s="9" t="s">
        <v>134</v>
      </c>
      <c r="M1781" s="21">
        <f t="shared" ref="M1781" si="1013">(G1781*C1772+(A1772-1)*H1781+H1775*(B1772-1))*-1</f>
        <v>-373</v>
      </c>
    </row>
    <row r="1782" spans="1:13">
      <c r="E1782" s="21">
        <f t="shared" si="986"/>
        <v>1782</v>
      </c>
      <c r="F1782" s="9" t="s">
        <v>30</v>
      </c>
      <c r="M1782" s="21">
        <v>3</v>
      </c>
    </row>
    <row r="1783" spans="1:13">
      <c r="A1783" s="21">
        <f t="shared" ref="A1783:A1846" si="1014">QUOTIENT( D1783-1,G1784*H1784)+1</f>
        <v>5</v>
      </c>
      <c r="B1783" s="21">
        <f t="shared" ref="B1783" si="1015">QUOTIENT( D1783-1,G1784)+1-(A1783-1)*H1784</f>
        <v>3</v>
      </c>
      <c r="C1783" s="21">
        <f t="shared" ref="C1783" si="1016">D1783-(B1783-1)*G1784-((A1783-1)*G1784*H1784)</f>
        <v>6</v>
      </c>
      <c r="D1783" s="21">
        <f>COUNT($D$11:$D1782)+1</f>
        <v>162</v>
      </c>
    </row>
    <row r="1784" spans="1:13">
      <c r="E1784" s="21">
        <f t="shared" si="986"/>
        <v>1784</v>
      </c>
      <c r="F1784" s="9" t="s">
        <v>93</v>
      </c>
      <c r="G1784" s="21">
        <v>6</v>
      </c>
      <c r="H1784" s="21">
        <v>6</v>
      </c>
      <c r="I1784" s="21">
        <v>5</v>
      </c>
      <c r="J1784" s="9" t="s">
        <v>252</v>
      </c>
      <c r="M1784" s="21">
        <f t="shared" ref="M1784:M1847" si="1017">J1784+D1783</f>
        <v>20762</v>
      </c>
    </row>
    <row r="1785" spans="1:13">
      <c r="E1785" s="21">
        <f t="shared" si="986"/>
        <v>1785</v>
      </c>
      <c r="F1785" s="9" t="s">
        <v>142</v>
      </c>
      <c r="M1785" s="21">
        <v>199107</v>
      </c>
    </row>
    <row r="1786" spans="1:13">
      <c r="E1786" s="21">
        <f t="shared" si="986"/>
        <v>1786</v>
      </c>
      <c r="F1786" s="9" t="s">
        <v>126</v>
      </c>
      <c r="G1786" s="21">
        <v>5</v>
      </c>
      <c r="H1786" s="21">
        <v>30</v>
      </c>
      <c r="M1786" s="21">
        <f t="shared" ref="M1786" si="1018">(MOD(D1783-1,G1784*H1784)+1)*G1786+H1786*(B1783-1)</f>
        <v>150</v>
      </c>
    </row>
    <row r="1787" spans="1:13">
      <c r="E1787" s="21">
        <f t="shared" si="986"/>
        <v>1787</v>
      </c>
      <c r="F1787" s="9" t="s">
        <v>29</v>
      </c>
      <c r="M1787" s="21" t="s">
        <v>246</v>
      </c>
    </row>
    <row r="1788" spans="1:13">
      <c r="E1788" s="21">
        <f t="shared" si="986"/>
        <v>1788</v>
      </c>
      <c r="F1788" s="9" t="s">
        <v>118</v>
      </c>
      <c r="M1788" s="21" t="s">
        <v>248</v>
      </c>
    </row>
    <row r="1789" spans="1:13">
      <c r="E1789" s="21">
        <f t="shared" si="986"/>
        <v>1789</v>
      </c>
      <c r="F1789" s="9" t="s">
        <v>98</v>
      </c>
      <c r="K1789" s="9" t="s">
        <v>137</v>
      </c>
      <c r="M1789" s="21">
        <v>2</v>
      </c>
    </row>
    <row r="1790" spans="1:13">
      <c r="E1790" s="21">
        <f t="shared" si="986"/>
        <v>1790</v>
      </c>
      <c r="F1790" s="9" t="s">
        <v>175</v>
      </c>
      <c r="K1790" s="9" t="s">
        <v>136</v>
      </c>
      <c r="M1790" s="21" t="s">
        <v>250</v>
      </c>
    </row>
    <row r="1791" spans="1:13">
      <c r="E1791" s="21">
        <f t="shared" si="986"/>
        <v>1791</v>
      </c>
      <c r="F1791" s="9" t="s">
        <v>113</v>
      </c>
      <c r="L1791" s="9" t="s">
        <v>134</v>
      </c>
      <c r="M1791" s="21">
        <v>-90</v>
      </c>
    </row>
    <row r="1792" spans="1:13">
      <c r="E1792" s="21">
        <f t="shared" si="986"/>
        <v>1792</v>
      </c>
      <c r="F1792" s="9" t="s">
        <v>31</v>
      </c>
      <c r="G1792" s="21">
        <v>5</v>
      </c>
      <c r="H1792" s="21">
        <v>72</v>
      </c>
      <c r="L1792" s="9" t="s">
        <v>134</v>
      </c>
      <c r="M1792" s="21">
        <f t="shared" ref="M1792" si="1019">(G1792*C1783+(A1783-1)*H1792+H1786*(B1783-1))*-1</f>
        <v>-378</v>
      </c>
    </row>
    <row r="1793" spans="1:13">
      <c r="E1793" s="21">
        <f t="shared" ref="E1793:E1824" si="1020">ROW(E1793)</f>
        <v>1793</v>
      </c>
      <c r="F1793" s="9" t="s">
        <v>30</v>
      </c>
      <c r="M1793" s="21">
        <v>3</v>
      </c>
    </row>
    <row r="1794" spans="1:13">
      <c r="A1794" s="21">
        <f t="shared" ref="A1794:A1825" si="1021">QUOTIENT( D1794-1,G1795*H1795)+1</f>
        <v>5</v>
      </c>
      <c r="B1794" s="21">
        <f t="shared" ref="B1794" si="1022">QUOTIENT( D1794-1,G1795)+1-(A1794-1)*H1795</f>
        <v>4</v>
      </c>
      <c r="C1794" s="21">
        <f t="shared" ref="C1794" si="1023">D1794-(B1794-1)*G1795-((A1794-1)*G1795*H1795)</f>
        <v>1</v>
      </c>
      <c r="D1794" s="21">
        <f>COUNT($D$11:$D1793)+1</f>
        <v>163</v>
      </c>
    </row>
    <row r="1795" spans="1:13">
      <c r="E1795" s="21">
        <f t="shared" ref="E1795:E1858" si="1024">ROW(E1795)</f>
        <v>1795</v>
      </c>
      <c r="F1795" s="9" t="s">
        <v>93</v>
      </c>
      <c r="G1795" s="21">
        <v>6</v>
      </c>
      <c r="H1795" s="21">
        <v>6</v>
      </c>
      <c r="I1795" s="21">
        <v>5</v>
      </c>
      <c r="J1795" s="9" t="s">
        <v>252</v>
      </c>
      <c r="M1795" s="21">
        <f t="shared" ref="M1795:M1858" si="1025">J1795+D1794</f>
        <v>20763</v>
      </c>
    </row>
    <row r="1796" spans="1:13">
      <c r="E1796" s="21">
        <f t="shared" si="1024"/>
        <v>1796</v>
      </c>
      <c r="F1796" s="9" t="s">
        <v>142</v>
      </c>
      <c r="M1796" s="21">
        <v>199107</v>
      </c>
    </row>
    <row r="1797" spans="1:13">
      <c r="E1797" s="21">
        <f t="shared" si="1024"/>
        <v>1797</v>
      </c>
      <c r="F1797" s="9" t="s">
        <v>126</v>
      </c>
      <c r="G1797" s="21">
        <v>5</v>
      </c>
      <c r="H1797" s="21">
        <v>30</v>
      </c>
      <c r="M1797" s="21">
        <f t="shared" ref="M1797" si="1026">(MOD(D1794-1,G1795*H1795)+1)*G1797+H1797*(B1794-1)</f>
        <v>185</v>
      </c>
    </row>
    <row r="1798" spans="1:13">
      <c r="E1798" s="21">
        <f t="shared" si="1024"/>
        <v>1798</v>
      </c>
      <c r="F1798" s="9" t="s">
        <v>29</v>
      </c>
      <c r="M1798" s="21" t="s">
        <v>246</v>
      </c>
    </row>
    <row r="1799" spans="1:13">
      <c r="E1799" s="21">
        <f t="shared" si="1024"/>
        <v>1799</v>
      </c>
      <c r="F1799" s="9" t="s">
        <v>118</v>
      </c>
      <c r="M1799" s="21" t="s">
        <v>248</v>
      </c>
    </row>
    <row r="1800" spans="1:13">
      <c r="E1800" s="21">
        <f t="shared" si="1024"/>
        <v>1800</v>
      </c>
      <c r="F1800" s="9" t="s">
        <v>98</v>
      </c>
      <c r="K1800" s="9" t="s">
        <v>137</v>
      </c>
      <c r="M1800" s="21">
        <v>2</v>
      </c>
    </row>
    <row r="1801" spans="1:13">
      <c r="E1801" s="21">
        <f t="shared" si="1024"/>
        <v>1801</v>
      </c>
      <c r="F1801" s="9" t="s">
        <v>175</v>
      </c>
      <c r="K1801" s="9" t="s">
        <v>136</v>
      </c>
      <c r="M1801" s="21" t="s">
        <v>250</v>
      </c>
    </row>
    <row r="1802" spans="1:13">
      <c r="E1802" s="21">
        <f t="shared" si="1024"/>
        <v>1802</v>
      </c>
      <c r="F1802" s="9" t="s">
        <v>113</v>
      </c>
      <c r="L1802" s="9" t="s">
        <v>134</v>
      </c>
      <c r="M1802" s="21">
        <v>-90</v>
      </c>
    </row>
    <row r="1803" spans="1:13">
      <c r="E1803" s="21">
        <f t="shared" si="1024"/>
        <v>1803</v>
      </c>
      <c r="F1803" s="9" t="s">
        <v>31</v>
      </c>
      <c r="G1803" s="21">
        <v>5</v>
      </c>
      <c r="H1803" s="21">
        <v>72</v>
      </c>
      <c r="L1803" s="9" t="s">
        <v>134</v>
      </c>
      <c r="M1803" s="21">
        <f t="shared" ref="M1803" si="1027">(G1803*C1794+(A1794-1)*H1803+H1797*(B1794-1))*-1</f>
        <v>-383</v>
      </c>
    </row>
    <row r="1804" spans="1:13">
      <c r="E1804" s="21">
        <f t="shared" si="1024"/>
        <v>1804</v>
      </c>
      <c r="F1804" s="9" t="s">
        <v>30</v>
      </c>
      <c r="M1804" s="21">
        <v>3</v>
      </c>
    </row>
    <row r="1805" spans="1:13">
      <c r="A1805" s="21">
        <f t="shared" ref="A1805:A1836" si="1028">QUOTIENT( D1805-1,G1806*H1806)+1</f>
        <v>5</v>
      </c>
      <c r="B1805" s="21">
        <f t="shared" ref="B1805" si="1029">QUOTIENT( D1805-1,G1806)+1-(A1805-1)*H1806</f>
        <v>4</v>
      </c>
      <c r="C1805" s="21">
        <f t="shared" ref="C1805" si="1030">D1805-(B1805-1)*G1806-((A1805-1)*G1806*H1806)</f>
        <v>2</v>
      </c>
      <c r="D1805" s="21">
        <f>COUNT($D$11:$D1804)+1</f>
        <v>164</v>
      </c>
    </row>
    <row r="1806" spans="1:13">
      <c r="E1806" s="21">
        <f t="shared" si="1024"/>
        <v>1806</v>
      </c>
      <c r="F1806" s="9" t="s">
        <v>93</v>
      </c>
      <c r="G1806" s="21">
        <v>6</v>
      </c>
      <c r="H1806" s="21">
        <v>6</v>
      </c>
      <c r="I1806" s="21">
        <v>5</v>
      </c>
      <c r="J1806" s="9" t="s">
        <v>252</v>
      </c>
      <c r="M1806" s="21">
        <f t="shared" ref="M1806:M1869" si="1031">J1806+D1805</f>
        <v>20764</v>
      </c>
    </row>
    <row r="1807" spans="1:13">
      <c r="E1807" s="21">
        <f t="shared" si="1024"/>
        <v>1807</v>
      </c>
      <c r="F1807" s="9" t="s">
        <v>142</v>
      </c>
      <c r="M1807" s="21">
        <v>199107</v>
      </c>
    </row>
    <row r="1808" spans="1:13">
      <c r="E1808" s="21">
        <f t="shared" si="1024"/>
        <v>1808</v>
      </c>
      <c r="F1808" s="9" t="s">
        <v>126</v>
      </c>
      <c r="G1808" s="21">
        <v>5</v>
      </c>
      <c r="H1808" s="21">
        <v>30</v>
      </c>
      <c r="M1808" s="21">
        <f t="shared" ref="M1808" si="1032">(MOD(D1805-1,G1806*H1806)+1)*G1808+H1808*(B1805-1)</f>
        <v>190</v>
      </c>
    </row>
    <row r="1809" spans="1:13">
      <c r="E1809" s="21">
        <f t="shared" si="1024"/>
        <v>1809</v>
      </c>
      <c r="F1809" s="9" t="s">
        <v>29</v>
      </c>
      <c r="M1809" s="21" t="s">
        <v>246</v>
      </c>
    </row>
    <row r="1810" spans="1:13">
      <c r="E1810" s="21">
        <f t="shared" si="1024"/>
        <v>1810</v>
      </c>
      <c r="F1810" s="9" t="s">
        <v>118</v>
      </c>
      <c r="M1810" s="21" t="s">
        <v>248</v>
      </c>
    </row>
    <row r="1811" spans="1:13">
      <c r="E1811" s="21">
        <f t="shared" si="1024"/>
        <v>1811</v>
      </c>
      <c r="F1811" s="9" t="s">
        <v>98</v>
      </c>
      <c r="K1811" s="9" t="s">
        <v>137</v>
      </c>
      <c r="M1811" s="21">
        <v>2</v>
      </c>
    </row>
    <row r="1812" spans="1:13">
      <c r="E1812" s="21">
        <f t="shared" si="1024"/>
        <v>1812</v>
      </c>
      <c r="F1812" s="9" t="s">
        <v>175</v>
      </c>
      <c r="K1812" s="9" t="s">
        <v>136</v>
      </c>
      <c r="M1812" s="21" t="s">
        <v>250</v>
      </c>
    </row>
    <row r="1813" spans="1:13">
      <c r="E1813" s="21">
        <f t="shared" si="1024"/>
        <v>1813</v>
      </c>
      <c r="F1813" s="9" t="s">
        <v>113</v>
      </c>
      <c r="L1813" s="9" t="s">
        <v>134</v>
      </c>
      <c r="M1813" s="21">
        <v>-90</v>
      </c>
    </row>
    <row r="1814" spans="1:13">
      <c r="E1814" s="21">
        <f t="shared" si="1024"/>
        <v>1814</v>
      </c>
      <c r="F1814" s="9" t="s">
        <v>31</v>
      </c>
      <c r="G1814" s="21">
        <v>5</v>
      </c>
      <c r="H1814" s="21">
        <v>72</v>
      </c>
      <c r="L1814" s="9" t="s">
        <v>134</v>
      </c>
      <c r="M1814" s="21">
        <f t="shared" ref="M1814" si="1033">(G1814*C1805+(A1805-1)*H1814+H1808*(B1805-1))*-1</f>
        <v>-388</v>
      </c>
    </row>
    <row r="1815" spans="1:13">
      <c r="E1815" s="21">
        <f t="shared" si="1024"/>
        <v>1815</v>
      </c>
      <c r="F1815" s="9" t="s">
        <v>30</v>
      </c>
      <c r="M1815" s="21">
        <v>3</v>
      </c>
    </row>
    <row r="1816" spans="1:13">
      <c r="A1816" s="21">
        <f t="shared" ref="A1816:A1847" si="1034">QUOTIENT( D1816-1,G1817*H1817)+1</f>
        <v>5</v>
      </c>
      <c r="B1816" s="21">
        <f t="shared" ref="B1816" si="1035">QUOTIENT( D1816-1,G1817)+1-(A1816-1)*H1817</f>
        <v>4</v>
      </c>
      <c r="C1816" s="21">
        <f t="shared" ref="C1816" si="1036">D1816-(B1816-1)*G1817-((A1816-1)*G1817*H1817)</f>
        <v>3</v>
      </c>
      <c r="D1816" s="21">
        <f>COUNT($D$11:$D1815)+1</f>
        <v>165</v>
      </c>
    </row>
    <row r="1817" spans="1:13">
      <c r="E1817" s="21">
        <f t="shared" si="1024"/>
        <v>1817</v>
      </c>
      <c r="F1817" s="9" t="s">
        <v>93</v>
      </c>
      <c r="G1817" s="21">
        <v>6</v>
      </c>
      <c r="H1817" s="21">
        <v>6</v>
      </c>
      <c r="I1817" s="21">
        <v>5</v>
      </c>
      <c r="J1817" s="9" t="s">
        <v>252</v>
      </c>
      <c r="M1817" s="21">
        <f t="shared" ref="M1817:M1880" si="1037">J1817+D1816</f>
        <v>20765</v>
      </c>
    </row>
    <row r="1818" spans="1:13">
      <c r="E1818" s="21">
        <f t="shared" si="1024"/>
        <v>1818</v>
      </c>
      <c r="F1818" s="9" t="s">
        <v>142</v>
      </c>
      <c r="M1818" s="21">
        <v>199107</v>
      </c>
    </row>
    <row r="1819" spans="1:13">
      <c r="E1819" s="21">
        <f t="shared" si="1024"/>
        <v>1819</v>
      </c>
      <c r="F1819" s="9" t="s">
        <v>126</v>
      </c>
      <c r="G1819" s="21">
        <v>5</v>
      </c>
      <c r="H1819" s="21">
        <v>30</v>
      </c>
      <c r="M1819" s="21">
        <f t="shared" ref="M1819" si="1038">(MOD(D1816-1,G1817*H1817)+1)*G1819+H1819*(B1816-1)</f>
        <v>195</v>
      </c>
    </row>
    <row r="1820" spans="1:13">
      <c r="E1820" s="21">
        <f t="shared" si="1024"/>
        <v>1820</v>
      </c>
      <c r="F1820" s="9" t="s">
        <v>29</v>
      </c>
      <c r="M1820" s="21" t="s">
        <v>246</v>
      </c>
    </row>
    <row r="1821" spans="1:13">
      <c r="E1821" s="21">
        <f t="shared" si="1024"/>
        <v>1821</v>
      </c>
      <c r="F1821" s="9" t="s">
        <v>118</v>
      </c>
      <c r="M1821" s="21" t="s">
        <v>248</v>
      </c>
    </row>
    <row r="1822" spans="1:13">
      <c r="E1822" s="21">
        <f t="shared" si="1024"/>
        <v>1822</v>
      </c>
      <c r="F1822" s="9" t="s">
        <v>98</v>
      </c>
      <c r="K1822" s="9" t="s">
        <v>137</v>
      </c>
      <c r="M1822" s="21">
        <v>2</v>
      </c>
    </row>
    <row r="1823" spans="1:13">
      <c r="E1823" s="21">
        <f t="shared" si="1024"/>
        <v>1823</v>
      </c>
      <c r="F1823" s="9" t="s">
        <v>175</v>
      </c>
      <c r="K1823" s="9" t="s">
        <v>136</v>
      </c>
      <c r="M1823" s="21" t="s">
        <v>250</v>
      </c>
    </row>
    <row r="1824" spans="1:13">
      <c r="E1824" s="21">
        <f t="shared" si="1024"/>
        <v>1824</v>
      </c>
      <c r="F1824" s="9" t="s">
        <v>113</v>
      </c>
      <c r="L1824" s="9" t="s">
        <v>134</v>
      </c>
      <c r="M1824" s="21">
        <v>-90</v>
      </c>
    </row>
    <row r="1825" spans="1:13">
      <c r="E1825" s="21">
        <f t="shared" si="1024"/>
        <v>1825</v>
      </c>
      <c r="F1825" s="9" t="s">
        <v>31</v>
      </c>
      <c r="G1825" s="21">
        <v>5</v>
      </c>
      <c r="H1825" s="21">
        <v>72</v>
      </c>
      <c r="L1825" s="9" t="s">
        <v>134</v>
      </c>
      <c r="M1825" s="21">
        <f t="shared" ref="M1825" si="1039">(G1825*C1816+(A1816-1)*H1825+H1819*(B1816-1))*-1</f>
        <v>-393</v>
      </c>
    </row>
    <row r="1826" spans="1:13">
      <c r="E1826" s="21">
        <f t="shared" si="1024"/>
        <v>1826</v>
      </c>
      <c r="F1826" s="9" t="s">
        <v>30</v>
      </c>
      <c r="M1826" s="21">
        <v>3</v>
      </c>
    </row>
    <row r="1827" spans="1:13">
      <c r="A1827" s="21">
        <f t="shared" ref="A1827:A1858" si="1040">QUOTIENT( D1827-1,G1828*H1828)+1</f>
        <v>5</v>
      </c>
      <c r="B1827" s="21">
        <f t="shared" ref="B1827" si="1041">QUOTIENT( D1827-1,G1828)+1-(A1827-1)*H1828</f>
        <v>4</v>
      </c>
      <c r="C1827" s="21">
        <f t="shared" ref="C1827" si="1042">D1827-(B1827-1)*G1828-((A1827-1)*G1828*H1828)</f>
        <v>4</v>
      </c>
      <c r="D1827" s="21">
        <f>COUNT($D$11:$D1826)+1</f>
        <v>166</v>
      </c>
    </row>
    <row r="1828" spans="1:13">
      <c r="E1828" s="21">
        <f t="shared" si="1024"/>
        <v>1828</v>
      </c>
      <c r="F1828" s="9" t="s">
        <v>93</v>
      </c>
      <c r="G1828" s="21">
        <v>6</v>
      </c>
      <c r="H1828" s="21">
        <v>6</v>
      </c>
      <c r="I1828" s="21">
        <v>5</v>
      </c>
      <c r="J1828" s="9" t="s">
        <v>252</v>
      </c>
      <c r="M1828" s="21">
        <f t="shared" ref="M1828:M1891" si="1043">J1828+D1827</f>
        <v>20766</v>
      </c>
    </row>
    <row r="1829" spans="1:13">
      <c r="E1829" s="21">
        <f t="shared" si="1024"/>
        <v>1829</v>
      </c>
      <c r="F1829" s="9" t="s">
        <v>142</v>
      </c>
      <c r="M1829" s="21">
        <v>199107</v>
      </c>
    </row>
    <row r="1830" spans="1:13">
      <c r="E1830" s="21">
        <f t="shared" si="1024"/>
        <v>1830</v>
      </c>
      <c r="F1830" s="9" t="s">
        <v>126</v>
      </c>
      <c r="G1830" s="21">
        <v>5</v>
      </c>
      <c r="H1830" s="21">
        <v>30</v>
      </c>
      <c r="M1830" s="21">
        <f t="shared" ref="M1830" si="1044">(MOD(D1827-1,G1828*H1828)+1)*G1830+H1830*(B1827-1)</f>
        <v>200</v>
      </c>
    </row>
    <row r="1831" spans="1:13">
      <c r="E1831" s="21">
        <f t="shared" si="1024"/>
        <v>1831</v>
      </c>
      <c r="F1831" s="9" t="s">
        <v>29</v>
      </c>
      <c r="M1831" s="21" t="s">
        <v>246</v>
      </c>
    </row>
    <row r="1832" spans="1:13">
      <c r="E1832" s="21">
        <f t="shared" si="1024"/>
        <v>1832</v>
      </c>
      <c r="F1832" s="9" t="s">
        <v>118</v>
      </c>
      <c r="M1832" s="21" t="s">
        <v>248</v>
      </c>
    </row>
    <row r="1833" spans="1:13">
      <c r="E1833" s="21">
        <f t="shared" si="1024"/>
        <v>1833</v>
      </c>
      <c r="F1833" s="9" t="s">
        <v>98</v>
      </c>
      <c r="K1833" s="9" t="s">
        <v>137</v>
      </c>
      <c r="M1833" s="21">
        <v>2</v>
      </c>
    </row>
    <row r="1834" spans="1:13">
      <c r="E1834" s="21">
        <f t="shared" si="1024"/>
        <v>1834</v>
      </c>
      <c r="F1834" s="9" t="s">
        <v>175</v>
      </c>
      <c r="K1834" s="9" t="s">
        <v>136</v>
      </c>
      <c r="M1834" s="21" t="s">
        <v>250</v>
      </c>
    </row>
    <row r="1835" spans="1:13">
      <c r="E1835" s="21">
        <f t="shared" si="1024"/>
        <v>1835</v>
      </c>
      <c r="F1835" s="9" t="s">
        <v>113</v>
      </c>
      <c r="L1835" s="9" t="s">
        <v>134</v>
      </c>
      <c r="M1835" s="21">
        <v>-90</v>
      </c>
    </row>
    <row r="1836" spans="1:13">
      <c r="E1836" s="21">
        <f t="shared" si="1024"/>
        <v>1836</v>
      </c>
      <c r="F1836" s="9" t="s">
        <v>31</v>
      </c>
      <c r="G1836" s="21">
        <v>5</v>
      </c>
      <c r="H1836" s="21">
        <v>72</v>
      </c>
      <c r="L1836" s="9" t="s">
        <v>134</v>
      </c>
      <c r="M1836" s="21">
        <f t="shared" ref="M1836" si="1045">(G1836*C1827+(A1827-1)*H1836+H1830*(B1827-1))*-1</f>
        <v>-398</v>
      </c>
    </row>
    <row r="1837" spans="1:13">
      <c r="E1837" s="21">
        <f t="shared" si="1024"/>
        <v>1837</v>
      </c>
      <c r="F1837" s="9" t="s">
        <v>30</v>
      </c>
      <c r="M1837" s="21">
        <v>3</v>
      </c>
    </row>
    <row r="1838" spans="1:13">
      <c r="A1838" s="21">
        <f t="shared" ref="A1838:A1869" si="1046">QUOTIENT( D1838-1,G1839*H1839)+1</f>
        <v>5</v>
      </c>
      <c r="B1838" s="21">
        <f t="shared" ref="B1838" si="1047">QUOTIENT( D1838-1,G1839)+1-(A1838-1)*H1839</f>
        <v>4</v>
      </c>
      <c r="C1838" s="21">
        <f t="shared" ref="C1838" si="1048">D1838-(B1838-1)*G1839-((A1838-1)*G1839*H1839)</f>
        <v>5</v>
      </c>
      <c r="D1838" s="21">
        <f>COUNT($D$11:$D1837)+1</f>
        <v>167</v>
      </c>
    </row>
    <row r="1839" spans="1:13">
      <c r="E1839" s="21">
        <f t="shared" si="1024"/>
        <v>1839</v>
      </c>
      <c r="F1839" s="9" t="s">
        <v>93</v>
      </c>
      <c r="G1839" s="21">
        <v>6</v>
      </c>
      <c r="H1839" s="21">
        <v>6</v>
      </c>
      <c r="I1839" s="21">
        <v>5</v>
      </c>
      <c r="J1839" s="9" t="s">
        <v>252</v>
      </c>
      <c r="M1839" s="21">
        <f t="shared" ref="M1839:M1902" si="1049">J1839+D1838</f>
        <v>20767</v>
      </c>
    </row>
    <row r="1840" spans="1:13">
      <c r="E1840" s="21">
        <f t="shared" si="1024"/>
        <v>1840</v>
      </c>
      <c r="F1840" s="9" t="s">
        <v>142</v>
      </c>
      <c r="M1840" s="21">
        <v>199107</v>
      </c>
    </row>
    <row r="1841" spans="1:13">
      <c r="E1841" s="21">
        <f t="shared" si="1024"/>
        <v>1841</v>
      </c>
      <c r="F1841" s="9" t="s">
        <v>126</v>
      </c>
      <c r="G1841" s="21">
        <v>5</v>
      </c>
      <c r="H1841" s="21">
        <v>30</v>
      </c>
      <c r="M1841" s="21">
        <f t="shared" ref="M1841" si="1050">(MOD(D1838-1,G1839*H1839)+1)*G1841+H1841*(B1838-1)</f>
        <v>205</v>
      </c>
    </row>
    <row r="1842" spans="1:13">
      <c r="E1842" s="21">
        <f t="shared" si="1024"/>
        <v>1842</v>
      </c>
      <c r="F1842" s="9" t="s">
        <v>29</v>
      </c>
      <c r="M1842" s="21" t="s">
        <v>246</v>
      </c>
    </row>
    <row r="1843" spans="1:13">
      <c r="E1843" s="21">
        <f t="shared" si="1024"/>
        <v>1843</v>
      </c>
      <c r="F1843" s="9" t="s">
        <v>118</v>
      </c>
      <c r="M1843" s="21" t="s">
        <v>248</v>
      </c>
    </row>
    <row r="1844" spans="1:13">
      <c r="E1844" s="21">
        <f t="shared" si="1024"/>
        <v>1844</v>
      </c>
      <c r="F1844" s="9" t="s">
        <v>98</v>
      </c>
      <c r="K1844" s="9" t="s">
        <v>137</v>
      </c>
      <c r="M1844" s="21">
        <v>2</v>
      </c>
    </row>
    <row r="1845" spans="1:13">
      <c r="E1845" s="21">
        <f t="shared" si="1024"/>
        <v>1845</v>
      </c>
      <c r="F1845" s="9" t="s">
        <v>175</v>
      </c>
      <c r="K1845" s="9" t="s">
        <v>136</v>
      </c>
      <c r="M1845" s="21" t="s">
        <v>250</v>
      </c>
    </row>
    <row r="1846" spans="1:13">
      <c r="E1846" s="21">
        <f t="shared" si="1024"/>
        <v>1846</v>
      </c>
      <c r="F1846" s="9" t="s">
        <v>113</v>
      </c>
      <c r="L1846" s="9" t="s">
        <v>134</v>
      </c>
      <c r="M1846" s="21">
        <v>-90</v>
      </c>
    </row>
    <row r="1847" spans="1:13">
      <c r="E1847" s="21">
        <f t="shared" si="1024"/>
        <v>1847</v>
      </c>
      <c r="F1847" s="9" t="s">
        <v>31</v>
      </c>
      <c r="G1847" s="21">
        <v>5</v>
      </c>
      <c r="H1847" s="21">
        <v>72</v>
      </c>
      <c r="L1847" s="9" t="s">
        <v>134</v>
      </c>
      <c r="M1847" s="21">
        <f t="shared" ref="M1847" si="1051">(G1847*C1838+(A1838-1)*H1847+H1841*(B1838-1))*-1</f>
        <v>-403</v>
      </c>
    </row>
    <row r="1848" spans="1:13">
      <c r="E1848" s="21">
        <f t="shared" si="1024"/>
        <v>1848</v>
      </c>
      <c r="F1848" s="9" t="s">
        <v>30</v>
      </c>
      <c r="M1848" s="21">
        <v>3</v>
      </c>
    </row>
    <row r="1849" spans="1:13">
      <c r="A1849" s="21">
        <f t="shared" ref="A1849:A1880" si="1052">QUOTIENT( D1849-1,G1850*H1850)+1</f>
        <v>5</v>
      </c>
      <c r="B1849" s="21">
        <f t="shared" ref="B1849" si="1053">QUOTIENT( D1849-1,G1850)+1-(A1849-1)*H1850</f>
        <v>4</v>
      </c>
      <c r="C1849" s="21">
        <f t="shared" ref="C1849" si="1054">D1849-(B1849-1)*G1850-((A1849-1)*G1850*H1850)</f>
        <v>6</v>
      </c>
      <c r="D1849" s="21">
        <f>COUNT($D$11:$D1848)+1</f>
        <v>168</v>
      </c>
    </row>
    <row r="1850" spans="1:13">
      <c r="E1850" s="21">
        <f t="shared" si="1024"/>
        <v>1850</v>
      </c>
      <c r="F1850" s="9" t="s">
        <v>93</v>
      </c>
      <c r="G1850" s="21">
        <v>6</v>
      </c>
      <c r="H1850" s="21">
        <v>6</v>
      </c>
      <c r="I1850" s="21">
        <v>5</v>
      </c>
      <c r="J1850" s="9" t="s">
        <v>252</v>
      </c>
      <c r="M1850" s="21">
        <f t="shared" ref="M1850:M1913" si="1055">J1850+D1849</f>
        <v>20768</v>
      </c>
    </row>
    <row r="1851" spans="1:13">
      <c r="E1851" s="21">
        <f t="shared" si="1024"/>
        <v>1851</v>
      </c>
      <c r="F1851" s="9" t="s">
        <v>142</v>
      </c>
      <c r="M1851" s="21">
        <v>199107</v>
      </c>
    </row>
    <row r="1852" spans="1:13">
      <c r="E1852" s="21">
        <f t="shared" si="1024"/>
        <v>1852</v>
      </c>
      <c r="F1852" s="9" t="s">
        <v>126</v>
      </c>
      <c r="G1852" s="21">
        <v>5</v>
      </c>
      <c r="H1852" s="21">
        <v>30</v>
      </c>
      <c r="M1852" s="21">
        <f t="shared" ref="M1852" si="1056">(MOD(D1849-1,G1850*H1850)+1)*G1852+H1852*(B1849-1)</f>
        <v>210</v>
      </c>
    </row>
    <row r="1853" spans="1:13">
      <c r="E1853" s="21">
        <f t="shared" si="1024"/>
        <v>1853</v>
      </c>
      <c r="F1853" s="9" t="s">
        <v>29</v>
      </c>
      <c r="M1853" s="21" t="s">
        <v>246</v>
      </c>
    </row>
    <row r="1854" spans="1:13">
      <c r="E1854" s="21">
        <f t="shared" si="1024"/>
        <v>1854</v>
      </c>
      <c r="F1854" s="9" t="s">
        <v>118</v>
      </c>
      <c r="M1854" s="21" t="s">
        <v>248</v>
      </c>
    </row>
    <row r="1855" spans="1:13">
      <c r="E1855" s="21">
        <f t="shared" si="1024"/>
        <v>1855</v>
      </c>
      <c r="F1855" s="9" t="s">
        <v>98</v>
      </c>
      <c r="K1855" s="9" t="s">
        <v>137</v>
      </c>
      <c r="M1855" s="21">
        <v>2</v>
      </c>
    </row>
    <row r="1856" spans="1:13">
      <c r="E1856" s="21">
        <f t="shared" si="1024"/>
        <v>1856</v>
      </c>
      <c r="F1856" s="9" t="s">
        <v>175</v>
      </c>
      <c r="K1856" s="9" t="s">
        <v>136</v>
      </c>
      <c r="M1856" s="21" t="s">
        <v>250</v>
      </c>
    </row>
    <row r="1857" spans="1:13">
      <c r="E1857" s="21">
        <f t="shared" si="1024"/>
        <v>1857</v>
      </c>
      <c r="F1857" s="9" t="s">
        <v>113</v>
      </c>
      <c r="L1857" s="9" t="s">
        <v>134</v>
      </c>
      <c r="M1857" s="21">
        <v>-90</v>
      </c>
    </row>
    <row r="1858" spans="1:13">
      <c r="E1858" s="21">
        <f t="shared" si="1024"/>
        <v>1858</v>
      </c>
      <c r="F1858" s="9" t="s">
        <v>31</v>
      </c>
      <c r="G1858" s="21">
        <v>5</v>
      </c>
      <c r="H1858" s="21">
        <v>72</v>
      </c>
      <c r="L1858" s="9" t="s">
        <v>134</v>
      </c>
      <c r="M1858" s="21">
        <f t="shared" ref="M1858" si="1057">(G1858*C1849+(A1849-1)*H1858+H1852*(B1849-1))*-1</f>
        <v>-408</v>
      </c>
    </row>
    <row r="1859" spans="1:13">
      <c r="E1859" s="21">
        <f t="shared" ref="E1859:E1890" si="1058">ROW(E1859)</f>
        <v>1859</v>
      </c>
      <c r="F1859" s="9" t="s">
        <v>30</v>
      </c>
      <c r="M1859" s="21">
        <v>3</v>
      </c>
    </row>
    <row r="1860" spans="1:13">
      <c r="A1860" s="21">
        <f t="shared" ref="A1860:A1891" si="1059">QUOTIENT( D1860-1,G1861*H1861)+1</f>
        <v>5</v>
      </c>
      <c r="B1860" s="21">
        <f t="shared" ref="B1860" si="1060">QUOTIENT( D1860-1,G1861)+1-(A1860-1)*H1861</f>
        <v>5</v>
      </c>
      <c r="C1860" s="21">
        <f t="shared" ref="C1860" si="1061">D1860-(B1860-1)*G1861-((A1860-1)*G1861*H1861)</f>
        <v>1</v>
      </c>
      <c r="D1860" s="21">
        <f>COUNT($D$11:$D1859)+1</f>
        <v>169</v>
      </c>
    </row>
    <row r="1861" spans="1:13">
      <c r="E1861" s="21">
        <f t="shared" ref="E1861:E1924" si="1062">ROW(E1861)</f>
        <v>1861</v>
      </c>
      <c r="F1861" s="9" t="s">
        <v>93</v>
      </c>
      <c r="G1861" s="21">
        <v>6</v>
      </c>
      <c r="H1861" s="21">
        <v>6</v>
      </c>
      <c r="I1861" s="21">
        <v>5</v>
      </c>
      <c r="J1861" s="9" t="s">
        <v>252</v>
      </c>
      <c r="M1861" s="21">
        <f t="shared" ref="M1861:M1924" si="1063">J1861+D1860</f>
        <v>20769</v>
      </c>
    </row>
    <row r="1862" spans="1:13">
      <c r="E1862" s="21">
        <f t="shared" si="1062"/>
        <v>1862</v>
      </c>
      <c r="F1862" s="9" t="s">
        <v>142</v>
      </c>
      <c r="M1862" s="21">
        <v>199107</v>
      </c>
    </row>
    <row r="1863" spans="1:13">
      <c r="E1863" s="21">
        <f t="shared" si="1062"/>
        <v>1863</v>
      </c>
      <c r="F1863" s="9" t="s">
        <v>126</v>
      </c>
      <c r="G1863" s="21">
        <v>5</v>
      </c>
      <c r="H1863" s="21">
        <v>30</v>
      </c>
      <c r="M1863" s="21">
        <f t="shared" ref="M1863" si="1064">(MOD(D1860-1,G1861*H1861)+1)*G1863+H1863*(B1860-1)</f>
        <v>245</v>
      </c>
    </row>
    <row r="1864" spans="1:13">
      <c r="E1864" s="21">
        <f t="shared" si="1062"/>
        <v>1864</v>
      </c>
      <c r="F1864" s="9" t="s">
        <v>29</v>
      </c>
      <c r="M1864" s="21" t="s">
        <v>246</v>
      </c>
    </row>
    <row r="1865" spans="1:13">
      <c r="E1865" s="21">
        <f t="shared" si="1062"/>
        <v>1865</v>
      </c>
      <c r="F1865" s="9" t="s">
        <v>118</v>
      </c>
      <c r="M1865" s="21" t="s">
        <v>248</v>
      </c>
    </row>
    <row r="1866" spans="1:13">
      <c r="E1866" s="21">
        <f t="shared" si="1062"/>
        <v>1866</v>
      </c>
      <c r="F1866" s="9" t="s">
        <v>98</v>
      </c>
      <c r="K1866" s="9" t="s">
        <v>137</v>
      </c>
      <c r="M1866" s="21">
        <v>2</v>
      </c>
    </row>
    <row r="1867" spans="1:13">
      <c r="E1867" s="21">
        <f t="shared" si="1062"/>
        <v>1867</v>
      </c>
      <c r="F1867" s="9" t="s">
        <v>175</v>
      </c>
      <c r="K1867" s="9" t="s">
        <v>136</v>
      </c>
      <c r="M1867" s="21" t="s">
        <v>250</v>
      </c>
    </row>
    <row r="1868" spans="1:13">
      <c r="E1868" s="21">
        <f t="shared" si="1062"/>
        <v>1868</v>
      </c>
      <c r="F1868" s="9" t="s">
        <v>113</v>
      </c>
      <c r="L1868" s="9" t="s">
        <v>134</v>
      </c>
      <c r="M1868" s="21">
        <v>-90</v>
      </c>
    </row>
    <row r="1869" spans="1:13">
      <c r="E1869" s="21">
        <f t="shared" si="1062"/>
        <v>1869</v>
      </c>
      <c r="F1869" s="9" t="s">
        <v>31</v>
      </c>
      <c r="G1869" s="21">
        <v>5</v>
      </c>
      <c r="H1869" s="21">
        <v>72</v>
      </c>
      <c r="L1869" s="9" t="s">
        <v>134</v>
      </c>
      <c r="M1869" s="21">
        <f t="shared" ref="M1869" si="1065">(G1869*C1860+(A1860-1)*H1869+H1863*(B1860-1))*-1</f>
        <v>-413</v>
      </c>
    </row>
    <row r="1870" spans="1:13">
      <c r="E1870" s="21">
        <f t="shared" si="1062"/>
        <v>1870</v>
      </c>
      <c r="F1870" s="9" t="s">
        <v>30</v>
      </c>
      <c r="M1870" s="21">
        <v>3</v>
      </c>
    </row>
    <row r="1871" spans="1:13">
      <c r="A1871" s="21">
        <f t="shared" ref="A1871:A1902" si="1066">QUOTIENT( D1871-1,G1872*H1872)+1</f>
        <v>5</v>
      </c>
      <c r="B1871" s="21">
        <f t="shared" ref="B1871" si="1067">QUOTIENT( D1871-1,G1872)+1-(A1871-1)*H1872</f>
        <v>5</v>
      </c>
      <c r="C1871" s="21">
        <f t="shared" ref="C1871" si="1068">D1871-(B1871-1)*G1872-((A1871-1)*G1872*H1872)</f>
        <v>2</v>
      </c>
      <c r="D1871" s="21">
        <f>COUNT($D$11:$D1870)+1</f>
        <v>170</v>
      </c>
    </row>
    <row r="1872" spans="1:13">
      <c r="E1872" s="21">
        <f t="shared" si="1062"/>
        <v>1872</v>
      </c>
      <c r="F1872" s="9" t="s">
        <v>93</v>
      </c>
      <c r="G1872" s="21">
        <v>6</v>
      </c>
      <c r="H1872" s="21">
        <v>6</v>
      </c>
      <c r="I1872" s="21">
        <v>5</v>
      </c>
      <c r="J1872" s="9" t="s">
        <v>252</v>
      </c>
      <c r="M1872" s="21">
        <f t="shared" ref="M1872:M1935" si="1069">J1872+D1871</f>
        <v>20770</v>
      </c>
    </row>
    <row r="1873" spans="1:13">
      <c r="E1873" s="21">
        <f t="shared" si="1062"/>
        <v>1873</v>
      </c>
      <c r="F1873" s="9" t="s">
        <v>142</v>
      </c>
      <c r="M1873" s="21">
        <v>199107</v>
      </c>
    </row>
    <row r="1874" spans="1:13">
      <c r="E1874" s="21">
        <f t="shared" si="1062"/>
        <v>1874</v>
      </c>
      <c r="F1874" s="9" t="s">
        <v>126</v>
      </c>
      <c r="G1874" s="21">
        <v>5</v>
      </c>
      <c r="H1874" s="21">
        <v>30</v>
      </c>
      <c r="M1874" s="21">
        <f t="shared" ref="M1874" si="1070">(MOD(D1871-1,G1872*H1872)+1)*G1874+H1874*(B1871-1)</f>
        <v>250</v>
      </c>
    </row>
    <row r="1875" spans="1:13">
      <c r="E1875" s="21">
        <f t="shared" si="1062"/>
        <v>1875</v>
      </c>
      <c r="F1875" s="9" t="s">
        <v>29</v>
      </c>
      <c r="M1875" s="21" t="s">
        <v>246</v>
      </c>
    </row>
    <row r="1876" spans="1:13">
      <c r="E1876" s="21">
        <f t="shared" si="1062"/>
        <v>1876</v>
      </c>
      <c r="F1876" s="9" t="s">
        <v>118</v>
      </c>
      <c r="M1876" s="21" t="s">
        <v>248</v>
      </c>
    </row>
    <row r="1877" spans="1:13">
      <c r="E1877" s="21">
        <f t="shared" si="1062"/>
        <v>1877</v>
      </c>
      <c r="F1877" s="9" t="s">
        <v>98</v>
      </c>
      <c r="K1877" s="9" t="s">
        <v>137</v>
      </c>
      <c r="M1877" s="21">
        <v>2</v>
      </c>
    </row>
    <row r="1878" spans="1:13">
      <c r="E1878" s="21">
        <f t="shared" si="1062"/>
        <v>1878</v>
      </c>
      <c r="F1878" s="9" t="s">
        <v>175</v>
      </c>
      <c r="K1878" s="9" t="s">
        <v>136</v>
      </c>
      <c r="M1878" s="21" t="s">
        <v>250</v>
      </c>
    </row>
    <row r="1879" spans="1:13">
      <c r="E1879" s="21">
        <f t="shared" si="1062"/>
        <v>1879</v>
      </c>
      <c r="F1879" s="9" t="s">
        <v>113</v>
      </c>
      <c r="L1879" s="9" t="s">
        <v>134</v>
      </c>
      <c r="M1879" s="21">
        <v>-90</v>
      </c>
    </row>
    <row r="1880" spans="1:13">
      <c r="E1880" s="21">
        <f t="shared" si="1062"/>
        <v>1880</v>
      </c>
      <c r="F1880" s="9" t="s">
        <v>31</v>
      </c>
      <c r="G1880" s="21">
        <v>5</v>
      </c>
      <c r="H1880" s="21">
        <v>72</v>
      </c>
      <c r="L1880" s="9" t="s">
        <v>134</v>
      </c>
      <c r="M1880" s="21">
        <f t="shared" ref="M1880" si="1071">(G1880*C1871+(A1871-1)*H1880+H1874*(B1871-1))*-1</f>
        <v>-418</v>
      </c>
    </row>
    <row r="1881" spans="1:13">
      <c r="E1881" s="21">
        <f t="shared" si="1062"/>
        <v>1881</v>
      </c>
      <c r="F1881" s="9" t="s">
        <v>30</v>
      </c>
      <c r="M1881" s="21">
        <v>3</v>
      </c>
    </row>
    <row r="1882" spans="1:13">
      <c r="A1882" s="21">
        <f t="shared" ref="A1882:A1913" si="1072">QUOTIENT( D1882-1,G1883*H1883)+1</f>
        <v>5</v>
      </c>
      <c r="B1882" s="21">
        <f t="shared" ref="B1882" si="1073">QUOTIENT( D1882-1,G1883)+1-(A1882-1)*H1883</f>
        <v>5</v>
      </c>
      <c r="C1882" s="21">
        <f t="shared" ref="C1882" si="1074">D1882-(B1882-1)*G1883-((A1882-1)*G1883*H1883)</f>
        <v>3</v>
      </c>
      <c r="D1882" s="21">
        <f>COUNT($D$11:$D1881)+1</f>
        <v>171</v>
      </c>
    </row>
    <row r="1883" spans="1:13">
      <c r="E1883" s="21">
        <f t="shared" si="1062"/>
        <v>1883</v>
      </c>
      <c r="F1883" s="9" t="s">
        <v>93</v>
      </c>
      <c r="G1883" s="21">
        <v>6</v>
      </c>
      <c r="H1883" s="21">
        <v>6</v>
      </c>
      <c r="I1883" s="21">
        <v>5</v>
      </c>
      <c r="J1883" s="9" t="s">
        <v>252</v>
      </c>
      <c r="M1883" s="21">
        <f t="shared" ref="M1883:M1946" si="1075">J1883+D1882</f>
        <v>20771</v>
      </c>
    </row>
    <row r="1884" spans="1:13">
      <c r="E1884" s="21">
        <f t="shared" si="1062"/>
        <v>1884</v>
      </c>
      <c r="F1884" s="9" t="s">
        <v>142</v>
      </c>
      <c r="M1884" s="21">
        <v>199107</v>
      </c>
    </row>
    <row r="1885" spans="1:13">
      <c r="E1885" s="21">
        <f t="shared" si="1062"/>
        <v>1885</v>
      </c>
      <c r="F1885" s="9" t="s">
        <v>126</v>
      </c>
      <c r="G1885" s="21">
        <v>5</v>
      </c>
      <c r="H1885" s="21">
        <v>30</v>
      </c>
      <c r="M1885" s="21">
        <f t="shared" ref="M1885" si="1076">(MOD(D1882-1,G1883*H1883)+1)*G1885+H1885*(B1882-1)</f>
        <v>255</v>
      </c>
    </row>
    <row r="1886" spans="1:13">
      <c r="E1886" s="21">
        <f t="shared" si="1062"/>
        <v>1886</v>
      </c>
      <c r="F1886" s="9" t="s">
        <v>29</v>
      </c>
      <c r="M1886" s="21" t="s">
        <v>246</v>
      </c>
    </row>
    <row r="1887" spans="1:13">
      <c r="E1887" s="21">
        <f t="shared" si="1062"/>
        <v>1887</v>
      </c>
      <c r="F1887" s="9" t="s">
        <v>118</v>
      </c>
      <c r="M1887" s="21" t="s">
        <v>248</v>
      </c>
    </row>
    <row r="1888" spans="1:13">
      <c r="E1888" s="21">
        <f t="shared" si="1062"/>
        <v>1888</v>
      </c>
      <c r="F1888" s="9" t="s">
        <v>98</v>
      </c>
      <c r="K1888" s="9" t="s">
        <v>137</v>
      </c>
      <c r="M1888" s="21">
        <v>2</v>
      </c>
    </row>
    <row r="1889" spans="1:13">
      <c r="E1889" s="21">
        <f t="shared" si="1062"/>
        <v>1889</v>
      </c>
      <c r="F1889" s="9" t="s">
        <v>175</v>
      </c>
      <c r="K1889" s="9" t="s">
        <v>136</v>
      </c>
      <c r="M1889" s="21" t="s">
        <v>250</v>
      </c>
    </row>
    <row r="1890" spans="1:13">
      <c r="E1890" s="21">
        <f t="shared" si="1062"/>
        <v>1890</v>
      </c>
      <c r="F1890" s="9" t="s">
        <v>113</v>
      </c>
      <c r="L1890" s="9" t="s">
        <v>134</v>
      </c>
      <c r="M1890" s="21">
        <v>-90</v>
      </c>
    </row>
    <row r="1891" spans="1:13">
      <c r="E1891" s="21">
        <f t="shared" si="1062"/>
        <v>1891</v>
      </c>
      <c r="F1891" s="9" t="s">
        <v>31</v>
      </c>
      <c r="G1891" s="21">
        <v>5</v>
      </c>
      <c r="H1891" s="21">
        <v>72</v>
      </c>
      <c r="L1891" s="9" t="s">
        <v>134</v>
      </c>
      <c r="M1891" s="21">
        <f t="shared" ref="M1891" si="1077">(G1891*C1882+(A1882-1)*H1891+H1885*(B1882-1))*-1</f>
        <v>-423</v>
      </c>
    </row>
    <row r="1892" spans="1:13">
      <c r="E1892" s="21">
        <f t="shared" si="1062"/>
        <v>1892</v>
      </c>
      <c r="F1892" s="9" t="s">
        <v>30</v>
      </c>
      <c r="M1892" s="21">
        <v>3</v>
      </c>
    </row>
    <row r="1893" spans="1:13">
      <c r="A1893" s="21">
        <f t="shared" ref="A1893:A1924" si="1078">QUOTIENT( D1893-1,G1894*H1894)+1</f>
        <v>5</v>
      </c>
      <c r="B1893" s="21">
        <f t="shared" ref="B1893" si="1079">QUOTIENT( D1893-1,G1894)+1-(A1893-1)*H1894</f>
        <v>5</v>
      </c>
      <c r="C1893" s="21">
        <f t="shared" ref="C1893" si="1080">D1893-(B1893-1)*G1894-((A1893-1)*G1894*H1894)</f>
        <v>4</v>
      </c>
      <c r="D1893" s="21">
        <f>COUNT($D$11:$D1892)+1</f>
        <v>172</v>
      </c>
    </row>
    <row r="1894" spans="1:13">
      <c r="E1894" s="21">
        <f t="shared" si="1062"/>
        <v>1894</v>
      </c>
      <c r="F1894" s="9" t="s">
        <v>93</v>
      </c>
      <c r="G1894" s="21">
        <v>6</v>
      </c>
      <c r="H1894" s="21">
        <v>6</v>
      </c>
      <c r="I1894" s="21">
        <v>5</v>
      </c>
      <c r="J1894" s="9" t="s">
        <v>252</v>
      </c>
      <c r="M1894" s="21">
        <f t="shared" ref="M1894:M1957" si="1081">J1894+D1893</f>
        <v>20772</v>
      </c>
    </row>
    <row r="1895" spans="1:13">
      <c r="E1895" s="21">
        <f t="shared" si="1062"/>
        <v>1895</v>
      </c>
      <c r="F1895" s="9" t="s">
        <v>142</v>
      </c>
      <c r="M1895" s="21">
        <v>199107</v>
      </c>
    </row>
    <row r="1896" spans="1:13">
      <c r="E1896" s="21">
        <f t="shared" si="1062"/>
        <v>1896</v>
      </c>
      <c r="F1896" s="9" t="s">
        <v>126</v>
      </c>
      <c r="G1896" s="21">
        <v>5</v>
      </c>
      <c r="H1896" s="21">
        <v>30</v>
      </c>
      <c r="M1896" s="21">
        <f t="shared" ref="M1896" si="1082">(MOD(D1893-1,G1894*H1894)+1)*G1896+H1896*(B1893-1)</f>
        <v>260</v>
      </c>
    </row>
    <row r="1897" spans="1:13">
      <c r="E1897" s="21">
        <f t="shared" si="1062"/>
        <v>1897</v>
      </c>
      <c r="F1897" s="9" t="s">
        <v>29</v>
      </c>
      <c r="M1897" s="21" t="s">
        <v>246</v>
      </c>
    </row>
    <row r="1898" spans="1:13">
      <c r="E1898" s="21">
        <f t="shared" si="1062"/>
        <v>1898</v>
      </c>
      <c r="F1898" s="9" t="s">
        <v>118</v>
      </c>
      <c r="M1898" s="21" t="s">
        <v>248</v>
      </c>
    </row>
    <row r="1899" spans="1:13">
      <c r="E1899" s="21">
        <f t="shared" si="1062"/>
        <v>1899</v>
      </c>
      <c r="F1899" s="9" t="s">
        <v>98</v>
      </c>
      <c r="K1899" s="9" t="s">
        <v>137</v>
      </c>
      <c r="M1899" s="21">
        <v>2</v>
      </c>
    </row>
    <row r="1900" spans="1:13">
      <c r="E1900" s="21">
        <f t="shared" si="1062"/>
        <v>1900</v>
      </c>
      <c r="F1900" s="9" t="s">
        <v>175</v>
      </c>
      <c r="K1900" s="9" t="s">
        <v>136</v>
      </c>
      <c r="M1900" s="21" t="s">
        <v>250</v>
      </c>
    </row>
    <row r="1901" spans="1:13">
      <c r="E1901" s="21">
        <f t="shared" si="1062"/>
        <v>1901</v>
      </c>
      <c r="F1901" s="9" t="s">
        <v>113</v>
      </c>
      <c r="L1901" s="9" t="s">
        <v>134</v>
      </c>
      <c r="M1901" s="21">
        <v>-90</v>
      </c>
    </row>
    <row r="1902" spans="1:13">
      <c r="E1902" s="21">
        <f t="shared" si="1062"/>
        <v>1902</v>
      </c>
      <c r="F1902" s="9" t="s">
        <v>31</v>
      </c>
      <c r="G1902" s="21">
        <v>5</v>
      </c>
      <c r="H1902" s="21">
        <v>72</v>
      </c>
      <c r="L1902" s="9" t="s">
        <v>134</v>
      </c>
      <c r="M1902" s="21">
        <f t="shared" ref="M1902" si="1083">(G1902*C1893+(A1893-1)*H1902+H1896*(B1893-1))*-1</f>
        <v>-428</v>
      </c>
    </row>
    <row r="1903" spans="1:13">
      <c r="E1903" s="21">
        <f t="shared" si="1062"/>
        <v>1903</v>
      </c>
      <c r="F1903" s="9" t="s">
        <v>30</v>
      </c>
      <c r="M1903" s="21">
        <v>3</v>
      </c>
    </row>
    <row r="1904" spans="1:13">
      <c r="A1904" s="21">
        <f t="shared" ref="A1904:A1935" si="1084">QUOTIENT( D1904-1,G1905*H1905)+1</f>
        <v>5</v>
      </c>
      <c r="B1904" s="21">
        <f t="shared" ref="B1904" si="1085">QUOTIENT( D1904-1,G1905)+1-(A1904-1)*H1905</f>
        <v>5</v>
      </c>
      <c r="C1904" s="21">
        <f t="shared" ref="C1904" si="1086">D1904-(B1904-1)*G1905-((A1904-1)*G1905*H1905)</f>
        <v>5</v>
      </c>
      <c r="D1904" s="21">
        <f>COUNT($D$11:$D1903)+1</f>
        <v>173</v>
      </c>
    </row>
    <row r="1905" spans="1:13">
      <c r="E1905" s="21">
        <f t="shared" si="1062"/>
        <v>1905</v>
      </c>
      <c r="F1905" s="9" t="s">
        <v>93</v>
      </c>
      <c r="G1905" s="21">
        <v>6</v>
      </c>
      <c r="H1905" s="21">
        <v>6</v>
      </c>
      <c r="I1905" s="21">
        <v>5</v>
      </c>
      <c r="J1905" s="9" t="s">
        <v>252</v>
      </c>
      <c r="M1905" s="21">
        <f t="shared" ref="M1905:M1968" si="1087">J1905+D1904</f>
        <v>20773</v>
      </c>
    </row>
    <row r="1906" spans="1:13">
      <c r="E1906" s="21">
        <f t="shared" si="1062"/>
        <v>1906</v>
      </c>
      <c r="F1906" s="9" t="s">
        <v>142</v>
      </c>
      <c r="M1906" s="21">
        <v>199107</v>
      </c>
    </row>
    <row r="1907" spans="1:13">
      <c r="E1907" s="21">
        <f t="shared" si="1062"/>
        <v>1907</v>
      </c>
      <c r="F1907" s="9" t="s">
        <v>126</v>
      </c>
      <c r="G1907" s="21">
        <v>5</v>
      </c>
      <c r="H1907" s="21">
        <v>30</v>
      </c>
      <c r="M1907" s="21">
        <f t="shared" ref="M1907" si="1088">(MOD(D1904-1,G1905*H1905)+1)*G1907+H1907*(B1904-1)</f>
        <v>265</v>
      </c>
    </row>
    <row r="1908" spans="1:13">
      <c r="E1908" s="21">
        <f t="shared" si="1062"/>
        <v>1908</v>
      </c>
      <c r="F1908" s="9" t="s">
        <v>29</v>
      </c>
      <c r="M1908" s="21" t="s">
        <v>246</v>
      </c>
    </row>
    <row r="1909" spans="1:13">
      <c r="E1909" s="21">
        <f t="shared" si="1062"/>
        <v>1909</v>
      </c>
      <c r="F1909" s="9" t="s">
        <v>118</v>
      </c>
      <c r="M1909" s="21" t="s">
        <v>248</v>
      </c>
    </row>
    <row r="1910" spans="1:13">
      <c r="E1910" s="21">
        <f t="shared" si="1062"/>
        <v>1910</v>
      </c>
      <c r="F1910" s="9" t="s">
        <v>98</v>
      </c>
      <c r="K1910" s="9" t="s">
        <v>137</v>
      </c>
      <c r="M1910" s="21">
        <v>2</v>
      </c>
    </row>
    <row r="1911" spans="1:13">
      <c r="E1911" s="21">
        <f t="shared" si="1062"/>
        <v>1911</v>
      </c>
      <c r="F1911" s="9" t="s">
        <v>175</v>
      </c>
      <c r="K1911" s="9" t="s">
        <v>136</v>
      </c>
      <c r="M1911" s="21" t="s">
        <v>250</v>
      </c>
    </row>
    <row r="1912" spans="1:13">
      <c r="E1912" s="21">
        <f t="shared" si="1062"/>
        <v>1912</v>
      </c>
      <c r="F1912" s="9" t="s">
        <v>113</v>
      </c>
      <c r="L1912" s="9" t="s">
        <v>134</v>
      </c>
      <c r="M1912" s="21">
        <v>-90</v>
      </c>
    </row>
    <row r="1913" spans="1:13">
      <c r="E1913" s="21">
        <f t="shared" si="1062"/>
        <v>1913</v>
      </c>
      <c r="F1913" s="9" t="s">
        <v>31</v>
      </c>
      <c r="G1913" s="21">
        <v>5</v>
      </c>
      <c r="H1913" s="21">
        <v>72</v>
      </c>
      <c r="L1913" s="9" t="s">
        <v>134</v>
      </c>
      <c r="M1913" s="21">
        <f t="shared" ref="M1913" si="1089">(G1913*C1904+(A1904-1)*H1913+H1907*(B1904-1))*-1</f>
        <v>-433</v>
      </c>
    </row>
    <row r="1914" spans="1:13">
      <c r="E1914" s="21">
        <f t="shared" si="1062"/>
        <v>1914</v>
      </c>
      <c r="F1914" s="9" t="s">
        <v>30</v>
      </c>
      <c r="M1914" s="21">
        <v>3</v>
      </c>
    </row>
    <row r="1915" spans="1:13">
      <c r="A1915" s="21">
        <f t="shared" ref="A1915:A1946" si="1090">QUOTIENT( D1915-1,G1916*H1916)+1</f>
        <v>5</v>
      </c>
      <c r="B1915" s="21">
        <f t="shared" ref="B1915" si="1091">QUOTIENT( D1915-1,G1916)+1-(A1915-1)*H1916</f>
        <v>5</v>
      </c>
      <c r="C1915" s="21">
        <f t="shared" ref="C1915" si="1092">D1915-(B1915-1)*G1916-((A1915-1)*G1916*H1916)</f>
        <v>6</v>
      </c>
      <c r="D1915" s="21">
        <f>COUNT($D$11:$D1914)+1</f>
        <v>174</v>
      </c>
    </row>
    <row r="1916" spans="1:13">
      <c r="E1916" s="21">
        <f t="shared" si="1062"/>
        <v>1916</v>
      </c>
      <c r="F1916" s="9" t="s">
        <v>93</v>
      </c>
      <c r="G1916" s="21">
        <v>6</v>
      </c>
      <c r="H1916" s="21">
        <v>6</v>
      </c>
      <c r="I1916" s="21">
        <v>5</v>
      </c>
      <c r="J1916" s="9" t="s">
        <v>252</v>
      </c>
      <c r="M1916" s="21">
        <f t="shared" ref="M1916:M1979" si="1093">J1916+D1915</f>
        <v>20774</v>
      </c>
    </row>
    <row r="1917" spans="1:13">
      <c r="E1917" s="21">
        <f t="shared" si="1062"/>
        <v>1917</v>
      </c>
      <c r="F1917" s="9" t="s">
        <v>142</v>
      </c>
      <c r="M1917" s="21">
        <v>199107</v>
      </c>
    </row>
    <row r="1918" spans="1:13">
      <c r="E1918" s="21">
        <f t="shared" si="1062"/>
        <v>1918</v>
      </c>
      <c r="F1918" s="9" t="s">
        <v>126</v>
      </c>
      <c r="G1918" s="21">
        <v>5</v>
      </c>
      <c r="H1918" s="21">
        <v>30</v>
      </c>
      <c r="M1918" s="21">
        <f t="shared" ref="M1918" si="1094">(MOD(D1915-1,G1916*H1916)+1)*G1918+H1918*(B1915-1)</f>
        <v>270</v>
      </c>
    </row>
    <row r="1919" spans="1:13">
      <c r="E1919" s="21">
        <f t="shared" si="1062"/>
        <v>1919</v>
      </c>
      <c r="F1919" s="9" t="s">
        <v>29</v>
      </c>
      <c r="M1919" s="21" t="s">
        <v>246</v>
      </c>
    </row>
    <row r="1920" spans="1:13">
      <c r="E1920" s="21">
        <f t="shared" si="1062"/>
        <v>1920</v>
      </c>
      <c r="F1920" s="9" t="s">
        <v>118</v>
      </c>
      <c r="M1920" s="21" t="s">
        <v>248</v>
      </c>
    </row>
    <row r="1921" spans="1:13">
      <c r="E1921" s="21">
        <f t="shared" si="1062"/>
        <v>1921</v>
      </c>
      <c r="F1921" s="9" t="s">
        <v>98</v>
      </c>
      <c r="K1921" s="9" t="s">
        <v>137</v>
      </c>
      <c r="M1921" s="21">
        <v>2</v>
      </c>
    </row>
    <row r="1922" spans="1:13">
      <c r="E1922" s="21">
        <f t="shared" si="1062"/>
        <v>1922</v>
      </c>
      <c r="F1922" s="9" t="s">
        <v>175</v>
      </c>
      <c r="K1922" s="9" t="s">
        <v>136</v>
      </c>
      <c r="M1922" s="21" t="s">
        <v>250</v>
      </c>
    </row>
    <row r="1923" spans="1:13">
      <c r="E1923" s="21">
        <f t="shared" si="1062"/>
        <v>1923</v>
      </c>
      <c r="F1923" s="9" t="s">
        <v>113</v>
      </c>
      <c r="L1923" s="9" t="s">
        <v>134</v>
      </c>
      <c r="M1923" s="21">
        <v>-90</v>
      </c>
    </row>
    <row r="1924" spans="1:13">
      <c r="E1924" s="21">
        <f t="shared" si="1062"/>
        <v>1924</v>
      </c>
      <c r="F1924" s="9" t="s">
        <v>31</v>
      </c>
      <c r="G1924" s="21">
        <v>5</v>
      </c>
      <c r="H1924" s="21">
        <v>72</v>
      </c>
      <c r="L1924" s="9" t="s">
        <v>134</v>
      </c>
      <c r="M1924" s="21">
        <f t="shared" ref="M1924" si="1095">(G1924*C1915+(A1915-1)*H1924+H1918*(B1915-1))*-1</f>
        <v>-438</v>
      </c>
    </row>
    <row r="1925" spans="1:13">
      <c r="E1925" s="21">
        <f t="shared" ref="E1925:E1956" si="1096">ROW(E1925)</f>
        <v>1925</v>
      </c>
      <c r="F1925" s="9" t="s">
        <v>30</v>
      </c>
      <c r="M1925" s="21">
        <v>3</v>
      </c>
    </row>
    <row r="1926" spans="1:13">
      <c r="A1926" s="21">
        <f t="shared" ref="A1926:A1957" si="1097">QUOTIENT( D1926-1,G1927*H1927)+1</f>
        <v>5</v>
      </c>
      <c r="B1926" s="21">
        <f t="shared" ref="B1926" si="1098">QUOTIENT( D1926-1,G1927)+1-(A1926-1)*H1927</f>
        <v>6</v>
      </c>
      <c r="C1926" s="21">
        <f t="shared" ref="C1926" si="1099">D1926-(B1926-1)*G1927-((A1926-1)*G1927*H1927)</f>
        <v>1</v>
      </c>
      <c r="D1926" s="21">
        <f>COUNT($D$11:$D1925)+1</f>
        <v>175</v>
      </c>
    </row>
    <row r="1927" spans="1:13">
      <c r="E1927" s="21">
        <f t="shared" ref="E1927:E1990" si="1100">ROW(E1927)</f>
        <v>1927</v>
      </c>
      <c r="F1927" s="9" t="s">
        <v>93</v>
      </c>
      <c r="G1927" s="21">
        <v>6</v>
      </c>
      <c r="H1927" s="21">
        <v>6</v>
      </c>
      <c r="I1927" s="21">
        <v>5</v>
      </c>
      <c r="J1927" s="9" t="s">
        <v>252</v>
      </c>
      <c r="M1927" s="21">
        <f t="shared" ref="M1927:M1990" si="1101">J1927+D1926</f>
        <v>20775</v>
      </c>
    </row>
    <row r="1928" spans="1:13">
      <c r="E1928" s="21">
        <f t="shared" si="1100"/>
        <v>1928</v>
      </c>
      <c r="F1928" s="9" t="s">
        <v>142</v>
      </c>
      <c r="M1928" s="21">
        <v>199107</v>
      </c>
    </row>
    <row r="1929" spans="1:13">
      <c r="E1929" s="21">
        <f t="shared" si="1100"/>
        <v>1929</v>
      </c>
      <c r="F1929" s="9" t="s">
        <v>126</v>
      </c>
      <c r="G1929" s="21">
        <v>5</v>
      </c>
      <c r="H1929" s="21">
        <v>30</v>
      </c>
      <c r="M1929" s="21">
        <f t="shared" ref="M1929" si="1102">(MOD(D1926-1,G1927*H1927)+1)*G1929+H1929*(B1926-1)</f>
        <v>305</v>
      </c>
    </row>
    <row r="1930" spans="1:13">
      <c r="E1930" s="21">
        <f t="shared" si="1100"/>
        <v>1930</v>
      </c>
      <c r="F1930" s="9" t="s">
        <v>29</v>
      </c>
      <c r="M1930" s="21" t="s">
        <v>246</v>
      </c>
    </row>
    <row r="1931" spans="1:13">
      <c r="E1931" s="21">
        <f t="shared" si="1100"/>
        <v>1931</v>
      </c>
      <c r="F1931" s="9" t="s">
        <v>118</v>
      </c>
      <c r="M1931" s="21" t="s">
        <v>248</v>
      </c>
    </row>
    <row r="1932" spans="1:13">
      <c r="E1932" s="21">
        <f t="shared" si="1100"/>
        <v>1932</v>
      </c>
      <c r="F1932" s="9" t="s">
        <v>98</v>
      </c>
      <c r="K1932" s="9" t="s">
        <v>137</v>
      </c>
      <c r="M1932" s="21">
        <v>2</v>
      </c>
    </row>
    <row r="1933" spans="1:13">
      <c r="E1933" s="21">
        <f t="shared" si="1100"/>
        <v>1933</v>
      </c>
      <c r="F1933" s="9" t="s">
        <v>175</v>
      </c>
      <c r="K1933" s="9" t="s">
        <v>136</v>
      </c>
      <c r="M1933" s="21" t="s">
        <v>250</v>
      </c>
    </row>
    <row r="1934" spans="1:13">
      <c r="E1934" s="21">
        <f t="shared" si="1100"/>
        <v>1934</v>
      </c>
      <c r="F1934" s="9" t="s">
        <v>113</v>
      </c>
      <c r="L1934" s="9" t="s">
        <v>134</v>
      </c>
      <c r="M1934" s="21">
        <v>-90</v>
      </c>
    </row>
    <row r="1935" spans="1:13">
      <c r="E1935" s="21">
        <f t="shared" si="1100"/>
        <v>1935</v>
      </c>
      <c r="F1935" s="9" t="s">
        <v>31</v>
      </c>
      <c r="G1935" s="21">
        <v>5</v>
      </c>
      <c r="H1935" s="21">
        <v>72</v>
      </c>
      <c r="L1935" s="9" t="s">
        <v>134</v>
      </c>
      <c r="M1935" s="21">
        <f t="shared" ref="M1935" si="1103">(G1935*C1926+(A1926-1)*H1935+H1929*(B1926-1))*-1</f>
        <v>-443</v>
      </c>
    </row>
    <row r="1936" spans="1:13">
      <c r="E1936" s="21">
        <f t="shared" si="1100"/>
        <v>1936</v>
      </c>
      <c r="F1936" s="9" t="s">
        <v>30</v>
      </c>
      <c r="M1936" s="21">
        <v>3</v>
      </c>
    </row>
    <row r="1937" spans="1:13">
      <c r="A1937" s="21">
        <f t="shared" ref="A1937:A1968" si="1104">QUOTIENT( D1937-1,G1938*H1938)+1</f>
        <v>5</v>
      </c>
      <c r="B1937" s="21">
        <f t="shared" ref="B1937" si="1105">QUOTIENT( D1937-1,G1938)+1-(A1937-1)*H1938</f>
        <v>6</v>
      </c>
      <c r="C1937" s="21">
        <f t="shared" ref="C1937" si="1106">D1937-(B1937-1)*G1938-((A1937-1)*G1938*H1938)</f>
        <v>2</v>
      </c>
      <c r="D1937" s="21">
        <f>COUNT($D$11:$D1936)+1</f>
        <v>176</v>
      </c>
    </row>
    <row r="1938" spans="1:13">
      <c r="E1938" s="21">
        <f t="shared" si="1100"/>
        <v>1938</v>
      </c>
      <c r="F1938" s="9" t="s">
        <v>93</v>
      </c>
      <c r="G1938" s="21">
        <v>6</v>
      </c>
      <c r="H1938" s="21">
        <v>6</v>
      </c>
      <c r="I1938" s="21">
        <v>5</v>
      </c>
      <c r="J1938" s="9" t="s">
        <v>252</v>
      </c>
      <c r="M1938" s="21">
        <f t="shared" ref="M1938:M1991" si="1107">J1938+D1937</f>
        <v>20776</v>
      </c>
    </row>
    <row r="1939" spans="1:13">
      <c r="E1939" s="21">
        <f t="shared" si="1100"/>
        <v>1939</v>
      </c>
      <c r="F1939" s="9" t="s">
        <v>142</v>
      </c>
      <c r="M1939" s="21">
        <v>199107</v>
      </c>
    </row>
    <row r="1940" spans="1:13">
      <c r="E1940" s="21">
        <f t="shared" si="1100"/>
        <v>1940</v>
      </c>
      <c r="F1940" s="9" t="s">
        <v>126</v>
      </c>
      <c r="G1940" s="21">
        <v>5</v>
      </c>
      <c r="H1940" s="21">
        <v>30</v>
      </c>
      <c r="M1940" s="21">
        <f t="shared" ref="M1940" si="1108">(MOD(D1937-1,G1938*H1938)+1)*G1940+H1940*(B1937-1)</f>
        <v>310</v>
      </c>
    </row>
    <row r="1941" spans="1:13">
      <c r="E1941" s="21">
        <f t="shared" si="1100"/>
        <v>1941</v>
      </c>
      <c r="F1941" s="9" t="s">
        <v>29</v>
      </c>
      <c r="M1941" s="21" t="s">
        <v>246</v>
      </c>
    </row>
    <row r="1942" spans="1:13">
      <c r="E1942" s="21">
        <f t="shared" si="1100"/>
        <v>1942</v>
      </c>
      <c r="F1942" s="9" t="s">
        <v>118</v>
      </c>
      <c r="M1942" s="21" t="s">
        <v>248</v>
      </c>
    </row>
    <row r="1943" spans="1:13">
      <c r="E1943" s="21">
        <f t="shared" si="1100"/>
        <v>1943</v>
      </c>
      <c r="F1943" s="9" t="s">
        <v>98</v>
      </c>
      <c r="K1943" s="9" t="s">
        <v>137</v>
      </c>
      <c r="M1943" s="21">
        <v>2</v>
      </c>
    </row>
    <row r="1944" spans="1:13">
      <c r="E1944" s="21">
        <f t="shared" si="1100"/>
        <v>1944</v>
      </c>
      <c r="F1944" s="9" t="s">
        <v>175</v>
      </c>
      <c r="K1944" s="9" t="s">
        <v>136</v>
      </c>
      <c r="M1944" s="21" t="s">
        <v>250</v>
      </c>
    </row>
    <row r="1945" spans="1:13">
      <c r="E1945" s="21">
        <f t="shared" si="1100"/>
        <v>1945</v>
      </c>
      <c r="F1945" s="9" t="s">
        <v>113</v>
      </c>
      <c r="L1945" s="9" t="s">
        <v>134</v>
      </c>
      <c r="M1945" s="21">
        <v>-90</v>
      </c>
    </row>
    <row r="1946" spans="1:13">
      <c r="E1946" s="21">
        <f t="shared" si="1100"/>
        <v>1946</v>
      </c>
      <c r="F1946" s="9" t="s">
        <v>31</v>
      </c>
      <c r="G1946" s="21">
        <v>5</v>
      </c>
      <c r="H1946" s="21">
        <v>72</v>
      </c>
      <c r="L1946" s="9" t="s">
        <v>134</v>
      </c>
      <c r="M1946" s="21">
        <f t="shared" ref="M1946" si="1109">(G1946*C1937+(A1937-1)*H1946+H1940*(B1937-1))*-1</f>
        <v>-448</v>
      </c>
    </row>
    <row r="1947" spans="1:13">
      <c r="E1947" s="21">
        <f t="shared" si="1100"/>
        <v>1947</v>
      </c>
      <c r="F1947" s="9" t="s">
        <v>30</v>
      </c>
      <c r="M1947" s="21">
        <v>3</v>
      </c>
    </row>
    <row r="1948" spans="1:13">
      <c r="A1948" s="21">
        <f t="shared" ref="A1948:A1991" si="1110">QUOTIENT( D1948-1,G1949*H1949)+1</f>
        <v>5</v>
      </c>
      <c r="B1948" s="21">
        <f t="shared" ref="B1948" si="1111">QUOTIENT( D1948-1,G1949)+1-(A1948-1)*H1949</f>
        <v>6</v>
      </c>
      <c r="C1948" s="21">
        <f t="shared" ref="C1948" si="1112">D1948-(B1948-1)*G1949-((A1948-1)*G1949*H1949)</f>
        <v>3</v>
      </c>
      <c r="D1948" s="21">
        <f>COUNT($D$11:$D1947)+1</f>
        <v>177</v>
      </c>
    </row>
    <row r="1949" spans="1:13">
      <c r="E1949" s="21">
        <f t="shared" si="1100"/>
        <v>1949</v>
      </c>
      <c r="F1949" s="9" t="s">
        <v>93</v>
      </c>
      <c r="G1949" s="21">
        <v>6</v>
      </c>
      <c r="H1949" s="21">
        <v>6</v>
      </c>
      <c r="I1949" s="21">
        <v>5</v>
      </c>
      <c r="J1949" s="9" t="s">
        <v>252</v>
      </c>
      <c r="M1949" s="21">
        <f t="shared" ref="M1949:M1991" si="1113">J1949+D1948</f>
        <v>20777</v>
      </c>
    </row>
    <row r="1950" spans="1:13">
      <c r="E1950" s="21">
        <f t="shared" si="1100"/>
        <v>1950</v>
      </c>
      <c r="F1950" s="9" t="s">
        <v>142</v>
      </c>
      <c r="M1950" s="21">
        <v>199107</v>
      </c>
    </row>
    <row r="1951" spans="1:13">
      <c r="E1951" s="21">
        <f t="shared" si="1100"/>
        <v>1951</v>
      </c>
      <c r="F1951" s="9" t="s">
        <v>126</v>
      </c>
      <c r="G1951" s="21">
        <v>5</v>
      </c>
      <c r="H1951" s="21">
        <v>30</v>
      </c>
      <c r="M1951" s="21">
        <f t="shared" ref="M1951" si="1114">(MOD(D1948-1,G1949*H1949)+1)*G1951+H1951*(B1948-1)</f>
        <v>315</v>
      </c>
    </row>
    <row r="1952" spans="1:13">
      <c r="E1952" s="21">
        <f t="shared" si="1100"/>
        <v>1952</v>
      </c>
      <c r="F1952" s="9" t="s">
        <v>29</v>
      </c>
      <c r="M1952" s="21" t="s">
        <v>246</v>
      </c>
    </row>
    <row r="1953" spans="1:13">
      <c r="E1953" s="21">
        <f t="shared" si="1100"/>
        <v>1953</v>
      </c>
      <c r="F1953" s="9" t="s">
        <v>118</v>
      </c>
      <c r="M1953" s="21" t="s">
        <v>248</v>
      </c>
    </row>
    <row r="1954" spans="1:13">
      <c r="E1954" s="21">
        <f t="shared" si="1100"/>
        <v>1954</v>
      </c>
      <c r="F1954" s="9" t="s">
        <v>98</v>
      </c>
      <c r="K1954" s="9" t="s">
        <v>137</v>
      </c>
      <c r="M1954" s="21">
        <v>2</v>
      </c>
    </row>
    <row r="1955" spans="1:13">
      <c r="E1955" s="21">
        <f t="shared" si="1100"/>
        <v>1955</v>
      </c>
      <c r="F1955" s="9" t="s">
        <v>175</v>
      </c>
      <c r="K1955" s="9" t="s">
        <v>136</v>
      </c>
      <c r="M1955" s="21" t="s">
        <v>250</v>
      </c>
    </row>
    <row r="1956" spans="1:13">
      <c r="E1956" s="21">
        <f t="shared" si="1100"/>
        <v>1956</v>
      </c>
      <c r="F1956" s="9" t="s">
        <v>113</v>
      </c>
      <c r="L1956" s="9" t="s">
        <v>134</v>
      </c>
      <c r="M1956" s="21">
        <v>-90</v>
      </c>
    </row>
    <row r="1957" spans="1:13">
      <c r="E1957" s="21">
        <f t="shared" si="1100"/>
        <v>1957</v>
      </c>
      <c r="F1957" s="9" t="s">
        <v>31</v>
      </c>
      <c r="G1957" s="21">
        <v>5</v>
      </c>
      <c r="H1957" s="21">
        <v>72</v>
      </c>
      <c r="L1957" s="9" t="s">
        <v>134</v>
      </c>
      <c r="M1957" s="21">
        <f t="shared" ref="M1957" si="1115">(G1957*C1948+(A1948-1)*H1957+H1951*(B1948-1))*-1</f>
        <v>-453</v>
      </c>
    </row>
    <row r="1958" spans="1:13">
      <c r="E1958" s="21">
        <f t="shared" si="1100"/>
        <v>1958</v>
      </c>
      <c r="F1958" s="9" t="s">
        <v>30</v>
      </c>
      <c r="M1958" s="21">
        <v>3</v>
      </c>
    </row>
    <row r="1959" spans="1:13">
      <c r="A1959" s="21">
        <f t="shared" ref="A1959:A1991" si="1116">QUOTIENT( D1959-1,G1960*H1960)+1</f>
        <v>5</v>
      </c>
      <c r="B1959" s="21">
        <f t="shared" ref="B1959" si="1117">QUOTIENT( D1959-1,G1960)+1-(A1959-1)*H1960</f>
        <v>6</v>
      </c>
      <c r="C1959" s="21">
        <f t="shared" ref="C1959" si="1118">D1959-(B1959-1)*G1960-((A1959-1)*G1960*H1960)</f>
        <v>4</v>
      </c>
      <c r="D1959" s="21">
        <f>COUNT($D$11:$D1958)+1</f>
        <v>178</v>
      </c>
    </row>
    <row r="1960" spans="1:13">
      <c r="E1960" s="21">
        <f t="shared" si="1100"/>
        <v>1960</v>
      </c>
      <c r="F1960" s="9" t="s">
        <v>93</v>
      </c>
      <c r="G1960" s="21">
        <v>6</v>
      </c>
      <c r="H1960" s="21">
        <v>6</v>
      </c>
      <c r="I1960" s="21">
        <v>5</v>
      </c>
      <c r="J1960" s="9" t="s">
        <v>252</v>
      </c>
      <c r="M1960" s="21">
        <f t="shared" ref="M1960:M1991" si="1119">J1960+D1959</f>
        <v>20778</v>
      </c>
    </row>
    <row r="1961" spans="1:13">
      <c r="E1961" s="21">
        <f t="shared" si="1100"/>
        <v>1961</v>
      </c>
      <c r="F1961" s="9" t="s">
        <v>142</v>
      </c>
      <c r="M1961" s="21">
        <v>199107</v>
      </c>
    </row>
    <row r="1962" spans="1:13">
      <c r="E1962" s="21">
        <f t="shared" si="1100"/>
        <v>1962</v>
      </c>
      <c r="F1962" s="9" t="s">
        <v>126</v>
      </c>
      <c r="G1962" s="21">
        <v>5</v>
      </c>
      <c r="H1962" s="21">
        <v>30</v>
      </c>
      <c r="M1962" s="21">
        <f t="shared" ref="M1962" si="1120">(MOD(D1959-1,G1960*H1960)+1)*G1962+H1962*(B1959-1)</f>
        <v>320</v>
      </c>
    </row>
    <row r="1963" spans="1:13">
      <c r="E1963" s="21">
        <f t="shared" si="1100"/>
        <v>1963</v>
      </c>
      <c r="F1963" s="9" t="s">
        <v>29</v>
      </c>
      <c r="M1963" s="21" t="s">
        <v>246</v>
      </c>
    </row>
    <row r="1964" spans="1:13">
      <c r="E1964" s="21">
        <f t="shared" si="1100"/>
        <v>1964</v>
      </c>
      <c r="F1964" s="9" t="s">
        <v>118</v>
      </c>
      <c r="M1964" s="21" t="s">
        <v>248</v>
      </c>
    </row>
    <row r="1965" spans="1:13">
      <c r="E1965" s="21">
        <f t="shared" si="1100"/>
        <v>1965</v>
      </c>
      <c r="F1965" s="9" t="s">
        <v>98</v>
      </c>
      <c r="K1965" s="9" t="s">
        <v>137</v>
      </c>
      <c r="M1965" s="21">
        <v>2</v>
      </c>
    </row>
    <row r="1966" spans="1:13">
      <c r="E1966" s="21">
        <f t="shared" si="1100"/>
        <v>1966</v>
      </c>
      <c r="F1966" s="9" t="s">
        <v>175</v>
      </c>
      <c r="K1966" s="9" t="s">
        <v>136</v>
      </c>
      <c r="M1966" s="21" t="s">
        <v>250</v>
      </c>
    </row>
    <row r="1967" spans="1:13">
      <c r="E1967" s="21">
        <f t="shared" si="1100"/>
        <v>1967</v>
      </c>
      <c r="F1967" s="9" t="s">
        <v>113</v>
      </c>
      <c r="L1967" s="9" t="s">
        <v>134</v>
      </c>
      <c r="M1967" s="21">
        <v>-90</v>
      </c>
    </row>
    <row r="1968" spans="1:13">
      <c r="E1968" s="21">
        <f t="shared" si="1100"/>
        <v>1968</v>
      </c>
      <c r="F1968" s="9" t="s">
        <v>31</v>
      </c>
      <c r="G1968" s="21">
        <v>5</v>
      </c>
      <c r="H1968" s="21">
        <v>72</v>
      </c>
      <c r="L1968" s="9" t="s">
        <v>134</v>
      </c>
      <c r="M1968" s="21">
        <f t="shared" ref="M1968" si="1121">(G1968*C1959+(A1959-1)*H1968+H1962*(B1959-1))*-1</f>
        <v>-458</v>
      </c>
    </row>
    <row r="1969" spans="1:13">
      <c r="E1969" s="21">
        <f t="shared" si="1100"/>
        <v>1969</v>
      </c>
      <c r="F1969" s="9" t="s">
        <v>30</v>
      </c>
      <c r="M1969" s="21">
        <v>3</v>
      </c>
    </row>
    <row r="1970" spans="1:13">
      <c r="A1970" s="21">
        <f t="shared" ref="A1970:A1991" si="1122">QUOTIENT( D1970-1,G1971*H1971)+1</f>
        <v>5</v>
      </c>
      <c r="B1970" s="21">
        <f t="shared" ref="B1970" si="1123">QUOTIENT( D1970-1,G1971)+1-(A1970-1)*H1971</f>
        <v>6</v>
      </c>
      <c r="C1970" s="21">
        <f t="shared" ref="C1970" si="1124">D1970-(B1970-1)*G1971-((A1970-1)*G1971*H1971)</f>
        <v>5</v>
      </c>
      <c r="D1970" s="21">
        <f>COUNT($D$11:$D1969)+1</f>
        <v>179</v>
      </c>
    </row>
    <row r="1971" spans="1:13">
      <c r="E1971" s="21">
        <f t="shared" si="1100"/>
        <v>1971</v>
      </c>
      <c r="F1971" s="9" t="s">
        <v>93</v>
      </c>
      <c r="G1971" s="21">
        <v>6</v>
      </c>
      <c r="H1971" s="21">
        <v>6</v>
      </c>
      <c r="I1971" s="21">
        <v>5</v>
      </c>
      <c r="J1971" s="9" t="s">
        <v>252</v>
      </c>
      <c r="M1971" s="21">
        <f t="shared" ref="M1971:M1991" si="1125">J1971+D1970</f>
        <v>20779</v>
      </c>
    </row>
    <row r="1972" spans="1:13">
      <c r="E1972" s="21">
        <f t="shared" si="1100"/>
        <v>1972</v>
      </c>
      <c r="F1972" s="9" t="s">
        <v>142</v>
      </c>
      <c r="M1972" s="21">
        <v>199107</v>
      </c>
    </row>
    <row r="1973" spans="1:13">
      <c r="E1973" s="21">
        <f t="shared" si="1100"/>
        <v>1973</v>
      </c>
      <c r="F1973" s="9" t="s">
        <v>126</v>
      </c>
      <c r="G1973" s="21">
        <v>5</v>
      </c>
      <c r="H1973" s="21">
        <v>30</v>
      </c>
      <c r="M1973" s="21">
        <f t="shared" ref="M1973" si="1126">(MOD(D1970-1,G1971*H1971)+1)*G1973+H1973*(B1970-1)</f>
        <v>325</v>
      </c>
    </row>
    <row r="1974" spans="1:13">
      <c r="E1974" s="21">
        <f t="shared" si="1100"/>
        <v>1974</v>
      </c>
      <c r="F1974" s="9" t="s">
        <v>29</v>
      </c>
      <c r="M1974" s="21" t="s">
        <v>246</v>
      </c>
    </row>
    <row r="1975" spans="1:13">
      <c r="E1975" s="21">
        <f t="shared" si="1100"/>
        <v>1975</v>
      </c>
      <c r="F1975" s="9" t="s">
        <v>118</v>
      </c>
      <c r="M1975" s="21" t="s">
        <v>248</v>
      </c>
    </row>
    <row r="1976" spans="1:13">
      <c r="E1976" s="21">
        <f t="shared" si="1100"/>
        <v>1976</v>
      </c>
      <c r="F1976" s="9" t="s">
        <v>98</v>
      </c>
      <c r="K1976" s="9" t="s">
        <v>137</v>
      </c>
      <c r="M1976" s="21">
        <v>2</v>
      </c>
    </row>
    <row r="1977" spans="1:13">
      <c r="E1977" s="21">
        <f t="shared" si="1100"/>
        <v>1977</v>
      </c>
      <c r="F1977" s="9" t="s">
        <v>175</v>
      </c>
      <c r="K1977" s="9" t="s">
        <v>136</v>
      </c>
      <c r="M1977" s="21" t="s">
        <v>250</v>
      </c>
    </row>
    <row r="1978" spans="1:13">
      <c r="E1978" s="21">
        <f t="shared" si="1100"/>
        <v>1978</v>
      </c>
      <c r="F1978" s="9" t="s">
        <v>113</v>
      </c>
      <c r="L1978" s="9" t="s">
        <v>134</v>
      </c>
      <c r="M1978" s="21">
        <v>-90</v>
      </c>
    </row>
    <row r="1979" spans="1:13">
      <c r="E1979" s="21">
        <f t="shared" si="1100"/>
        <v>1979</v>
      </c>
      <c r="F1979" s="9" t="s">
        <v>31</v>
      </c>
      <c r="G1979" s="21">
        <v>5</v>
      </c>
      <c r="H1979" s="21">
        <v>72</v>
      </c>
      <c r="L1979" s="9" t="s">
        <v>134</v>
      </c>
      <c r="M1979" s="21">
        <f t="shared" ref="M1979" si="1127">(G1979*C1970+(A1970-1)*H1979+H1973*(B1970-1))*-1</f>
        <v>-463</v>
      </c>
    </row>
    <row r="1980" spans="1:13">
      <c r="E1980" s="21">
        <f t="shared" si="1100"/>
        <v>1980</v>
      </c>
      <c r="F1980" s="9" t="s">
        <v>30</v>
      </c>
      <c r="M1980" s="21">
        <v>3</v>
      </c>
    </row>
    <row r="1981" spans="1:13">
      <c r="A1981" s="21">
        <f t="shared" ref="A1981:A1991" si="1128">QUOTIENT( D1981-1,G1982*H1982)+1</f>
        <v>5</v>
      </c>
      <c r="B1981" s="21">
        <f t="shared" ref="B1981" si="1129">QUOTIENT( D1981-1,G1982)+1-(A1981-1)*H1982</f>
        <v>6</v>
      </c>
      <c r="C1981" s="21">
        <f t="shared" ref="C1981" si="1130">D1981-(B1981-1)*G1982-((A1981-1)*G1982*H1982)</f>
        <v>6</v>
      </c>
      <c r="D1981" s="21">
        <f>COUNT($D$11:$D1980)+1</f>
        <v>180</v>
      </c>
    </row>
    <row r="1982" spans="1:13">
      <c r="E1982" s="21">
        <f t="shared" si="1100"/>
        <v>1982</v>
      </c>
      <c r="F1982" s="9" t="s">
        <v>93</v>
      </c>
      <c r="G1982" s="21">
        <v>6</v>
      </c>
      <c r="H1982" s="21">
        <v>6</v>
      </c>
      <c r="I1982" s="21">
        <v>5</v>
      </c>
      <c r="J1982" s="9" t="s">
        <v>252</v>
      </c>
      <c r="M1982" s="21">
        <f t="shared" ref="M1982:M1991" si="1131">J1982+D1981</f>
        <v>20780</v>
      </c>
    </row>
    <row r="1983" spans="1:13">
      <c r="E1983" s="21">
        <f t="shared" si="1100"/>
        <v>1983</v>
      </c>
      <c r="F1983" s="9" t="s">
        <v>142</v>
      </c>
      <c r="M1983" s="21">
        <v>199107</v>
      </c>
    </row>
    <row r="1984" spans="1:13">
      <c r="E1984" s="21">
        <f t="shared" si="1100"/>
        <v>1984</v>
      </c>
      <c r="F1984" s="9" t="s">
        <v>126</v>
      </c>
      <c r="G1984" s="21">
        <v>5</v>
      </c>
      <c r="H1984" s="21">
        <v>30</v>
      </c>
      <c r="M1984" s="21">
        <f t="shared" ref="M1984" si="1132">(MOD(D1981-1,G1982*H1982)+1)*G1984+H1984*(B1981-1)</f>
        <v>330</v>
      </c>
    </row>
    <row r="1985" spans="5:13">
      <c r="E1985" s="21">
        <f t="shared" si="1100"/>
        <v>1985</v>
      </c>
      <c r="F1985" s="9" t="s">
        <v>29</v>
      </c>
      <c r="M1985" s="21" t="s">
        <v>246</v>
      </c>
    </row>
    <row r="1986" spans="5:13">
      <c r="E1986" s="21">
        <f t="shared" si="1100"/>
        <v>1986</v>
      </c>
      <c r="F1986" s="9" t="s">
        <v>118</v>
      </c>
      <c r="M1986" s="21" t="s">
        <v>248</v>
      </c>
    </row>
    <row r="1987" spans="5:13">
      <c r="E1987" s="21">
        <f t="shared" si="1100"/>
        <v>1987</v>
      </c>
      <c r="F1987" s="9" t="s">
        <v>98</v>
      </c>
      <c r="K1987" s="9" t="s">
        <v>137</v>
      </c>
      <c r="M1987" s="21">
        <v>2</v>
      </c>
    </row>
    <row r="1988" spans="5:13">
      <c r="E1988" s="21">
        <f t="shared" si="1100"/>
        <v>1988</v>
      </c>
      <c r="F1988" s="9" t="s">
        <v>175</v>
      </c>
      <c r="K1988" s="9" t="s">
        <v>136</v>
      </c>
      <c r="M1988" s="21" t="s">
        <v>250</v>
      </c>
    </row>
    <row r="1989" spans="5:13">
      <c r="E1989" s="21">
        <f t="shared" si="1100"/>
        <v>1989</v>
      </c>
      <c r="F1989" s="9" t="s">
        <v>113</v>
      </c>
      <c r="L1989" s="9" t="s">
        <v>134</v>
      </c>
      <c r="M1989" s="21">
        <v>-90</v>
      </c>
    </row>
    <row r="1990" spans="5:13">
      <c r="E1990" s="21">
        <f t="shared" si="1100"/>
        <v>1990</v>
      </c>
      <c r="F1990" s="9" t="s">
        <v>31</v>
      </c>
      <c r="G1990" s="21">
        <v>5</v>
      </c>
      <c r="H1990" s="21">
        <v>72</v>
      </c>
      <c r="L1990" s="9" t="s">
        <v>134</v>
      </c>
      <c r="M1990" s="21">
        <f t="shared" ref="M1990" si="1133">(G1990*C1981+(A1981-1)*H1990+H1984*(B1981-1))*-1</f>
        <v>-468</v>
      </c>
    </row>
    <row r="1991" spans="5:13">
      <c r="E1991" s="21">
        <f t="shared" ref="E1991" si="1134">ROW(E1991)</f>
        <v>1991</v>
      </c>
      <c r="F1991" s="9" t="s">
        <v>30</v>
      </c>
      <c r="M1991" s="21">
        <v>3</v>
      </c>
    </row>
  </sheetData>
  <phoneticPr fontId="2" type="noConversion"/>
  <conditionalFormatting sqref="BE1:XFD1 E1:I1">
    <cfRule type="duplicateValues" dxfId="52" priority="1912"/>
  </conditionalFormatting>
  <conditionalFormatting sqref="F1:F2">
    <cfRule type="cellIs" dxfId="51" priority="1413" operator="equal">
      <formula>"ID"</formula>
    </cfRule>
    <cfRule type="cellIs" dxfId="50" priority="1828" operator="equal">
      <formula>"行動序號"</formula>
    </cfRule>
  </conditionalFormatting>
  <conditionalFormatting sqref="J1">
    <cfRule type="duplicateValues" dxfId="49" priority="1411"/>
  </conditionalFormatting>
  <conditionalFormatting sqref="K1:L1">
    <cfRule type="duplicateValues" dxfId="48" priority="1408"/>
  </conditionalFormatting>
  <conditionalFormatting sqref="M1:M13 M15:M1048576">
    <cfRule type="expression" dxfId="47" priority="1023">
      <formula>_xlfn.ISFORMULA(M1)</formula>
    </cfRule>
  </conditionalFormatting>
  <conditionalFormatting sqref="N1:BD1">
    <cfRule type="duplicateValues" dxfId="46" priority="1928"/>
  </conditionalFormatting>
  <conditionalFormatting sqref="F1:F1048576">
    <cfRule type="cellIs" dxfId="45" priority="126" operator="equal">
      <formula>"ID"</formula>
    </cfRule>
    <cfRule type="cellIs" dxfId="44" priority="127" operator="equal">
      <formula>"行動ID"</formula>
    </cfRule>
  </conditionalFormatting>
  <conditionalFormatting sqref="M1:M13 M15:M1048576">
    <cfRule type="expression" dxfId="43" priority="87">
      <formula>AND(_xlfn.ISFORMULA(M1),OR($F1="行動ID", $F1="ID"))</formula>
    </cfRule>
    <cfRule type="expression" dxfId="42" priority="89">
      <formula>OR($F1="行動ID", $F1="ID")</formula>
    </cfRule>
  </conditionalFormatting>
  <conditionalFormatting sqref="M14">
    <cfRule type="expression" dxfId="41" priority="16">
      <formula>AND(_xlfn.ISFORMULA(M14),OR($F14="行動ID", $F14="ID"))</formula>
    </cfRule>
    <cfRule type="expression" dxfId="40" priority="18">
      <formula>OR($F14="行動ID", $F14="ID")</formula>
    </cfRule>
  </conditionalFormatting>
  <conditionalFormatting sqref="M14">
    <cfRule type="expression" dxfId="39" priority="17">
      <formula>_xlfn.ISFORMULA(M14)</formula>
    </cfRule>
  </conditionalFormatting>
  <dataValidations count="1">
    <dataValidation type="list" allowBlank="1" showInputMessage="1" showErrorMessage="1" sqref="L5 L7 L1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227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228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234</v>
      </c>
      <c r="C50" s="7" t="s">
        <v>235</v>
      </c>
      <c r="E50" t="str">
        <f t="shared" si="0"/>
        <v>記錄位置,</v>
      </c>
      <c r="H50"/>
    </row>
    <row r="51" spans="1:8">
      <c r="A51" s="7" t="s">
        <v>27</v>
      </c>
      <c r="B51" s="7" t="s">
        <v>236</v>
      </c>
      <c r="C51" s="7" t="s">
        <v>237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229</v>
      </c>
      <c r="C61" s="7" t="s">
        <v>230</v>
      </c>
      <c r="E61" t="str">
        <f t="shared" si="0"/>
        <v>子旋轉角度,</v>
      </c>
      <c r="H61"/>
    </row>
    <row r="62" spans="1:8">
      <c r="A62" s="7" t="s">
        <v>27</v>
      </c>
      <c r="B62" s="24" t="s">
        <v>231</v>
      </c>
      <c r="C62" s="7" t="s">
        <v>232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238</v>
      </c>
      <c r="C63" s="7" t="s">
        <v>239</v>
      </c>
      <c r="E63" t="str">
        <f t="shared" si="0"/>
        <v>記錄角度,</v>
      </c>
      <c r="H63"/>
    </row>
    <row r="64" spans="1:8">
      <c r="A64" s="7" t="s">
        <v>27</v>
      </c>
      <c r="B64" s="7" t="s">
        <v>241</v>
      </c>
      <c r="C64" s="7" t="s">
        <v>240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242</v>
      </c>
      <c r="C116" s="7" t="s">
        <v>24</v>
      </c>
      <c r="H116"/>
    </row>
    <row r="117" spans="1:12">
      <c r="A117" s="7" t="s">
        <v>140</v>
      </c>
      <c r="B117" s="7" t="s">
        <v>244</v>
      </c>
      <c r="C117" s="7" t="s">
        <v>245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242</v>
      </c>
      <c r="D7" s="19"/>
      <c r="G7" s="9"/>
    </row>
    <row r="8" spans="1:10">
      <c r="A8" s="19" t="s">
        <v>145</v>
      </c>
      <c r="B8" s="23"/>
      <c r="C8" s="7" t="s">
        <v>244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227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238</v>
      </c>
      <c r="C50"/>
      <c r="G50" s="9"/>
    </row>
    <row r="51" spans="1:8">
      <c r="A51" s="24" t="s">
        <v>243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233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229</v>
      </c>
      <c r="G61" s="9"/>
    </row>
    <row r="62" spans="1:8">
      <c r="A62" s="24" t="s">
        <v>231</v>
      </c>
      <c r="G62" s="9"/>
    </row>
    <row r="63" spans="1:8">
      <c r="A63" s="24" t="s">
        <v>238</v>
      </c>
      <c r="G63" s="9"/>
    </row>
    <row r="64" spans="1:8">
      <c r="A64" s="24" t="s">
        <v>241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stage7_card13shot4_2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2025-04-29T08:15:23Z</dcterms:modified>
</cp:coreProperties>
</file>