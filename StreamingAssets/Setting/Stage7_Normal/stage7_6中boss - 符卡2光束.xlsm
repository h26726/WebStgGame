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278B1E04-4A9E-4B00-AE82-26D9695FB9D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2light" sheetId="1" r:id="rId1"/>
    <sheet name="#ALIAS" sheetId="104" r:id="rId2"/>
    <sheet name="#DEFINE" sheetId="105" r:id="rId3"/>
    <sheet name="#OPTION" sheetId="106" r:id="rId4"/>
    <sheet name="#PARAM" sheetId="107" r:id="rId5"/>
    <sheet name="#OUTPUT" sheetId="108" r:id="rId6"/>
    <sheet name="#使用說明" sheetId="109" r:id="rId7"/>
  </sheets>
  <functionGroups builtInGroupCount="19"/>
  <externalReferences>
    <externalReference r:id="rId8"/>
  </externalReferences>
  <definedNames>
    <definedName name="_xlnm._FilterDatabase" localSheetId="0" hidden="1">stage7_card2light!$D$1:$D$25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105" l="1"/>
  <c r="E94" i="105"/>
  <c r="E93" i="105"/>
  <c r="E92" i="105"/>
  <c r="E91" i="105"/>
  <c r="E88" i="105"/>
  <c r="E87" i="105"/>
  <c r="E86" i="105"/>
  <c r="E85" i="105"/>
  <c r="E84" i="105"/>
  <c r="E83" i="105"/>
  <c r="E80" i="105"/>
  <c r="E79" i="105"/>
  <c r="E78" i="105"/>
  <c r="E77" i="105"/>
  <c r="E76" i="105"/>
  <c r="E75" i="105"/>
  <c r="E74" i="105"/>
  <c r="E73" i="105"/>
  <c r="E70" i="105"/>
  <c r="E69" i="105"/>
  <c r="E68" i="105"/>
  <c r="E67" i="105"/>
  <c r="E64" i="105"/>
  <c r="E63" i="105"/>
  <c r="E62" i="105"/>
  <c r="E61" i="105"/>
  <c r="E60" i="105"/>
  <c r="E59" i="105"/>
  <c r="E58" i="105"/>
  <c r="E57" i="105"/>
  <c r="E56" i="105"/>
  <c r="E55" i="105"/>
  <c r="E54" i="105"/>
  <c r="E51" i="105"/>
  <c r="E50" i="105"/>
  <c r="E49" i="105"/>
  <c r="E48" i="105"/>
  <c r="E47" i="105"/>
  <c r="E46" i="105"/>
  <c r="E43" i="105"/>
  <c r="E42" i="105"/>
  <c r="E41" i="105"/>
  <c r="E40" i="105"/>
  <c r="E37" i="105"/>
  <c r="E36" i="105"/>
  <c r="E35" i="105"/>
  <c r="E34" i="105"/>
  <c r="E33" i="105"/>
  <c r="E32" i="105"/>
  <c r="E31" i="105"/>
  <c r="E30" i="105"/>
  <c r="E27" i="105"/>
  <c r="E26" i="105"/>
  <c r="E25" i="105"/>
  <c r="E24" i="105"/>
  <c r="E23" i="105"/>
  <c r="E22" i="105"/>
  <c r="E21" i="105"/>
  <c r="E20" i="105"/>
  <c r="E17" i="105"/>
  <c r="E16" i="105"/>
  <c r="E15" i="105"/>
  <c r="E14" i="105"/>
  <c r="E13" i="105"/>
  <c r="E12" i="105"/>
  <c r="E11" i="105"/>
  <c r="E10" i="105"/>
  <c r="E9" i="105"/>
  <c r="E8" i="105"/>
  <c r="E7" i="105"/>
  <c r="E6" i="105"/>
  <c r="E5" i="105"/>
  <c r="E4" i="105"/>
  <c r="E3" i="105"/>
  <c r="M37" i="1" l="1"/>
  <c r="M36" i="1"/>
  <c r="M39" i="1" s="1"/>
  <c r="M33" i="1"/>
  <c r="M32" i="1"/>
  <c r="E66" i="1" l="1"/>
  <c r="M76" i="1" l="1"/>
  <c r="M75" i="1"/>
  <c r="M78" i="1" s="1"/>
  <c r="E80" i="1"/>
  <c r="E79" i="1"/>
  <c r="E78" i="1"/>
  <c r="E77" i="1"/>
  <c r="E76" i="1"/>
  <c r="E75" i="1"/>
  <c r="E74" i="1"/>
  <c r="M57" i="1"/>
  <c r="M56" i="1"/>
  <c r="M59" i="1" s="1"/>
  <c r="E72" i="1" l="1"/>
  <c r="M71" i="1"/>
  <c r="E71" i="1"/>
  <c r="M70" i="1"/>
  <c r="E70" i="1"/>
  <c r="M53" i="1"/>
  <c r="M52" i="1"/>
  <c r="E73" i="1"/>
  <c r="E69" i="1"/>
  <c r="E68" i="1"/>
  <c r="E67" i="1"/>
  <c r="E65" i="1"/>
  <c r="E64" i="1"/>
  <c r="E63" i="1"/>
</calcChain>
</file>

<file path=xl/sharedStrings.xml><?xml version="1.0" encoding="utf-8"?>
<sst xmlns="http://schemas.openxmlformats.org/spreadsheetml/2006/main" count="495" uniqueCount="253">
  <si>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</si>
  <si>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</si>
  <si>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</si>
  <si>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</si>
  <si>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</si>
  <si>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</si>
  <si>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</si>
  <si>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</si>
  <si>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</si>
  <si>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</si>
  <si>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</si>
  <si>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</si>
  <si>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</si>
  <si>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</si>
  <si>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</si>
  <si>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</si>
  <si>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</si>
  <si>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</si>
  <si>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</si>
  <si>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</si>
  <si>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</si>
  <si>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</si>
  <si>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</si>
  <si>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</si>
  <si>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</si>
  <si>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</si>
  <si>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</si>
  <si>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</si>
  <si>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</si>
  <si>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</si>
  <si>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</si>
  <si>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</si>
  <si>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</si>
  <si>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</si>
  <si>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</si>
  <si>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</si>
  <si>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</si>
  <si>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</si>
  <si>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</si>
  <si>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</si>
  <si>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</si>
  <si>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</si>
  <si>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</si>
  <si>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</si>
  <si>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</si>
  <si>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</si>
  <si>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</si>
  <si>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</si>
  <si>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</si>
  <si>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</si>
  <si>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</si>
  <si>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</si>
  <si>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</si>
  <si>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</si>
  <si>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</si>
  <si>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</si>
  <si>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</si>
  <si>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</si>
  <si>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</si>
  <si>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</si>
  <si>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</si>
  <si>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</si>
  <si>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</si>
  <si>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</si>
  <si>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</si>
  <si>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</si>
  <si>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</si>
  <si>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</si>
  <si>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</si>
  <si>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</si>
  <si>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</si>
  <si>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</si>
  <si>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</si>
  <si>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</si>
  <si>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</si>
  <si>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</si>
  <si>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</si>
  <si>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</si>
  <si>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</si>
  <si>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</si>
  <si>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</si>
  <si>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</si>
  <si>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</si>
  <si>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</si>
  <si>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</si>
  <si>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</si>
  <si>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</si>
  <si>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</si>
  <si>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</si>
  <si>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</si>
  <si>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</si>
  <si>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</si>
  <si>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</si>
  <si>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</si>
  <si>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</si>
  <si>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</si>
  <si>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</si>
  <si>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</si>
  <si>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</si>
  <si>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</si>
  <si>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</si>
  <si>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</si>
  <si>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</si>
  <si>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</si>
  <si>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</si>
  <si>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</si>
  <si>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</si>
  <si>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</si>
  <si>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</si>
  <si>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</si>
  <si>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</si>
  <si>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</si>
  <si>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</si>
  <si>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</si>
  <si>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</si>
  <si>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</si>
  <si>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</si>
  <si>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</si>
  <si>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</si>
  <si>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</si>
  <si>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</si>
  <si>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</si>
  <si>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</si>
  <si>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</si>
  <si>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</si>
  <si>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</si>
  <si>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</si>
  <si>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</si>
  <si>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</si>
  <si>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</si>
  <si>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</si>
  <si>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</si>
  <si>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</si>
  <si>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</si>
  <si>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</si>
  <si>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</si>
  <si>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</si>
  <si>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</si>
  <si>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</si>
  <si>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</si>
  <si>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</si>
  <si>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</si>
  <si>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</si>
  <si>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</si>
  <si>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</si>
  <si>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</si>
  <si>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移位置</t>
    <phoneticPr fontId="2" type="noConversion"/>
  </si>
  <si>
    <t>EnemyLight2</t>
    <phoneticPr fontId="2" type="noConversion"/>
  </si>
  <si>
    <t>0,0</t>
    <phoneticPr fontId="2" type="noConversion"/>
  </si>
  <si>
    <t>動畫</t>
    <phoneticPr fontId="2" type="noConversion"/>
  </si>
  <si>
    <t>Show</t>
    <phoneticPr fontId="2" type="noConversion"/>
  </si>
  <si>
    <t>Self = 1,
Parent = 2,
Player = 3,
Boss = 4,
Center=5,
BossHome=6,</t>
    <phoneticPr fontId="2" type="noConversion"/>
  </si>
  <si>
    <t>0,3.8</t>
    <phoneticPr fontId="2" type="noConversion"/>
  </si>
  <si>
    <t>0,-3.8</t>
    <phoneticPr fontId="2" type="noConversion"/>
  </si>
  <si>
    <t>出生動畫時間</t>
  </si>
  <si>
    <t>角度ID旋轉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</si>
  <si>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</si>
  <si>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</si>
  <si>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</si>
  <si>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</si>
  <si>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</si>
  <si>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</si>
  <si>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</si>
  <si>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</si>
  <si>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</si>
  <si>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</si>
  <si>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</si>
  <si>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</si>
  <si>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</si>
  <si>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</si>
  <si>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</si>
  <si>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</si>
  <si>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</si>
  <si>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</si>
  <si>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</si>
  <si>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</si>
  <si>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</si>
  <si>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</si>
  <si>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</si>
  <si>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</si>
  <si>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</si>
  <si>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</si>
  <si>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</si>
  <si>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</si>
  <si>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</si>
  <si>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</si>
  <si>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</si>
  <si>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</si>
  <si>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</si>
  <si>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</si>
  <si>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</si>
  <si>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</si>
  <si>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</si>
  <si>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</si>
  <si>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</si>
  <si>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</si>
  <si>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</si>
  <si>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</si>
  <si>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</si>
  <si>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</si>
  <si>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</si>
  <si>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</si>
  <si>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</si>
  <si>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</si>
  <si>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</si>
  <si>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</si>
  <si>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</si>
  <si>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</si>
  <si>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</si>
  <si>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</si>
  <si>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</si>
  <si>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</si>
  <si>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</si>
  <si>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</si>
  <si>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</si>
  <si>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</si>
  <si>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</si>
  <si>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</si>
  <si>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</si>
  <si>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</si>
  <si>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</si>
  <si>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</si>
  <si>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</si>
  <si>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</si>
  <si>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</si>
  <si>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</si>
  <si>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</si>
  <si>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</si>
  <si>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</si>
  <si>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</si>
  <si>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</si>
  <si>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</si>
  <si>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</si>
  <si>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新參照位置12</t>
  </si>
  <si>
    <t>符卡時間</t>
    <phoneticPr fontId="2" type="noConversion"/>
  </si>
  <si>
    <t>304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</si>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</sst>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" fontId="0" fillId="27" borderId="0" xfId="0" applyNumberFormat="1" applyFill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80"/>
  <sheetViews>
    <sheetView zoomScale="115" zoomScaleNormal="115" workbookViewId="0">
      <pane ySplit="1" topLeftCell="A64" activePane="bottomLeft" state="frozen"/>
      <selection pane="bottomLeft" activeCell="N1" sqref="N1:N1048576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140</v>
      </c>
      <c r="L1" s="17" t="s">
        <v>141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3:56">
      <c r="N8" s="22"/>
    </row>
    <row r="9" spans="3:56">
      <c r="N9" s="22"/>
    </row>
    <row r="10" spans="3:56">
      <c r="N10" s="22"/>
    </row>
    <row r="11" spans="3:56">
      <c r="N11" s="22"/>
    </row>
    <row r="12" spans="3:56">
      <c r="N12" s="22"/>
    </row>
    <row r="13" spans="3:56">
      <c r="N13" s="22"/>
    </row>
    <row r="14" spans="3:56">
      <c r="N14" s="22"/>
    </row>
    <row r="15" spans="3:56">
      <c r="N15" s="22"/>
    </row>
    <row r="16" spans="3:56">
      <c r="N16" s="22"/>
    </row>
    <row r="17" spans="1:14">
      <c r="N17" s="22"/>
    </row>
    <row r="18" spans="1:14">
      <c r="N18" s="22"/>
    </row>
    <row r="19" spans="1:14">
      <c r="N19" s="22"/>
    </row>
    <row r="20" spans="1:14">
      <c r="N20" s="22"/>
    </row>
    <row r="21" spans="1:14">
      <c r="N21" s="22"/>
    </row>
    <row r="22" spans="1:14">
      <c r="N22" s="22"/>
    </row>
    <row r="24" spans="1:14">
      <c r="A24" s="22"/>
      <c r="C24" s="9"/>
      <c r="D24" s="9"/>
    </row>
    <row r="25" spans="1:14">
      <c r="B25" s="22"/>
    </row>
    <row r="26" spans="1:14">
      <c r="E26" s="24"/>
      <c r="F26" s="9" t="s">
        <v>93</v>
      </c>
      <c r="G26" s="22">
        <v>1</v>
      </c>
      <c r="H26" s="22">
        <v>1</v>
      </c>
      <c r="M26" s="22">
        <v>12300</v>
      </c>
      <c r="N26" s="22"/>
    </row>
    <row r="27" spans="1:14">
      <c r="E27" s="24"/>
      <c r="F27" s="9" t="s">
        <v>143</v>
      </c>
      <c r="M27" s="22">
        <v>12000</v>
      </c>
      <c r="N27" s="22"/>
    </row>
    <row r="28" spans="1:14">
      <c r="E28" s="24"/>
      <c r="F28" s="9" t="s">
        <v>127</v>
      </c>
      <c r="M28" s="22">
        <v>120</v>
      </c>
      <c r="N28" s="22"/>
    </row>
    <row r="29" spans="1:14">
      <c r="E29" s="24"/>
      <c r="F29" s="9" t="s">
        <v>96</v>
      </c>
      <c r="M29" s="22" t="s">
        <v>147</v>
      </c>
      <c r="N29" s="22"/>
    </row>
    <row r="30" spans="1:14">
      <c r="E30" s="24"/>
      <c r="F30" s="9" t="s">
        <v>146</v>
      </c>
      <c r="K30" s="9" t="s">
        <v>137</v>
      </c>
      <c r="M30" s="22" t="s">
        <v>152</v>
      </c>
      <c r="N30" s="22"/>
    </row>
    <row r="31" spans="1:14">
      <c r="E31" s="24"/>
      <c r="F31" s="9" t="s">
        <v>145</v>
      </c>
      <c r="M31" s="22">
        <v>120</v>
      </c>
      <c r="N31" s="22"/>
    </row>
    <row r="32" spans="1:14">
      <c r="E32" s="24"/>
      <c r="F32" s="9" t="s">
        <v>102</v>
      </c>
      <c r="M32" s="22">
        <f>M26*10+1</f>
        <v>123001</v>
      </c>
      <c r="N32" s="22"/>
    </row>
    <row r="33" spans="1:14">
      <c r="E33" s="24"/>
      <c r="F33" s="9" t="s">
        <v>143</v>
      </c>
      <c r="M33" s="22">
        <f>M26</f>
        <v>12300</v>
      </c>
      <c r="N33" s="22"/>
    </row>
    <row r="34" spans="1:14">
      <c r="E34" s="24"/>
      <c r="F34" s="9" t="s">
        <v>127</v>
      </c>
      <c r="M34" s="22">
        <v>120</v>
      </c>
      <c r="N34" s="22"/>
    </row>
    <row r="35" spans="1:14">
      <c r="E35" s="24"/>
      <c r="F35" s="9" t="s">
        <v>149</v>
      </c>
      <c r="M35" s="22" t="s">
        <v>150</v>
      </c>
      <c r="N35" s="22"/>
    </row>
    <row r="36" spans="1:14">
      <c r="E36" s="24"/>
      <c r="F36" s="9" t="s">
        <v>102</v>
      </c>
      <c r="M36" s="22">
        <f>M26*10+2</f>
        <v>123002</v>
      </c>
      <c r="N36" s="22"/>
    </row>
    <row r="37" spans="1:14">
      <c r="E37" s="24"/>
      <c r="F37" s="9" t="s">
        <v>143</v>
      </c>
      <c r="M37" s="22">
        <f>M26</f>
        <v>12300</v>
      </c>
      <c r="N37" s="22"/>
    </row>
    <row r="38" spans="1:14">
      <c r="E38" s="24"/>
      <c r="F38" s="9" t="s">
        <v>127</v>
      </c>
      <c r="M38" s="22">
        <v>120</v>
      </c>
      <c r="N38" s="22"/>
    </row>
    <row r="39" spans="1:14">
      <c r="E39" s="24"/>
      <c r="F39" s="9" t="s">
        <v>143</v>
      </c>
      <c r="M39" s="22">
        <f>M36</f>
        <v>123002</v>
      </c>
      <c r="N39" s="22"/>
    </row>
    <row r="40" spans="1:14">
      <c r="E40" s="24"/>
      <c r="F40" s="9" t="s">
        <v>128</v>
      </c>
      <c r="M40" s="22">
        <v>0</v>
      </c>
      <c r="N40" s="22"/>
    </row>
    <row r="41" spans="1:14">
      <c r="E41" s="24"/>
      <c r="F41" s="9" t="s">
        <v>145</v>
      </c>
      <c r="M41" s="22">
        <v>360</v>
      </c>
      <c r="N41" s="22"/>
    </row>
    <row r="42" spans="1:14">
      <c r="E42" s="24"/>
    </row>
    <row r="43" spans="1:14">
      <c r="E43" s="24"/>
    </row>
    <row r="44" spans="1:14">
      <c r="A44" s="22"/>
      <c r="C44" s="9"/>
      <c r="D44" s="9"/>
      <c r="E44" s="24"/>
    </row>
    <row r="45" spans="1:14">
      <c r="B45" s="22"/>
      <c r="E45" s="24"/>
    </row>
    <row r="46" spans="1:14">
      <c r="E46" s="24"/>
      <c r="F46" s="9" t="s">
        <v>93</v>
      </c>
      <c r="G46" s="22">
        <v>1</v>
      </c>
      <c r="H46" s="22">
        <v>1</v>
      </c>
      <c r="M46" s="22">
        <v>12301</v>
      </c>
      <c r="N46" s="22"/>
    </row>
    <row r="47" spans="1:14">
      <c r="E47" s="24"/>
      <c r="F47" s="9" t="s">
        <v>143</v>
      </c>
      <c r="M47" s="22">
        <v>12000</v>
      </c>
      <c r="N47" s="22"/>
    </row>
    <row r="48" spans="1:14">
      <c r="E48" s="24"/>
      <c r="F48" s="9" t="s">
        <v>127</v>
      </c>
      <c r="M48" s="22">
        <v>120</v>
      </c>
      <c r="N48" s="22"/>
    </row>
    <row r="49" spans="5:14">
      <c r="E49" s="24"/>
      <c r="F49" s="9" t="s">
        <v>96</v>
      </c>
      <c r="M49" s="22" t="s">
        <v>147</v>
      </c>
      <c r="N49" s="22"/>
    </row>
    <row r="50" spans="5:14">
      <c r="E50" s="24"/>
      <c r="F50" s="9" t="s">
        <v>146</v>
      </c>
      <c r="K50" s="9" t="s">
        <v>137</v>
      </c>
      <c r="M50" s="22" t="s">
        <v>153</v>
      </c>
      <c r="N50" s="22"/>
    </row>
    <row r="51" spans="5:14">
      <c r="E51" s="24"/>
      <c r="F51" s="9" t="s">
        <v>145</v>
      </c>
      <c r="M51" s="22">
        <v>120</v>
      </c>
      <c r="N51" s="22"/>
    </row>
    <row r="52" spans="5:14">
      <c r="E52" s="24"/>
      <c r="F52" s="9" t="s">
        <v>102</v>
      </c>
      <c r="M52" s="22">
        <f>M46*10+1</f>
        <v>123011</v>
      </c>
      <c r="N52" s="22"/>
    </row>
    <row r="53" spans="5:14">
      <c r="E53" s="24"/>
      <c r="F53" s="9" t="s">
        <v>143</v>
      </c>
      <c r="M53" s="22">
        <f>M46</f>
        <v>12301</v>
      </c>
      <c r="N53" s="22"/>
    </row>
    <row r="54" spans="5:14">
      <c r="E54" s="24"/>
      <c r="F54" s="9" t="s">
        <v>127</v>
      </c>
      <c r="M54" s="22">
        <v>120</v>
      </c>
      <c r="N54" s="22"/>
    </row>
    <row r="55" spans="5:14">
      <c r="E55" s="24"/>
      <c r="F55" s="9" t="s">
        <v>149</v>
      </c>
      <c r="M55" s="22" t="s">
        <v>150</v>
      </c>
      <c r="N55" s="22"/>
    </row>
    <row r="56" spans="5:14">
      <c r="E56" s="24"/>
      <c r="F56" s="9" t="s">
        <v>102</v>
      </c>
      <c r="M56" s="22">
        <f>M46*10+2</f>
        <v>123012</v>
      </c>
      <c r="N56" s="22"/>
    </row>
    <row r="57" spans="5:14">
      <c r="E57" s="24"/>
      <c r="F57" s="9" t="s">
        <v>143</v>
      </c>
      <c r="M57" s="22">
        <f>M46</f>
        <v>12301</v>
      </c>
      <c r="N57" s="22"/>
    </row>
    <row r="58" spans="5:14">
      <c r="E58" s="24"/>
      <c r="F58" s="9" t="s">
        <v>127</v>
      </c>
      <c r="M58" s="22">
        <v>120</v>
      </c>
      <c r="N58" s="22"/>
    </row>
    <row r="59" spans="5:14">
      <c r="E59" s="24"/>
      <c r="F59" s="9" t="s">
        <v>143</v>
      </c>
      <c r="M59" s="22">
        <f>M56</f>
        <v>123012</v>
      </c>
      <c r="N59" s="22"/>
    </row>
    <row r="60" spans="5:14">
      <c r="E60" s="24"/>
      <c r="F60" s="9" t="s">
        <v>128</v>
      </c>
      <c r="M60" s="22">
        <v>0</v>
      </c>
      <c r="N60" s="22"/>
    </row>
    <row r="61" spans="5:14">
      <c r="E61" s="24"/>
      <c r="F61" s="9" t="s">
        <v>145</v>
      </c>
      <c r="M61" s="22">
        <v>360</v>
      </c>
      <c r="N61" s="22"/>
    </row>
    <row r="63" spans="5:14">
      <c r="E63" s="22">
        <f>ROW(E63)</f>
        <v>63</v>
      </c>
      <c r="F63" s="9" t="s">
        <v>93</v>
      </c>
      <c r="G63" s="22">
        <v>1</v>
      </c>
      <c r="H63" s="22">
        <v>1</v>
      </c>
      <c r="M63" s="22">
        <v>12302</v>
      </c>
      <c r="N63" s="22"/>
    </row>
    <row r="64" spans="5:14">
      <c r="E64" s="22">
        <f>ROW(E64)</f>
        <v>64</v>
      </c>
      <c r="F64" s="9" t="s">
        <v>143</v>
      </c>
      <c r="M64" s="22">
        <v>12000</v>
      </c>
      <c r="N64" s="22"/>
    </row>
    <row r="65" spans="5:14">
      <c r="E65" s="22">
        <f t="shared" ref="E65:E74" si="0">ROW(E65)</f>
        <v>65</v>
      </c>
      <c r="F65" s="9" t="s">
        <v>127</v>
      </c>
      <c r="M65" s="22">
        <v>120</v>
      </c>
      <c r="N65" s="22"/>
    </row>
    <row r="66" spans="5:14">
      <c r="E66" s="22">
        <f t="shared" si="0"/>
        <v>66</v>
      </c>
      <c r="F66" s="9" t="s">
        <v>154</v>
      </c>
      <c r="M66" s="22">
        <v>120</v>
      </c>
      <c r="N66" s="22"/>
    </row>
    <row r="67" spans="5:14">
      <c r="E67" s="22">
        <f t="shared" si="0"/>
        <v>67</v>
      </c>
      <c r="F67" s="9" t="s">
        <v>96</v>
      </c>
      <c r="M67" s="22" t="s">
        <v>147</v>
      </c>
      <c r="N67" s="22"/>
    </row>
    <row r="68" spans="5:14">
      <c r="E68" s="22">
        <f t="shared" si="0"/>
        <v>68</v>
      </c>
      <c r="F68" s="9" t="s">
        <v>146</v>
      </c>
      <c r="K68" s="9" t="s">
        <v>137</v>
      </c>
      <c r="M68" s="22" t="s">
        <v>148</v>
      </c>
      <c r="N68" s="22"/>
    </row>
    <row r="69" spans="5:14">
      <c r="E69" s="22">
        <f t="shared" si="0"/>
        <v>69</v>
      </c>
      <c r="F69" s="9" t="s">
        <v>145</v>
      </c>
      <c r="M69" s="22">
        <v>120</v>
      </c>
      <c r="N69" s="22"/>
    </row>
    <row r="70" spans="5:14">
      <c r="E70" s="22">
        <f>ROW(E70)</f>
        <v>70</v>
      </c>
      <c r="F70" s="9" t="s">
        <v>102</v>
      </c>
      <c r="M70" s="22">
        <f>M63*10+1</f>
        <v>123021</v>
      </c>
      <c r="N70" s="22"/>
    </row>
    <row r="71" spans="5:14">
      <c r="E71" s="22">
        <f>ROW(E71)</f>
        <v>71</v>
      </c>
      <c r="F71" s="9" t="s">
        <v>143</v>
      </c>
      <c r="M71" s="22">
        <f>M63</f>
        <v>12302</v>
      </c>
      <c r="N71" s="22"/>
    </row>
    <row r="72" spans="5:14">
      <c r="E72" s="22">
        <f t="shared" ref="E72" si="1">ROW(E72)</f>
        <v>72</v>
      </c>
      <c r="F72" s="9" t="s">
        <v>127</v>
      </c>
      <c r="M72" s="22">
        <v>120</v>
      </c>
      <c r="N72" s="22"/>
    </row>
    <row r="73" spans="5:14">
      <c r="E73" s="22">
        <f t="shared" si="0"/>
        <v>73</v>
      </c>
      <c r="F73" s="9" t="s">
        <v>149</v>
      </c>
      <c r="M73" s="22" t="s">
        <v>150</v>
      </c>
      <c r="N73" s="22"/>
    </row>
    <row r="74" spans="5:14">
      <c r="E74" s="22">
        <f t="shared" si="0"/>
        <v>74</v>
      </c>
      <c r="F74" s="9" t="s">
        <v>114</v>
      </c>
      <c r="L74" s="9" t="s">
        <v>135</v>
      </c>
      <c r="M74" s="22">
        <v>30</v>
      </c>
      <c r="N74" s="22"/>
    </row>
    <row r="75" spans="5:14">
      <c r="E75" s="22">
        <f>ROW(E75)</f>
        <v>75</v>
      </c>
      <c r="F75" s="9" t="s">
        <v>102</v>
      </c>
      <c r="M75" s="22">
        <f>M63*10+2</f>
        <v>123022</v>
      </c>
      <c r="N75" s="22"/>
    </row>
    <row r="76" spans="5:14">
      <c r="E76" s="22">
        <f>ROW(E76)</f>
        <v>76</v>
      </c>
      <c r="F76" s="9" t="s">
        <v>143</v>
      </c>
      <c r="M76" s="22">
        <f>M63</f>
        <v>12302</v>
      </c>
      <c r="N76" s="22"/>
    </row>
    <row r="77" spans="5:14">
      <c r="E77" s="22">
        <f t="shared" ref="E77:E80" si="2">ROW(E77)</f>
        <v>77</v>
      </c>
      <c r="F77" s="9" t="s">
        <v>127</v>
      </c>
      <c r="M77" s="22">
        <v>120</v>
      </c>
      <c r="N77" s="22"/>
    </row>
    <row r="78" spans="5:14">
      <c r="E78" s="22">
        <f>ROW(E78)</f>
        <v>78</v>
      </c>
      <c r="F78" s="9" t="s">
        <v>143</v>
      </c>
      <c r="M78" s="22">
        <f>M75</f>
        <v>123022</v>
      </c>
      <c r="N78" s="22"/>
    </row>
    <row r="79" spans="5:14">
      <c r="E79" s="22">
        <f t="shared" si="2"/>
        <v>79</v>
      </c>
      <c r="F79" s="9" t="s">
        <v>128</v>
      </c>
      <c r="M79" s="22">
        <v>0</v>
      </c>
      <c r="N79" s="22"/>
    </row>
    <row r="80" spans="5:14">
      <c r="E80" s="22">
        <f t="shared" si="2"/>
        <v>80</v>
      </c>
      <c r="F80" s="9" t="s">
        <v>145</v>
      </c>
      <c r="M80" s="22">
        <v>600</v>
      </c>
      <c r="N80" s="22"/>
    </row>
  </sheetData>
  <phoneticPr fontId="2" type="noConversion"/>
  <conditionalFormatting sqref="BE1:XFD1 E1:I1">
    <cfRule type="duplicateValues" dxfId="48" priority="1684"/>
  </conditionalFormatting>
  <conditionalFormatting sqref="F1:F80">
    <cfRule type="cellIs" dxfId="47" priority="1185" operator="equal">
      <formula>"ID"</formula>
    </cfRule>
    <cfRule type="cellIs" dxfId="46" priority="1600" operator="equal">
      <formula>"行動序號"</formula>
    </cfRule>
  </conditionalFormatting>
  <conditionalFormatting sqref="N8:N22 N26:N41 N46:N61 N63:N80 M1:M1048576">
    <cfRule type="expression" dxfId="45" priority="1604">
      <formula>OR($F1="行動序號",$F1="ID")</formula>
    </cfRule>
  </conditionalFormatting>
  <conditionalFormatting sqref="N8:N22 N26:N41 N46:N61 N63:N80 M1:M1048576">
    <cfRule type="expression" dxfId="44" priority="1071">
      <formula>$F1="行動ID"</formula>
    </cfRule>
  </conditionalFormatting>
  <conditionalFormatting sqref="J1">
    <cfRule type="duplicateValues" dxfId="43" priority="1183"/>
  </conditionalFormatting>
  <conditionalFormatting sqref="K1:L1">
    <cfRule type="duplicateValues" dxfId="42" priority="1180"/>
  </conditionalFormatting>
  <conditionalFormatting sqref="N8:N22 N26:N41 N46:N61 N63:N80">
    <cfRule type="expression" dxfId="41" priority="1687">
      <formula>$E8&gt;0</formula>
    </cfRule>
  </conditionalFormatting>
  <conditionalFormatting sqref="M1:M1048576">
    <cfRule type="expression" dxfId="40" priority="795">
      <formula>_xlfn.ISFORMULA(M1)</formula>
    </cfRule>
  </conditionalFormatting>
  <conditionalFormatting sqref="N1:BD1">
    <cfRule type="duplicateValues" dxfId="39" priority="1688"/>
  </conditionalFormatting>
  <dataValidations count="1">
    <dataValidation type="list" allowBlank="1" showInputMessage="1" showErrorMessage="1" sqref="L5 L15 F52 K52 J45 L71 F74 K74 L78 L73:L74 L22:L23 F29 F66 L19 J67 K69:L69 K72:L72 F8:M13 L68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18C14-B702-42E1-800E-2AA1D4E3DD45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33A9E921-152A-4055-8F11-C8BEFB93491E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DE13D-4A9D-46DB-82E6-A8A0BEC192FC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156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157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236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158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159</v>
      </c>
      <c r="C17" s="7" t="s">
        <v>237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160</v>
      </c>
      <c r="E20" t="str">
        <f t="shared" si="0"/>
        <v>啟動依ID,</v>
      </c>
      <c r="H20"/>
    </row>
    <row r="21" spans="1:8">
      <c r="A21" s="7" t="s">
        <v>27</v>
      </c>
      <c r="B21" s="7" t="s">
        <v>161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234</v>
      </c>
      <c r="C43" s="7" t="s">
        <v>235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243</v>
      </c>
      <c r="C50" s="7" t="s">
        <v>244</v>
      </c>
      <c r="E50" t="str">
        <f t="shared" si="0"/>
        <v>記錄位置,</v>
      </c>
      <c r="H50"/>
    </row>
    <row r="51" spans="1:8">
      <c r="A51" s="7" t="s">
        <v>27</v>
      </c>
      <c r="B51" s="7" t="s">
        <v>245</v>
      </c>
      <c r="C51" s="7" t="s">
        <v>246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238</v>
      </c>
      <c r="C61" s="7" t="s">
        <v>239</v>
      </c>
      <c r="E61" t="str">
        <f t="shared" si="0"/>
        <v>子旋轉角度,</v>
      </c>
      <c r="H61"/>
    </row>
    <row r="62" spans="1:8">
      <c r="A62" s="7" t="s">
        <v>27</v>
      </c>
      <c r="B62" s="26" t="s">
        <v>240</v>
      </c>
      <c r="C62" s="7" t="s">
        <v>241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247</v>
      </c>
      <c r="C63" s="7" t="s">
        <v>248</v>
      </c>
      <c r="E63" t="str">
        <f t="shared" si="0"/>
        <v>記錄角度,</v>
      </c>
      <c r="H63"/>
    </row>
    <row r="64" spans="1:8">
      <c r="A64" s="7" t="s">
        <v>27</v>
      </c>
      <c r="B64" s="7" t="s">
        <v>250</v>
      </c>
      <c r="C64" s="7" t="s">
        <v>249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154</v>
      </c>
      <c r="C78" s="7" t="s">
        <v>208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209</v>
      </c>
      <c r="C79" s="7" t="s">
        <v>210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211</v>
      </c>
      <c r="C80" s="7" t="s">
        <v>212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219</v>
      </c>
      <c r="C91" s="7" t="s">
        <v>220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221</v>
      </c>
      <c r="C92" s="7" t="s">
        <v>222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223</v>
      </c>
      <c r="C93" s="7" t="s">
        <v>224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225</v>
      </c>
      <c r="C94" s="7" t="s">
        <v>226</v>
      </c>
      <c r="E94" t="str">
        <f t="shared" si="1"/>
        <v>玩家Shift,</v>
      </c>
      <c r="H94"/>
    </row>
    <row r="95" spans="1:11">
      <c r="A95" s="7" t="s">
        <v>27</v>
      </c>
      <c r="B95" s="7" t="s">
        <v>227</v>
      </c>
      <c r="C95" s="7" t="s">
        <v>228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230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231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232</v>
      </c>
      <c r="C114" s="7" t="s">
        <v>22</v>
      </c>
      <c r="D114" s="7"/>
      <c r="L114" s="7"/>
    </row>
    <row r="115" spans="1:12">
      <c r="A115" s="7" t="s">
        <v>141</v>
      </c>
      <c r="B115" s="7" t="s">
        <v>155</v>
      </c>
      <c r="C115" s="7" t="s">
        <v>23</v>
      </c>
      <c r="H115"/>
    </row>
    <row r="116" spans="1:12">
      <c r="A116" s="7" t="s">
        <v>141</v>
      </c>
      <c r="B116" s="7" t="s">
        <v>251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CA405-35D6-4EEC-B2A3-709F0B8CB4BF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151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233</v>
      </c>
      <c r="D4" s="20"/>
      <c r="G4" s="9"/>
      <c r="H4" s="18"/>
    </row>
    <row r="5" spans="1:10" ht="17.25" customHeight="1">
      <c r="A5" s="20" t="s">
        <v>100</v>
      </c>
      <c r="B5" s="20" t="s">
        <v>229</v>
      </c>
      <c r="C5" s="20" t="s">
        <v>232</v>
      </c>
      <c r="D5" s="20"/>
      <c r="G5" s="9"/>
    </row>
    <row r="6" spans="1:10">
      <c r="A6" s="20" t="s">
        <v>103</v>
      </c>
      <c r="B6" s="20" t="s">
        <v>230</v>
      </c>
      <c r="C6" s="20" t="s">
        <v>155</v>
      </c>
      <c r="D6" s="20"/>
      <c r="G6" s="9"/>
    </row>
    <row r="7" spans="1:10">
      <c r="A7" s="20" t="s">
        <v>48</v>
      </c>
      <c r="B7" s="20" t="s">
        <v>231</v>
      </c>
      <c r="C7" s="25" t="s">
        <v>251</v>
      </c>
      <c r="D7" s="20"/>
      <c r="G7" s="9"/>
    </row>
    <row r="8" spans="1:10">
      <c r="A8" s="20" t="s">
        <v>157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236</v>
      </c>
      <c r="B10" s="20"/>
      <c r="C10" s="20"/>
      <c r="D10" s="20"/>
      <c r="G10" s="9"/>
    </row>
    <row r="11" spans="1:10">
      <c r="A11" s="20" t="s">
        <v>158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159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143</v>
      </c>
      <c r="C20"/>
      <c r="G20" s="9"/>
    </row>
    <row r="21" spans="1:7">
      <c r="A21" s="20" t="s">
        <v>161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234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247</v>
      </c>
      <c r="C50"/>
      <c r="G50" s="9"/>
    </row>
    <row r="51" spans="1:8">
      <c r="A51" s="26" t="s">
        <v>252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242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238</v>
      </c>
      <c r="G61" s="9"/>
    </row>
    <row r="62" spans="1:8">
      <c r="A62" s="26" t="s">
        <v>240</v>
      </c>
      <c r="G62" s="9"/>
    </row>
    <row r="63" spans="1:8">
      <c r="A63" s="26" t="s">
        <v>247</v>
      </c>
      <c r="G63" s="9"/>
    </row>
    <row r="64" spans="1:8">
      <c r="A64" s="26" t="s">
        <v>250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154</v>
      </c>
      <c r="G78" s="9"/>
    </row>
    <row r="79" spans="1:7">
      <c r="A79" s="20" t="s">
        <v>209</v>
      </c>
    </row>
    <row r="80" spans="1:7">
      <c r="A80" s="20" t="s">
        <v>211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219</v>
      </c>
    </row>
    <row r="92" spans="1:1">
      <c r="A92" s="20" t="s">
        <v>221</v>
      </c>
    </row>
    <row r="93" spans="1:1">
      <c r="A93" s="20" t="s">
        <v>223</v>
      </c>
    </row>
    <row r="94" spans="1:1">
      <c r="A94" s="20" t="s">
        <v>225</v>
      </c>
    </row>
    <row r="95" spans="1:1">
      <c r="A95" s="20" t="s">
        <v>227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125FDE2-6150-4DD9-AED1-BFACBD7B866D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B5BB-8EC5-49D7-8FAB-82713663053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3E6BC-85FE-4A22-8998-E56B0A1C931B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FBED9-7F29-4282-9B4B-A5B7DCA04222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stage7_card2light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2025-04-16T06:38:21Z</dcterms:modified>
</cp:coreProperties>
</file>