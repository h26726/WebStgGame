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B6B5A9E8-83E2-4297-845A-FAAE3545B6E5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notcard5shot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244" i="1" l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D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M68" i="1"/>
  <c r="M81" i="1" s="1"/>
  <c r="E68" i="1"/>
  <c r="D67" i="1"/>
  <c r="E66" i="1"/>
  <c r="E65" i="1"/>
  <c r="E64" i="1"/>
  <c r="E63" i="1"/>
  <c r="E62" i="1"/>
  <c r="E61" i="1"/>
  <c r="M60" i="1"/>
  <c r="M63" i="1" s="1"/>
  <c r="E60" i="1"/>
  <c r="E59" i="1"/>
  <c r="E58" i="1"/>
  <c r="E57" i="1"/>
  <c r="E56" i="1"/>
  <c r="E55" i="1"/>
  <c r="E54" i="1"/>
  <c r="E53" i="1"/>
  <c r="E52" i="1"/>
  <c r="E51" i="1"/>
  <c r="E50" i="1"/>
  <c r="E49" i="1"/>
  <c r="M48" i="1"/>
  <c r="M61" i="1" s="1"/>
  <c r="E48" i="1"/>
  <c r="D47" i="1"/>
  <c r="B47" i="1"/>
  <c r="M66" i="1" s="1"/>
  <c r="E245" i="1"/>
  <c r="E261" i="1"/>
  <c r="E260" i="1"/>
  <c r="E259" i="1"/>
  <c r="E256" i="1"/>
  <c r="E255" i="1"/>
  <c r="E254" i="1"/>
  <c r="E253" i="1"/>
  <c r="E252" i="1"/>
  <c r="E251" i="1"/>
  <c r="A249" i="1"/>
  <c r="E247" i="1"/>
  <c r="E23" i="1"/>
  <c r="E22" i="1"/>
  <c r="E21" i="1"/>
  <c r="E20" i="1"/>
  <c r="E19" i="1"/>
  <c r="E18" i="1"/>
  <c r="D265" i="1"/>
  <c r="E274" i="1"/>
  <c r="E273" i="1"/>
  <c r="E272" i="1"/>
  <c r="E271" i="1"/>
  <c r="E270" i="1"/>
  <c r="E269" i="1"/>
  <c r="E268" i="1"/>
  <c r="E267" i="1"/>
  <c r="E266" i="1"/>
  <c r="A264" i="1"/>
  <c r="E240" i="1"/>
  <c r="E246" i="1"/>
  <c r="E46" i="1"/>
  <c r="E44" i="1"/>
  <c r="E43" i="1"/>
  <c r="E42" i="1"/>
  <c r="E41" i="1"/>
  <c r="E45" i="1"/>
  <c r="E40" i="1"/>
  <c r="D234" i="1"/>
  <c r="D250" i="1" s="1"/>
  <c r="E31" i="1"/>
  <c r="E32" i="1"/>
  <c r="E243" i="1"/>
  <c r="E239" i="1"/>
  <c r="E238" i="1"/>
  <c r="E237" i="1"/>
  <c r="E236" i="1"/>
  <c r="E235" i="1"/>
  <c r="A233" i="1"/>
  <c r="E35" i="1"/>
  <c r="E34" i="1"/>
  <c r="A26" i="1"/>
  <c r="C87" i="1" l="1"/>
  <c r="M96" i="1" s="1" a="1"/>
  <c r="M96" i="1" s="1"/>
  <c r="D147" i="1"/>
  <c r="B67" i="1"/>
  <c r="M88" i="1"/>
  <c r="D107" i="1"/>
  <c r="B87" i="1"/>
  <c r="D127" i="1"/>
  <c r="M53" i="1"/>
  <c r="M65" i="1"/>
  <c r="M80" i="1"/>
  <c r="M83" i="1" s="1"/>
  <c r="M49" i="1"/>
  <c r="C47" i="1"/>
  <c r="M56" i="1" s="1" a="1"/>
  <c r="M56" i="1" s="1"/>
  <c r="B250" i="1"/>
  <c r="C250" i="1" s="1"/>
  <c r="M251" i="1"/>
  <c r="B265" i="1"/>
  <c r="C265" i="1" s="1"/>
  <c r="M100" i="1" l="1"/>
  <c r="M103" i="1" s="1"/>
  <c r="M101" i="1"/>
  <c r="M85" i="1"/>
  <c r="M73" i="1"/>
  <c r="C67" i="1"/>
  <c r="M76" i="1" s="1" a="1"/>
  <c r="M76" i="1" s="1"/>
  <c r="M86" i="1"/>
  <c r="M69" i="1"/>
  <c r="M128" i="1"/>
  <c r="B127" i="1"/>
  <c r="M106" i="1"/>
  <c r="M89" i="1"/>
  <c r="M105" i="1"/>
  <c r="M93" i="1"/>
  <c r="D167" i="1"/>
  <c r="B107" i="1"/>
  <c r="M108" i="1"/>
  <c r="C147" i="1"/>
  <c r="M156" i="1" s="1" a="1"/>
  <c r="M156" i="1" s="1"/>
  <c r="B147" i="1"/>
  <c r="M148" i="1"/>
  <c r="E13" i="1"/>
  <c r="E12" i="1"/>
  <c r="M121" i="1" l="1"/>
  <c r="M120" i="1"/>
  <c r="M123" i="1" s="1"/>
  <c r="M126" i="1"/>
  <c r="M109" i="1"/>
  <c r="M125" i="1"/>
  <c r="M113" i="1"/>
  <c r="C107" i="1"/>
  <c r="M116" i="1" s="1" a="1"/>
  <c r="M116" i="1" s="1"/>
  <c r="M145" i="1"/>
  <c r="M133" i="1"/>
  <c r="M146" i="1"/>
  <c r="M129" i="1"/>
  <c r="M160" i="1"/>
  <c r="M163" i="1" s="1"/>
  <c r="M161" i="1"/>
  <c r="B167" i="1"/>
  <c r="M168" i="1"/>
  <c r="C127" i="1"/>
  <c r="M136" i="1" s="1" a="1"/>
  <c r="M136" i="1" s="1"/>
  <c r="M166" i="1"/>
  <c r="M149" i="1"/>
  <c r="M165" i="1"/>
  <c r="M153" i="1"/>
  <c r="M141" i="1"/>
  <c r="M140" i="1"/>
  <c r="M143" i="1" s="1"/>
  <c r="D27" i="1"/>
  <c r="M181" i="1" l="1"/>
  <c r="M180" i="1"/>
  <c r="M183" i="1" s="1"/>
  <c r="M186" i="1"/>
  <c r="M169" i="1"/>
  <c r="M185" i="1"/>
  <c r="M173" i="1"/>
  <c r="C167" i="1"/>
  <c r="M176" i="1" s="1" a="1"/>
  <c r="M176" i="1" s="1"/>
  <c r="M28" i="1"/>
  <c r="B27" i="1"/>
  <c r="M45" i="1" l="1"/>
  <c r="M46" i="1"/>
  <c r="C27" i="1"/>
  <c r="M36" i="1" s="1" a="1"/>
  <c r="M36" i="1" s="1"/>
  <c r="M33" i="1"/>
  <c r="M29" i="1"/>
  <c r="M40" i="1"/>
  <c r="M43" i="1" s="1"/>
  <c r="M41" i="1"/>
  <c r="E16" i="1"/>
  <c r="E14" i="1" l="1"/>
  <c r="E11" i="1"/>
  <c r="E15" i="1"/>
  <c r="B234" i="1" l="1"/>
  <c r="C234" i="1" s="1"/>
  <c r="M235" i="1"/>
  <c r="E39" i="1"/>
  <c r="E38" i="1" l="1"/>
  <c r="E29" i="1"/>
  <c r="E30" i="1"/>
  <c r="E33" i="1"/>
  <c r="E36" i="1"/>
  <c r="E37" i="1"/>
  <c r="E2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<sst xmlns="http://schemas.openxmlformats.org/spreadsheetml/2006/main" count="755" uniqueCount="279">
  <si>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</si>
  <si>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</si>
  <si>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</si>
  <si>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</si>
  <si>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</si>
  <si>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</si>
  <si>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</si>
  <si>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</si>
  <si>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</si>
  <si>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</si>
  <si>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</si>
  <si>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</si>
  <si>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</si>
  <si>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</si>
  <si>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</si>
  <si>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</si>
  <si>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</si>
  <si>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</si>
  <si>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</si>
  <si>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</si>
  <si>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</si>
  <si>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</si>
  <si>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</si>
  <si>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</si>
  <si>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</si>
  <si>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</si>
  <si>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</si>
  <si>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</si>
  <si>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</si>
  <si>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</si>
  <si>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</si>
  <si>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</si>
  <si>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</si>
  <si>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</si>
  <si>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</si>
  <si>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</si>
  <si>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</si>
  <si>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</si>
  <si>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</si>
  <si>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</si>
  <si>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</si>
  <si>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</si>
  <si>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</si>
  <si>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</si>
  <si>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</si>
  <si>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</si>
  <si>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</si>
  <si>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</si>
  <si>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</si>
  <si>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</si>
  <si>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</si>
  <si>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</si>
  <si>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</si>
  <si>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</si>
  <si>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</si>
  <si>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</si>
  <si>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</si>
  <si>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</si>
  <si>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</si>
  <si>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</si>
  <si>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</si>
  <si>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</si>
  <si>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</si>
  <si>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</si>
  <si>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</si>
  <si>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</si>
  <si>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</si>
  <si>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</si>
  <si>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</si>
  <si>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</si>
  <si>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</si>
  <si>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</si>
  <si>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</si>
  <si>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</si>
  <si>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</si>
  <si>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</si>
  <si>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</si>
  <si>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</si>
  <si>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</si>
  <si>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</si>
  <si>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</si>
  <si>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</si>
  <si>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</si>
  <si>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</si>
  <si>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</si>
  <si>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</si>
  <si>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</si>
  <si>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</si>
  <si>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</si>
  <si>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</si>
  <si>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</si>
  <si>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</si>
  <si>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</si>
  <si>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</si>
  <si>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</si>
  <si>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</si>
  <si>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</si>
  <si>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</si>
  <si>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</si>
  <si>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</si>
  <si>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</si>
  <si>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</si>
  <si>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</si>
  <si>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</si>
  <si>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</si>
  <si>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</si>
  <si>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</si>
  <si>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</si>
  <si>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</si>
  <si>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</si>
  <si>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</si>
  <si>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</si>
  <si>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</si>
  <si>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</si>
  <si>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</si>
  <si>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</si>
  <si>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</si>
  <si>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</si>
  <si>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</si>
  <si>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</si>
  <si>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</si>
  <si>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</si>
  <si>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</si>
  <si>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</si>
  <si>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</si>
  <si>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</si>
  <si>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</si>
  <si>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</si>
  <si>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</si>
  <si>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</si>
  <si>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</si>
  <si>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</si>
  <si>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</si>
  <si>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</si>
  <si>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</si>
  <si>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</si>
  <si>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</si>
  <si>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</si>
  <si>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</si>
  <si>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</si>
  <si>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</si>
  <si>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</si>
  <si>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</si>
  <si>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</si>
  <si>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</si>
  <si>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移位置</t>
    <phoneticPr fontId="2" type="noConversion"/>
  </si>
  <si>
    <t>EnemyShot3</t>
  </si>
  <si>
    <t>回收距離</t>
    <phoneticPr fontId="2" type="noConversion"/>
  </si>
  <si>
    <t>Empty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</si>
  <si>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</si>
  <si>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</si>
  <si>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</si>
  <si>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</si>
  <si>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</si>
  <si>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</si>
  <si>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</si>
  <si>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</si>
  <si>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</si>
  <si>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</si>
  <si>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</si>
  <si>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</si>
  <si>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</si>
  <si>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</si>
  <si>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</si>
  <si>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</si>
  <si>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</si>
  <si>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</si>
  <si>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</si>
  <si>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</si>
  <si>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</si>
  <si>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</si>
  <si>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</si>
  <si>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</si>
  <si>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</si>
  <si>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</si>
  <si>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</si>
  <si>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</si>
  <si>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</si>
  <si>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</si>
  <si>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</si>
  <si>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</si>
  <si>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</si>
  <si>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</si>
  <si>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</si>
  <si>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</si>
  <si>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</si>
  <si>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</si>
  <si>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</si>
  <si>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</si>
  <si>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</si>
  <si>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</si>
  <si>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</si>
  <si>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</si>
  <si>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</si>
  <si>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</si>
  <si>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</si>
  <si>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</si>
  <si>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</si>
  <si>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</si>
  <si>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</si>
  <si>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</si>
  <si>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</si>
  <si>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</si>
  <si>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</si>
  <si>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</si>
  <si>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</si>
  <si>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</si>
  <si>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</si>
  <si>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</si>
  <si>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</si>
  <si>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</si>
  <si>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</si>
  <si>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</si>
  <si>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</si>
  <si>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</si>
  <si>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</si>
  <si>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</si>
  <si>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</si>
  <si>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</si>
  <si>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</si>
  <si>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</si>
  <si>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</si>
  <si>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</si>
  <si>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</si>
  <si>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</si>
  <si>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</si>
  <si>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</si>
  <si>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</si>
  <si>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</si>
  <si>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</si>
  <si>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</si>
  <si>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</si>
  <si>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</si>
  <si>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</si>
  <si>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</si>
  <si>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</si>
  <si>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</si>
  <si>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</si>
  <si>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</si>
  <si>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</si>
  <si>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啟動依ID</t>
    <phoneticPr fontId="2" type="noConversion"/>
  </si>
  <si>
    <t>子加旋轉角度</t>
  </si>
  <si>
    <t>4.3,0</t>
  </si>
  <si>
    <t>4.3,0</t>
    <phoneticPr fontId="2" type="noConversion"/>
  </si>
  <si>
    <t>-4.3,0</t>
  </si>
  <si>
    <t>-4.3,0</t>
    <phoneticPr fontId="2" type="noConversion"/>
  </si>
  <si>
    <t>0,4.3</t>
  </si>
  <si>
    <t>0,4.3</t>
    <phoneticPr fontId="2" type="noConversion"/>
  </si>
  <si>
    <t>0,-4.3</t>
  </si>
  <si>
    <t>0,-4.3</t>
    <phoneticPr fontId="2" type="noConversion"/>
  </si>
  <si>
    <t>上下左右四基準彈</t>
    <phoneticPr fontId="2" type="noConversion"/>
  </si>
  <si>
    <t>射中彈</t>
    <phoneticPr fontId="2" type="noConversion"/>
  </si>
  <si>
    <t>1,5</t>
    <phoneticPr fontId="2" type="noConversion"/>
  </si>
  <si>
    <t>EnemyShot2</t>
    <phoneticPr fontId="2" type="noConversion"/>
  </si>
  <si>
    <t>Shot2_purple</t>
    <phoneticPr fontId="2" type="noConversion"/>
  </si>
  <si>
    <t>BOSS彈</t>
    <phoneticPr fontId="2" type="noConversion"/>
  </si>
  <si>
    <t>EnemyShot5</t>
    <phoneticPr fontId="2" type="noConversion"/>
  </si>
  <si>
    <t>Shot5_red</t>
    <phoneticPr fontId="2" type="noConversion"/>
  </si>
  <si>
    <t>1,3</t>
    <phoneticPr fontId="2" type="noConversion"/>
  </si>
  <si>
    <t>Shot3_red</t>
  </si>
  <si>
    <t>Shot3_red</t>
    <phoneticPr fontId="2" type="noConversion"/>
  </si>
  <si>
    <t>14621</t>
  </si>
  <si>
    <t>14621</t>
    <phoneticPr fontId="2" type="noConversion"/>
  </si>
  <si>
    <t>射玩家</t>
    <phoneticPr fontId="2" type="noConversion"/>
  </si>
  <si>
    <t>Shot2_red</t>
    <phoneticPr fontId="2" type="noConversion"/>
  </si>
  <si>
    <t>120</t>
  </si>
  <si>
    <t>120</t>
    <phoneticPr fontId="2" type="noConversion"/>
  </si>
  <si>
    <t>Shot3_purple</t>
  </si>
  <si>
    <t>Shot3_purple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</si>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</sst>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1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721"/>
  <sheetViews>
    <sheetView zoomScale="115" zoomScaleNormal="115" workbookViewId="0">
      <pane ySplit="1" topLeftCell="A256" activePane="bottomLeft" state="frozen"/>
      <selection pane="bottomLeft" activeCell="O263" sqref="O263"/>
    </sheetView>
  </sheetViews>
  <sheetFormatPr defaultRowHeight="19.5"/>
  <cols>
    <col min="1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6.12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3"/>
      <c r="B1" s="23"/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140</v>
      </c>
      <c r="L1" s="17" t="s">
        <v>141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56">
      <c r="E11" s="22">
        <f t="shared" ref="E11:E23" si="0">ROW(E11)</f>
        <v>11</v>
      </c>
      <c r="F11" s="9" t="s">
        <v>93</v>
      </c>
      <c r="G11" s="22">
        <v>1</v>
      </c>
      <c r="M11" s="22">
        <v>14500</v>
      </c>
      <c r="N11" s="22"/>
    </row>
    <row r="12" spans="1:56">
      <c r="E12" s="22">
        <f t="shared" si="0"/>
        <v>12</v>
      </c>
      <c r="F12" s="9" t="s">
        <v>240</v>
      </c>
      <c r="M12" s="22">
        <v>144101</v>
      </c>
      <c r="N12" s="22"/>
    </row>
    <row r="13" spans="1:56">
      <c r="E13" s="22">
        <f t="shared" si="0"/>
        <v>13</v>
      </c>
      <c r="F13" s="9" t="s">
        <v>127</v>
      </c>
      <c r="M13" s="22">
        <v>0</v>
      </c>
      <c r="N13" s="22"/>
    </row>
    <row r="14" spans="1:56">
      <c r="E14" s="22">
        <f t="shared" si="0"/>
        <v>14</v>
      </c>
      <c r="F14" s="9" t="s">
        <v>96</v>
      </c>
      <c r="M14" s="22" t="s">
        <v>148</v>
      </c>
      <c r="N14" s="22"/>
    </row>
    <row r="15" spans="1:56">
      <c r="E15" s="22">
        <f t="shared" si="0"/>
        <v>15</v>
      </c>
      <c r="F15" s="9" t="s">
        <v>145</v>
      </c>
      <c r="K15" s="9" t="s">
        <v>138</v>
      </c>
      <c r="M15" s="22">
        <v>5</v>
      </c>
      <c r="N15" s="22"/>
    </row>
    <row r="16" spans="1:56">
      <c r="E16" s="22">
        <f t="shared" si="0"/>
        <v>16</v>
      </c>
      <c r="F16" s="9" t="s">
        <v>241</v>
      </c>
      <c r="L16" s="9" t="s">
        <v>135</v>
      </c>
      <c r="M16" s="22">
        <v>60</v>
      </c>
      <c r="N16" s="22"/>
    </row>
    <row r="18" spans="1:14">
      <c r="E18" s="22">
        <f t="shared" si="0"/>
        <v>18</v>
      </c>
      <c r="F18" s="9" t="s">
        <v>93</v>
      </c>
      <c r="G18" s="22">
        <v>1</v>
      </c>
      <c r="M18" s="22">
        <v>14501</v>
      </c>
      <c r="N18" s="22"/>
    </row>
    <row r="19" spans="1:14">
      <c r="E19" s="22">
        <f t="shared" si="0"/>
        <v>19</v>
      </c>
      <c r="F19" s="9" t="s">
        <v>240</v>
      </c>
      <c r="M19" s="22">
        <v>144101</v>
      </c>
      <c r="N19" s="22"/>
    </row>
    <row r="20" spans="1:14">
      <c r="E20" s="22">
        <f t="shared" si="0"/>
        <v>20</v>
      </c>
      <c r="F20" s="9" t="s">
        <v>127</v>
      </c>
      <c r="M20" s="22">
        <v>0</v>
      </c>
      <c r="N20" s="22"/>
    </row>
    <row r="21" spans="1:14">
      <c r="E21" s="22">
        <f t="shared" si="0"/>
        <v>21</v>
      </c>
      <c r="F21" s="9" t="s">
        <v>96</v>
      </c>
      <c r="M21" s="22" t="s">
        <v>148</v>
      </c>
      <c r="N21" s="22"/>
    </row>
    <row r="22" spans="1:14">
      <c r="E22" s="22">
        <f t="shared" si="0"/>
        <v>22</v>
      </c>
      <c r="F22" s="9" t="s">
        <v>145</v>
      </c>
      <c r="K22" s="9" t="s">
        <v>138</v>
      </c>
      <c r="M22" s="22">
        <v>5</v>
      </c>
      <c r="N22" s="22"/>
    </row>
    <row r="23" spans="1:14">
      <c r="E23" s="22">
        <f t="shared" si="0"/>
        <v>23</v>
      </c>
      <c r="F23" s="9" t="s">
        <v>241</v>
      </c>
      <c r="L23" s="9" t="s">
        <v>135</v>
      </c>
      <c r="M23" s="22">
        <v>-60</v>
      </c>
      <c r="N23" s="22"/>
    </row>
    <row r="26" spans="1:14">
      <c r="A26" s="22">
        <f>G28*H28</f>
        <v>8</v>
      </c>
      <c r="B26" s="16" t="s">
        <v>250</v>
      </c>
      <c r="C26" s="9"/>
      <c r="D26" s="9"/>
    </row>
    <row r="27" spans="1:14">
      <c r="A27" s="9" t="s">
        <v>232</v>
      </c>
      <c r="B27" s="22">
        <f>QUOTIENT( D27-1,G28)+1</f>
        <v>1</v>
      </c>
      <c r="C27" s="22">
        <f>D27-(B27-1)*G28</f>
        <v>1</v>
      </c>
      <c r="D27" s="22">
        <f>COUNT($D26:$D$26)+1</f>
        <v>1</v>
      </c>
    </row>
    <row r="28" spans="1:14">
      <c r="E28" s="22">
        <f t="shared" ref="E28:E91" si="1">ROW(E28)</f>
        <v>28</v>
      </c>
      <c r="F28" s="9" t="s">
        <v>93</v>
      </c>
      <c r="G28" s="22">
        <v>4</v>
      </c>
      <c r="H28" s="22">
        <v>2</v>
      </c>
      <c r="J28" s="22">
        <v>14600</v>
      </c>
      <c r="M28" s="22">
        <f>J28+D27</f>
        <v>14601</v>
      </c>
    </row>
    <row r="29" spans="1:14">
      <c r="E29" s="22">
        <f t="shared" si="1"/>
        <v>29</v>
      </c>
      <c r="F29" s="9" t="s">
        <v>143</v>
      </c>
      <c r="I29" s="22">
        <v>14500</v>
      </c>
      <c r="J29" s="9">
        <v>14501</v>
      </c>
      <c r="M29" s="22">
        <f>IF(MOD(B27,2)=0,I29,J29)</f>
        <v>14501</v>
      </c>
    </row>
    <row r="30" spans="1:14">
      <c r="E30" s="22">
        <f t="shared" si="1"/>
        <v>30</v>
      </c>
      <c r="F30" s="9" t="s">
        <v>127</v>
      </c>
      <c r="M30" s="22">
        <v>0</v>
      </c>
    </row>
    <row r="31" spans="1:14">
      <c r="E31" s="22">
        <f t="shared" si="1"/>
        <v>31</v>
      </c>
      <c r="F31" s="9" t="s">
        <v>35</v>
      </c>
      <c r="M31" s="22">
        <v>0</v>
      </c>
    </row>
    <row r="32" spans="1:14">
      <c r="E32" s="22">
        <f t="shared" si="1"/>
        <v>32</v>
      </c>
      <c r="F32" s="9" t="s">
        <v>96</v>
      </c>
      <c r="M32" s="22" t="s">
        <v>146</v>
      </c>
    </row>
    <row r="33" spans="1:13">
      <c r="E33" s="22">
        <f t="shared" si="1"/>
        <v>33</v>
      </c>
      <c r="F33" s="9" t="s">
        <v>119</v>
      </c>
      <c r="I33" s="22" t="s">
        <v>268</v>
      </c>
      <c r="J33" s="9" t="s">
        <v>260</v>
      </c>
      <c r="M33" s="22" t="str">
        <f>IF(MOD(B27,2)=0,I33,J33)</f>
        <v>Shot3_red</v>
      </c>
    </row>
    <row r="34" spans="1:13">
      <c r="E34" s="22">
        <f t="shared" si="1"/>
        <v>34</v>
      </c>
      <c r="F34" s="9" t="s">
        <v>199</v>
      </c>
      <c r="M34" s="28">
        <v>0.25</v>
      </c>
    </row>
    <row r="35" spans="1:13">
      <c r="E35" s="22">
        <f t="shared" si="1"/>
        <v>35</v>
      </c>
      <c r="F35" s="9" t="s">
        <v>201</v>
      </c>
      <c r="M35" s="22">
        <v>40</v>
      </c>
    </row>
    <row r="36" spans="1:13">
      <c r="E36" s="22">
        <f t="shared" si="1"/>
        <v>36</v>
      </c>
      <c r="F36" s="9" t="s">
        <v>145</v>
      </c>
      <c r="G36" s="9" t="s">
        <v>243</v>
      </c>
      <c r="H36" s="9" t="s">
        <v>245</v>
      </c>
      <c r="I36" s="9" t="s">
        <v>247</v>
      </c>
      <c r="J36" s="9" t="s">
        <v>249</v>
      </c>
      <c r="K36" s="9" t="s">
        <v>137</v>
      </c>
      <c r="M36" s="22" t="str" cm="1">
        <f t="array" ref="M36">_xlfn.SWITCH(C27,1,G36,2,H36,3,I36,4,J36)</f>
        <v>4.3,0</v>
      </c>
    </row>
    <row r="37" spans="1:13">
      <c r="E37" s="22">
        <f t="shared" si="1"/>
        <v>37</v>
      </c>
      <c r="F37" s="9" t="s">
        <v>117</v>
      </c>
      <c r="K37" s="9" t="s">
        <v>138</v>
      </c>
      <c r="M37" s="22">
        <v>2</v>
      </c>
    </row>
    <row r="38" spans="1:13">
      <c r="E38" s="22">
        <f t="shared" si="1"/>
        <v>38</v>
      </c>
      <c r="F38" s="9" t="s">
        <v>147</v>
      </c>
      <c r="M38" s="22">
        <v>10000</v>
      </c>
    </row>
    <row r="39" spans="1:13">
      <c r="E39" s="22">
        <f t="shared" si="1"/>
        <v>39</v>
      </c>
      <c r="F39" s="9" t="s">
        <v>118</v>
      </c>
      <c r="M39" s="22" t="b">
        <v>1</v>
      </c>
    </row>
    <row r="40" spans="1:13">
      <c r="E40" s="22">
        <f t="shared" si="1"/>
        <v>40</v>
      </c>
      <c r="F40" s="9" t="s">
        <v>102</v>
      </c>
      <c r="M40" s="22">
        <f>M28*10+1</f>
        <v>146011</v>
      </c>
    </row>
    <row r="41" spans="1:13">
      <c r="E41" s="22">
        <f t="shared" si="1"/>
        <v>41</v>
      </c>
      <c r="F41" s="9" t="s">
        <v>143</v>
      </c>
      <c r="M41" s="22">
        <f>M28</f>
        <v>14601</v>
      </c>
    </row>
    <row r="42" spans="1:13">
      <c r="E42" s="22">
        <f t="shared" si="1"/>
        <v>42</v>
      </c>
      <c r="F42" s="9" t="s">
        <v>128</v>
      </c>
      <c r="M42" s="22">
        <v>0</v>
      </c>
    </row>
    <row r="43" spans="1:13">
      <c r="E43" s="22">
        <f t="shared" si="1"/>
        <v>43</v>
      </c>
      <c r="F43" s="9" t="s">
        <v>143</v>
      </c>
      <c r="M43" s="22">
        <f>M40</f>
        <v>146011</v>
      </c>
    </row>
    <row r="44" spans="1:13">
      <c r="E44" s="22">
        <f t="shared" si="1"/>
        <v>44</v>
      </c>
      <c r="F44" s="9" t="s">
        <v>128</v>
      </c>
      <c r="M44" s="22">
        <v>0</v>
      </c>
    </row>
    <row r="45" spans="1:13">
      <c r="E45" s="22">
        <f>ROW(E45)</f>
        <v>45</v>
      </c>
      <c r="F45" s="9" t="s">
        <v>172</v>
      </c>
      <c r="I45" s="22">
        <v>14620</v>
      </c>
      <c r="J45" s="9" t="s">
        <v>262</v>
      </c>
      <c r="M45" s="22" t="str">
        <f>IF(MOD(B27,2)=0,I45,J45)</f>
        <v>14621</v>
      </c>
    </row>
    <row r="46" spans="1:13">
      <c r="E46" s="22">
        <f t="shared" si="1"/>
        <v>46</v>
      </c>
      <c r="F46" s="9" t="s">
        <v>35</v>
      </c>
      <c r="I46" s="22">
        <v>30</v>
      </c>
      <c r="J46" s="9" t="s">
        <v>266</v>
      </c>
      <c r="M46" s="22" t="str">
        <f>IF(MOD(B27,2)=0,I46,J46)</f>
        <v>120</v>
      </c>
    </row>
    <row r="47" spans="1:13">
      <c r="A47" s="22" t="s">
        <v>232</v>
      </c>
      <c r="B47" s="22">
        <f t="shared" ref="B47" si="2">QUOTIENT( D47-1,G48)+1</f>
        <v>1</v>
      </c>
      <c r="C47" s="22">
        <f t="shared" ref="C47" si="3">D47-(B47-1)*G48</f>
        <v>2</v>
      </c>
      <c r="D47" s="22">
        <f>COUNT($D$26:$D46)+1</f>
        <v>2</v>
      </c>
    </row>
    <row r="48" spans="1:13">
      <c r="E48" s="22">
        <f t="shared" si="1"/>
        <v>48</v>
      </c>
      <c r="F48" s="9" t="s">
        <v>93</v>
      </c>
      <c r="G48" s="22">
        <v>4</v>
      </c>
      <c r="H48" s="22">
        <v>2</v>
      </c>
      <c r="J48" s="9">
        <v>14600</v>
      </c>
      <c r="M48" s="22">
        <f t="shared" ref="M48" si="4">J48+D47</f>
        <v>14602</v>
      </c>
    </row>
    <row r="49" spans="5:13">
      <c r="E49" s="22">
        <f t="shared" si="1"/>
        <v>49</v>
      </c>
      <c r="F49" s="9" t="s">
        <v>143</v>
      </c>
      <c r="I49" s="22">
        <v>14500</v>
      </c>
      <c r="J49" s="9">
        <v>14501</v>
      </c>
      <c r="M49" s="22">
        <f t="shared" ref="M49" si="5">IF(MOD(B47,2)=0,I49,J49)</f>
        <v>14501</v>
      </c>
    </row>
    <row r="50" spans="5:13">
      <c r="E50" s="22">
        <f t="shared" si="1"/>
        <v>50</v>
      </c>
      <c r="F50" s="9" t="s">
        <v>127</v>
      </c>
      <c r="M50" s="22">
        <v>0</v>
      </c>
    </row>
    <row r="51" spans="5:13">
      <c r="E51" s="22">
        <f t="shared" si="1"/>
        <v>51</v>
      </c>
      <c r="F51" s="9" t="s">
        <v>35</v>
      </c>
      <c r="M51" s="22">
        <v>0</v>
      </c>
    </row>
    <row r="52" spans="5:13">
      <c r="E52" s="22">
        <f t="shared" si="1"/>
        <v>52</v>
      </c>
      <c r="F52" s="9" t="s">
        <v>29</v>
      </c>
      <c r="M52" s="22" t="s">
        <v>146</v>
      </c>
    </row>
    <row r="53" spans="5:13">
      <c r="E53" s="22">
        <f t="shared" si="1"/>
        <v>53</v>
      </c>
      <c r="F53" s="9" t="s">
        <v>119</v>
      </c>
      <c r="I53" s="22" t="s">
        <v>267</v>
      </c>
      <c r="J53" s="9" t="s">
        <v>259</v>
      </c>
      <c r="M53" s="22" t="str">
        <f t="shared" ref="M53" si="6">IF(MOD(B47,2)=0,I53,J53)</f>
        <v>Shot3_red</v>
      </c>
    </row>
    <row r="54" spans="5:13">
      <c r="E54" s="22">
        <f t="shared" si="1"/>
        <v>54</v>
      </c>
      <c r="F54" s="9" t="s">
        <v>199</v>
      </c>
      <c r="M54" s="22">
        <v>0.25</v>
      </c>
    </row>
    <row r="55" spans="5:13">
      <c r="E55" s="22">
        <f t="shared" si="1"/>
        <v>55</v>
      </c>
      <c r="F55" s="9" t="s">
        <v>201</v>
      </c>
      <c r="M55" s="22">
        <v>40</v>
      </c>
    </row>
    <row r="56" spans="5:13">
      <c r="E56" s="22">
        <f t="shared" si="1"/>
        <v>56</v>
      </c>
      <c r="F56" s="9" t="s">
        <v>99</v>
      </c>
      <c r="G56" s="22" t="s">
        <v>242</v>
      </c>
      <c r="H56" s="22" t="s">
        <v>244</v>
      </c>
      <c r="I56" s="22" t="s">
        <v>246</v>
      </c>
      <c r="J56" s="9" t="s">
        <v>248</v>
      </c>
      <c r="K56" s="9" t="s">
        <v>137</v>
      </c>
      <c r="M56" s="22" t="str" cm="1">
        <f t="array" ref="M56">_xlfn.SWITCH(C47,1,G56,2,H56,3,I56,4,J56)</f>
        <v>-4.3,0</v>
      </c>
    </row>
    <row r="57" spans="5:13">
      <c r="E57" s="22">
        <f t="shared" si="1"/>
        <v>57</v>
      </c>
      <c r="F57" s="9" t="s">
        <v>117</v>
      </c>
      <c r="K57" s="9" t="s">
        <v>138</v>
      </c>
      <c r="M57" s="22">
        <v>2</v>
      </c>
    </row>
    <row r="58" spans="5:13">
      <c r="E58" s="22">
        <f t="shared" si="1"/>
        <v>58</v>
      </c>
      <c r="F58" s="9" t="s">
        <v>126</v>
      </c>
      <c r="M58" s="22">
        <v>10000</v>
      </c>
    </row>
    <row r="59" spans="5:13">
      <c r="E59" s="22">
        <f t="shared" si="1"/>
        <v>59</v>
      </c>
      <c r="F59" s="9" t="s">
        <v>118</v>
      </c>
      <c r="M59" s="22" t="b">
        <v>1</v>
      </c>
    </row>
    <row r="60" spans="5:13">
      <c r="E60" s="22">
        <f t="shared" si="1"/>
        <v>60</v>
      </c>
      <c r="F60" s="9" t="s">
        <v>102</v>
      </c>
      <c r="M60" s="22">
        <f t="shared" ref="M60" si="7">M48*10+1</f>
        <v>146021</v>
      </c>
    </row>
    <row r="61" spans="5:13">
      <c r="E61" s="22">
        <f t="shared" si="1"/>
        <v>61</v>
      </c>
      <c r="F61" s="9" t="s">
        <v>143</v>
      </c>
      <c r="M61" s="22">
        <f t="shared" ref="M61" si="8">M48</f>
        <v>14602</v>
      </c>
    </row>
    <row r="62" spans="5:13">
      <c r="E62" s="22">
        <f t="shared" si="1"/>
        <v>62</v>
      </c>
      <c r="F62" s="9" t="s">
        <v>128</v>
      </c>
      <c r="M62" s="22">
        <v>0</v>
      </c>
    </row>
    <row r="63" spans="5:13">
      <c r="E63" s="22">
        <f t="shared" si="1"/>
        <v>63</v>
      </c>
      <c r="F63" s="9" t="s">
        <v>143</v>
      </c>
      <c r="M63" s="22">
        <f t="shared" ref="M63" si="9">M60</f>
        <v>146021</v>
      </c>
    </row>
    <row r="64" spans="5:13">
      <c r="E64" s="22">
        <f t="shared" si="1"/>
        <v>64</v>
      </c>
      <c r="F64" s="9" t="s">
        <v>128</v>
      </c>
      <c r="M64" s="22">
        <v>0</v>
      </c>
    </row>
    <row r="65" spans="1:13">
      <c r="E65" s="22">
        <f t="shared" si="1"/>
        <v>65</v>
      </c>
      <c r="F65" s="9" t="s">
        <v>172</v>
      </c>
      <c r="I65" s="22">
        <v>14620</v>
      </c>
      <c r="J65" s="9" t="s">
        <v>261</v>
      </c>
      <c r="M65" s="22" t="str">
        <f t="shared" ref="M65" si="10">IF(MOD(B47,2)=0,I65,J65)</f>
        <v>14621</v>
      </c>
    </row>
    <row r="66" spans="1:13">
      <c r="E66" s="22">
        <f t="shared" si="1"/>
        <v>66</v>
      </c>
      <c r="F66" s="9" t="s">
        <v>35</v>
      </c>
      <c r="I66" s="22">
        <v>30</v>
      </c>
      <c r="J66" s="9" t="s">
        <v>265</v>
      </c>
      <c r="M66" s="22" t="str">
        <f t="shared" ref="M66" si="11">IF(MOD(B47,2)=0,I66,J66)</f>
        <v>120</v>
      </c>
    </row>
    <row r="67" spans="1:13">
      <c r="A67" s="22" t="s">
        <v>232</v>
      </c>
      <c r="B67" s="22">
        <f t="shared" ref="B67" si="12">QUOTIENT( D67-1,G68)+1</f>
        <v>1</v>
      </c>
      <c r="C67" s="22">
        <f t="shared" ref="C67" si="13">D67-(B67-1)*G68</f>
        <v>3</v>
      </c>
      <c r="D67" s="22">
        <f>COUNT($D$26:$D66)+1</f>
        <v>3</v>
      </c>
    </row>
    <row r="68" spans="1:13">
      <c r="E68" s="22">
        <f t="shared" si="1"/>
        <v>68</v>
      </c>
      <c r="F68" s="9" t="s">
        <v>93</v>
      </c>
      <c r="G68" s="22">
        <v>4</v>
      </c>
      <c r="H68" s="22">
        <v>2</v>
      </c>
      <c r="J68" s="9">
        <v>14600</v>
      </c>
      <c r="M68" s="22">
        <f t="shared" ref="M68" si="14">J68+D67</f>
        <v>14603</v>
      </c>
    </row>
    <row r="69" spans="1:13">
      <c r="E69" s="22">
        <f t="shared" si="1"/>
        <v>69</v>
      </c>
      <c r="F69" s="9" t="s">
        <v>143</v>
      </c>
      <c r="I69" s="22">
        <v>14500</v>
      </c>
      <c r="J69" s="9">
        <v>14501</v>
      </c>
      <c r="M69" s="22">
        <f t="shared" ref="M69" si="15">IF(MOD(B67,2)=0,I69,J69)</f>
        <v>14501</v>
      </c>
    </row>
    <row r="70" spans="1:13">
      <c r="E70" s="22">
        <f t="shared" si="1"/>
        <v>70</v>
      </c>
      <c r="F70" s="9" t="s">
        <v>127</v>
      </c>
      <c r="M70" s="22">
        <v>0</v>
      </c>
    </row>
    <row r="71" spans="1:13">
      <c r="E71" s="22">
        <f t="shared" si="1"/>
        <v>71</v>
      </c>
      <c r="F71" s="9" t="s">
        <v>35</v>
      </c>
      <c r="M71" s="22">
        <v>0</v>
      </c>
    </row>
    <row r="72" spans="1:13">
      <c r="E72" s="22">
        <f t="shared" si="1"/>
        <v>72</v>
      </c>
      <c r="F72" s="9" t="s">
        <v>29</v>
      </c>
      <c r="M72" s="22" t="s">
        <v>146</v>
      </c>
    </row>
    <row r="73" spans="1:13">
      <c r="E73" s="22">
        <f t="shared" si="1"/>
        <v>73</v>
      </c>
      <c r="F73" s="9" t="s">
        <v>119</v>
      </c>
      <c r="I73" s="22" t="s">
        <v>267</v>
      </c>
      <c r="J73" s="9" t="s">
        <v>259</v>
      </c>
      <c r="M73" s="22" t="str">
        <f t="shared" ref="M73" si="16">IF(MOD(B67,2)=0,I73,J73)</f>
        <v>Shot3_red</v>
      </c>
    </row>
    <row r="74" spans="1:13">
      <c r="E74" s="22">
        <f t="shared" si="1"/>
        <v>74</v>
      </c>
      <c r="F74" s="9" t="s">
        <v>199</v>
      </c>
      <c r="M74" s="22">
        <v>0.25</v>
      </c>
    </row>
    <row r="75" spans="1:13">
      <c r="E75" s="22">
        <f t="shared" si="1"/>
        <v>75</v>
      </c>
      <c r="F75" s="9" t="s">
        <v>201</v>
      </c>
      <c r="M75" s="22">
        <v>40</v>
      </c>
    </row>
    <row r="76" spans="1:13">
      <c r="E76" s="22">
        <f t="shared" si="1"/>
        <v>76</v>
      </c>
      <c r="F76" s="9" t="s">
        <v>99</v>
      </c>
      <c r="G76" s="22" t="s">
        <v>242</v>
      </c>
      <c r="H76" s="22" t="s">
        <v>244</v>
      </c>
      <c r="I76" s="22" t="s">
        <v>246</v>
      </c>
      <c r="J76" s="9" t="s">
        <v>248</v>
      </c>
      <c r="K76" s="9" t="s">
        <v>137</v>
      </c>
      <c r="M76" s="22" t="str" cm="1">
        <f t="array" ref="M76">_xlfn.SWITCH(C67,1,G76,2,H76,3,I76,4,J76)</f>
        <v>0,4.3</v>
      </c>
    </row>
    <row r="77" spans="1:13">
      <c r="E77" s="22">
        <f t="shared" si="1"/>
        <v>77</v>
      </c>
      <c r="F77" s="9" t="s">
        <v>117</v>
      </c>
      <c r="K77" s="9" t="s">
        <v>138</v>
      </c>
      <c r="M77" s="22">
        <v>2</v>
      </c>
    </row>
    <row r="78" spans="1:13">
      <c r="E78" s="22">
        <f t="shared" si="1"/>
        <v>78</v>
      </c>
      <c r="F78" s="9" t="s">
        <v>126</v>
      </c>
      <c r="M78" s="22">
        <v>10000</v>
      </c>
    </row>
    <row r="79" spans="1:13">
      <c r="E79" s="22">
        <f t="shared" si="1"/>
        <v>79</v>
      </c>
      <c r="F79" s="9" t="s">
        <v>118</v>
      </c>
      <c r="M79" s="22" t="b">
        <v>1</v>
      </c>
    </row>
    <row r="80" spans="1:13">
      <c r="E80" s="22">
        <f t="shared" si="1"/>
        <v>80</v>
      </c>
      <c r="F80" s="9" t="s">
        <v>102</v>
      </c>
      <c r="M80" s="22">
        <f t="shared" ref="M80" si="17">M68*10+1</f>
        <v>146031</v>
      </c>
    </row>
    <row r="81" spans="1:13">
      <c r="E81" s="22">
        <f t="shared" si="1"/>
        <v>81</v>
      </c>
      <c r="F81" s="9" t="s">
        <v>143</v>
      </c>
      <c r="M81" s="22">
        <f t="shared" ref="M81" si="18">M68</f>
        <v>14603</v>
      </c>
    </row>
    <row r="82" spans="1:13">
      <c r="E82" s="22">
        <f t="shared" si="1"/>
        <v>82</v>
      </c>
      <c r="F82" s="9" t="s">
        <v>128</v>
      </c>
      <c r="M82" s="22">
        <v>0</v>
      </c>
    </row>
    <row r="83" spans="1:13">
      <c r="E83" s="22">
        <f t="shared" si="1"/>
        <v>83</v>
      </c>
      <c r="F83" s="9" t="s">
        <v>143</v>
      </c>
      <c r="M83" s="22">
        <f t="shared" ref="M83" si="19">M80</f>
        <v>146031</v>
      </c>
    </row>
    <row r="84" spans="1:13">
      <c r="E84" s="22">
        <f t="shared" si="1"/>
        <v>84</v>
      </c>
      <c r="F84" s="9" t="s">
        <v>128</v>
      </c>
      <c r="M84" s="22">
        <v>0</v>
      </c>
    </row>
    <row r="85" spans="1:13">
      <c r="E85" s="22">
        <f t="shared" si="1"/>
        <v>85</v>
      </c>
      <c r="F85" s="9" t="s">
        <v>172</v>
      </c>
      <c r="I85" s="22">
        <v>14620</v>
      </c>
      <c r="J85" s="9" t="s">
        <v>261</v>
      </c>
      <c r="M85" s="22" t="str">
        <f t="shared" ref="M85" si="20">IF(MOD(B67,2)=0,I85,J85)</f>
        <v>14621</v>
      </c>
    </row>
    <row r="86" spans="1:13">
      <c r="E86" s="22">
        <f t="shared" si="1"/>
        <v>86</v>
      </c>
      <c r="F86" s="9" t="s">
        <v>35</v>
      </c>
      <c r="I86" s="22">
        <v>30</v>
      </c>
      <c r="J86" s="9" t="s">
        <v>265</v>
      </c>
      <c r="M86" s="22" t="str">
        <f t="shared" ref="M86" si="21">IF(MOD(B67,2)=0,I86,J86)</f>
        <v>120</v>
      </c>
    </row>
    <row r="87" spans="1:13">
      <c r="A87" s="22" t="s">
        <v>232</v>
      </c>
      <c r="B87" s="22">
        <f t="shared" ref="B87" si="22">QUOTIENT( D87-1,G88)+1</f>
        <v>1</v>
      </c>
      <c r="C87" s="22">
        <f t="shared" ref="C87" si="23">D87-(B87-1)*G88</f>
        <v>4</v>
      </c>
      <c r="D87" s="22">
        <f>COUNT($D$26:$D86)+1</f>
        <v>4</v>
      </c>
    </row>
    <row r="88" spans="1:13">
      <c r="E88" s="22">
        <f t="shared" si="1"/>
        <v>88</v>
      </c>
      <c r="F88" s="9" t="s">
        <v>93</v>
      </c>
      <c r="G88" s="22">
        <v>4</v>
      </c>
      <c r="H88" s="22">
        <v>2</v>
      </c>
      <c r="J88" s="9">
        <v>14600</v>
      </c>
      <c r="M88" s="22">
        <f t="shared" ref="M88" si="24">J88+D87</f>
        <v>14604</v>
      </c>
    </row>
    <row r="89" spans="1:13">
      <c r="E89" s="22">
        <f t="shared" si="1"/>
        <v>89</v>
      </c>
      <c r="F89" s="9" t="s">
        <v>143</v>
      </c>
      <c r="I89" s="22">
        <v>14500</v>
      </c>
      <c r="J89" s="9">
        <v>14501</v>
      </c>
      <c r="M89" s="22">
        <f t="shared" ref="M89" si="25">IF(MOD(B87,2)=0,I89,J89)</f>
        <v>14501</v>
      </c>
    </row>
    <row r="90" spans="1:13">
      <c r="E90" s="22">
        <f t="shared" si="1"/>
        <v>90</v>
      </c>
      <c r="F90" s="9" t="s">
        <v>127</v>
      </c>
      <c r="M90" s="22">
        <v>0</v>
      </c>
    </row>
    <row r="91" spans="1:13">
      <c r="E91" s="22">
        <f t="shared" si="1"/>
        <v>91</v>
      </c>
      <c r="F91" s="9" t="s">
        <v>35</v>
      </c>
      <c r="M91" s="22">
        <v>0</v>
      </c>
    </row>
    <row r="92" spans="1:13">
      <c r="E92" s="22">
        <f t="shared" ref="E92:E155" si="26">ROW(E92)</f>
        <v>92</v>
      </c>
      <c r="F92" s="9" t="s">
        <v>29</v>
      </c>
      <c r="M92" s="22" t="s">
        <v>146</v>
      </c>
    </row>
    <row r="93" spans="1:13">
      <c r="E93" s="22">
        <f t="shared" si="26"/>
        <v>93</v>
      </c>
      <c r="F93" s="9" t="s">
        <v>119</v>
      </c>
      <c r="I93" s="22" t="s">
        <v>267</v>
      </c>
      <c r="J93" s="9" t="s">
        <v>259</v>
      </c>
      <c r="M93" s="22" t="str">
        <f t="shared" ref="M93" si="27">IF(MOD(B87,2)=0,I93,J93)</f>
        <v>Shot3_red</v>
      </c>
    </row>
    <row r="94" spans="1:13">
      <c r="E94" s="22">
        <f t="shared" si="26"/>
        <v>94</v>
      </c>
      <c r="F94" s="9" t="s">
        <v>199</v>
      </c>
      <c r="M94" s="22">
        <v>0.25</v>
      </c>
    </row>
    <row r="95" spans="1:13">
      <c r="E95" s="22">
        <f t="shared" si="26"/>
        <v>95</v>
      </c>
      <c r="F95" s="9" t="s">
        <v>201</v>
      </c>
      <c r="M95" s="22">
        <v>40</v>
      </c>
    </row>
    <row r="96" spans="1:13">
      <c r="E96" s="22">
        <f t="shared" si="26"/>
        <v>96</v>
      </c>
      <c r="F96" s="9" t="s">
        <v>99</v>
      </c>
      <c r="G96" s="22" t="s">
        <v>242</v>
      </c>
      <c r="H96" s="22" t="s">
        <v>244</v>
      </c>
      <c r="I96" s="22" t="s">
        <v>246</v>
      </c>
      <c r="J96" s="9" t="s">
        <v>248</v>
      </c>
      <c r="K96" s="9" t="s">
        <v>137</v>
      </c>
      <c r="M96" s="22" t="str" cm="1">
        <f t="array" ref="M96">_xlfn.SWITCH(C87,1,G96,2,H96,3,I96,4,J96)</f>
        <v>0,-4.3</v>
      </c>
    </row>
    <row r="97" spans="1:13">
      <c r="E97" s="22">
        <f t="shared" si="26"/>
        <v>97</v>
      </c>
      <c r="F97" s="9" t="s">
        <v>117</v>
      </c>
      <c r="K97" s="9" t="s">
        <v>138</v>
      </c>
      <c r="M97" s="22">
        <v>2</v>
      </c>
    </row>
    <row r="98" spans="1:13">
      <c r="E98" s="22">
        <f t="shared" si="26"/>
        <v>98</v>
      </c>
      <c r="F98" s="9" t="s">
        <v>126</v>
      </c>
      <c r="M98" s="22">
        <v>10000</v>
      </c>
    </row>
    <row r="99" spans="1:13">
      <c r="E99" s="22">
        <f t="shared" si="26"/>
        <v>99</v>
      </c>
      <c r="F99" s="9" t="s">
        <v>118</v>
      </c>
      <c r="M99" s="22" t="b">
        <v>1</v>
      </c>
    </row>
    <row r="100" spans="1:13">
      <c r="E100" s="22">
        <f t="shared" si="26"/>
        <v>100</v>
      </c>
      <c r="F100" s="9" t="s">
        <v>102</v>
      </c>
      <c r="M100" s="22">
        <f t="shared" ref="M100" si="28">M88*10+1</f>
        <v>146041</v>
      </c>
    </row>
    <row r="101" spans="1:13">
      <c r="E101" s="22">
        <f t="shared" si="26"/>
        <v>101</v>
      </c>
      <c r="F101" s="9" t="s">
        <v>143</v>
      </c>
      <c r="M101" s="22">
        <f t="shared" ref="M101" si="29">M88</f>
        <v>14604</v>
      </c>
    </row>
    <row r="102" spans="1:13">
      <c r="E102" s="22">
        <f t="shared" si="26"/>
        <v>102</v>
      </c>
      <c r="F102" s="9" t="s">
        <v>128</v>
      </c>
      <c r="M102" s="22">
        <v>0</v>
      </c>
    </row>
    <row r="103" spans="1:13">
      <c r="E103" s="22">
        <f t="shared" si="26"/>
        <v>103</v>
      </c>
      <c r="F103" s="9" t="s">
        <v>143</v>
      </c>
      <c r="M103" s="22">
        <f t="shared" ref="M103" si="30">M100</f>
        <v>146041</v>
      </c>
    </row>
    <row r="104" spans="1:13">
      <c r="E104" s="22">
        <f t="shared" si="26"/>
        <v>104</v>
      </c>
      <c r="F104" s="9" t="s">
        <v>128</v>
      </c>
      <c r="M104" s="22">
        <v>0</v>
      </c>
    </row>
    <row r="105" spans="1:13">
      <c r="E105" s="22">
        <f t="shared" si="26"/>
        <v>105</v>
      </c>
      <c r="F105" s="9" t="s">
        <v>172</v>
      </c>
      <c r="I105" s="22">
        <v>14620</v>
      </c>
      <c r="J105" s="9" t="s">
        <v>261</v>
      </c>
      <c r="M105" s="22" t="str">
        <f t="shared" ref="M105" si="31">IF(MOD(B87,2)=0,I105,J105)</f>
        <v>14621</v>
      </c>
    </row>
    <row r="106" spans="1:13">
      <c r="E106" s="22">
        <f t="shared" si="26"/>
        <v>106</v>
      </c>
      <c r="F106" s="9" t="s">
        <v>35</v>
      </c>
      <c r="I106" s="22">
        <v>30</v>
      </c>
      <c r="J106" s="9" t="s">
        <v>265</v>
      </c>
      <c r="M106" s="22" t="str">
        <f t="shared" ref="M106" si="32">IF(MOD(B87,2)=0,I106,J106)</f>
        <v>120</v>
      </c>
    </row>
    <row r="107" spans="1:13">
      <c r="A107" s="22" t="s">
        <v>232</v>
      </c>
      <c r="B107" s="22">
        <f t="shared" ref="B107" si="33">QUOTIENT( D107-1,G108)+1</f>
        <v>2</v>
      </c>
      <c r="C107" s="22">
        <f t="shared" ref="C107" si="34">D107-(B107-1)*G108</f>
        <v>1</v>
      </c>
      <c r="D107" s="22">
        <f>COUNT($D$26:$D106)+1</f>
        <v>5</v>
      </c>
    </row>
    <row r="108" spans="1:13">
      <c r="E108" s="22">
        <f t="shared" si="26"/>
        <v>108</v>
      </c>
      <c r="F108" s="9" t="s">
        <v>93</v>
      </c>
      <c r="G108" s="22">
        <v>4</v>
      </c>
      <c r="H108" s="22">
        <v>2</v>
      </c>
      <c r="J108" s="9">
        <v>14600</v>
      </c>
      <c r="M108" s="22">
        <f t="shared" ref="M108" si="35">J108+D107</f>
        <v>14605</v>
      </c>
    </row>
    <row r="109" spans="1:13">
      <c r="E109" s="22">
        <f t="shared" si="26"/>
        <v>109</v>
      </c>
      <c r="F109" s="9" t="s">
        <v>143</v>
      </c>
      <c r="I109" s="22">
        <v>14500</v>
      </c>
      <c r="J109" s="9">
        <v>14501</v>
      </c>
      <c r="M109" s="22">
        <f t="shared" ref="M109" si="36">IF(MOD(B107,2)=0,I109,J109)</f>
        <v>14500</v>
      </c>
    </row>
    <row r="110" spans="1:13">
      <c r="E110" s="22">
        <f t="shared" si="26"/>
        <v>110</v>
      </c>
      <c r="F110" s="9" t="s">
        <v>127</v>
      </c>
      <c r="M110" s="22">
        <v>0</v>
      </c>
    </row>
    <row r="111" spans="1:13">
      <c r="E111" s="22">
        <f t="shared" si="26"/>
        <v>111</v>
      </c>
      <c r="F111" s="9" t="s">
        <v>35</v>
      </c>
      <c r="M111" s="22">
        <v>0</v>
      </c>
    </row>
    <row r="112" spans="1:13">
      <c r="E112" s="22">
        <f t="shared" si="26"/>
        <v>112</v>
      </c>
      <c r="F112" s="9" t="s">
        <v>29</v>
      </c>
      <c r="M112" s="22" t="s">
        <v>146</v>
      </c>
    </row>
    <row r="113" spans="1:13">
      <c r="E113" s="22">
        <f t="shared" si="26"/>
        <v>113</v>
      </c>
      <c r="F113" s="9" t="s">
        <v>119</v>
      </c>
      <c r="I113" s="22" t="s">
        <v>267</v>
      </c>
      <c r="J113" s="9" t="s">
        <v>259</v>
      </c>
      <c r="M113" s="22" t="str">
        <f t="shared" ref="M113" si="37">IF(MOD(B107,2)=0,I113,J113)</f>
        <v>Shot3_purple</v>
      </c>
    </row>
    <row r="114" spans="1:13">
      <c r="E114" s="22">
        <f t="shared" si="26"/>
        <v>114</v>
      </c>
      <c r="F114" s="9" t="s">
        <v>199</v>
      </c>
      <c r="M114" s="22">
        <v>0.25</v>
      </c>
    </row>
    <row r="115" spans="1:13">
      <c r="E115" s="22">
        <f t="shared" si="26"/>
        <v>115</v>
      </c>
      <c r="F115" s="9" t="s">
        <v>201</v>
      </c>
      <c r="M115" s="22">
        <v>40</v>
      </c>
    </row>
    <row r="116" spans="1:13">
      <c r="E116" s="22">
        <f t="shared" si="26"/>
        <v>116</v>
      </c>
      <c r="F116" s="9" t="s">
        <v>99</v>
      </c>
      <c r="G116" s="22" t="s">
        <v>242</v>
      </c>
      <c r="H116" s="22" t="s">
        <v>244</v>
      </c>
      <c r="I116" s="22" t="s">
        <v>246</v>
      </c>
      <c r="J116" s="9" t="s">
        <v>248</v>
      </c>
      <c r="K116" s="9" t="s">
        <v>137</v>
      </c>
      <c r="M116" s="22" t="str" cm="1">
        <f t="array" ref="M116">_xlfn.SWITCH(C107,1,G116,2,H116,3,I116,4,J116)</f>
        <v>4.3,0</v>
      </c>
    </row>
    <row r="117" spans="1:13">
      <c r="E117" s="22">
        <f t="shared" si="26"/>
        <v>117</v>
      </c>
      <c r="F117" s="9" t="s">
        <v>117</v>
      </c>
      <c r="K117" s="9" t="s">
        <v>138</v>
      </c>
      <c r="M117" s="22">
        <v>2</v>
      </c>
    </row>
    <row r="118" spans="1:13">
      <c r="E118" s="22">
        <f t="shared" si="26"/>
        <v>118</v>
      </c>
      <c r="F118" s="9" t="s">
        <v>126</v>
      </c>
      <c r="M118" s="22">
        <v>10000</v>
      </c>
    </row>
    <row r="119" spans="1:13">
      <c r="E119" s="22">
        <f t="shared" si="26"/>
        <v>119</v>
      </c>
      <c r="F119" s="9" t="s">
        <v>118</v>
      </c>
      <c r="M119" s="22" t="b">
        <v>1</v>
      </c>
    </row>
    <row r="120" spans="1:13">
      <c r="E120" s="22">
        <f t="shared" si="26"/>
        <v>120</v>
      </c>
      <c r="F120" s="9" t="s">
        <v>102</v>
      </c>
      <c r="M120" s="22">
        <f t="shared" ref="M120" si="38">M108*10+1</f>
        <v>146051</v>
      </c>
    </row>
    <row r="121" spans="1:13">
      <c r="E121" s="22">
        <f t="shared" si="26"/>
        <v>121</v>
      </c>
      <c r="F121" s="9" t="s">
        <v>143</v>
      </c>
      <c r="M121" s="22">
        <f t="shared" ref="M121" si="39">M108</f>
        <v>14605</v>
      </c>
    </row>
    <row r="122" spans="1:13">
      <c r="E122" s="22">
        <f t="shared" si="26"/>
        <v>122</v>
      </c>
      <c r="F122" s="9" t="s">
        <v>128</v>
      </c>
      <c r="M122" s="22">
        <v>0</v>
      </c>
    </row>
    <row r="123" spans="1:13">
      <c r="E123" s="22">
        <f t="shared" si="26"/>
        <v>123</v>
      </c>
      <c r="F123" s="9" t="s">
        <v>143</v>
      </c>
      <c r="M123" s="22">
        <f t="shared" ref="M123" si="40">M120</f>
        <v>146051</v>
      </c>
    </row>
    <row r="124" spans="1:13">
      <c r="E124" s="22">
        <f t="shared" si="26"/>
        <v>124</v>
      </c>
      <c r="F124" s="9" t="s">
        <v>128</v>
      </c>
      <c r="M124" s="22">
        <v>0</v>
      </c>
    </row>
    <row r="125" spans="1:13">
      <c r="E125" s="22">
        <f t="shared" si="26"/>
        <v>125</v>
      </c>
      <c r="F125" s="9" t="s">
        <v>172</v>
      </c>
      <c r="I125" s="22">
        <v>14620</v>
      </c>
      <c r="J125" s="9" t="s">
        <v>261</v>
      </c>
      <c r="M125" s="22">
        <f t="shared" ref="M125" si="41">IF(MOD(B107,2)=0,I125,J125)</f>
        <v>14620</v>
      </c>
    </row>
    <row r="126" spans="1:13">
      <c r="E126" s="22">
        <f t="shared" si="26"/>
        <v>126</v>
      </c>
      <c r="F126" s="9" t="s">
        <v>35</v>
      </c>
      <c r="I126" s="22">
        <v>30</v>
      </c>
      <c r="J126" s="9" t="s">
        <v>265</v>
      </c>
      <c r="M126" s="22">
        <f t="shared" ref="M126" si="42">IF(MOD(B107,2)=0,I126,J126)</f>
        <v>30</v>
      </c>
    </row>
    <row r="127" spans="1:13">
      <c r="A127" s="22" t="s">
        <v>232</v>
      </c>
      <c r="B127" s="22">
        <f t="shared" ref="B127" si="43">QUOTIENT( D127-1,G128)+1</f>
        <v>2</v>
      </c>
      <c r="C127" s="22">
        <f t="shared" ref="C127" si="44">D127-(B127-1)*G128</f>
        <v>2</v>
      </c>
      <c r="D127" s="22">
        <f>COUNT($D$26:$D126)+1</f>
        <v>6</v>
      </c>
    </row>
    <row r="128" spans="1:13">
      <c r="E128" s="22">
        <f t="shared" si="26"/>
        <v>128</v>
      </c>
      <c r="F128" s="9" t="s">
        <v>93</v>
      </c>
      <c r="G128" s="22">
        <v>4</v>
      </c>
      <c r="H128" s="22">
        <v>2</v>
      </c>
      <c r="J128" s="9">
        <v>14600</v>
      </c>
      <c r="M128" s="22">
        <f t="shared" ref="M128" si="45">J128+D127</f>
        <v>14606</v>
      </c>
    </row>
    <row r="129" spans="5:13">
      <c r="E129" s="22">
        <f t="shared" si="26"/>
        <v>129</v>
      </c>
      <c r="F129" s="9" t="s">
        <v>143</v>
      </c>
      <c r="I129" s="22">
        <v>14500</v>
      </c>
      <c r="J129" s="9">
        <v>14501</v>
      </c>
      <c r="M129" s="22">
        <f t="shared" ref="M129" si="46">IF(MOD(B127,2)=0,I129,J129)</f>
        <v>14500</v>
      </c>
    </row>
    <row r="130" spans="5:13">
      <c r="E130" s="22">
        <f t="shared" si="26"/>
        <v>130</v>
      </c>
      <c r="F130" s="9" t="s">
        <v>127</v>
      </c>
      <c r="M130" s="22">
        <v>0</v>
      </c>
    </row>
    <row r="131" spans="5:13">
      <c r="E131" s="22">
        <f t="shared" si="26"/>
        <v>131</v>
      </c>
      <c r="F131" s="9" t="s">
        <v>35</v>
      </c>
      <c r="M131" s="22">
        <v>0</v>
      </c>
    </row>
    <row r="132" spans="5:13">
      <c r="E132" s="22">
        <f t="shared" si="26"/>
        <v>132</v>
      </c>
      <c r="F132" s="9" t="s">
        <v>29</v>
      </c>
      <c r="M132" s="22" t="s">
        <v>146</v>
      </c>
    </row>
    <row r="133" spans="5:13">
      <c r="E133" s="22">
        <f t="shared" si="26"/>
        <v>133</v>
      </c>
      <c r="F133" s="9" t="s">
        <v>119</v>
      </c>
      <c r="I133" s="22" t="s">
        <v>267</v>
      </c>
      <c r="J133" s="9" t="s">
        <v>259</v>
      </c>
      <c r="M133" s="22" t="str">
        <f t="shared" ref="M133" si="47">IF(MOD(B127,2)=0,I133,J133)</f>
        <v>Shot3_purple</v>
      </c>
    </row>
    <row r="134" spans="5:13">
      <c r="E134" s="22">
        <f t="shared" si="26"/>
        <v>134</v>
      </c>
      <c r="F134" s="9" t="s">
        <v>199</v>
      </c>
      <c r="M134" s="22">
        <v>0.25</v>
      </c>
    </row>
    <row r="135" spans="5:13">
      <c r="E135" s="22">
        <f t="shared" si="26"/>
        <v>135</v>
      </c>
      <c r="F135" s="9" t="s">
        <v>201</v>
      </c>
      <c r="M135" s="22">
        <v>40</v>
      </c>
    </row>
    <row r="136" spans="5:13">
      <c r="E136" s="22">
        <f t="shared" si="26"/>
        <v>136</v>
      </c>
      <c r="F136" s="9" t="s">
        <v>99</v>
      </c>
      <c r="G136" s="22" t="s">
        <v>242</v>
      </c>
      <c r="H136" s="22" t="s">
        <v>244</v>
      </c>
      <c r="I136" s="22" t="s">
        <v>246</v>
      </c>
      <c r="J136" s="9" t="s">
        <v>248</v>
      </c>
      <c r="K136" s="9" t="s">
        <v>137</v>
      </c>
      <c r="M136" s="22" t="str" cm="1">
        <f t="array" ref="M136">_xlfn.SWITCH(C127,1,G136,2,H136,3,I136,4,J136)</f>
        <v>-4.3,0</v>
      </c>
    </row>
    <row r="137" spans="5:13">
      <c r="E137" s="22">
        <f t="shared" si="26"/>
        <v>137</v>
      </c>
      <c r="F137" s="9" t="s">
        <v>117</v>
      </c>
      <c r="K137" s="9" t="s">
        <v>138</v>
      </c>
      <c r="M137" s="22">
        <v>2</v>
      </c>
    </row>
    <row r="138" spans="5:13">
      <c r="E138" s="22">
        <f t="shared" si="26"/>
        <v>138</v>
      </c>
      <c r="F138" s="9" t="s">
        <v>126</v>
      </c>
      <c r="M138" s="22">
        <v>10000</v>
      </c>
    </row>
    <row r="139" spans="5:13">
      <c r="E139" s="22">
        <f t="shared" si="26"/>
        <v>139</v>
      </c>
      <c r="F139" s="9" t="s">
        <v>118</v>
      </c>
      <c r="M139" s="22" t="b">
        <v>1</v>
      </c>
    </row>
    <row r="140" spans="5:13">
      <c r="E140" s="22">
        <f t="shared" si="26"/>
        <v>140</v>
      </c>
      <c r="F140" s="9" t="s">
        <v>102</v>
      </c>
      <c r="M140" s="22">
        <f t="shared" ref="M140" si="48">M128*10+1</f>
        <v>146061</v>
      </c>
    </row>
    <row r="141" spans="5:13">
      <c r="E141" s="22">
        <f t="shared" si="26"/>
        <v>141</v>
      </c>
      <c r="F141" s="9" t="s">
        <v>143</v>
      </c>
      <c r="M141" s="22">
        <f t="shared" ref="M141" si="49">M128</f>
        <v>14606</v>
      </c>
    </row>
    <row r="142" spans="5:13">
      <c r="E142" s="22">
        <f t="shared" si="26"/>
        <v>142</v>
      </c>
      <c r="F142" s="9" t="s">
        <v>128</v>
      </c>
      <c r="M142" s="22">
        <v>0</v>
      </c>
    </row>
    <row r="143" spans="5:13">
      <c r="E143" s="22">
        <f t="shared" si="26"/>
        <v>143</v>
      </c>
      <c r="F143" s="9" t="s">
        <v>143</v>
      </c>
      <c r="M143" s="22">
        <f t="shared" ref="M143" si="50">M140</f>
        <v>146061</v>
      </c>
    </row>
    <row r="144" spans="5:13">
      <c r="E144" s="22">
        <f t="shared" si="26"/>
        <v>144</v>
      </c>
      <c r="F144" s="9" t="s">
        <v>128</v>
      </c>
      <c r="M144" s="22">
        <v>0</v>
      </c>
    </row>
    <row r="145" spans="1:13">
      <c r="E145" s="22">
        <f t="shared" si="26"/>
        <v>145</v>
      </c>
      <c r="F145" s="9" t="s">
        <v>172</v>
      </c>
      <c r="I145" s="22">
        <v>14620</v>
      </c>
      <c r="J145" s="9" t="s">
        <v>261</v>
      </c>
      <c r="M145" s="22">
        <f t="shared" ref="M145" si="51">IF(MOD(B127,2)=0,I145,J145)</f>
        <v>14620</v>
      </c>
    </row>
    <row r="146" spans="1:13">
      <c r="E146" s="22">
        <f t="shared" si="26"/>
        <v>146</v>
      </c>
      <c r="F146" s="9" t="s">
        <v>35</v>
      </c>
      <c r="I146" s="22">
        <v>30</v>
      </c>
      <c r="J146" s="9" t="s">
        <v>265</v>
      </c>
      <c r="M146" s="22">
        <f t="shared" ref="M146" si="52">IF(MOD(B127,2)=0,I146,J146)</f>
        <v>30</v>
      </c>
    </row>
    <row r="147" spans="1:13">
      <c r="A147" s="22" t="s">
        <v>232</v>
      </c>
      <c r="B147" s="22">
        <f t="shared" ref="B147" si="53">QUOTIENT( D147-1,G148)+1</f>
        <v>2</v>
      </c>
      <c r="C147" s="22">
        <f t="shared" ref="C147" si="54">D147-(B147-1)*G148</f>
        <v>3</v>
      </c>
      <c r="D147" s="22">
        <f>COUNT($D$26:$D146)+1</f>
        <v>7</v>
      </c>
    </row>
    <row r="148" spans="1:13">
      <c r="E148" s="22">
        <f t="shared" si="26"/>
        <v>148</v>
      </c>
      <c r="F148" s="9" t="s">
        <v>93</v>
      </c>
      <c r="G148" s="22">
        <v>4</v>
      </c>
      <c r="H148" s="22">
        <v>2</v>
      </c>
      <c r="J148" s="9">
        <v>14600</v>
      </c>
      <c r="M148" s="22">
        <f t="shared" ref="M148" si="55">J148+D147</f>
        <v>14607</v>
      </c>
    </row>
    <row r="149" spans="1:13">
      <c r="E149" s="22">
        <f t="shared" si="26"/>
        <v>149</v>
      </c>
      <c r="F149" s="9" t="s">
        <v>143</v>
      </c>
      <c r="I149" s="22">
        <v>14500</v>
      </c>
      <c r="J149" s="9">
        <v>14501</v>
      </c>
      <c r="M149" s="22">
        <f t="shared" ref="M149" si="56">IF(MOD(B147,2)=0,I149,J149)</f>
        <v>14500</v>
      </c>
    </row>
    <row r="150" spans="1:13">
      <c r="E150" s="22">
        <f t="shared" si="26"/>
        <v>150</v>
      </c>
      <c r="F150" s="9" t="s">
        <v>127</v>
      </c>
      <c r="M150" s="22">
        <v>0</v>
      </c>
    </row>
    <row r="151" spans="1:13">
      <c r="E151" s="22">
        <f t="shared" si="26"/>
        <v>151</v>
      </c>
      <c r="F151" s="9" t="s">
        <v>35</v>
      </c>
      <c r="M151" s="22">
        <v>0</v>
      </c>
    </row>
    <row r="152" spans="1:13">
      <c r="E152" s="22">
        <f t="shared" si="26"/>
        <v>152</v>
      </c>
      <c r="F152" s="9" t="s">
        <v>29</v>
      </c>
      <c r="M152" s="22" t="s">
        <v>146</v>
      </c>
    </row>
    <row r="153" spans="1:13">
      <c r="E153" s="22">
        <f t="shared" si="26"/>
        <v>153</v>
      </c>
      <c r="F153" s="9" t="s">
        <v>119</v>
      </c>
      <c r="I153" s="22" t="s">
        <v>267</v>
      </c>
      <c r="J153" s="9" t="s">
        <v>259</v>
      </c>
      <c r="M153" s="22" t="str">
        <f t="shared" ref="M153" si="57">IF(MOD(B147,2)=0,I153,J153)</f>
        <v>Shot3_purple</v>
      </c>
    </row>
    <row r="154" spans="1:13">
      <c r="E154" s="22">
        <f t="shared" si="26"/>
        <v>154</v>
      </c>
      <c r="F154" s="9" t="s">
        <v>199</v>
      </c>
      <c r="M154" s="22">
        <v>0.25</v>
      </c>
    </row>
    <row r="155" spans="1:13">
      <c r="E155" s="22">
        <f t="shared" si="26"/>
        <v>155</v>
      </c>
      <c r="F155" s="9" t="s">
        <v>201</v>
      </c>
      <c r="M155" s="22">
        <v>40</v>
      </c>
    </row>
    <row r="156" spans="1:13">
      <c r="E156" s="22">
        <f t="shared" ref="E156:E186" si="58">ROW(E156)</f>
        <v>156</v>
      </c>
      <c r="F156" s="9" t="s">
        <v>99</v>
      </c>
      <c r="G156" s="22" t="s">
        <v>242</v>
      </c>
      <c r="H156" s="22" t="s">
        <v>244</v>
      </c>
      <c r="I156" s="22" t="s">
        <v>246</v>
      </c>
      <c r="J156" s="9" t="s">
        <v>248</v>
      </c>
      <c r="K156" s="9" t="s">
        <v>137</v>
      </c>
      <c r="M156" s="22" t="str" cm="1">
        <f t="array" ref="M156">_xlfn.SWITCH(C147,1,G156,2,H156,3,I156,4,J156)</f>
        <v>0,4.3</v>
      </c>
    </row>
    <row r="157" spans="1:13">
      <c r="E157" s="22">
        <f t="shared" si="58"/>
        <v>157</v>
      </c>
      <c r="F157" s="9" t="s">
        <v>117</v>
      </c>
      <c r="K157" s="9" t="s">
        <v>138</v>
      </c>
      <c r="M157" s="22">
        <v>2</v>
      </c>
    </row>
    <row r="158" spans="1:13">
      <c r="E158" s="22">
        <f t="shared" si="58"/>
        <v>158</v>
      </c>
      <c r="F158" s="9" t="s">
        <v>126</v>
      </c>
      <c r="M158" s="22">
        <v>10000</v>
      </c>
    </row>
    <row r="159" spans="1:13">
      <c r="E159" s="22">
        <f t="shared" si="58"/>
        <v>159</v>
      </c>
      <c r="F159" s="9" t="s">
        <v>118</v>
      </c>
      <c r="M159" s="22" t="b">
        <v>1</v>
      </c>
    </row>
    <row r="160" spans="1:13">
      <c r="E160" s="22">
        <f t="shared" si="58"/>
        <v>160</v>
      </c>
      <c r="F160" s="9" t="s">
        <v>102</v>
      </c>
      <c r="M160" s="22">
        <f t="shared" ref="M160" si="59">M148*10+1</f>
        <v>146071</v>
      </c>
    </row>
    <row r="161" spans="1:13">
      <c r="E161" s="22">
        <f t="shared" si="58"/>
        <v>161</v>
      </c>
      <c r="F161" s="9" t="s">
        <v>143</v>
      </c>
      <c r="M161" s="22">
        <f t="shared" ref="M161" si="60">M148</f>
        <v>14607</v>
      </c>
    </row>
    <row r="162" spans="1:13">
      <c r="E162" s="22">
        <f t="shared" si="58"/>
        <v>162</v>
      </c>
      <c r="F162" s="9" t="s">
        <v>128</v>
      </c>
      <c r="M162" s="22">
        <v>0</v>
      </c>
    </row>
    <row r="163" spans="1:13">
      <c r="E163" s="22">
        <f t="shared" si="58"/>
        <v>163</v>
      </c>
      <c r="F163" s="9" t="s">
        <v>143</v>
      </c>
      <c r="M163" s="22">
        <f t="shared" ref="M163" si="61">M160</f>
        <v>146071</v>
      </c>
    </row>
    <row r="164" spans="1:13">
      <c r="E164" s="22">
        <f t="shared" si="58"/>
        <v>164</v>
      </c>
      <c r="F164" s="9" t="s">
        <v>128</v>
      </c>
      <c r="M164" s="22">
        <v>0</v>
      </c>
    </row>
    <row r="165" spans="1:13">
      <c r="E165" s="22">
        <f t="shared" si="58"/>
        <v>165</v>
      </c>
      <c r="F165" s="9" t="s">
        <v>172</v>
      </c>
      <c r="I165" s="22">
        <v>14620</v>
      </c>
      <c r="J165" s="9" t="s">
        <v>261</v>
      </c>
      <c r="M165" s="22">
        <f t="shared" ref="M165" si="62">IF(MOD(B147,2)=0,I165,J165)</f>
        <v>14620</v>
      </c>
    </row>
    <row r="166" spans="1:13">
      <c r="E166" s="22">
        <f t="shared" si="58"/>
        <v>166</v>
      </c>
      <c r="F166" s="9" t="s">
        <v>35</v>
      </c>
      <c r="I166" s="22">
        <v>30</v>
      </c>
      <c r="J166" s="9" t="s">
        <v>265</v>
      </c>
      <c r="M166" s="22">
        <f t="shared" ref="M166" si="63">IF(MOD(B147,2)=0,I166,J166)</f>
        <v>30</v>
      </c>
    </row>
    <row r="167" spans="1:13">
      <c r="A167" s="22" t="s">
        <v>232</v>
      </c>
      <c r="B167" s="22">
        <f t="shared" ref="B167" si="64">QUOTIENT( D167-1,G168)+1</f>
        <v>2</v>
      </c>
      <c r="C167" s="22">
        <f t="shared" ref="C167" si="65">D167-(B167-1)*G168</f>
        <v>4</v>
      </c>
      <c r="D167" s="22">
        <f>COUNT($D$26:$D166)+1</f>
        <v>8</v>
      </c>
    </row>
    <row r="168" spans="1:13">
      <c r="E168" s="22">
        <f t="shared" si="58"/>
        <v>168</v>
      </c>
      <c r="F168" s="9" t="s">
        <v>93</v>
      </c>
      <c r="G168" s="22">
        <v>4</v>
      </c>
      <c r="H168" s="22">
        <v>2</v>
      </c>
      <c r="J168" s="9">
        <v>14600</v>
      </c>
      <c r="M168" s="22">
        <f t="shared" ref="M168" si="66">J168+D167</f>
        <v>14608</v>
      </c>
    </row>
    <row r="169" spans="1:13">
      <c r="E169" s="22">
        <f t="shared" si="58"/>
        <v>169</v>
      </c>
      <c r="F169" s="9" t="s">
        <v>143</v>
      </c>
      <c r="I169" s="22">
        <v>14500</v>
      </c>
      <c r="J169" s="9">
        <v>14501</v>
      </c>
      <c r="M169" s="22">
        <f t="shared" ref="M169" si="67">IF(MOD(B167,2)=0,I169,J169)</f>
        <v>14500</v>
      </c>
    </row>
    <row r="170" spans="1:13">
      <c r="E170" s="22">
        <f t="shared" si="58"/>
        <v>170</v>
      </c>
      <c r="F170" s="9" t="s">
        <v>127</v>
      </c>
      <c r="M170" s="22">
        <v>0</v>
      </c>
    </row>
    <row r="171" spans="1:13">
      <c r="E171" s="22">
        <f t="shared" si="58"/>
        <v>171</v>
      </c>
      <c r="F171" s="9" t="s">
        <v>35</v>
      </c>
      <c r="M171" s="22">
        <v>0</v>
      </c>
    </row>
    <row r="172" spans="1:13">
      <c r="E172" s="22">
        <f t="shared" si="58"/>
        <v>172</v>
      </c>
      <c r="F172" s="9" t="s">
        <v>29</v>
      </c>
      <c r="M172" s="22" t="s">
        <v>146</v>
      </c>
    </row>
    <row r="173" spans="1:13">
      <c r="E173" s="22">
        <f t="shared" si="58"/>
        <v>173</v>
      </c>
      <c r="F173" s="9" t="s">
        <v>119</v>
      </c>
      <c r="I173" s="22" t="s">
        <v>267</v>
      </c>
      <c r="J173" s="9" t="s">
        <v>259</v>
      </c>
      <c r="M173" s="22" t="str">
        <f t="shared" ref="M173" si="68">IF(MOD(B167,2)=0,I173,J173)</f>
        <v>Shot3_purple</v>
      </c>
    </row>
    <row r="174" spans="1:13">
      <c r="E174" s="22">
        <f t="shared" si="58"/>
        <v>174</v>
      </c>
      <c r="F174" s="9" t="s">
        <v>199</v>
      </c>
      <c r="M174" s="22">
        <v>0.25</v>
      </c>
    </row>
    <row r="175" spans="1:13">
      <c r="E175" s="22">
        <f t="shared" si="58"/>
        <v>175</v>
      </c>
      <c r="F175" s="9" t="s">
        <v>201</v>
      </c>
      <c r="M175" s="22">
        <v>40</v>
      </c>
    </row>
    <row r="176" spans="1:13">
      <c r="E176" s="22">
        <f t="shared" si="58"/>
        <v>176</v>
      </c>
      <c r="F176" s="9" t="s">
        <v>99</v>
      </c>
      <c r="G176" s="22" t="s">
        <v>242</v>
      </c>
      <c r="H176" s="22" t="s">
        <v>244</v>
      </c>
      <c r="I176" s="22" t="s">
        <v>246</v>
      </c>
      <c r="J176" s="9" t="s">
        <v>248</v>
      </c>
      <c r="K176" s="9" t="s">
        <v>137</v>
      </c>
      <c r="M176" s="22" t="str" cm="1">
        <f t="array" ref="M176">_xlfn.SWITCH(C167,1,G176,2,H176,3,I176,4,J176)</f>
        <v>0,-4.3</v>
      </c>
    </row>
    <row r="177" spans="5:13">
      <c r="E177" s="22">
        <f t="shared" si="58"/>
        <v>177</v>
      </c>
      <c r="F177" s="9" t="s">
        <v>117</v>
      </c>
      <c r="K177" s="9" t="s">
        <v>138</v>
      </c>
      <c r="M177" s="22">
        <v>2</v>
      </c>
    </row>
    <row r="178" spans="5:13">
      <c r="E178" s="22">
        <f t="shared" si="58"/>
        <v>178</v>
      </c>
      <c r="F178" s="9" t="s">
        <v>126</v>
      </c>
      <c r="M178" s="22">
        <v>10000</v>
      </c>
    </row>
    <row r="179" spans="5:13">
      <c r="E179" s="22">
        <f t="shared" si="58"/>
        <v>179</v>
      </c>
      <c r="F179" s="9" t="s">
        <v>118</v>
      </c>
      <c r="M179" s="22" t="b">
        <v>1</v>
      </c>
    </row>
    <row r="180" spans="5:13">
      <c r="E180" s="22">
        <f t="shared" si="58"/>
        <v>180</v>
      </c>
      <c r="F180" s="9" t="s">
        <v>102</v>
      </c>
      <c r="M180" s="22">
        <f t="shared" ref="M180" si="69">M168*10+1</f>
        <v>146081</v>
      </c>
    </row>
    <row r="181" spans="5:13">
      <c r="E181" s="22">
        <f t="shared" si="58"/>
        <v>181</v>
      </c>
      <c r="F181" s="9" t="s">
        <v>143</v>
      </c>
      <c r="M181" s="22">
        <f t="shared" ref="M181" si="70">M168</f>
        <v>14608</v>
      </c>
    </row>
    <row r="182" spans="5:13">
      <c r="E182" s="22">
        <f t="shared" si="58"/>
        <v>182</v>
      </c>
      <c r="F182" s="9" t="s">
        <v>128</v>
      </c>
      <c r="M182" s="22">
        <v>0</v>
      </c>
    </row>
    <row r="183" spans="5:13">
      <c r="E183" s="22">
        <f t="shared" si="58"/>
        <v>183</v>
      </c>
      <c r="F183" s="9" t="s">
        <v>143</v>
      </c>
      <c r="M183" s="22">
        <f t="shared" ref="M183" si="71">M180</f>
        <v>146081</v>
      </c>
    </row>
    <row r="184" spans="5:13">
      <c r="E184" s="22">
        <f t="shared" si="58"/>
        <v>184</v>
      </c>
      <c r="F184" s="9" t="s">
        <v>128</v>
      </c>
      <c r="M184" s="22">
        <v>0</v>
      </c>
    </row>
    <row r="185" spans="5:13">
      <c r="E185" s="22">
        <f t="shared" si="58"/>
        <v>185</v>
      </c>
      <c r="F185" s="9" t="s">
        <v>172</v>
      </c>
      <c r="I185" s="22">
        <v>14620</v>
      </c>
      <c r="J185" s="9" t="s">
        <v>261</v>
      </c>
      <c r="M185" s="22">
        <f t="shared" ref="M185" si="72">IF(MOD(B167,2)=0,I185,J185)</f>
        <v>14620</v>
      </c>
    </row>
    <row r="186" spans="5:13">
      <c r="E186" s="22">
        <f t="shared" si="58"/>
        <v>186</v>
      </c>
      <c r="F186" s="9" t="s">
        <v>35</v>
      </c>
      <c r="I186" s="22">
        <v>30</v>
      </c>
      <c r="J186" s="9" t="s">
        <v>265</v>
      </c>
      <c r="M186" s="22">
        <f t="shared" ref="M186" si="73">IF(MOD(B167,2)=0,I186,J186)</f>
        <v>30</v>
      </c>
    </row>
    <row r="233" spans="1:13">
      <c r="A233" s="22">
        <f>G235*H235</f>
        <v>1</v>
      </c>
      <c r="B233" s="16" t="s">
        <v>251</v>
      </c>
      <c r="C233" s="9"/>
      <c r="D233" s="9"/>
    </row>
    <row r="234" spans="1:13">
      <c r="A234" s="9" t="s">
        <v>232</v>
      </c>
      <c r="B234" s="22">
        <f>QUOTIENT( D234-1,G235)+1</f>
        <v>1</v>
      </c>
      <c r="C234" s="22">
        <f>D234-(B234-1)*G235</f>
        <v>1</v>
      </c>
      <c r="D234" s="22">
        <f>COUNT($D$233:$D233)+1</f>
        <v>1</v>
      </c>
    </row>
    <row r="235" spans="1:13">
      <c r="E235" s="22">
        <f t="shared" ref="E235:E247" si="74">ROW(E235)</f>
        <v>235</v>
      </c>
      <c r="F235" s="9" t="s">
        <v>93</v>
      </c>
      <c r="G235" s="22">
        <v>1</v>
      </c>
      <c r="H235" s="22">
        <v>1</v>
      </c>
      <c r="J235" s="22">
        <v>14700</v>
      </c>
      <c r="M235" s="22">
        <f>J235+D234</f>
        <v>14701</v>
      </c>
    </row>
    <row r="236" spans="1:13">
      <c r="E236" s="22">
        <f t="shared" si="74"/>
        <v>236</v>
      </c>
      <c r="F236" s="9" t="s">
        <v>143</v>
      </c>
      <c r="M236" s="22">
        <v>14620</v>
      </c>
    </row>
    <row r="237" spans="1:13">
      <c r="E237" s="22">
        <f t="shared" si="74"/>
        <v>237</v>
      </c>
      <c r="F237" s="9" t="s">
        <v>127</v>
      </c>
      <c r="M237" s="22">
        <v>0</v>
      </c>
    </row>
    <row r="238" spans="1:13">
      <c r="E238" s="22">
        <f t="shared" si="74"/>
        <v>238</v>
      </c>
      <c r="F238" s="9" t="s">
        <v>96</v>
      </c>
      <c r="M238" s="22" t="s">
        <v>253</v>
      </c>
    </row>
    <row r="239" spans="1:13">
      <c r="E239" s="22">
        <f t="shared" si="74"/>
        <v>239</v>
      </c>
      <c r="F239" s="9" t="s">
        <v>119</v>
      </c>
      <c r="M239" s="22" t="s">
        <v>254</v>
      </c>
    </row>
    <row r="240" spans="1:13">
      <c r="E240" s="22">
        <f t="shared" si="74"/>
        <v>240</v>
      </c>
      <c r="F240" s="9" t="s">
        <v>115</v>
      </c>
      <c r="M240" s="22" t="b">
        <v>1</v>
      </c>
    </row>
    <row r="241" spans="1:13">
      <c r="F241" s="9" t="s">
        <v>199</v>
      </c>
      <c r="M241" s="28">
        <v>0.25</v>
      </c>
    </row>
    <row r="242" spans="1:13">
      <c r="F242" s="9" t="s">
        <v>201</v>
      </c>
      <c r="M242" s="22">
        <v>40</v>
      </c>
    </row>
    <row r="243" spans="1:13">
      <c r="E243" s="22">
        <f t="shared" si="74"/>
        <v>243</v>
      </c>
      <c r="F243" s="9" t="s">
        <v>145</v>
      </c>
      <c r="G243" s="9"/>
      <c r="H243" s="9"/>
      <c r="I243" s="9"/>
      <c r="K243" s="9" t="s">
        <v>138</v>
      </c>
      <c r="M243" s="22">
        <v>2</v>
      </c>
    </row>
    <row r="244" spans="1:13">
      <c r="E244" s="22">
        <f t="shared" si="74"/>
        <v>244</v>
      </c>
      <c r="F244" s="9" t="s">
        <v>116</v>
      </c>
      <c r="M244" s="27">
        <v>2</v>
      </c>
    </row>
    <row r="245" spans="1:13">
      <c r="E245" s="22">
        <f t="shared" si="74"/>
        <v>245</v>
      </c>
      <c r="F245" s="9" t="s">
        <v>110</v>
      </c>
      <c r="M245" s="27">
        <v>2</v>
      </c>
    </row>
    <row r="246" spans="1:13">
      <c r="E246" s="22">
        <f t="shared" si="74"/>
        <v>246</v>
      </c>
      <c r="F246" s="9" t="s">
        <v>31</v>
      </c>
      <c r="L246" s="9" t="s">
        <v>136</v>
      </c>
      <c r="M246" s="27" t="s">
        <v>252</v>
      </c>
    </row>
    <row r="247" spans="1:13">
      <c r="E247" s="22">
        <f t="shared" si="74"/>
        <v>247</v>
      </c>
      <c r="F247" s="9" t="s">
        <v>187</v>
      </c>
      <c r="L247" s="9" t="s">
        <v>135</v>
      </c>
      <c r="M247" s="27">
        <v>15</v>
      </c>
    </row>
    <row r="249" spans="1:13">
      <c r="A249" s="22">
        <f>G251*H251</f>
        <v>1</v>
      </c>
      <c r="B249" s="16" t="s">
        <v>263</v>
      </c>
      <c r="C249" s="9"/>
      <c r="D249" s="9"/>
    </row>
    <row r="250" spans="1:13">
      <c r="A250" s="9" t="s">
        <v>232</v>
      </c>
      <c r="B250" s="22">
        <f>QUOTIENT( D250-1,G251)+1</f>
        <v>2</v>
      </c>
      <c r="C250" s="22">
        <f>D250-(B250-1)*G251</f>
        <v>1</v>
      </c>
      <c r="D250" s="22">
        <f>COUNT($D$233:$D249)+1</f>
        <v>2</v>
      </c>
    </row>
    <row r="251" spans="1:13">
      <c r="E251" s="22">
        <f t="shared" ref="E251:E261" si="75">ROW(E251)</f>
        <v>251</v>
      </c>
      <c r="F251" s="9" t="s">
        <v>93</v>
      </c>
      <c r="G251" s="22">
        <v>1</v>
      </c>
      <c r="H251" s="22">
        <v>1</v>
      </c>
      <c r="J251" s="22">
        <v>14700</v>
      </c>
      <c r="M251" s="22">
        <f>J251+D250</f>
        <v>14702</v>
      </c>
    </row>
    <row r="252" spans="1:13">
      <c r="E252" s="22">
        <f t="shared" si="75"/>
        <v>252</v>
      </c>
      <c r="F252" s="9" t="s">
        <v>143</v>
      </c>
      <c r="M252" s="22">
        <v>14621</v>
      </c>
    </row>
    <row r="253" spans="1:13">
      <c r="E253" s="22">
        <f t="shared" si="75"/>
        <v>253</v>
      </c>
      <c r="F253" s="9" t="s">
        <v>127</v>
      </c>
      <c r="M253" s="22">
        <v>0</v>
      </c>
    </row>
    <row r="254" spans="1:13">
      <c r="E254" s="22">
        <f t="shared" si="75"/>
        <v>254</v>
      </c>
      <c r="F254" s="9" t="s">
        <v>96</v>
      </c>
      <c r="M254" s="22" t="s">
        <v>253</v>
      </c>
    </row>
    <row r="255" spans="1:13">
      <c r="E255" s="22">
        <f t="shared" si="75"/>
        <v>255</v>
      </c>
      <c r="F255" s="9" t="s">
        <v>119</v>
      </c>
      <c r="M255" s="22" t="s">
        <v>264</v>
      </c>
    </row>
    <row r="256" spans="1:13">
      <c r="E256" s="22">
        <f t="shared" si="75"/>
        <v>256</v>
      </c>
      <c r="F256" s="9" t="s">
        <v>115</v>
      </c>
      <c r="M256" s="22" t="b">
        <v>1</v>
      </c>
    </row>
    <row r="257" spans="1:13">
      <c r="F257" s="9" t="s">
        <v>199</v>
      </c>
      <c r="M257" s="28">
        <v>0.25</v>
      </c>
    </row>
    <row r="258" spans="1:13">
      <c r="F258" s="9" t="s">
        <v>201</v>
      </c>
      <c r="M258" s="22">
        <v>40</v>
      </c>
    </row>
    <row r="259" spans="1:13">
      <c r="E259" s="22">
        <f t="shared" si="75"/>
        <v>259</v>
      </c>
      <c r="F259" s="9" t="s">
        <v>145</v>
      </c>
      <c r="G259" s="9"/>
      <c r="H259" s="9"/>
      <c r="I259" s="9"/>
      <c r="K259" s="9" t="s">
        <v>138</v>
      </c>
      <c r="M259" s="22">
        <v>2</v>
      </c>
    </row>
    <row r="260" spans="1:13">
      <c r="E260" s="22">
        <f t="shared" si="75"/>
        <v>260</v>
      </c>
      <c r="F260" s="9" t="s">
        <v>30</v>
      </c>
      <c r="M260" s="27">
        <v>0.8</v>
      </c>
    </row>
    <row r="261" spans="1:13">
      <c r="E261" s="22">
        <f t="shared" si="75"/>
        <v>261</v>
      </c>
      <c r="F261" s="9" t="s">
        <v>31</v>
      </c>
      <c r="L261" s="9" t="s">
        <v>136</v>
      </c>
      <c r="M261" s="27" t="s">
        <v>258</v>
      </c>
    </row>
    <row r="262" spans="1:13">
      <c r="M262" s="27"/>
    </row>
    <row r="264" spans="1:13">
      <c r="A264" s="22">
        <f>G266*H266</f>
        <v>1</v>
      </c>
      <c r="B264" s="16" t="s">
        <v>255</v>
      </c>
      <c r="C264" s="9"/>
      <c r="D264" s="9"/>
    </row>
    <row r="265" spans="1:13">
      <c r="A265" s="9" t="s">
        <v>232</v>
      </c>
      <c r="B265" s="22">
        <f>QUOTIENT( D265-1,G266)+1</f>
        <v>1</v>
      </c>
      <c r="C265" s="22">
        <f>D265-(B265-1)*G266</f>
        <v>1</v>
      </c>
      <c r="D265" s="22">
        <f>COUNT($D$264:$D264)+1</f>
        <v>1</v>
      </c>
    </row>
    <row r="266" spans="1:13">
      <c r="E266" s="22">
        <f t="shared" ref="E266:E274" si="76">ROW(E266)</f>
        <v>266</v>
      </c>
      <c r="F266" s="9" t="s">
        <v>93</v>
      </c>
      <c r="G266" s="22">
        <v>1</v>
      </c>
      <c r="H266" s="22">
        <v>1</v>
      </c>
      <c r="J266" s="22"/>
      <c r="M266" s="22">
        <v>14710</v>
      </c>
    </row>
    <row r="267" spans="1:13">
      <c r="E267" s="22">
        <f t="shared" si="76"/>
        <v>267</v>
      </c>
      <c r="F267" s="9" t="s">
        <v>143</v>
      </c>
      <c r="M267" s="22">
        <v>144109</v>
      </c>
    </row>
    <row r="268" spans="1:13">
      <c r="E268" s="22">
        <f t="shared" si="76"/>
        <v>268</v>
      </c>
      <c r="F268" s="9" t="s">
        <v>127</v>
      </c>
      <c r="M268" s="22">
        <v>0</v>
      </c>
    </row>
    <row r="269" spans="1:13">
      <c r="E269" s="22">
        <f t="shared" si="76"/>
        <v>269</v>
      </c>
      <c r="F269" s="9" t="s">
        <v>96</v>
      </c>
      <c r="M269" s="22" t="s">
        <v>256</v>
      </c>
    </row>
    <row r="270" spans="1:13">
      <c r="E270" s="22">
        <f t="shared" si="76"/>
        <v>270</v>
      </c>
      <c r="F270" s="9" t="s">
        <v>119</v>
      </c>
      <c r="M270" s="22" t="s">
        <v>257</v>
      </c>
    </row>
    <row r="271" spans="1:13">
      <c r="E271" s="22">
        <f t="shared" si="76"/>
        <v>271</v>
      </c>
      <c r="F271" s="9" t="s">
        <v>114</v>
      </c>
      <c r="L271" s="9" t="s">
        <v>135</v>
      </c>
      <c r="M271" s="22">
        <v>90</v>
      </c>
    </row>
    <row r="272" spans="1:13">
      <c r="E272" s="22">
        <f t="shared" si="76"/>
        <v>272</v>
      </c>
      <c r="F272" s="9" t="s">
        <v>145</v>
      </c>
      <c r="G272" s="9"/>
      <c r="H272" s="9"/>
      <c r="I272" s="9"/>
      <c r="K272" s="9" t="s">
        <v>138</v>
      </c>
      <c r="M272" s="22">
        <v>2</v>
      </c>
    </row>
    <row r="273" spans="5:13">
      <c r="E273" s="22">
        <f t="shared" si="76"/>
        <v>273</v>
      </c>
      <c r="F273" s="9" t="s">
        <v>30</v>
      </c>
      <c r="M273" s="27">
        <v>3.5</v>
      </c>
    </row>
    <row r="274" spans="5:13">
      <c r="E274" s="22">
        <f t="shared" si="76"/>
        <v>274</v>
      </c>
      <c r="F274" s="9" t="s">
        <v>31</v>
      </c>
      <c r="L274" s="9" t="s">
        <v>136</v>
      </c>
      <c r="M274" s="27" t="s">
        <v>258</v>
      </c>
    </row>
    <row r="333" spans="1:31" s="16" customFormat="1">
      <c r="A333" s="22"/>
      <c r="B333" s="22"/>
      <c r="C333" s="22"/>
      <c r="D333" s="22"/>
      <c r="E333" s="22"/>
      <c r="F333" s="9"/>
      <c r="G333" s="22"/>
      <c r="H333" s="22"/>
      <c r="I333" s="22"/>
      <c r="J333" s="9"/>
      <c r="K333" s="9"/>
      <c r="L333" s="9"/>
      <c r="M333" s="22"/>
      <c r="N333" s="9"/>
      <c r="O333" s="9"/>
      <c r="P333" s="9"/>
      <c r="Q333" s="9"/>
      <c r="R333" s="9"/>
      <c r="S333" s="12"/>
      <c r="T333" s="9"/>
      <c r="U333" s="9"/>
      <c r="V333" s="12"/>
      <c r="W333" s="12"/>
      <c r="X333" s="12"/>
      <c r="Y333" s="15"/>
      <c r="Z333" s="15"/>
      <c r="AA333" s="15"/>
      <c r="AB333" s="15"/>
      <c r="AC333" s="15"/>
      <c r="AD333" s="15"/>
      <c r="AE333" s="15"/>
    </row>
    <row r="334" spans="1:31" s="16" customFormat="1">
      <c r="A334" s="22"/>
      <c r="B334" s="22"/>
      <c r="C334" s="22"/>
      <c r="D334" s="22"/>
      <c r="E334" s="22"/>
      <c r="F334" s="9"/>
      <c r="G334" s="22"/>
      <c r="H334" s="22"/>
      <c r="I334" s="22"/>
      <c r="J334" s="9"/>
      <c r="K334" s="9"/>
      <c r="L334" s="9"/>
      <c r="M334" s="22"/>
      <c r="N334" s="9"/>
      <c r="O334" s="9"/>
      <c r="P334" s="9"/>
      <c r="Q334" s="9"/>
      <c r="R334" s="9"/>
      <c r="S334" s="12"/>
      <c r="T334" s="9"/>
      <c r="U334" s="9"/>
      <c r="V334" s="12"/>
      <c r="W334" s="12"/>
      <c r="X334" s="12"/>
      <c r="Y334" s="15"/>
      <c r="Z334" s="15"/>
      <c r="AA334" s="15"/>
      <c r="AB334" s="15"/>
      <c r="AC334" s="15"/>
      <c r="AD334" s="15"/>
      <c r="AE334" s="15"/>
    </row>
    <row r="335" spans="1:31" s="16" customFormat="1">
      <c r="A335" s="22"/>
      <c r="B335" s="22"/>
      <c r="C335" s="22"/>
      <c r="D335" s="22"/>
      <c r="E335" s="22"/>
      <c r="F335" s="9"/>
      <c r="G335" s="22"/>
      <c r="H335" s="22"/>
      <c r="I335" s="22"/>
      <c r="J335" s="9"/>
      <c r="K335" s="9"/>
      <c r="L335" s="9"/>
      <c r="M335" s="22"/>
      <c r="N335" s="9"/>
      <c r="O335" s="9"/>
      <c r="P335" s="9"/>
      <c r="Q335" s="9"/>
      <c r="R335" s="9"/>
      <c r="S335" s="12"/>
      <c r="T335" s="9"/>
      <c r="U335" s="9"/>
      <c r="V335" s="12"/>
      <c r="W335" s="12"/>
      <c r="X335" s="12"/>
      <c r="Y335" s="15"/>
      <c r="Z335" s="15"/>
      <c r="AA335" s="15"/>
      <c r="AB335" s="15"/>
      <c r="AC335" s="15"/>
      <c r="AD335" s="15"/>
      <c r="AE335" s="15"/>
    </row>
    <row r="336" spans="1:31" s="16" customFormat="1">
      <c r="A336" s="22"/>
      <c r="B336" s="22"/>
      <c r="C336" s="22"/>
      <c r="D336" s="22"/>
      <c r="E336" s="22"/>
      <c r="F336" s="9"/>
      <c r="G336" s="22"/>
      <c r="H336" s="22"/>
      <c r="I336" s="22"/>
      <c r="J336" s="9"/>
      <c r="K336" s="9"/>
      <c r="L336" s="9"/>
      <c r="M336" s="22"/>
      <c r="N336" s="9"/>
      <c r="O336" s="9"/>
      <c r="P336" s="9"/>
      <c r="Q336" s="9"/>
      <c r="R336" s="9"/>
      <c r="S336" s="12"/>
      <c r="T336" s="9"/>
      <c r="U336" s="9"/>
      <c r="V336" s="12"/>
      <c r="W336" s="12"/>
      <c r="X336" s="12"/>
      <c r="Y336" s="15"/>
      <c r="Z336" s="15"/>
      <c r="AA336" s="15"/>
      <c r="AB336" s="15"/>
      <c r="AC336" s="15"/>
      <c r="AD336" s="15"/>
      <c r="AE336" s="15"/>
    </row>
    <row r="337" spans="1:31" s="16" customFormat="1">
      <c r="A337" s="22"/>
      <c r="B337" s="22"/>
      <c r="C337" s="22"/>
      <c r="D337" s="22"/>
      <c r="E337" s="22"/>
      <c r="F337" s="9"/>
      <c r="G337" s="22"/>
      <c r="H337" s="22"/>
      <c r="I337" s="22"/>
      <c r="J337" s="9"/>
      <c r="K337" s="9"/>
      <c r="L337" s="9"/>
      <c r="M337" s="22"/>
      <c r="N337" s="9"/>
      <c r="O337" s="9"/>
      <c r="P337" s="9"/>
      <c r="Q337" s="9"/>
      <c r="R337" s="9"/>
      <c r="S337" s="12"/>
      <c r="T337" s="9"/>
      <c r="U337" s="9"/>
      <c r="V337" s="12"/>
      <c r="W337" s="12"/>
      <c r="X337" s="12"/>
      <c r="Y337" s="15"/>
      <c r="Z337" s="15"/>
      <c r="AA337" s="15"/>
      <c r="AB337" s="15"/>
      <c r="AC337" s="15"/>
      <c r="AD337" s="15"/>
      <c r="AE337" s="15"/>
    </row>
    <row r="338" spans="1:31" s="16" customFormat="1">
      <c r="A338" s="22"/>
      <c r="B338" s="22"/>
      <c r="C338" s="22"/>
      <c r="D338" s="22"/>
      <c r="E338" s="22"/>
      <c r="F338" s="9"/>
      <c r="G338" s="22"/>
      <c r="H338" s="22"/>
      <c r="I338" s="22"/>
      <c r="J338" s="9"/>
      <c r="K338" s="9"/>
      <c r="L338" s="9"/>
      <c r="M338" s="22"/>
      <c r="N338" s="9"/>
      <c r="O338" s="9"/>
      <c r="P338" s="9"/>
      <c r="Q338" s="9"/>
      <c r="R338" s="9"/>
      <c r="S338" s="12"/>
      <c r="T338" s="9"/>
      <c r="U338" s="9"/>
      <c r="V338" s="12"/>
      <c r="W338" s="12"/>
      <c r="X338" s="12"/>
      <c r="Y338" s="15"/>
      <c r="Z338" s="15"/>
      <c r="AA338" s="15"/>
      <c r="AB338" s="15"/>
      <c r="AC338" s="15"/>
      <c r="AD338" s="15"/>
      <c r="AE338" s="15"/>
    </row>
    <row r="365" spans="1:10">
      <c r="B365" s="9"/>
      <c r="C365" s="9"/>
      <c r="D365" s="9"/>
    </row>
    <row r="366" spans="1:10">
      <c r="A366" s="9"/>
    </row>
    <row r="367" spans="1:10">
      <c r="J367" s="22"/>
    </row>
    <row r="379" ht="20.25" customHeight="1"/>
    <row r="380" ht="20.25" customHeight="1"/>
    <row r="386" ht="20.25" customHeight="1"/>
    <row r="579" spans="1:31" s="16" customFormat="1">
      <c r="A579" s="22"/>
      <c r="B579" s="22"/>
      <c r="C579" s="22"/>
      <c r="D579" s="22"/>
      <c r="E579" s="22"/>
      <c r="F579" s="9"/>
      <c r="G579" s="22"/>
      <c r="H579" s="22"/>
      <c r="I579" s="22"/>
      <c r="J579" s="9"/>
      <c r="K579" s="9"/>
      <c r="L579" s="9"/>
      <c r="M579" s="22"/>
      <c r="N579" s="22"/>
      <c r="O579" s="9"/>
      <c r="P579" s="9"/>
      <c r="Q579" s="9"/>
      <c r="R579" s="9"/>
      <c r="S579" s="12"/>
      <c r="T579" s="9"/>
      <c r="U579" s="9"/>
      <c r="V579" s="12"/>
      <c r="W579" s="12"/>
      <c r="X579" s="12"/>
      <c r="Y579" s="15"/>
      <c r="Z579" s="15"/>
      <c r="AA579" s="15"/>
      <c r="AB579" s="15"/>
      <c r="AC579" s="15"/>
      <c r="AD579" s="15"/>
      <c r="AE579" s="15"/>
    </row>
    <row r="580" spans="1:31" s="16" customFormat="1">
      <c r="A580" s="22"/>
      <c r="B580" s="22"/>
      <c r="C580" s="22"/>
      <c r="D580" s="22"/>
      <c r="E580" s="22"/>
      <c r="F580" s="9"/>
      <c r="G580" s="22"/>
      <c r="H580" s="22"/>
      <c r="I580" s="22"/>
      <c r="J580" s="9"/>
      <c r="K580" s="9"/>
      <c r="L580" s="9"/>
      <c r="M580" s="22"/>
      <c r="N580" s="22"/>
      <c r="O580" s="9"/>
      <c r="P580" s="9"/>
      <c r="Q580" s="9"/>
      <c r="R580" s="9"/>
      <c r="S580" s="12"/>
      <c r="T580" s="9"/>
      <c r="U580" s="9"/>
      <c r="V580" s="12"/>
      <c r="W580" s="12"/>
      <c r="X580" s="12"/>
      <c r="Y580" s="15"/>
      <c r="Z580" s="15"/>
      <c r="AA580" s="15"/>
      <c r="AB580" s="15"/>
      <c r="AC580" s="15"/>
      <c r="AD580" s="15"/>
      <c r="AE580" s="15"/>
    </row>
    <row r="581" spans="1:31" s="16" customFormat="1">
      <c r="A581" s="22"/>
      <c r="B581" s="22"/>
      <c r="C581" s="22"/>
      <c r="D581" s="22"/>
      <c r="E581" s="22"/>
      <c r="F581" s="9"/>
      <c r="G581" s="22"/>
      <c r="H581" s="22"/>
      <c r="I581" s="22"/>
      <c r="J581" s="9"/>
      <c r="K581" s="9"/>
      <c r="L581" s="9"/>
      <c r="M581" s="22"/>
      <c r="N581" s="22"/>
      <c r="O581" s="9"/>
      <c r="P581" s="9"/>
      <c r="Q581" s="9"/>
      <c r="R581" s="9"/>
      <c r="S581" s="12"/>
      <c r="T581" s="9"/>
      <c r="U581" s="9"/>
      <c r="V581" s="12"/>
      <c r="W581" s="12"/>
      <c r="X581" s="12"/>
      <c r="Y581" s="15"/>
      <c r="Z581" s="15"/>
      <c r="AA581" s="15"/>
      <c r="AB581" s="15"/>
      <c r="AC581" s="15"/>
      <c r="AD581" s="15"/>
      <c r="AE581" s="15"/>
    </row>
    <row r="582" spans="1:31" s="16" customFormat="1">
      <c r="A582" s="22"/>
      <c r="B582" s="22"/>
      <c r="C582" s="22"/>
      <c r="D582" s="22"/>
      <c r="E582" s="22"/>
      <c r="F582" s="9"/>
      <c r="G582" s="22"/>
      <c r="H582" s="22"/>
      <c r="I582" s="22"/>
      <c r="J582" s="9"/>
      <c r="K582" s="9"/>
      <c r="L582" s="9"/>
      <c r="M582" s="22"/>
      <c r="N582" s="22"/>
      <c r="O582" s="9"/>
      <c r="P582" s="9"/>
      <c r="Q582" s="9"/>
      <c r="R582" s="9"/>
      <c r="S582" s="12"/>
      <c r="T582" s="9"/>
      <c r="U582" s="9"/>
      <c r="V582" s="12"/>
      <c r="W582" s="12"/>
      <c r="X582" s="12"/>
      <c r="Y582" s="15"/>
      <c r="Z582" s="15"/>
      <c r="AA582" s="15"/>
      <c r="AB582" s="15"/>
      <c r="AC582" s="15"/>
      <c r="AD582" s="15"/>
      <c r="AE582" s="15"/>
    </row>
    <row r="583" spans="1:31" s="16" customFormat="1">
      <c r="A583" s="22"/>
      <c r="B583" s="22"/>
      <c r="C583" s="22"/>
      <c r="D583" s="22"/>
      <c r="E583" s="22"/>
      <c r="F583" s="9"/>
      <c r="G583" s="22"/>
      <c r="H583" s="22"/>
      <c r="I583" s="22"/>
      <c r="J583" s="9"/>
      <c r="K583" s="9"/>
      <c r="L583" s="9"/>
      <c r="M583" s="22"/>
      <c r="N583" s="22"/>
      <c r="O583" s="9"/>
      <c r="P583" s="9"/>
      <c r="Q583" s="9"/>
      <c r="R583" s="9"/>
      <c r="S583" s="12"/>
      <c r="T583" s="9"/>
      <c r="U583" s="9"/>
      <c r="V583" s="12"/>
      <c r="W583" s="12"/>
      <c r="X583" s="12"/>
      <c r="Y583" s="15"/>
      <c r="Z583" s="15"/>
      <c r="AA583" s="15"/>
      <c r="AB583" s="15"/>
      <c r="AC583" s="15"/>
      <c r="AD583" s="15"/>
      <c r="AE583" s="15"/>
    </row>
    <row r="584" spans="1:31" s="16" customFormat="1">
      <c r="A584" s="22"/>
      <c r="B584" s="22"/>
      <c r="C584" s="22"/>
      <c r="D584" s="22"/>
      <c r="E584" s="22"/>
      <c r="F584" s="9"/>
      <c r="G584" s="22"/>
      <c r="H584" s="22"/>
      <c r="I584" s="22"/>
      <c r="J584" s="9"/>
      <c r="K584" s="9"/>
      <c r="L584" s="9"/>
      <c r="M584" s="22"/>
      <c r="N584" s="22"/>
      <c r="O584" s="9"/>
      <c r="P584" s="9"/>
      <c r="Q584" s="9"/>
      <c r="R584" s="9"/>
      <c r="S584" s="12"/>
      <c r="T584" s="9"/>
      <c r="U584" s="9"/>
      <c r="V584" s="12"/>
      <c r="W584" s="12"/>
      <c r="X584" s="12"/>
      <c r="Y584" s="15"/>
      <c r="Z584" s="15"/>
      <c r="AA584" s="15"/>
      <c r="AB584" s="15"/>
      <c r="AC584" s="15"/>
      <c r="AD584" s="15"/>
      <c r="AE584" s="15"/>
    </row>
    <row r="585" spans="1:31" s="16" customFormat="1">
      <c r="A585" s="22"/>
      <c r="B585" s="22"/>
      <c r="C585" s="22"/>
      <c r="D585" s="22"/>
      <c r="E585" s="22"/>
      <c r="F585" s="9"/>
      <c r="G585" s="22"/>
      <c r="H585" s="22"/>
      <c r="I585" s="22"/>
      <c r="J585" s="9"/>
      <c r="K585" s="9"/>
      <c r="L585" s="9"/>
      <c r="M585" s="22"/>
      <c r="N585" s="22"/>
      <c r="O585" s="9"/>
      <c r="P585" s="9"/>
      <c r="Q585" s="9"/>
      <c r="R585" s="9"/>
      <c r="S585" s="12"/>
      <c r="T585" s="9"/>
      <c r="U585" s="9"/>
      <c r="V585" s="12"/>
      <c r="W585" s="12"/>
      <c r="X585" s="12"/>
      <c r="Y585" s="15"/>
      <c r="Z585" s="15"/>
      <c r="AA585" s="15"/>
      <c r="AB585" s="15"/>
      <c r="AC585" s="15"/>
      <c r="AD585" s="15"/>
      <c r="AE585" s="15"/>
    </row>
    <row r="586" spans="1:31">
      <c r="N586" s="22"/>
    </row>
    <row r="587" spans="1:31">
      <c r="N587" s="22"/>
    </row>
    <row r="588" spans="1:31">
      <c r="N588" s="22"/>
    </row>
    <row r="589" spans="1:31">
      <c r="N589" s="22"/>
    </row>
    <row r="590" spans="1:31">
      <c r="N590" s="22"/>
    </row>
    <row r="591" spans="1:31">
      <c r="N591" s="22"/>
    </row>
    <row r="592" spans="1:31">
      <c r="N592" s="22"/>
    </row>
    <row r="593" spans="1:14">
      <c r="N593" s="22"/>
    </row>
    <row r="594" spans="1:14">
      <c r="N594" s="22"/>
    </row>
    <row r="595" spans="1:14">
      <c r="N595" s="22"/>
    </row>
    <row r="596" spans="1:14">
      <c r="N596" s="22"/>
    </row>
    <row r="600" spans="1:14">
      <c r="B600" s="9"/>
      <c r="C600" s="9"/>
      <c r="D600" s="9"/>
      <c r="M600" s="9"/>
    </row>
    <row r="601" spans="1:14">
      <c r="A601" s="9"/>
    </row>
    <row r="602" spans="1:14">
      <c r="J602" s="22"/>
    </row>
    <row r="613" spans="6:60" s="22" customFormat="1">
      <c r="F613" s="9"/>
      <c r="J613" s="9"/>
      <c r="K613" s="9"/>
      <c r="L613" s="9"/>
      <c r="N613" s="9"/>
      <c r="O613" s="9"/>
      <c r="P613" s="9"/>
      <c r="Q613" s="9"/>
      <c r="R613" s="9"/>
      <c r="S613" s="12"/>
      <c r="T613" s="9"/>
      <c r="U613" s="9"/>
      <c r="V613" s="12"/>
      <c r="W613" s="12"/>
      <c r="X613" s="12"/>
      <c r="Y613" s="15"/>
      <c r="Z613" s="15"/>
      <c r="AA613" s="15"/>
      <c r="AB613" s="15"/>
      <c r="AC613" s="15"/>
      <c r="AD613" s="15"/>
      <c r="AE613" s="15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</row>
    <row r="614" spans="6:60" s="22" customFormat="1">
      <c r="F614" s="9"/>
      <c r="J614" s="9"/>
      <c r="K614" s="9"/>
      <c r="L614" s="9"/>
      <c r="N614" s="9"/>
      <c r="O614" s="9"/>
      <c r="P614" s="9"/>
      <c r="Q614" s="9"/>
      <c r="R614" s="9"/>
      <c r="S614" s="12"/>
      <c r="T614" s="9"/>
      <c r="U614" s="9"/>
      <c r="V614" s="12"/>
      <c r="W614" s="12"/>
      <c r="X614" s="12"/>
      <c r="Y614" s="15"/>
      <c r="Z614" s="15"/>
      <c r="AA614" s="15"/>
      <c r="AB614" s="15"/>
      <c r="AC614" s="15"/>
      <c r="AD614" s="15"/>
      <c r="AE614" s="15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</row>
    <row r="615" spans="6:60" s="22" customFormat="1">
      <c r="F615" s="9"/>
      <c r="J615" s="9"/>
      <c r="K615" s="9"/>
      <c r="L615" s="9"/>
      <c r="N615" s="9"/>
      <c r="O615" s="9"/>
      <c r="P615" s="9"/>
      <c r="Q615" s="9"/>
      <c r="R615" s="9"/>
      <c r="S615" s="12"/>
      <c r="T615" s="9"/>
      <c r="U615" s="9"/>
      <c r="V615" s="12"/>
      <c r="W615" s="12"/>
      <c r="X615" s="12"/>
      <c r="Y615" s="15"/>
      <c r="Z615" s="15"/>
      <c r="AA615" s="15"/>
      <c r="AB615" s="15"/>
      <c r="AC615" s="15"/>
      <c r="AD615" s="15"/>
      <c r="AE615" s="15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</row>
    <row r="617" spans="6:60" s="22" customFormat="1">
      <c r="F617" s="9"/>
      <c r="J617" s="9"/>
      <c r="K617" s="9"/>
      <c r="L617" s="9"/>
      <c r="N617" s="9"/>
      <c r="O617" s="9"/>
      <c r="P617" s="9"/>
      <c r="Q617" s="9"/>
      <c r="R617" s="9"/>
      <c r="S617" s="12"/>
      <c r="T617" s="9"/>
      <c r="U617" s="9"/>
      <c r="V617" s="12"/>
      <c r="W617" s="12"/>
      <c r="X617" s="12"/>
      <c r="Y617" s="15"/>
      <c r="Z617" s="15"/>
      <c r="AA617" s="15"/>
      <c r="AB617" s="15"/>
      <c r="AC617" s="15"/>
      <c r="AD617" s="15"/>
      <c r="AE617" s="15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</row>
    <row r="618" spans="6:60" s="22" customFormat="1">
      <c r="F618" s="9"/>
      <c r="J618" s="9"/>
      <c r="K618" s="9"/>
      <c r="L618" s="9"/>
      <c r="N618" s="9"/>
      <c r="O618" s="9"/>
      <c r="P618" s="9"/>
      <c r="Q618" s="9"/>
      <c r="R618" s="9"/>
      <c r="S618" s="12"/>
      <c r="T618" s="9"/>
      <c r="U618" s="9"/>
      <c r="V618" s="12"/>
      <c r="W618" s="12"/>
      <c r="X618" s="12"/>
      <c r="Y618" s="15"/>
      <c r="Z618" s="15"/>
      <c r="AA618" s="15"/>
      <c r="AB618" s="15"/>
      <c r="AC618" s="15"/>
      <c r="AD618" s="15"/>
      <c r="AE618" s="15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</row>
    <row r="619" spans="6:60" s="22" customFormat="1">
      <c r="F619" s="9"/>
      <c r="J619" s="9"/>
      <c r="K619" s="9"/>
      <c r="L619" s="9"/>
      <c r="N619" s="9"/>
      <c r="O619" s="9"/>
      <c r="P619" s="9"/>
      <c r="Q619" s="9"/>
      <c r="R619" s="9"/>
      <c r="S619" s="12"/>
      <c r="T619" s="9"/>
      <c r="U619" s="9"/>
      <c r="V619" s="12"/>
      <c r="W619" s="12"/>
      <c r="X619" s="12"/>
      <c r="Y619" s="15"/>
      <c r="Z619" s="15"/>
      <c r="AA619" s="15"/>
      <c r="AB619" s="15"/>
      <c r="AC619" s="15"/>
      <c r="AD619" s="15"/>
      <c r="AE619" s="15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</row>
    <row r="620" spans="6:60" s="22" customFormat="1">
      <c r="F620" s="9"/>
      <c r="J620" s="9"/>
      <c r="K620" s="9"/>
      <c r="L620" s="9"/>
      <c r="N620" s="9"/>
      <c r="O620" s="9"/>
      <c r="P620" s="9"/>
      <c r="Q620" s="9"/>
      <c r="R620" s="9"/>
      <c r="S620" s="12"/>
      <c r="T620" s="9"/>
      <c r="U620" s="9"/>
      <c r="V620" s="12"/>
      <c r="W620" s="12"/>
      <c r="X620" s="12"/>
      <c r="Y620" s="15"/>
      <c r="Z620" s="15"/>
      <c r="AA620" s="15"/>
      <c r="AB620" s="15"/>
      <c r="AC620" s="15"/>
      <c r="AD620" s="15"/>
      <c r="AE620" s="15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</row>
    <row r="621" spans="6:60" s="22" customFormat="1">
      <c r="F621" s="9"/>
      <c r="J621" s="9"/>
      <c r="K621" s="9"/>
      <c r="L621" s="9"/>
      <c r="N621" s="9"/>
      <c r="O621" s="9"/>
      <c r="P621" s="9"/>
      <c r="Q621" s="9"/>
      <c r="R621" s="9"/>
      <c r="S621" s="12"/>
      <c r="T621" s="9"/>
      <c r="U621" s="9"/>
      <c r="V621" s="12"/>
      <c r="W621" s="12"/>
      <c r="X621" s="12"/>
      <c r="Y621" s="15"/>
      <c r="Z621" s="15"/>
      <c r="AA621" s="15"/>
      <c r="AB621" s="15"/>
      <c r="AC621" s="15"/>
      <c r="AD621" s="15"/>
      <c r="AE621" s="15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</row>
    <row r="622" spans="6:60" s="22" customFormat="1">
      <c r="F622" s="9"/>
      <c r="J622" s="9"/>
      <c r="K622" s="9"/>
      <c r="L622" s="9"/>
      <c r="N622" s="9"/>
      <c r="O622" s="9"/>
      <c r="P622" s="9"/>
      <c r="Q622" s="9"/>
      <c r="R622" s="9"/>
      <c r="S622" s="12"/>
      <c r="T622" s="9"/>
      <c r="U622" s="9"/>
      <c r="V622" s="12"/>
      <c r="W622" s="12"/>
      <c r="X622" s="12"/>
      <c r="Y622" s="15"/>
      <c r="Z622" s="15"/>
      <c r="AA622" s="15"/>
      <c r="AB622" s="15"/>
      <c r="AC622" s="15"/>
      <c r="AD622" s="15"/>
      <c r="AE622" s="15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</row>
    <row r="623" spans="6:60" s="22" customFormat="1">
      <c r="F623" s="9"/>
      <c r="J623" s="9"/>
      <c r="K623" s="9"/>
      <c r="L623" s="9"/>
      <c r="N623" s="9"/>
      <c r="O623" s="9"/>
      <c r="P623" s="9"/>
      <c r="Q623" s="9"/>
      <c r="R623" s="9"/>
      <c r="S623" s="12"/>
      <c r="T623" s="9"/>
      <c r="U623" s="9"/>
      <c r="V623" s="12"/>
      <c r="W623" s="12"/>
      <c r="X623" s="12"/>
      <c r="Y623" s="15"/>
      <c r="Z623" s="15"/>
      <c r="AA623" s="15"/>
      <c r="AB623" s="15"/>
      <c r="AC623" s="15"/>
      <c r="AD623" s="15"/>
      <c r="AE623" s="15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</row>
    <row r="624" spans="6:60" s="22" customFormat="1">
      <c r="F624" s="9"/>
      <c r="J624" s="9"/>
      <c r="K624" s="9"/>
      <c r="L624" s="9"/>
      <c r="N624" s="9"/>
      <c r="O624" s="9"/>
      <c r="P624" s="9"/>
      <c r="Q624" s="9"/>
      <c r="R624" s="9"/>
      <c r="S624" s="12"/>
      <c r="T624" s="9"/>
      <c r="U624" s="9"/>
      <c r="V624" s="12"/>
      <c r="W624" s="12"/>
      <c r="X624" s="12"/>
      <c r="Y624" s="15"/>
      <c r="Z624" s="15"/>
      <c r="AA624" s="15"/>
      <c r="AB624" s="15"/>
      <c r="AC624" s="15"/>
      <c r="AD624" s="15"/>
      <c r="AE624" s="15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</row>
    <row r="625" spans="6:60" s="22" customFormat="1">
      <c r="F625" s="9"/>
      <c r="J625" s="9"/>
      <c r="K625" s="9"/>
      <c r="L625" s="9"/>
      <c r="N625" s="9"/>
      <c r="O625" s="9"/>
      <c r="P625" s="9"/>
      <c r="Q625" s="9"/>
      <c r="R625" s="9"/>
      <c r="S625" s="12"/>
      <c r="T625" s="9"/>
      <c r="U625" s="9"/>
      <c r="V625" s="12"/>
      <c r="W625" s="12"/>
      <c r="X625" s="12"/>
      <c r="Y625" s="15"/>
      <c r="Z625" s="15"/>
      <c r="AA625" s="15"/>
      <c r="AB625" s="15"/>
      <c r="AC625" s="15"/>
      <c r="AD625" s="15"/>
      <c r="AE625" s="15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</row>
    <row r="626" spans="6:60" s="22" customFormat="1">
      <c r="F626" s="9"/>
      <c r="J626" s="9"/>
      <c r="K626" s="9"/>
      <c r="L626" s="9"/>
      <c r="N626" s="9"/>
      <c r="O626" s="9"/>
      <c r="P626" s="9"/>
      <c r="Q626" s="9"/>
      <c r="R626" s="9"/>
      <c r="S626" s="12"/>
      <c r="T626" s="9"/>
      <c r="U626" s="9"/>
      <c r="V626" s="12"/>
      <c r="W626" s="12"/>
      <c r="X626" s="12"/>
      <c r="Y626" s="15"/>
      <c r="Z626" s="15"/>
      <c r="AA626" s="15"/>
      <c r="AB626" s="15"/>
      <c r="AC626" s="15"/>
      <c r="AD626" s="15"/>
      <c r="AE626" s="15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</row>
    <row r="627" spans="6:60" s="22" customFormat="1">
      <c r="F627" s="9"/>
      <c r="J627" s="9"/>
      <c r="K627" s="9"/>
      <c r="L627" s="9"/>
      <c r="N627" s="9"/>
      <c r="O627" s="9"/>
      <c r="P627" s="9"/>
      <c r="Q627" s="9"/>
      <c r="R627" s="9"/>
      <c r="S627" s="12"/>
      <c r="T627" s="9"/>
      <c r="U627" s="9"/>
      <c r="V627" s="12"/>
      <c r="W627" s="12"/>
      <c r="X627" s="12"/>
      <c r="Y627" s="15"/>
      <c r="Z627" s="15"/>
      <c r="AA627" s="15"/>
      <c r="AB627" s="15"/>
      <c r="AC627" s="15"/>
      <c r="AD627" s="15"/>
      <c r="AE627" s="15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</row>
    <row r="628" spans="6:60" s="22" customFormat="1">
      <c r="F628" s="9"/>
      <c r="J628" s="9"/>
      <c r="K628" s="9"/>
      <c r="L628" s="9"/>
      <c r="N628" s="9"/>
      <c r="O628" s="9"/>
      <c r="P628" s="9"/>
      <c r="Q628" s="9"/>
      <c r="R628" s="9"/>
      <c r="S628" s="12"/>
      <c r="T628" s="9"/>
      <c r="U628" s="9"/>
      <c r="V628" s="12"/>
      <c r="W628" s="12"/>
      <c r="X628" s="12"/>
      <c r="Y628" s="15"/>
      <c r="Z628" s="15"/>
      <c r="AA628" s="15"/>
      <c r="AB628" s="15"/>
      <c r="AC628" s="15"/>
      <c r="AD628" s="15"/>
      <c r="AE628" s="15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</row>
    <row r="629" spans="6:60" s="22" customFormat="1">
      <c r="F629" s="9"/>
      <c r="J629" s="9"/>
      <c r="K629" s="9"/>
      <c r="L629" s="9"/>
      <c r="N629" s="9"/>
      <c r="O629" s="9"/>
      <c r="P629" s="9"/>
      <c r="Q629" s="9"/>
      <c r="R629" s="9"/>
      <c r="S629" s="12"/>
      <c r="T629" s="9"/>
      <c r="U629" s="9"/>
      <c r="V629" s="12"/>
      <c r="W629" s="12"/>
      <c r="X629" s="12"/>
      <c r="Y629" s="15"/>
      <c r="Z629" s="15"/>
      <c r="AA629" s="15"/>
      <c r="AB629" s="15"/>
      <c r="AC629" s="15"/>
      <c r="AD629" s="15"/>
      <c r="AE629" s="15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</row>
    <row r="630" spans="6:60" s="22" customFormat="1">
      <c r="F630" s="9"/>
      <c r="J630" s="9"/>
      <c r="K630" s="9"/>
      <c r="L630" s="9"/>
      <c r="N630" s="9"/>
      <c r="O630" s="9"/>
      <c r="P630" s="9"/>
      <c r="Q630" s="9"/>
      <c r="R630" s="9"/>
      <c r="S630" s="12"/>
      <c r="T630" s="9"/>
      <c r="U630" s="9"/>
      <c r="V630" s="12"/>
      <c r="W630" s="12"/>
      <c r="X630" s="12"/>
      <c r="Y630" s="15"/>
      <c r="Z630" s="15"/>
      <c r="AA630" s="15"/>
      <c r="AB630" s="15"/>
      <c r="AC630" s="15"/>
      <c r="AD630" s="15"/>
      <c r="AE630" s="15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</row>
    <row r="631" spans="6:60" s="22" customFormat="1">
      <c r="F631" s="9"/>
      <c r="J631" s="9"/>
      <c r="K631" s="9"/>
      <c r="L631" s="9"/>
      <c r="N631" s="9"/>
      <c r="O631" s="9"/>
      <c r="P631" s="9"/>
      <c r="Q631" s="9"/>
      <c r="R631" s="9"/>
      <c r="S631" s="12"/>
      <c r="T631" s="9"/>
      <c r="U631" s="9"/>
      <c r="V631" s="12"/>
      <c r="W631" s="12"/>
      <c r="X631" s="12"/>
      <c r="Y631" s="15"/>
      <c r="Z631" s="15"/>
      <c r="AA631" s="15"/>
      <c r="AB631" s="15"/>
      <c r="AC631" s="15"/>
      <c r="AD631" s="15"/>
      <c r="AE631" s="15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</row>
    <row r="632" spans="6:60" s="22" customFormat="1">
      <c r="F632" s="9"/>
      <c r="J632" s="9"/>
      <c r="K632" s="9"/>
      <c r="L632" s="9"/>
      <c r="N632" s="9"/>
      <c r="O632" s="9"/>
      <c r="P632" s="9"/>
      <c r="Q632" s="9"/>
      <c r="R632" s="9"/>
      <c r="S632" s="12"/>
      <c r="T632" s="9"/>
      <c r="U632" s="9"/>
      <c r="V632" s="12"/>
      <c r="W632" s="12"/>
      <c r="X632" s="12"/>
      <c r="Y632" s="15"/>
      <c r="Z632" s="15"/>
      <c r="AA632" s="15"/>
      <c r="AB632" s="15"/>
      <c r="AC632" s="15"/>
      <c r="AD632" s="15"/>
      <c r="AE632" s="15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</row>
    <row r="633" spans="6:60" s="22" customFormat="1">
      <c r="F633" s="9"/>
      <c r="J633" s="9"/>
      <c r="K633" s="9"/>
      <c r="L633" s="9"/>
      <c r="N633" s="9"/>
      <c r="O633" s="9"/>
      <c r="P633" s="9"/>
      <c r="Q633" s="9"/>
      <c r="R633" s="9"/>
      <c r="S633" s="12"/>
      <c r="T633" s="9"/>
      <c r="U633" s="9"/>
      <c r="V633" s="12"/>
      <c r="W633" s="12"/>
      <c r="X633" s="12"/>
      <c r="Y633" s="15"/>
      <c r="Z633" s="15"/>
      <c r="AA633" s="15"/>
      <c r="AB633" s="15"/>
      <c r="AC633" s="15"/>
      <c r="AD633" s="15"/>
      <c r="AE633" s="15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</row>
    <row r="634" spans="6:60" s="22" customFormat="1">
      <c r="F634" s="9"/>
      <c r="J634" s="9"/>
      <c r="K634" s="9"/>
      <c r="L634" s="9"/>
      <c r="N634" s="9"/>
      <c r="O634" s="9"/>
      <c r="P634" s="9"/>
      <c r="Q634" s="9"/>
      <c r="R634" s="9"/>
      <c r="S634" s="12"/>
      <c r="T634" s="9"/>
      <c r="U634" s="9"/>
      <c r="V634" s="12"/>
      <c r="W634" s="12"/>
      <c r="X634" s="12"/>
      <c r="Y634" s="15"/>
      <c r="Z634" s="15"/>
      <c r="AA634" s="15"/>
      <c r="AB634" s="15"/>
      <c r="AC634" s="15"/>
      <c r="AD634" s="15"/>
      <c r="AE634" s="15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</row>
    <row r="635" spans="6:60" s="22" customFormat="1">
      <c r="F635" s="9"/>
      <c r="J635" s="9"/>
      <c r="K635" s="9"/>
      <c r="L635" s="9"/>
      <c r="N635" s="9"/>
      <c r="O635" s="9"/>
      <c r="P635" s="9"/>
      <c r="Q635" s="9"/>
      <c r="R635" s="9"/>
      <c r="S635" s="12"/>
      <c r="T635" s="9"/>
      <c r="U635" s="9"/>
      <c r="V635" s="12"/>
      <c r="W635" s="12"/>
      <c r="X635" s="12"/>
      <c r="Y635" s="15"/>
      <c r="Z635" s="15"/>
      <c r="AA635" s="15"/>
      <c r="AB635" s="15"/>
      <c r="AC635" s="15"/>
      <c r="AD635" s="15"/>
      <c r="AE635" s="15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</row>
    <row r="636" spans="6:60" s="22" customFormat="1">
      <c r="F636" s="9"/>
      <c r="J636" s="9"/>
      <c r="K636" s="9"/>
      <c r="L636" s="9"/>
      <c r="N636" s="9"/>
      <c r="O636" s="9"/>
      <c r="P636" s="9"/>
      <c r="Q636" s="9"/>
      <c r="R636" s="9"/>
      <c r="S636" s="12"/>
      <c r="T636" s="9"/>
      <c r="U636" s="9"/>
      <c r="V636" s="12"/>
      <c r="W636" s="12"/>
      <c r="X636" s="12"/>
      <c r="Y636" s="15"/>
      <c r="Z636" s="15"/>
      <c r="AA636" s="15"/>
      <c r="AB636" s="15"/>
      <c r="AC636" s="15"/>
      <c r="AD636" s="15"/>
      <c r="AE636" s="15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</row>
    <row r="637" spans="6:60" s="22" customFormat="1">
      <c r="F637" s="9"/>
      <c r="J637" s="9"/>
      <c r="K637" s="9"/>
      <c r="L637" s="9"/>
      <c r="N637" s="9"/>
      <c r="O637" s="9"/>
      <c r="P637" s="9"/>
      <c r="Q637" s="9"/>
      <c r="R637" s="9"/>
      <c r="S637" s="12"/>
      <c r="T637" s="9"/>
      <c r="U637" s="9"/>
      <c r="V637" s="12"/>
      <c r="W637" s="12"/>
      <c r="X637" s="12"/>
      <c r="Y637" s="15"/>
      <c r="Z637" s="15"/>
      <c r="AA637" s="15"/>
      <c r="AB637" s="15"/>
      <c r="AC637" s="15"/>
      <c r="AD637" s="15"/>
      <c r="AE637" s="15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</row>
    <row r="638" spans="6:60" s="22" customFormat="1">
      <c r="F638" s="9"/>
      <c r="J638" s="9"/>
      <c r="K638" s="9"/>
      <c r="L638" s="9"/>
      <c r="N638" s="9"/>
      <c r="O638" s="9"/>
      <c r="P638" s="9"/>
      <c r="Q638" s="9"/>
      <c r="R638" s="9"/>
      <c r="S638" s="12"/>
      <c r="T638" s="9"/>
      <c r="U638" s="9"/>
      <c r="V638" s="12"/>
      <c r="W638" s="12"/>
      <c r="X638" s="12"/>
      <c r="Y638" s="15"/>
      <c r="Z638" s="15"/>
      <c r="AA638" s="15"/>
      <c r="AB638" s="15"/>
      <c r="AC638" s="15"/>
      <c r="AD638" s="15"/>
      <c r="AE638" s="15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</row>
    <row r="639" spans="6:60" s="22" customFormat="1">
      <c r="F639" s="9"/>
      <c r="J639" s="9"/>
      <c r="K639" s="9"/>
      <c r="L639" s="9"/>
      <c r="N639" s="9"/>
      <c r="O639" s="9"/>
      <c r="P639" s="9"/>
      <c r="Q639" s="9"/>
      <c r="R639" s="9"/>
      <c r="S639" s="12"/>
      <c r="T639" s="9"/>
      <c r="U639" s="9"/>
      <c r="V639" s="12"/>
      <c r="W639" s="12"/>
      <c r="X639" s="12"/>
      <c r="Y639" s="15"/>
      <c r="Z639" s="15"/>
      <c r="AA639" s="15"/>
      <c r="AB639" s="15"/>
      <c r="AC639" s="15"/>
      <c r="AD639" s="15"/>
      <c r="AE639" s="15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</row>
    <row r="640" spans="6:60" s="22" customFormat="1">
      <c r="F640" s="9"/>
      <c r="J640" s="9"/>
      <c r="K640" s="9"/>
      <c r="L640" s="9"/>
      <c r="N640" s="9"/>
      <c r="O640" s="9"/>
      <c r="P640" s="9"/>
      <c r="Q640" s="9"/>
      <c r="R640" s="9"/>
      <c r="S640" s="12"/>
      <c r="T640" s="9"/>
      <c r="U640" s="9"/>
      <c r="V640" s="12"/>
      <c r="W640" s="12"/>
      <c r="X640" s="12"/>
      <c r="Y640" s="15"/>
      <c r="Z640" s="15"/>
      <c r="AA640" s="15"/>
      <c r="AB640" s="15"/>
      <c r="AC640" s="15"/>
      <c r="AD640" s="15"/>
      <c r="AE640" s="15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</row>
    <row r="641" spans="6:60" s="22" customFormat="1">
      <c r="F641" s="9"/>
      <c r="J641" s="9"/>
      <c r="K641" s="9"/>
      <c r="L641" s="9"/>
      <c r="N641" s="9"/>
      <c r="O641" s="9"/>
      <c r="P641" s="9"/>
      <c r="Q641" s="9"/>
      <c r="R641" s="9"/>
      <c r="S641" s="12"/>
      <c r="T641" s="9"/>
      <c r="U641" s="9"/>
      <c r="V641" s="12"/>
      <c r="W641" s="12"/>
      <c r="X641" s="12"/>
      <c r="Y641" s="15"/>
      <c r="Z641" s="15"/>
      <c r="AA641" s="15"/>
      <c r="AB641" s="15"/>
      <c r="AC641" s="15"/>
      <c r="AD641" s="15"/>
      <c r="AE641" s="15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</row>
    <row r="642" spans="6:60" s="22" customFormat="1">
      <c r="F642" s="9"/>
      <c r="J642" s="9"/>
      <c r="K642" s="9"/>
      <c r="L642" s="9"/>
      <c r="N642" s="9"/>
      <c r="O642" s="9"/>
      <c r="P642" s="9"/>
      <c r="Q642" s="9"/>
      <c r="R642" s="9"/>
      <c r="S642" s="12"/>
      <c r="T642" s="9"/>
      <c r="U642" s="9"/>
      <c r="V642" s="12"/>
      <c r="W642" s="12"/>
      <c r="X642" s="12"/>
      <c r="Y642" s="15"/>
      <c r="Z642" s="15"/>
      <c r="AA642" s="15"/>
      <c r="AB642" s="15"/>
      <c r="AC642" s="15"/>
      <c r="AD642" s="15"/>
      <c r="AE642" s="15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</row>
    <row r="643" spans="6:60" s="22" customFormat="1">
      <c r="F643" s="9"/>
      <c r="J643" s="9"/>
      <c r="K643" s="9"/>
      <c r="L643" s="9"/>
      <c r="N643" s="9"/>
      <c r="O643" s="9"/>
      <c r="P643" s="9"/>
      <c r="Q643" s="9"/>
      <c r="R643" s="9"/>
      <c r="S643" s="12"/>
      <c r="T643" s="9"/>
      <c r="U643" s="9"/>
      <c r="V643" s="12"/>
      <c r="W643" s="12"/>
      <c r="X643" s="12"/>
      <c r="Y643" s="15"/>
      <c r="Z643" s="15"/>
      <c r="AA643" s="15"/>
      <c r="AB643" s="15"/>
      <c r="AC643" s="15"/>
      <c r="AD643" s="15"/>
      <c r="AE643" s="15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</row>
    <row r="644" spans="6:60" s="22" customFormat="1">
      <c r="F644" s="9"/>
      <c r="J644" s="9"/>
      <c r="K644" s="9"/>
      <c r="L644" s="9"/>
      <c r="N644" s="9"/>
      <c r="O644" s="9"/>
      <c r="P644" s="9"/>
      <c r="Q644" s="9"/>
      <c r="R644" s="9"/>
      <c r="S644" s="12"/>
      <c r="T644" s="9"/>
      <c r="U644" s="9"/>
      <c r="V644" s="12"/>
      <c r="W644" s="12"/>
      <c r="X644" s="12"/>
      <c r="Y644" s="15"/>
      <c r="Z644" s="15"/>
      <c r="AA644" s="15"/>
      <c r="AB644" s="15"/>
      <c r="AC644" s="15"/>
      <c r="AD644" s="15"/>
      <c r="AE644" s="15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</row>
    <row r="645" spans="6:60" s="22" customFormat="1">
      <c r="F645" s="9"/>
      <c r="J645" s="9"/>
      <c r="K645" s="9"/>
      <c r="L645" s="9"/>
      <c r="N645" s="9"/>
      <c r="O645" s="9"/>
      <c r="P645" s="9"/>
      <c r="Q645" s="9"/>
      <c r="R645" s="9"/>
      <c r="S645" s="12"/>
      <c r="T645" s="9"/>
      <c r="U645" s="9"/>
      <c r="V645" s="12"/>
      <c r="W645" s="12"/>
      <c r="X645" s="12"/>
      <c r="Y645" s="15"/>
      <c r="Z645" s="15"/>
      <c r="AA645" s="15"/>
      <c r="AB645" s="15"/>
      <c r="AC645" s="15"/>
      <c r="AD645" s="15"/>
      <c r="AE645" s="15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</row>
    <row r="646" spans="6:60" s="22" customFormat="1">
      <c r="F646" s="9"/>
      <c r="J646" s="9"/>
      <c r="K646" s="9"/>
      <c r="L646" s="9"/>
      <c r="N646" s="9"/>
      <c r="O646" s="9"/>
      <c r="P646" s="9"/>
      <c r="Q646" s="9"/>
      <c r="R646" s="9"/>
      <c r="S646" s="12"/>
      <c r="T646" s="9"/>
      <c r="U646" s="9"/>
      <c r="V646" s="12"/>
      <c r="W646" s="12"/>
      <c r="X646" s="12"/>
      <c r="Y646" s="15"/>
      <c r="Z646" s="15"/>
      <c r="AA646" s="15"/>
      <c r="AB646" s="15"/>
      <c r="AC646" s="15"/>
      <c r="AD646" s="15"/>
      <c r="AE646" s="15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</row>
    <row r="647" spans="6:60" s="22" customFormat="1">
      <c r="F647" s="9"/>
      <c r="J647" s="9"/>
      <c r="K647" s="9"/>
      <c r="L647" s="9"/>
      <c r="N647" s="9"/>
      <c r="O647" s="9"/>
      <c r="P647" s="9"/>
      <c r="Q647" s="9"/>
      <c r="R647" s="9"/>
      <c r="S647" s="12"/>
      <c r="T647" s="9"/>
      <c r="U647" s="9"/>
      <c r="V647" s="12"/>
      <c r="W647" s="12"/>
      <c r="X647" s="12"/>
      <c r="Y647" s="15"/>
      <c r="Z647" s="15"/>
      <c r="AA647" s="15"/>
      <c r="AB647" s="15"/>
      <c r="AC647" s="15"/>
      <c r="AD647" s="15"/>
      <c r="AE647" s="15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</row>
    <row r="648" spans="6:60" s="22" customFormat="1">
      <c r="F648" s="9"/>
      <c r="J648" s="9"/>
      <c r="K648" s="9"/>
      <c r="L648" s="9"/>
      <c r="N648" s="9"/>
      <c r="O648" s="9"/>
      <c r="P648" s="9"/>
      <c r="Q648" s="9"/>
      <c r="R648" s="9"/>
      <c r="S648" s="12"/>
      <c r="T648" s="9"/>
      <c r="U648" s="9"/>
      <c r="V648" s="12"/>
      <c r="W648" s="12"/>
      <c r="X648" s="12"/>
      <c r="Y648" s="15"/>
      <c r="Z648" s="15"/>
      <c r="AA648" s="15"/>
      <c r="AB648" s="15"/>
      <c r="AC648" s="15"/>
      <c r="AD648" s="15"/>
      <c r="AE648" s="15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</row>
    <row r="649" spans="6:60" s="22" customFormat="1">
      <c r="F649" s="9"/>
      <c r="J649" s="9"/>
      <c r="K649" s="9"/>
      <c r="L649" s="9"/>
      <c r="N649" s="9"/>
      <c r="O649" s="9"/>
      <c r="P649" s="9"/>
      <c r="Q649" s="9"/>
      <c r="R649" s="9"/>
      <c r="S649" s="12"/>
      <c r="T649" s="9"/>
      <c r="U649" s="9"/>
      <c r="V649" s="12"/>
      <c r="W649" s="12"/>
      <c r="X649" s="12"/>
      <c r="Y649" s="15"/>
      <c r="Z649" s="15"/>
      <c r="AA649" s="15"/>
      <c r="AB649" s="15"/>
      <c r="AC649" s="15"/>
      <c r="AD649" s="15"/>
      <c r="AE649" s="15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</row>
    <row r="650" spans="6:60" s="22" customFormat="1">
      <c r="F650" s="9"/>
      <c r="J650" s="9"/>
      <c r="K650" s="9"/>
      <c r="L650" s="9"/>
      <c r="N650" s="9"/>
      <c r="O650" s="9"/>
      <c r="P650" s="9"/>
      <c r="Q650" s="9"/>
      <c r="R650" s="9"/>
      <c r="S650" s="12"/>
      <c r="T650" s="9"/>
      <c r="U650" s="9"/>
      <c r="V650" s="12"/>
      <c r="W650" s="12"/>
      <c r="X650" s="12"/>
      <c r="Y650" s="15"/>
      <c r="Z650" s="15"/>
      <c r="AA650" s="15"/>
      <c r="AB650" s="15"/>
      <c r="AC650" s="15"/>
      <c r="AD650" s="15"/>
      <c r="AE650" s="15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</row>
    <row r="651" spans="6:60" s="22" customFormat="1">
      <c r="F651" s="9"/>
      <c r="J651" s="9"/>
      <c r="K651" s="9"/>
      <c r="L651" s="9"/>
      <c r="N651" s="9"/>
      <c r="O651" s="9"/>
      <c r="P651" s="9"/>
      <c r="Q651" s="9"/>
      <c r="R651" s="9"/>
      <c r="S651" s="12"/>
      <c r="T651" s="9"/>
      <c r="U651" s="9"/>
      <c r="V651" s="12"/>
      <c r="W651" s="12"/>
      <c r="X651" s="12"/>
      <c r="Y651" s="15"/>
      <c r="Z651" s="15"/>
      <c r="AA651" s="15"/>
      <c r="AB651" s="15"/>
      <c r="AC651" s="15"/>
      <c r="AD651" s="15"/>
      <c r="AE651" s="15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</row>
    <row r="652" spans="6:60" s="22" customFormat="1">
      <c r="F652" s="9"/>
      <c r="J652" s="9"/>
      <c r="K652" s="9"/>
      <c r="L652" s="9"/>
      <c r="N652" s="9"/>
      <c r="O652" s="9"/>
      <c r="P652" s="9"/>
      <c r="Q652" s="9"/>
      <c r="R652" s="9"/>
      <c r="S652" s="12"/>
      <c r="T652" s="9"/>
      <c r="U652" s="9"/>
      <c r="V652" s="12"/>
      <c r="W652" s="12"/>
      <c r="X652" s="12"/>
      <c r="Y652" s="15"/>
      <c r="Z652" s="15"/>
      <c r="AA652" s="15"/>
      <c r="AB652" s="15"/>
      <c r="AC652" s="15"/>
      <c r="AD652" s="15"/>
      <c r="AE652" s="15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</row>
    <row r="653" spans="6:60" s="22" customFormat="1">
      <c r="F653" s="9"/>
      <c r="J653" s="9"/>
      <c r="K653" s="9"/>
      <c r="L653" s="9"/>
      <c r="N653" s="9"/>
      <c r="O653" s="9"/>
      <c r="P653" s="9"/>
      <c r="Q653" s="9"/>
      <c r="R653" s="9"/>
      <c r="S653" s="12"/>
      <c r="T653" s="9"/>
      <c r="U653" s="9"/>
      <c r="V653" s="12"/>
      <c r="W653" s="12"/>
      <c r="X653" s="12"/>
      <c r="Y653" s="15"/>
      <c r="Z653" s="15"/>
      <c r="AA653" s="15"/>
      <c r="AB653" s="15"/>
      <c r="AC653" s="15"/>
      <c r="AD653" s="15"/>
      <c r="AE653" s="15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</row>
    <row r="654" spans="6:60" s="22" customFormat="1">
      <c r="F654" s="9"/>
      <c r="J654" s="9"/>
      <c r="K654" s="9"/>
      <c r="L654" s="9"/>
      <c r="N654" s="9"/>
      <c r="O654" s="9"/>
      <c r="P654" s="9"/>
      <c r="Q654" s="9"/>
      <c r="R654" s="9"/>
      <c r="S654" s="12"/>
      <c r="T654" s="9"/>
      <c r="U654" s="9"/>
      <c r="V654" s="12"/>
      <c r="W654" s="12"/>
      <c r="X654" s="12"/>
      <c r="Y654" s="15"/>
      <c r="Z654" s="15"/>
      <c r="AA654" s="15"/>
      <c r="AB654" s="15"/>
      <c r="AC654" s="15"/>
      <c r="AD654" s="15"/>
      <c r="AE654" s="15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</row>
    <row r="655" spans="6:60" s="22" customFormat="1">
      <c r="F655" s="9"/>
      <c r="J655" s="9"/>
      <c r="K655" s="9"/>
      <c r="L655" s="9"/>
      <c r="N655" s="9"/>
      <c r="O655" s="9"/>
      <c r="P655" s="9"/>
      <c r="Q655" s="9"/>
      <c r="R655" s="9"/>
      <c r="S655" s="12"/>
      <c r="T655" s="9"/>
      <c r="U655" s="9"/>
      <c r="V655" s="12"/>
      <c r="W655" s="12"/>
      <c r="X655" s="12"/>
      <c r="Y655" s="15"/>
      <c r="Z655" s="15"/>
      <c r="AA655" s="15"/>
      <c r="AB655" s="15"/>
      <c r="AC655" s="15"/>
      <c r="AD655" s="15"/>
      <c r="AE655" s="15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</row>
    <row r="656" spans="6:60" s="22" customFormat="1">
      <c r="F656" s="9"/>
      <c r="J656" s="9"/>
      <c r="K656" s="9"/>
      <c r="L656" s="9"/>
      <c r="N656" s="9"/>
      <c r="O656" s="9"/>
      <c r="P656" s="9"/>
      <c r="Q656" s="9"/>
      <c r="R656" s="9"/>
      <c r="S656" s="12"/>
      <c r="T656" s="9"/>
      <c r="U656" s="9"/>
      <c r="V656" s="12"/>
      <c r="W656" s="12"/>
      <c r="X656" s="12"/>
      <c r="Y656" s="15"/>
      <c r="Z656" s="15"/>
      <c r="AA656" s="15"/>
      <c r="AB656" s="15"/>
      <c r="AC656" s="15"/>
      <c r="AD656" s="15"/>
      <c r="AE656" s="15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</row>
    <row r="657" spans="6:60" s="22" customFormat="1">
      <c r="F657" s="9"/>
      <c r="J657" s="9"/>
      <c r="K657" s="9"/>
      <c r="L657" s="9"/>
      <c r="N657" s="9"/>
      <c r="O657" s="9"/>
      <c r="P657" s="9"/>
      <c r="Q657" s="9"/>
      <c r="R657" s="9"/>
      <c r="S657" s="12"/>
      <c r="T657" s="9"/>
      <c r="U657" s="9"/>
      <c r="V657" s="12"/>
      <c r="W657" s="12"/>
      <c r="X657" s="12"/>
      <c r="Y657" s="15"/>
      <c r="Z657" s="15"/>
      <c r="AA657" s="15"/>
      <c r="AB657" s="15"/>
      <c r="AC657" s="15"/>
      <c r="AD657" s="15"/>
      <c r="AE657" s="15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</row>
    <row r="658" spans="6:60" s="22" customFormat="1">
      <c r="F658" s="9"/>
      <c r="J658" s="9"/>
      <c r="K658" s="9"/>
      <c r="L658" s="9"/>
      <c r="N658" s="9"/>
      <c r="O658" s="9"/>
      <c r="P658" s="9"/>
      <c r="Q658" s="9"/>
      <c r="R658" s="9"/>
      <c r="S658" s="12"/>
      <c r="T658" s="9"/>
      <c r="U658" s="9"/>
      <c r="V658" s="12"/>
      <c r="W658" s="12"/>
      <c r="X658" s="12"/>
      <c r="Y658" s="15"/>
      <c r="Z658" s="15"/>
      <c r="AA658" s="15"/>
      <c r="AB658" s="15"/>
      <c r="AC658" s="15"/>
      <c r="AD658" s="15"/>
      <c r="AE658" s="15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</row>
    <row r="659" spans="6:60" s="22" customFormat="1">
      <c r="F659" s="9"/>
      <c r="J659" s="9"/>
      <c r="K659" s="9"/>
      <c r="L659" s="9"/>
      <c r="N659" s="9"/>
      <c r="O659" s="9"/>
      <c r="P659" s="9"/>
      <c r="Q659" s="9"/>
      <c r="R659" s="9"/>
      <c r="S659" s="12"/>
      <c r="T659" s="9"/>
      <c r="U659" s="9"/>
      <c r="V659" s="12"/>
      <c r="W659" s="12"/>
      <c r="X659" s="12"/>
      <c r="Y659" s="15"/>
      <c r="Z659" s="15"/>
      <c r="AA659" s="15"/>
      <c r="AB659" s="15"/>
      <c r="AC659" s="15"/>
      <c r="AD659" s="15"/>
      <c r="AE659" s="15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</row>
    <row r="660" spans="6:60" s="22" customFormat="1">
      <c r="F660" s="9"/>
      <c r="J660" s="9"/>
      <c r="K660" s="9"/>
      <c r="L660" s="9"/>
      <c r="N660" s="9"/>
      <c r="O660" s="9"/>
      <c r="P660" s="9"/>
      <c r="Q660" s="9"/>
      <c r="R660" s="9"/>
      <c r="S660" s="12"/>
      <c r="T660" s="9"/>
      <c r="U660" s="9"/>
      <c r="V660" s="12"/>
      <c r="W660" s="12"/>
      <c r="X660" s="12"/>
      <c r="Y660" s="15"/>
      <c r="Z660" s="15"/>
      <c r="AA660" s="15"/>
      <c r="AB660" s="15"/>
      <c r="AC660" s="15"/>
      <c r="AD660" s="15"/>
      <c r="AE660" s="15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</row>
    <row r="661" spans="6:60" s="22" customFormat="1">
      <c r="F661" s="9"/>
      <c r="J661" s="9"/>
      <c r="K661" s="9"/>
      <c r="L661" s="9"/>
      <c r="N661" s="9"/>
      <c r="O661" s="9"/>
      <c r="P661" s="9"/>
      <c r="Q661" s="9"/>
      <c r="R661" s="9"/>
      <c r="S661" s="12"/>
      <c r="T661" s="9"/>
      <c r="U661" s="9"/>
      <c r="V661" s="12"/>
      <c r="W661" s="12"/>
      <c r="X661" s="12"/>
      <c r="Y661" s="15"/>
      <c r="Z661" s="15"/>
      <c r="AA661" s="15"/>
      <c r="AB661" s="15"/>
      <c r="AC661" s="15"/>
      <c r="AD661" s="15"/>
      <c r="AE661" s="15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</row>
    <row r="662" spans="6:60" s="22" customFormat="1">
      <c r="F662" s="9"/>
      <c r="J662" s="9"/>
      <c r="K662" s="9"/>
      <c r="L662" s="9"/>
      <c r="N662" s="9"/>
      <c r="O662" s="9"/>
      <c r="P662" s="9"/>
      <c r="Q662" s="9"/>
      <c r="R662" s="9"/>
      <c r="S662" s="12"/>
      <c r="T662" s="9"/>
      <c r="U662" s="9"/>
      <c r="V662" s="12"/>
      <c r="W662" s="12"/>
      <c r="X662" s="12"/>
      <c r="Y662" s="15"/>
      <c r="Z662" s="15"/>
      <c r="AA662" s="15"/>
      <c r="AB662" s="15"/>
      <c r="AC662" s="15"/>
      <c r="AD662" s="15"/>
      <c r="AE662" s="15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</row>
    <row r="663" spans="6:60" s="22" customFormat="1">
      <c r="F663" s="9"/>
      <c r="J663" s="9"/>
      <c r="K663" s="9"/>
      <c r="L663" s="9"/>
      <c r="N663" s="9"/>
      <c r="O663" s="9"/>
      <c r="P663" s="9"/>
      <c r="Q663" s="9"/>
      <c r="R663" s="9"/>
      <c r="S663" s="12"/>
      <c r="T663" s="9"/>
      <c r="U663" s="9"/>
      <c r="V663" s="12"/>
      <c r="W663" s="12"/>
      <c r="X663" s="12"/>
      <c r="Y663" s="15"/>
      <c r="Z663" s="15"/>
      <c r="AA663" s="15"/>
      <c r="AB663" s="15"/>
      <c r="AC663" s="15"/>
      <c r="AD663" s="15"/>
      <c r="AE663" s="15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</row>
    <row r="664" spans="6:60" s="22" customFormat="1">
      <c r="F664" s="9"/>
      <c r="J664" s="9"/>
      <c r="K664" s="9"/>
      <c r="L664" s="9"/>
      <c r="N664" s="9"/>
      <c r="O664" s="9"/>
      <c r="P664" s="9"/>
      <c r="Q664" s="9"/>
      <c r="R664" s="9"/>
      <c r="S664" s="12"/>
      <c r="T664" s="9"/>
      <c r="U664" s="9"/>
      <c r="V664" s="12"/>
      <c r="W664" s="12"/>
      <c r="X664" s="12"/>
      <c r="Y664" s="15"/>
      <c r="Z664" s="15"/>
      <c r="AA664" s="15"/>
      <c r="AB664" s="15"/>
      <c r="AC664" s="15"/>
      <c r="AD664" s="15"/>
      <c r="AE664" s="15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</row>
    <row r="665" spans="6:60" s="22" customFormat="1">
      <c r="F665" s="9"/>
      <c r="J665" s="9"/>
      <c r="K665" s="9"/>
      <c r="L665" s="9"/>
      <c r="N665" s="9"/>
      <c r="O665" s="9"/>
      <c r="P665" s="9"/>
      <c r="Q665" s="9"/>
      <c r="R665" s="9"/>
      <c r="S665" s="12"/>
      <c r="T665" s="9"/>
      <c r="U665" s="9"/>
      <c r="V665" s="12"/>
      <c r="W665" s="12"/>
      <c r="X665" s="12"/>
      <c r="Y665" s="15"/>
      <c r="Z665" s="15"/>
      <c r="AA665" s="15"/>
      <c r="AB665" s="15"/>
      <c r="AC665" s="15"/>
      <c r="AD665" s="15"/>
      <c r="AE665" s="15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</row>
    <row r="666" spans="6:60" s="22" customFormat="1">
      <c r="F666" s="9"/>
      <c r="J666" s="9"/>
      <c r="K666" s="9"/>
      <c r="L666" s="9"/>
      <c r="N666" s="9"/>
      <c r="O666" s="9"/>
      <c r="P666" s="9"/>
      <c r="Q666" s="9"/>
      <c r="R666" s="9"/>
      <c r="S666" s="12"/>
      <c r="T666" s="9"/>
      <c r="U666" s="9"/>
      <c r="V666" s="12"/>
      <c r="W666" s="12"/>
      <c r="X666" s="12"/>
      <c r="Y666" s="15"/>
      <c r="Z666" s="15"/>
      <c r="AA666" s="15"/>
      <c r="AB666" s="15"/>
      <c r="AC666" s="15"/>
      <c r="AD666" s="15"/>
      <c r="AE666" s="15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</row>
    <row r="667" spans="6:60" s="22" customFormat="1">
      <c r="F667" s="9"/>
      <c r="J667" s="9"/>
      <c r="K667" s="9"/>
      <c r="L667" s="9"/>
      <c r="N667" s="9"/>
      <c r="O667" s="9"/>
      <c r="P667" s="9"/>
      <c r="Q667" s="9"/>
      <c r="R667" s="9"/>
      <c r="S667" s="12"/>
      <c r="T667" s="9"/>
      <c r="U667" s="9"/>
      <c r="V667" s="12"/>
      <c r="W667" s="12"/>
      <c r="X667" s="12"/>
      <c r="Y667" s="15"/>
      <c r="Z667" s="15"/>
      <c r="AA667" s="15"/>
      <c r="AB667" s="15"/>
      <c r="AC667" s="15"/>
      <c r="AD667" s="15"/>
      <c r="AE667" s="15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</row>
    <row r="668" spans="6:60" s="22" customFormat="1">
      <c r="F668" s="9"/>
      <c r="J668" s="9"/>
      <c r="K668" s="9"/>
      <c r="L668" s="9"/>
      <c r="N668" s="9"/>
      <c r="O668" s="9"/>
      <c r="P668" s="9"/>
      <c r="Q668" s="9"/>
      <c r="R668" s="9"/>
      <c r="S668" s="12"/>
      <c r="T668" s="9"/>
      <c r="U668" s="9"/>
      <c r="V668" s="12"/>
      <c r="W668" s="12"/>
      <c r="X668" s="12"/>
      <c r="Y668" s="15"/>
      <c r="Z668" s="15"/>
      <c r="AA668" s="15"/>
      <c r="AB668" s="15"/>
      <c r="AC668" s="15"/>
      <c r="AD668" s="15"/>
      <c r="AE668" s="15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</row>
    <row r="669" spans="6:60" s="22" customFormat="1">
      <c r="F669" s="9"/>
      <c r="J669" s="9"/>
      <c r="K669" s="9"/>
      <c r="L669" s="9"/>
      <c r="N669" s="9"/>
      <c r="O669" s="9"/>
      <c r="P669" s="9"/>
      <c r="Q669" s="9"/>
      <c r="R669" s="9"/>
      <c r="S669" s="12"/>
      <c r="T669" s="9"/>
      <c r="U669" s="9"/>
      <c r="V669" s="12"/>
      <c r="W669" s="12"/>
      <c r="X669" s="12"/>
      <c r="Y669" s="15"/>
      <c r="Z669" s="15"/>
      <c r="AA669" s="15"/>
      <c r="AB669" s="15"/>
      <c r="AC669" s="15"/>
      <c r="AD669" s="15"/>
      <c r="AE669" s="15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</row>
    <row r="670" spans="6:60" s="22" customFormat="1">
      <c r="F670" s="9"/>
      <c r="J670" s="9"/>
      <c r="K670" s="9"/>
      <c r="L670" s="9"/>
      <c r="N670" s="9"/>
      <c r="O670" s="9"/>
      <c r="P670" s="9"/>
      <c r="Q670" s="9"/>
      <c r="R670" s="9"/>
      <c r="S670" s="12"/>
      <c r="T670" s="9"/>
      <c r="U670" s="9"/>
      <c r="V670" s="12"/>
      <c r="W670" s="12"/>
      <c r="X670" s="12"/>
      <c r="Y670" s="15"/>
      <c r="Z670" s="15"/>
      <c r="AA670" s="15"/>
      <c r="AB670" s="15"/>
      <c r="AC670" s="15"/>
      <c r="AD670" s="15"/>
      <c r="AE670" s="15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</row>
    <row r="671" spans="6:60" s="22" customFormat="1">
      <c r="F671" s="9"/>
      <c r="J671" s="9"/>
      <c r="K671" s="9"/>
      <c r="L671" s="9"/>
      <c r="N671" s="9"/>
      <c r="O671" s="9"/>
      <c r="P671" s="9"/>
      <c r="Q671" s="9"/>
      <c r="R671" s="9"/>
      <c r="S671" s="12"/>
      <c r="T671" s="9"/>
      <c r="U671" s="9"/>
      <c r="V671" s="12"/>
      <c r="W671" s="12"/>
      <c r="X671" s="12"/>
      <c r="Y671" s="15"/>
      <c r="Z671" s="15"/>
      <c r="AA671" s="15"/>
      <c r="AB671" s="15"/>
      <c r="AC671" s="15"/>
      <c r="AD671" s="15"/>
      <c r="AE671" s="15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</row>
    <row r="672" spans="6:60" s="22" customFormat="1">
      <c r="F672" s="9"/>
      <c r="J672" s="9"/>
      <c r="K672" s="9"/>
      <c r="L672" s="9"/>
      <c r="N672" s="9"/>
      <c r="O672" s="9"/>
      <c r="P672" s="9"/>
      <c r="Q672" s="9"/>
      <c r="R672" s="9"/>
      <c r="S672" s="12"/>
      <c r="T672" s="9"/>
      <c r="U672" s="9"/>
      <c r="V672" s="12"/>
      <c r="W672" s="12"/>
      <c r="X672" s="12"/>
      <c r="Y672" s="15"/>
      <c r="Z672" s="15"/>
      <c r="AA672" s="15"/>
      <c r="AB672" s="15"/>
      <c r="AC672" s="15"/>
      <c r="AD672" s="15"/>
      <c r="AE672" s="15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</row>
    <row r="673" spans="6:60" s="22" customFormat="1">
      <c r="F673" s="9"/>
      <c r="J673" s="9"/>
      <c r="K673" s="9"/>
      <c r="L673" s="9"/>
      <c r="N673" s="9"/>
      <c r="O673" s="9"/>
      <c r="P673" s="9"/>
      <c r="Q673" s="9"/>
      <c r="R673" s="9"/>
      <c r="S673" s="12"/>
      <c r="T673" s="9"/>
      <c r="U673" s="9"/>
      <c r="V673" s="12"/>
      <c r="W673" s="12"/>
      <c r="X673" s="12"/>
      <c r="Y673" s="15"/>
      <c r="Z673" s="15"/>
      <c r="AA673" s="15"/>
      <c r="AB673" s="15"/>
      <c r="AC673" s="15"/>
      <c r="AD673" s="15"/>
      <c r="AE673" s="15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</row>
    <row r="674" spans="6:60" s="22" customFormat="1">
      <c r="F674" s="9"/>
      <c r="J674" s="9"/>
      <c r="K674" s="9"/>
      <c r="L674" s="9"/>
      <c r="N674" s="9"/>
      <c r="O674" s="9"/>
      <c r="P674" s="9"/>
      <c r="Q674" s="9"/>
      <c r="R674" s="9"/>
      <c r="S674" s="12"/>
      <c r="T674" s="9"/>
      <c r="U674" s="9"/>
      <c r="V674" s="12"/>
      <c r="W674" s="12"/>
      <c r="X674" s="12"/>
      <c r="Y674" s="15"/>
      <c r="Z674" s="15"/>
      <c r="AA674" s="15"/>
      <c r="AB674" s="15"/>
      <c r="AC674" s="15"/>
      <c r="AD674" s="15"/>
      <c r="AE674" s="15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</row>
    <row r="675" spans="6:60" s="22" customFormat="1">
      <c r="F675" s="9"/>
      <c r="J675" s="9"/>
      <c r="K675" s="9"/>
      <c r="L675" s="9"/>
      <c r="N675" s="9"/>
      <c r="O675" s="9"/>
      <c r="P675" s="9"/>
      <c r="Q675" s="9"/>
      <c r="R675" s="9"/>
      <c r="S675" s="12"/>
      <c r="T675" s="9"/>
      <c r="U675" s="9"/>
      <c r="V675" s="12"/>
      <c r="W675" s="12"/>
      <c r="X675" s="12"/>
      <c r="Y675" s="15"/>
      <c r="Z675" s="15"/>
      <c r="AA675" s="15"/>
      <c r="AB675" s="15"/>
      <c r="AC675" s="15"/>
      <c r="AD675" s="15"/>
      <c r="AE675" s="15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</row>
    <row r="676" spans="6:60" s="22" customFormat="1">
      <c r="F676" s="9"/>
      <c r="J676" s="9"/>
      <c r="K676" s="9"/>
      <c r="L676" s="9"/>
      <c r="N676" s="9"/>
      <c r="O676" s="9"/>
      <c r="P676" s="9"/>
      <c r="Q676" s="9"/>
      <c r="R676" s="9"/>
      <c r="S676" s="12"/>
      <c r="T676" s="9"/>
      <c r="U676" s="9"/>
      <c r="V676" s="12"/>
      <c r="W676" s="12"/>
      <c r="X676" s="12"/>
      <c r="Y676" s="15"/>
      <c r="Z676" s="15"/>
      <c r="AA676" s="15"/>
      <c r="AB676" s="15"/>
      <c r="AC676" s="15"/>
      <c r="AD676" s="15"/>
      <c r="AE676" s="15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</row>
    <row r="677" spans="6:60" s="22" customFormat="1">
      <c r="F677" s="9"/>
      <c r="J677" s="9"/>
      <c r="K677" s="9"/>
      <c r="L677" s="9"/>
      <c r="N677" s="9"/>
      <c r="O677" s="9"/>
      <c r="P677" s="9"/>
      <c r="Q677" s="9"/>
      <c r="R677" s="9"/>
      <c r="S677" s="12"/>
      <c r="T677" s="9"/>
      <c r="U677" s="9"/>
      <c r="V677" s="12"/>
      <c r="W677" s="12"/>
      <c r="X677" s="12"/>
      <c r="Y677" s="15"/>
      <c r="Z677" s="15"/>
      <c r="AA677" s="15"/>
      <c r="AB677" s="15"/>
      <c r="AC677" s="15"/>
      <c r="AD677" s="15"/>
      <c r="AE677" s="15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</row>
    <row r="678" spans="6:60" s="22" customFormat="1">
      <c r="F678" s="9"/>
      <c r="J678" s="9"/>
      <c r="K678" s="9"/>
      <c r="L678" s="9"/>
      <c r="N678" s="9"/>
      <c r="O678" s="9"/>
      <c r="P678" s="9"/>
      <c r="Q678" s="9"/>
      <c r="R678" s="9"/>
      <c r="S678" s="12"/>
      <c r="T678" s="9"/>
      <c r="U678" s="9"/>
      <c r="V678" s="12"/>
      <c r="W678" s="12"/>
      <c r="X678" s="12"/>
      <c r="Y678" s="15"/>
      <c r="Z678" s="15"/>
      <c r="AA678" s="15"/>
      <c r="AB678" s="15"/>
      <c r="AC678" s="15"/>
      <c r="AD678" s="15"/>
      <c r="AE678" s="15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</row>
    <row r="679" spans="6:60" s="22" customFormat="1">
      <c r="F679" s="9"/>
      <c r="J679" s="9"/>
      <c r="K679" s="9"/>
      <c r="L679" s="9"/>
      <c r="N679" s="9"/>
      <c r="O679" s="9"/>
      <c r="P679" s="9"/>
      <c r="Q679" s="9"/>
      <c r="R679" s="9"/>
      <c r="S679" s="12"/>
      <c r="T679" s="9"/>
      <c r="U679" s="9"/>
      <c r="V679" s="12"/>
      <c r="W679" s="12"/>
      <c r="X679" s="12"/>
      <c r="Y679" s="15"/>
      <c r="Z679" s="15"/>
      <c r="AA679" s="15"/>
      <c r="AB679" s="15"/>
      <c r="AC679" s="15"/>
      <c r="AD679" s="15"/>
      <c r="AE679" s="15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</row>
    <row r="680" spans="6:60" s="22" customFormat="1">
      <c r="F680" s="9"/>
      <c r="J680" s="9"/>
      <c r="K680" s="9"/>
      <c r="L680" s="9"/>
      <c r="N680" s="9"/>
      <c r="O680" s="9"/>
      <c r="P680" s="9"/>
      <c r="Q680" s="9"/>
      <c r="R680" s="9"/>
      <c r="S680" s="12"/>
      <c r="T680" s="9"/>
      <c r="U680" s="9"/>
      <c r="V680" s="12"/>
      <c r="W680" s="12"/>
      <c r="X680" s="12"/>
      <c r="Y680" s="15"/>
      <c r="Z680" s="15"/>
      <c r="AA680" s="15"/>
      <c r="AB680" s="15"/>
      <c r="AC680" s="15"/>
      <c r="AD680" s="15"/>
      <c r="AE680" s="15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</row>
    <row r="681" spans="6:60" s="22" customFormat="1">
      <c r="F681" s="9"/>
      <c r="J681" s="9"/>
      <c r="K681" s="9"/>
      <c r="L681" s="9"/>
      <c r="N681" s="9"/>
      <c r="O681" s="9"/>
      <c r="P681" s="9"/>
      <c r="Q681" s="9"/>
      <c r="R681" s="9"/>
      <c r="S681" s="12"/>
      <c r="T681" s="9"/>
      <c r="U681" s="9"/>
      <c r="V681" s="12"/>
      <c r="W681" s="12"/>
      <c r="X681" s="12"/>
      <c r="Y681" s="15"/>
      <c r="Z681" s="15"/>
      <c r="AA681" s="15"/>
      <c r="AB681" s="15"/>
      <c r="AC681" s="15"/>
      <c r="AD681" s="15"/>
      <c r="AE681" s="15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</row>
    <row r="682" spans="6:60" s="22" customFormat="1">
      <c r="F682" s="9"/>
      <c r="J682" s="9"/>
      <c r="K682" s="9"/>
      <c r="L682" s="9"/>
      <c r="N682" s="9"/>
      <c r="O682" s="9"/>
      <c r="P682" s="9"/>
      <c r="Q682" s="9"/>
      <c r="R682" s="9"/>
      <c r="S682" s="12"/>
      <c r="T682" s="9"/>
      <c r="U682" s="9"/>
      <c r="V682" s="12"/>
      <c r="W682" s="12"/>
      <c r="X682" s="12"/>
      <c r="Y682" s="15"/>
      <c r="Z682" s="15"/>
      <c r="AA682" s="15"/>
      <c r="AB682" s="15"/>
      <c r="AC682" s="15"/>
      <c r="AD682" s="15"/>
      <c r="AE682" s="15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</row>
    <row r="683" spans="6:60" s="22" customFormat="1">
      <c r="F683" s="9"/>
      <c r="J683" s="9"/>
      <c r="K683" s="9"/>
      <c r="L683" s="9"/>
      <c r="N683" s="9"/>
      <c r="O683" s="9"/>
      <c r="P683" s="9"/>
      <c r="Q683" s="9"/>
      <c r="R683" s="9"/>
      <c r="S683" s="12"/>
      <c r="T683" s="9"/>
      <c r="U683" s="9"/>
      <c r="V683" s="12"/>
      <c r="W683" s="12"/>
      <c r="X683" s="12"/>
      <c r="Y683" s="15"/>
      <c r="Z683" s="15"/>
      <c r="AA683" s="15"/>
      <c r="AB683" s="15"/>
      <c r="AC683" s="15"/>
      <c r="AD683" s="15"/>
      <c r="AE683" s="15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</row>
    <row r="684" spans="6:60" s="22" customFormat="1">
      <c r="F684" s="9"/>
      <c r="J684" s="9"/>
      <c r="K684" s="9"/>
      <c r="L684" s="9"/>
      <c r="N684" s="9"/>
      <c r="O684" s="9"/>
      <c r="P684" s="9"/>
      <c r="Q684" s="9"/>
      <c r="R684" s="9"/>
      <c r="S684" s="12"/>
      <c r="T684" s="9"/>
      <c r="U684" s="9"/>
      <c r="V684" s="12"/>
      <c r="W684" s="12"/>
      <c r="X684" s="12"/>
      <c r="Y684" s="15"/>
      <c r="Z684" s="15"/>
      <c r="AA684" s="15"/>
      <c r="AB684" s="15"/>
      <c r="AC684" s="15"/>
      <c r="AD684" s="15"/>
      <c r="AE684" s="15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</row>
    <row r="685" spans="6:60" s="22" customFormat="1">
      <c r="F685" s="9"/>
      <c r="J685" s="9"/>
      <c r="K685" s="9"/>
      <c r="L685" s="9"/>
      <c r="N685" s="9"/>
      <c r="O685" s="9"/>
      <c r="P685" s="9"/>
      <c r="Q685" s="9"/>
      <c r="R685" s="9"/>
      <c r="S685" s="12"/>
      <c r="T685" s="9"/>
      <c r="U685" s="9"/>
      <c r="V685" s="12"/>
      <c r="W685" s="12"/>
      <c r="X685" s="12"/>
      <c r="Y685" s="15"/>
      <c r="Z685" s="15"/>
      <c r="AA685" s="15"/>
      <c r="AB685" s="15"/>
      <c r="AC685" s="15"/>
      <c r="AD685" s="15"/>
      <c r="AE685" s="15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</row>
    <row r="686" spans="6:60" s="22" customFormat="1">
      <c r="F686" s="9"/>
      <c r="J686" s="9"/>
      <c r="K686" s="9"/>
      <c r="L686" s="9"/>
      <c r="N686" s="9"/>
      <c r="O686" s="9"/>
      <c r="P686" s="9"/>
      <c r="Q686" s="9"/>
      <c r="R686" s="9"/>
      <c r="S686" s="12"/>
      <c r="T686" s="9"/>
      <c r="U686" s="9"/>
      <c r="V686" s="12"/>
      <c r="W686" s="12"/>
      <c r="X686" s="12"/>
      <c r="Y686" s="15"/>
      <c r="Z686" s="15"/>
      <c r="AA686" s="15"/>
      <c r="AB686" s="15"/>
      <c r="AC686" s="15"/>
      <c r="AD686" s="15"/>
      <c r="AE686" s="15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</row>
    <row r="687" spans="6:60" s="22" customFormat="1">
      <c r="F687" s="9"/>
      <c r="J687" s="9"/>
      <c r="K687" s="9"/>
      <c r="L687" s="9"/>
      <c r="N687" s="9"/>
      <c r="O687" s="9"/>
      <c r="P687" s="9"/>
      <c r="Q687" s="9"/>
      <c r="R687" s="9"/>
      <c r="S687" s="12"/>
      <c r="T687" s="9"/>
      <c r="U687" s="9"/>
      <c r="V687" s="12"/>
      <c r="W687" s="12"/>
      <c r="X687" s="12"/>
      <c r="Y687" s="15"/>
      <c r="Z687" s="15"/>
      <c r="AA687" s="15"/>
      <c r="AB687" s="15"/>
      <c r="AC687" s="15"/>
      <c r="AD687" s="15"/>
      <c r="AE687" s="15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</row>
    <row r="688" spans="6:60" s="22" customFormat="1">
      <c r="F688" s="9"/>
      <c r="J688" s="9"/>
      <c r="K688" s="9"/>
      <c r="L688" s="9"/>
      <c r="N688" s="9"/>
      <c r="O688" s="9"/>
      <c r="P688" s="9"/>
      <c r="Q688" s="9"/>
      <c r="R688" s="9"/>
      <c r="S688" s="12"/>
      <c r="T688" s="9"/>
      <c r="U688" s="9"/>
      <c r="V688" s="12"/>
      <c r="W688" s="12"/>
      <c r="X688" s="12"/>
      <c r="Y688" s="15"/>
      <c r="Z688" s="15"/>
      <c r="AA688" s="15"/>
      <c r="AB688" s="15"/>
      <c r="AC688" s="15"/>
      <c r="AD688" s="15"/>
      <c r="AE688" s="15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</row>
    <row r="689" spans="6:60" s="22" customFormat="1">
      <c r="F689" s="9"/>
      <c r="J689" s="9"/>
      <c r="K689" s="9"/>
      <c r="L689" s="9"/>
      <c r="N689" s="9"/>
      <c r="O689" s="9"/>
      <c r="P689" s="9"/>
      <c r="Q689" s="9"/>
      <c r="R689" s="9"/>
      <c r="S689" s="12"/>
      <c r="T689" s="9"/>
      <c r="U689" s="9"/>
      <c r="V689" s="12"/>
      <c r="W689" s="12"/>
      <c r="X689" s="12"/>
      <c r="Y689" s="15"/>
      <c r="Z689" s="15"/>
      <c r="AA689" s="15"/>
      <c r="AB689" s="15"/>
      <c r="AC689" s="15"/>
      <c r="AD689" s="15"/>
      <c r="AE689" s="15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</row>
    <row r="690" spans="6:60" s="22" customFormat="1">
      <c r="F690" s="9"/>
      <c r="J690" s="9"/>
      <c r="K690" s="9"/>
      <c r="L690" s="9"/>
      <c r="N690" s="9"/>
      <c r="O690" s="9"/>
      <c r="P690" s="9"/>
      <c r="Q690" s="9"/>
      <c r="R690" s="9"/>
      <c r="S690" s="12"/>
      <c r="T690" s="9"/>
      <c r="U690" s="9"/>
      <c r="V690" s="12"/>
      <c r="W690" s="12"/>
      <c r="X690" s="12"/>
      <c r="Y690" s="15"/>
      <c r="Z690" s="15"/>
      <c r="AA690" s="15"/>
      <c r="AB690" s="15"/>
      <c r="AC690" s="15"/>
      <c r="AD690" s="15"/>
      <c r="AE690" s="15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</row>
    <row r="691" spans="6:60" s="22" customFormat="1">
      <c r="F691" s="9"/>
      <c r="J691" s="9"/>
      <c r="K691" s="9"/>
      <c r="L691" s="9"/>
      <c r="N691" s="9"/>
      <c r="O691" s="9"/>
      <c r="P691" s="9"/>
      <c r="Q691" s="9"/>
      <c r="R691" s="9"/>
      <c r="S691" s="12"/>
      <c r="T691" s="9"/>
      <c r="U691" s="9"/>
      <c r="V691" s="12"/>
      <c r="W691" s="12"/>
      <c r="X691" s="12"/>
      <c r="Y691" s="15"/>
      <c r="Z691" s="15"/>
      <c r="AA691" s="15"/>
      <c r="AB691" s="15"/>
      <c r="AC691" s="15"/>
      <c r="AD691" s="15"/>
      <c r="AE691" s="15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</row>
    <row r="692" spans="6:60" s="22" customFormat="1">
      <c r="F692" s="9"/>
      <c r="J692" s="9"/>
      <c r="K692" s="9"/>
      <c r="L692" s="9"/>
      <c r="N692" s="9"/>
      <c r="O692" s="9"/>
      <c r="P692" s="9"/>
      <c r="Q692" s="9"/>
      <c r="R692" s="9"/>
      <c r="S692" s="12"/>
      <c r="T692" s="9"/>
      <c r="U692" s="9"/>
      <c r="V692" s="12"/>
      <c r="W692" s="12"/>
      <c r="X692" s="12"/>
      <c r="Y692" s="15"/>
      <c r="Z692" s="15"/>
      <c r="AA692" s="15"/>
      <c r="AB692" s="15"/>
      <c r="AC692" s="15"/>
      <c r="AD692" s="15"/>
      <c r="AE692" s="15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</row>
    <row r="693" spans="6:60" s="22" customFormat="1">
      <c r="F693" s="9"/>
      <c r="J693" s="9"/>
      <c r="K693" s="9"/>
      <c r="L693" s="9"/>
      <c r="N693" s="9"/>
      <c r="O693" s="9"/>
      <c r="P693" s="9"/>
      <c r="Q693" s="9"/>
      <c r="R693" s="9"/>
      <c r="S693" s="12"/>
      <c r="T693" s="9"/>
      <c r="U693" s="9"/>
      <c r="V693" s="12"/>
      <c r="W693" s="12"/>
      <c r="X693" s="12"/>
      <c r="Y693" s="15"/>
      <c r="Z693" s="15"/>
      <c r="AA693" s="15"/>
      <c r="AB693" s="15"/>
      <c r="AC693" s="15"/>
      <c r="AD693" s="15"/>
      <c r="AE693" s="15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</row>
    <row r="694" spans="6:60" s="22" customFormat="1">
      <c r="F694" s="9"/>
      <c r="J694" s="9"/>
      <c r="K694" s="9"/>
      <c r="L694" s="9"/>
      <c r="N694" s="9"/>
      <c r="O694" s="9"/>
      <c r="P694" s="9"/>
      <c r="Q694" s="9"/>
      <c r="R694" s="9"/>
      <c r="S694" s="12"/>
      <c r="T694" s="9"/>
      <c r="U694" s="9"/>
      <c r="V694" s="12"/>
      <c r="W694" s="12"/>
      <c r="X694" s="12"/>
      <c r="Y694" s="15"/>
      <c r="Z694" s="15"/>
      <c r="AA694" s="15"/>
      <c r="AB694" s="15"/>
      <c r="AC694" s="15"/>
      <c r="AD694" s="15"/>
      <c r="AE694" s="15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</row>
    <row r="695" spans="6:60" s="22" customFormat="1">
      <c r="F695" s="9"/>
      <c r="J695" s="9"/>
      <c r="K695" s="9"/>
      <c r="L695" s="9"/>
      <c r="N695" s="9"/>
      <c r="O695" s="9"/>
      <c r="P695" s="9"/>
      <c r="Q695" s="9"/>
      <c r="R695" s="9"/>
      <c r="S695" s="12"/>
      <c r="T695" s="9"/>
      <c r="U695" s="9"/>
      <c r="V695" s="12"/>
      <c r="W695" s="12"/>
      <c r="X695" s="12"/>
      <c r="Y695" s="15"/>
      <c r="Z695" s="15"/>
      <c r="AA695" s="15"/>
      <c r="AB695" s="15"/>
      <c r="AC695" s="15"/>
      <c r="AD695" s="15"/>
      <c r="AE695" s="15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</row>
    <row r="696" spans="6:60" s="22" customFormat="1">
      <c r="F696" s="9"/>
      <c r="J696" s="9"/>
      <c r="K696" s="9"/>
      <c r="L696" s="9"/>
      <c r="N696" s="9"/>
      <c r="O696" s="9"/>
      <c r="P696" s="9"/>
      <c r="Q696" s="9"/>
      <c r="R696" s="9"/>
      <c r="S696" s="12"/>
      <c r="T696" s="9"/>
      <c r="U696" s="9"/>
      <c r="V696" s="12"/>
      <c r="W696" s="12"/>
      <c r="X696" s="12"/>
      <c r="Y696" s="15"/>
      <c r="Z696" s="15"/>
      <c r="AA696" s="15"/>
      <c r="AB696" s="15"/>
      <c r="AC696" s="15"/>
      <c r="AD696" s="15"/>
      <c r="AE696" s="15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</row>
    <row r="697" spans="6:60" s="22" customFormat="1">
      <c r="F697" s="9"/>
      <c r="J697" s="9"/>
      <c r="K697" s="9"/>
      <c r="L697" s="9"/>
      <c r="N697" s="9"/>
      <c r="O697" s="9"/>
      <c r="P697" s="9"/>
      <c r="Q697" s="9"/>
      <c r="R697" s="9"/>
      <c r="S697" s="12"/>
      <c r="T697" s="9"/>
      <c r="U697" s="9"/>
      <c r="V697" s="12"/>
      <c r="W697" s="12"/>
      <c r="X697" s="12"/>
      <c r="Y697" s="15"/>
      <c r="Z697" s="15"/>
      <c r="AA697" s="15"/>
      <c r="AB697" s="15"/>
      <c r="AC697" s="15"/>
      <c r="AD697" s="15"/>
      <c r="AE697" s="15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</row>
    <row r="698" spans="6:60" s="22" customFormat="1">
      <c r="F698" s="9"/>
      <c r="J698" s="9"/>
      <c r="K698" s="9"/>
      <c r="L698" s="9"/>
      <c r="N698" s="9"/>
      <c r="O698" s="9"/>
      <c r="P698" s="9"/>
      <c r="Q698" s="9"/>
      <c r="R698" s="9"/>
      <c r="S698" s="12"/>
      <c r="T698" s="9"/>
      <c r="U698" s="9"/>
      <c r="V698" s="12"/>
      <c r="W698" s="12"/>
      <c r="X698" s="12"/>
      <c r="Y698" s="15"/>
      <c r="Z698" s="15"/>
      <c r="AA698" s="15"/>
      <c r="AB698" s="15"/>
      <c r="AC698" s="15"/>
      <c r="AD698" s="15"/>
      <c r="AE698" s="15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</row>
    <row r="699" spans="6:60" s="22" customFormat="1">
      <c r="F699" s="9"/>
      <c r="J699" s="9"/>
      <c r="K699" s="9"/>
      <c r="L699" s="9"/>
      <c r="N699" s="9"/>
      <c r="O699" s="9"/>
      <c r="P699" s="9"/>
      <c r="Q699" s="9"/>
      <c r="R699" s="9"/>
      <c r="S699" s="12"/>
      <c r="T699" s="9"/>
      <c r="U699" s="9"/>
      <c r="V699" s="12"/>
      <c r="W699" s="12"/>
      <c r="X699" s="12"/>
      <c r="Y699" s="15"/>
      <c r="Z699" s="15"/>
      <c r="AA699" s="15"/>
      <c r="AB699" s="15"/>
      <c r="AC699" s="15"/>
      <c r="AD699" s="15"/>
      <c r="AE699" s="15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</row>
    <row r="700" spans="6:60" s="22" customFormat="1">
      <c r="F700" s="9"/>
      <c r="J700" s="9"/>
      <c r="K700" s="9"/>
      <c r="L700" s="9"/>
      <c r="N700" s="9"/>
      <c r="O700" s="9"/>
      <c r="P700" s="9"/>
      <c r="Q700" s="9"/>
      <c r="R700" s="9"/>
      <c r="S700" s="12"/>
      <c r="T700" s="9"/>
      <c r="U700" s="9"/>
      <c r="V700" s="12"/>
      <c r="W700" s="12"/>
      <c r="X700" s="12"/>
      <c r="Y700" s="15"/>
      <c r="Z700" s="15"/>
      <c r="AA700" s="15"/>
      <c r="AB700" s="15"/>
      <c r="AC700" s="15"/>
      <c r="AD700" s="15"/>
      <c r="AE700" s="15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</row>
    <row r="701" spans="6:60" s="22" customFormat="1">
      <c r="F701" s="9"/>
      <c r="J701" s="9"/>
      <c r="K701" s="9"/>
      <c r="L701" s="9"/>
      <c r="N701" s="9"/>
      <c r="O701" s="9"/>
      <c r="P701" s="9"/>
      <c r="Q701" s="9"/>
      <c r="R701" s="9"/>
      <c r="S701" s="12"/>
      <c r="T701" s="9"/>
      <c r="U701" s="9"/>
      <c r="V701" s="12"/>
      <c r="W701" s="12"/>
      <c r="X701" s="12"/>
      <c r="Y701" s="15"/>
      <c r="Z701" s="15"/>
      <c r="AA701" s="15"/>
      <c r="AB701" s="15"/>
      <c r="AC701" s="15"/>
      <c r="AD701" s="15"/>
      <c r="AE701" s="15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</row>
    <row r="702" spans="6:60" s="22" customFormat="1">
      <c r="F702" s="9"/>
      <c r="J702" s="9"/>
      <c r="K702" s="9"/>
      <c r="L702" s="9"/>
      <c r="N702" s="9"/>
      <c r="O702" s="9"/>
      <c r="P702" s="9"/>
      <c r="Q702" s="9"/>
      <c r="R702" s="9"/>
      <c r="S702" s="12"/>
      <c r="T702" s="9"/>
      <c r="U702" s="9"/>
      <c r="V702" s="12"/>
      <c r="W702" s="12"/>
      <c r="X702" s="12"/>
      <c r="Y702" s="15"/>
      <c r="Z702" s="15"/>
      <c r="AA702" s="15"/>
      <c r="AB702" s="15"/>
      <c r="AC702" s="15"/>
      <c r="AD702" s="15"/>
      <c r="AE702" s="15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</row>
    <row r="703" spans="6:60" s="22" customFormat="1">
      <c r="F703" s="9"/>
      <c r="J703" s="9"/>
      <c r="K703" s="9"/>
      <c r="L703" s="9"/>
      <c r="N703" s="9"/>
      <c r="O703" s="9"/>
      <c r="P703" s="9"/>
      <c r="Q703" s="9"/>
      <c r="R703" s="9"/>
      <c r="S703" s="12"/>
      <c r="T703" s="9"/>
      <c r="U703" s="9"/>
      <c r="V703" s="12"/>
      <c r="W703" s="12"/>
      <c r="X703" s="12"/>
      <c r="Y703" s="15"/>
      <c r="Z703" s="15"/>
      <c r="AA703" s="15"/>
      <c r="AB703" s="15"/>
      <c r="AC703" s="15"/>
      <c r="AD703" s="15"/>
      <c r="AE703" s="15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</row>
    <row r="704" spans="6:60" s="22" customFormat="1">
      <c r="F704" s="9"/>
      <c r="J704" s="9"/>
      <c r="K704" s="9"/>
      <c r="L704" s="9"/>
      <c r="N704" s="9"/>
      <c r="O704" s="9"/>
      <c r="P704" s="9"/>
      <c r="Q704" s="9"/>
      <c r="R704" s="9"/>
      <c r="S704" s="12"/>
      <c r="T704" s="9"/>
      <c r="U704" s="9"/>
      <c r="V704" s="12"/>
      <c r="W704" s="12"/>
      <c r="X704" s="12"/>
      <c r="Y704" s="15"/>
      <c r="Z704" s="15"/>
      <c r="AA704" s="15"/>
      <c r="AB704" s="15"/>
      <c r="AC704" s="15"/>
      <c r="AD704" s="15"/>
      <c r="AE704" s="15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</row>
    <row r="705" spans="6:60" s="22" customFormat="1">
      <c r="F705" s="9"/>
      <c r="J705" s="9"/>
      <c r="K705" s="9"/>
      <c r="L705" s="9"/>
      <c r="N705" s="9"/>
      <c r="O705" s="9"/>
      <c r="P705" s="9"/>
      <c r="Q705" s="9"/>
      <c r="R705" s="9"/>
      <c r="S705" s="12"/>
      <c r="T705" s="9"/>
      <c r="U705" s="9"/>
      <c r="V705" s="12"/>
      <c r="W705" s="12"/>
      <c r="X705" s="12"/>
      <c r="Y705" s="15"/>
      <c r="Z705" s="15"/>
      <c r="AA705" s="15"/>
      <c r="AB705" s="15"/>
      <c r="AC705" s="15"/>
      <c r="AD705" s="15"/>
      <c r="AE705" s="15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</row>
    <row r="706" spans="6:60" s="22" customFormat="1">
      <c r="F706" s="9"/>
      <c r="J706" s="9"/>
      <c r="K706" s="9"/>
      <c r="L706" s="9"/>
      <c r="N706" s="9"/>
      <c r="O706" s="9"/>
      <c r="P706" s="9"/>
      <c r="Q706" s="9"/>
      <c r="R706" s="9"/>
      <c r="S706" s="12"/>
      <c r="T706" s="9"/>
      <c r="U706" s="9"/>
      <c r="V706" s="12"/>
      <c r="W706" s="12"/>
      <c r="X706" s="12"/>
      <c r="Y706" s="15"/>
      <c r="Z706" s="15"/>
      <c r="AA706" s="15"/>
      <c r="AB706" s="15"/>
      <c r="AC706" s="15"/>
      <c r="AD706" s="15"/>
      <c r="AE706" s="15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</row>
    <row r="707" spans="6:60" s="22" customFormat="1">
      <c r="F707" s="9"/>
      <c r="J707" s="9"/>
      <c r="K707" s="9"/>
      <c r="L707" s="9"/>
      <c r="N707" s="9"/>
      <c r="O707" s="9"/>
      <c r="P707" s="9"/>
      <c r="Q707" s="9"/>
      <c r="R707" s="9"/>
      <c r="S707" s="12"/>
      <c r="T707" s="9"/>
      <c r="U707" s="9"/>
      <c r="V707" s="12"/>
      <c r="W707" s="12"/>
      <c r="X707" s="12"/>
      <c r="Y707" s="15"/>
      <c r="Z707" s="15"/>
      <c r="AA707" s="15"/>
      <c r="AB707" s="15"/>
      <c r="AC707" s="15"/>
      <c r="AD707" s="15"/>
      <c r="AE707" s="15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</row>
    <row r="708" spans="6:60" s="22" customFormat="1">
      <c r="F708" s="9"/>
      <c r="J708" s="9"/>
      <c r="K708" s="9"/>
      <c r="L708" s="9"/>
      <c r="N708" s="9"/>
      <c r="O708" s="9"/>
      <c r="P708" s="9"/>
      <c r="Q708" s="9"/>
      <c r="R708" s="9"/>
      <c r="S708" s="12"/>
      <c r="T708" s="9"/>
      <c r="U708" s="9"/>
      <c r="V708" s="12"/>
      <c r="W708" s="12"/>
      <c r="X708" s="12"/>
      <c r="Y708" s="15"/>
      <c r="Z708" s="15"/>
      <c r="AA708" s="15"/>
      <c r="AB708" s="15"/>
      <c r="AC708" s="15"/>
      <c r="AD708" s="15"/>
      <c r="AE708" s="15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</row>
    <row r="709" spans="6:60" s="22" customFormat="1">
      <c r="F709" s="9"/>
      <c r="J709" s="9"/>
      <c r="K709" s="9"/>
      <c r="L709" s="9"/>
      <c r="N709" s="9"/>
      <c r="O709" s="9"/>
      <c r="P709" s="9"/>
      <c r="Q709" s="9"/>
      <c r="R709" s="9"/>
      <c r="S709" s="12"/>
      <c r="T709" s="9"/>
      <c r="U709" s="9"/>
      <c r="V709" s="12"/>
      <c r="W709" s="12"/>
      <c r="X709" s="12"/>
      <c r="Y709" s="15"/>
      <c r="Z709" s="15"/>
      <c r="AA709" s="15"/>
      <c r="AB709" s="15"/>
      <c r="AC709" s="15"/>
      <c r="AD709" s="15"/>
      <c r="AE709" s="15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</row>
    <row r="710" spans="6:60" s="22" customFormat="1">
      <c r="F710" s="9"/>
      <c r="J710" s="9"/>
      <c r="K710" s="9"/>
      <c r="L710" s="9"/>
      <c r="N710" s="9"/>
      <c r="O710" s="9"/>
      <c r="P710" s="9"/>
      <c r="Q710" s="9"/>
      <c r="R710" s="9"/>
      <c r="S710" s="12"/>
      <c r="T710" s="9"/>
      <c r="U710" s="9"/>
      <c r="V710" s="12"/>
      <c r="W710" s="12"/>
      <c r="X710" s="12"/>
      <c r="Y710" s="15"/>
      <c r="Z710" s="15"/>
      <c r="AA710" s="15"/>
      <c r="AB710" s="15"/>
      <c r="AC710" s="15"/>
      <c r="AD710" s="15"/>
      <c r="AE710" s="15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</row>
    <row r="711" spans="6:60" s="22" customFormat="1">
      <c r="F711" s="9"/>
      <c r="J711" s="9"/>
      <c r="K711" s="9"/>
      <c r="L711" s="9"/>
      <c r="N711" s="9"/>
      <c r="O711" s="9"/>
      <c r="P711" s="9"/>
      <c r="Q711" s="9"/>
      <c r="R711" s="9"/>
      <c r="S711" s="12"/>
      <c r="T711" s="9"/>
      <c r="U711" s="9"/>
      <c r="V711" s="12"/>
      <c r="W711" s="12"/>
      <c r="X711" s="12"/>
      <c r="Y711" s="15"/>
      <c r="Z711" s="15"/>
      <c r="AA711" s="15"/>
      <c r="AB711" s="15"/>
      <c r="AC711" s="15"/>
      <c r="AD711" s="15"/>
      <c r="AE711" s="15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</row>
    <row r="712" spans="6:60" s="22" customFormat="1">
      <c r="F712" s="9"/>
      <c r="J712" s="9"/>
      <c r="K712" s="9"/>
      <c r="L712" s="9"/>
      <c r="N712" s="9"/>
      <c r="O712" s="9"/>
      <c r="P712" s="9"/>
      <c r="Q712" s="9"/>
      <c r="R712" s="9"/>
      <c r="S712" s="12"/>
      <c r="T712" s="9"/>
      <c r="U712" s="9"/>
      <c r="V712" s="12"/>
      <c r="W712" s="12"/>
      <c r="X712" s="12"/>
      <c r="Y712" s="15"/>
      <c r="Z712" s="15"/>
      <c r="AA712" s="15"/>
      <c r="AB712" s="15"/>
      <c r="AC712" s="15"/>
      <c r="AD712" s="15"/>
      <c r="AE712" s="15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</row>
    <row r="713" spans="6:60" s="22" customFormat="1">
      <c r="F713" s="9"/>
      <c r="J713" s="9"/>
      <c r="K713" s="9"/>
      <c r="L713" s="9"/>
      <c r="N713" s="9"/>
      <c r="O713" s="9"/>
      <c r="P713" s="9"/>
      <c r="Q713" s="9"/>
      <c r="R713" s="9"/>
      <c r="S713" s="12"/>
      <c r="T713" s="9"/>
      <c r="U713" s="9"/>
      <c r="V713" s="12"/>
      <c r="W713" s="12"/>
      <c r="X713" s="12"/>
      <c r="Y713" s="15"/>
      <c r="Z713" s="15"/>
      <c r="AA713" s="15"/>
      <c r="AB713" s="15"/>
      <c r="AC713" s="15"/>
      <c r="AD713" s="15"/>
      <c r="AE713" s="15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</row>
    <row r="714" spans="6:60" s="22" customFormat="1">
      <c r="F714" s="9"/>
      <c r="J714" s="9"/>
      <c r="K714" s="9"/>
      <c r="L714" s="9"/>
      <c r="N714" s="9"/>
      <c r="O714" s="9"/>
      <c r="P714" s="9"/>
      <c r="Q714" s="9"/>
      <c r="R714" s="9"/>
      <c r="S714" s="12"/>
      <c r="T714" s="9"/>
      <c r="U714" s="9"/>
      <c r="V714" s="12"/>
      <c r="W714" s="12"/>
      <c r="X714" s="12"/>
      <c r="Y714" s="15"/>
      <c r="Z714" s="15"/>
      <c r="AA714" s="15"/>
      <c r="AB714" s="15"/>
      <c r="AC714" s="15"/>
      <c r="AD714" s="15"/>
      <c r="AE714" s="15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</row>
    <row r="715" spans="6:60" s="22" customFormat="1">
      <c r="F715" s="9"/>
      <c r="J715" s="9"/>
      <c r="K715" s="9"/>
      <c r="L715" s="9"/>
      <c r="N715" s="9"/>
      <c r="O715" s="9"/>
      <c r="P715" s="9"/>
      <c r="Q715" s="9"/>
      <c r="R715" s="9"/>
      <c r="S715" s="12"/>
      <c r="T715" s="9"/>
      <c r="U715" s="9"/>
      <c r="V715" s="12"/>
      <c r="W715" s="12"/>
      <c r="X715" s="12"/>
      <c r="Y715" s="15"/>
      <c r="Z715" s="15"/>
      <c r="AA715" s="15"/>
      <c r="AB715" s="15"/>
      <c r="AC715" s="15"/>
      <c r="AD715" s="15"/>
      <c r="AE715" s="15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</row>
    <row r="716" spans="6:60" s="22" customFormat="1">
      <c r="F716" s="9"/>
      <c r="J716" s="9"/>
      <c r="K716" s="9"/>
      <c r="L716" s="9"/>
      <c r="N716" s="9"/>
      <c r="O716" s="9"/>
      <c r="P716" s="9"/>
      <c r="Q716" s="9"/>
      <c r="R716" s="9"/>
      <c r="S716" s="12"/>
      <c r="T716" s="9"/>
      <c r="U716" s="9"/>
      <c r="V716" s="12"/>
      <c r="W716" s="12"/>
      <c r="X716" s="12"/>
      <c r="Y716" s="15"/>
      <c r="Z716" s="15"/>
      <c r="AA716" s="15"/>
      <c r="AB716" s="15"/>
      <c r="AC716" s="15"/>
      <c r="AD716" s="15"/>
      <c r="AE716" s="15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</row>
    <row r="717" spans="6:60" s="22" customFormat="1">
      <c r="F717" s="9"/>
      <c r="J717" s="9"/>
      <c r="K717" s="9"/>
      <c r="L717" s="9"/>
      <c r="N717" s="9"/>
      <c r="O717" s="9"/>
      <c r="P717" s="9"/>
      <c r="Q717" s="9"/>
      <c r="R717" s="9"/>
      <c r="S717" s="12"/>
      <c r="T717" s="9"/>
      <c r="U717" s="9"/>
      <c r="V717" s="12"/>
      <c r="W717" s="12"/>
      <c r="X717" s="12"/>
      <c r="Y717" s="15"/>
      <c r="Z717" s="15"/>
      <c r="AA717" s="15"/>
      <c r="AB717" s="15"/>
      <c r="AC717" s="15"/>
      <c r="AD717" s="15"/>
      <c r="AE717" s="15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</row>
    <row r="718" spans="6:60" s="22" customFormat="1">
      <c r="F718" s="9"/>
      <c r="J718" s="9"/>
      <c r="K718" s="9"/>
      <c r="L718" s="9"/>
      <c r="N718" s="9"/>
      <c r="O718" s="9"/>
      <c r="P718" s="9"/>
      <c r="Q718" s="9"/>
      <c r="R718" s="9"/>
      <c r="S718" s="12"/>
      <c r="T718" s="9"/>
      <c r="U718" s="9"/>
      <c r="V718" s="12"/>
      <c r="W718" s="12"/>
      <c r="X718" s="12"/>
      <c r="Y718" s="15"/>
      <c r="Z718" s="15"/>
      <c r="AA718" s="15"/>
      <c r="AB718" s="15"/>
      <c r="AC718" s="15"/>
      <c r="AD718" s="15"/>
      <c r="AE718" s="15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</row>
    <row r="719" spans="6:60" s="22" customFormat="1">
      <c r="F719" s="9"/>
      <c r="J719" s="9"/>
      <c r="K719" s="9"/>
      <c r="L719" s="9"/>
      <c r="N719" s="9"/>
      <c r="O719" s="9"/>
      <c r="P719" s="9"/>
      <c r="Q719" s="9"/>
      <c r="R719" s="9"/>
      <c r="S719" s="12"/>
      <c r="T719" s="9"/>
      <c r="U719" s="9"/>
      <c r="V719" s="12"/>
      <c r="W719" s="12"/>
      <c r="X719" s="12"/>
      <c r="Y719" s="15"/>
      <c r="Z719" s="15"/>
      <c r="AA719" s="15"/>
      <c r="AB719" s="15"/>
      <c r="AC719" s="15"/>
      <c r="AD719" s="15"/>
      <c r="AE719" s="15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</row>
    <row r="720" spans="6:60" s="22" customFormat="1">
      <c r="F720" s="9"/>
      <c r="J720" s="9"/>
      <c r="K720" s="9"/>
      <c r="L720" s="9"/>
      <c r="N720" s="9"/>
      <c r="O720" s="9"/>
      <c r="P720" s="9"/>
      <c r="Q720" s="9"/>
      <c r="R720" s="9"/>
      <c r="S720" s="12"/>
      <c r="T720" s="9"/>
      <c r="U720" s="9"/>
      <c r="V720" s="12"/>
      <c r="W720" s="12"/>
      <c r="X720" s="12"/>
      <c r="Y720" s="15"/>
      <c r="Z720" s="15"/>
      <c r="AA720" s="15"/>
      <c r="AB720" s="15"/>
      <c r="AC720" s="15"/>
      <c r="AD720" s="15"/>
      <c r="AE720" s="15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</row>
    <row r="721" spans="6:60" s="22" customFormat="1">
      <c r="F721" s="9"/>
      <c r="J721" s="9"/>
      <c r="K721" s="9"/>
      <c r="L721" s="9"/>
      <c r="N721" s="9"/>
      <c r="O721" s="9"/>
      <c r="P721" s="9"/>
      <c r="Q721" s="9"/>
      <c r="R721" s="9"/>
      <c r="S721" s="12"/>
      <c r="T721" s="9"/>
      <c r="U721" s="9"/>
      <c r="V721" s="12"/>
      <c r="W721" s="12"/>
      <c r="X721" s="12"/>
      <c r="Y721" s="15"/>
      <c r="Z721" s="15"/>
      <c r="AA721" s="15"/>
      <c r="AB721" s="15"/>
      <c r="AC721" s="15"/>
      <c r="AD721" s="15"/>
      <c r="AE721" s="15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</row>
  </sheetData>
  <phoneticPr fontId="2" type="noConversion"/>
  <conditionalFormatting sqref="BE1:XFD1 E1:I1">
    <cfRule type="duplicateValues" dxfId="135" priority="1728"/>
  </conditionalFormatting>
  <conditionalFormatting sqref="F591:F597 F329:F350 F577:F587 F354:F362 F1:F16 F45 F272:F274 F257:F262">
    <cfRule type="cellIs" dxfId="134" priority="1229" operator="equal">
      <formula>"ID"</formula>
    </cfRule>
    <cfRule type="cellIs" dxfId="133" priority="1644" operator="equal">
      <formula>"行動序號"</formula>
    </cfRule>
  </conditionalFormatting>
  <conditionalFormatting sqref="N11 N579:N596 M1:M11 M12:N16 M17 M18:N23 M601:M1048576 M24:M599">
    <cfRule type="expression" dxfId="132" priority="1648">
      <formula>OR($F1="行動序號",$F1="ID")</formula>
    </cfRule>
  </conditionalFormatting>
  <conditionalFormatting sqref="N11 N579:N596 M1:M11 M12:N16 M17 M18:N23 M601:M1048576 M24:M599">
    <cfRule type="expression" dxfId="131" priority="1115">
      <formula>$F1="行動ID"</formula>
    </cfRule>
  </conditionalFormatting>
  <conditionalFormatting sqref="J1">
    <cfRule type="duplicateValues" dxfId="130" priority="1227"/>
  </conditionalFormatting>
  <conditionalFormatting sqref="K1:L1">
    <cfRule type="duplicateValues" dxfId="129" priority="1224"/>
  </conditionalFormatting>
  <conditionalFormatting sqref="F28:F29 F49:F50 F66:F67 F83:F84 F281:F282 F298:F299 F315:F316 F52:F54 F69:F71 F86:F88 F284:F286 F301:F303 F318:F320 F58 F75 F92 F290 F307 F56 F73 F90 F288 F305 F322 F235:F236 F31:F36 F238:F239 F251:F252 F254:F255 F241:F248">
    <cfRule type="cellIs" dxfId="128" priority="1094" operator="equal">
      <formula>"ID"</formula>
    </cfRule>
    <cfRule type="cellIs" dxfId="127" priority="1096" operator="equal">
      <formula>"行動序號"</formula>
    </cfRule>
  </conditionalFormatting>
  <conditionalFormatting sqref="F37:F38 F60:F61 F77:F78 F231:F232 F275:F276 F292:F293 F309:F310">
    <cfRule type="cellIs" dxfId="126" priority="1088" operator="equal">
      <formula>"ID"</formula>
    </cfRule>
    <cfRule type="cellIs" dxfId="125" priority="1089" operator="equal">
      <formula>"行動序號"</formula>
    </cfRule>
  </conditionalFormatting>
  <conditionalFormatting sqref="F30 F51 F68 F85 F283 F300 F317">
    <cfRule type="cellIs" dxfId="124" priority="1078" operator="equal">
      <formula>"ID"</formula>
    </cfRule>
    <cfRule type="cellIs" dxfId="123" priority="1079" operator="equal">
      <formula>"行動序號"</formula>
    </cfRule>
  </conditionalFormatting>
  <conditionalFormatting sqref="F57 F74 F91 F289 F306">
    <cfRule type="cellIs" dxfId="122" priority="1076" operator="equal">
      <formula>"ID"</formula>
    </cfRule>
    <cfRule type="cellIs" dxfId="121" priority="1077" operator="equal">
      <formula>"行動序號"</formula>
    </cfRule>
  </conditionalFormatting>
  <conditionalFormatting sqref="F62 F79 F277 F294 F311">
    <cfRule type="cellIs" dxfId="120" priority="1070" operator="equal">
      <formula>"ID"</formula>
    </cfRule>
    <cfRule type="cellIs" dxfId="119" priority="1071" operator="equal">
      <formula>"行動序號"</formula>
    </cfRule>
  </conditionalFormatting>
  <conditionalFormatting sqref="N579:N596 N11:N16">
    <cfRule type="expression" dxfId="118" priority="1731">
      <formula>$E11&gt;0</formula>
    </cfRule>
  </conditionalFormatting>
  <conditionalFormatting sqref="F63 F80 F278 F295 F312 F39:F40 F45">
    <cfRule type="cellIs" dxfId="117" priority="1066" operator="equal">
      <formula>"ID"</formula>
    </cfRule>
    <cfRule type="cellIs" dxfId="116" priority="1067" operator="equal">
      <formula>"行動序號"</formula>
    </cfRule>
  </conditionalFormatting>
  <conditionalFormatting sqref="F55 F72 F89 F287 F304 F321">
    <cfRule type="cellIs" dxfId="115" priority="1063" operator="equal">
      <formula>"ID"</formula>
    </cfRule>
    <cfRule type="cellIs" dxfId="114" priority="1064" operator="equal">
      <formula>"行動序號"</formula>
    </cfRule>
  </conditionalFormatting>
  <conditionalFormatting sqref="J28 J367 G377 M601:M1048576 J602 J235 J266 J251 M1:M599">
    <cfRule type="expression" dxfId="113" priority="839">
      <formula>_xlfn.ISFORMULA(G1)</formula>
    </cfRule>
  </conditionalFormatting>
  <conditionalFormatting sqref="F384:F385 F406:F407 F428:F429 F450:F451 F472:F473 F494:F495 F516:F517 F538:F539 F560:F561">
    <cfRule type="cellIs" dxfId="112" priority="691" operator="equal">
      <formula>"ID"</formula>
    </cfRule>
    <cfRule type="cellIs" dxfId="111" priority="692" operator="equal">
      <formula>"行動序號"</formula>
    </cfRule>
  </conditionalFormatting>
  <conditionalFormatting sqref="F367:F377 F389:F399 F411:F421 F433:F443 F455:F465 F477:F487 F499:F509 F521:F531 F543:F553 F565:F575">
    <cfRule type="cellIs" dxfId="110" priority="688" operator="equal">
      <formula>"ID"</formula>
    </cfRule>
    <cfRule type="cellIs" dxfId="109" priority="689" operator="equal">
      <formula>"行動序號"</formula>
    </cfRule>
  </conditionalFormatting>
  <conditionalFormatting sqref="F378 F400 F422 F444 F466 F488 F510 F532 F554 F576">
    <cfRule type="cellIs" dxfId="108" priority="681" operator="equal">
      <formula>"ID"</formula>
    </cfRule>
    <cfRule type="cellIs" dxfId="107" priority="682" operator="equal">
      <formula>"行動序號"</formula>
    </cfRule>
  </conditionalFormatting>
  <conditionalFormatting sqref="F381:F383 F403:F405 F425:F427 F447:F449 F469:F471 F491:F493 F513:F515 F535:F537 F557:F559">
    <cfRule type="cellIs" dxfId="106" priority="678" operator="equal">
      <formula>"ID"</formula>
    </cfRule>
    <cfRule type="cellIs" dxfId="105" priority="679" operator="equal">
      <formula>"行動序號"</formula>
    </cfRule>
  </conditionalFormatting>
  <conditionalFormatting sqref="F351:F353">
    <cfRule type="cellIs" dxfId="104" priority="663" operator="equal">
      <formula>"行動ID"</formula>
    </cfRule>
    <cfRule type="cellIs" dxfId="103" priority="664" operator="equal">
      <formula>"ID"</formula>
    </cfRule>
    <cfRule type="cellIs" dxfId="102" priority="666" operator="equal">
      <formula>"行動序號"</formula>
    </cfRule>
  </conditionalFormatting>
  <conditionalFormatting sqref="F351:F353">
    <cfRule type="cellIs" dxfId="101" priority="665" operator="equal">
      <formula>"行動序號"</formula>
    </cfRule>
  </conditionalFormatting>
  <conditionalFormatting sqref="F779:F781">
    <cfRule type="cellIs" dxfId="100" priority="277" operator="equal">
      <formula>"ID"</formula>
    </cfRule>
    <cfRule type="cellIs" dxfId="99" priority="278" operator="equal">
      <formula>"行動序號"</formula>
    </cfRule>
  </conditionalFormatting>
  <conditionalFormatting sqref="F588:F590">
    <cfRule type="cellIs" dxfId="98" priority="273" operator="equal">
      <formula>"行動ID"</formula>
    </cfRule>
    <cfRule type="cellIs" dxfId="97" priority="274" operator="equal">
      <formula>"ID"</formula>
    </cfRule>
    <cfRule type="cellIs" dxfId="96" priority="276" operator="equal">
      <formula>"行動序號"</formula>
    </cfRule>
  </conditionalFormatting>
  <conditionalFormatting sqref="F588:F590">
    <cfRule type="cellIs" dxfId="95" priority="275" operator="equal">
      <formula>"行動序號"</formula>
    </cfRule>
  </conditionalFormatting>
  <conditionalFormatting sqref="F791">
    <cfRule type="cellIs" dxfId="94" priority="111" operator="equal">
      <formula>"ID"</formula>
    </cfRule>
    <cfRule type="cellIs" dxfId="93" priority="112" operator="equal">
      <formula>"行動序號"</formula>
    </cfRule>
  </conditionalFormatting>
  <conditionalFormatting sqref="F379 F401 F423 F445 F467 F489 F511 F533 F555">
    <cfRule type="cellIs" dxfId="92" priority="99" operator="equal">
      <formula>"ID"</formula>
    </cfRule>
    <cfRule type="cellIs" dxfId="91" priority="100" operator="equal">
      <formula>"行動序號"</formula>
    </cfRule>
  </conditionalFormatting>
  <conditionalFormatting sqref="F386 F408 F430 F452 F474 F496 F518 F540 F562">
    <cfRule type="cellIs" dxfId="90" priority="90" operator="equal">
      <formula>"ID"</formula>
    </cfRule>
    <cfRule type="cellIs" dxfId="89" priority="91" operator="equal">
      <formula>"行動序號"</formula>
    </cfRule>
  </conditionalFormatting>
  <conditionalFormatting sqref="F380 F402 F424 F446 F468 F490 F512 F534 F556">
    <cfRule type="cellIs" dxfId="88" priority="79" operator="equal">
      <formula>"ID"</formula>
    </cfRule>
    <cfRule type="cellIs" dxfId="87" priority="80" operator="equal">
      <formula>"行動序號"</formula>
    </cfRule>
  </conditionalFormatting>
  <conditionalFormatting sqref="F615 F631 F646 F661 F676 F691 F706 F721">
    <cfRule type="cellIs" dxfId="86" priority="73" operator="equal">
      <formula>"ID"</formula>
    </cfRule>
    <cfRule type="cellIs" dxfId="85" priority="74" operator="equal">
      <formula>"行動序號"</formula>
    </cfRule>
  </conditionalFormatting>
  <conditionalFormatting sqref="F602:F611 F618:F627 F633:F642 F648:F657 F663:F672 F678:F687 F693:F702 F708:F717">
    <cfRule type="cellIs" dxfId="84" priority="68" operator="equal">
      <formula>"ID"</formula>
    </cfRule>
    <cfRule type="cellIs" dxfId="83" priority="69" operator="equal">
      <formula>"行動序號"</formula>
    </cfRule>
  </conditionalFormatting>
  <conditionalFormatting sqref="F613 F629 F644 F659 F674 F689 F704 F719">
    <cfRule type="cellIs" dxfId="82" priority="61" operator="equal">
      <formula>"ID"</formula>
    </cfRule>
    <cfRule type="cellIs" dxfId="81" priority="62" operator="equal">
      <formula>"行動序號"</formula>
    </cfRule>
  </conditionalFormatting>
  <conditionalFormatting sqref="F614 F630 F645 F660 F675 F690 F705 F720">
    <cfRule type="cellIs" dxfId="80" priority="58" operator="equal">
      <formula>"ID"</formula>
    </cfRule>
    <cfRule type="cellIs" dxfId="79" priority="59" operator="equal">
      <formula>"行動序號"</formula>
    </cfRule>
  </conditionalFormatting>
  <conditionalFormatting sqref="F616">
    <cfRule type="cellIs" dxfId="78" priority="46" operator="equal">
      <formula>"ID"</formula>
    </cfRule>
    <cfRule type="cellIs" dxfId="77" priority="47" operator="equal">
      <formula>"行動序號"</formula>
    </cfRule>
  </conditionalFormatting>
  <conditionalFormatting sqref="J28 G377">
    <cfRule type="expression" dxfId="76" priority="1735">
      <formula>OR(#REF!="行動序號",#REF!="ID")</formula>
    </cfRule>
  </conditionalFormatting>
  <conditionalFormatting sqref="J28 G377">
    <cfRule type="expression" dxfId="75" priority="1737">
      <formula>#REF!="行動ID"</formula>
    </cfRule>
  </conditionalFormatting>
  <conditionalFormatting sqref="J367">
    <cfRule type="expression" dxfId="74" priority="1741">
      <formula>OR(#REF!="行動序號",#REF!="ID")</formula>
    </cfRule>
  </conditionalFormatting>
  <conditionalFormatting sqref="J367">
    <cfRule type="expression" dxfId="73" priority="1743">
      <formula>#REF!="行動ID"</formula>
    </cfRule>
  </conditionalFormatting>
  <conditionalFormatting sqref="N1:BD1">
    <cfRule type="duplicateValues" dxfId="72" priority="1744"/>
  </conditionalFormatting>
  <conditionalFormatting sqref="J602">
    <cfRule type="expression" dxfId="71" priority="1748">
      <formula>OR($F600="行動序號",$F600="ID")</formula>
    </cfRule>
  </conditionalFormatting>
  <conditionalFormatting sqref="J602">
    <cfRule type="expression" dxfId="70" priority="1750">
      <formula>$F600="行動ID"</formula>
    </cfRule>
  </conditionalFormatting>
  <conditionalFormatting sqref="F237">
    <cfRule type="cellIs" dxfId="69" priority="32" operator="equal">
      <formula>"ID"</formula>
    </cfRule>
    <cfRule type="cellIs" dxfId="68" priority="33" operator="equal">
      <formula>"行動序號"</formula>
    </cfRule>
  </conditionalFormatting>
  <conditionalFormatting sqref="J235">
    <cfRule type="expression" dxfId="67" priority="36">
      <formula>OR(#REF!="行動序號",#REF!="ID")</formula>
    </cfRule>
  </conditionalFormatting>
  <conditionalFormatting sqref="J235">
    <cfRule type="expression" dxfId="66" priority="37">
      <formula>#REF!="行動ID"</formula>
    </cfRule>
  </conditionalFormatting>
  <conditionalFormatting sqref="F41">
    <cfRule type="cellIs" dxfId="65" priority="26" operator="equal">
      <formula>"ID"</formula>
    </cfRule>
    <cfRule type="cellIs" dxfId="64" priority="27" operator="equal">
      <formula>"行動序號"</formula>
    </cfRule>
  </conditionalFormatting>
  <conditionalFormatting sqref="F42 F44">
    <cfRule type="cellIs" dxfId="63" priority="24" operator="equal">
      <formula>"ID"</formula>
    </cfRule>
    <cfRule type="cellIs" dxfId="62" priority="25" operator="equal">
      <formula>"行動序號"</formula>
    </cfRule>
  </conditionalFormatting>
  <conditionalFormatting sqref="F43">
    <cfRule type="cellIs" dxfId="61" priority="22" operator="equal">
      <formula>"ID"</formula>
    </cfRule>
    <cfRule type="cellIs" dxfId="60" priority="23" operator="equal">
      <formula>"行動序號"</formula>
    </cfRule>
  </conditionalFormatting>
  <conditionalFormatting sqref="F46">
    <cfRule type="cellIs" dxfId="59" priority="20" operator="equal">
      <formula>"ID"</formula>
    </cfRule>
    <cfRule type="cellIs" dxfId="58" priority="21" operator="equal">
      <formula>"行動序號"</formula>
    </cfRule>
  </conditionalFormatting>
  <conditionalFormatting sqref="F240">
    <cfRule type="cellIs" dxfId="57" priority="18" operator="equal">
      <formula>"ID"</formula>
    </cfRule>
    <cfRule type="cellIs" dxfId="56" priority="19" operator="equal">
      <formula>"行動序號"</formula>
    </cfRule>
  </conditionalFormatting>
  <conditionalFormatting sqref="F266:F267 F269:F270">
    <cfRule type="cellIs" dxfId="55" priority="16" operator="equal">
      <formula>"ID"</formula>
    </cfRule>
    <cfRule type="cellIs" dxfId="54" priority="17" operator="equal">
      <formula>"行動序號"</formula>
    </cfRule>
  </conditionalFormatting>
  <conditionalFormatting sqref="F268">
    <cfRule type="cellIs" dxfId="53" priority="12" operator="equal">
      <formula>"ID"</formula>
    </cfRule>
    <cfRule type="cellIs" dxfId="52" priority="13" operator="equal">
      <formula>"行動序號"</formula>
    </cfRule>
  </conditionalFormatting>
  <conditionalFormatting sqref="J266">
    <cfRule type="expression" dxfId="51" priority="14">
      <formula>OR(#REF!="行動序號",#REF!="ID")</formula>
    </cfRule>
  </conditionalFormatting>
  <conditionalFormatting sqref="J266">
    <cfRule type="expression" dxfId="50" priority="15">
      <formula>#REF!="行動ID"</formula>
    </cfRule>
  </conditionalFormatting>
  <conditionalFormatting sqref="F271">
    <cfRule type="cellIs" dxfId="49" priority="10" operator="equal">
      <formula>"ID"</formula>
    </cfRule>
    <cfRule type="cellIs" dxfId="48" priority="11" operator="equal">
      <formula>"行動序號"</formula>
    </cfRule>
  </conditionalFormatting>
  <conditionalFormatting sqref="F18:F23">
    <cfRule type="cellIs" dxfId="47" priority="7" operator="equal">
      <formula>"ID"</formula>
    </cfRule>
    <cfRule type="cellIs" dxfId="46" priority="8" operator="equal">
      <formula>"行動序號"</formula>
    </cfRule>
  </conditionalFormatting>
  <conditionalFormatting sqref="N18:N23">
    <cfRule type="expression" dxfId="45" priority="9">
      <formula>$E18&gt;0</formula>
    </cfRule>
  </conditionalFormatting>
  <conditionalFormatting sqref="F253">
    <cfRule type="cellIs" dxfId="44" priority="3" operator="equal">
      <formula>"ID"</formula>
    </cfRule>
    <cfRule type="cellIs" dxfId="43" priority="4" operator="equal">
      <formula>"行動序號"</formula>
    </cfRule>
  </conditionalFormatting>
  <conditionalFormatting sqref="J251">
    <cfRule type="expression" dxfId="42" priority="5">
      <formula>OR(#REF!="行動序號",#REF!="ID")</formula>
    </cfRule>
  </conditionalFormatting>
  <conditionalFormatting sqref="J251">
    <cfRule type="expression" dxfId="41" priority="6">
      <formula>#REF!="行動ID"</formula>
    </cfRule>
  </conditionalFormatting>
  <conditionalFormatting sqref="F256">
    <cfRule type="cellIs" dxfId="40" priority="1" operator="equal">
      <formula>"ID"</formula>
    </cfRule>
    <cfRule type="cellIs" dxfId="39" priority="2" operator="equal">
      <formula>"行動序號"</formula>
    </cfRule>
  </conditionalFormatting>
  <dataValidations count="1">
    <dataValidation type="list" allowBlank="1" showInputMessage="1" showErrorMessage="1" sqref="L583 L598 L5:L6 K581:L581 F581 F332:L332 K8 L586 F346:L359 L328 J360:J362 L243 F245 K244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149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150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233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151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152</v>
      </c>
      <c r="C17" s="7" t="s">
        <v>234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153</v>
      </c>
      <c r="E20" t="str">
        <f t="shared" si="0"/>
        <v>啟動依ID,</v>
      </c>
      <c r="H20"/>
    </row>
    <row r="21" spans="1:8">
      <c r="A21" s="7" t="s">
        <v>27</v>
      </c>
      <c r="B21" s="7" t="s">
        <v>154</v>
      </c>
      <c r="C21" s="7" t="s">
        <v>155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156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157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158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159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160</v>
      </c>
      <c r="C26" s="7" t="s">
        <v>161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162</v>
      </c>
      <c r="C27" s="7" t="s">
        <v>163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164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165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166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167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168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169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170</v>
      </c>
      <c r="C36" s="7" t="s">
        <v>171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172</v>
      </c>
      <c r="C37" s="7" t="s">
        <v>173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174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175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176</v>
      </c>
      <c r="E42" t="str">
        <f t="shared" si="0"/>
        <v>死亡時間,</v>
      </c>
      <c r="H42"/>
    </row>
    <row r="43" spans="1:8">
      <c r="A43" s="7" t="s">
        <v>27</v>
      </c>
      <c r="B43" s="7" t="s">
        <v>230</v>
      </c>
      <c r="C43" s="7" t="s">
        <v>231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177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178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179</v>
      </c>
      <c r="E48" t="str">
        <f t="shared" si="0"/>
        <v>位置參數,</v>
      </c>
      <c r="H48"/>
    </row>
    <row r="49" spans="1:8">
      <c r="A49" s="7" t="s">
        <v>27</v>
      </c>
      <c r="B49" s="7" t="s">
        <v>180</v>
      </c>
      <c r="C49" s="7" t="s">
        <v>181</v>
      </c>
      <c r="E49" t="str">
        <f t="shared" si="0"/>
        <v>加位置,</v>
      </c>
      <c r="H49"/>
    </row>
    <row r="50" spans="1:8">
      <c r="A50" s="7" t="s">
        <v>27</v>
      </c>
      <c r="B50" s="7" t="s">
        <v>269</v>
      </c>
      <c r="C50" s="7" t="s">
        <v>270</v>
      </c>
      <c r="E50" t="str">
        <f t="shared" si="0"/>
        <v>記錄位置,</v>
      </c>
      <c r="H50"/>
    </row>
    <row r="51" spans="1:8">
      <c r="A51" s="7" t="s">
        <v>27</v>
      </c>
      <c r="B51" s="7" t="s">
        <v>271</v>
      </c>
      <c r="C51" s="7" t="s">
        <v>272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182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183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184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185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186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187</v>
      </c>
      <c r="C59" s="7" t="s">
        <v>188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189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235</v>
      </c>
      <c r="C61" s="7" t="s">
        <v>236</v>
      </c>
      <c r="E61" t="str">
        <f t="shared" si="0"/>
        <v>子旋轉角度,</v>
      </c>
      <c r="H61"/>
    </row>
    <row r="62" spans="1:8">
      <c r="A62" s="7" t="s">
        <v>27</v>
      </c>
      <c r="B62" s="25" t="s">
        <v>237</v>
      </c>
      <c r="C62" s="7" t="s">
        <v>238</v>
      </c>
      <c r="E62" t="str">
        <f t="shared" si="0"/>
        <v>子加旋轉角度,</v>
      </c>
      <c r="H62"/>
    </row>
    <row r="63" spans="1:8">
      <c r="A63" s="7" t="s">
        <v>27</v>
      </c>
      <c r="B63" s="7" t="s">
        <v>273</v>
      </c>
      <c r="C63" s="7" t="s">
        <v>274</v>
      </c>
      <c r="E63" t="str">
        <f t="shared" si="0"/>
        <v>記錄角度,</v>
      </c>
      <c r="H63"/>
    </row>
    <row r="64" spans="1:8">
      <c r="A64" s="7" t="s">
        <v>27</v>
      </c>
      <c r="B64" s="7" t="s">
        <v>276</v>
      </c>
      <c r="C64" s="7" t="s">
        <v>275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190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191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192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193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194</v>
      </c>
      <c r="C73" s="7" t="s">
        <v>195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196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197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198</v>
      </c>
      <c r="E76" t="str">
        <f t="shared" si="0"/>
        <v>回收距離,</v>
      </c>
      <c r="H76"/>
    </row>
    <row r="77" spans="1:11">
      <c r="A77" s="7" t="s">
        <v>27</v>
      </c>
      <c r="B77" s="7" t="s">
        <v>199</v>
      </c>
      <c r="C77" s="7" t="s">
        <v>200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201</v>
      </c>
      <c r="C78" s="7" t="s">
        <v>202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203</v>
      </c>
      <c r="C79" s="7" t="s">
        <v>204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205</v>
      </c>
      <c r="C80" s="7" t="s">
        <v>206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207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208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209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210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211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212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213</v>
      </c>
      <c r="C91" s="7" t="s">
        <v>214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215</v>
      </c>
      <c r="C92" s="7" t="s">
        <v>216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217</v>
      </c>
      <c r="C93" s="7" t="s">
        <v>218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219</v>
      </c>
      <c r="C94" s="7" t="s">
        <v>220</v>
      </c>
      <c r="E94" t="str">
        <f t="shared" si="1"/>
        <v>玩家Shift,</v>
      </c>
      <c r="H94"/>
    </row>
    <row r="95" spans="1:11">
      <c r="A95" s="7" t="s">
        <v>27</v>
      </c>
      <c r="B95" s="7" t="s">
        <v>221</v>
      </c>
      <c r="C95" s="7" t="s">
        <v>222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223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224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225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226</v>
      </c>
      <c r="C114" s="7" t="s">
        <v>22</v>
      </c>
      <c r="D114" s="7"/>
      <c r="L114" s="7"/>
    </row>
    <row r="115" spans="1:12">
      <c r="A115" s="7" t="s">
        <v>141</v>
      </c>
      <c r="B115" s="7" t="s">
        <v>227</v>
      </c>
      <c r="C115" s="7" t="s">
        <v>23</v>
      </c>
      <c r="H115"/>
    </row>
    <row r="116" spans="1:12">
      <c r="A116" s="7" t="s">
        <v>141</v>
      </c>
      <c r="B116" s="7" t="s">
        <v>277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228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229</v>
      </c>
      <c r="D4" s="20"/>
      <c r="G4" s="9"/>
      <c r="H4" s="18"/>
    </row>
    <row r="5" spans="1:10" ht="17.25" customHeight="1">
      <c r="A5" s="20" t="s">
        <v>100</v>
      </c>
      <c r="B5" s="20" t="s">
        <v>223</v>
      </c>
      <c r="C5" s="20" t="s">
        <v>226</v>
      </c>
      <c r="D5" s="20"/>
      <c r="G5" s="9"/>
    </row>
    <row r="6" spans="1:10">
      <c r="A6" s="20" t="s">
        <v>103</v>
      </c>
      <c r="B6" s="20" t="s">
        <v>224</v>
      </c>
      <c r="C6" s="20" t="s">
        <v>227</v>
      </c>
      <c r="D6" s="20"/>
      <c r="G6" s="9"/>
    </row>
    <row r="7" spans="1:10">
      <c r="A7" s="20" t="s">
        <v>48</v>
      </c>
      <c r="B7" s="20" t="s">
        <v>225</v>
      </c>
      <c r="C7" s="24" t="s">
        <v>277</v>
      </c>
      <c r="D7" s="20"/>
      <c r="G7" s="9"/>
    </row>
    <row r="8" spans="1:10">
      <c r="A8" s="20" t="s">
        <v>150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233</v>
      </c>
      <c r="B10" s="20"/>
      <c r="C10" s="20"/>
      <c r="D10" s="20"/>
      <c r="G10" s="9"/>
    </row>
    <row r="11" spans="1:10">
      <c r="A11" s="20" t="s">
        <v>151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152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143</v>
      </c>
      <c r="C20"/>
      <c r="G20" s="9"/>
    </row>
    <row r="21" spans="1:7">
      <c r="A21" s="20" t="s">
        <v>154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160</v>
      </c>
      <c r="C26"/>
      <c r="G26" s="9"/>
    </row>
    <row r="27" spans="1:7">
      <c r="A27" s="20" t="s">
        <v>162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170</v>
      </c>
      <c r="C36"/>
    </row>
    <row r="37" spans="1:7">
      <c r="A37" s="20" t="s">
        <v>172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230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180</v>
      </c>
      <c r="C49"/>
      <c r="G49" s="9"/>
    </row>
    <row r="50" spans="1:8">
      <c r="A50" s="25" t="s">
        <v>273</v>
      </c>
      <c r="C50"/>
      <c r="G50" s="9"/>
    </row>
    <row r="51" spans="1:8">
      <c r="A51" s="25" t="s">
        <v>278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239</v>
      </c>
      <c r="C57"/>
      <c r="G57" s="9"/>
    </row>
    <row r="58" spans="1:8">
      <c r="A58" s="20" t="s">
        <v>133</v>
      </c>
      <c r="G58" s="9"/>
    </row>
    <row r="59" spans="1:8">
      <c r="A59" s="20" t="s">
        <v>187</v>
      </c>
      <c r="G59" s="9"/>
    </row>
    <row r="60" spans="1:8">
      <c r="A60" s="20" t="s">
        <v>115</v>
      </c>
      <c r="G60" s="9"/>
    </row>
    <row r="61" spans="1:8">
      <c r="A61" s="25" t="s">
        <v>235</v>
      </c>
      <c r="G61" s="9"/>
    </row>
    <row r="62" spans="1:8">
      <c r="A62" s="25" t="s">
        <v>237</v>
      </c>
      <c r="G62" s="9"/>
    </row>
    <row r="63" spans="1:8">
      <c r="A63" s="25" t="s">
        <v>273</v>
      </c>
      <c r="G63" s="9"/>
    </row>
    <row r="64" spans="1:8">
      <c r="A64" s="25" t="s">
        <v>276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194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199</v>
      </c>
      <c r="G77" s="9"/>
    </row>
    <row r="78" spans="1:7">
      <c r="A78" s="20" t="s">
        <v>201</v>
      </c>
      <c r="G78" s="9"/>
    </row>
    <row r="79" spans="1:7">
      <c r="A79" s="20" t="s">
        <v>203</v>
      </c>
    </row>
    <row r="80" spans="1:7">
      <c r="A80" s="20" t="s">
        <v>205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213</v>
      </c>
    </row>
    <row r="92" spans="1:1">
      <c r="A92" s="20" t="s">
        <v>215</v>
      </c>
    </row>
    <row r="93" spans="1:1">
      <c r="A93" s="20" t="s">
        <v>217</v>
      </c>
    </row>
    <row r="94" spans="1:1">
      <c r="A94" s="20" t="s">
        <v>219</v>
      </c>
    </row>
    <row r="95" spans="1:1">
      <c r="A95" s="20" t="s">
        <v>221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stage7_notcard5shot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2025-04-16T06:38:16Z</dcterms:modified>
</cp:coreProperties>
</file>