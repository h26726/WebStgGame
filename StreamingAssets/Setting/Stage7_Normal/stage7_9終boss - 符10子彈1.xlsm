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843A55F0-45FC-4B2A-AE6F-B13EF3886EF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0shot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66" i="1" l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M149" i="1"/>
  <c r="E149" i="1"/>
  <c r="E148" i="1"/>
  <c r="E147" i="1"/>
  <c r="E146" i="1"/>
  <c r="E145" i="1"/>
  <c r="E144" i="1"/>
  <c r="E143" i="1"/>
  <c r="E142" i="1"/>
  <c r="E141" i="1"/>
  <c r="E140" i="1"/>
  <c r="M138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M121" i="1"/>
  <c r="E121" i="1"/>
  <c r="E120" i="1"/>
  <c r="E119" i="1"/>
  <c r="E118" i="1"/>
  <c r="E117" i="1"/>
  <c r="E116" i="1"/>
  <c r="E115" i="1"/>
  <c r="E114" i="1"/>
  <c r="E113" i="1"/>
  <c r="E112" i="1"/>
  <c r="D111" i="1"/>
  <c r="M112" i="1" s="1"/>
  <c r="M110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M93" i="1"/>
  <c r="E93" i="1"/>
  <c r="E92" i="1"/>
  <c r="E91" i="1"/>
  <c r="E90" i="1"/>
  <c r="E89" i="1"/>
  <c r="E88" i="1"/>
  <c r="E87" i="1"/>
  <c r="E86" i="1"/>
  <c r="E85" i="1"/>
  <c r="M84" i="1"/>
  <c r="M94" i="1" s="1"/>
  <c r="M105" i="1" s="1"/>
  <c r="E84" i="1"/>
  <c r="D83" i="1"/>
  <c r="D139" i="1" s="1"/>
  <c r="B83" i="1"/>
  <c r="C83" i="1" s="1"/>
  <c r="E64" i="1"/>
  <c r="M82" i="1"/>
  <c r="E82" i="1"/>
  <c r="M123" i="1" l="1"/>
  <c r="M132" i="1"/>
  <c r="M125" i="1" s="1"/>
  <c r="M122" i="1"/>
  <c r="M133" i="1" s="1"/>
  <c r="M85" i="1"/>
  <c r="M99" i="1" a="1"/>
  <c r="M99" i="1" s="1"/>
  <c r="M100" i="1" a="1"/>
  <c r="M100" i="1" s="1"/>
  <c r="M89" i="1" a="1"/>
  <c r="M89" i="1" s="1"/>
  <c r="B139" i="1"/>
  <c r="C139" i="1"/>
  <c r="M140" i="1"/>
  <c r="M104" i="1"/>
  <c r="M97" i="1" s="1"/>
  <c r="M95" i="1"/>
  <c r="B111" i="1"/>
  <c r="C111" i="1" s="1"/>
  <c r="M150" i="1" l="1"/>
  <c r="M161" i="1" s="1"/>
  <c r="M151" i="1"/>
  <c r="M160" i="1"/>
  <c r="M153" i="1" s="1"/>
  <c r="M156" i="1" a="1"/>
  <c r="M156" i="1" s="1"/>
  <c r="M155" i="1" a="1"/>
  <c r="M155" i="1" s="1"/>
  <c r="M141" i="1"/>
  <c r="M145" i="1" a="1"/>
  <c r="M145" i="1" s="1"/>
  <c r="M117" i="1" a="1"/>
  <c r="M117" i="1" s="1"/>
  <c r="M128" i="1" a="1"/>
  <c r="M128" i="1" s="1"/>
  <c r="M113" i="1"/>
  <c r="M127" i="1" a="1"/>
  <c r="M127" i="1" s="1"/>
  <c r="E37" i="1" l="1"/>
  <c r="E38" i="1"/>
  <c r="E39" i="1"/>
  <c r="E40" i="1"/>
  <c r="E41" i="1"/>
  <c r="E42" i="1"/>
  <c r="E70" i="1"/>
  <c r="E69" i="1"/>
  <c r="E81" i="1"/>
  <c r="E35" i="1"/>
  <c r="E34" i="1"/>
  <c r="E36" i="1" l="1"/>
  <c r="E31" i="1"/>
  <c r="E32" i="1"/>
  <c r="E33" i="1"/>
  <c r="E30" i="1"/>
  <c r="E78" i="1"/>
  <c r="E77" i="1"/>
  <c r="E80" i="1"/>
  <c r="E79" i="1"/>
  <c r="E76" i="1"/>
  <c r="E68" i="1"/>
  <c r="E67" i="1"/>
  <c r="E66" i="1"/>
  <c r="E75" i="1" l="1"/>
  <c r="M65" i="1"/>
  <c r="E65" i="1"/>
  <c r="E72" i="1" l="1"/>
  <c r="E73" i="1"/>
  <c r="E62" i="1" l="1"/>
  <c r="E63" i="1"/>
  <c r="E74" i="1" l="1"/>
  <c r="E71" i="1"/>
  <c r="E61" i="1" l="1"/>
  <c r="E60" i="1"/>
  <c r="E59" i="1"/>
  <c r="E58" i="1"/>
  <c r="E57" i="1"/>
  <c r="E56" i="1"/>
  <c r="D55" i="1"/>
  <c r="B55" i="1" l="1"/>
  <c r="M56" i="1"/>
  <c r="M76" i="1" s="1"/>
  <c r="M69" i="1" s="1"/>
  <c r="A54" i="1"/>
  <c r="M67" i="1" l="1"/>
  <c r="M66" i="1"/>
  <c r="M77" i="1" s="1"/>
  <c r="C55" i="1"/>
  <c r="E29" i="1"/>
  <c r="M72" i="1" l="1" a="1"/>
  <c r="M72" i="1" s="1"/>
  <c r="M71" i="1" a="1"/>
  <c r="M71" i="1" s="1"/>
  <c r="M61" i="1" a="1"/>
  <c r="M61" i="1" s="1"/>
  <c r="M57" i="1"/>
  <c r="E28" i="1"/>
  <c r="E27" i="1"/>
  <c r="E26" i="1"/>
  <c r="E25" i="1"/>
  <c r="E24" i="1"/>
  <c r="D23" i="1"/>
  <c r="A22" i="1"/>
  <c r="M24" i="1" l="1"/>
  <c r="B23" i="1"/>
  <c r="M31" i="1" l="1"/>
  <c r="M39" i="1" s="1"/>
  <c r="M38" i="1"/>
  <c r="M34" i="1" s="1"/>
  <c r="M32" i="1"/>
  <c r="C23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<sst xmlns="http://schemas.openxmlformats.org/spreadsheetml/2006/main" count="633" uniqueCount="268">
  <si>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</si>
  <si>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</si>
  <si>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</si>
  <si>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</si>
  <si>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</si>
  <si>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</si>
  <si>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</si>
  <si>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</si>
  <si>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</si>
  <si>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</si>
  <si>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</si>
  <si>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</si>
  <si>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</si>
  <si>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</si>
  <si>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</si>
  <si>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</si>
  <si>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</si>
  <si>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</si>
  <si>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</si>
  <si>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</si>
  <si>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</si>
  <si>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</si>
  <si>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</si>
  <si>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</si>
  <si>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</si>
  <si>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</si>
  <si>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</si>
  <si>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</si>
  <si>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</si>
  <si>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</si>
  <si>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</si>
  <si>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</si>
  <si>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</si>
  <si>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</si>
  <si>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</si>
  <si>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</si>
  <si>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</si>
  <si>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</si>
  <si>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</si>
  <si>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</si>
  <si>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</si>
  <si>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</si>
  <si>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</si>
  <si>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</si>
  <si>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</si>
  <si>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</si>
  <si>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</si>
  <si>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</si>
  <si>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</si>
  <si>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</si>
  <si>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</si>
  <si>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</si>
  <si>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</si>
  <si>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</si>
  <si>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</si>
  <si>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</si>
  <si>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</si>
  <si>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</si>
  <si>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</si>
  <si>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</si>
  <si>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</si>
  <si>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</si>
  <si>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</si>
  <si>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</si>
  <si>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</si>
  <si>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</si>
  <si>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</si>
  <si>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</si>
  <si>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</si>
  <si>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</si>
  <si>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</si>
  <si>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</si>
  <si>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</si>
  <si>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</si>
  <si>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</si>
  <si>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</si>
  <si>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</si>
  <si>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</si>
  <si>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</si>
  <si>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</si>
  <si>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</si>
  <si>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</si>
  <si>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</si>
  <si>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</si>
  <si>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</si>
  <si>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</si>
  <si>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</si>
  <si>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</si>
  <si>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</si>
  <si>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</si>
  <si>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</si>
  <si>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</si>
  <si>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</si>
  <si>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</si>
  <si>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</si>
  <si>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</si>
  <si>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</si>
  <si>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</si>
  <si>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</si>
  <si>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</si>
  <si>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</si>
  <si>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</si>
  <si>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</si>
  <si>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</si>
  <si>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</si>
  <si>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</si>
  <si>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</si>
  <si>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</si>
  <si>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</si>
  <si>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</si>
  <si>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</si>
  <si>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</si>
  <si>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</si>
  <si>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</si>
  <si>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</si>
  <si>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</si>
  <si>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</si>
  <si>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</si>
  <si>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</si>
  <si>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</si>
  <si>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</si>
  <si>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</si>
  <si>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</si>
  <si>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</si>
  <si>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</si>
  <si>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</si>
  <si>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</si>
  <si>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</si>
  <si>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</si>
  <si>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</si>
  <si>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</si>
  <si>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</si>
  <si>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</si>
  <si>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</si>
  <si>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</si>
  <si>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</si>
  <si>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</si>
  <si>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</si>
  <si>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</si>
  <si>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</si>
  <si>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</si>
  <si>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</si>
  <si>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</si>
  <si>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</si>
  <si>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</si>
  <si>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</si>
  <si>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</si>
  <si>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</si>
  <si>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</si>
  <si>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</si>
  <si>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</si>
  <si>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</si>
  <si>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</si>
  <si>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</si>
  <si>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</si>
  <si>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</si>
  <si>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</si>
  <si>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</si>
  <si>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</si>
  <si>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</si>
  <si>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</si>
  <si>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</si>
  <si>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</si>
  <si>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</si>
  <si>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</si>
  <si>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</si>
  <si>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</si>
  <si>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</si>
  <si>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</si>
  <si>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</si>
  <si>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</si>
  <si>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</si>
  <si>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</si>
  <si>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</si>
  <si>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</si>
  <si>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</si>
  <si>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</si>
  <si>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</si>
  <si>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</si>
  <si>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</si>
  <si>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</si>
  <si>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</si>
  <si>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</si>
  <si>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</si>
  <si>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</si>
  <si>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</si>
  <si>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</si>
  <si>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</si>
  <si>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</si>
  <si>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</si>
  <si>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</si>
  <si>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</si>
  <si>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</si>
  <si>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</si>
  <si>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</si>
  <si>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</si>
  <si>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</si>
  <si>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</si>
  <si>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</si>
  <si>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</si>
  <si>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</si>
  <si>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</si>
  <si>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</si>
  <si>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</si>
  <si>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</si>
  <si>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</si>
  <si>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</si>
  <si>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</si>
  <si>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</si>
  <si>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</si>
  <si>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</si>
  <si>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</si>
  <si>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</si>
  <si>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</si>
  <si>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</si>
  <si>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</si>
  <si>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</si>
  <si>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</si>
  <si>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</si>
  <si>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</si>
  <si>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</si>
  <si>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</si>
  <si>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</si>
  <si>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</si>
  <si>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</si>
  <si>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</si>
  <si>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</si>
  <si>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</si>
  <si>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</si>
  <si>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</si>
  <si>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</si>
  <si>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</si>
  <si>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</si>
  <si>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</si>
  <si>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</si>
  <si>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</si>
  <si>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</si>
  <si>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</si>
  <si>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</si>
  <si>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</si>
  <si>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</si>
  <si>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</si>
  <si>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</si>
  <si>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</si>
  <si>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</si>
  <si>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</si>
  <si>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</si>
  <si>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</si>
  <si>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Empty</t>
    <phoneticPr fontId="2" type="noConversion"/>
  </si>
  <si>
    <t>子加旋轉角度</t>
  </si>
  <si>
    <t>EnemyShot5</t>
  </si>
  <si>
    <t>Shot5_yellow</t>
  </si>
  <si>
    <t>Shot5_yellow</t>
    <phoneticPr fontId="2" type="noConversion"/>
  </si>
  <si>
    <t>18800</t>
  </si>
  <si>
    <t>18800</t>
    <phoneticPr fontId="2" type="noConversion"/>
  </si>
  <si>
    <t>行動時間</t>
    <phoneticPr fontId="2" type="noConversion"/>
  </si>
  <si>
    <t>0,4.5</t>
  </si>
  <si>
    <t>0,4.5</t>
    <phoneticPr fontId="2" type="noConversion"/>
  </si>
  <si>
    <t>0,-4.5</t>
  </si>
  <si>
    <t>0,-4.5</t>
    <phoneticPr fontId="2" type="noConversion"/>
  </si>
  <si>
    <t>4.5,0</t>
  </si>
  <si>
    <t>4.5,0</t>
    <phoneticPr fontId="2" type="noConversion"/>
  </si>
  <si>
    <t>-4.5,0</t>
  </si>
  <si>
    <t>-4.5,0</t>
    <phoneticPr fontId="2" type="noConversion"/>
  </si>
  <si>
    <t>0</t>
  </si>
  <si>
    <t>0</t>
    <phoneticPr fontId="2" type="noConversion"/>
  </si>
  <si>
    <t>270</t>
  </si>
  <si>
    <t>270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</si>
</sst>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66"/>
  <sheetViews>
    <sheetView tabSelected="1" zoomScale="115" zoomScaleNormal="115" workbookViewId="0">
      <pane ySplit="1" topLeftCell="A23" activePane="bottomLeft" state="frozen"/>
      <selection pane="bottomLeft" activeCell="M30" sqref="M30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R18" s="12"/>
      <c r="S18" s="9"/>
      <c r="U18" s="12"/>
      <c r="X18" s="15"/>
      <c r="AE18" s="16"/>
      <c r="BH18" s="9"/>
    </row>
    <row r="22" spans="1:60">
      <c r="A22" s="21">
        <f>G24*H24</f>
        <v>1</v>
      </c>
      <c r="B22" s="9"/>
      <c r="C22" s="9"/>
      <c r="D22" s="9"/>
      <c r="R22" s="12"/>
      <c r="S22" s="9"/>
      <c r="U22" s="12"/>
      <c r="X22" s="15"/>
      <c r="AE22" s="16"/>
      <c r="BH22" s="9"/>
    </row>
    <row r="23" spans="1:60">
      <c r="A23" s="9"/>
      <c r="B23" s="21">
        <f>QUOTIENT( D23-1,G24)+1</f>
        <v>1</v>
      </c>
      <c r="C23" s="21">
        <f>D23-(B23-1)*G24</f>
        <v>1</v>
      </c>
      <c r="D23" s="21">
        <f>COUNT($D$14:$D22)+1</f>
        <v>1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>ROW(E24)</f>
        <v>24</v>
      </c>
      <c r="F24" s="9" t="s">
        <v>93</v>
      </c>
      <c r="G24" s="21">
        <v>1</v>
      </c>
      <c r="H24" s="21">
        <v>1</v>
      </c>
      <c r="J24" s="21">
        <v>18700</v>
      </c>
      <c r="M24" s="21">
        <f>J24+D23</f>
        <v>18701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ref="E25:E28" si="0">ROW(E25)</f>
        <v>25</v>
      </c>
      <c r="F25" s="9" t="s">
        <v>143</v>
      </c>
      <c r="M25" s="21">
        <v>18610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128</v>
      </c>
      <c r="M26" s="27">
        <v>0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96</v>
      </c>
      <c r="M27" s="21" t="s">
        <v>248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99</v>
      </c>
      <c r="H28" s="9"/>
      <c r="I28" s="9"/>
      <c r="K28" s="9" t="s">
        <v>138</v>
      </c>
      <c r="M28" s="27">
        <v>5</v>
      </c>
      <c r="R28" s="12"/>
      <c r="S28" s="9"/>
      <c r="U28" s="12"/>
      <c r="X28" s="15"/>
      <c r="AE28" s="16"/>
      <c r="BH28" s="9"/>
    </row>
    <row r="29" spans="1:60">
      <c r="A29" s="9"/>
      <c r="B29" s="9"/>
      <c r="E29" s="21">
        <f>ROW(E29)</f>
        <v>29</v>
      </c>
      <c r="F29" s="9" t="s">
        <v>249</v>
      </c>
      <c r="G29" s="9"/>
      <c r="H29" s="9"/>
      <c r="I29" s="9"/>
      <c r="L29" s="9" t="s">
        <v>135</v>
      </c>
      <c r="M29" s="27">
        <v>60</v>
      </c>
      <c r="R29" s="12"/>
      <c r="S29" s="9"/>
      <c r="U29" s="12"/>
      <c r="X29" s="15"/>
      <c r="AE29" s="16"/>
      <c r="BH29" s="9"/>
    </row>
    <row r="30" spans="1:60">
      <c r="A30" s="9"/>
      <c r="B30" s="9"/>
      <c r="E30" s="21">
        <f>ROW(E30)</f>
        <v>30</v>
      </c>
      <c r="F30" s="9" t="s">
        <v>35</v>
      </c>
      <c r="G30" s="9"/>
      <c r="H30" s="9"/>
      <c r="I30" s="9"/>
      <c r="M30" s="27">
        <v>300</v>
      </c>
      <c r="R30" s="12"/>
      <c r="S30" s="9"/>
      <c r="U30" s="12"/>
      <c r="X30" s="15"/>
      <c r="AE30" s="16"/>
      <c r="BH30" s="9"/>
    </row>
    <row r="31" spans="1:60">
      <c r="A31" s="9"/>
      <c r="B31" s="9"/>
      <c r="E31" s="21">
        <f t="shared" ref="E31:E40" si="1">ROW(E31)</f>
        <v>31</v>
      </c>
      <c r="F31" s="9" t="s">
        <v>102</v>
      </c>
      <c r="J31" s="21"/>
      <c r="M31" s="21">
        <f>M24*10+1</f>
        <v>187011</v>
      </c>
      <c r="R31" s="12"/>
      <c r="S31" s="9"/>
      <c r="U31" s="12"/>
      <c r="X31" s="15"/>
      <c r="AE31" s="16"/>
      <c r="BH31" s="9"/>
    </row>
    <row r="32" spans="1:60">
      <c r="A32" s="9"/>
      <c r="B32" s="9"/>
      <c r="E32" s="21">
        <f t="shared" si="1"/>
        <v>32</v>
      </c>
      <c r="F32" s="9" t="s">
        <v>143</v>
      </c>
      <c r="M32" s="21">
        <f>M24</f>
        <v>18701</v>
      </c>
      <c r="R32" s="12"/>
      <c r="S32" s="9"/>
      <c r="U32" s="12"/>
      <c r="X32" s="15"/>
      <c r="AE32" s="16"/>
      <c r="BH32" s="9"/>
    </row>
    <row r="33" spans="3:59" s="9" customFormat="1">
      <c r="C33" s="21"/>
      <c r="D33" s="21"/>
      <c r="E33" s="21">
        <f t="shared" si="1"/>
        <v>33</v>
      </c>
      <c r="F33" s="9" t="s">
        <v>128</v>
      </c>
      <c r="G33" s="21"/>
      <c r="H33" s="21"/>
      <c r="I33" s="21"/>
      <c r="M33" s="27">
        <v>0</v>
      </c>
      <c r="R33" s="12"/>
      <c r="U33" s="12"/>
      <c r="V33" s="12"/>
      <c r="W33" s="12"/>
      <c r="X33" s="15"/>
      <c r="Y33" s="15"/>
      <c r="Z33" s="15"/>
      <c r="AA33" s="15"/>
      <c r="AB33" s="15"/>
      <c r="AC33" s="15"/>
      <c r="AD33" s="15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</row>
    <row r="34" spans="3:59" s="9" customFormat="1">
      <c r="C34" s="21"/>
      <c r="D34" s="21"/>
      <c r="E34" s="21">
        <f t="shared" si="1"/>
        <v>34</v>
      </c>
      <c r="F34" s="9" t="s">
        <v>143</v>
      </c>
      <c r="G34" s="21"/>
      <c r="H34" s="21"/>
      <c r="I34" s="21"/>
      <c r="M34" s="21">
        <f>M38</f>
        <v>187012</v>
      </c>
      <c r="R34" s="12"/>
      <c r="U34" s="12"/>
      <c r="V34" s="12"/>
      <c r="W34" s="12"/>
      <c r="X34" s="15"/>
      <c r="Y34" s="15"/>
      <c r="Z34" s="15"/>
      <c r="AA34" s="15"/>
      <c r="AB34" s="15"/>
      <c r="AC34" s="15"/>
      <c r="AD34" s="15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</row>
    <row r="35" spans="3:59" s="9" customFormat="1">
      <c r="C35" s="21"/>
      <c r="D35" s="21"/>
      <c r="E35" s="21">
        <f t="shared" si="1"/>
        <v>35</v>
      </c>
      <c r="F35" s="9" t="s">
        <v>128</v>
      </c>
      <c r="G35" s="21"/>
      <c r="H35" s="21"/>
      <c r="I35" s="21"/>
      <c r="M35" s="27">
        <v>0</v>
      </c>
      <c r="R35" s="12"/>
      <c r="U35" s="12"/>
      <c r="V35" s="12"/>
      <c r="W35" s="12"/>
      <c r="X35" s="15"/>
      <c r="Y35" s="15"/>
      <c r="Z35" s="15"/>
      <c r="AA35" s="15"/>
      <c r="AB35" s="15"/>
      <c r="AC35" s="15"/>
      <c r="AD35" s="15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</row>
    <row r="36" spans="3:59" s="9" customFormat="1">
      <c r="C36" s="21"/>
      <c r="D36" s="21"/>
      <c r="E36" s="21">
        <f>ROW(E36)</f>
        <v>36</v>
      </c>
      <c r="F36" s="9" t="s">
        <v>249</v>
      </c>
      <c r="L36" s="9" t="s">
        <v>135</v>
      </c>
      <c r="M36" s="27">
        <v>100</v>
      </c>
      <c r="R36" s="12"/>
      <c r="U36" s="12"/>
      <c r="V36" s="12"/>
      <c r="W36" s="12"/>
      <c r="X36" s="15"/>
      <c r="Y36" s="15"/>
      <c r="Z36" s="15"/>
      <c r="AA36" s="15"/>
      <c r="AB36" s="15"/>
      <c r="AC36" s="15"/>
      <c r="AD36" s="15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</row>
    <row r="37" spans="3:59" s="9" customFormat="1">
      <c r="C37" s="21"/>
      <c r="D37" s="21"/>
      <c r="E37" s="21">
        <f t="shared" ref="E37:E42" si="2">ROW(E37)</f>
        <v>37</v>
      </c>
      <c r="F37" s="9" t="s">
        <v>35</v>
      </c>
      <c r="L37" s="9" t="s">
        <v>135</v>
      </c>
      <c r="M37" s="27">
        <v>600</v>
      </c>
      <c r="R37" s="12"/>
      <c r="U37" s="12"/>
      <c r="V37" s="12"/>
      <c r="W37" s="12"/>
      <c r="X37" s="15"/>
      <c r="Y37" s="15"/>
      <c r="Z37" s="15"/>
      <c r="AA37" s="15"/>
      <c r="AB37" s="15"/>
      <c r="AC37" s="15"/>
      <c r="AD37" s="15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</row>
    <row r="38" spans="3:59" s="9" customFormat="1">
      <c r="C38" s="21"/>
      <c r="D38" s="21"/>
      <c r="E38" s="21">
        <f t="shared" si="2"/>
        <v>38</v>
      </c>
      <c r="F38" s="9" t="s">
        <v>102</v>
      </c>
      <c r="G38" s="21"/>
      <c r="H38" s="21"/>
      <c r="I38" s="21"/>
      <c r="J38" s="21"/>
      <c r="M38" s="21">
        <f>M24*10+2</f>
        <v>187012</v>
      </c>
      <c r="R38" s="12"/>
      <c r="U38" s="12"/>
      <c r="V38" s="12"/>
      <c r="W38" s="12"/>
      <c r="X38" s="15"/>
      <c r="Y38" s="15"/>
      <c r="Z38" s="15"/>
      <c r="AA38" s="15"/>
      <c r="AB38" s="15"/>
      <c r="AC38" s="15"/>
      <c r="AD38" s="15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</row>
    <row r="39" spans="3:59" s="9" customFormat="1">
      <c r="C39" s="21"/>
      <c r="D39" s="21"/>
      <c r="E39" s="21">
        <f t="shared" si="2"/>
        <v>39</v>
      </c>
      <c r="F39" s="9" t="s">
        <v>143</v>
      </c>
      <c r="G39" s="21"/>
      <c r="H39" s="21"/>
      <c r="I39" s="21"/>
      <c r="M39" s="21">
        <f>M31</f>
        <v>187011</v>
      </c>
      <c r="R39" s="12"/>
      <c r="U39" s="12"/>
      <c r="V39" s="12"/>
      <c r="W39" s="12"/>
      <c r="X39" s="15"/>
      <c r="Y39" s="15"/>
      <c r="Z39" s="15"/>
      <c r="AA39" s="15"/>
      <c r="AB39" s="15"/>
      <c r="AC39" s="15"/>
      <c r="AD39" s="15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</row>
    <row r="40" spans="3:59" s="9" customFormat="1">
      <c r="C40" s="21"/>
      <c r="D40" s="21"/>
      <c r="E40" s="21">
        <f t="shared" si="2"/>
        <v>40</v>
      </c>
      <c r="F40" s="9" t="s">
        <v>128</v>
      </c>
      <c r="G40" s="21"/>
      <c r="H40" s="21"/>
      <c r="I40" s="21"/>
      <c r="M40" s="27">
        <v>0</v>
      </c>
      <c r="R40" s="12"/>
      <c r="U40" s="12"/>
      <c r="V40" s="12"/>
      <c r="W40" s="12"/>
      <c r="X40" s="15"/>
      <c r="Y40" s="15"/>
      <c r="Z40" s="15"/>
      <c r="AA40" s="15"/>
      <c r="AB40" s="15"/>
      <c r="AC40" s="15"/>
      <c r="AD40" s="15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</row>
    <row r="41" spans="3:59" s="9" customFormat="1">
      <c r="C41" s="21"/>
      <c r="D41" s="21"/>
      <c r="E41" s="21">
        <f t="shared" si="2"/>
        <v>41</v>
      </c>
      <c r="F41" s="9" t="s">
        <v>249</v>
      </c>
      <c r="L41" s="9" t="s">
        <v>135</v>
      </c>
      <c r="M41" s="27">
        <v>60</v>
      </c>
      <c r="R41" s="12"/>
      <c r="U41" s="12"/>
      <c r="V41" s="12"/>
      <c r="W41" s="12"/>
      <c r="X41" s="15"/>
      <c r="Y41" s="15"/>
      <c r="Z41" s="15"/>
      <c r="AA41" s="15"/>
      <c r="AB41" s="15"/>
      <c r="AC41" s="15"/>
      <c r="AD41" s="15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</row>
    <row r="42" spans="3:59" s="9" customFormat="1">
      <c r="C42" s="21"/>
      <c r="D42" s="21"/>
      <c r="E42" s="21">
        <f t="shared" si="2"/>
        <v>42</v>
      </c>
      <c r="F42" s="9" t="s">
        <v>35</v>
      </c>
      <c r="M42" s="27">
        <v>150</v>
      </c>
      <c r="R42" s="12"/>
      <c r="U42" s="12"/>
      <c r="V42" s="12"/>
      <c r="W42" s="12"/>
      <c r="X42" s="15"/>
      <c r="Y42" s="15"/>
      <c r="Z42" s="15"/>
      <c r="AA42" s="15"/>
      <c r="AB42" s="15"/>
      <c r="AC42" s="15"/>
      <c r="AD42" s="15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</row>
    <row r="54" spans="1:60">
      <c r="A54" s="21">
        <f>G56*H56</f>
        <v>4</v>
      </c>
      <c r="B54" s="9"/>
      <c r="C54" s="9"/>
      <c r="D54" s="9"/>
      <c r="R54" s="12"/>
      <c r="S54" s="9"/>
      <c r="U54" s="12"/>
      <c r="X54" s="15"/>
      <c r="AE54" s="16"/>
      <c r="BH54" s="9"/>
    </row>
    <row r="55" spans="1:60">
      <c r="A55" s="21" t="s">
        <v>228</v>
      </c>
      <c r="B55" s="21">
        <f t="shared" ref="B55" si="3">QUOTIENT( D55-1,G56)+1</f>
        <v>1</v>
      </c>
      <c r="C55" s="21">
        <f t="shared" ref="C55" si="4">D55-(B55-1)*G56</f>
        <v>1</v>
      </c>
      <c r="D55" s="21">
        <f>COUNT($D$54:$D54)+1</f>
        <v>1</v>
      </c>
      <c r="R55" s="12"/>
      <c r="S55" s="9"/>
      <c r="U55" s="12"/>
      <c r="X55" s="15"/>
      <c r="AE55" s="16"/>
      <c r="BH55" s="9"/>
    </row>
    <row r="56" spans="1:60">
      <c r="E56" s="21">
        <f t="shared" ref="E56:E129" si="5">ROW(E56)</f>
        <v>56</v>
      </c>
      <c r="F56" s="9" t="s">
        <v>93</v>
      </c>
      <c r="G56" s="21">
        <v>4</v>
      </c>
      <c r="H56" s="21">
        <v>1</v>
      </c>
      <c r="J56" s="9" t="s">
        <v>254</v>
      </c>
      <c r="M56" s="21">
        <f t="shared" ref="M56" si="6">J56+D55</f>
        <v>18801</v>
      </c>
      <c r="R56" s="12"/>
      <c r="S56" s="9"/>
      <c r="U56" s="12"/>
      <c r="X56" s="15"/>
      <c r="AE56" s="16"/>
      <c r="BH56" s="9"/>
    </row>
    <row r="57" spans="1:60">
      <c r="E57" s="21">
        <f t="shared" si="5"/>
        <v>57</v>
      </c>
      <c r="F57" s="9" t="s">
        <v>143</v>
      </c>
      <c r="G57" s="21">
        <v>18701</v>
      </c>
      <c r="H57" s="21">
        <v>18701</v>
      </c>
      <c r="M57" s="21">
        <f>IF(C55=1,G57,H57)</f>
        <v>18701</v>
      </c>
      <c r="R57" s="12"/>
      <c r="S57" s="9"/>
      <c r="U57" s="12"/>
      <c r="X57" s="15"/>
      <c r="AE57" s="16"/>
      <c r="BH57" s="9"/>
    </row>
    <row r="58" spans="1:60">
      <c r="E58" s="21">
        <f t="shared" si="5"/>
        <v>58</v>
      </c>
      <c r="F58" s="9" t="s">
        <v>127</v>
      </c>
      <c r="M58" s="27">
        <v>0</v>
      </c>
      <c r="R58" s="12"/>
      <c r="S58" s="9"/>
      <c r="U58" s="12"/>
      <c r="X58" s="15"/>
      <c r="AE58" s="16"/>
      <c r="BH58" s="9"/>
    </row>
    <row r="59" spans="1:60">
      <c r="E59" s="21">
        <f t="shared" si="5"/>
        <v>59</v>
      </c>
      <c r="F59" s="9" t="s">
        <v>29</v>
      </c>
      <c r="M59" s="21" t="s">
        <v>250</v>
      </c>
      <c r="R59" s="12"/>
      <c r="S59" s="9"/>
      <c r="U59" s="12"/>
      <c r="X59" s="15"/>
      <c r="AE59" s="16"/>
      <c r="BH59" s="9"/>
    </row>
    <row r="60" spans="1:60">
      <c r="E60" s="21">
        <f t="shared" si="5"/>
        <v>60</v>
      </c>
      <c r="F60" s="9" t="s">
        <v>119</v>
      </c>
      <c r="M60" s="21" t="s">
        <v>252</v>
      </c>
      <c r="R60" s="12"/>
      <c r="S60" s="9"/>
      <c r="U60" s="12"/>
      <c r="X60" s="15"/>
      <c r="AE60" s="16"/>
      <c r="BH60" s="9"/>
    </row>
    <row r="61" spans="1:60">
      <c r="E61" s="21">
        <f t="shared" si="5"/>
        <v>61</v>
      </c>
      <c r="F61" s="9" t="s">
        <v>99</v>
      </c>
      <c r="G61" s="21" t="s">
        <v>257</v>
      </c>
      <c r="H61" s="21" t="s">
        <v>261</v>
      </c>
      <c r="I61" s="21" t="s">
        <v>259</v>
      </c>
      <c r="J61" s="9" t="s">
        <v>263</v>
      </c>
      <c r="K61" s="9" t="s">
        <v>137</v>
      </c>
      <c r="M61" s="21" t="str" cm="1">
        <f t="array" ref="M61">_xlfn.SWITCH(C55,1,G61,2,H61,3,I61,4,J61)</f>
        <v>0,4.5</v>
      </c>
      <c r="R61" s="12"/>
      <c r="S61" s="9"/>
      <c r="U61" s="12"/>
      <c r="X61" s="15"/>
      <c r="AE61" s="16"/>
      <c r="BH61" s="9"/>
    </row>
    <row r="62" spans="1:60">
      <c r="E62" s="21">
        <f t="shared" si="5"/>
        <v>62</v>
      </c>
      <c r="F62" s="9" t="s">
        <v>117</v>
      </c>
      <c r="K62" s="9" t="s">
        <v>138</v>
      </c>
      <c r="M62" s="21">
        <v>2</v>
      </c>
      <c r="R62" s="12"/>
      <c r="S62" s="9"/>
      <c r="U62" s="12"/>
      <c r="X62" s="15"/>
      <c r="AE62" s="16"/>
      <c r="BH62" s="9"/>
    </row>
    <row r="63" spans="1:60">
      <c r="E63" s="21">
        <f t="shared" si="5"/>
        <v>63</v>
      </c>
      <c r="F63" s="9" t="s">
        <v>118</v>
      </c>
      <c r="M63" s="21" t="b">
        <v>1</v>
      </c>
      <c r="R63" s="12"/>
      <c r="S63" s="9"/>
      <c r="U63" s="12"/>
      <c r="X63" s="15"/>
      <c r="AE63" s="16"/>
      <c r="BH63" s="9"/>
    </row>
    <row r="64" spans="1:60">
      <c r="E64" s="21">
        <f t="shared" si="5"/>
        <v>64</v>
      </c>
      <c r="F64" s="9" t="s">
        <v>197</v>
      </c>
      <c r="M64" s="21">
        <v>120</v>
      </c>
      <c r="R64" s="12"/>
      <c r="S64" s="9"/>
      <c r="U64" s="12"/>
      <c r="X64" s="15"/>
      <c r="AE64" s="16"/>
      <c r="BH64" s="9"/>
    </row>
    <row r="65" spans="5:60">
      <c r="E65" s="21">
        <f>ROW(E65)</f>
        <v>65</v>
      </c>
      <c r="F65" s="9" t="s">
        <v>168</v>
      </c>
      <c r="M65" s="27" t="str">
        <f>J56</f>
        <v>18800</v>
      </c>
      <c r="R65" s="12"/>
      <c r="S65" s="9"/>
      <c r="U65" s="12"/>
      <c r="X65" s="15"/>
      <c r="AE65" s="16"/>
      <c r="BH65" s="9"/>
    </row>
    <row r="66" spans="5:60">
      <c r="E66" s="21">
        <f t="shared" si="5"/>
        <v>66</v>
      </c>
      <c r="F66" s="9" t="s">
        <v>102</v>
      </c>
      <c r="M66" s="21">
        <f>M56*10+1</f>
        <v>188011</v>
      </c>
      <c r="R66" s="12"/>
      <c r="S66" s="9"/>
      <c r="U66" s="12"/>
      <c r="X66" s="15"/>
      <c r="AE66" s="16"/>
      <c r="BH66" s="9"/>
    </row>
    <row r="67" spans="5:60">
      <c r="E67" s="21">
        <f t="shared" si="5"/>
        <v>67</v>
      </c>
      <c r="F67" s="9" t="s">
        <v>143</v>
      </c>
      <c r="M67" s="21">
        <f>M56</f>
        <v>18801</v>
      </c>
      <c r="R67" s="12"/>
      <c r="S67" s="9"/>
      <c r="U67" s="12"/>
      <c r="X67" s="15"/>
      <c r="AE67" s="16"/>
      <c r="BH67" s="9"/>
    </row>
    <row r="68" spans="5:60">
      <c r="E68" s="21">
        <f t="shared" si="5"/>
        <v>68</v>
      </c>
      <c r="F68" s="9" t="s">
        <v>127</v>
      </c>
      <c r="M68" s="27">
        <v>0</v>
      </c>
      <c r="R68" s="12"/>
      <c r="S68" s="9"/>
      <c r="U68" s="12"/>
      <c r="X68" s="15"/>
      <c r="AE68" s="16"/>
      <c r="BH68" s="9"/>
    </row>
    <row r="69" spans="5:60">
      <c r="E69" s="21">
        <f t="shared" si="5"/>
        <v>69</v>
      </c>
      <c r="F69" s="9" t="s">
        <v>143</v>
      </c>
      <c r="M69" s="21">
        <f>M76</f>
        <v>188012</v>
      </c>
      <c r="R69" s="12"/>
      <c r="S69" s="9"/>
      <c r="U69" s="12"/>
      <c r="X69" s="15"/>
      <c r="AE69" s="16"/>
      <c r="BH69" s="9"/>
    </row>
    <row r="70" spans="5:60">
      <c r="E70" s="21">
        <f t="shared" si="5"/>
        <v>70</v>
      </c>
      <c r="F70" s="9" t="s">
        <v>128</v>
      </c>
      <c r="M70" s="27">
        <v>0</v>
      </c>
      <c r="R70" s="12"/>
      <c r="S70" s="9"/>
      <c r="U70" s="12"/>
      <c r="X70" s="15"/>
      <c r="AE70" s="16"/>
      <c r="BH70" s="9"/>
    </row>
    <row r="71" spans="5:60">
      <c r="E71" s="21">
        <f t="shared" si="5"/>
        <v>71</v>
      </c>
      <c r="F71" s="9" t="s">
        <v>31</v>
      </c>
      <c r="G71" s="21">
        <v>270</v>
      </c>
      <c r="H71" s="21">
        <v>180</v>
      </c>
      <c r="I71" s="21">
        <v>90</v>
      </c>
      <c r="J71" s="9" t="s">
        <v>265</v>
      </c>
      <c r="L71" s="9" t="s">
        <v>135</v>
      </c>
      <c r="M71" s="21" cm="1">
        <f t="array" ref="M71">_xlfn.SWITCH(C55,1,G71,2,H71,3,I71,4,J71)</f>
        <v>270</v>
      </c>
      <c r="R71" s="12"/>
      <c r="S71" s="9"/>
      <c r="U71" s="12"/>
      <c r="X71" s="15"/>
      <c r="AE71" s="16"/>
      <c r="BH71" s="9"/>
    </row>
    <row r="72" spans="5:60">
      <c r="E72" s="21">
        <f t="shared" si="5"/>
        <v>72</v>
      </c>
      <c r="F72" s="9" t="s">
        <v>113</v>
      </c>
      <c r="G72" s="21">
        <v>0</v>
      </c>
      <c r="H72" s="21">
        <v>90</v>
      </c>
      <c r="I72" s="21">
        <v>180</v>
      </c>
      <c r="J72" s="9" t="s">
        <v>267</v>
      </c>
      <c r="L72" s="9" t="s">
        <v>135</v>
      </c>
      <c r="M72" s="21" cm="1">
        <f t="array" ref="M72">_xlfn.SWITCH(C55,1,G72,2,H72,3,I72,4,J72)</f>
        <v>0</v>
      </c>
      <c r="R72" s="12"/>
      <c r="S72" s="9"/>
      <c r="U72" s="12"/>
      <c r="X72" s="15"/>
      <c r="AE72" s="16"/>
      <c r="BH72" s="9"/>
    </row>
    <row r="73" spans="5:60">
      <c r="E73" s="21">
        <f t="shared" si="5"/>
        <v>73</v>
      </c>
      <c r="F73" s="9" t="s">
        <v>114</v>
      </c>
      <c r="L73" s="9" t="s">
        <v>135</v>
      </c>
      <c r="M73" s="26">
        <v>60</v>
      </c>
      <c r="R73" s="12"/>
      <c r="S73" s="9"/>
      <c r="U73" s="12"/>
      <c r="X73" s="15"/>
      <c r="AE73" s="16"/>
      <c r="BH73" s="9"/>
    </row>
    <row r="74" spans="5:60">
      <c r="E74" s="21">
        <f t="shared" si="5"/>
        <v>74</v>
      </c>
      <c r="F74" s="9" t="s">
        <v>30</v>
      </c>
      <c r="M74" s="27">
        <v>0.6</v>
      </c>
      <c r="R74" s="12"/>
      <c r="S74" s="9"/>
      <c r="U74" s="12"/>
      <c r="X74" s="15"/>
      <c r="AE74" s="16"/>
      <c r="BH74" s="9"/>
    </row>
    <row r="75" spans="5:60">
      <c r="E75" s="21">
        <f t="shared" si="5"/>
        <v>75</v>
      </c>
      <c r="F75" s="9" t="s">
        <v>255</v>
      </c>
      <c r="G75" s="26"/>
      <c r="M75" s="27">
        <v>150</v>
      </c>
      <c r="R75" s="12"/>
      <c r="S75" s="9"/>
      <c r="U75" s="12"/>
      <c r="X75" s="15"/>
      <c r="AE75" s="16"/>
      <c r="BH75" s="9"/>
    </row>
    <row r="76" spans="5:60">
      <c r="E76" s="21">
        <f t="shared" si="5"/>
        <v>76</v>
      </c>
      <c r="F76" s="9" t="s">
        <v>102</v>
      </c>
      <c r="M76" s="21">
        <f>M56*10+2</f>
        <v>188012</v>
      </c>
      <c r="R76" s="12"/>
      <c r="S76" s="9"/>
      <c r="U76" s="12"/>
      <c r="X76" s="15"/>
      <c r="AE76" s="16"/>
      <c r="BH76" s="9"/>
    </row>
    <row r="77" spans="5:60">
      <c r="E77" s="21">
        <f t="shared" si="5"/>
        <v>77</v>
      </c>
      <c r="F77" s="9" t="s">
        <v>143</v>
      </c>
      <c r="M77" s="21">
        <f>M66</f>
        <v>188011</v>
      </c>
      <c r="R77" s="12"/>
      <c r="S77" s="9"/>
      <c r="U77" s="12"/>
      <c r="X77" s="15"/>
      <c r="AE77" s="16"/>
      <c r="BH77" s="9"/>
    </row>
    <row r="78" spans="5:60">
      <c r="E78" s="21">
        <f t="shared" si="5"/>
        <v>78</v>
      </c>
      <c r="F78" s="9" t="s">
        <v>128</v>
      </c>
      <c r="M78" s="27">
        <v>0</v>
      </c>
      <c r="R78" s="12"/>
      <c r="S78" s="9"/>
      <c r="U78" s="12"/>
      <c r="X78" s="15"/>
      <c r="AE78" s="16"/>
      <c r="BH78" s="9"/>
    </row>
    <row r="79" spans="5:60">
      <c r="E79" s="21">
        <f t="shared" si="5"/>
        <v>79</v>
      </c>
      <c r="F79" s="9" t="s">
        <v>30</v>
      </c>
      <c r="M79" s="27">
        <v>-0.6</v>
      </c>
      <c r="R79" s="12"/>
      <c r="S79" s="9"/>
      <c r="U79" s="12"/>
      <c r="X79" s="15"/>
      <c r="AE79" s="16"/>
      <c r="BH79" s="9"/>
    </row>
    <row r="80" spans="5:60">
      <c r="E80" s="21">
        <f t="shared" si="5"/>
        <v>80</v>
      </c>
      <c r="F80" s="9" t="s">
        <v>114</v>
      </c>
      <c r="L80" s="9" t="s">
        <v>135</v>
      </c>
      <c r="M80" s="26">
        <v>60</v>
      </c>
      <c r="R80" s="12"/>
      <c r="S80" s="9"/>
      <c r="U80" s="12"/>
      <c r="X80" s="15"/>
      <c r="AE80" s="16"/>
      <c r="BH80" s="9"/>
    </row>
    <row r="81" spans="1:60">
      <c r="E81" s="21">
        <f t="shared" si="5"/>
        <v>81</v>
      </c>
      <c r="F81" s="9" t="s">
        <v>255</v>
      </c>
      <c r="G81" s="26"/>
      <c r="M81" s="27">
        <v>150</v>
      </c>
      <c r="R81" s="12"/>
      <c r="S81" s="9"/>
      <c r="U81" s="12"/>
      <c r="X81" s="15"/>
      <c r="AE81" s="16"/>
      <c r="BH81" s="9"/>
    </row>
    <row r="82" spans="1:60">
      <c r="E82" s="21">
        <f t="shared" si="5"/>
        <v>82</v>
      </c>
      <c r="F82" s="9" t="s">
        <v>168</v>
      </c>
      <c r="G82" s="21">
        <v>18810</v>
      </c>
      <c r="M82" s="21">
        <f>G82</f>
        <v>18810</v>
      </c>
    </row>
    <row r="83" spans="1:60">
      <c r="A83" s="21" t="s">
        <v>228</v>
      </c>
      <c r="B83" s="21">
        <f t="shared" ref="B83:B146" si="7">QUOTIENT( D83-1,G84)+1</f>
        <v>1</v>
      </c>
      <c r="C83" s="21">
        <f t="shared" ref="C83:C146" si="8">D83-(B83-1)*G84</f>
        <v>2</v>
      </c>
      <c r="D83" s="21">
        <f>COUNT($D$54:$D82)+1</f>
        <v>2</v>
      </c>
      <c r="R83" s="12"/>
      <c r="S83" s="9"/>
      <c r="U83" s="12"/>
      <c r="X83" s="15"/>
      <c r="AE83" s="16"/>
      <c r="BH83" s="9"/>
    </row>
    <row r="84" spans="1:60">
      <c r="E84" s="21">
        <f t="shared" si="5"/>
        <v>84</v>
      </c>
      <c r="F84" s="9" t="s">
        <v>93</v>
      </c>
      <c r="G84" s="21">
        <v>4</v>
      </c>
      <c r="H84" s="21">
        <v>1</v>
      </c>
      <c r="J84" s="9" t="s">
        <v>253</v>
      </c>
      <c r="M84" s="21">
        <f t="shared" ref="M84:M147" si="9">J84+D83</f>
        <v>18802</v>
      </c>
      <c r="R84" s="12"/>
      <c r="S84" s="9"/>
      <c r="U84" s="12"/>
      <c r="X84" s="15"/>
      <c r="AE84" s="16"/>
      <c r="BH84" s="9"/>
    </row>
    <row r="85" spans="1:60">
      <c r="E85" s="21">
        <f t="shared" si="5"/>
        <v>85</v>
      </c>
      <c r="F85" s="9" t="s">
        <v>143</v>
      </c>
      <c r="G85" s="21">
        <v>18701</v>
      </c>
      <c r="H85" s="21">
        <v>18701</v>
      </c>
      <c r="M85" s="27">
        <f t="shared" ref="M85" si="10">IF(C83=1,G85,H85)</f>
        <v>18701</v>
      </c>
      <c r="R85" s="12"/>
      <c r="S85" s="9"/>
      <c r="U85" s="12"/>
      <c r="X85" s="15"/>
      <c r="AE85" s="16"/>
      <c r="BH85" s="9"/>
    </row>
    <row r="86" spans="1:60">
      <c r="E86" s="21">
        <f t="shared" si="5"/>
        <v>86</v>
      </c>
      <c r="F86" s="9" t="s">
        <v>127</v>
      </c>
      <c r="M86" s="21">
        <v>0</v>
      </c>
      <c r="R86" s="12"/>
      <c r="S86" s="9"/>
      <c r="U86" s="12"/>
      <c r="X86" s="15"/>
      <c r="AE86" s="16"/>
      <c r="BH86" s="9"/>
    </row>
    <row r="87" spans="1:60">
      <c r="E87" s="21">
        <f t="shared" si="5"/>
        <v>87</v>
      </c>
      <c r="F87" s="9" t="s">
        <v>29</v>
      </c>
      <c r="M87" s="27" t="s">
        <v>250</v>
      </c>
      <c r="R87" s="12"/>
      <c r="S87" s="9"/>
      <c r="U87" s="12"/>
      <c r="X87" s="15"/>
      <c r="AE87" s="16"/>
      <c r="BH87" s="9"/>
    </row>
    <row r="88" spans="1:60">
      <c r="E88" s="21">
        <f t="shared" si="5"/>
        <v>88</v>
      </c>
      <c r="F88" s="9" t="s">
        <v>119</v>
      </c>
      <c r="M88" s="27" t="s">
        <v>251</v>
      </c>
      <c r="R88" s="12"/>
      <c r="S88" s="9"/>
      <c r="U88" s="12"/>
      <c r="X88" s="15"/>
      <c r="AE88" s="16"/>
      <c r="BH88" s="9"/>
    </row>
    <row r="89" spans="1:60">
      <c r="E89" s="21">
        <f t="shared" si="5"/>
        <v>89</v>
      </c>
      <c r="F89" s="9" t="s">
        <v>99</v>
      </c>
      <c r="G89" s="21" t="s">
        <v>256</v>
      </c>
      <c r="H89" s="21" t="s">
        <v>260</v>
      </c>
      <c r="I89" s="21" t="s">
        <v>258</v>
      </c>
      <c r="J89" s="9" t="s">
        <v>262</v>
      </c>
      <c r="K89" s="9" t="s">
        <v>137</v>
      </c>
      <c r="M89" s="21" t="str" cm="1">
        <f t="array" ref="M89">_xlfn.SWITCH(C83,1,G89,2,H89,3,I89,4,J89)</f>
        <v>4.5,0</v>
      </c>
    </row>
    <row r="90" spans="1:60">
      <c r="E90" s="21">
        <f t="shared" si="5"/>
        <v>90</v>
      </c>
      <c r="F90" s="9" t="s">
        <v>117</v>
      </c>
      <c r="K90" s="9" t="s">
        <v>138</v>
      </c>
      <c r="M90" s="21">
        <v>2</v>
      </c>
    </row>
    <row r="91" spans="1:60">
      <c r="E91" s="21">
        <f t="shared" si="5"/>
        <v>91</v>
      </c>
      <c r="F91" s="9" t="s">
        <v>118</v>
      </c>
      <c r="M91" s="21" t="b">
        <v>1</v>
      </c>
    </row>
    <row r="92" spans="1:60">
      <c r="E92" s="21">
        <f t="shared" si="5"/>
        <v>92</v>
      </c>
      <c r="F92" s="9" t="s">
        <v>197</v>
      </c>
      <c r="M92" s="21">
        <v>120</v>
      </c>
    </row>
    <row r="93" spans="1:60">
      <c r="E93" s="21">
        <f t="shared" si="5"/>
        <v>93</v>
      </c>
      <c r="F93" s="9" t="s">
        <v>168</v>
      </c>
      <c r="M93" s="21" t="str">
        <f t="shared" ref="M93" si="11">J84</f>
        <v>18800</v>
      </c>
    </row>
    <row r="94" spans="1:60">
      <c r="E94" s="21">
        <f t="shared" si="5"/>
        <v>94</v>
      </c>
      <c r="F94" s="9" t="s">
        <v>102</v>
      </c>
      <c r="M94" s="21">
        <f t="shared" ref="M94" si="12">M84*10+1</f>
        <v>188021</v>
      </c>
    </row>
    <row r="95" spans="1:60">
      <c r="E95" s="21">
        <f t="shared" si="5"/>
        <v>95</v>
      </c>
      <c r="F95" s="9" t="s">
        <v>143</v>
      </c>
      <c r="M95" s="21">
        <f t="shared" ref="M95" si="13">M84</f>
        <v>18802</v>
      </c>
    </row>
    <row r="96" spans="1:60">
      <c r="E96" s="21">
        <f t="shared" si="5"/>
        <v>96</v>
      </c>
      <c r="F96" s="9" t="s">
        <v>127</v>
      </c>
      <c r="M96" s="21">
        <v>0</v>
      </c>
    </row>
    <row r="97" spans="1:13">
      <c r="E97" s="21">
        <f t="shared" si="5"/>
        <v>97</v>
      </c>
      <c r="F97" s="9" t="s">
        <v>143</v>
      </c>
      <c r="M97" s="21">
        <f t="shared" ref="M97" si="14">M104</f>
        <v>188022</v>
      </c>
    </row>
    <row r="98" spans="1:13">
      <c r="E98" s="21">
        <f t="shared" si="5"/>
        <v>98</v>
      </c>
      <c r="F98" s="9" t="s">
        <v>128</v>
      </c>
      <c r="M98" s="21">
        <v>0</v>
      </c>
    </row>
    <row r="99" spans="1:13">
      <c r="E99" s="21">
        <f t="shared" si="5"/>
        <v>99</v>
      </c>
      <c r="F99" s="9" t="s">
        <v>31</v>
      </c>
      <c r="G99" s="21">
        <v>270</v>
      </c>
      <c r="H99" s="21">
        <v>180</v>
      </c>
      <c r="I99" s="21">
        <v>90</v>
      </c>
      <c r="J99" s="9" t="s">
        <v>264</v>
      </c>
      <c r="L99" s="9" t="s">
        <v>135</v>
      </c>
      <c r="M99" s="27" cm="1">
        <f t="array" ref="M99">_xlfn.SWITCH(C83,1,G99,2,H99,3,I99,4,J99)</f>
        <v>180</v>
      </c>
    </row>
    <row r="100" spans="1:13">
      <c r="E100" s="21">
        <f t="shared" si="5"/>
        <v>100</v>
      </c>
      <c r="F100" s="9" t="s">
        <v>113</v>
      </c>
      <c r="G100" s="21">
        <v>0</v>
      </c>
      <c r="H100" s="21">
        <v>90</v>
      </c>
      <c r="I100" s="21">
        <v>180</v>
      </c>
      <c r="J100" s="9" t="s">
        <v>266</v>
      </c>
      <c r="L100" s="9" t="s">
        <v>135</v>
      </c>
      <c r="M100" s="21" cm="1">
        <f t="array" ref="M100">_xlfn.SWITCH(C83,1,G100,2,H100,3,I100,4,J100)</f>
        <v>90</v>
      </c>
    </row>
    <row r="101" spans="1:13">
      <c r="E101" s="21">
        <f t="shared" si="5"/>
        <v>101</v>
      </c>
      <c r="F101" s="9" t="s">
        <v>114</v>
      </c>
      <c r="L101" s="9" t="s">
        <v>135</v>
      </c>
      <c r="M101" s="21">
        <v>60</v>
      </c>
    </row>
    <row r="102" spans="1:13">
      <c r="E102" s="21">
        <f t="shared" si="5"/>
        <v>102</v>
      </c>
      <c r="F102" s="9" t="s">
        <v>30</v>
      </c>
      <c r="M102" s="21">
        <v>0.6</v>
      </c>
    </row>
    <row r="103" spans="1:13">
      <c r="E103" s="21">
        <f t="shared" si="5"/>
        <v>103</v>
      </c>
      <c r="F103" s="9" t="s">
        <v>35</v>
      </c>
      <c r="M103" s="21">
        <v>150</v>
      </c>
    </row>
    <row r="104" spans="1:13">
      <c r="E104" s="21">
        <f t="shared" si="5"/>
        <v>104</v>
      </c>
      <c r="F104" s="9" t="s">
        <v>102</v>
      </c>
      <c r="M104" s="21">
        <f t="shared" ref="M104" si="15">M84*10+2</f>
        <v>188022</v>
      </c>
    </row>
    <row r="105" spans="1:13">
      <c r="E105" s="21">
        <f t="shared" si="5"/>
        <v>105</v>
      </c>
      <c r="F105" s="9" t="s">
        <v>143</v>
      </c>
      <c r="M105" s="21">
        <f t="shared" ref="M105" si="16">M94</f>
        <v>188021</v>
      </c>
    </row>
    <row r="106" spans="1:13">
      <c r="E106" s="21">
        <f t="shared" si="5"/>
        <v>106</v>
      </c>
      <c r="F106" s="9" t="s">
        <v>128</v>
      </c>
      <c r="M106" s="21">
        <v>0</v>
      </c>
    </row>
    <row r="107" spans="1:13">
      <c r="E107" s="21">
        <f t="shared" si="5"/>
        <v>107</v>
      </c>
      <c r="F107" s="9" t="s">
        <v>30</v>
      </c>
      <c r="M107" s="21">
        <v>-0.6</v>
      </c>
    </row>
    <row r="108" spans="1:13">
      <c r="E108" s="21">
        <f t="shared" si="5"/>
        <v>108</v>
      </c>
      <c r="F108" s="9" t="s">
        <v>114</v>
      </c>
      <c r="L108" s="9" t="s">
        <v>135</v>
      </c>
      <c r="M108" s="21">
        <v>60</v>
      </c>
    </row>
    <row r="109" spans="1:13">
      <c r="E109" s="21">
        <f t="shared" si="5"/>
        <v>109</v>
      </c>
      <c r="F109" s="9" t="s">
        <v>35</v>
      </c>
      <c r="M109" s="21">
        <v>150</v>
      </c>
    </row>
    <row r="110" spans="1:13">
      <c r="E110" s="21">
        <f t="shared" si="5"/>
        <v>110</v>
      </c>
      <c r="F110" s="9" t="s">
        <v>168</v>
      </c>
      <c r="G110" s="21">
        <v>18810</v>
      </c>
      <c r="M110" s="21">
        <f t="shared" ref="M110:M141" si="17">G110</f>
        <v>18810</v>
      </c>
    </row>
    <row r="111" spans="1:13">
      <c r="A111" s="21" t="s">
        <v>228</v>
      </c>
      <c r="B111" s="21">
        <f t="shared" ref="B111:B166" si="18">QUOTIENT( D111-1,G112)+1</f>
        <v>1</v>
      </c>
      <c r="C111" s="21">
        <f t="shared" ref="C111:C166" si="19">D111-(B111-1)*G112</f>
        <v>3</v>
      </c>
      <c r="D111" s="21">
        <f>COUNT($D$54:$D110)+1</f>
        <v>3</v>
      </c>
    </row>
    <row r="112" spans="1:13">
      <c r="E112" s="21">
        <f t="shared" si="5"/>
        <v>112</v>
      </c>
      <c r="F112" s="9" t="s">
        <v>93</v>
      </c>
      <c r="G112" s="21">
        <v>4</v>
      </c>
      <c r="H112" s="21">
        <v>1</v>
      </c>
      <c r="J112" s="9" t="s">
        <v>253</v>
      </c>
      <c r="M112" s="21">
        <f t="shared" ref="M112:M166" si="20">J112+D111</f>
        <v>18803</v>
      </c>
    </row>
    <row r="113" spans="5:13">
      <c r="E113" s="21">
        <f t="shared" si="5"/>
        <v>113</v>
      </c>
      <c r="F113" s="9" t="s">
        <v>143</v>
      </c>
      <c r="G113" s="21">
        <v>18701</v>
      </c>
      <c r="H113" s="21">
        <v>18701</v>
      </c>
      <c r="M113" s="21">
        <f t="shared" ref="M113" si="21">IF(C111=1,G113,H113)</f>
        <v>18701</v>
      </c>
    </row>
    <row r="114" spans="5:13">
      <c r="E114" s="21">
        <f t="shared" si="5"/>
        <v>114</v>
      </c>
      <c r="F114" s="9" t="s">
        <v>127</v>
      </c>
      <c r="M114" s="21">
        <v>0</v>
      </c>
    </row>
    <row r="115" spans="5:13">
      <c r="E115" s="21">
        <f t="shared" si="5"/>
        <v>115</v>
      </c>
      <c r="F115" s="9" t="s">
        <v>29</v>
      </c>
      <c r="M115" s="21" t="s">
        <v>250</v>
      </c>
    </row>
    <row r="116" spans="5:13">
      <c r="E116" s="21">
        <f t="shared" si="5"/>
        <v>116</v>
      </c>
      <c r="F116" s="9" t="s">
        <v>119</v>
      </c>
      <c r="M116" s="21" t="s">
        <v>251</v>
      </c>
    </row>
    <row r="117" spans="5:13">
      <c r="E117" s="21">
        <f t="shared" si="5"/>
        <v>117</v>
      </c>
      <c r="F117" s="9" t="s">
        <v>99</v>
      </c>
      <c r="G117" s="21" t="s">
        <v>256</v>
      </c>
      <c r="H117" s="21" t="s">
        <v>260</v>
      </c>
      <c r="I117" s="21" t="s">
        <v>258</v>
      </c>
      <c r="J117" s="9" t="s">
        <v>262</v>
      </c>
      <c r="K117" s="9" t="s">
        <v>137</v>
      </c>
      <c r="M117" s="21" t="str" cm="1">
        <f t="array" ref="M117">_xlfn.SWITCH(C111,1,G117,2,H117,3,I117,4,J117)</f>
        <v>0,-4.5</v>
      </c>
    </row>
    <row r="118" spans="5:13">
      <c r="E118" s="21">
        <f t="shared" si="5"/>
        <v>118</v>
      </c>
      <c r="F118" s="9" t="s">
        <v>117</v>
      </c>
      <c r="K118" s="9" t="s">
        <v>138</v>
      </c>
      <c r="M118" s="21">
        <v>2</v>
      </c>
    </row>
    <row r="119" spans="5:13">
      <c r="E119" s="21">
        <f t="shared" si="5"/>
        <v>119</v>
      </c>
      <c r="F119" s="9" t="s">
        <v>118</v>
      </c>
      <c r="M119" s="21" t="b">
        <v>1</v>
      </c>
    </row>
    <row r="120" spans="5:13">
      <c r="E120" s="21">
        <f t="shared" si="5"/>
        <v>120</v>
      </c>
      <c r="F120" s="9" t="s">
        <v>197</v>
      </c>
      <c r="M120" s="21">
        <v>120</v>
      </c>
    </row>
    <row r="121" spans="5:13">
      <c r="E121" s="21">
        <f t="shared" si="5"/>
        <v>121</v>
      </c>
      <c r="F121" s="9" t="s">
        <v>168</v>
      </c>
      <c r="M121" s="21" t="str">
        <f t="shared" ref="M121" si="22">J112</f>
        <v>18800</v>
      </c>
    </row>
    <row r="122" spans="5:13">
      <c r="E122" s="21">
        <f t="shared" si="5"/>
        <v>122</v>
      </c>
      <c r="F122" s="9" t="s">
        <v>102</v>
      </c>
      <c r="M122" s="21">
        <f t="shared" ref="M122" si="23">M112*10+1</f>
        <v>188031</v>
      </c>
    </row>
    <row r="123" spans="5:13">
      <c r="E123" s="21">
        <f t="shared" si="5"/>
        <v>123</v>
      </c>
      <c r="F123" s="9" t="s">
        <v>143</v>
      </c>
      <c r="M123" s="21">
        <f t="shared" ref="M123" si="24">M112</f>
        <v>18803</v>
      </c>
    </row>
    <row r="124" spans="5:13">
      <c r="E124" s="21">
        <f t="shared" si="5"/>
        <v>124</v>
      </c>
      <c r="F124" s="9" t="s">
        <v>127</v>
      </c>
      <c r="M124" s="21">
        <v>0</v>
      </c>
    </row>
    <row r="125" spans="5:13">
      <c r="E125" s="21">
        <f t="shared" si="5"/>
        <v>125</v>
      </c>
      <c r="F125" s="9" t="s">
        <v>143</v>
      </c>
      <c r="M125" s="21">
        <f t="shared" ref="M125" si="25">M132</f>
        <v>188032</v>
      </c>
    </row>
    <row r="126" spans="5:13">
      <c r="E126" s="21">
        <f t="shared" si="5"/>
        <v>126</v>
      </c>
      <c r="F126" s="9" t="s">
        <v>128</v>
      </c>
      <c r="M126" s="21">
        <v>0</v>
      </c>
    </row>
    <row r="127" spans="5:13">
      <c r="E127" s="21">
        <f t="shared" si="5"/>
        <v>127</v>
      </c>
      <c r="F127" s="9" t="s">
        <v>31</v>
      </c>
      <c r="G127" s="21">
        <v>270</v>
      </c>
      <c r="H127" s="21">
        <v>180</v>
      </c>
      <c r="I127" s="21">
        <v>90</v>
      </c>
      <c r="J127" s="9" t="s">
        <v>264</v>
      </c>
      <c r="L127" s="9" t="s">
        <v>135</v>
      </c>
      <c r="M127" s="21" cm="1">
        <f t="array" ref="M127">_xlfn.SWITCH(C111,1,G127,2,H127,3,I127,4,J127)</f>
        <v>90</v>
      </c>
    </row>
    <row r="128" spans="5:13">
      <c r="E128" s="21">
        <f t="shared" si="5"/>
        <v>128</v>
      </c>
      <c r="F128" s="9" t="s">
        <v>113</v>
      </c>
      <c r="G128" s="21">
        <v>0</v>
      </c>
      <c r="H128" s="21">
        <v>90</v>
      </c>
      <c r="I128" s="21">
        <v>180</v>
      </c>
      <c r="J128" s="9" t="s">
        <v>266</v>
      </c>
      <c r="L128" s="9" t="s">
        <v>135</v>
      </c>
      <c r="M128" s="21" cm="1">
        <f t="array" ref="M128">_xlfn.SWITCH(C111,1,G128,2,H128,3,I128,4,J128)</f>
        <v>180</v>
      </c>
    </row>
    <row r="129" spans="1:13">
      <c r="E129" s="21">
        <f t="shared" si="5"/>
        <v>129</v>
      </c>
      <c r="F129" s="9" t="s">
        <v>114</v>
      </c>
      <c r="L129" s="9" t="s">
        <v>135</v>
      </c>
      <c r="M129" s="21">
        <v>60</v>
      </c>
    </row>
    <row r="130" spans="1:13">
      <c r="E130" s="21">
        <f t="shared" ref="E130:E166" si="26">ROW(E130)</f>
        <v>130</v>
      </c>
      <c r="F130" s="9" t="s">
        <v>30</v>
      </c>
      <c r="M130" s="21">
        <v>0.6</v>
      </c>
    </row>
    <row r="131" spans="1:13">
      <c r="E131" s="21">
        <f t="shared" si="26"/>
        <v>131</v>
      </c>
      <c r="F131" s="9" t="s">
        <v>35</v>
      </c>
      <c r="M131" s="21">
        <v>150</v>
      </c>
    </row>
    <row r="132" spans="1:13">
      <c r="E132" s="21">
        <f t="shared" si="26"/>
        <v>132</v>
      </c>
      <c r="F132" s="9" t="s">
        <v>102</v>
      </c>
      <c r="M132" s="21">
        <f t="shared" ref="M132" si="27">M112*10+2</f>
        <v>188032</v>
      </c>
    </row>
    <row r="133" spans="1:13">
      <c r="E133" s="21">
        <f t="shared" si="26"/>
        <v>133</v>
      </c>
      <c r="F133" s="9" t="s">
        <v>143</v>
      </c>
      <c r="M133" s="21">
        <f t="shared" ref="M133" si="28">M122</f>
        <v>188031</v>
      </c>
    </row>
    <row r="134" spans="1:13">
      <c r="E134" s="21">
        <f t="shared" si="26"/>
        <v>134</v>
      </c>
      <c r="F134" s="9" t="s">
        <v>128</v>
      </c>
      <c r="M134" s="21">
        <v>0</v>
      </c>
    </row>
    <row r="135" spans="1:13">
      <c r="E135" s="21">
        <f t="shared" si="26"/>
        <v>135</v>
      </c>
      <c r="F135" s="9" t="s">
        <v>30</v>
      </c>
      <c r="M135" s="21">
        <v>-0.6</v>
      </c>
    </row>
    <row r="136" spans="1:13">
      <c r="E136" s="21">
        <f t="shared" si="26"/>
        <v>136</v>
      </c>
      <c r="F136" s="9" t="s">
        <v>114</v>
      </c>
      <c r="L136" s="9" t="s">
        <v>135</v>
      </c>
      <c r="M136" s="21">
        <v>60</v>
      </c>
    </row>
    <row r="137" spans="1:13">
      <c r="E137" s="21">
        <f t="shared" si="26"/>
        <v>137</v>
      </c>
      <c r="F137" s="9" t="s">
        <v>35</v>
      </c>
      <c r="M137" s="21">
        <v>150</v>
      </c>
    </row>
    <row r="138" spans="1:13">
      <c r="E138" s="21">
        <f t="shared" si="26"/>
        <v>138</v>
      </c>
      <c r="F138" s="9" t="s">
        <v>168</v>
      </c>
      <c r="G138" s="21">
        <v>18810</v>
      </c>
      <c r="M138" s="21">
        <f t="shared" ref="M138:M166" si="29">G138</f>
        <v>18810</v>
      </c>
    </row>
    <row r="139" spans="1:13">
      <c r="A139" s="21" t="s">
        <v>228</v>
      </c>
      <c r="B139" s="21">
        <f t="shared" ref="B139:B166" si="30">QUOTIENT( D139-1,G140)+1</f>
        <v>1</v>
      </c>
      <c r="C139" s="21">
        <f t="shared" ref="C139:C166" si="31">D139-(B139-1)*G140</f>
        <v>4</v>
      </c>
      <c r="D139" s="21">
        <f>COUNT($D$54:$D138)+1</f>
        <v>4</v>
      </c>
    </row>
    <row r="140" spans="1:13">
      <c r="E140" s="21">
        <f t="shared" si="26"/>
        <v>140</v>
      </c>
      <c r="F140" s="9" t="s">
        <v>93</v>
      </c>
      <c r="G140" s="21">
        <v>4</v>
      </c>
      <c r="H140" s="21">
        <v>1</v>
      </c>
      <c r="J140" s="9" t="s">
        <v>253</v>
      </c>
      <c r="M140" s="21">
        <f t="shared" ref="M140:M166" si="32">J140+D139</f>
        <v>18804</v>
      </c>
    </row>
    <row r="141" spans="1:13">
      <c r="E141" s="21">
        <f t="shared" si="26"/>
        <v>141</v>
      </c>
      <c r="F141" s="9" t="s">
        <v>143</v>
      </c>
      <c r="G141" s="21">
        <v>18701</v>
      </c>
      <c r="H141" s="21">
        <v>18701</v>
      </c>
      <c r="M141" s="21">
        <f t="shared" ref="M141" si="33">IF(C139=1,G141,H141)</f>
        <v>18701</v>
      </c>
    </row>
    <row r="142" spans="1:13">
      <c r="E142" s="21">
        <f t="shared" si="26"/>
        <v>142</v>
      </c>
      <c r="F142" s="9" t="s">
        <v>127</v>
      </c>
      <c r="M142" s="21">
        <v>0</v>
      </c>
    </row>
    <row r="143" spans="1:13">
      <c r="E143" s="21">
        <f t="shared" si="26"/>
        <v>143</v>
      </c>
      <c r="F143" s="9" t="s">
        <v>29</v>
      </c>
      <c r="M143" s="21" t="s">
        <v>250</v>
      </c>
    </row>
    <row r="144" spans="1:13">
      <c r="E144" s="21">
        <f t="shared" si="26"/>
        <v>144</v>
      </c>
      <c r="F144" s="9" t="s">
        <v>119</v>
      </c>
      <c r="M144" s="21" t="s">
        <v>251</v>
      </c>
    </row>
    <row r="145" spans="5:13">
      <c r="E145" s="21">
        <f t="shared" si="26"/>
        <v>145</v>
      </c>
      <c r="F145" s="9" t="s">
        <v>99</v>
      </c>
      <c r="G145" s="21" t="s">
        <v>256</v>
      </c>
      <c r="H145" s="21" t="s">
        <v>260</v>
      </c>
      <c r="I145" s="21" t="s">
        <v>258</v>
      </c>
      <c r="J145" s="9" t="s">
        <v>262</v>
      </c>
      <c r="K145" s="9" t="s">
        <v>137</v>
      </c>
      <c r="M145" s="21" t="str" cm="1">
        <f t="array" ref="M145">_xlfn.SWITCH(C139,1,G145,2,H145,3,I145,4,J145)</f>
        <v>-4.5,0</v>
      </c>
    </row>
    <row r="146" spans="5:13">
      <c r="E146" s="21">
        <f t="shared" si="26"/>
        <v>146</v>
      </c>
      <c r="F146" s="9" t="s">
        <v>117</v>
      </c>
      <c r="K146" s="9" t="s">
        <v>138</v>
      </c>
      <c r="M146" s="21">
        <v>2</v>
      </c>
    </row>
    <row r="147" spans="5:13">
      <c r="E147" s="21">
        <f t="shared" si="26"/>
        <v>147</v>
      </c>
      <c r="F147" s="9" t="s">
        <v>118</v>
      </c>
      <c r="M147" s="21" t="b">
        <v>1</v>
      </c>
    </row>
    <row r="148" spans="5:13">
      <c r="E148" s="21">
        <f t="shared" si="26"/>
        <v>148</v>
      </c>
      <c r="F148" s="9" t="s">
        <v>197</v>
      </c>
      <c r="M148" s="21">
        <v>120</v>
      </c>
    </row>
    <row r="149" spans="5:13">
      <c r="E149" s="21">
        <f t="shared" si="26"/>
        <v>149</v>
      </c>
      <c r="F149" s="9" t="s">
        <v>168</v>
      </c>
      <c r="M149" s="21" t="str">
        <f t="shared" ref="M149" si="34">J140</f>
        <v>18800</v>
      </c>
    </row>
    <row r="150" spans="5:13">
      <c r="E150" s="21">
        <f t="shared" si="26"/>
        <v>150</v>
      </c>
      <c r="F150" s="9" t="s">
        <v>102</v>
      </c>
      <c r="M150" s="21">
        <f t="shared" ref="M150" si="35">M140*10+1</f>
        <v>188041</v>
      </c>
    </row>
    <row r="151" spans="5:13">
      <c r="E151" s="21">
        <f t="shared" si="26"/>
        <v>151</v>
      </c>
      <c r="F151" s="9" t="s">
        <v>143</v>
      </c>
      <c r="M151" s="21">
        <f t="shared" ref="M151" si="36">M140</f>
        <v>18804</v>
      </c>
    </row>
    <row r="152" spans="5:13">
      <c r="E152" s="21">
        <f t="shared" si="26"/>
        <v>152</v>
      </c>
      <c r="F152" s="9" t="s">
        <v>127</v>
      </c>
      <c r="M152" s="21">
        <v>0</v>
      </c>
    </row>
    <row r="153" spans="5:13">
      <c r="E153" s="21">
        <f t="shared" si="26"/>
        <v>153</v>
      </c>
      <c r="F153" s="9" t="s">
        <v>143</v>
      </c>
      <c r="M153" s="21">
        <f t="shared" ref="M153" si="37">M160</f>
        <v>188042</v>
      </c>
    </row>
    <row r="154" spans="5:13">
      <c r="E154" s="21">
        <f t="shared" si="26"/>
        <v>154</v>
      </c>
      <c r="F154" s="9" t="s">
        <v>128</v>
      </c>
      <c r="M154" s="21">
        <v>0</v>
      </c>
    </row>
    <row r="155" spans="5:13">
      <c r="E155" s="21">
        <f t="shared" si="26"/>
        <v>155</v>
      </c>
      <c r="F155" s="9" t="s">
        <v>31</v>
      </c>
      <c r="G155" s="21">
        <v>270</v>
      </c>
      <c r="H155" s="21">
        <v>180</v>
      </c>
      <c r="I155" s="21">
        <v>90</v>
      </c>
      <c r="J155" s="9" t="s">
        <v>264</v>
      </c>
      <c r="L155" s="9" t="s">
        <v>135</v>
      </c>
      <c r="M155" s="21" t="str" cm="1">
        <f t="array" ref="M155">_xlfn.SWITCH(C139,1,G155,2,H155,3,I155,4,J155)</f>
        <v>0</v>
      </c>
    </row>
    <row r="156" spans="5:13">
      <c r="E156" s="21">
        <f t="shared" si="26"/>
        <v>156</v>
      </c>
      <c r="F156" s="9" t="s">
        <v>113</v>
      </c>
      <c r="G156" s="21">
        <v>0</v>
      </c>
      <c r="H156" s="21">
        <v>90</v>
      </c>
      <c r="I156" s="21">
        <v>180</v>
      </c>
      <c r="J156" s="9" t="s">
        <v>266</v>
      </c>
      <c r="L156" s="9" t="s">
        <v>135</v>
      </c>
      <c r="M156" s="21" t="str" cm="1">
        <f t="array" ref="M156">_xlfn.SWITCH(C139,1,G156,2,H156,3,I156,4,J156)</f>
        <v>270</v>
      </c>
    </row>
    <row r="157" spans="5:13">
      <c r="E157" s="21">
        <f t="shared" si="26"/>
        <v>157</v>
      </c>
      <c r="F157" s="9" t="s">
        <v>114</v>
      </c>
      <c r="L157" s="9" t="s">
        <v>135</v>
      </c>
      <c r="M157" s="21">
        <v>60</v>
      </c>
    </row>
    <row r="158" spans="5:13">
      <c r="E158" s="21">
        <f t="shared" si="26"/>
        <v>158</v>
      </c>
      <c r="F158" s="9" t="s">
        <v>30</v>
      </c>
      <c r="M158" s="21">
        <v>0.6</v>
      </c>
    </row>
    <row r="159" spans="5:13">
      <c r="E159" s="21">
        <f t="shared" si="26"/>
        <v>159</v>
      </c>
      <c r="F159" s="9" t="s">
        <v>35</v>
      </c>
      <c r="M159" s="21">
        <v>150</v>
      </c>
    </row>
    <row r="160" spans="5:13">
      <c r="E160" s="21">
        <f t="shared" si="26"/>
        <v>160</v>
      </c>
      <c r="F160" s="9" t="s">
        <v>102</v>
      </c>
      <c r="M160" s="21">
        <f t="shared" ref="M160" si="38">M140*10+2</f>
        <v>188042</v>
      </c>
    </row>
    <row r="161" spans="5:13">
      <c r="E161" s="21">
        <f t="shared" si="26"/>
        <v>161</v>
      </c>
      <c r="F161" s="9" t="s">
        <v>143</v>
      </c>
      <c r="M161" s="21">
        <f t="shared" ref="M161" si="39">M150</f>
        <v>188041</v>
      </c>
    </row>
    <row r="162" spans="5:13">
      <c r="E162" s="21">
        <f t="shared" si="26"/>
        <v>162</v>
      </c>
      <c r="F162" s="9" t="s">
        <v>128</v>
      </c>
      <c r="M162" s="21">
        <v>0</v>
      </c>
    </row>
    <row r="163" spans="5:13">
      <c r="E163" s="21">
        <f t="shared" si="26"/>
        <v>163</v>
      </c>
      <c r="F163" s="9" t="s">
        <v>30</v>
      </c>
      <c r="M163" s="21">
        <v>-0.6</v>
      </c>
    </row>
    <row r="164" spans="5:13">
      <c r="E164" s="21">
        <f t="shared" si="26"/>
        <v>164</v>
      </c>
      <c r="F164" s="9" t="s">
        <v>114</v>
      </c>
      <c r="L164" s="9" t="s">
        <v>135</v>
      </c>
      <c r="M164" s="21">
        <v>60</v>
      </c>
    </row>
    <row r="165" spans="5:13">
      <c r="E165" s="21">
        <f t="shared" si="26"/>
        <v>165</v>
      </c>
      <c r="F165" s="9" t="s">
        <v>35</v>
      </c>
      <c r="M165" s="21">
        <v>150</v>
      </c>
    </row>
    <row r="166" spans="5:13">
      <c r="E166" s="21">
        <f t="shared" si="26"/>
        <v>166</v>
      </c>
      <c r="F166" s="9" t="s">
        <v>168</v>
      </c>
      <c r="G166" s="21">
        <v>18810</v>
      </c>
      <c r="M166" s="21">
        <f t="shared" ref="M166" si="40">G166</f>
        <v>18810</v>
      </c>
    </row>
  </sheetData>
  <phoneticPr fontId="2" type="noConversion"/>
  <conditionalFormatting sqref="BE1:XFD1 E1:I1">
    <cfRule type="duplicateValues" dxfId="60" priority="1882"/>
  </conditionalFormatting>
  <conditionalFormatting sqref="F1:F10 F13">
    <cfRule type="cellIs" dxfId="59" priority="1383" operator="equal">
      <formula>"ID"</formula>
    </cfRule>
    <cfRule type="cellIs" dxfId="58" priority="1798" operator="equal">
      <formula>"行動序號"</formula>
    </cfRule>
  </conditionalFormatting>
  <conditionalFormatting sqref="J1">
    <cfRule type="duplicateValues" dxfId="57" priority="1381"/>
  </conditionalFormatting>
  <conditionalFormatting sqref="K1:L1">
    <cfRule type="duplicateValues" dxfId="56" priority="1378"/>
  </conditionalFormatting>
  <conditionalFormatting sqref="M1:M18 M22:M1048576">
    <cfRule type="expression" dxfId="55" priority="993">
      <formula>_xlfn.ISFORMULA(M1)</formula>
    </cfRule>
  </conditionalFormatting>
  <conditionalFormatting sqref="N1:BD1">
    <cfRule type="duplicateValues" dxfId="54" priority="1898"/>
  </conditionalFormatting>
  <conditionalFormatting sqref="F14 F11:F12">
    <cfRule type="cellIs" dxfId="53" priority="103" operator="equal">
      <formula>"ID"</formula>
    </cfRule>
    <cfRule type="cellIs" dxfId="52" priority="104" operator="equal">
      <formula>"行動序號"</formula>
    </cfRule>
  </conditionalFormatting>
  <conditionalFormatting sqref="J24">
    <cfRule type="expression" dxfId="51" priority="101">
      <formula>_xlfn.ISFORMULA(J24)</formula>
    </cfRule>
  </conditionalFormatting>
  <conditionalFormatting sqref="F1:F18 F22:F1048576">
    <cfRule type="cellIs" dxfId="50" priority="96" operator="equal">
      <formula>"ID"</formula>
    </cfRule>
    <cfRule type="cellIs" dxfId="49" priority="97" operator="equal">
      <formula>"行動ID"</formula>
    </cfRule>
  </conditionalFormatting>
  <conditionalFormatting sqref="J24">
    <cfRule type="expression" dxfId="48" priority="106">
      <formula>OR($F22="行動序號",$F22="ID")</formula>
    </cfRule>
  </conditionalFormatting>
  <conditionalFormatting sqref="J24">
    <cfRule type="expression" dxfId="47" priority="107">
      <formula>$F22="行動ID"</formula>
    </cfRule>
  </conditionalFormatting>
  <conditionalFormatting sqref="M1:M18 M22:M1048576">
    <cfRule type="expression" dxfId="46" priority="57">
      <formula>AND(_xlfn.ISFORMULA(M1),OR($F1="行動ID", $F1="ID"))</formula>
    </cfRule>
    <cfRule type="expression" dxfId="45" priority="59">
      <formula>OR($F1="行動ID", $F1="ID")</formula>
    </cfRule>
  </conditionalFormatting>
  <conditionalFormatting sqref="J31">
    <cfRule type="expression" dxfId="44" priority="4">
      <formula>_xlfn.ISFORMULA(J31)</formula>
    </cfRule>
  </conditionalFormatting>
  <conditionalFormatting sqref="J31">
    <cfRule type="expression" dxfId="43" priority="5">
      <formula>OR($F28="行動序號",$F28="ID")</formula>
    </cfRule>
  </conditionalFormatting>
  <conditionalFormatting sqref="J31">
    <cfRule type="expression" dxfId="42" priority="6">
      <formula>$F28="行動ID"</formula>
    </cfRule>
  </conditionalFormatting>
  <conditionalFormatting sqref="J38">
    <cfRule type="expression" dxfId="41" priority="1">
      <formula>_xlfn.ISFORMULA(J38)</formula>
    </cfRule>
  </conditionalFormatting>
  <conditionalFormatting sqref="J38">
    <cfRule type="expression" dxfId="40" priority="2">
      <formula>OR($F33="行動序號",$F33="ID")</formula>
    </cfRule>
  </conditionalFormatting>
  <conditionalFormatting sqref="J38">
    <cfRule type="expression" dxfId="39" priority="3">
      <formula>$F33="行動ID"</formula>
    </cfRule>
  </conditionalFormatting>
  <dataValidations count="1">
    <dataValidation type="list" allowBlank="1" showInputMessage="1" showErrorMessage="1" sqref="K8 L5:L6 F10 K4 L14:L15 K15 L21 K19 L54 L51 L42 K30:L30 K34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stage7_card10shot1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2025-04-24T12:42:48Z</dcterms:modified>
</cp:coreProperties>
</file>