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1E59D468-67CD-4B29-9909-792BD9B51BE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0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8" i="1" l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D33" i="1"/>
  <c r="M33" i="1" s="1"/>
  <c r="E32" i="1"/>
  <c r="E31" i="1"/>
  <c r="D31" i="1"/>
  <c r="B33" i="1" l="1"/>
  <c r="C33" i="1" s="1"/>
  <c r="B31" i="1"/>
  <c r="C31" i="1" s="1"/>
  <c r="D35" i="1"/>
  <c r="M31" i="1"/>
  <c r="M35" i="1" l="1"/>
  <c r="B35" i="1"/>
  <c r="C35" i="1" s="1"/>
  <c r="D37" i="1"/>
  <c r="M37" i="1" l="1"/>
  <c r="B37" i="1"/>
  <c r="C37" i="1" s="1"/>
  <c r="D41" i="1"/>
  <c r="D39" i="1"/>
  <c r="M41" i="1" l="1"/>
  <c r="B41" i="1"/>
  <c r="C41" i="1"/>
  <c r="M39" i="1"/>
  <c r="B39" i="1"/>
  <c r="C39" i="1" s="1"/>
  <c r="D43" i="1"/>
  <c r="M43" i="1" l="1"/>
  <c r="B43" i="1"/>
  <c r="C43" i="1" s="1"/>
  <c r="D45" i="1"/>
  <c r="D47" i="1" l="1"/>
  <c r="D51" i="1"/>
  <c r="D49" i="1"/>
  <c r="M45" i="1"/>
  <c r="B45" i="1"/>
  <c r="C45" i="1" s="1"/>
  <c r="M51" i="1" l="1"/>
  <c r="B51" i="1"/>
  <c r="C51" i="1" s="1"/>
  <c r="D53" i="1"/>
  <c r="M47" i="1"/>
  <c r="B47" i="1"/>
  <c r="C47" i="1"/>
  <c r="M49" i="1"/>
  <c r="B49" i="1"/>
  <c r="C49" i="1"/>
  <c r="M53" i="1" l="1"/>
  <c r="B53" i="1"/>
  <c r="C53" i="1" s="1"/>
  <c r="D55" i="1"/>
  <c r="M55" i="1" l="1"/>
  <c r="B55" i="1"/>
  <c r="C55" i="1" s="1"/>
  <c r="D57" i="1"/>
  <c r="M57" i="1" l="1"/>
  <c r="B57" i="1"/>
  <c r="C57" i="1" s="1"/>
  <c r="D59" i="1"/>
  <c r="M59" i="1" l="1"/>
  <c r="B59" i="1"/>
  <c r="C59" i="1"/>
  <c r="D61" i="1"/>
  <c r="M61" i="1" l="1"/>
  <c r="B61" i="1"/>
  <c r="C61" i="1" s="1"/>
  <c r="D63" i="1"/>
  <c r="M63" i="1" l="1"/>
  <c r="B63" i="1"/>
  <c r="C63" i="1" s="1"/>
  <c r="D65" i="1"/>
  <c r="M65" i="1" l="1"/>
  <c r="B65" i="1"/>
  <c r="C65" i="1" s="1"/>
  <c r="D67" i="1"/>
  <c r="M67" i="1" l="1"/>
  <c r="B67" i="1"/>
  <c r="C67" i="1" s="1"/>
  <c r="D69" i="1"/>
  <c r="M69" i="1" l="1"/>
  <c r="B69" i="1"/>
  <c r="C69" i="1" s="1"/>
  <c r="D71" i="1"/>
  <c r="M71" i="1" l="1"/>
  <c r="B71" i="1"/>
  <c r="C71" i="1" s="1"/>
  <c r="D73" i="1"/>
  <c r="M73" i="1" l="1"/>
  <c r="B73" i="1"/>
  <c r="C73" i="1" s="1"/>
  <c r="D75" i="1"/>
  <c r="M75" i="1" l="1"/>
  <c r="B75" i="1"/>
  <c r="C75" i="1"/>
  <c r="D77" i="1"/>
  <c r="M77" i="1" l="1"/>
  <c r="C77" i="1"/>
  <c r="B77" i="1"/>
  <c r="D79" i="1"/>
  <c r="M79" i="1" l="1"/>
  <c r="B79" i="1"/>
  <c r="C79" i="1" s="1"/>
  <c r="D81" i="1"/>
  <c r="M81" i="1" l="1"/>
  <c r="B81" i="1"/>
  <c r="C81" i="1" s="1"/>
  <c r="D83" i="1"/>
  <c r="M83" i="1" l="1"/>
  <c r="C83" i="1"/>
  <c r="B83" i="1"/>
  <c r="D85" i="1"/>
  <c r="M85" i="1" l="1"/>
  <c r="B85" i="1"/>
  <c r="C85" i="1" s="1"/>
  <c r="D87" i="1"/>
  <c r="M87" i="1" l="1"/>
  <c r="B87" i="1"/>
  <c r="C87" i="1" s="1"/>
  <c r="D89" i="1"/>
  <c r="M89" i="1" l="1"/>
  <c r="B89" i="1"/>
  <c r="C89" i="1" s="1"/>
  <c r="D91" i="1"/>
  <c r="M91" i="1" l="1"/>
  <c r="B91" i="1"/>
  <c r="C91" i="1" s="1"/>
  <c r="D93" i="1"/>
  <c r="M93" i="1" l="1"/>
  <c r="B93" i="1"/>
  <c r="C93" i="1" s="1"/>
  <c r="D95" i="1"/>
  <c r="M95" i="1" l="1"/>
  <c r="B95" i="1"/>
  <c r="C95" i="1" s="1"/>
  <c r="D97" i="1"/>
  <c r="M97" i="1" l="1"/>
  <c r="B97" i="1"/>
  <c r="C97" i="1" s="1"/>
  <c r="D99" i="1"/>
  <c r="M99" i="1" l="1"/>
  <c r="B99" i="1"/>
  <c r="C99" i="1" s="1"/>
  <c r="D101" i="1"/>
  <c r="M101" i="1" l="1"/>
  <c r="B101" i="1"/>
  <c r="C101" i="1" s="1"/>
  <c r="D103" i="1"/>
  <c r="M103" i="1" l="1"/>
  <c r="B103" i="1"/>
  <c r="C103" i="1" s="1"/>
  <c r="D105" i="1"/>
  <c r="M105" i="1" l="1"/>
  <c r="B105" i="1"/>
  <c r="C105" i="1" s="1"/>
  <c r="D107" i="1"/>
  <c r="M107" i="1" l="1"/>
  <c r="B107" i="1"/>
  <c r="C107" i="1" s="1"/>
  <c r="D109" i="1"/>
  <c r="M109" i="1" l="1"/>
  <c r="B109" i="1"/>
  <c r="C109" i="1" s="1"/>
  <c r="D111" i="1"/>
  <c r="M29" i="1"/>
  <c r="M111" i="1" l="1"/>
  <c r="B111" i="1"/>
  <c r="C111" i="1" s="1"/>
  <c r="D113" i="1"/>
  <c r="E30" i="1"/>
  <c r="D29" i="1"/>
  <c r="E27" i="1"/>
  <c r="M113" i="1" l="1"/>
  <c r="B113" i="1"/>
  <c r="C113" i="1" s="1"/>
  <c r="D115" i="1"/>
  <c r="B29" i="1"/>
  <c r="E24" i="1"/>
  <c r="E26" i="1"/>
  <c r="M115" i="1" l="1"/>
  <c r="B115" i="1"/>
  <c r="C115" i="1" s="1"/>
  <c r="D117" i="1"/>
  <c r="C29" i="1"/>
  <c r="E25" i="1"/>
  <c r="M117" i="1" l="1"/>
  <c r="B117" i="1"/>
  <c r="C117" i="1" s="1"/>
  <c r="D119" i="1"/>
  <c r="E23" i="1"/>
  <c r="E21" i="1"/>
  <c r="E29" i="1"/>
  <c r="E28" i="1"/>
  <c r="E20" i="1"/>
  <c r="M119" i="1" l="1"/>
  <c r="B119" i="1"/>
  <c r="C119" i="1" s="1"/>
  <c r="D121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21" i="1" l="1"/>
  <c r="B121" i="1"/>
  <c r="C121" i="1" s="1"/>
  <c r="D123" i="1"/>
  <c r="M123" i="1" l="1"/>
  <c r="B123" i="1"/>
  <c r="C123" i="1" s="1"/>
  <c r="D125" i="1"/>
  <c r="M125" i="1" l="1"/>
  <c r="B125" i="1"/>
  <c r="C125" i="1" s="1"/>
  <c r="D127" i="1"/>
  <c r="M127" i="1" l="1"/>
  <c r="B127" i="1"/>
  <c r="C127" i="1" s="1"/>
  <c r="D129" i="1"/>
  <c r="M129" i="1" l="1"/>
  <c r="B129" i="1"/>
  <c r="C129" i="1" s="1"/>
  <c r="D131" i="1"/>
  <c r="M131" i="1" l="1"/>
  <c r="B131" i="1"/>
  <c r="C131" i="1" s="1"/>
  <c r="D133" i="1"/>
  <c r="M133" i="1" l="1"/>
  <c r="B133" i="1"/>
  <c r="C133" i="1" s="1"/>
  <c r="D135" i="1"/>
  <c r="M135" i="1" l="1"/>
  <c r="B135" i="1"/>
  <c r="C135" i="1" s="1"/>
  <c r="D137" i="1"/>
  <c r="M137" i="1" l="1"/>
  <c r="B137" i="1"/>
  <c r="C137" i="1" s="1"/>
  <c r="D139" i="1"/>
  <c r="M139" i="1" l="1"/>
  <c r="B139" i="1"/>
  <c r="C139" i="1" s="1"/>
  <c r="D141" i="1"/>
  <c r="M141" i="1" l="1"/>
  <c r="B141" i="1"/>
  <c r="C141" i="1" s="1"/>
  <c r="D143" i="1"/>
  <c r="M143" i="1" l="1"/>
  <c r="B143" i="1"/>
  <c r="C143" i="1" s="1"/>
  <c r="D145" i="1"/>
  <c r="M145" i="1" l="1"/>
  <c r="B145" i="1"/>
  <c r="C145" i="1" s="1"/>
  <c r="D147" i="1"/>
  <c r="M147" i="1" l="1"/>
  <c r="B147" i="1"/>
  <c r="C147" i="1" s="1"/>
  <c r="D149" i="1"/>
  <c r="M149" i="1" l="1"/>
  <c r="B149" i="1"/>
  <c r="C149" i="1" s="1"/>
  <c r="D151" i="1"/>
  <c r="M151" i="1" l="1"/>
  <c r="B151" i="1"/>
  <c r="C151" i="1" s="1"/>
  <c r="D153" i="1"/>
  <c r="M153" i="1" l="1"/>
  <c r="B153" i="1"/>
  <c r="C153" i="1" s="1"/>
  <c r="D155" i="1"/>
  <c r="M155" i="1" l="1"/>
  <c r="B155" i="1"/>
  <c r="C155" i="1" s="1"/>
  <c r="D157" i="1"/>
  <c r="M157" i="1" l="1"/>
  <c r="B157" i="1"/>
  <c r="C157" i="1" s="1"/>
  <c r="D159" i="1"/>
  <c r="B159" i="1" l="1"/>
  <c r="M159" i="1"/>
  <c r="C159" i="1"/>
  <c r="D161" i="1"/>
  <c r="B161" i="1" l="1"/>
  <c r="M161" i="1"/>
  <c r="C161" i="1"/>
  <c r="D163" i="1"/>
  <c r="B163" i="1" l="1"/>
  <c r="C163" i="1"/>
  <c r="M163" i="1"/>
  <c r="D165" i="1"/>
  <c r="B165" i="1" l="1"/>
  <c r="C165" i="1" s="1"/>
  <c r="M165" i="1"/>
  <c r="D167" i="1"/>
  <c r="B167" i="1" l="1"/>
  <c r="C167" i="1"/>
  <c r="M167" i="1"/>
  <c r="D169" i="1"/>
  <c r="B169" i="1" l="1"/>
  <c r="M169" i="1"/>
  <c r="C169" i="1"/>
  <c r="D171" i="1"/>
  <c r="B171" i="1" l="1"/>
  <c r="M171" i="1"/>
  <c r="C171" i="1"/>
  <c r="D173" i="1"/>
  <c r="B173" i="1" l="1"/>
  <c r="C173" i="1"/>
  <c r="M173" i="1"/>
  <c r="D175" i="1"/>
  <c r="B175" i="1" l="1"/>
  <c r="C175" i="1" s="1"/>
  <c r="M175" i="1"/>
  <c r="D177" i="1"/>
  <c r="B177" i="1" l="1"/>
  <c r="C177" i="1" s="1"/>
  <c r="M177" i="1"/>
  <c r="D179" i="1"/>
  <c r="B179" i="1" l="1"/>
  <c r="C179" i="1" s="1"/>
  <c r="M179" i="1"/>
  <c r="D181" i="1"/>
  <c r="B181" i="1" l="1"/>
  <c r="M181" i="1"/>
  <c r="C181" i="1"/>
  <c r="D183" i="1"/>
  <c r="B183" i="1" l="1"/>
  <c r="M183" i="1"/>
  <c r="C183" i="1"/>
  <c r="D185" i="1"/>
  <c r="B185" i="1" l="1"/>
  <c r="C185" i="1" s="1"/>
  <c r="M185" i="1"/>
  <c r="D187" i="1"/>
  <c r="B187" i="1" l="1"/>
  <c r="C187" i="1" s="1"/>
  <c r="M187" i="1"/>
  <c r="D189" i="1"/>
  <c r="B189" i="1" l="1"/>
  <c r="C189" i="1" s="1"/>
  <c r="M189" i="1"/>
  <c r="D191" i="1"/>
  <c r="B191" i="1" l="1"/>
  <c r="C191" i="1" s="1"/>
  <c r="M191" i="1"/>
  <c r="D193" i="1"/>
  <c r="B193" i="1" l="1"/>
  <c r="C193" i="1" s="1"/>
  <c r="M193" i="1"/>
  <c r="D195" i="1"/>
  <c r="B195" i="1" l="1"/>
  <c r="C195" i="1" s="1"/>
  <c r="M195" i="1"/>
  <c r="D197" i="1"/>
  <c r="B197" i="1" l="1"/>
  <c r="M197" i="1"/>
  <c r="C197" i="1"/>
  <c r="D199" i="1"/>
  <c r="B199" i="1" l="1"/>
  <c r="C199" i="1" s="1"/>
  <c r="M199" i="1"/>
  <c r="D201" i="1"/>
  <c r="B201" i="1" l="1"/>
  <c r="C201" i="1"/>
  <c r="M201" i="1"/>
  <c r="D203" i="1"/>
  <c r="B203" i="1" l="1"/>
  <c r="C203" i="1" s="1"/>
  <c r="M203" i="1"/>
  <c r="D205" i="1"/>
  <c r="B205" i="1" l="1"/>
  <c r="M205" i="1"/>
  <c r="C205" i="1"/>
  <c r="D207" i="1"/>
  <c r="B207" i="1" l="1"/>
  <c r="M207" i="1"/>
  <c r="C207" i="1"/>
  <c r="D209" i="1"/>
  <c r="B209" i="1" l="1"/>
  <c r="C209" i="1" s="1"/>
  <c r="M209" i="1"/>
  <c r="D211" i="1"/>
  <c r="B211" i="1" l="1"/>
  <c r="C211" i="1" s="1"/>
  <c r="M211" i="1"/>
  <c r="D213" i="1"/>
  <c r="B213" i="1" l="1"/>
  <c r="C213" i="1"/>
  <c r="M213" i="1"/>
  <c r="D215" i="1"/>
  <c r="B215" i="1" l="1"/>
  <c r="C215" i="1" s="1"/>
  <c r="M215" i="1"/>
  <c r="D217" i="1"/>
  <c r="B217" i="1" l="1"/>
  <c r="M217" i="1"/>
  <c r="C217" i="1"/>
  <c r="D219" i="1"/>
  <c r="B219" i="1" l="1"/>
  <c r="M219" i="1"/>
  <c r="C219" i="1"/>
  <c r="D221" i="1"/>
  <c r="B221" i="1" l="1"/>
  <c r="C221" i="1" s="1"/>
  <c r="M221" i="1"/>
  <c r="D223" i="1"/>
  <c r="B223" i="1" l="1"/>
  <c r="C223" i="1" s="1"/>
  <c r="M223" i="1"/>
  <c r="D225" i="1"/>
  <c r="B225" i="1" l="1"/>
  <c r="C225" i="1" s="1"/>
  <c r="M225" i="1"/>
  <c r="D227" i="1"/>
  <c r="B227" i="1" l="1"/>
  <c r="M227" i="1"/>
  <c r="C227" i="1"/>
  <c r="D229" i="1"/>
  <c r="B229" i="1" l="1"/>
  <c r="M229" i="1"/>
  <c r="C229" i="1"/>
  <c r="D231" i="1"/>
  <c r="B231" i="1" l="1"/>
  <c r="C231" i="1"/>
  <c r="M231" i="1"/>
  <c r="D233" i="1"/>
  <c r="B233" i="1" l="1"/>
  <c r="M233" i="1"/>
  <c r="C233" i="1"/>
  <c r="D235" i="1"/>
  <c r="B235" i="1" l="1"/>
  <c r="M235" i="1"/>
  <c r="C235" i="1"/>
  <c r="D237" i="1"/>
  <c r="B237" i="1" l="1"/>
  <c r="C237" i="1" s="1"/>
  <c r="M237" i="1"/>
  <c r="D239" i="1"/>
  <c r="B239" i="1" l="1"/>
  <c r="M239" i="1"/>
  <c r="C239" i="1"/>
  <c r="D241" i="1"/>
  <c r="B241" i="1" l="1"/>
  <c r="M241" i="1"/>
  <c r="C241" i="1"/>
  <c r="D243" i="1"/>
  <c r="B243" i="1" l="1"/>
  <c r="C243" i="1"/>
  <c r="M243" i="1"/>
  <c r="D245" i="1"/>
  <c r="B245" i="1" l="1"/>
  <c r="M245" i="1"/>
  <c r="C245" i="1"/>
  <c r="D247" i="1"/>
  <c r="B247" i="1" l="1"/>
  <c r="M247" i="1"/>
  <c r="C247" i="1"/>
  <c r="D249" i="1"/>
  <c r="B249" i="1" l="1"/>
  <c r="C249" i="1" s="1"/>
  <c r="M249" i="1"/>
  <c r="D251" i="1"/>
  <c r="B251" i="1" l="1"/>
  <c r="M251" i="1"/>
  <c r="C251" i="1"/>
  <c r="D253" i="1"/>
  <c r="B253" i="1" l="1"/>
  <c r="M253" i="1"/>
  <c r="C253" i="1"/>
  <c r="D255" i="1"/>
  <c r="B255" i="1" l="1"/>
  <c r="C255" i="1" s="1"/>
  <c r="M255" i="1"/>
  <c r="D257" i="1"/>
  <c r="B257" i="1" l="1"/>
  <c r="M257" i="1"/>
  <c r="C257" i="1"/>
  <c r="D259" i="1"/>
  <c r="B259" i="1" l="1"/>
  <c r="M259" i="1"/>
  <c r="C259" i="1"/>
  <c r="D261" i="1"/>
  <c r="B261" i="1" l="1"/>
  <c r="C261" i="1" s="1"/>
  <c r="M261" i="1"/>
  <c r="D263" i="1"/>
  <c r="M263" i="1" l="1"/>
  <c r="B263" i="1"/>
  <c r="C263" i="1" s="1"/>
  <c r="D265" i="1"/>
  <c r="M265" i="1" l="1"/>
  <c r="B265" i="1"/>
  <c r="C265" i="1" s="1"/>
  <c r="D267" i="1"/>
  <c r="M267" i="1" l="1"/>
  <c r="B267" i="1"/>
  <c r="C267" i="1" s="1"/>
  <c r="D269" i="1"/>
  <c r="M269" i="1" l="1"/>
  <c r="B269" i="1"/>
  <c r="C269" i="1" s="1"/>
  <c r="D271" i="1"/>
  <c r="M271" i="1" l="1"/>
  <c r="B271" i="1"/>
  <c r="C271" i="1" s="1"/>
  <c r="D273" i="1"/>
  <c r="M273" i="1" l="1"/>
  <c r="B273" i="1"/>
  <c r="C273" i="1" s="1"/>
  <c r="D275" i="1"/>
  <c r="M275" i="1" l="1"/>
  <c r="B275" i="1"/>
  <c r="C275" i="1" s="1"/>
  <c r="D277" i="1"/>
  <c r="M277" i="1" l="1"/>
  <c r="B277" i="1"/>
  <c r="C277" i="1" s="1"/>
  <c r="D279" i="1"/>
  <c r="M279" i="1" l="1"/>
  <c r="B279" i="1"/>
  <c r="C279" i="1" s="1"/>
  <c r="D281" i="1"/>
  <c r="M281" i="1" l="1"/>
  <c r="B281" i="1"/>
  <c r="C281" i="1"/>
  <c r="D283" i="1"/>
  <c r="M283" i="1" l="1"/>
  <c r="B283" i="1"/>
  <c r="C283" i="1" s="1"/>
  <c r="D285" i="1"/>
  <c r="M285" i="1" l="1"/>
  <c r="B285" i="1"/>
  <c r="C285" i="1" s="1"/>
  <c r="D287" i="1"/>
  <c r="M287" i="1" l="1"/>
  <c r="B287" i="1"/>
  <c r="C287" i="1" s="1"/>
  <c r="D289" i="1"/>
  <c r="M289" i="1" l="1"/>
  <c r="B289" i="1"/>
  <c r="C289" i="1" s="1"/>
  <c r="D291" i="1"/>
  <c r="M291" i="1" l="1"/>
  <c r="B291" i="1"/>
  <c r="C291" i="1" s="1"/>
  <c r="D293" i="1"/>
  <c r="M293" i="1" l="1"/>
  <c r="B293" i="1"/>
  <c r="C293" i="1" s="1"/>
  <c r="D295" i="1"/>
  <c r="M295" i="1" l="1"/>
  <c r="B295" i="1"/>
  <c r="C295" i="1" s="1"/>
  <c r="D297" i="1"/>
  <c r="M297" i="1" l="1"/>
  <c r="B297" i="1"/>
  <c r="C297" i="1" s="1"/>
  <c r="D299" i="1"/>
  <c r="M299" i="1" l="1"/>
  <c r="B299" i="1"/>
  <c r="C299" i="1" s="1"/>
  <c r="D301" i="1"/>
  <c r="M301" i="1" l="1"/>
  <c r="B301" i="1"/>
  <c r="C301" i="1" s="1"/>
  <c r="D303" i="1"/>
  <c r="M303" i="1" l="1"/>
  <c r="B303" i="1"/>
  <c r="C303" i="1" s="1"/>
  <c r="D305" i="1"/>
  <c r="M305" i="1" l="1"/>
  <c r="B305" i="1"/>
  <c r="C305" i="1" s="1"/>
  <c r="D307" i="1"/>
  <c r="M307" i="1" l="1"/>
  <c r="B307" i="1"/>
  <c r="C307" i="1" s="1"/>
  <c r="D309" i="1"/>
  <c r="M309" i="1" l="1"/>
  <c r="B309" i="1"/>
  <c r="C309" i="1" s="1"/>
  <c r="D311" i="1"/>
  <c r="M311" i="1" l="1"/>
  <c r="B311" i="1"/>
  <c r="C311" i="1" s="1"/>
  <c r="D313" i="1"/>
  <c r="M313" i="1" l="1"/>
  <c r="B313" i="1"/>
  <c r="C313" i="1" s="1"/>
  <c r="D315" i="1"/>
  <c r="M315" i="1" l="1"/>
  <c r="B315" i="1"/>
  <c r="C315" i="1" s="1"/>
  <c r="D317" i="1"/>
  <c r="M317" i="1" l="1"/>
  <c r="B317" i="1"/>
  <c r="C317" i="1" s="1"/>
  <c r="D319" i="1"/>
  <c r="M319" i="1" l="1"/>
  <c r="B319" i="1"/>
  <c r="C319" i="1" s="1"/>
  <c r="D321" i="1"/>
  <c r="M321" i="1" l="1"/>
  <c r="B321" i="1"/>
  <c r="C321" i="1" s="1"/>
  <c r="D323" i="1"/>
  <c r="M323" i="1" l="1"/>
  <c r="B323" i="1"/>
  <c r="C323" i="1" s="1"/>
  <c r="D325" i="1"/>
  <c r="M325" i="1" l="1"/>
  <c r="B325" i="1"/>
  <c r="C325" i="1" s="1"/>
  <c r="D327" i="1"/>
  <c r="M327" i="1" l="1"/>
  <c r="B327" i="1"/>
  <c r="C327" i="1" s="1"/>
</calcChain>
</file>

<file path=xl/sharedStrings.xml><?xml version="1.0" encoding="utf-8"?>
<sst xmlns="http://schemas.openxmlformats.org/spreadsheetml/2006/main" count="899" uniqueCount="250">
  <si>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</si>
  <si>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</si>
  <si>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</si>
  <si>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</si>
  <si>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</si>
  <si>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</si>
  <si>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</si>
  <si>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</si>
  <si>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</si>
  <si>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</si>
  <si>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</si>
  <si>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</si>
  <si>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</si>
  <si>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</si>
  <si>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</si>
  <si>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</si>
  <si>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</si>
  <si>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</si>
  <si>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</si>
  <si>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</si>
  <si>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</si>
  <si>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</si>
  <si>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</si>
  <si>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</si>
  <si>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</si>
  <si>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</si>
  <si>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</si>
  <si>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</si>
  <si>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</si>
  <si>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</si>
  <si>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</si>
  <si>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</si>
  <si>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</si>
  <si>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</si>
  <si>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</si>
  <si>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</si>
  <si>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</si>
  <si>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</si>
  <si>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</si>
  <si>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</si>
  <si>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</si>
  <si>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</si>
  <si>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</si>
  <si>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</si>
  <si>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</si>
  <si>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</si>
  <si>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</si>
  <si>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</si>
  <si>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</si>
  <si>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</si>
  <si>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</si>
  <si>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</si>
  <si>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</si>
  <si>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</si>
  <si>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</si>
  <si>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</si>
  <si>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</si>
  <si>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</si>
  <si>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</si>
  <si>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</si>
  <si>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</si>
  <si>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</si>
  <si>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</si>
  <si>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</si>
  <si>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</si>
  <si>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</si>
  <si>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</si>
  <si>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</si>
  <si>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</si>
  <si>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</si>
  <si>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</si>
  <si>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</si>
  <si>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</si>
  <si>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</si>
  <si>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</si>
  <si>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</si>
  <si>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</si>
  <si>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</si>
  <si>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</si>
  <si>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</si>
  <si>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</si>
  <si>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</si>
  <si>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</si>
  <si>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</si>
  <si>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</si>
  <si>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</si>
  <si>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</si>
  <si>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</si>
  <si>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</si>
  <si>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</si>
  <si>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</si>
  <si>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</si>
  <si>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</si>
  <si>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</si>
  <si>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</si>
  <si>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</si>
  <si>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</si>
  <si>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</si>
  <si>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</si>
  <si>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</si>
  <si>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</si>
  <si>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</si>
  <si>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</si>
  <si>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</si>
  <si>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</si>
  <si>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</si>
  <si>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</si>
  <si>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</si>
  <si>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</si>
  <si>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</si>
  <si>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</si>
  <si>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</si>
  <si>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</si>
  <si>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</si>
  <si>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</si>
  <si>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</si>
  <si>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</si>
  <si>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</si>
  <si>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</si>
  <si>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</si>
  <si>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</si>
  <si>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</si>
  <si>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</si>
  <si>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</si>
  <si>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</si>
  <si>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</si>
  <si>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</si>
  <si>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</si>
  <si>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</si>
  <si>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</si>
  <si>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</si>
  <si>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</si>
  <si>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</si>
  <si>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</si>
  <si>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</si>
  <si>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</si>
  <si>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</si>
  <si>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</si>
  <si>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</si>
  <si>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</si>
  <si>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</si>
  <si>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</si>
  <si>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</si>
  <si>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</si>
  <si>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</si>
  <si>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</si>
  <si>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</si>
  <si>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</si>
  <si>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</si>
  <si>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</si>
  <si>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</si>
  <si>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</si>
  <si>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</si>
  <si>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</si>
  <si>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</si>
  <si>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</si>
  <si>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</si>
  <si>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</si>
  <si>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</si>
  <si>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</si>
  <si>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</si>
  <si>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</si>
  <si>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</si>
  <si>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</si>
  <si>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</si>
  <si>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</si>
  <si>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</si>
  <si>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</si>
  <si>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</si>
  <si>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</si>
  <si>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</si>
  <si>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</si>
  <si>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</si>
  <si>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</si>
  <si>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</si>
  <si>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</si>
  <si>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</si>
  <si>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</si>
  <si>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</si>
  <si>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</si>
  <si>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</si>
  <si>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</si>
  <si>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</si>
  <si>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</si>
  <si>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</si>
  <si>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</si>
  <si>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</si>
  <si>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</si>
  <si>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</si>
  <si>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</si>
  <si>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</si>
  <si>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</si>
  <si>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</si>
  <si>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</si>
  <si>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</si>
  <si>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</si>
  <si>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</si>
  <si>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</si>
  <si>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</si>
  <si>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</si>
  <si>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</si>
  <si>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</si>
  <si>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</si>
  <si>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</si>
  <si>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</si>
  <si>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</si>
  <si>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</si>
  <si>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</si>
  <si>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</si>
  <si>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</si>
  <si>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</si>
  <si>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</si>
  <si>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</si>
  <si>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</si>
  <si>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</si>
  <si>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</si>
  <si>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</si>
  <si>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</si>
  <si>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</si>
  <si>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</si>
  <si>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</si>
  <si>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</si>
  <si>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</si>
  <si>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</si>
  <si>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</si>
  <si>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</si>
  <si>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</si>
  <si>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</si>
  <si>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</si>
  <si>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</si>
  <si>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</si>
  <si>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</si>
  <si>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</si>
  <si>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</si>
  <si>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</si>
  <si>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</si>
  <si>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</si>
  <si>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</si>
  <si>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</si>
  <si>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</si>
  <si>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</si>
  <si>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</si>
  <si>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</si>
  <si>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</si>
  <si>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</si>
  <si>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</si>
  <si>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</si>
  <si>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18900</t>
  </si>
  <si>
    <t>EnemyLight1</t>
    <phoneticPr fontId="2" type="noConversion"/>
  </si>
  <si>
    <t>死亡時間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</si>
</sst>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28"/>
  <sheetViews>
    <sheetView tabSelected="1" zoomScale="115" zoomScaleNormal="115" workbookViewId="0">
      <pane ySplit="1" topLeftCell="A17" activePane="bottomLeft" state="frozen"/>
      <selection pane="bottomLeft" activeCell="N22" sqref="N22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0" spans="1:60">
      <c r="E20" s="21">
        <f t="shared" ref="E20:E27" si="0">ROW(E20)</f>
        <v>20</v>
      </c>
      <c r="F20" s="9" t="s">
        <v>93</v>
      </c>
      <c r="G20" s="21">
        <v>30</v>
      </c>
      <c r="H20" s="21">
        <v>5</v>
      </c>
      <c r="M20" s="21" t="s">
        <v>247</v>
      </c>
      <c r="R20" s="12"/>
      <c r="S20" s="9"/>
      <c r="U20" s="12"/>
      <c r="X20" s="15"/>
      <c r="AE20" s="16"/>
      <c r="BH20" s="9"/>
    </row>
    <row r="21" spans="1:60">
      <c r="E21" s="21">
        <f t="shared" si="0"/>
        <v>21</v>
      </c>
      <c r="F21" s="9" t="s">
        <v>29</v>
      </c>
      <c r="M21" s="21" t="s">
        <v>248</v>
      </c>
      <c r="R21" s="12"/>
      <c r="S21" s="9"/>
      <c r="U21" s="12"/>
      <c r="X21" s="15"/>
      <c r="AE21" s="16"/>
      <c r="BH21" s="9"/>
    </row>
    <row r="22" spans="1:60">
      <c r="F22" s="9" t="s">
        <v>118</v>
      </c>
      <c r="R22" s="12"/>
      <c r="S22" s="9"/>
      <c r="U22" s="12"/>
      <c r="X22" s="15"/>
      <c r="AE22" s="16"/>
      <c r="BH22" s="9"/>
    </row>
    <row r="23" spans="1:60">
      <c r="E23" s="21">
        <f t="shared" si="0"/>
        <v>23</v>
      </c>
      <c r="F23" s="9" t="s">
        <v>98</v>
      </c>
      <c r="K23" s="9" t="s">
        <v>137</v>
      </c>
      <c r="M23" s="21">
        <v>2</v>
      </c>
      <c r="R23" s="12"/>
      <c r="S23" s="9"/>
      <c r="U23" s="12"/>
      <c r="X23" s="15"/>
      <c r="AE23" s="16"/>
      <c r="BH23" s="9"/>
    </row>
    <row r="24" spans="1:60">
      <c r="E24" s="21">
        <f t="shared" si="0"/>
        <v>24</v>
      </c>
      <c r="F24" s="9" t="s">
        <v>196</v>
      </c>
      <c r="M24" s="21">
        <v>60</v>
      </c>
      <c r="R24" s="12"/>
      <c r="S24" s="9"/>
      <c r="U24" s="12"/>
      <c r="X24" s="15"/>
      <c r="AE24" s="16"/>
      <c r="BH24" s="9"/>
    </row>
    <row r="25" spans="1:60">
      <c r="E25" s="21">
        <f t="shared" si="0"/>
        <v>25</v>
      </c>
      <c r="F25" s="9" t="s">
        <v>117</v>
      </c>
      <c r="M25" s="21" t="b">
        <v>1</v>
      </c>
      <c r="R25" s="12"/>
      <c r="S25" s="9"/>
      <c r="U25" s="12"/>
      <c r="X25" s="15"/>
      <c r="AE25" s="16"/>
      <c r="BH25" s="9"/>
    </row>
    <row r="26" spans="1:60">
      <c r="E26" s="21">
        <f t="shared" si="0"/>
        <v>26</v>
      </c>
      <c r="F26" s="9" t="s">
        <v>112</v>
      </c>
      <c r="L26" s="9" t="s">
        <v>222</v>
      </c>
      <c r="M26" s="26">
        <v>2</v>
      </c>
      <c r="R26" s="12"/>
      <c r="S26" s="9"/>
      <c r="U26" s="12"/>
      <c r="X26" s="15"/>
      <c r="AE26" s="16"/>
      <c r="BH26" s="9"/>
    </row>
    <row r="27" spans="1:60">
      <c r="E27" s="21">
        <f t="shared" si="0"/>
        <v>27</v>
      </c>
      <c r="F27" s="9" t="s">
        <v>249</v>
      </c>
      <c r="M27" s="21">
        <v>45</v>
      </c>
    </row>
    <row r="28" spans="1:60">
      <c r="B28" s="9"/>
      <c r="C28" s="9"/>
      <c r="D28" s="9"/>
      <c r="E28" s="21">
        <f>ROW(E28)</f>
        <v>28</v>
      </c>
      <c r="F28" s="9" t="s">
        <v>142</v>
      </c>
      <c r="M28" s="21">
        <v>18800</v>
      </c>
      <c r="R28" s="12"/>
      <c r="S28" s="9"/>
      <c r="U28" s="12"/>
      <c r="X28" s="15"/>
      <c r="AE28" s="16"/>
      <c r="BH28" s="9"/>
    </row>
    <row r="29" spans="1:60">
      <c r="A29" s="21" t="s">
        <v>227</v>
      </c>
      <c r="B29" s="21">
        <f>QUOTIENT( D29-1,$G$20)+1</f>
        <v>1</v>
      </c>
      <c r="C29" s="21">
        <f>D29-(B29-1)*$G$20</f>
        <v>1</v>
      </c>
      <c r="D29" s="21">
        <f>COUNT($D$20:$D28)+1</f>
        <v>1</v>
      </c>
      <c r="E29" s="21">
        <f>ROW(E29)</f>
        <v>29</v>
      </c>
      <c r="F29" s="9" t="s">
        <v>126</v>
      </c>
      <c r="G29" s="21">
        <v>25</v>
      </c>
      <c r="H29" s="21">
        <v>10</v>
      </c>
      <c r="M29" s="27">
        <f>G29*D29</f>
        <v>25</v>
      </c>
      <c r="R29" s="12"/>
      <c r="S29" s="9"/>
      <c r="U29" s="12"/>
      <c r="X29" s="15"/>
      <c r="AE29" s="16"/>
      <c r="BH29" s="9"/>
    </row>
    <row r="30" spans="1:60">
      <c r="E30" s="21">
        <f t="shared" ref="E30:E93" si="1">ROW(E30)</f>
        <v>30</v>
      </c>
      <c r="F30" s="9" t="s">
        <v>142</v>
      </c>
      <c r="M30" s="21">
        <v>18800</v>
      </c>
    </row>
    <row r="31" spans="1:60">
      <c r="A31" s="21" t="s">
        <v>227</v>
      </c>
      <c r="B31" s="21">
        <f t="shared" ref="B31:B94" si="2">QUOTIENT( D31-1,$G$20)+1</f>
        <v>1</v>
      </c>
      <c r="C31" s="21">
        <f t="shared" ref="C31" si="3">D31-(B31-1)*$G$20</f>
        <v>2</v>
      </c>
      <c r="D31" s="21">
        <f>COUNT($D$20:$D30)+1</f>
        <v>2</v>
      </c>
      <c r="E31" s="21">
        <f t="shared" si="1"/>
        <v>31</v>
      </c>
      <c r="F31" s="9" t="s">
        <v>126</v>
      </c>
      <c r="G31" s="21">
        <v>25</v>
      </c>
      <c r="H31" s="21">
        <v>10</v>
      </c>
      <c r="M31" s="21">
        <f t="shared" ref="M31:M94" si="4">G31*D31</f>
        <v>50</v>
      </c>
    </row>
    <row r="32" spans="1:60">
      <c r="E32" s="21">
        <f t="shared" si="1"/>
        <v>32</v>
      </c>
      <c r="F32" s="9" t="s">
        <v>142</v>
      </c>
      <c r="M32" s="21">
        <v>18800</v>
      </c>
    </row>
    <row r="33" spans="1:13">
      <c r="A33" s="21" t="s">
        <v>227</v>
      </c>
      <c r="B33" s="21">
        <f t="shared" ref="B33:B96" si="5">QUOTIENT( D33-1,$G$20)+1</f>
        <v>1</v>
      </c>
      <c r="C33" s="21">
        <f t="shared" ref="C33" si="6">D33-(B33-1)*$G$20</f>
        <v>3</v>
      </c>
      <c r="D33" s="21">
        <f>COUNT($D$20:$D32)+1</f>
        <v>3</v>
      </c>
      <c r="E33" s="21">
        <f t="shared" si="1"/>
        <v>33</v>
      </c>
      <c r="F33" s="9" t="s">
        <v>126</v>
      </c>
      <c r="G33" s="21">
        <v>25</v>
      </c>
      <c r="H33" s="21">
        <v>10</v>
      </c>
      <c r="M33" s="21">
        <f t="shared" ref="M33:M96" si="7">G33*D33</f>
        <v>75</v>
      </c>
    </row>
    <row r="34" spans="1:13">
      <c r="E34" s="21">
        <f t="shared" si="1"/>
        <v>34</v>
      </c>
      <c r="F34" s="9" t="s">
        <v>142</v>
      </c>
      <c r="M34" s="21">
        <v>18800</v>
      </c>
    </row>
    <row r="35" spans="1:13">
      <c r="A35" s="21" t="s">
        <v>227</v>
      </c>
      <c r="B35" s="21">
        <f t="shared" ref="B35:B98" si="8">QUOTIENT( D35-1,$G$20)+1</f>
        <v>1</v>
      </c>
      <c r="C35" s="21">
        <f t="shared" ref="C35" si="9">D35-(B35-1)*$G$20</f>
        <v>4</v>
      </c>
      <c r="D35" s="21">
        <f>COUNT($D$20:$D34)+1</f>
        <v>4</v>
      </c>
      <c r="E35" s="21">
        <f t="shared" si="1"/>
        <v>35</v>
      </c>
      <c r="F35" s="9" t="s">
        <v>126</v>
      </c>
      <c r="G35" s="21">
        <v>25</v>
      </c>
      <c r="H35" s="21">
        <v>10</v>
      </c>
      <c r="M35" s="21">
        <f t="shared" ref="M35:M98" si="10">G35*D35</f>
        <v>100</v>
      </c>
    </row>
    <row r="36" spans="1:13">
      <c r="E36" s="21">
        <f t="shared" si="1"/>
        <v>36</v>
      </c>
      <c r="F36" s="9" t="s">
        <v>142</v>
      </c>
      <c r="M36" s="21">
        <v>18800</v>
      </c>
    </row>
    <row r="37" spans="1:13">
      <c r="A37" s="21" t="s">
        <v>227</v>
      </c>
      <c r="B37" s="21">
        <f t="shared" ref="B37:B100" si="11">QUOTIENT( D37-1,$G$20)+1</f>
        <v>1</v>
      </c>
      <c r="C37" s="21">
        <f t="shared" ref="C37" si="12">D37-(B37-1)*$G$20</f>
        <v>5</v>
      </c>
      <c r="D37" s="21">
        <f>COUNT($D$20:$D36)+1</f>
        <v>5</v>
      </c>
      <c r="E37" s="21">
        <f t="shared" si="1"/>
        <v>37</v>
      </c>
      <c r="F37" s="9" t="s">
        <v>126</v>
      </c>
      <c r="G37" s="21">
        <v>25</v>
      </c>
      <c r="H37" s="21">
        <v>10</v>
      </c>
      <c r="M37" s="21">
        <f t="shared" ref="M37:M100" si="13">G37*D37</f>
        <v>125</v>
      </c>
    </row>
    <row r="38" spans="1:13">
      <c r="E38" s="21">
        <f t="shared" si="1"/>
        <v>38</v>
      </c>
      <c r="F38" s="9" t="s">
        <v>142</v>
      </c>
      <c r="M38" s="21">
        <v>18800</v>
      </c>
    </row>
    <row r="39" spans="1:13">
      <c r="A39" s="21" t="s">
        <v>227</v>
      </c>
      <c r="B39" s="21">
        <f t="shared" ref="B39:B102" si="14">QUOTIENT( D39-1,$G$20)+1</f>
        <v>1</v>
      </c>
      <c r="C39" s="21">
        <f t="shared" ref="C39" si="15">D39-(B39-1)*$G$20</f>
        <v>6</v>
      </c>
      <c r="D39" s="21">
        <f>COUNT($D$20:$D38)+1</f>
        <v>6</v>
      </c>
      <c r="E39" s="21">
        <f t="shared" si="1"/>
        <v>39</v>
      </c>
      <c r="F39" s="9" t="s">
        <v>126</v>
      </c>
      <c r="G39" s="21">
        <v>25</v>
      </c>
      <c r="H39" s="21">
        <v>10</v>
      </c>
      <c r="M39" s="21">
        <f t="shared" ref="M39:M102" si="16">G39*D39</f>
        <v>150</v>
      </c>
    </row>
    <row r="40" spans="1:13">
      <c r="E40" s="21">
        <f t="shared" si="1"/>
        <v>40</v>
      </c>
      <c r="F40" s="9" t="s">
        <v>142</v>
      </c>
      <c r="M40" s="21">
        <v>18800</v>
      </c>
    </row>
    <row r="41" spans="1:13">
      <c r="A41" s="21" t="s">
        <v>227</v>
      </c>
      <c r="B41" s="21">
        <f t="shared" ref="B41:B104" si="17">QUOTIENT( D41-1,$G$20)+1</f>
        <v>1</v>
      </c>
      <c r="C41" s="21">
        <f t="shared" ref="C41" si="18">D41-(B41-1)*$G$20</f>
        <v>7</v>
      </c>
      <c r="D41" s="21">
        <f>COUNT($D$20:$D40)+1</f>
        <v>7</v>
      </c>
      <c r="E41" s="21">
        <f t="shared" si="1"/>
        <v>41</v>
      </c>
      <c r="F41" s="9" t="s">
        <v>126</v>
      </c>
      <c r="G41" s="21">
        <v>25</v>
      </c>
      <c r="H41" s="21">
        <v>10</v>
      </c>
      <c r="M41" s="21">
        <f t="shared" ref="M41:M104" si="19">G41*D41</f>
        <v>175</v>
      </c>
    </row>
    <row r="42" spans="1:13">
      <c r="E42" s="21">
        <f t="shared" si="1"/>
        <v>42</v>
      </c>
      <c r="F42" s="9" t="s">
        <v>142</v>
      </c>
      <c r="M42" s="21">
        <v>18800</v>
      </c>
    </row>
    <row r="43" spans="1:13">
      <c r="A43" s="21" t="s">
        <v>227</v>
      </c>
      <c r="B43" s="21">
        <f t="shared" ref="B43:B106" si="20">QUOTIENT( D43-1,$G$20)+1</f>
        <v>1</v>
      </c>
      <c r="C43" s="21">
        <f t="shared" ref="C43" si="21">D43-(B43-1)*$G$20</f>
        <v>8</v>
      </c>
      <c r="D43" s="21">
        <f>COUNT($D$20:$D42)+1</f>
        <v>8</v>
      </c>
      <c r="E43" s="21">
        <f t="shared" si="1"/>
        <v>43</v>
      </c>
      <c r="F43" s="9" t="s">
        <v>126</v>
      </c>
      <c r="G43" s="21">
        <v>25</v>
      </c>
      <c r="H43" s="21">
        <v>10</v>
      </c>
      <c r="M43" s="21">
        <f t="shared" ref="M43:M106" si="22">G43*D43</f>
        <v>200</v>
      </c>
    </row>
    <row r="44" spans="1:13">
      <c r="E44" s="21">
        <f t="shared" si="1"/>
        <v>44</v>
      </c>
      <c r="F44" s="9" t="s">
        <v>142</v>
      </c>
      <c r="M44" s="21">
        <v>18800</v>
      </c>
    </row>
    <row r="45" spans="1:13">
      <c r="A45" s="21" t="s">
        <v>227</v>
      </c>
      <c r="B45" s="21">
        <f t="shared" ref="B45:B108" si="23">QUOTIENT( D45-1,$G$20)+1</f>
        <v>1</v>
      </c>
      <c r="C45" s="21">
        <f t="shared" ref="C45" si="24">D45-(B45-1)*$G$20</f>
        <v>9</v>
      </c>
      <c r="D45" s="21">
        <f>COUNT($D$20:$D44)+1</f>
        <v>9</v>
      </c>
      <c r="E45" s="21">
        <f t="shared" si="1"/>
        <v>45</v>
      </c>
      <c r="F45" s="9" t="s">
        <v>126</v>
      </c>
      <c r="G45" s="21">
        <v>25</v>
      </c>
      <c r="H45" s="21">
        <v>10</v>
      </c>
      <c r="M45" s="21">
        <f t="shared" ref="M45:M108" si="25">G45*D45</f>
        <v>225</v>
      </c>
    </row>
    <row r="46" spans="1:13">
      <c r="E46" s="21">
        <f t="shared" si="1"/>
        <v>46</v>
      </c>
      <c r="F46" s="9" t="s">
        <v>142</v>
      </c>
      <c r="M46" s="21">
        <v>18800</v>
      </c>
    </row>
    <row r="47" spans="1:13">
      <c r="A47" s="21" t="s">
        <v>227</v>
      </c>
      <c r="B47" s="21">
        <f t="shared" ref="B47:B110" si="26">QUOTIENT( D47-1,$G$20)+1</f>
        <v>1</v>
      </c>
      <c r="C47" s="21">
        <f t="shared" ref="C47" si="27">D47-(B47-1)*$G$20</f>
        <v>10</v>
      </c>
      <c r="D47" s="21">
        <f>COUNT($D$20:$D46)+1</f>
        <v>10</v>
      </c>
      <c r="E47" s="21">
        <f t="shared" si="1"/>
        <v>47</v>
      </c>
      <c r="F47" s="9" t="s">
        <v>126</v>
      </c>
      <c r="G47" s="21">
        <v>25</v>
      </c>
      <c r="H47" s="21">
        <v>10</v>
      </c>
      <c r="M47" s="21">
        <f t="shared" ref="M47:M110" si="28">G47*D47</f>
        <v>250</v>
      </c>
    </row>
    <row r="48" spans="1:13">
      <c r="E48" s="21">
        <f t="shared" si="1"/>
        <v>48</v>
      </c>
      <c r="F48" s="9" t="s">
        <v>142</v>
      </c>
      <c r="M48" s="21">
        <v>18800</v>
      </c>
    </row>
    <row r="49" spans="1:13">
      <c r="A49" s="21" t="s">
        <v>227</v>
      </c>
      <c r="B49" s="21">
        <f t="shared" ref="B49:B112" si="29">QUOTIENT( D49-1,$G$20)+1</f>
        <v>1</v>
      </c>
      <c r="C49" s="21">
        <f t="shared" ref="C49" si="30">D49-(B49-1)*$G$20</f>
        <v>11</v>
      </c>
      <c r="D49" s="21">
        <f>COUNT($D$20:$D48)+1</f>
        <v>11</v>
      </c>
      <c r="E49" s="21">
        <f t="shared" si="1"/>
        <v>49</v>
      </c>
      <c r="F49" s="9" t="s">
        <v>126</v>
      </c>
      <c r="G49" s="21">
        <v>25</v>
      </c>
      <c r="H49" s="21">
        <v>10</v>
      </c>
      <c r="M49" s="21">
        <f t="shared" ref="M49:M112" si="31">G49*D49</f>
        <v>275</v>
      </c>
    </row>
    <row r="50" spans="1:13">
      <c r="E50" s="21">
        <f t="shared" si="1"/>
        <v>50</v>
      </c>
      <c r="F50" s="9" t="s">
        <v>142</v>
      </c>
      <c r="M50" s="21">
        <v>18800</v>
      </c>
    </row>
    <row r="51" spans="1:13">
      <c r="A51" s="21" t="s">
        <v>227</v>
      </c>
      <c r="B51" s="21">
        <f t="shared" ref="B51:B114" si="32">QUOTIENT( D51-1,$G$20)+1</f>
        <v>1</v>
      </c>
      <c r="C51" s="21">
        <f t="shared" ref="C51" si="33">D51-(B51-1)*$G$20</f>
        <v>12</v>
      </c>
      <c r="D51" s="21">
        <f>COUNT($D$20:$D50)+1</f>
        <v>12</v>
      </c>
      <c r="E51" s="21">
        <f t="shared" si="1"/>
        <v>51</v>
      </c>
      <c r="F51" s="9" t="s">
        <v>126</v>
      </c>
      <c r="G51" s="21">
        <v>25</v>
      </c>
      <c r="H51" s="21">
        <v>10</v>
      </c>
      <c r="M51" s="21">
        <f t="shared" ref="M51:M114" si="34">G51*D51</f>
        <v>300</v>
      </c>
    </row>
    <row r="52" spans="1:13">
      <c r="E52" s="21">
        <f t="shared" si="1"/>
        <v>52</v>
      </c>
      <c r="F52" s="9" t="s">
        <v>142</v>
      </c>
      <c r="M52" s="21">
        <v>18800</v>
      </c>
    </row>
    <row r="53" spans="1:13">
      <c r="A53" s="21" t="s">
        <v>227</v>
      </c>
      <c r="B53" s="21">
        <f t="shared" ref="B53:B116" si="35">QUOTIENT( D53-1,$G$20)+1</f>
        <v>1</v>
      </c>
      <c r="C53" s="21">
        <f t="shared" ref="C53" si="36">D53-(B53-1)*$G$20</f>
        <v>13</v>
      </c>
      <c r="D53" s="21">
        <f>COUNT($D$20:$D52)+1</f>
        <v>13</v>
      </c>
      <c r="E53" s="21">
        <f t="shared" si="1"/>
        <v>53</v>
      </c>
      <c r="F53" s="9" t="s">
        <v>126</v>
      </c>
      <c r="G53" s="21">
        <v>25</v>
      </c>
      <c r="H53" s="21">
        <v>10</v>
      </c>
      <c r="M53" s="21">
        <f t="shared" ref="M53:M116" si="37">G53*D53</f>
        <v>325</v>
      </c>
    </row>
    <row r="54" spans="1:13">
      <c r="E54" s="21">
        <f t="shared" si="1"/>
        <v>54</v>
      </c>
      <c r="F54" s="9" t="s">
        <v>142</v>
      </c>
      <c r="M54" s="21">
        <v>18800</v>
      </c>
    </row>
    <row r="55" spans="1:13">
      <c r="A55" s="21" t="s">
        <v>227</v>
      </c>
      <c r="B55" s="21">
        <f t="shared" ref="B55:B118" si="38">QUOTIENT( D55-1,$G$20)+1</f>
        <v>1</v>
      </c>
      <c r="C55" s="21">
        <f t="shared" ref="C55" si="39">D55-(B55-1)*$G$20</f>
        <v>14</v>
      </c>
      <c r="D55" s="21">
        <f>COUNT($D$20:$D54)+1</f>
        <v>14</v>
      </c>
      <c r="E55" s="21">
        <f t="shared" si="1"/>
        <v>55</v>
      </c>
      <c r="F55" s="9" t="s">
        <v>126</v>
      </c>
      <c r="G55" s="21">
        <v>25</v>
      </c>
      <c r="H55" s="21">
        <v>10</v>
      </c>
      <c r="M55" s="21">
        <f t="shared" ref="M55:M118" si="40">G55*D55</f>
        <v>350</v>
      </c>
    </row>
    <row r="56" spans="1:13">
      <c r="E56" s="21">
        <f t="shared" si="1"/>
        <v>56</v>
      </c>
      <c r="F56" s="9" t="s">
        <v>142</v>
      </c>
      <c r="M56" s="21">
        <v>18800</v>
      </c>
    </row>
    <row r="57" spans="1:13">
      <c r="A57" s="21" t="s">
        <v>227</v>
      </c>
      <c r="B57" s="21">
        <f t="shared" ref="B57:B120" si="41">QUOTIENT( D57-1,$G$20)+1</f>
        <v>1</v>
      </c>
      <c r="C57" s="21">
        <f t="shared" ref="C57" si="42">D57-(B57-1)*$G$20</f>
        <v>15</v>
      </c>
      <c r="D57" s="21">
        <f>COUNT($D$20:$D56)+1</f>
        <v>15</v>
      </c>
      <c r="E57" s="21">
        <f t="shared" si="1"/>
        <v>57</v>
      </c>
      <c r="F57" s="9" t="s">
        <v>126</v>
      </c>
      <c r="G57" s="21">
        <v>25</v>
      </c>
      <c r="H57" s="21">
        <v>10</v>
      </c>
      <c r="M57" s="21">
        <f t="shared" ref="M57:M120" si="43">G57*D57</f>
        <v>375</v>
      </c>
    </row>
    <row r="58" spans="1:13">
      <c r="E58" s="21">
        <f t="shared" si="1"/>
        <v>58</v>
      </c>
      <c r="F58" s="9" t="s">
        <v>142</v>
      </c>
      <c r="M58" s="21">
        <v>18800</v>
      </c>
    </row>
    <row r="59" spans="1:13">
      <c r="A59" s="21" t="s">
        <v>227</v>
      </c>
      <c r="B59" s="21">
        <f t="shared" ref="B59:B122" si="44">QUOTIENT( D59-1,$G$20)+1</f>
        <v>1</v>
      </c>
      <c r="C59" s="21">
        <f t="shared" ref="C59" si="45">D59-(B59-1)*$G$20</f>
        <v>16</v>
      </c>
      <c r="D59" s="21">
        <f>COUNT($D$20:$D58)+1</f>
        <v>16</v>
      </c>
      <c r="E59" s="21">
        <f t="shared" si="1"/>
        <v>59</v>
      </c>
      <c r="F59" s="9" t="s">
        <v>126</v>
      </c>
      <c r="G59" s="21">
        <v>25</v>
      </c>
      <c r="H59" s="21">
        <v>10</v>
      </c>
      <c r="M59" s="21">
        <f t="shared" ref="M59:M122" si="46">G59*D59</f>
        <v>400</v>
      </c>
    </row>
    <row r="60" spans="1:13">
      <c r="E60" s="21">
        <f t="shared" si="1"/>
        <v>60</v>
      </c>
      <c r="F60" s="9" t="s">
        <v>142</v>
      </c>
      <c r="M60" s="21">
        <v>18800</v>
      </c>
    </row>
    <row r="61" spans="1:13">
      <c r="A61" s="21" t="s">
        <v>227</v>
      </c>
      <c r="B61" s="21">
        <f t="shared" ref="B61:B124" si="47">QUOTIENT( D61-1,$G$20)+1</f>
        <v>1</v>
      </c>
      <c r="C61" s="21">
        <f t="shared" ref="C61" si="48">D61-(B61-1)*$G$20</f>
        <v>17</v>
      </c>
      <c r="D61" s="21">
        <f>COUNT($D$20:$D60)+1</f>
        <v>17</v>
      </c>
      <c r="E61" s="21">
        <f t="shared" si="1"/>
        <v>61</v>
      </c>
      <c r="F61" s="9" t="s">
        <v>126</v>
      </c>
      <c r="G61" s="21">
        <v>25</v>
      </c>
      <c r="H61" s="21">
        <v>10</v>
      </c>
      <c r="M61" s="21">
        <f t="shared" ref="M61:M124" si="49">G61*D61</f>
        <v>425</v>
      </c>
    </row>
    <row r="62" spans="1:13">
      <c r="E62" s="21">
        <f t="shared" si="1"/>
        <v>62</v>
      </c>
      <c r="F62" s="9" t="s">
        <v>142</v>
      </c>
      <c r="M62" s="21">
        <v>18800</v>
      </c>
    </row>
    <row r="63" spans="1:13">
      <c r="A63" s="21" t="s">
        <v>227</v>
      </c>
      <c r="B63" s="21">
        <f t="shared" ref="B63:B126" si="50">QUOTIENT( D63-1,$G$20)+1</f>
        <v>1</v>
      </c>
      <c r="C63" s="21">
        <f t="shared" ref="C63" si="51">D63-(B63-1)*$G$20</f>
        <v>18</v>
      </c>
      <c r="D63" s="21">
        <f>COUNT($D$20:$D62)+1</f>
        <v>18</v>
      </c>
      <c r="E63" s="21">
        <f t="shared" si="1"/>
        <v>63</v>
      </c>
      <c r="F63" s="9" t="s">
        <v>126</v>
      </c>
      <c r="G63" s="21">
        <v>25</v>
      </c>
      <c r="H63" s="21">
        <v>10</v>
      </c>
      <c r="M63" s="21">
        <f t="shared" ref="M63:M126" si="52">G63*D63</f>
        <v>450</v>
      </c>
    </row>
    <row r="64" spans="1:13">
      <c r="E64" s="21">
        <f t="shared" si="1"/>
        <v>64</v>
      </c>
      <c r="F64" s="9" t="s">
        <v>142</v>
      </c>
      <c r="M64" s="21">
        <v>18800</v>
      </c>
    </row>
    <row r="65" spans="1:13">
      <c r="A65" s="21" t="s">
        <v>227</v>
      </c>
      <c r="B65" s="21">
        <f t="shared" ref="B65:B128" si="53">QUOTIENT( D65-1,$G$20)+1</f>
        <v>1</v>
      </c>
      <c r="C65" s="21">
        <f t="shared" ref="C65" si="54">D65-(B65-1)*$G$20</f>
        <v>19</v>
      </c>
      <c r="D65" s="21">
        <f>COUNT($D$20:$D64)+1</f>
        <v>19</v>
      </c>
      <c r="E65" s="21">
        <f t="shared" si="1"/>
        <v>65</v>
      </c>
      <c r="F65" s="9" t="s">
        <v>126</v>
      </c>
      <c r="G65" s="21">
        <v>25</v>
      </c>
      <c r="H65" s="21">
        <v>10</v>
      </c>
      <c r="M65" s="21">
        <f t="shared" ref="M65:M128" si="55">G65*D65</f>
        <v>475</v>
      </c>
    </row>
    <row r="66" spans="1:13">
      <c r="E66" s="21">
        <f t="shared" si="1"/>
        <v>66</v>
      </c>
      <c r="F66" s="9" t="s">
        <v>142</v>
      </c>
      <c r="M66" s="21">
        <v>18800</v>
      </c>
    </row>
    <row r="67" spans="1:13">
      <c r="A67" s="21" t="s">
        <v>227</v>
      </c>
      <c r="B67" s="21">
        <f t="shared" ref="B67:B130" si="56">QUOTIENT( D67-1,$G$20)+1</f>
        <v>1</v>
      </c>
      <c r="C67" s="21">
        <f t="shared" ref="C67" si="57">D67-(B67-1)*$G$20</f>
        <v>20</v>
      </c>
      <c r="D67" s="21">
        <f>COUNT($D$20:$D66)+1</f>
        <v>20</v>
      </c>
      <c r="E67" s="21">
        <f t="shared" si="1"/>
        <v>67</v>
      </c>
      <c r="F67" s="9" t="s">
        <v>126</v>
      </c>
      <c r="G67" s="21">
        <v>25</v>
      </c>
      <c r="H67" s="21">
        <v>10</v>
      </c>
      <c r="M67" s="21">
        <f t="shared" ref="M67:M130" si="58">G67*D67</f>
        <v>500</v>
      </c>
    </row>
    <row r="68" spans="1:13">
      <c r="E68" s="21">
        <f t="shared" si="1"/>
        <v>68</v>
      </c>
      <c r="F68" s="9" t="s">
        <v>142</v>
      </c>
      <c r="M68" s="21">
        <v>18800</v>
      </c>
    </row>
    <row r="69" spans="1:13">
      <c r="A69" s="21" t="s">
        <v>227</v>
      </c>
      <c r="B69" s="21">
        <f t="shared" ref="B69:B132" si="59">QUOTIENT( D69-1,$G$20)+1</f>
        <v>1</v>
      </c>
      <c r="C69" s="21">
        <f t="shared" ref="C69" si="60">D69-(B69-1)*$G$20</f>
        <v>21</v>
      </c>
      <c r="D69" s="21">
        <f>COUNT($D$20:$D68)+1</f>
        <v>21</v>
      </c>
      <c r="E69" s="21">
        <f t="shared" si="1"/>
        <v>69</v>
      </c>
      <c r="F69" s="9" t="s">
        <v>126</v>
      </c>
      <c r="G69" s="21">
        <v>25</v>
      </c>
      <c r="H69" s="21">
        <v>10</v>
      </c>
      <c r="M69" s="21">
        <f t="shared" ref="M69:M132" si="61">G69*D69</f>
        <v>525</v>
      </c>
    </row>
    <row r="70" spans="1:13">
      <c r="E70" s="21">
        <f t="shared" si="1"/>
        <v>70</v>
      </c>
      <c r="F70" s="9" t="s">
        <v>142</v>
      </c>
      <c r="M70" s="21">
        <v>18800</v>
      </c>
    </row>
    <row r="71" spans="1:13">
      <c r="A71" s="21" t="s">
        <v>227</v>
      </c>
      <c r="B71" s="21">
        <f t="shared" ref="B71:B134" si="62">QUOTIENT( D71-1,$G$20)+1</f>
        <v>1</v>
      </c>
      <c r="C71" s="21">
        <f t="shared" ref="C71" si="63">D71-(B71-1)*$G$20</f>
        <v>22</v>
      </c>
      <c r="D71" s="21">
        <f>COUNT($D$20:$D70)+1</f>
        <v>22</v>
      </c>
      <c r="E71" s="21">
        <f t="shared" si="1"/>
        <v>71</v>
      </c>
      <c r="F71" s="9" t="s">
        <v>126</v>
      </c>
      <c r="G71" s="21">
        <v>25</v>
      </c>
      <c r="H71" s="21">
        <v>10</v>
      </c>
      <c r="M71" s="21">
        <f t="shared" ref="M71:M134" si="64">G71*D71</f>
        <v>550</v>
      </c>
    </row>
    <row r="72" spans="1:13">
      <c r="E72" s="21">
        <f t="shared" si="1"/>
        <v>72</v>
      </c>
      <c r="F72" s="9" t="s">
        <v>142</v>
      </c>
      <c r="M72" s="21">
        <v>18800</v>
      </c>
    </row>
    <row r="73" spans="1:13">
      <c r="A73" s="21" t="s">
        <v>227</v>
      </c>
      <c r="B73" s="21">
        <f t="shared" ref="B73:B136" si="65">QUOTIENT( D73-1,$G$20)+1</f>
        <v>1</v>
      </c>
      <c r="C73" s="21">
        <f t="shared" ref="C73" si="66">D73-(B73-1)*$G$20</f>
        <v>23</v>
      </c>
      <c r="D73" s="21">
        <f>COUNT($D$20:$D72)+1</f>
        <v>23</v>
      </c>
      <c r="E73" s="21">
        <f t="shared" si="1"/>
        <v>73</v>
      </c>
      <c r="F73" s="9" t="s">
        <v>126</v>
      </c>
      <c r="G73" s="21">
        <v>25</v>
      </c>
      <c r="H73" s="21">
        <v>10</v>
      </c>
      <c r="M73" s="21">
        <f t="shared" ref="M73:M136" si="67">G73*D73</f>
        <v>575</v>
      </c>
    </row>
    <row r="74" spans="1:13">
      <c r="E74" s="21">
        <f t="shared" si="1"/>
        <v>74</v>
      </c>
      <c r="F74" s="9" t="s">
        <v>142</v>
      </c>
      <c r="M74" s="21">
        <v>18800</v>
      </c>
    </row>
    <row r="75" spans="1:13">
      <c r="A75" s="21" t="s">
        <v>227</v>
      </c>
      <c r="B75" s="21">
        <f t="shared" ref="B75:B138" si="68">QUOTIENT( D75-1,$G$20)+1</f>
        <v>1</v>
      </c>
      <c r="C75" s="21">
        <f t="shared" ref="C75" si="69">D75-(B75-1)*$G$20</f>
        <v>24</v>
      </c>
      <c r="D75" s="21">
        <f>COUNT($D$20:$D74)+1</f>
        <v>24</v>
      </c>
      <c r="E75" s="21">
        <f t="shared" si="1"/>
        <v>75</v>
      </c>
      <c r="F75" s="9" t="s">
        <v>126</v>
      </c>
      <c r="G75" s="21">
        <v>25</v>
      </c>
      <c r="H75" s="21">
        <v>10</v>
      </c>
      <c r="M75" s="21">
        <f t="shared" ref="M75:M138" si="70">G75*D75</f>
        <v>600</v>
      </c>
    </row>
    <row r="76" spans="1:13">
      <c r="E76" s="21">
        <f t="shared" si="1"/>
        <v>76</v>
      </c>
      <c r="F76" s="9" t="s">
        <v>142</v>
      </c>
      <c r="M76" s="21">
        <v>18800</v>
      </c>
    </row>
    <row r="77" spans="1:13">
      <c r="A77" s="21" t="s">
        <v>227</v>
      </c>
      <c r="B77" s="21">
        <f t="shared" ref="B77:B140" si="71">QUOTIENT( D77-1,$G$20)+1</f>
        <v>1</v>
      </c>
      <c r="C77" s="21">
        <f t="shared" ref="C77" si="72">D77-(B77-1)*$G$20</f>
        <v>25</v>
      </c>
      <c r="D77" s="21">
        <f>COUNT($D$20:$D76)+1</f>
        <v>25</v>
      </c>
      <c r="E77" s="21">
        <f t="shared" si="1"/>
        <v>77</v>
      </c>
      <c r="F77" s="9" t="s">
        <v>126</v>
      </c>
      <c r="G77" s="21">
        <v>25</v>
      </c>
      <c r="H77" s="21">
        <v>10</v>
      </c>
      <c r="M77" s="21">
        <f t="shared" ref="M77:M140" si="73">G77*D77</f>
        <v>625</v>
      </c>
    </row>
    <row r="78" spans="1:13">
      <c r="E78" s="21">
        <f t="shared" si="1"/>
        <v>78</v>
      </c>
      <c r="F78" s="9" t="s">
        <v>142</v>
      </c>
      <c r="M78" s="21">
        <v>18800</v>
      </c>
    </row>
    <row r="79" spans="1:13">
      <c r="A79" s="21" t="s">
        <v>227</v>
      </c>
      <c r="B79" s="21">
        <f t="shared" ref="B79:B142" si="74">QUOTIENT( D79-1,$G$20)+1</f>
        <v>1</v>
      </c>
      <c r="C79" s="21">
        <f t="shared" ref="C79" si="75">D79-(B79-1)*$G$20</f>
        <v>26</v>
      </c>
      <c r="D79" s="21">
        <f>COUNT($D$20:$D78)+1</f>
        <v>26</v>
      </c>
      <c r="E79" s="21">
        <f t="shared" si="1"/>
        <v>79</v>
      </c>
      <c r="F79" s="9" t="s">
        <v>126</v>
      </c>
      <c r="G79" s="21">
        <v>25</v>
      </c>
      <c r="H79" s="21">
        <v>10</v>
      </c>
      <c r="M79" s="21">
        <f t="shared" ref="M79:M142" si="76">G79*D79</f>
        <v>650</v>
      </c>
    </row>
    <row r="80" spans="1:13">
      <c r="E80" s="21">
        <f t="shared" si="1"/>
        <v>80</v>
      </c>
      <c r="F80" s="9" t="s">
        <v>142</v>
      </c>
      <c r="M80" s="21">
        <v>18800</v>
      </c>
    </row>
    <row r="81" spans="1:13">
      <c r="A81" s="21" t="s">
        <v>227</v>
      </c>
      <c r="B81" s="21">
        <f t="shared" ref="B81:B144" si="77">QUOTIENT( D81-1,$G$20)+1</f>
        <v>1</v>
      </c>
      <c r="C81" s="21">
        <f t="shared" ref="C81" si="78">D81-(B81-1)*$G$20</f>
        <v>27</v>
      </c>
      <c r="D81" s="21">
        <f>COUNT($D$20:$D80)+1</f>
        <v>27</v>
      </c>
      <c r="E81" s="21">
        <f t="shared" si="1"/>
        <v>81</v>
      </c>
      <c r="F81" s="9" t="s">
        <v>126</v>
      </c>
      <c r="G81" s="21">
        <v>25</v>
      </c>
      <c r="H81" s="21">
        <v>10</v>
      </c>
      <c r="M81" s="21">
        <f t="shared" ref="M81:M144" si="79">G81*D81</f>
        <v>675</v>
      </c>
    </row>
    <row r="82" spans="1:13">
      <c r="E82" s="21">
        <f t="shared" si="1"/>
        <v>82</v>
      </c>
      <c r="F82" s="9" t="s">
        <v>142</v>
      </c>
      <c r="M82" s="21">
        <v>18800</v>
      </c>
    </row>
    <row r="83" spans="1:13">
      <c r="A83" s="21" t="s">
        <v>227</v>
      </c>
      <c r="B83" s="21">
        <f t="shared" ref="B83:B146" si="80">QUOTIENT( D83-1,$G$20)+1</f>
        <v>1</v>
      </c>
      <c r="C83" s="21">
        <f t="shared" ref="C83" si="81">D83-(B83-1)*$G$20</f>
        <v>28</v>
      </c>
      <c r="D83" s="21">
        <f>COUNT($D$20:$D82)+1</f>
        <v>28</v>
      </c>
      <c r="E83" s="21">
        <f t="shared" si="1"/>
        <v>83</v>
      </c>
      <c r="F83" s="9" t="s">
        <v>126</v>
      </c>
      <c r="G83" s="21">
        <v>25</v>
      </c>
      <c r="H83" s="21">
        <v>10</v>
      </c>
      <c r="M83" s="21">
        <f t="shared" ref="M83:M146" si="82">G83*D83</f>
        <v>700</v>
      </c>
    </row>
    <row r="84" spans="1:13">
      <c r="E84" s="21">
        <f t="shared" si="1"/>
        <v>84</v>
      </c>
      <c r="F84" s="9" t="s">
        <v>142</v>
      </c>
      <c r="M84" s="21">
        <v>18800</v>
      </c>
    </row>
    <row r="85" spans="1:13">
      <c r="A85" s="21" t="s">
        <v>227</v>
      </c>
      <c r="B85" s="21">
        <f t="shared" ref="B85:B148" si="83">QUOTIENT( D85-1,$G$20)+1</f>
        <v>1</v>
      </c>
      <c r="C85" s="21">
        <f t="shared" ref="C85" si="84">D85-(B85-1)*$G$20</f>
        <v>29</v>
      </c>
      <c r="D85" s="21">
        <f>COUNT($D$20:$D84)+1</f>
        <v>29</v>
      </c>
      <c r="E85" s="21">
        <f t="shared" si="1"/>
        <v>85</v>
      </c>
      <c r="F85" s="9" t="s">
        <v>126</v>
      </c>
      <c r="G85" s="21">
        <v>25</v>
      </c>
      <c r="H85" s="21">
        <v>10</v>
      </c>
      <c r="M85" s="21">
        <f t="shared" ref="M85:M148" si="85">G85*D85</f>
        <v>725</v>
      </c>
    </row>
    <row r="86" spans="1:13">
      <c r="E86" s="21">
        <f t="shared" si="1"/>
        <v>86</v>
      </c>
      <c r="F86" s="9" t="s">
        <v>142</v>
      </c>
      <c r="M86" s="21">
        <v>18800</v>
      </c>
    </row>
    <row r="87" spans="1:13">
      <c r="A87" s="21" t="s">
        <v>227</v>
      </c>
      <c r="B87" s="21">
        <f t="shared" ref="B87:B150" si="86">QUOTIENT( D87-1,$G$20)+1</f>
        <v>1</v>
      </c>
      <c r="C87" s="21">
        <f t="shared" ref="C87" si="87">D87-(B87-1)*$G$20</f>
        <v>30</v>
      </c>
      <c r="D87" s="21">
        <f>COUNT($D$20:$D86)+1</f>
        <v>30</v>
      </c>
      <c r="E87" s="21">
        <f t="shared" si="1"/>
        <v>87</v>
      </c>
      <c r="F87" s="9" t="s">
        <v>126</v>
      </c>
      <c r="G87" s="21">
        <v>25</v>
      </c>
      <c r="H87" s="21">
        <v>10</v>
      </c>
      <c r="M87" s="21">
        <f t="shared" ref="M87:M150" si="88">G87*D87</f>
        <v>750</v>
      </c>
    </row>
    <row r="88" spans="1:13">
      <c r="E88" s="21">
        <f t="shared" si="1"/>
        <v>88</v>
      </c>
      <c r="F88" s="9" t="s">
        <v>142</v>
      </c>
      <c r="M88" s="21">
        <v>18800</v>
      </c>
    </row>
    <row r="89" spans="1:13">
      <c r="A89" s="21" t="s">
        <v>227</v>
      </c>
      <c r="B89" s="21">
        <f t="shared" ref="B89:B152" si="89">QUOTIENT( D89-1,$G$20)+1</f>
        <v>2</v>
      </c>
      <c r="C89" s="21">
        <f t="shared" ref="C89" si="90">D89-(B89-1)*$G$20</f>
        <v>1</v>
      </c>
      <c r="D89" s="21">
        <f>COUNT($D$20:$D88)+1</f>
        <v>31</v>
      </c>
      <c r="E89" s="21">
        <f t="shared" si="1"/>
        <v>89</v>
      </c>
      <c r="F89" s="9" t="s">
        <v>126</v>
      </c>
      <c r="G89" s="21">
        <v>25</v>
      </c>
      <c r="H89" s="21">
        <v>10</v>
      </c>
      <c r="M89" s="21">
        <f t="shared" ref="M89:M152" si="91">G89*D89</f>
        <v>775</v>
      </c>
    </row>
    <row r="90" spans="1:13">
      <c r="E90" s="21">
        <f t="shared" si="1"/>
        <v>90</v>
      </c>
      <c r="F90" s="9" t="s">
        <v>142</v>
      </c>
      <c r="M90" s="21">
        <v>18800</v>
      </c>
    </row>
    <row r="91" spans="1:13">
      <c r="A91" s="21" t="s">
        <v>227</v>
      </c>
      <c r="B91" s="21">
        <f t="shared" ref="B91:B154" si="92">QUOTIENT( D91-1,$G$20)+1</f>
        <v>2</v>
      </c>
      <c r="C91" s="21">
        <f t="shared" ref="C91" si="93">D91-(B91-1)*$G$20</f>
        <v>2</v>
      </c>
      <c r="D91" s="21">
        <f>COUNT($D$20:$D90)+1</f>
        <v>32</v>
      </c>
      <c r="E91" s="21">
        <f t="shared" si="1"/>
        <v>91</v>
      </c>
      <c r="F91" s="9" t="s">
        <v>126</v>
      </c>
      <c r="G91" s="21">
        <v>25</v>
      </c>
      <c r="H91" s="21">
        <v>10</v>
      </c>
      <c r="M91" s="21">
        <f t="shared" ref="M91:M154" si="94">G91*D91</f>
        <v>800</v>
      </c>
    </row>
    <row r="92" spans="1:13">
      <c r="E92" s="21">
        <f t="shared" si="1"/>
        <v>92</v>
      </c>
      <c r="F92" s="9" t="s">
        <v>142</v>
      </c>
      <c r="M92" s="21">
        <v>18800</v>
      </c>
    </row>
    <row r="93" spans="1:13">
      <c r="A93" s="21" t="s">
        <v>227</v>
      </c>
      <c r="B93" s="21">
        <f t="shared" ref="B93:B156" si="95">QUOTIENT( D93-1,$G$20)+1</f>
        <v>2</v>
      </c>
      <c r="C93" s="21">
        <f t="shared" ref="C93" si="96">D93-(B93-1)*$G$20</f>
        <v>3</v>
      </c>
      <c r="D93" s="21">
        <f>COUNT($D$20:$D92)+1</f>
        <v>33</v>
      </c>
      <c r="E93" s="21">
        <f t="shared" si="1"/>
        <v>93</v>
      </c>
      <c r="F93" s="9" t="s">
        <v>126</v>
      </c>
      <c r="G93" s="21">
        <v>25</v>
      </c>
      <c r="H93" s="21">
        <v>10</v>
      </c>
      <c r="M93" s="21">
        <f t="shared" ref="M93:M156" si="97">G93*D93</f>
        <v>825</v>
      </c>
    </row>
    <row r="94" spans="1:13">
      <c r="E94" s="21">
        <f t="shared" ref="E94:E157" si="98">ROW(E94)</f>
        <v>94</v>
      </c>
      <c r="F94" s="9" t="s">
        <v>142</v>
      </c>
      <c r="M94" s="21">
        <v>18800</v>
      </c>
    </row>
    <row r="95" spans="1:13">
      <c r="A95" s="21" t="s">
        <v>227</v>
      </c>
      <c r="B95" s="21">
        <f t="shared" ref="B95:B158" si="99">QUOTIENT( D95-1,$G$20)+1</f>
        <v>2</v>
      </c>
      <c r="C95" s="21">
        <f t="shared" ref="C95" si="100">D95-(B95-1)*$G$20</f>
        <v>4</v>
      </c>
      <c r="D95" s="21">
        <f>COUNT($D$20:$D94)+1</f>
        <v>34</v>
      </c>
      <c r="E95" s="21">
        <f t="shared" si="98"/>
        <v>95</v>
      </c>
      <c r="F95" s="9" t="s">
        <v>126</v>
      </c>
      <c r="G95" s="21">
        <v>25</v>
      </c>
      <c r="H95" s="21">
        <v>10</v>
      </c>
      <c r="M95" s="21">
        <f t="shared" ref="M95:M158" si="101">G95*D95</f>
        <v>850</v>
      </c>
    </row>
    <row r="96" spans="1:13">
      <c r="E96" s="21">
        <f t="shared" si="98"/>
        <v>96</v>
      </c>
      <c r="F96" s="9" t="s">
        <v>142</v>
      </c>
      <c r="M96" s="21">
        <v>18800</v>
      </c>
    </row>
    <row r="97" spans="1:13">
      <c r="A97" s="21" t="s">
        <v>227</v>
      </c>
      <c r="B97" s="21">
        <f t="shared" ref="B97:B160" si="102">QUOTIENT( D97-1,$G$20)+1</f>
        <v>2</v>
      </c>
      <c r="C97" s="21">
        <f t="shared" ref="C97" si="103">D97-(B97-1)*$G$20</f>
        <v>5</v>
      </c>
      <c r="D97" s="21">
        <f>COUNT($D$20:$D96)+1</f>
        <v>35</v>
      </c>
      <c r="E97" s="21">
        <f t="shared" si="98"/>
        <v>97</v>
      </c>
      <c r="F97" s="9" t="s">
        <v>126</v>
      </c>
      <c r="G97" s="21">
        <v>25</v>
      </c>
      <c r="H97" s="21">
        <v>10</v>
      </c>
      <c r="M97" s="21">
        <f t="shared" ref="M97:M160" si="104">G97*D97</f>
        <v>875</v>
      </c>
    </row>
    <row r="98" spans="1:13">
      <c r="E98" s="21">
        <f t="shared" si="98"/>
        <v>98</v>
      </c>
      <c r="F98" s="9" t="s">
        <v>142</v>
      </c>
      <c r="M98" s="21">
        <v>18800</v>
      </c>
    </row>
    <row r="99" spans="1:13">
      <c r="A99" s="21" t="s">
        <v>227</v>
      </c>
      <c r="B99" s="21">
        <f t="shared" ref="B99:B162" si="105">QUOTIENT( D99-1,$G$20)+1</f>
        <v>2</v>
      </c>
      <c r="C99" s="21">
        <f t="shared" ref="C99" si="106">D99-(B99-1)*$G$20</f>
        <v>6</v>
      </c>
      <c r="D99" s="21">
        <f>COUNT($D$20:$D98)+1</f>
        <v>36</v>
      </c>
      <c r="E99" s="21">
        <f t="shared" si="98"/>
        <v>99</v>
      </c>
      <c r="F99" s="9" t="s">
        <v>126</v>
      </c>
      <c r="G99" s="21">
        <v>25</v>
      </c>
      <c r="H99" s="21">
        <v>10</v>
      </c>
      <c r="M99" s="21">
        <f t="shared" ref="M99:M162" si="107">G99*D99</f>
        <v>900</v>
      </c>
    </row>
    <row r="100" spans="1:13">
      <c r="E100" s="21">
        <f t="shared" si="98"/>
        <v>100</v>
      </c>
      <c r="F100" s="9" t="s">
        <v>142</v>
      </c>
      <c r="M100" s="21">
        <v>18800</v>
      </c>
    </row>
    <row r="101" spans="1:13">
      <c r="A101" s="21" t="s">
        <v>227</v>
      </c>
      <c r="B101" s="21">
        <f t="shared" ref="B101:B164" si="108">QUOTIENT( D101-1,$G$20)+1</f>
        <v>2</v>
      </c>
      <c r="C101" s="21">
        <f t="shared" ref="C101" si="109">D101-(B101-1)*$G$20</f>
        <v>7</v>
      </c>
      <c r="D101" s="21">
        <f>COUNT($D$20:$D100)+1</f>
        <v>37</v>
      </c>
      <c r="E101" s="21">
        <f t="shared" si="98"/>
        <v>101</v>
      </c>
      <c r="F101" s="9" t="s">
        <v>126</v>
      </c>
      <c r="G101" s="21">
        <v>25</v>
      </c>
      <c r="H101" s="21">
        <v>10</v>
      </c>
      <c r="M101" s="21">
        <f t="shared" ref="M101:M164" si="110">G101*D101</f>
        <v>925</v>
      </c>
    </row>
    <row r="102" spans="1:13">
      <c r="E102" s="21">
        <f t="shared" si="98"/>
        <v>102</v>
      </c>
      <c r="F102" s="9" t="s">
        <v>142</v>
      </c>
      <c r="M102" s="21">
        <v>18800</v>
      </c>
    </row>
    <row r="103" spans="1:13">
      <c r="A103" s="21" t="s">
        <v>227</v>
      </c>
      <c r="B103" s="21">
        <f t="shared" ref="B103:B166" si="111">QUOTIENT( D103-1,$G$20)+1</f>
        <v>2</v>
      </c>
      <c r="C103" s="21">
        <f t="shared" ref="C103" si="112">D103-(B103-1)*$G$20</f>
        <v>8</v>
      </c>
      <c r="D103" s="21">
        <f>COUNT($D$20:$D102)+1</f>
        <v>38</v>
      </c>
      <c r="E103" s="21">
        <f t="shared" si="98"/>
        <v>103</v>
      </c>
      <c r="F103" s="9" t="s">
        <v>126</v>
      </c>
      <c r="G103" s="21">
        <v>25</v>
      </c>
      <c r="H103" s="21">
        <v>10</v>
      </c>
      <c r="M103" s="21">
        <f t="shared" ref="M103:M166" si="113">G103*D103</f>
        <v>950</v>
      </c>
    </row>
    <row r="104" spans="1:13">
      <c r="E104" s="21">
        <f t="shared" si="98"/>
        <v>104</v>
      </c>
      <c r="F104" s="9" t="s">
        <v>142</v>
      </c>
      <c r="M104" s="21">
        <v>18800</v>
      </c>
    </row>
    <row r="105" spans="1:13">
      <c r="A105" s="21" t="s">
        <v>227</v>
      </c>
      <c r="B105" s="21">
        <f t="shared" ref="B105:B168" si="114">QUOTIENT( D105-1,$G$20)+1</f>
        <v>2</v>
      </c>
      <c r="C105" s="21">
        <f t="shared" ref="C105" si="115">D105-(B105-1)*$G$20</f>
        <v>9</v>
      </c>
      <c r="D105" s="21">
        <f>COUNT($D$20:$D104)+1</f>
        <v>39</v>
      </c>
      <c r="E105" s="21">
        <f t="shared" si="98"/>
        <v>105</v>
      </c>
      <c r="F105" s="9" t="s">
        <v>126</v>
      </c>
      <c r="G105" s="21">
        <v>25</v>
      </c>
      <c r="H105" s="21">
        <v>10</v>
      </c>
      <c r="M105" s="21">
        <f t="shared" ref="M105:M168" si="116">G105*D105</f>
        <v>975</v>
      </c>
    </row>
    <row r="106" spans="1:13">
      <c r="E106" s="21">
        <f t="shared" si="98"/>
        <v>106</v>
      </c>
      <c r="F106" s="9" t="s">
        <v>142</v>
      </c>
      <c r="M106" s="21">
        <v>18800</v>
      </c>
    </row>
    <row r="107" spans="1:13">
      <c r="A107" s="21" t="s">
        <v>227</v>
      </c>
      <c r="B107" s="21">
        <f t="shared" ref="B107:B170" si="117">QUOTIENT( D107-1,$G$20)+1</f>
        <v>2</v>
      </c>
      <c r="C107" s="21">
        <f t="shared" ref="C107" si="118">D107-(B107-1)*$G$20</f>
        <v>10</v>
      </c>
      <c r="D107" s="21">
        <f>COUNT($D$20:$D106)+1</f>
        <v>40</v>
      </c>
      <c r="E107" s="21">
        <f t="shared" si="98"/>
        <v>107</v>
      </c>
      <c r="F107" s="9" t="s">
        <v>126</v>
      </c>
      <c r="G107" s="21">
        <v>25</v>
      </c>
      <c r="H107" s="21">
        <v>10</v>
      </c>
      <c r="M107" s="21">
        <f t="shared" ref="M107:M170" si="119">G107*D107</f>
        <v>1000</v>
      </c>
    </row>
    <row r="108" spans="1:13">
      <c r="E108" s="21">
        <f t="shared" si="98"/>
        <v>108</v>
      </c>
      <c r="F108" s="9" t="s">
        <v>142</v>
      </c>
      <c r="M108" s="21">
        <v>18800</v>
      </c>
    </row>
    <row r="109" spans="1:13">
      <c r="A109" s="21" t="s">
        <v>227</v>
      </c>
      <c r="B109" s="21">
        <f t="shared" ref="B109:B172" si="120">QUOTIENT( D109-1,$G$20)+1</f>
        <v>2</v>
      </c>
      <c r="C109" s="21">
        <f t="shared" ref="C109" si="121">D109-(B109-1)*$G$20</f>
        <v>11</v>
      </c>
      <c r="D109" s="21">
        <f>COUNT($D$20:$D108)+1</f>
        <v>41</v>
      </c>
      <c r="E109" s="21">
        <f t="shared" si="98"/>
        <v>109</v>
      </c>
      <c r="F109" s="9" t="s">
        <v>126</v>
      </c>
      <c r="G109" s="21">
        <v>25</v>
      </c>
      <c r="H109" s="21">
        <v>10</v>
      </c>
      <c r="M109" s="21">
        <f t="shared" ref="M109:M172" si="122">G109*D109</f>
        <v>1025</v>
      </c>
    </row>
    <row r="110" spans="1:13">
      <c r="E110" s="21">
        <f t="shared" si="98"/>
        <v>110</v>
      </c>
      <c r="F110" s="9" t="s">
        <v>142</v>
      </c>
      <c r="M110" s="21">
        <v>18800</v>
      </c>
    </row>
    <row r="111" spans="1:13">
      <c r="A111" s="21" t="s">
        <v>227</v>
      </c>
      <c r="B111" s="21">
        <f t="shared" ref="B111:B174" si="123">QUOTIENT( D111-1,$G$20)+1</f>
        <v>2</v>
      </c>
      <c r="C111" s="21">
        <f t="shared" ref="C111" si="124">D111-(B111-1)*$G$20</f>
        <v>12</v>
      </c>
      <c r="D111" s="21">
        <f>COUNT($D$20:$D110)+1</f>
        <v>42</v>
      </c>
      <c r="E111" s="21">
        <f t="shared" si="98"/>
        <v>111</v>
      </c>
      <c r="F111" s="9" t="s">
        <v>126</v>
      </c>
      <c r="G111" s="21">
        <v>25</v>
      </c>
      <c r="H111" s="21">
        <v>10</v>
      </c>
      <c r="M111" s="21">
        <f t="shared" ref="M111:M174" si="125">G111*D111</f>
        <v>1050</v>
      </c>
    </row>
    <row r="112" spans="1:13">
      <c r="E112" s="21">
        <f t="shared" si="98"/>
        <v>112</v>
      </c>
      <c r="F112" s="9" t="s">
        <v>142</v>
      </c>
      <c r="M112" s="21">
        <v>18800</v>
      </c>
    </row>
    <row r="113" spans="1:13">
      <c r="A113" s="21" t="s">
        <v>227</v>
      </c>
      <c r="B113" s="21">
        <f t="shared" ref="B113:B176" si="126">QUOTIENT( D113-1,$G$20)+1</f>
        <v>2</v>
      </c>
      <c r="C113" s="21">
        <f t="shared" ref="C113" si="127">D113-(B113-1)*$G$20</f>
        <v>13</v>
      </c>
      <c r="D113" s="21">
        <f>COUNT($D$20:$D112)+1</f>
        <v>43</v>
      </c>
      <c r="E113" s="21">
        <f t="shared" si="98"/>
        <v>113</v>
      </c>
      <c r="F113" s="9" t="s">
        <v>126</v>
      </c>
      <c r="G113" s="21">
        <v>25</v>
      </c>
      <c r="H113" s="21">
        <v>10</v>
      </c>
      <c r="M113" s="21">
        <f t="shared" ref="M113:M176" si="128">G113*D113</f>
        <v>1075</v>
      </c>
    </row>
    <row r="114" spans="1:13">
      <c r="E114" s="21">
        <f t="shared" si="98"/>
        <v>114</v>
      </c>
      <c r="F114" s="9" t="s">
        <v>142</v>
      </c>
      <c r="M114" s="21">
        <v>18800</v>
      </c>
    </row>
    <row r="115" spans="1:13">
      <c r="A115" s="21" t="s">
        <v>227</v>
      </c>
      <c r="B115" s="21">
        <f t="shared" ref="B115:B178" si="129">QUOTIENT( D115-1,$G$20)+1</f>
        <v>2</v>
      </c>
      <c r="C115" s="21">
        <f t="shared" ref="C115" si="130">D115-(B115-1)*$G$20</f>
        <v>14</v>
      </c>
      <c r="D115" s="21">
        <f>COUNT($D$20:$D114)+1</f>
        <v>44</v>
      </c>
      <c r="E115" s="21">
        <f t="shared" si="98"/>
        <v>115</v>
      </c>
      <c r="F115" s="9" t="s">
        <v>126</v>
      </c>
      <c r="G115" s="21">
        <v>25</v>
      </c>
      <c r="H115" s="21">
        <v>10</v>
      </c>
      <c r="M115" s="21">
        <f t="shared" ref="M115:M178" si="131">G115*D115</f>
        <v>1100</v>
      </c>
    </row>
    <row r="116" spans="1:13">
      <c r="E116" s="21">
        <f t="shared" si="98"/>
        <v>116</v>
      </c>
      <c r="F116" s="9" t="s">
        <v>142</v>
      </c>
      <c r="M116" s="21">
        <v>18800</v>
      </c>
    </row>
    <row r="117" spans="1:13">
      <c r="A117" s="21" t="s">
        <v>227</v>
      </c>
      <c r="B117" s="21">
        <f t="shared" ref="B117:B180" si="132">QUOTIENT( D117-1,$G$20)+1</f>
        <v>2</v>
      </c>
      <c r="C117" s="21">
        <f t="shared" ref="C117" si="133">D117-(B117-1)*$G$20</f>
        <v>15</v>
      </c>
      <c r="D117" s="21">
        <f>COUNT($D$20:$D116)+1</f>
        <v>45</v>
      </c>
      <c r="E117" s="21">
        <f t="shared" si="98"/>
        <v>117</v>
      </c>
      <c r="F117" s="9" t="s">
        <v>126</v>
      </c>
      <c r="G117" s="21">
        <v>25</v>
      </c>
      <c r="H117" s="21">
        <v>10</v>
      </c>
      <c r="M117" s="21">
        <f t="shared" ref="M117:M180" si="134">G117*D117</f>
        <v>1125</v>
      </c>
    </row>
    <row r="118" spans="1:13">
      <c r="E118" s="21">
        <f t="shared" si="98"/>
        <v>118</v>
      </c>
      <c r="F118" s="9" t="s">
        <v>142</v>
      </c>
      <c r="M118" s="21">
        <v>18800</v>
      </c>
    </row>
    <row r="119" spans="1:13">
      <c r="A119" s="21" t="s">
        <v>227</v>
      </c>
      <c r="B119" s="21">
        <f t="shared" ref="B119:B182" si="135">QUOTIENT( D119-1,$G$20)+1</f>
        <v>2</v>
      </c>
      <c r="C119" s="21">
        <f t="shared" ref="C119" si="136">D119-(B119-1)*$G$20</f>
        <v>16</v>
      </c>
      <c r="D119" s="21">
        <f>COUNT($D$20:$D118)+1</f>
        <v>46</v>
      </c>
      <c r="E119" s="21">
        <f t="shared" si="98"/>
        <v>119</v>
      </c>
      <c r="F119" s="9" t="s">
        <v>126</v>
      </c>
      <c r="G119" s="21">
        <v>25</v>
      </c>
      <c r="H119" s="21">
        <v>10</v>
      </c>
      <c r="M119" s="21">
        <f t="shared" ref="M119:M182" si="137">G119*D119</f>
        <v>1150</v>
      </c>
    </row>
    <row r="120" spans="1:13">
      <c r="E120" s="21">
        <f t="shared" si="98"/>
        <v>120</v>
      </c>
      <c r="F120" s="9" t="s">
        <v>142</v>
      </c>
      <c r="M120" s="21">
        <v>18800</v>
      </c>
    </row>
    <row r="121" spans="1:13">
      <c r="A121" s="21" t="s">
        <v>227</v>
      </c>
      <c r="B121" s="21">
        <f t="shared" ref="B121:B184" si="138">QUOTIENT( D121-1,$G$20)+1</f>
        <v>2</v>
      </c>
      <c r="C121" s="21">
        <f t="shared" ref="C121" si="139">D121-(B121-1)*$G$20</f>
        <v>17</v>
      </c>
      <c r="D121" s="21">
        <f>COUNT($D$20:$D120)+1</f>
        <v>47</v>
      </c>
      <c r="E121" s="21">
        <f t="shared" si="98"/>
        <v>121</v>
      </c>
      <c r="F121" s="9" t="s">
        <v>126</v>
      </c>
      <c r="G121" s="21">
        <v>25</v>
      </c>
      <c r="H121" s="21">
        <v>10</v>
      </c>
      <c r="M121" s="21">
        <f t="shared" ref="M121:M184" si="140">G121*D121</f>
        <v>1175</v>
      </c>
    </row>
    <row r="122" spans="1:13">
      <c r="E122" s="21">
        <f t="shared" si="98"/>
        <v>122</v>
      </c>
      <c r="F122" s="9" t="s">
        <v>142</v>
      </c>
      <c r="M122" s="21">
        <v>18800</v>
      </c>
    </row>
    <row r="123" spans="1:13">
      <c r="A123" s="21" t="s">
        <v>227</v>
      </c>
      <c r="B123" s="21">
        <f t="shared" ref="B123:B186" si="141">QUOTIENT( D123-1,$G$20)+1</f>
        <v>2</v>
      </c>
      <c r="C123" s="21">
        <f t="shared" ref="C123" si="142">D123-(B123-1)*$G$20</f>
        <v>18</v>
      </c>
      <c r="D123" s="21">
        <f>COUNT($D$20:$D122)+1</f>
        <v>48</v>
      </c>
      <c r="E123" s="21">
        <f t="shared" si="98"/>
        <v>123</v>
      </c>
      <c r="F123" s="9" t="s">
        <v>126</v>
      </c>
      <c r="G123" s="21">
        <v>25</v>
      </c>
      <c r="H123" s="21">
        <v>10</v>
      </c>
      <c r="M123" s="21">
        <f t="shared" ref="M123:M186" si="143">G123*D123</f>
        <v>1200</v>
      </c>
    </row>
    <row r="124" spans="1:13">
      <c r="E124" s="21">
        <f t="shared" si="98"/>
        <v>124</v>
      </c>
      <c r="F124" s="9" t="s">
        <v>142</v>
      </c>
      <c r="M124" s="21">
        <v>18800</v>
      </c>
    </row>
    <row r="125" spans="1:13">
      <c r="A125" s="21" t="s">
        <v>227</v>
      </c>
      <c r="B125" s="21">
        <f t="shared" ref="B125:B188" si="144">QUOTIENT( D125-1,$G$20)+1</f>
        <v>2</v>
      </c>
      <c r="C125" s="21">
        <f t="shared" ref="C125" si="145">D125-(B125-1)*$G$20</f>
        <v>19</v>
      </c>
      <c r="D125" s="21">
        <f>COUNT($D$20:$D124)+1</f>
        <v>49</v>
      </c>
      <c r="E125" s="21">
        <f t="shared" si="98"/>
        <v>125</v>
      </c>
      <c r="F125" s="9" t="s">
        <v>126</v>
      </c>
      <c r="G125" s="21">
        <v>25</v>
      </c>
      <c r="H125" s="21">
        <v>10</v>
      </c>
      <c r="M125" s="21">
        <f t="shared" ref="M125:M188" si="146">G125*D125</f>
        <v>1225</v>
      </c>
    </row>
    <row r="126" spans="1:13">
      <c r="E126" s="21">
        <f t="shared" si="98"/>
        <v>126</v>
      </c>
      <c r="F126" s="9" t="s">
        <v>142</v>
      </c>
      <c r="M126" s="21">
        <v>18800</v>
      </c>
    </row>
    <row r="127" spans="1:13">
      <c r="A127" s="21" t="s">
        <v>227</v>
      </c>
      <c r="B127" s="21">
        <f t="shared" ref="B127:B190" si="147">QUOTIENT( D127-1,$G$20)+1</f>
        <v>2</v>
      </c>
      <c r="C127" s="21">
        <f t="shared" ref="C127" si="148">D127-(B127-1)*$G$20</f>
        <v>20</v>
      </c>
      <c r="D127" s="21">
        <f>COUNT($D$20:$D126)+1</f>
        <v>50</v>
      </c>
      <c r="E127" s="21">
        <f t="shared" si="98"/>
        <v>127</v>
      </c>
      <c r="F127" s="9" t="s">
        <v>126</v>
      </c>
      <c r="G127" s="21">
        <v>25</v>
      </c>
      <c r="H127" s="21">
        <v>10</v>
      </c>
      <c r="M127" s="21">
        <f t="shared" ref="M127:M190" si="149">G127*D127</f>
        <v>1250</v>
      </c>
    </row>
    <row r="128" spans="1:13">
      <c r="E128" s="21">
        <f t="shared" si="98"/>
        <v>128</v>
      </c>
      <c r="F128" s="9" t="s">
        <v>142</v>
      </c>
      <c r="M128" s="21">
        <v>18800</v>
      </c>
    </row>
    <row r="129" spans="1:13">
      <c r="A129" s="21" t="s">
        <v>227</v>
      </c>
      <c r="B129" s="21">
        <f t="shared" ref="B129:B160" si="150">QUOTIENT( D129-1,$G$20)+1</f>
        <v>2</v>
      </c>
      <c r="C129" s="21">
        <f t="shared" ref="C129" si="151">D129-(B129-1)*$G$20</f>
        <v>21</v>
      </c>
      <c r="D129" s="21">
        <f>COUNT($D$20:$D128)+1</f>
        <v>51</v>
      </c>
      <c r="E129" s="21">
        <f t="shared" si="98"/>
        <v>129</v>
      </c>
      <c r="F129" s="9" t="s">
        <v>126</v>
      </c>
      <c r="G129" s="21">
        <v>25</v>
      </c>
      <c r="H129" s="21">
        <v>10</v>
      </c>
      <c r="M129" s="21">
        <f t="shared" ref="M129:M160" si="152">G129*D129</f>
        <v>1275</v>
      </c>
    </row>
    <row r="130" spans="1:13">
      <c r="E130" s="21">
        <f t="shared" si="98"/>
        <v>130</v>
      </c>
      <c r="F130" s="9" t="s">
        <v>142</v>
      </c>
      <c r="M130" s="21">
        <v>18800</v>
      </c>
    </row>
    <row r="131" spans="1:13">
      <c r="A131" s="21" t="s">
        <v>227</v>
      </c>
      <c r="B131" s="21">
        <f t="shared" ref="B131:B162" si="153">QUOTIENT( D131-1,$G$20)+1</f>
        <v>2</v>
      </c>
      <c r="C131" s="21">
        <f t="shared" ref="C131" si="154">D131-(B131-1)*$G$20</f>
        <v>22</v>
      </c>
      <c r="D131" s="21">
        <f>COUNT($D$20:$D130)+1</f>
        <v>52</v>
      </c>
      <c r="E131" s="21">
        <f t="shared" si="98"/>
        <v>131</v>
      </c>
      <c r="F131" s="9" t="s">
        <v>126</v>
      </c>
      <c r="G131" s="21">
        <v>25</v>
      </c>
      <c r="H131" s="21">
        <v>10</v>
      </c>
      <c r="M131" s="21">
        <f t="shared" ref="M131:M162" si="155">G131*D131</f>
        <v>1300</v>
      </c>
    </row>
    <row r="132" spans="1:13">
      <c r="E132" s="21">
        <f t="shared" si="98"/>
        <v>132</v>
      </c>
      <c r="F132" s="9" t="s">
        <v>142</v>
      </c>
      <c r="M132" s="21">
        <v>18800</v>
      </c>
    </row>
    <row r="133" spans="1:13">
      <c r="A133" s="21" t="s">
        <v>227</v>
      </c>
      <c r="B133" s="21">
        <f t="shared" ref="B133:B164" si="156">QUOTIENT( D133-1,$G$20)+1</f>
        <v>2</v>
      </c>
      <c r="C133" s="21">
        <f t="shared" ref="C133" si="157">D133-(B133-1)*$G$20</f>
        <v>23</v>
      </c>
      <c r="D133" s="21">
        <f>COUNT($D$20:$D132)+1</f>
        <v>53</v>
      </c>
      <c r="E133" s="21">
        <f t="shared" si="98"/>
        <v>133</v>
      </c>
      <c r="F133" s="9" t="s">
        <v>126</v>
      </c>
      <c r="G133" s="21">
        <v>25</v>
      </c>
      <c r="H133" s="21">
        <v>10</v>
      </c>
      <c r="M133" s="21">
        <f t="shared" ref="M133:M164" si="158">G133*D133</f>
        <v>1325</v>
      </c>
    </row>
    <row r="134" spans="1:13">
      <c r="E134" s="21">
        <f t="shared" si="98"/>
        <v>134</v>
      </c>
      <c r="F134" s="9" t="s">
        <v>142</v>
      </c>
      <c r="M134" s="21">
        <v>18800</v>
      </c>
    </row>
    <row r="135" spans="1:13">
      <c r="A135" s="21" t="s">
        <v>227</v>
      </c>
      <c r="B135" s="21">
        <f t="shared" ref="B135:B166" si="159">QUOTIENT( D135-1,$G$20)+1</f>
        <v>2</v>
      </c>
      <c r="C135" s="21">
        <f t="shared" ref="C135" si="160">D135-(B135-1)*$G$20</f>
        <v>24</v>
      </c>
      <c r="D135" s="21">
        <f>COUNT($D$20:$D134)+1</f>
        <v>54</v>
      </c>
      <c r="E135" s="21">
        <f t="shared" si="98"/>
        <v>135</v>
      </c>
      <c r="F135" s="9" t="s">
        <v>126</v>
      </c>
      <c r="G135" s="21">
        <v>25</v>
      </c>
      <c r="H135" s="21">
        <v>10</v>
      </c>
      <c r="M135" s="21">
        <f t="shared" ref="M135:M166" si="161">G135*D135</f>
        <v>1350</v>
      </c>
    </row>
    <row r="136" spans="1:13">
      <c r="E136" s="21">
        <f t="shared" si="98"/>
        <v>136</v>
      </c>
      <c r="F136" s="9" t="s">
        <v>142</v>
      </c>
      <c r="M136" s="21">
        <v>18800</v>
      </c>
    </row>
    <row r="137" spans="1:13">
      <c r="A137" s="21" t="s">
        <v>227</v>
      </c>
      <c r="B137" s="21">
        <f t="shared" ref="B137:B168" si="162">QUOTIENT( D137-1,$G$20)+1</f>
        <v>2</v>
      </c>
      <c r="C137" s="21">
        <f t="shared" ref="C137" si="163">D137-(B137-1)*$G$20</f>
        <v>25</v>
      </c>
      <c r="D137" s="21">
        <f>COUNT($D$20:$D136)+1</f>
        <v>55</v>
      </c>
      <c r="E137" s="21">
        <f t="shared" si="98"/>
        <v>137</v>
      </c>
      <c r="F137" s="9" t="s">
        <v>126</v>
      </c>
      <c r="G137" s="21">
        <v>25</v>
      </c>
      <c r="H137" s="21">
        <v>10</v>
      </c>
      <c r="M137" s="21">
        <f t="shared" ref="M137:M168" si="164">G137*D137</f>
        <v>1375</v>
      </c>
    </row>
    <row r="138" spans="1:13">
      <c r="E138" s="21">
        <f t="shared" si="98"/>
        <v>138</v>
      </c>
      <c r="F138" s="9" t="s">
        <v>142</v>
      </c>
      <c r="M138" s="21">
        <v>18800</v>
      </c>
    </row>
    <row r="139" spans="1:13">
      <c r="A139" s="21" t="s">
        <v>227</v>
      </c>
      <c r="B139" s="21">
        <f t="shared" ref="B139:B170" si="165">QUOTIENT( D139-1,$G$20)+1</f>
        <v>2</v>
      </c>
      <c r="C139" s="21">
        <f t="shared" ref="C139" si="166">D139-(B139-1)*$G$20</f>
        <v>26</v>
      </c>
      <c r="D139" s="21">
        <f>COUNT($D$20:$D138)+1</f>
        <v>56</v>
      </c>
      <c r="E139" s="21">
        <f t="shared" si="98"/>
        <v>139</v>
      </c>
      <c r="F139" s="9" t="s">
        <v>126</v>
      </c>
      <c r="G139" s="21">
        <v>25</v>
      </c>
      <c r="H139" s="21">
        <v>10</v>
      </c>
      <c r="M139" s="21">
        <f t="shared" ref="M139:M170" si="167">G139*D139</f>
        <v>1400</v>
      </c>
    </row>
    <row r="140" spans="1:13">
      <c r="E140" s="21">
        <f t="shared" si="98"/>
        <v>140</v>
      </c>
      <c r="F140" s="9" t="s">
        <v>142</v>
      </c>
      <c r="M140" s="21">
        <v>18800</v>
      </c>
    </row>
    <row r="141" spans="1:13">
      <c r="A141" s="21" t="s">
        <v>227</v>
      </c>
      <c r="B141" s="21">
        <f t="shared" ref="B141:B172" si="168">QUOTIENT( D141-1,$G$20)+1</f>
        <v>2</v>
      </c>
      <c r="C141" s="21">
        <f t="shared" ref="C141" si="169">D141-(B141-1)*$G$20</f>
        <v>27</v>
      </c>
      <c r="D141" s="21">
        <f>COUNT($D$20:$D140)+1</f>
        <v>57</v>
      </c>
      <c r="E141" s="21">
        <f t="shared" si="98"/>
        <v>141</v>
      </c>
      <c r="F141" s="9" t="s">
        <v>126</v>
      </c>
      <c r="G141" s="21">
        <v>25</v>
      </c>
      <c r="H141" s="21">
        <v>10</v>
      </c>
      <c r="M141" s="21">
        <f t="shared" ref="M141:M172" si="170">G141*D141</f>
        <v>1425</v>
      </c>
    </row>
    <row r="142" spans="1:13">
      <c r="E142" s="21">
        <f t="shared" si="98"/>
        <v>142</v>
      </c>
      <c r="F142" s="9" t="s">
        <v>142</v>
      </c>
      <c r="M142" s="21">
        <v>18800</v>
      </c>
    </row>
    <row r="143" spans="1:13">
      <c r="A143" s="21" t="s">
        <v>227</v>
      </c>
      <c r="B143" s="21">
        <f t="shared" ref="B143:B174" si="171">QUOTIENT( D143-1,$G$20)+1</f>
        <v>2</v>
      </c>
      <c r="C143" s="21">
        <f t="shared" ref="C143" si="172">D143-(B143-1)*$G$20</f>
        <v>28</v>
      </c>
      <c r="D143" s="21">
        <f>COUNT($D$20:$D142)+1</f>
        <v>58</v>
      </c>
      <c r="E143" s="21">
        <f t="shared" si="98"/>
        <v>143</v>
      </c>
      <c r="F143" s="9" t="s">
        <v>126</v>
      </c>
      <c r="G143" s="21">
        <v>25</v>
      </c>
      <c r="H143" s="21">
        <v>10</v>
      </c>
      <c r="M143" s="21">
        <f t="shared" ref="M143:M174" si="173">G143*D143</f>
        <v>1450</v>
      </c>
    </row>
    <row r="144" spans="1:13">
      <c r="E144" s="21">
        <f t="shared" si="98"/>
        <v>144</v>
      </c>
      <c r="F144" s="9" t="s">
        <v>142</v>
      </c>
      <c r="M144" s="21">
        <v>18800</v>
      </c>
    </row>
    <row r="145" spans="1:13">
      <c r="A145" s="21" t="s">
        <v>227</v>
      </c>
      <c r="B145" s="21">
        <f t="shared" ref="B145:B176" si="174">QUOTIENT( D145-1,$G$20)+1</f>
        <v>2</v>
      </c>
      <c r="C145" s="21">
        <f t="shared" ref="C145" si="175">D145-(B145-1)*$G$20</f>
        <v>29</v>
      </c>
      <c r="D145" s="21">
        <f>COUNT($D$20:$D144)+1</f>
        <v>59</v>
      </c>
      <c r="E145" s="21">
        <f t="shared" si="98"/>
        <v>145</v>
      </c>
      <c r="F145" s="9" t="s">
        <v>126</v>
      </c>
      <c r="G145" s="21">
        <v>25</v>
      </c>
      <c r="H145" s="21">
        <v>10</v>
      </c>
      <c r="M145" s="21">
        <f t="shared" ref="M145:M176" si="176">G145*D145</f>
        <v>1475</v>
      </c>
    </row>
    <row r="146" spans="1:13">
      <c r="E146" s="21">
        <f t="shared" si="98"/>
        <v>146</v>
      </c>
      <c r="F146" s="9" t="s">
        <v>142</v>
      </c>
      <c r="M146" s="21">
        <v>18800</v>
      </c>
    </row>
    <row r="147" spans="1:13">
      <c r="A147" s="21" t="s">
        <v>227</v>
      </c>
      <c r="B147" s="21">
        <f t="shared" ref="B147:B178" si="177">QUOTIENT( D147-1,$G$20)+1</f>
        <v>2</v>
      </c>
      <c r="C147" s="21">
        <f t="shared" ref="C147" si="178">D147-(B147-1)*$G$20</f>
        <v>30</v>
      </c>
      <c r="D147" s="21">
        <f>COUNT($D$20:$D146)+1</f>
        <v>60</v>
      </c>
      <c r="E147" s="21">
        <f t="shared" si="98"/>
        <v>147</v>
      </c>
      <c r="F147" s="9" t="s">
        <v>126</v>
      </c>
      <c r="G147" s="21">
        <v>25</v>
      </c>
      <c r="H147" s="21">
        <v>10</v>
      </c>
      <c r="M147" s="21">
        <f t="shared" ref="M147:M178" si="179">G147*D147</f>
        <v>1500</v>
      </c>
    </row>
    <row r="148" spans="1:13">
      <c r="E148" s="21">
        <f t="shared" si="98"/>
        <v>148</v>
      </c>
      <c r="F148" s="9" t="s">
        <v>142</v>
      </c>
      <c r="M148" s="21">
        <v>18800</v>
      </c>
    </row>
    <row r="149" spans="1:13">
      <c r="A149" s="21" t="s">
        <v>227</v>
      </c>
      <c r="B149" s="21">
        <f t="shared" ref="B149:B180" si="180">QUOTIENT( D149-1,$G$20)+1</f>
        <v>3</v>
      </c>
      <c r="C149" s="21">
        <f t="shared" ref="C149" si="181">D149-(B149-1)*$G$20</f>
        <v>1</v>
      </c>
      <c r="D149" s="21">
        <f>COUNT($D$20:$D148)+1</f>
        <v>61</v>
      </c>
      <c r="E149" s="21">
        <f t="shared" si="98"/>
        <v>149</v>
      </c>
      <c r="F149" s="9" t="s">
        <v>126</v>
      </c>
      <c r="G149" s="21">
        <v>25</v>
      </c>
      <c r="H149" s="21">
        <v>10</v>
      </c>
      <c r="M149" s="21">
        <f t="shared" ref="M149:M180" si="182">G149*D149</f>
        <v>1525</v>
      </c>
    </row>
    <row r="150" spans="1:13">
      <c r="E150" s="21">
        <f t="shared" si="98"/>
        <v>150</v>
      </c>
      <c r="F150" s="9" t="s">
        <v>142</v>
      </c>
      <c r="M150" s="21">
        <v>18800</v>
      </c>
    </row>
    <row r="151" spans="1:13">
      <c r="A151" s="21" t="s">
        <v>227</v>
      </c>
      <c r="B151" s="21">
        <f t="shared" ref="B151:B182" si="183">QUOTIENT( D151-1,$G$20)+1</f>
        <v>3</v>
      </c>
      <c r="C151" s="21">
        <f t="shared" ref="C151" si="184">D151-(B151-1)*$G$20</f>
        <v>2</v>
      </c>
      <c r="D151" s="21">
        <f>COUNT($D$20:$D150)+1</f>
        <v>62</v>
      </c>
      <c r="E151" s="21">
        <f t="shared" si="98"/>
        <v>151</v>
      </c>
      <c r="F151" s="9" t="s">
        <v>126</v>
      </c>
      <c r="G151" s="21">
        <v>25</v>
      </c>
      <c r="H151" s="21">
        <v>10</v>
      </c>
      <c r="M151" s="21">
        <f t="shared" ref="M151:M182" si="185">G151*D151</f>
        <v>1550</v>
      </c>
    </row>
    <row r="152" spans="1:13">
      <c r="E152" s="21">
        <f t="shared" si="98"/>
        <v>152</v>
      </c>
      <c r="F152" s="9" t="s">
        <v>142</v>
      </c>
      <c r="M152" s="21">
        <v>18800</v>
      </c>
    </row>
    <row r="153" spans="1:13">
      <c r="A153" s="21" t="s">
        <v>227</v>
      </c>
      <c r="B153" s="21">
        <f t="shared" ref="B153:B184" si="186">QUOTIENT( D153-1,$G$20)+1</f>
        <v>3</v>
      </c>
      <c r="C153" s="21">
        <f t="shared" ref="C153" si="187">D153-(B153-1)*$G$20</f>
        <v>3</v>
      </c>
      <c r="D153" s="21">
        <f>COUNT($D$20:$D152)+1</f>
        <v>63</v>
      </c>
      <c r="E153" s="21">
        <f t="shared" si="98"/>
        <v>153</v>
      </c>
      <c r="F153" s="9" t="s">
        <v>126</v>
      </c>
      <c r="G153" s="21">
        <v>25</v>
      </c>
      <c r="H153" s="21">
        <v>10</v>
      </c>
      <c r="M153" s="21">
        <f t="shared" ref="M153:M184" si="188">G153*D153</f>
        <v>1575</v>
      </c>
    </row>
    <row r="154" spans="1:13">
      <c r="E154" s="21">
        <f t="shared" si="98"/>
        <v>154</v>
      </c>
      <c r="F154" s="9" t="s">
        <v>142</v>
      </c>
      <c r="M154" s="21">
        <v>18800</v>
      </c>
    </row>
    <row r="155" spans="1:13">
      <c r="A155" s="21" t="s">
        <v>227</v>
      </c>
      <c r="B155" s="21">
        <f t="shared" ref="B155:B186" si="189">QUOTIENT( D155-1,$G$20)+1</f>
        <v>3</v>
      </c>
      <c r="C155" s="21">
        <f t="shared" ref="C155" si="190">D155-(B155-1)*$G$20</f>
        <v>4</v>
      </c>
      <c r="D155" s="21">
        <f>COUNT($D$20:$D154)+1</f>
        <v>64</v>
      </c>
      <c r="E155" s="21">
        <f t="shared" si="98"/>
        <v>155</v>
      </c>
      <c r="F155" s="9" t="s">
        <v>126</v>
      </c>
      <c r="G155" s="21">
        <v>25</v>
      </c>
      <c r="H155" s="21">
        <v>10</v>
      </c>
      <c r="M155" s="21">
        <f t="shared" ref="M155:M186" si="191">G155*D155</f>
        <v>1600</v>
      </c>
    </row>
    <row r="156" spans="1:13">
      <c r="E156" s="21">
        <f t="shared" si="98"/>
        <v>156</v>
      </c>
      <c r="F156" s="9" t="s">
        <v>142</v>
      </c>
      <c r="M156" s="21">
        <v>18800</v>
      </c>
    </row>
    <row r="157" spans="1:13">
      <c r="A157" s="21" t="s">
        <v>227</v>
      </c>
      <c r="B157" s="21">
        <f t="shared" ref="B157:B188" si="192">QUOTIENT( D157-1,$G$20)+1</f>
        <v>3</v>
      </c>
      <c r="C157" s="21">
        <f t="shared" ref="C157" si="193">D157-(B157-1)*$G$20</f>
        <v>5</v>
      </c>
      <c r="D157" s="21">
        <f>COUNT($D$20:$D156)+1</f>
        <v>65</v>
      </c>
      <c r="E157" s="21">
        <f t="shared" si="98"/>
        <v>157</v>
      </c>
      <c r="F157" s="9" t="s">
        <v>126</v>
      </c>
      <c r="G157" s="21">
        <v>25</v>
      </c>
      <c r="H157" s="21">
        <v>10</v>
      </c>
      <c r="M157" s="21">
        <f t="shared" ref="M157:M188" si="194">G157*D157</f>
        <v>1625</v>
      </c>
    </row>
    <row r="158" spans="1:13">
      <c r="E158" s="21">
        <f t="shared" ref="E158:E221" si="195">ROW(E158)</f>
        <v>158</v>
      </c>
      <c r="F158" s="9" t="s">
        <v>142</v>
      </c>
      <c r="M158" s="21">
        <v>18800</v>
      </c>
    </row>
    <row r="159" spans="1:13">
      <c r="A159" s="21" t="s">
        <v>227</v>
      </c>
      <c r="B159" s="21">
        <f t="shared" ref="B159:B190" si="196">QUOTIENT( D159-1,$G$20)+1</f>
        <v>3</v>
      </c>
      <c r="C159" s="21">
        <f t="shared" ref="C159" si="197">D159-(B159-1)*$G$20</f>
        <v>6</v>
      </c>
      <c r="D159" s="21">
        <f>COUNT($D$20:$D158)+1</f>
        <v>66</v>
      </c>
      <c r="E159" s="21">
        <f t="shared" si="195"/>
        <v>159</v>
      </c>
      <c r="F159" s="9" t="s">
        <v>126</v>
      </c>
      <c r="G159" s="21">
        <v>25</v>
      </c>
      <c r="H159" s="21">
        <v>10</v>
      </c>
      <c r="M159" s="21">
        <f t="shared" ref="M159:M190" si="198">G159*D159</f>
        <v>1650</v>
      </c>
    </row>
    <row r="160" spans="1:13">
      <c r="E160" s="21">
        <f t="shared" si="195"/>
        <v>160</v>
      </c>
      <c r="F160" s="9" t="s">
        <v>142</v>
      </c>
      <c r="M160" s="21">
        <v>18800</v>
      </c>
    </row>
    <row r="161" spans="1:13">
      <c r="A161" s="21" t="s">
        <v>227</v>
      </c>
      <c r="B161" s="21">
        <f t="shared" ref="B161:B192" si="199">QUOTIENT( D161-1,$G$20)+1</f>
        <v>3</v>
      </c>
      <c r="C161" s="21">
        <f t="shared" ref="C161" si="200">D161-(B161-1)*$G$20</f>
        <v>7</v>
      </c>
      <c r="D161" s="21">
        <f>COUNT($D$20:$D160)+1</f>
        <v>67</v>
      </c>
      <c r="E161" s="21">
        <f t="shared" si="195"/>
        <v>161</v>
      </c>
      <c r="F161" s="9" t="s">
        <v>126</v>
      </c>
      <c r="G161" s="21">
        <v>25</v>
      </c>
      <c r="H161" s="21">
        <v>10</v>
      </c>
      <c r="M161" s="21">
        <f t="shared" ref="M161:M192" si="201">G161*D161</f>
        <v>1675</v>
      </c>
    </row>
    <row r="162" spans="1:13">
      <c r="E162" s="21">
        <f t="shared" si="195"/>
        <v>162</v>
      </c>
      <c r="F162" s="9" t="s">
        <v>142</v>
      </c>
      <c r="M162" s="21">
        <v>18800</v>
      </c>
    </row>
    <row r="163" spans="1:13">
      <c r="A163" s="21" t="s">
        <v>227</v>
      </c>
      <c r="B163" s="21">
        <f t="shared" ref="B163:B194" si="202">QUOTIENT( D163-1,$G$20)+1</f>
        <v>3</v>
      </c>
      <c r="C163" s="21">
        <f t="shared" ref="C163" si="203">D163-(B163-1)*$G$20</f>
        <v>8</v>
      </c>
      <c r="D163" s="21">
        <f>COUNT($D$20:$D162)+1</f>
        <v>68</v>
      </c>
      <c r="E163" s="21">
        <f t="shared" si="195"/>
        <v>163</v>
      </c>
      <c r="F163" s="9" t="s">
        <v>126</v>
      </c>
      <c r="G163" s="21">
        <v>25</v>
      </c>
      <c r="H163" s="21">
        <v>10</v>
      </c>
      <c r="M163" s="21">
        <f t="shared" ref="M163:M194" si="204">G163*D163</f>
        <v>1700</v>
      </c>
    </row>
    <row r="164" spans="1:13">
      <c r="E164" s="21">
        <f t="shared" si="195"/>
        <v>164</v>
      </c>
      <c r="F164" s="9" t="s">
        <v>142</v>
      </c>
      <c r="M164" s="21">
        <v>18800</v>
      </c>
    </row>
    <row r="165" spans="1:13">
      <c r="A165" s="21" t="s">
        <v>227</v>
      </c>
      <c r="B165" s="21">
        <f t="shared" ref="B165:B196" si="205">QUOTIENT( D165-1,$G$20)+1</f>
        <v>3</v>
      </c>
      <c r="C165" s="21">
        <f t="shared" ref="C165" si="206">D165-(B165-1)*$G$20</f>
        <v>9</v>
      </c>
      <c r="D165" s="21">
        <f>COUNT($D$20:$D164)+1</f>
        <v>69</v>
      </c>
      <c r="E165" s="21">
        <f t="shared" si="195"/>
        <v>165</v>
      </c>
      <c r="F165" s="9" t="s">
        <v>126</v>
      </c>
      <c r="G165" s="21">
        <v>25</v>
      </c>
      <c r="H165" s="21">
        <v>10</v>
      </c>
      <c r="M165" s="21">
        <f t="shared" ref="M165:M196" si="207">G165*D165</f>
        <v>1725</v>
      </c>
    </row>
    <row r="166" spans="1:13">
      <c r="E166" s="21">
        <f t="shared" si="195"/>
        <v>166</v>
      </c>
      <c r="F166" s="9" t="s">
        <v>142</v>
      </c>
      <c r="M166" s="21">
        <v>18800</v>
      </c>
    </row>
    <row r="167" spans="1:13">
      <c r="A167" s="21" t="s">
        <v>227</v>
      </c>
      <c r="B167" s="21">
        <f t="shared" ref="B167:B198" si="208">QUOTIENT( D167-1,$G$20)+1</f>
        <v>3</v>
      </c>
      <c r="C167" s="21">
        <f t="shared" ref="C167" si="209">D167-(B167-1)*$G$20</f>
        <v>10</v>
      </c>
      <c r="D167" s="21">
        <f>COUNT($D$20:$D166)+1</f>
        <v>70</v>
      </c>
      <c r="E167" s="21">
        <f t="shared" si="195"/>
        <v>167</v>
      </c>
      <c r="F167" s="9" t="s">
        <v>126</v>
      </c>
      <c r="G167" s="21">
        <v>25</v>
      </c>
      <c r="H167" s="21">
        <v>10</v>
      </c>
      <c r="M167" s="21">
        <f t="shared" ref="M167:M198" si="210">G167*D167</f>
        <v>1750</v>
      </c>
    </row>
    <row r="168" spans="1:13">
      <c r="E168" s="21">
        <f t="shared" si="195"/>
        <v>168</v>
      </c>
      <c r="F168" s="9" t="s">
        <v>142</v>
      </c>
      <c r="M168" s="21">
        <v>18800</v>
      </c>
    </row>
    <row r="169" spans="1:13">
      <c r="A169" s="21" t="s">
        <v>227</v>
      </c>
      <c r="B169" s="21">
        <f t="shared" ref="B169:B200" si="211">QUOTIENT( D169-1,$G$20)+1</f>
        <v>3</v>
      </c>
      <c r="C169" s="21">
        <f t="shared" ref="C169" si="212">D169-(B169-1)*$G$20</f>
        <v>11</v>
      </c>
      <c r="D169" s="21">
        <f>COUNT($D$20:$D168)+1</f>
        <v>71</v>
      </c>
      <c r="E169" s="21">
        <f t="shared" si="195"/>
        <v>169</v>
      </c>
      <c r="F169" s="9" t="s">
        <v>126</v>
      </c>
      <c r="G169" s="21">
        <v>25</v>
      </c>
      <c r="H169" s="21">
        <v>10</v>
      </c>
      <c r="M169" s="21">
        <f t="shared" ref="M169:M200" si="213">G169*D169</f>
        <v>1775</v>
      </c>
    </row>
    <row r="170" spans="1:13">
      <c r="E170" s="21">
        <f t="shared" si="195"/>
        <v>170</v>
      </c>
      <c r="F170" s="9" t="s">
        <v>142</v>
      </c>
      <c r="M170" s="21">
        <v>18800</v>
      </c>
    </row>
    <row r="171" spans="1:13">
      <c r="A171" s="21" t="s">
        <v>227</v>
      </c>
      <c r="B171" s="21">
        <f t="shared" ref="B171:B202" si="214">QUOTIENT( D171-1,$G$20)+1</f>
        <v>3</v>
      </c>
      <c r="C171" s="21">
        <f t="shared" ref="C171" si="215">D171-(B171-1)*$G$20</f>
        <v>12</v>
      </c>
      <c r="D171" s="21">
        <f>COUNT($D$20:$D170)+1</f>
        <v>72</v>
      </c>
      <c r="E171" s="21">
        <f t="shared" si="195"/>
        <v>171</v>
      </c>
      <c r="F171" s="9" t="s">
        <v>126</v>
      </c>
      <c r="G171" s="21">
        <v>25</v>
      </c>
      <c r="H171" s="21">
        <v>10</v>
      </c>
      <c r="M171" s="21">
        <f t="shared" ref="M171:M202" si="216">G171*D171</f>
        <v>1800</v>
      </c>
    </row>
    <row r="172" spans="1:13">
      <c r="E172" s="21">
        <f t="shared" si="195"/>
        <v>172</v>
      </c>
      <c r="F172" s="9" t="s">
        <v>142</v>
      </c>
      <c r="M172" s="21">
        <v>18800</v>
      </c>
    </row>
    <row r="173" spans="1:13">
      <c r="A173" s="21" t="s">
        <v>227</v>
      </c>
      <c r="B173" s="21">
        <f t="shared" ref="B173:B204" si="217">QUOTIENT( D173-1,$G$20)+1</f>
        <v>3</v>
      </c>
      <c r="C173" s="21">
        <f t="shared" ref="C173" si="218">D173-(B173-1)*$G$20</f>
        <v>13</v>
      </c>
      <c r="D173" s="21">
        <f>COUNT($D$20:$D172)+1</f>
        <v>73</v>
      </c>
      <c r="E173" s="21">
        <f t="shared" si="195"/>
        <v>173</v>
      </c>
      <c r="F173" s="9" t="s">
        <v>126</v>
      </c>
      <c r="G173" s="21">
        <v>25</v>
      </c>
      <c r="H173" s="21">
        <v>10</v>
      </c>
      <c r="M173" s="21">
        <f t="shared" ref="M173:M204" si="219">G173*D173</f>
        <v>1825</v>
      </c>
    </row>
    <row r="174" spans="1:13">
      <c r="E174" s="21">
        <f t="shared" si="195"/>
        <v>174</v>
      </c>
      <c r="F174" s="9" t="s">
        <v>142</v>
      </c>
      <c r="M174" s="21">
        <v>18800</v>
      </c>
    </row>
    <row r="175" spans="1:13">
      <c r="A175" s="21" t="s">
        <v>227</v>
      </c>
      <c r="B175" s="21">
        <f t="shared" ref="B175:B206" si="220">QUOTIENT( D175-1,$G$20)+1</f>
        <v>3</v>
      </c>
      <c r="C175" s="21">
        <f t="shared" ref="C175" si="221">D175-(B175-1)*$G$20</f>
        <v>14</v>
      </c>
      <c r="D175" s="21">
        <f>COUNT($D$20:$D174)+1</f>
        <v>74</v>
      </c>
      <c r="E175" s="21">
        <f t="shared" si="195"/>
        <v>175</v>
      </c>
      <c r="F175" s="9" t="s">
        <v>126</v>
      </c>
      <c r="G175" s="21">
        <v>25</v>
      </c>
      <c r="H175" s="21">
        <v>10</v>
      </c>
      <c r="M175" s="21">
        <f t="shared" ref="M175:M206" si="222">G175*D175</f>
        <v>1850</v>
      </c>
    </row>
    <row r="176" spans="1:13">
      <c r="E176" s="21">
        <f t="shared" si="195"/>
        <v>176</v>
      </c>
      <c r="F176" s="9" t="s">
        <v>142</v>
      </c>
      <c r="M176" s="21">
        <v>18800</v>
      </c>
    </row>
    <row r="177" spans="1:13">
      <c r="A177" s="21" t="s">
        <v>227</v>
      </c>
      <c r="B177" s="21">
        <f t="shared" ref="B177:B208" si="223">QUOTIENT( D177-1,$G$20)+1</f>
        <v>3</v>
      </c>
      <c r="C177" s="21">
        <f t="shared" ref="C177" si="224">D177-(B177-1)*$G$20</f>
        <v>15</v>
      </c>
      <c r="D177" s="21">
        <f>COUNT($D$20:$D176)+1</f>
        <v>75</v>
      </c>
      <c r="E177" s="21">
        <f t="shared" si="195"/>
        <v>177</v>
      </c>
      <c r="F177" s="9" t="s">
        <v>126</v>
      </c>
      <c r="G177" s="21">
        <v>25</v>
      </c>
      <c r="H177" s="21">
        <v>10</v>
      </c>
      <c r="M177" s="21">
        <f t="shared" ref="M177:M208" si="225">G177*D177</f>
        <v>1875</v>
      </c>
    </row>
    <row r="178" spans="1:13">
      <c r="E178" s="21">
        <f t="shared" si="195"/>
        <v>178</v>
      </c>
      <c r="F178" s="9" t="s">
        <v>142</v>
      </c>
      <c r="M178" s="21">
        <v>18800</v>
      </c>
    </row>
    <row r="179" spans="1:13">
      <c r="A179" s="21" t="s">
        <v>227</v>
      </c>
      <c r="B179" s="21">
        <f t="shared" ref="B179:B210" si="226">QUOTIENT( D179-1,$G$20)+1</f>
        <v>3</v>
      </c>
      <c r="C179" s="21">
        <f t="shared" ref="C179" si="227">D179-(B179-1)*$G$20</f>
        <v>16</v>
      </c>
      <c r="D179" s="21">
        <f>COUNT($D$20:$D178)+1</f>
        <v>76</v>
      </c>
      <c r="E179" s="21">
        <f t="shared" si="195"/>
        <v>179</v>
      </c>
      <c r="F179" s="9" t="s">
        <v>126</v>
      </c>
      <c r="G179" s="21">
        <v>25</v>
      </c>
      <c r="H179" s="21">
        <v>10</v>
      </c>
      <c r="M179" s="21">
        <f t="shared" ref="M179:M210" si="228">G179*D179</f>
        <v>1900</v>
      </c>
    </row>
    <row r="180" spans="1:13">
      <c r="E180" s="21">
        <f t="shared" si="195"/>
        <v>180</v>
      </c>
      <c r="F180" s="9" t="s">
        <v>142</v>
      </c>
      <c r="M180" s="21">
        <v>18800</v>
      </c>
    </row>
    <row r="181" spans="1:13">
      <c r="A181" s="21" t="s">
        <v>227</v>
      </c>
      <c r="B181" s="21">
        <f t="shared" ref="B181:B212" si="229">QUOTIENT( D181-1,$G$20)+1</f>
        <v>3</v>
      </c>
      <c r="C181" s="21">
        <f t="shared" ref="C181" si="230">D181-(B181-1)*$G$20</f>
        <v>17</v>
      </c>
      <c r="D181" s="21">
        <f>COUNT($D$20:$D180)+1</f>
        <v>77</v>
      </c>
      <c r="E181" s="21">
        <f t="shared" si="195"/>
        <v>181</v>
      </c>
      <c r="F181" s="9" t="s">
        <v>126</v>
      </c>
      <c r="G181" s="21">
        <v>25</v>
      </c>
      <c r="H181" s="21">
        <v>10</v>
      </c>
      <c r="M181" s="21">
        <f t="shared" ref="M181:M212" si="231">G181*D181</f>
        <v>1925</v>
      </c>
    </row>
    <row r="182" spans="1:13">
      <c r="E182" s="21">
        <f t="shared" si="195"/>
        <v>182</v>
      </c>
      <c r="F182" s="9" t="s">
        <v>142</v>
      </c>
      <c r="M182" s="21">
        <v>18800</v>
      </c>
    </row>
    <row r="183" spans="1:13">
      <c r="A183" s="21" t="s">
        <v>227</v>
      </c>
      <c r="B183" s="21">
        <f t="shared" ref="B183:B214" si="232">QUOTIENT( D183-1,$G$20)+1</f>
        <v>3</v>
      </c>
      <c r="C183" s="21">
        <f t="shared" ref="C183" si="233">D183-(B183-1)*$G$20</f>
        <v>18</v>
      </c>
      <c r="D183" s="21">
        <f>COUNT($D$20:$D182)+1</f>
        <v>78</v>
      </c>
      <c r="E183" s="21">
        <f t="shared" si="195"/>
        <v>183</v>
      </c>
      <c r="F183" s="9" t="s">
        <v>126</v>
      </c>
      <c r="G183" s="21">
        <v>25</v>
      </c>
      <c r="H183" s="21">
        <v>10</v>
      </c>
      <c r="M183" s="21">
        <f t="shared" ref="M183:M214" si="234">G183*D183</f>
        <v>1950</v>
      </c>
    </row>
    <row r="184" spans="1:13">
      <c r="E184" s="21">
        <f t="shared" si="195"/>
        <v>184</v>
      </c>
      <c r="F184" s="9" t="s">
        <v>142</v>
      </c>
      <c r="M184" s="21">
        <v>18800</v>
      </c>
    </row>
    <row r="185" spans="1:13">
      <c r="A185" s="21" t="s">
        <v>227</v>
      </c>
      <c r="B185" s="21">
        <f t="shared" ref="B185:B216" si="235">QUOTIENT( D185-1,$G$20)+1</f>
        <v>3</v>
      </c>
      <c r="C185" s="21">
        <f t="shared" ref="C185" si="236">D185-(B185-1)*$G$20</f>
        <v>19</v>
      </c>
      <c r="D185" s="21">
        <f>COUNT($D$20:$D184)+1</f>
        <v>79</v>
      </c>
      <c r="E185" s="21">
        <f t="shared" si="195"/>
        <v>185</v>
      </c>
      <c r="F185" s="9" t="s">
        <v>126</v>
      </c>
      <c r="G185" s="21">
        <v>25</v>
      </c>
      <c r="H185" s="21">
        <v>10</v>
      </c>
      <c r="M185" s="21">
        <f t="shared" ref="M185:M216" si="237">G185*D185</f>
        <v>1975</v>
      </c>
    </row>
    <row r="186" spans="1:13">
      <c r="E186" s="21">
        <f t="shared" si="195"/>
        <v>186</v>
      </c>
      <c r="F186" s="9" t="s">
        <v>142</v>
      </c>
      <c r="M186" s="21">
        <v>18800</v>
      </c>
    </row>
    <row r="187" spans="1:13">
      <c r="A187" s="21" t="s">
        <v>227</v>
      </c>
      <c r="B187" s="21">
        <f t="shared" ref="B187:B218" si="238">QUOTIENT( D187-1,$G$20)+1</f>
        <v>3</v>
      </c>
      <c r="C187" s="21">
        <f t="shared" ref="C187" si="239">D187-(B187-1)*$G$20</f>
        <v>20</v>
      </c>
      <c r="D187" s="21">
        <f>COUNT($D$20:$D186)+1</f>
        <v>80</v>
      </c>
      <c r="E187" s="21">
        <f t="shared" si="195"/>
        <v>187</v>
      </c>
      <c r="F187" s="9" t="s">
        <v>126</v>
      </c>
      <c r="G187" s="21">
        <v>25</v>
      </c>
      <c r="H187" s="21">
        <v>10</v>
      </c>
      <c r="M187" s="21">
        <f t="shared" ref="M187:M218" si="240">G187*D187</f>
        <v>2000</v>
      </c>
    </row>
    <row r="188" spans="1:13">
      <c r="E188" s="21">
        <f t="shared" si="195"/>
        <v>188</v>
      </c>
      <c r="F188" s="9" t="s">
        <v>142</v>
      </c>
      <c r="M188" s="21">
        <v>18800</v>
      </c>
    </row>
    <row r="189" spans="1:13">
      <c r="A189" s="21" t="s">
        <v>227</v>
      </c>
      <c r="B189" s="21">
        <f t="shared" ref="B189:B220" si="241">QUOTIENT( D189-1,$G$20)+1</f>
        <v>3</v>
      </c>
      <c r="C189" s="21">
        <f t="shared" ref="C189" si="242">D189-(B189-1)*$G$20</f>
        <v>21</v>
      </c>
      <c r="D189" s="21">
        <f>COUNT($D$20:$D188)+1</f>
        <v>81</v>
      </c>
      <c r="E189" s="21">
        <f t="shared" si="195"/>
        <v>189</v>
      </c>
      <c r="F189" s="9" t="s">
        <v>126</v>
      </c>
      <c r="G189" s="21">
        <v>25</v>
      </c>
      <c r="H189" s="21">
        <v>10</v>
      </c>
      <c r="M189" s="21">
        <f t="shared" ref="M189:M220" si="243">G189*D189</f>
        <v>2025</v>
      </c>
    </row>
    <row r="190" spans="1:13">
      <c r="E190" s="21">
        <f t="shared" si="195"/>
        <v>190</v>
      </c>
      <c r="F190" s="9" t="s">
        <v>142</v>
      </c>
      <c r="M190" s="21">
        <v>18800</v>
      </c>
    </row>
    <row r="191" spans="1:13">
      <c r="A191" s="21" t="s">
        <v>227</v>
      </c>
      <c r="B191" s="21">
        <f t="shared" ref="B191:B222" si="244">QUOTIENT( D191-1,$G$20)+1</f>
        <v>3</v>
      </c>
      <c r="C191" s="21">
        <f t="shared" ref="C191" si="245">D191-(B191-1)*$G$20</f>
        <v>22</v>
      </c>
      <c r="D191" s="21">
        <f>COUNT($D$20:$D190)+1</f>
        <v>82</v>
      </c>
      <c r="E191" s="21">
        <f t="shared" si="195"/>
        <v>191</v>
      </c>
      <c r="F191" s="9" t="s">
        <v>126</v>
      </c>
      <c r="G191" s="21">
        <v>25</v>
      </c>
      <c r="H191" s="21">
        <v>10</v>
      </c>
      <c r="M191" s="21">
        <f t="shared" ref="M191:M222" si="246">G191*D191</f>
        <v>2050</v>
      </c>
    </row>
    <row r="192" spans="1:13">
      <c r="E192" s="21">
        <f t="shared" si="195"/>
        <v>192</v>
      </c>
      <c r="F192" s="9" t="s">
        <v>142</v>
      </c>
      <c r="M192" s="21">
        <v>18800</v>
      </c>
    </row>
    <row r="193" spans="1:13">
      <c r="A193" s="21" t="s">
        <v>227</v>
      </c>
      <c r="B193" s="21">
        <f t="shared" ref="B193:B224" si="247">QUOTIENT( D193-1,$G$20)+1</f>
        <v>3</v>
      </c>
      <c r="C193" s="21">
        <f t="shared" ref="C193" si="248">D193-(B193-1)*$G$20</f>
        <v>23</v>
      </c>
      <c r="D193" s="21">
        <f>COUNT($D$20:$D192)+1</f>
        <v>83</v>
      </c>
      <c r="E193" s="21">
        <f t="shared" si="195"/>
        <v>193</v>
      </c>
      <c r="F193" s="9" t="s">
        <v>126</v>
      </c>
      <c r="G193" s="21">
        <v>25</v>
      </c>
      <c r="H193" s="21">
        <v>10</v>
      </c>
      <c r="M193" s="21">
        <f t="shared" ref="M193:M224" si="249">G193*D193</f>
        <v>2075</v>
      </c>
    </row>
    <row r="194" spans="1:13">
      <c r="E194" s="21">
        <f t="shared" si="195"/>
        <v>194</v>
      </c>
      <c r="F194" s="9" t="s">
        <v>142</v>
      </c>
      <c r="M194" s="21">
        <v>18800</v>
      </c>
    </row>
    <row r="195" spans="1:13">
      <c r="A195" s="21" t="s">
        <v>227</v>
      </c>
      <c r="B195" s="21">
        <f t="shared" ref="B195:B226" si="250">QUOTIENT( D195-1,$G$20)+1</f>
        <v>3</v>
      </c>
      <c r="C195" s="21">
        <f t="shared" ref="C195" si="251">D195-(B195-1)*$G$20</f>
        <v>24</v>
      </c>
      <c r="D195" s="21">
        <f>COUNT($D$20:$D194)+1</f>
        <v>84</v>
      </c>
      <c r="E195" s="21">
        <f t="shared" si="195"/>
        <v>195</v>
      </c>
      <c r="F195" s="9" t="s">
        <v>126</v>
      </c>
      <c r="G195" s="21">
        <v>25</v>
      </c>
      <c r="H195" s="21">
        <v>10</v>
      </c>
      <c r="M195" s="21">
        <f t="shared" ref="M195:M226" si="252">G195*D195</f>
        <v>2100</v>
      </c>
    </row>
    <row r="196" spans="1:13">
      <c r="E196" s="21">
        <f t="shared" si="195"/>
        <v>196</v>
      </c>
      <c r="F196" s="9" t="s">
        <v>142</v>
      </c>
      <c r="M196" s="21">
        <v>18800</v>
      </c>
    </row>
    <row r="197" spans="1:13">
      <c r="A197" s="21" t="s">
        <v>227</v>
      </c>
      <c r="B197" s="21">
        <f t="shared" ref="B197:B228" si="253">QUOTIENT( D197-1,$G$20)+1</f>
        <v>3</v>
      </c>
      <c r="C197" s="21">
        <f t="shared" ref="C197" si="254">D197-(B197-1)*$G$20</f>
        <v>25</v>
      </c>
      <c r="D197" s="21">
        <f>COUNT($D$20:$D196)+1</f>
        <v>85</v>
      </c>
      <c r="E197" s="21">
        <f t="shared" si="195"/>
        <v>197</v>
      </c>
      <c r="F197" s="9" t="s">
        <v>126</v>
      </c>
      <c r="G197" s="21">
        <v>25</v>
      </c>
      <c r="H197" s="21">
        <v>10</v>
      </c>
      <c r="M197" s="21">
        <f t="shared" ref="M197:M228" si="255">G197*D197</f>
        <v>2125</v>
      </c>
    </row>
    <row r="198" spans="1:13">
      <c r="E198" s="21">
        <f t="shared" si="195"/>
        <v>198</v>
      </c>
      <c r="F198" s="9" t="s">
        <v>142</v>
      </c>
      <c r="M198" s="21">
        <v>18800</v>
      </c>
    </row>
    <row r="199" spans="1:13">
      <c r="A199" s="21" t="s">
        <v>227</v>
      </c>
      <c r="B199" s="21">
        <f t="shared" ref="B199:B230" si="256">QUOTIENT( D199-1,$G$20)+1</f>
        <v>3</v>
      </c>
      <c r="C199" s="21">
        <f t="shared" ref="C199" si="257">D199-(B199-1)*$G$20</f>
        <v>26</v>
      </c>
      <c r="D199" s="21">
        <f>COUNT($D$20:$D198)+1</f>
        <v>86</v>
      </c>
      <c r="E199" s="21">
        <f t="shared" si="195"/>
        <v>199</v>
      </c>
      <c r="F199" s="9" t="s">
        <v>126</v>
      </c>
      <c r="G199" s="21">
        <v>25</v>
      </c>
      <c r="H199" s="21">
        <v>10</v>
      </c>
      <c r="M199" s="21">
        <f t="shared" ref="M199:M230" si="258">G199*D199</f>
        <v>2150</v>
      </c>
    </row>
    <row r="200" spans="1:13">
      <c r="E200" s="21">
        <f t="shared" si="195"/>
        <v>200</v>
      </c>
      <c r="F200" s="9" t="s">
        <v>142</v>
      </c>
      <c r="M200" s="21">
        <v>18800</v>
      </c>
    </row>
    <row r="201" spans="1:13">
      <c r="A201" s="21" t="s">
        <v>227</v>
      </c>
      <c r="B201" s="21">
        <f t="shared" ref="B201:B232" si="259">QUOTIENT( D201-1,$G$20)+1</f>
        <v>3</v>
      </c>
      <c r="C201" s="21">
        <f t="shared" ref="C201" si="260">D201-(B201-1)*$G$20</f>
        <v>27</v>
      </c>
      <c r="D201" s="21">
        <f>COUNT($D$20:$D200)+1</f>
        <v>87</v>
      </c>
      <c r="E201" s="21">
        <f t="shared" si="195"/>
        <v>201</v>
      </c>
      <c r="F201" s="9" t="s">
        <v>126</v>
      </c>
      <c r="G201" s="21">
        <v>25</v>
      </c>
      <c r="H201" s="21">
        <v>10</v>
      </c>
      <c r="M201" s="21">
        <f t="shared" ref="M201:M232" si="261">G201*D201</f>
        <v>2175</v>
      </c>
    </row>
    <row r="202" spans="1:13">
      <c r="E202" s="21">
        <f t="shared" si="195"/>
        <v>202</v>
      </c>
      <c r="F202" s="9" t="s">
        <v>142</v>
      </c>
      <c r="M202" s="21">
        <v>18800</v>
      </c>
    </row>
    <row r="203" spans="1:13">
      <c r="A203" s="21" t="s">
        <v>227</v>
      </c>
      <c r="B203" s="21">
        <f t="shared" ref="B203:B234" si="262">QUOTIENT( D203-1,$G$20)+1</f>
        <v>3</v>
      </c>
      <c r="C203" s="21">
        <f t="shared" ref="C203" si="263">D203-(B203-1)*$G$20</f>
        <v>28</v>
      </c>
      <c r="D203" s="21">
        <f>COUNT($D$20:$D202)+1</f>
        <v>88</v>
      </c>
      <c r="E203" s="21">
        <f t="shared" si="195"/>
        <v>203</v>
      </c>
      <c r="F203" s="9" t="s">
        <v>126</v>
      </c>
      <c r="G203" s="21">
        <v>25</v>
      </c>
      <c r="H203" s="21">
        <v>10</v>
      </c>
      <c r="M203" s="21">
        <f t="shared" ref="M203:M234" si="264">G203*D203</f>
        <v>2200</v>
      </c>
    </row>
    <row r="204" spans="1:13">
      <c r="E204" s="21">
        <f t="shared" si="195"/>
        <v>204</v>
      </c>
      <c r="F204" s="9" t="s">
        <v>142</v>
      </c>
      <c r="M204" s="21">
        <v>18800</v>
      </c>
    </row>
    <row r="205" spans="1:13">
      <c r="A205" s="21" t="s">
        <v>227</v>
      </c>
      <c r="B205" s="21">
        <f t="shared" ref="B205:B236" si="265">QUOTIENT( D205-1,$G$20)+1</f>
        <v>3</v>
      </c>
      <c r="C205" s="21">
        <f t="shared" ref="C205" si="266">D205-(B205-1)*$G$20</f>
        <v>29</v>
      </c>
      <c r="D205" s="21">
        <f>COUNT($D$20:$D204)+1</f>
        <v>89</v>
      </c>
      <c r="E205" s="21">
        <f t="shared" si="195"/>
        <v>205</v>
      </c>
      <c r="F205" s="9" t="s">
        <v>126</v>
      </c>
      <c r="G205" s="21">
        <v>25</v>
      </c>
      <c r="H205" s="21">
        <v>10</v>
      </c>
      <c r="M205" s="21">
        <f t="shared" ref="M205:M236" si="267">G205*D205</f>
        <v>2225</v>
      </c>
    </row>
    <row r="206" spans="1:13">
      <c r="E206" s="21">
        <f t="shared" si="195"/>
        <v>206</v>
      </c>
      <c r="F206" s="9" t="s">
        <v>142</v>
      </c>
      <c r="M206" s="21">
        <v>18800</v>
      </c>
    </row>
    <row r="207" spans="1:13">
      <c r="A207" s="21" t="s">
        <v>227</v>
      </c>
      <c r="B207" s="21">
        <f t="shared" ref="B207:B238" si="268">QUOTIENT( D207-1,$G$20)+1</f>
        <v>3</v>
      </c>
      <c r="C207" s="21">
        <f t="shared" ref="C207" si="269">D207-(B207-1)*$G$20</f>
        <v>30</v>
      </c>
      <c r="D207" s="21">
        <f>COUNT($D$20:$D206)+1</f>
        <v>90</v>
      </c>
      <c r="E207" s="21">
        <f t="shared" si="195"/>
        <v>207</v>
      </c>
      <c r="F207" s="9" t="s">
        <v>126</v>
      </c>
      <c r="G207" s="21">
        <v>25</v>
      </c>
      <c r="H207" s="21">
        <v>10</v>
      </c>
      <c r="M207" s="21">
        <f t="shared" ref="M207:M238" si="270">G207*D207</f>
        <v>2250</v>
      </c>
    </row>
    <row r="208" spans="1:13">
      <c r="E208" s="21">
        <f t="shared" si="195"/>
        <v>208</v>
      </c>
      <c r="F208" s="9" t="s">
        <v>142</v>
      </c>
      <c r="M208" s="21">
        <v>18800</v>
      </c>
    </row>
    <row r="209" spans="1:13">
      <c r="A209" s="21" t="s">
        <v>227</v>
      </c>
      <c r="B209" s="21">
        <f t="shared" ref="B209:B240" si="271">QUOTIENT( D209-1,$G$20)+1</f>
        <v>4</v>
      </c>
      <c r="C209" s="21">
        <f t="shared" ref="C209" si="272">D209-(B209-1)*$G$20</f>
        <v>1</v>
      </c>
      <c r="D209" s="21">
        <f>COUNT($D$20:$D208)+1</f>
        <v>91</v>
      </c>
      <c r="E209" s="21">
        <f t="shared" si="195"/>
        <v>209</v>
      </c>
      <c r="F209" s="9" t="s">
        <v>126</v>
      </c>
      <c r="G209" s="21">
        <v>25</v>
      </c>
      <c r="H209" s="21">
        <v>10</v>
      </c>
      <c r="M209" s="21">
        <f t="shared" ref="M209:M240" si="273">G209*D209</f>
        <v>2275</v>
      </c>
    </row>
    <row r="210" spans="1:13">
      <c r="E210" s="21">
        <f t="shared" si="195"/>
        <v>210</v>
      </c>
      <c r="F210" s="9" t="s">
        <v>142</v>
      </c>
      <c r="M210" s="21">
        <v>18800</v>
      </c>
    </row>
    <row r="211" spans="1:13">
      <c r="A211" s="21" t="s">
        <v>227</v>
      </c>
      <c r="B211" s="21">
        <f t="shared" ref="B211:B242" si="274">QUOTIENT( D211-1,$G$20)+1</f>
        <v>4</v>
      </c>
      <c r="C211" s="21">
        <f t="shared" ref="C211" si="275">D211-(B211-1)*$G$20</f>
        <v>2</v>
      </c>
      <c r="D211" s="21">
        <f>COUNT($D$20:$D210)+1</f>
        <v>92</v>
      </c>
      <c r="E211" s="21">
        <f t="shared" si="195"/>
        <v>211</v>
      </c>
      <c r="F211" s="9" t="s">
        <v>126</v>
      </c>
      <c r="G211" s="21">
        <v>25</v>
      </c>
      <c r="H211" s="21">
        <v>10</v>
      </c>
      <c r="M211" s="21">
        <f t="shared" ref="M211:M242" si="276">G211*D211</f>
        <v>2300</v>
      </c>
    </row>
    <row r="212" spans="1:13">
      <c r="E212" s="21">
        <f t="shared" si="195"/>
        <v>212</v>
      </c>
      <c r="F212" s="9" t="s">
        <v>142</v>
      </c>
      <c r="M212" s="21">
        <v>18800</v>
      </c>
    </row>
    <row r="213" spans="1:13">
      <c r="A213" s="21" t="s">
        <v>227</v>
      </c>
      <c r="B213" s="21">
        <f t="shared" ref="B213:B244" si="277">QUOTIENT( D213-1,$G$20)+1</f>
        <v>4</v>
      </c>
      <c r="C213" s="21">
        <f t="shared" ref="C213" si="278">D213-(B213-1)*$G$20</f>
        <v>3</v>
      </c>
      <c r="D213" s="21">
        <f>COUNT($D$20:$D212)+1</f>
        <v>93</v>
      </c>
      <c r="E213" s="21">
        <f t="shared" si="195"/>
        <v>213</v>
      </c>
      <c r="F213" s="9" t="s">
        <v>126</v>
      </c>
      <c r="G213" s="21">
        <v>25</v>
      </c>
      <c r="H213" s="21">
        <v>10</v>
      </c>
      <c r="M213" s="21">
        <f t="shared" ref="M213:M244" si="279">G213*D213</f>
        <v>2325</v>
      </c>
    </row>
    <row r="214" spans="1:13">
      <c r="E214" s="21">
        <f t="shared" si="195"/>
        <v>214</v>
      </c>
      <c r="F214" s="9" t="s">
        <v>142</v>
      </c>
      <c r="M214" s="21">
        <v>18800</v>
      </c>
    </row>
    <row r="215" spans="1:13">
      <c r="A215" s="21" t="s">
        <v>227</v>
      </c>
      <c r="B215" s="21">
        <f t="shared" ref="B215:B246" si="280">QUOTIENT( D215-1,$G$20)+1</f>
        <v>4</v>
      </c>
      <c r="C215" s="21">
        <f t="shared" ref="C215" si="281">D215-(B215-1)*$G$20</f>
        <v>4</v>
      </c>
      <c r="D215" s="21">
        <f>COUNT($D$20:$D214)+1</f>
        <v>94</v>
      </c>
      <c r="E215" s="21">
        <f t="shared" si="195"/>
        <v>215</v>
      </c>
      <c r="F215" s="9" t="s">
        <v>126</v>
      </c>
      <c r="G215" s="21">
        <v>25</v>
      </c>
      <c r="H215" s="21">
        <v>10</v>
      </c>
      <c r="M215" s="21">
        <f t="shared" ref="M215:M246" si="282">G215*D215</f>
        <v>2350</v>
      </c>
    </row>
    <row r="216" spans="1:13">
      <c r="E216" s="21">
        <f t="shared" si="195"/>
        <v>216</v>
      </c>
      <c r="F216" s="9" t="s">
        <v>142</v>
      </c>
      <c r="M216" s="21">
        <v>18800</v>
      </c>
    </row>
    <row r="217" spans="1:13">
      <c r="A217" s="21" t="s">
        <v>227</v>
      </c>
      <c r="B217" s="21">
        <f t="shared" ref="B217:B248" si="283">QUOTIENT( D217-1,$G$20)+1</f>
        <v>4</v>
      </c>
      <c r="C217" s="21">
        <f t="shared" ref="C217" si="284">D217-(B217-1)*$G$20</f>
        <v>5</v>
      </c>
      <c r="D217" s="21">
        <f>COUNT($D$20:$D216)+1</f>
        <v>95</v>
      </c>
      <c r="E217" s="21">
        <f t="shared" si="195"/>
        <v>217</v>
      </c>
      <c r="F217" s="9" t="s">
        <v>126</v>
      </c>
      <c r="G217" s="21">
        <v>25</v>
      </c>
      <c r="H217" s="21">
        <v>10</v>
      </c>
      <c r="M217" s="21">
        <f t="shared" ref="M217:M248" si="285">G217*D217</f>
        <v>2375</v>
      </c>
    </row>
    <row r="218" spans="1:13">
      <c r="E218" s="21">
        <f t="shared" si="195"/>
        <v>218</v>
      </c>
      <c r="F218" s="9" t="s">
        <v>142</v>
      </c>
      <c r="M218" s="21">
        <v>18800</v>
      </c>
    </row>
    <row r="219" spans="1:13">
      <c r="A219" s="21" t="s">
        <v>227</v>
      </c>
      <c r="B219" s="21">
        <f t="shared" ref="B219:B250" si="286">QUOTIENT( D219-1,$G$20)+1</f>
        <v>4</v>
      </c>
      <c r="C219" s="21">
        <f t="shared" ref="C219" si="287">D219-(B219-1)*$G$20</f>
        <v>6</v>
      </c>
      <c r="D219" s="21">
        <f>COUNT($D$20:$D218)+1</f>
        <v>96</v>
      </c>
      <c r="E219" s="21">
        <f t="shared" si="195"/>
        <v>219</v>
      </c>
      <c r="F219" s="9" t="s">
        <v>126</v>
      </c>
      <c r="G219" s="21">
        <v>25</v>
      </c>
      <c r="H219" s="21">
        <v>10</v>
      </c>
      <c r="M219" s="21">
        <f t="shared" ref="M219:M250" si="288">G219*D219</f>
        <v>2400</v>
      </c>
    </row>
    <row r="220" spans="1:13">
      <c r="E220" s="21">
        <f t="shared" si="195"/>
        <v>220</v>
      </c>
      <c r="F220" s="9" t="s">
        <v>142</v>
      </c>
      <c r="M220" s="21">
        <v>18800</v>
      </c>
    </row>
    <row r="221" spans="1:13">
      <c r="A221" s="21" t="s">
        <v>227</v>
      </c>
      <c r="B221" s="21">
        <f t="shared" ref="B221:B252" si="289">QUOTIENT( D221-1,$G$20)+1</f>
        <v>4</v>
      </c>
      <c r="C221" s="21">
        <f t="shared" ref="C221" si="290">D221-(B221-1)*$G$20</f>
        <v>7</v>
      </c>
      <c r="D221" s="21">
        <f>COUNT($D$20:$D220)+1</f>
        <v>97</v>
      </c>
      <c r="E221" s="21">
        <f t="shared" si="195"/>
        <v>221</v>
      </c>
      <c r="F221" s="9" t="s">
        <v>126</v>
      </c>
      <c r="G221" s="21">
        <v>25</v>
      </c>
      <c r="H221" s="21">
        <v>10</v>
      </c>
      <c r="M221" s="21">
        <f t="shared" ref="M221:M252" si="291">G221*D221</f>
        <v>2425</v>
      </c>
    </row>
    <row r="222" spans="1:13">
      <c r="E222" s="21">
        <f t="shared" ref="E222:E285" si="292">ROW(E222)</f>
        <v>222</v>
      </c>
      <c r="F222" s="9" t="s">
        <v>142</v>
      </c>
      <c r="M222" s="21">
        <v>18800</v>
      </c>
    </row>
    <row r="223" spans="1:13">
      <c r="A223" s="21" t="s">
        <v>227</v>
      </c>
      <c r="B223" s="21">
        <f t="shared" ref="B223:B254" si="293">QUOTIENT( D223-1,$G$20)+1</f>
        <v>4</v>
      </c>
      <c r="C223" s="21">
        <f t="shared" ref="C223" si="294">D223-(B223-1)*$G$20</f>
        <v>8</v>
      </c>
      <c r="D223" s="21">
        <f>COUNT($D$20:$D222)+1</f>
        <v>98</v>
      </c>
      <c r="E223" s="21">
        <f t="shared" si="292"/>
        <v>223</v>
      </c>
      <c r="F223" s="9" t="s">
        <v>126</v>
      </c>
      <c r="G223" s="21">
        <v>25</v>
      </c>
      <c r="H223" s="21">
        <v>10</v>
      </c>
      <c r="M223" s="21">
        <f t="shared" ref="M223:M254" si="295">G223*D223</f>
        <v>2450</v>
      </c>
    </row>
    <row r="224" spans="1:13">
      <c r="E224" s="21">
        <f t="shared" si="292"/>
        <v>224</v>
      </c>
      <c r="F224" s="9" t="s">
        <v>142</v>
      </c>
      <c r="M224" s="21">
        <v>18800</v>
      </c>
    </row>
    <row r="225" spans="1:13">
      <c r="A225" s="21" t="s">
        <v>227</v>
      </c>
      <c r="B225" s="21">
        <f t="shared" ref="B225:B256" si="296">QUOTIENT( D225-1,$G$20)+1</f>
        <v>4</v>
      </c>
      <c r="C225" s="21">
        <f t="shared" ref="C225" si="297">D225-(B225-1)*$G$20</f>
        <v>9</v>
      </c>
      <c r="D225" s="21">
        <f>COUNT($D$20:$D224)+1</f>
        <v>99</v>
      </c>
      <c r="E225" s="21">
        <f t="shared" si="292"/>
        <v>225</v>
      </c>
      <c r="F225" s="9" t="s">
        <v>126</v>
      </c>
      <c r="G225" s="21">
        <v>25</v>
      </c>
      <c r="H225" s="21">
        <v>10</v>
      </c>
      <c r="M225" s="21">
        <f t="shared" ref="M225:M256" si="298">G225*D225</f>
        <v>2475</v>
      </c>
    </row>
    <row r="226" spans="1:13">
      <c r="E226" s="21">
        <f t="shared" si="292"/>
        <v>226</v>
      </c>
      <c r="F226" s="9" t="s">
        <v>142</v>
      </c>
      <c r="M226" s="21">
        <v>18800</v>
      </c>
    </row>
    <row r="227" spans="1:13">
      <c r="A227" s="21" t="s">
        <v>227</v>
      </c>
      <c r="B227" s="21">
        <f t="shared" ref="B227:B258" si="299">QUOTIENT( D227-1,$G$20)+1</f>
        <v>4</v>
      </c>
      <c r="C227" s="21">
        <f t="shared" ref="C227" si="300">D227-(B227-1)*$G$20</f>
        <v>10</v>
      </c>
      <c r="D227" s="21">
        <f>COUNT($D$20:$D226)+1</f>
        <v>100</v>
      </c>
      <c r="E227" s="21">
        <f t="shared" si="292"/>
        <v>227</v>
      </c>
      <c r="F227" s="9" t="s">
        <v>126</v>
      </c>
      <c r="G227" s="21">
        <v>25</v>
      </c>
      <c r="H227" s="21">
        <v>10</v>
      </c>
      <c r="M227" s="21">
        <f t="shared" ref="M227:M258" si="301">G227*D227</f>
        <v>2500</v>
      </c>
    </row>
    <row r="228" spans="1:13">
      <c r="E228" s="21">
        <f t="shared" si="292"/>
        <v>228</v>
      </c>
      <c r="F228" s="9" t="s">
        <v>142</v>
      </c>
      <c r="M228" s="21">
        <v>18800</v>
      </c>
    </row>
    <row r="229" spans="1:13">
      <c r="A229" s="21" t="s">
        <v>227</v>
      </c>
      <c r="B229" s="21">
        <f t="shared" ref="B229:B260" si="302">QUOTIENT( D229-1,$G$20)+1</f>
        <v>4</v>
      </c>
      <c r="C229" s="21">
        <f t="shared" ref="C229" si="303">D229-(B229-1)*$G$20</f>
        <v>11</v>
      </c>
      <c r="D229" s="21">
        <f>COUNT($D$20:$D228)+1</f>
        <v>101</v>
      </c>
      <c r="E229" s="21">
        <f t="shared" si="292"/>
        <v>229</v>
      </c>
      <c r="F229" s="9" t="s">
        <v>126</v>
      </c>
      <c r="G229" s="21">
        <v>25</v>
      </c>
      <c r="H229" s="21">
        <v>10</v>
      </c>
      <c r="M229" s="21">
        <f t="shared" ref="M229:M260" si="304">G229*D229</f>
        <v>2525</v>
      </c>
    </row>
    <row r="230" spans="1:13">
      <c r="E230" s="21">
        <f t="shared" si="292"/>
        <v>230</v>
      </c>
      <c r="F230" s="9" t="s">
        <v>142</v>
      </c>
      <c r="M230" s="21">
        <v>18800</v>
      </c>
    </row>
    <row r="231" spans="1:13">
      <c r="A231" s="21" t="s">
        <v>227</v>
      </c>
      <c r="B231" s="21">
        <f t="shared" ref="B231:B262" si="305">QUOTIENT( D231-1,$G$20)+1</f>
        <v>4</v>
      </c>
      <c r="C231" s="21">
        <f t="shared" ref="C231" si="306">D231-(B231-1)*$G$20</f>
        <v>12</v>
      </c>
      <c r="D231" s="21">
        <f>COUNT($D$20:$D230)+1</f>
        <v>102</v>
      </c>
      <c r="E231" s="21">
        <f t="shared" si="292"/>
        <v>231</v>
      </c>
      <c r="F231" s="9" t="s">
        <v>126</v>
      </c>
      <c r="G231" s="21">
        <v>25</v>
      </c>
      <c r="H231" s="21">
        <v>10</v>
      </c>
      <c r="M231" s="21">
        <f t="shared" ref="M231:M262" si="307">G231*D231</f>
        <v>2550</v>
      </c>
    </row>
    <row r="232" spans="1:13">
      <c r="E232" s="21">
        <f t="shared" si="292"/>
        <v>232</v>
      </c>
      <c r="F232" s="9" t="s">
        <v>142</v>
      </c>
      <c r="M232" s="21">
        <v>18800</v>
      </c>
    </row>
    <row r="233" spans="1:13">
      <c r="A233" s="21" t="s">
        <v>227</v>
      </c>
      <c r="B233" s="21">
        <f t="shared" ref="B233:B264" si="308">QUOTIENT( D233-1,$G$20)+1</f>
        <v>4</v>
      </c>
      <c r="C233" s="21">
        <f t="shared" ref="C233" si="309">D233-(B233-1)*$G$20</f>
        <v>13</v>
      </c>
      <c r="D233" s="21">
        <f>COUNT($D$20:$D232)+1</f>
        <v>103</v>
      </c>
      <c r="E233" s="21">
        <f t="shared" si="292"/>
        <v>233</v>
      </c>
      <c r="F233" s="9" t="s">
        <v>126</v>
      </c>
      <c r="G233" s="21">
        <v>25</v>
      </c>
      <c r="H233" s="21">
        <v>10</v>
      </c>
      <c r="M233" s="21">
        <f t="shared" ref="M233:M264" si="310">G233*D233</f>
        <v>2575</v>
      </c>
    </row>
    <row r="234" spans="1:13">
      <c r="E234" s="21">
        <f t="shared" si="292"/>
        <v>234</v>
      </c>
      <c r="F234" s="9" t="s">
        <v>142</v>
      </c>
      <c r="M234" s="21">
        <v>18800</v>
      </c>
    </row>
    <row r="235" spans="1:13">
      <c r="A235" s="21" t="s">
        <v>227</v>
      </c>
      <c r="B235" s="21">
        <f t="shared" ref="B235:B266" si="311">QUOTIENT( D235-1,$G$20)+1</f>
        <v>4</v>
      </c>
      <c r="C235" s="21">
        <f t="shared" ref="C235" si="312">D235-(B235-1)*$G$20</f>
        <v>14</v>
      </c>
      <c r="D235" s="21">
        <f>COUNT($D$20:$D234)+1</f>
        <v>104</v>
      </c>
      <c r="E235" s="21">
        <f t="shared" si="292"/>
        <v>235</v>
      </c>
      <c r="F235" s="9" t="s">
        <v>126</v>
      </c>
      <c r="G235" s="21">
        <v>25</v>
      </c>
      <c r="H235" s="21">
        <v>10</v>
      </c>
      <c r="M235" s="21">
        <f t="shared" ref="M235:M266" si="313">G235*D235</f>
        <v>2600</v>
      </c>
    </row>
    <row r="236" spans="1:13">
      <c r="E236" s="21">
        <f t="shared" si="292"/>
        <v>236</v>
      </c>
      <c r="F236" s="9" t="s">
        <v>142</v>
      </c>
      <c r="M236" s="21">
        <v>18800</v>
      </c>
    </row>
    <row r="237" spans="1:13">
      <c r="A237" s="21" t="s">
        <v>227</v>
      </c>
      <c r="B237" s="21">
        <f t="shared" ref="B237:B268" si="314">QUOTIENT( D237-1,$G$20)+1</f>
        <v>4</v>
      </c>
      <c r="C237" s="21">
        <f t="shared" ref="C237" si="315">D237-(B237-1)*$G$20</f>
        <v>15</v>
      </c>
      <c r="D237" s="21">
        <f>COUNT($D$20:$D236)+1</f>
        <v>105</v>
      </c>
      <c r="E237" s="21">
        <f t="shared" si="292"/>
        <v>237</v>
      </c>
      <c r="F237" s="9" t="s">
        <v>126</v>
      </c>
      <c r="G237" s="21">
        <v>25</v>
      </c>
      <c r="H237" s="21">
        <v>10</v>
      </c>
      <c r="M237" s="21">
        <f t="shared" ref="M237:M268" si="316">G237*D237</f>
        <v>2625</v>
      </c>
    </row>
    <row r="238" spans="1:13">
      <c r="E238" s="21">
        <f t="shared" si="292"/>
        <v>238</v>
      </c>
      <c r="F238" s="9" t="s">
        <v>142</v>
      </c>
      <c r="M238" s="21">
        <v>18800</v>
      </c>
    </row>
    <row r="239" spans="1:13">
      <c r="A239" s="21" t="s">
        <v>227</v>
      </c>
      <c r="B239" s="21">
        <f t="shared" ref="B239:B270" si="317">QUOTIENT( D239-1,$G$20)+1</f>
        <v>4</v>
      </c>
      <c r="C239" s="21">
        <f t="shared" ref="C239" si="318">D239-(B239-1)*$G$20</f>
        <v>16</v>
      </c>
      <c r="D239" s="21">
        <f>COUNT($D$20:$D238)+1</f>
        <v>106</v>
      </c>
      <c r="E239" s="21">
        <f t="shared" si="292"/>
        <v>239</v>
      </c>
      <c r="F239" s="9" t="s">
        <v>126</v>
      </c>
      <c r="G239" s="21">
        <v>25</v>
      </c>
      <c r="H239" s="21">
        <v>10</v>
      </c>
      <c r="M239" s="21">
        <f t="shared" ref="M239:M270" si="319">G239*D239</f>
        <v>2650</v>
      </c>
    </row>
    <row r="240" spans="1:13">
      <c r="E240" s="21">
        <f t="shared" si="292"/>
        <v>240</v>
      </c>
      <c r="F240" s="9" t="s">
        <v>142</v>
      </c>
      <c r="M240" s="21">
        <v>18800</v>
      </c>
    </row>
    <row r="241" spans="1:13">
      <c r="A241" s="21" t="s">
        <v>227</v>
      </c>
      <c r="B241" s="21">
        <f t="shared" ref="B241:B272" si="320">QUOTIENT( D241-1,$G$20)+1</f>
        <v>4</v>
      </c>
      <c r="C241" s="21">
        <f t="shared" ref="C241" si="321">D241-(B241-1)*$G$20</f>
        <v>17</v>
      </c>
      <c r="D241" s="21">
        <f>COUNT($D$20:$D240)+1</f>
        <v>107</v>
      </c>
      <c r="E241" s="21">
        <f t="shared" si="292"/>
        <v>241</v>
      </c>
      <c r="F241" s="9" t="s">
        <v>126</v>
      </c>
      <c r="G241" s="21">
        <v>25</v>
      </c>
      <c r="H241" s="21">
        <v>10</v>
      </c>
      <c r="M241" s="21">
        <f t="shared" ref="M241:M272" si="322">G241*D241</f>
        <v>2675</v>
      </c>
    </row>
    <row r="242" spans="1:13">
      <c r="E242" s="21">
        <f t="shared" si="292"/>
        <v>242</v>
      </c>
      <c r="F242" s="9" t="s">
        <v>142</v>
      </c>
      <c r="M242" s="21">
        <v>18800</v>
      </c>
    </row>
    <row r="243" spans="1:13">
      <c r="A243" s="21" t="s">
        <v>227</v>
      </c>
      <c r="B243" s="21">
        <f t="shared" ref="B243:B274" si="323">QUOTIENT( D243-1,$G$20)+1</f>
        <v>4</v>
      </c>
      <c r="C243" s="21">
        <f t="shared" ref="C243" si="324">D243-(B243-1)*$G$20</f>
        <v>18</v>
      </c>
      <c r="D243" s="21">
        <f>COUNT($D$20:$D242)+1</f>
        <v>108</v>
      </c>
      <c r="E243" s="21">
        <f t="shared" si="292"/>
        <v>243</v>
      </c>
      <c r="F243" s="9" t="s">
        <v>126</v>
      </c>
      <c r="G243" s="21">
        <v>25</v>
      </c>
      <c r="H243" s="21">
        <v>10</v>
      </c>
      <c r="M243" s="21">
        <f t="shared" ref="M243:M274" si="325">G243*D243</f>
        <v>2700</v>
      </c>
    </row>
    <row r="244" spans="1:13">
      <c r="E244" s="21">
        <f t="shared" si="292"/>
        <v>244</v>
      </c>
      <c r="F244" s="9" t="s">
        <v>142</v>
      </c>
      <c r="M244" s="21">
        <v>18800</v>
      </c>
    </row>
    <row r="245" spans="1:13">
      <c r="A245" s="21" t="s">
        <v>227</v>
      </c>
      <c r="B245" s="21">
        <f t="shared" ref="B245:B276" si="326">QUOTIENT( D245-1,$G$20)+1</f>
        <v>4</v>
      </c>
      <c r="C245" s="21">
        <f t="shared" ref="C245" si="327">D245-(B245-1)*$G$20</f>
        <v>19</v>
      </c>
      <c r="D245" s="21">
        <f>COUNT($D$20:$D244)+1</f>
        <v>109</v>
      </c>
      <c r="E245" s="21">
        <f t="shared" si="292"/>
        <v>245</v>
      </c>
      <c r="F245" s="9" t="s">
        <v>126</v>
      </c>
      <c r="G245" s="21">
        <v>25</v>
      </c>
      <c r="H245" s="21">
        <v>10</v>
      </c>
      <c r="M245" s="21">
        <f t="shared" ref="M245:M276" si="328">G245*D245</f>
        <v>2725</v>
      </c>
    </row>
    <row r="246" spans="1:13">
      <c r="E246" s="21">
        <f t="shared" si="292"/>
        <v>246</v>
      </c>
      <c r="F246" s="9" t="s">
        <v>142</v>
      </c>
      <c r="M246" s="21">
        <v>18800</v>
      </c>
    </row>
    <row r="247" spans="1:13">
      <c r="A247" s="21" t="s">
        <v>227</v>
      </c>
      <c r="B247" s="21">
        <f t="shared" ref="B247:B278" si="329">QUOTIENT( D247-1,$G$20)+1</f>
        <v>4</v>
      </c>
      <c r="C247" s="21">
        <f t="shared" ref="C247" si="330">D247-(B247-1)*$G$20</f>
        <v>20</v>
      </c>
      <c r="D247" s="21">
        <f>COUNT($D$20:$D246)+1</f>
        <v>110</v>
      </c>
      <c r="E247" s="21">
        <f t="shared" si="292"/>
        <v>247</v>
      </c>
      <c r="F247" s="9" t="s">
        <v>126</v>
      </c>
      <c r="G247" s="21">
        <v>25</v>
      </c>
      <c r="H247" s="21">
        <v>10</v>
      </c>
      <c r="M247" s="21">
        <f t="shared" ref="M247:M278" si="331">G247*D247</f>
        <v>2750</v>
      </c>
    </row>
    <row r="248" spans="1:13">
      <c r="E248" s="21">
        <f t="shared" si="292"/>
        <v>248</v>
      </c>
      <c r="F248" s="9" t="s">
        <v>142</v>
      </c>
      <c r="M248" s="21">
        <v>18800</v>
      </c>
    </row>
    <row r="249" spans="1:13">
      <c r="A249" s="21" t="s">
        <v>227</v>
      </c>
      <c r="B249" s="21">
        <f t="shared" ref="B249:B280" si="332">QUOTIENT( D249-1,$G$20)+1</f>
        <v>4</v>
      </c>
      <c r="C249" s="21">
        <f t="shared" ref="C249" si="333">D249-(B249-1)*$G$20</f>
        <v>21</v>
      </c>
      <c r="D249" s="21">
        <f>COUNT($D$20:$D248)+1</f>
        <v>111</v>
      </c>
      <c r="E249" s="21">
        <f t="shared" si="292"/>
        <v>249</v>
      </c>
      <c r="F249" s="9" t="s">
        <v>126</v>
      </c>
      <c r="G249" s="21">
        <v>25</v>
      </c>
      <c r="H249" s="21">
        <v>10</v>
      </c>
      <c r="M249" s="21">
        <f t="shared" ref="M249:M280" si="334">G249*D249</f>
        <v>2775</v>
      </c>
    </row>
    <row r="250" spans="1:13">
      <c r="E250" s="21">
        <f t="shared" si="292"/>
        <v>250</v>
      </c>
      <c r="F250" s="9" t="s">
        <v>142</v>
      </c>
      <c r="M250" s="21">
        <v>18800</v>
      </c>
    </row>
    <row r="251" spans="1:13">
      <c r="A251" s="21" t="s">
        <v>227</v>
      </c>
      <c r="B251" s="21">
        <f t="shared" ref="B251:B282" si="335">QUOTIENT( D251-1,$G$20)+1</f>
        <v>4</v>
      </c>
      <c r="C251" s="21">
        <f t="shared" ref="C251" si="336">D251-(B251-1)*$G$20</f>
        <v>22</v>
      </c>
      <c r="D251" s="21">
        <f>COUNT($D$20:$D250)+1</f>
        <v>112</v>
      </c>
      <c r="E251" s="21">
        <f t="shared" si="292"/>
        <v>251</v>
      </c>
      <c r="F251" s="9" t="s">
        <v>126</v>
      </c>
      <c r="G251" s="21">
        <v>25</v>
      </c>
      <c r="H251" s="21">
        <v>10</v>
      </c>
      <c r="M251" s="21">
        <f t="shared" ref="M251:M282" si="337">G251*D251</f>
        <v>2800</v>
      </c>
    </row>
    <row r="252" spans="1:13">
      <c r="E252" s="21">
        <f t="shared" si="292"/>
        <v>252</v>
      </c>
      <c r="F252" s="9" t="s">
        <v>142</v>
      </c>
      <c r="M252" s="21">
        <v>18800</v>
      </c>
    </row>
    <row r="253" spans="1:13">
      <c r="A253" s="21" t="s">
        <v>227</v>
      </c>
      <c r="B253" s="21">
        <f t="shared" ref="B253:B284" si="338">QUOTIENT( D253-1,$G$20)+1</f>
        <v>4</v>
      </c>
      <c r="C253" s="21">
        <f t="shared" ref="C253" si="339">D253-(B253-1)*$G$20</f>
        <v>23</v>
      </c>
      <c r="D253" s="21">
        <f>COUNT($D$20:$D252)+1</f>
        <v>113</v>
      </c>
      <c r="E253" s="21">
        <f t="shared" si="292"/>
        <v>253</v>
      </c>
      <c r="F253" s="9" t="s">
        <v>126</v>
      </c>
      <c r="G253" s="21">
        <v>25</v>
      </c>
      <c r="H253" s="21">
        <v>10</v>
      </c>
      <c r="M253" s="21">
        <f t="shared" ref="M253:M284" si="340">G253*D253</f>
        <v>2825</v>
      </c>
    </row>
    <row r="254" spans="1:13">
      <c r="E254" s="21">
        <f t="shared" si="292"/>
        <v>254</v>
      </c>
      <c r="F254" s="9" t="s">
        <v>142</v>
      </c>
      <c r="M254" s="21">
        <v>18800</v>
      </c>
    </row>
    <row r="255" spans="1:13">
      <c r="A255" s="21" t="s">
        <v>227</v>
      </c>
      <c r="B255" s="21">
        <f t="shared" ref="B255:B286" si="341">QUOTIENT( D255-1,$G$20)+1</f>
        <v>4</v>
      </c>
      <c r="C255" s="21">
        <f t="shared" ref="C255" si="342">D255-(B255-1)*$G$20</f>
        <v>24</v>
      </c>
      <c r="D255" s="21">
        <f>COUNT($D$20:$D254)+1</f>
        <v>114</v>
      </c>
      <c r="E255" s="21">
        <f t="shared" si="292"/>
        <v>255</v>
      </c>
      <c r="F255" s="9" t="s">
        <v>126</v>
      </c>
      <c r="G255" s="21">
        <v>25</v>
      </c>
      <c r="H255" s="21">
        <v>10</v>
      </c>
      <c r="M255" s="21">
        <f t="shared" ref="M255:M286" si="343">G255*D255</f>
        <v>2850</v>
      </c>
    </row>
    <row r="256" spans="1:13">
      <c r="E256" s="21">
        <f t="shared" si="292"/>
        <v>256</v>
      </c>
      <c r="F256" s="9" t="s">
        <v>142</v>
      </c>
      <c r="M256" s="21">
        <v>18800</v>
      </c>
    </row>
    <row r="257" spans="1:13">
      <c r="A257" s="21" t="s">
        <v>227</v>
      </c>
      <c r="B257" s="21">
        <f t="shared" ref="B257:B288" si="344">QUOTIENT( D257-1,$G$20)+1</f>
        <v>4</v>
      </c>
      <c r="C257" s="21">
        <f t="shared" ref="C257" si="345">D257-(B257-1)*$G$20</f>
        <v>25</v>
      </c>
      <c r="D257" s="21">
        <f>COUNT($D$20:$D256)+1</f>
        <v>115</v>
      </c>
      <c r="E257" s="21">
        <f t="shared" si="292"/>
        <v>257</v>
      </c>
      <c r="F257" s="9" t="s">
        <v>126</v>
      </c>
      <c r="G257" s="21">
        <v>25</v>
      </c>
      <c r="H257" s="21">
        <v>10</v>
      </c>
      <c r="M257" s="21">
        <f t="shared" ref="M257:M288" si="346">G257*D257</f>
        <v>2875</v>
      </c>
    </row>
    <row r="258" spans="1:13">
      <c r="E258" s="21">
        <f t="shared" si="292"/>
        <v>258</v>
      </c>
      <c r="F258" s="9" t="s">
        <v>142</v>
      </c>
      <c r="M258" s="21">
        <v>18800</v>
      </c>
    </row>
    <row r="259" spans="1:13">
      <c r="A259" s="21" t="s">
        <v>227</v>
      </c>
      <c r="B259" s="21">
        <f t="shared" ref="B259:B290" si="347">QUOTIENT( D259-1,$G$20)+1</f>
        <v>4</v>
      </c>
      <c r="C259" s="21">
        <f t="shared" ref="C259" si="348">D259-(B259-1)*$G$20</f>
        <v>26</v>
      </c>
      <c r="D259" s="21">
        <f>COUNT($D$20:$D258)+1</f>
        <v>116</v>
      </c>
      <c r="E259" s="21">
        <f t="shared" si="292"/>
        <v>259</v>
      </c>
      <c r="F259" s="9" t="s">
        <v>126</v>
      </c>
      <c r="G259" s="21">
        <v>25</v>
      </c>
      <c r="H259" s="21">
        <v>10</v>
      </c>
      <c r="M259" s="21">
        <f t="shared" ref="M259:M290" si="349">G259*D259</f>
        <v>2900</v>
      </c>
    </row>
    <row r="260" spans="1:13">
      <c r="E260" s="21">
        <f t="shared" si="292"/>
        <v>260</v>
      </c>
      <c r="F260" s="9" t="s">
        <v>142</v>
      </c>
      <c r="M260" s="21">
        <v>18800</v>
      </c>
    </row>
    <row r="261" spans="1:13">
      <c r="A261" s="21" t="s">
        <v>227</v>
      </c>
      <c r="B261" s="21">
        <f t="shared" ref="B261:B292" si="350">QUOTIENT( D261-1,$G$20)+1</f>
        <v>4</v>
      </c>
      <c r="C261" s="21">
        <f t="shared" ref="C261" si="351">D261-(B261-1)*$G$20</f>
        <v>27</v>
      </c>
      <c r="D261" s="21">
        <f>COUNT($D$20:$D260)+1</f>
        <v>117</v>
      </c>
      <c r="E261" s="21">
        <f t="shared" si="292"/>
        <v>261</v>
      </c>
      <c r="F261" s="9" t="s">
        <v>126</v>
      </c>
      <c r="G261" s="21">
        <v>25</v>
      </c>
      <c r="H261" s="21">
        <v>10</v>
      </c>
      <c r="M261" s="21">
        <f t="shared" ref="M261:M292" si="352">G261*D261</f>
        <v>2925</v>
      </c>
    </row>
    <row r="262" spans="1:13">
      <c r="E262" s="21">
        <f t="shared" si="292"/>
        <v>262</v>
      </c>
      <c r="F262" s="9" t="s">
        <v>142</v>
      </c>
      <c r="M262" s="21">
        <v>18800</v>
      </c>
    </row>
    <row r="263" spans="1:13">
      <c r="A263" s="21" t="s">
        <v>227</v>
      </c>
      <c r="B263" s="21">
        <f t="shared" ref="B263:B294" si="353">QUOTIENT( D263-1,$G$20)+1</f>
        <v>4</v>
      </c>
      <c r="C263" s="21">
        <f t="shared" ref="C263" si="354">D263-(B263-1)*$G$20</f>
        <v>28</v>
      </c>
      <c r="D263" s="21">
        <f>COUNT($D$20:$D262)+1</f>
        <v>118</v>
      </c>
      <c r="E263" s="21">
        <f t="shared" si="292"/>
        <v>263</v>
      </c>
      <c r="F263" s="9" t="s">
        <v>126</v>
      </c>
      <c r="G263" s="21">
        <v>25</v>
      </c>
      <c r="H263" s="21">
        <v>10</v>
      </c>
      <c r="M263" s="21">
        <f t="shared" ref="M263:M294" si="355">G263*D263</f>
        <v>2950</v>
      </c>
    </row>
    <row r="264" spans="1:13">
      <c r="E264" s="21">
        <f t="shared" si="292"/>
        <v>264</v>
      </c>
      <c r="F264" s="9" t="s">
        <v>142</v>
      </c>
      <c r="M264" s="21">
        <v>18800</v>
      </c>
    </row>
    <row r="265" spans="1:13">
      <c r="A265" s="21" t="s">
        <v>227</v>
      </c>
      <c r="B265" s="21">
        <f t="shared" ref="B265:B296" si="356">QUOTIENT( D265-1,$G$20)+1</f>
        <v>4</v>
      </c>
      <c r="C265" s="21">
        <f t="shared" ref="C265" si="357">D265-(B265-1)*$G$20</f>
        <v>29</v>
      </c>
      <c r="D265" s="21">
        <f>COUNT($D$20:$D264)+1</f>
        <v>119</v>
      </c>
      <c r="E265" s="21">
        <f t="shared" si="292"/>
        <v>265</v>
      </c>
      <c r="F265" s="9" t="s">
        <v>126</v>
      </c>
      <c r="G265" s="21">
        <v>25</v>
      </c>
      <c r="H265" s="21">
        <v>10</v>
      </c>
      <c r="M265" s="21">
        <f t="shared" ref="M265:M296" si="358">G265*D265</f>
        <v>2975</v>
      </c>
    </row>
    <row r="266" spans="1:13">
      <c r="E266" s="21">
        <f t="shared" si="292"/>
        <v>266</v>
      </c>
      <c r="F266" s="9" t="s">
        <v>142</v>
      </c>
      <c r="M266" s="21">
        <v>18800</v>
      </c>
    </row>
    <row r="267" spans="1:13">
      <c r="A267" s="21" t="s">
        <v>227</v>
      </c>
      <c r="B267" s="21">
        <f t="shared" ref="B267:B298" si="359">QUOTIENT( D267-1,$G$20)+1</f>
        <v>4</v>
      </c>
      <c r="C267" s="21">
        <f t="shared" ref="C267" si="360">D267-(B267-1)*$G$20</f>
        <v>30</v>
      </c>
      <c r="D267" s="21">
        <f>COUNT($D$20:$D266)+1</f>
        <v>120</v>
      </c>
      <c r="E267" s="21">
        <f t="shared" si="292"/>
        <v>267</v>
      </c>
      <c r="F267" s="9" t="s">
        <v>126</v>
      </c>
      <c r="G267" s="21">
        <v>25</v>
      </c>
      <c r="H267" s="21">
        <v>10</v>
      </c>
      <c r="M267" s="21">
        <f t="shared" ref="M267:M298" si="361">G267*D267</f>
        <v>3000</v>
      </c>
    </row>
    <row r="268" spans="1:13">
      <c r="E268" s="21">
        <f t="shared" si="292"/>
        <v>268</v>
      </c>
      <c r="F268" s="9" t="s">
        <v>142</v>
      </c>
      <c r="M268" s="21">
        <v>18800</v>
      </c>
    </row>
    <row r="269" spans="1:13">
      <c r="A269" s="21" t="s">
        <v>227</v>
      </c>
      <c r="B269" s="21">
        <f t="shared" ref="B269:B300" si="362">QUOTIENT( D269-1,$G$20)+1</f>
        <v>5</v>
      </c>
      <c r="C269" s="21">
        <f t="shared" ref="C269" si="363">D269-(B269-1)*$G$20</f>
        <v>1</v>
      </c>
      <c r="D269" s="21">
        <f>COUNT($D$20:$D268)+1</f>
        <v>121</v>
      </c>
      <c r="E269" s="21">
        <f t="shared" si="292"/>
        <v>269</v>
      </c>
      <c r="F269" s="9" t="s">
        <v>126</v>
      </c>
      <c r="G269" s="21">
        <v>25</v>
      </c>
      <c r="H269" s="21">
        <v>10</v>
      </c>
      <c r="M269" s="21">
        <f t="shared" ref="M269:M300" si="364">G269*D269</f>
        <v>3025</v>
      </c>
    </row>
    <row r="270" spans="1:13">
      <c r="E270" s="21">
        <f t="shared" si="292"/>
        <v>270</v>
      </c>
      <c r="F270" s="9" t="s">
        <v>142</v>
      </c>
      <c r="M270" s="21">
        <v>18800</v>
      </c>
    </row>
    <row r="271" spans="1:13">
      <c r="A271" s="21" t="s">
        <v>227</v>
      </c>
      <c r="B271" s="21">
        <f t="shared" ref="B271:B302" si="365">QUOTIENT( D271-1,$G$20)+1</f>
        <v>5</v>
      </c>
      <c r="C271" s="21">
        <f t="shared" ref="C271" si="366">D271-(B271-1)*$G$20</f>
        <v>2</v>
      </c>
      <c r="D271" s="21">
        <f>COUNT($D$20:$D270)+1</f>
        <v>122</v>
      </c>
      <c r="E271" s="21">
        <f t="shared" si="292"/>
        <v>271</v>
      </c>
      <c r="F271" s="9" t="s">
        <v>126</v>
      </c>
      <c r="G271" s="21">
        <v>25</v>
      </c>
      <c r="H271" s="21">
        <v>10</v>
      </c>
      <c r="M271" s="21">
        <f t="shared" ref="M271:M302" si="367">G271*D271</f>
        <v>3050</v>
      </c>
    </row>
    <row r="272" spans="1:13">
      <c r="E272" s="21">
        <f t="shared" si="292"/>
        <v>272</v>
      </c>
      <c r="F272" s="9" t="s">
        <v>142</v>
      </c>
      <c r="M272" s="21">
        <v>18800</v>
      </c>
    </row>
    <row r="273" spans="1:13">
      <c r="A273" s="21" t="s">
        <v>227</v>
      </c>
      <c r="B273" s="21">
        <f t="shared" ref="B273:B304" si="368">QUOTIENT( D273-1,$G$20)+1</f>
        <v>5</v>
      </c>
      <c r="C273" s="21">
        <f t="shared" ref="C273" si="369">D273-(B273-1)*$G$20</f>
        <v>3</v>
      </c>
      <c r="D273" s="21">
        <f>COUNT($D$20:$D272)+1</f>
        <v>123</v>
      </c>
      <c r="E273" s="21">
        <f t="shared" si="292"/>
        <v>273</v>
      </c>
      <c r="F273" s="9" t="s">
        <v>126</v>
      </c>
      <c r="G273" s="21">
        <v>25</v>
      </c>
      <c r="H273" s="21">
        <v>10</v>
      </c>
      <c r="M273" s="21">
        <f t="shared" ref="M273:M304" si="370">G273*D273</f>
        <v>3075</v>
      </c>
    </row>
    <row r="274" spans="1:13">
      <c r="E274" s="21">
        <f t="shared" si="292"/>
        <v>274</v>
      </c>
      <c r="F274" s="9" t="s">
        <v>142</v>
      </c>
      <c r="M274" s="21">
        <v>18800</v>
      </c>
    </row>
    <row r="275" spans="1:13">
      <c r="A275" s="21" t="s">
        <v>227</v>
      </c>
      <c r="B275" s="21">
        <f t="shared" ref="B275:B306" si="371">QUOTIENT( D275-1,$G$20)+1</f>
        <v>5</v>
      </c>
      <c r="C275" s="21">
        <f t="shared" ref="C275" si="372">D275-(B275-1)*$G$20</f>
        <v>4</v>
      </c>
      <c r="D275" s="21">
        <f>COUNT($D$20:$D274)+1</f>
        <v>124</v>
      </c>
      <c r="E275" s="21">
        <f t="shared" si="292"/>
        <v>275</v>
      </c>
      <c r="F275" s="9" t="s">
        <v>126</v>
      </c>
      <c r="G275" s="21">
        <v>25</v>
      </c>
      <c r="H275" s="21">
        <v>10</v>
      </c>
      <c r="M275" s="21">
        <f t="shared" ref="M275:M306" si="373">G275*D275</f>
        <v>3100</v>
      </c>
    </row>
    <row r="276" spans="1:13">
      <c r="E276" s="21">
        <f t="shared" si="292"/>
        <v>276</v>
      </c>
      <c r="F276" s="9" t="s">
        <v>142</v>
      </c>
      <c r="M276" s="21">
        <v>18800</v>
      </c>
    </row>
    <row r="277" spans="1:13">
      <c r="A277" s="21" t="s">
        <v>227</v>
      </c>
      <c r="B277" s="21">
        <f t="shared" ref="B277:B308" si="374">QUOTIENT( D277-1,$G$20)+1</f>
        <v>5</v>
      </c>
      <c r="C277" s="21">
        <f t="shared" ref="C277" si="375">D277-(B277-1)*$G$20</f>
        <v>5</v>
      </c>
      <c r="D277" s="21">
        <f>COUNT($D$20:$D276)+1</f>
        <v>125</v>
      </c>
      <c r="E277" s="21">
        <f t="shared" si="292"/>
        <v>277</v>
      </c>
      <c r="F277" s="9" t="s">
        <v>126</v>
      </c>
      <c r="G277" s="21">
        <v>25</v>
      </c>
      <c r="H277" s="21">
        <v>10</v>
      </c>
      <c r="M277" s="21">
        <f t="shared" ref="M277:M308" si="376">G277*D277</f>
        <v>3125</v>
      </c>
    </row>
    <row r="278" spans="1:13">
      <c r="E278" s="21">
        <f t="shared" si="292"/>
        <v>278</v>
      </c>
      <c r="F278" s="9" t="s">
        <v>142</v>
      </c>
      <c r="M278" s="21">
        <v>18800</v>
      </c>
    </row>
    <row r="279" spans="1:13">
      <c r="A279" s="21" t="s">
        <v>227</v>
      </c>
      <c r="B279" s="21">
        <f t="shared" ref="B279:B310" si="377">QUOTIENT( D279-1,$G$20)+1</f>
        <v>5</v>
      </c>
      <c r="C279" s="21">
        <f t="shared" ref="C279" si="378">D279-(B279-1)*$G$20</f>
        <v>6</v>
      </c>
      <c r="D279" s="21">
        <f>COUNT($D$20:$D278)+1</f>
        <v>126</v>
      </c>
      <c r="E279" s="21">
        <f t="shared" si="292"/>
        <v>279</v>
      </c>
      <c r="F279" s="9" t="s">
        <v>126</v>
      </c>
      <c r="G279" s="21">
        <v>25</v>
      </c>
      <c r="H279" s="21">
        <v>10</v>
      </c>
      <c r="M279" s="21">
        <f t="shared" ref="M279:M310" si="379">G279*D279</f>
        <v>3150</v>
      </c>
    </row>
    <row r="280" spans="1:13">
      <c r="E280" s="21">
        <f t="shared" si="292"/>
        <v>280</v>
      </c>
      <c r="F280" s="9" t="s">
        <v>142</v>
      </c>
      <c r="M280" s="21">
        <v>18800</v>
      </c>
    </row>
    <row r="281" spans="1:13">
      <c r="A281" s="21" t="s">
        <v>227</v>
      </c>
      <c r="B281" s="21">
        <f t="shared" ref="B281:B328" si="380">QUOTIENT( D281-1,$G$20)+1</f>
        <v>5</v>
      </c>
      <c r="C281" s="21">
        <f t="shared" ref="C281" si="381">D281-(B281-1)*$G$20</f>
        <v>7</v>
      </c>
      <c r="D281" s="21">
        <f>COUNT($D$20:$D280)+1</f>
        <v>127</v>
      </c>
      <c r="E281" s="21">
        <f t="shared" si="292"/>
        <v>281</v>
      </c>
      <c r="F281" s="9" t="s">
        <v>126</v>
      </c>
      <c r="G281" s="21">
        <v>25</v>
      </c>
      <c r="H281" s="21">
        <v>10</v>
      </c>
      <c r="M281" s="21">
        <f t="shared" ref="M281:M328" si="382">G281*D281</f>
        <v>3175</v>
      </c>
    </row>
    <row r="282" spans="1:13">
      <c r="E282" s="21">
        <f t="shared" si="292"/>
        <v>282</v>
      </c>
      <c r="F282" s="9" t="s">
        <v>142</v>
      </c>
      <c r="M282" s="21">
        <v>18800</v>
      </c>
    </row>
    <row r="283" spans="1:13">
      <c r="A283" s="21" t="s">
        <v>227</v>
      </c>
      <c r="B283" s="21">
        <f t="shared" ref="B283:B328" si="383">QUOTIENT( D283-1,$G$20)+1</f>
        <v>5</v>
      </c>
      <c r="C283" s="21">
        <f t="shared" ref="C283" si="384">D283-(B283-1)*$G$20</f>
        <v>8</v>
      </c>
      <c r="D283" s="21">
        <f>COUNT($D$20:$D282)+1</f>
        <v>128</v>
      </c>
      <c r="E283" s="21">
        <f t="shared" si="292"/>
        <v>283</v>
      </c>
      <c r="F283" s="9" t="s">
        <v>126</v>
      </c>
      <c r="G283" s="21">
        <v>25</v>
      </c>
      <c r="H283" s="21">
        <v>10</v>
      </c>
      <c r="M283" s="21">
        <f t="shared" ref="M283:M328" si="385">G283*D283</f>
        <v>3200</v>
      </c>
    </row>
    <row r="284" spans="1:13">
      <c r="E284" s="21">
        <f t="shared" si="292"/>
        <v>284</v>
      </c>
      <c r="F284" s="9" t="s">
        <v>142</v>
      </c>
      <c r="M284" s="21">
        <v>18800</v>
      </c>
    </row>
    <row r="285" spans="1:13">
      <c r="A285" s="21" t="s">
        <v>227</v>
      </c>
      <c r="B285" s="21">
        <f t="shared" ref="B285:B328" si="386">QUOTIENT( D285-1,$G$20)+1</f>
        <v>5</v>
      </c>
      <c r="C285" s="21">
        <f t="shared" ref="C285" si="387">D285-(B285-1)*$G$20</f>
        <v>9</v>
      </c>
      <c r="D285" s="21">
        <f>COUNT($D$20:$D284)+1</f>
        <v>129</v>
      </c>
      <c r="E285" s="21">
        <f t="shared" si="292"/>
        <v>285</v>
      </c>
      <c r="F285" s="9" t="s">
        <v>126</v>
      </c>
      <c r="G285" s="21">
        <v>25</v>
      </c>
      <c r="H285" s="21">
        <v>10</v>
      </c>
      <c r="M285" s="21">
        <f t="shared" ref="M285:M328" si="388">G285*D285</f>
        <v>3225</v>
      </c>
    </row>
    <row r="286" spans="1:13">
      <c r="E286" s="21">
        <f t="shared" ref="E286:E328" si="389">ROW(E286)</f>
        <v>286</v>
      </c>
      <c r="F286" s="9" t="s">
        <v>142</v>
      </c>
      <c r="M286" s="21">
        <v>18800</v>
      </c>
    </row>
    <row r="287" spans="1:13">
      <c r="A287" s="21" t="s">
        <v>227</v>
      </c>
      <c r="B287" s="21">
        <f t="shared" ref="B287:B328" si="390">QUOTIENT( D287-1,$G$20)+1</f>
        <v>5</v>
      </c>
      <c r="C287" s="21">
        <f t="shared" ref="C287" si="391">D287-(B287-1)*$G$20</f>
        <v>10</v>
      </c>
      <c r="D287" s="21">
        <f>COUNT($D$20:$D286)+1</f>
        <v>130</v>
      </c>
      <c r="E287" s="21">
        <f t="shared" si="389"/>
        <v>287</v>
      </c>
      <c r="F287" s="9" t="s">
        <v>126</v>
      </c>
      <c r="G287" s="21">
        <v>25</v>
      </c>
      <c r="H287" s="21">
        <v>10</v>
      </c>
      <c r="M287" s="21">
        <f t="shared" ref="M287:M328" si="392">G287*D287</f>
        <v>3250</v>
      </c>
    </row>
    <row r="288" spans="1:13">
      <c r="E288" s="21">
        <f t="shared" si="389"/>
        <v>288</v>
      </c>
      <c r="F288" s="9" t="s">
        <v>142</v>
      </c>
      <c r="M288" s="21">
        <v>18800</v>
      </c>
    </row>
    <row r="289" spans="1:13">
      <c r="A289" s="21" t="s">
        <v>227</v>
      </c>
      <c r="B289" s="21">
        <f t="shared" ref="B289:B328" si="393">QUOTIENT( D289-1,$G$20)+1</f>
        <v>5</v>
      </c>
      <c r="C289" s="21">
        <f t="shared" ref="C289" si="394">D289-(B289-1)*$G$20</f>
        <v>11</v>
      </c>
      <c r="D289" s="21">
        <f>COUNT($D$20:$D288)+1</f>
        <v>131</v>
      </c>
      <c r="E289" s="21">
        <f t="shared" si="389"/>
        <v>289</v>
      </c>
      <c r="F289" s="9" t="s">
        <v>126</v>
      </c>
      <c r="G289" s="21">
        <v>25</v>
      </c>
      <c r="H289" s="21">
        <v>10</v>
      </c>
      <c r="M289" s="21">
        <f t="shared" ref="M289:M328" si="395">G289*D289</f>
        <v>3275</v>
      </c>
    </row>
    <row r="290" spans="1:13">
      <c r="E290" s="21">
        <f t="shared" si="389"/>
        <v>290</v>
      </c>
      <c r="F290" s="9" t="s">
        <v>142</v>
      </c>
      <c r="M290" s="21">
        <v>18800</v>
      </c>
    </row>
    <row r="291" spans="1:13">
      <c r="A291" s="21" t="s">
        <v>227</v>
      </c>
      <c r="B291" s="21">
        <f t="shared" ref="B291:B328" si="396">QUOTIENT( D291-1,$G$20)+1</f>
        <v>5</v>
      </c>
      <c r="C291" s="21">
        <f t="shared" ref="C291" si="397">D291-(B291-1)*$G$20</f>
        <v>12</v>
      </c>
      <c r="D291" s="21">
        <f>COUNT($D$20:$D290)+1</f>
        <v>132</v>
      </c>
      <c r="E291" s="21">
        <f t="shared" si="389"/>
        <v>291</v>
      </c>
      <c r="F291" s="9" t="s">
        <v>126</v>
      </c>
      <c r="G291" s="21">
        <v>25</v>
      </c>
      <c r="H291" s="21">
        <v>10</v>
      </c>
      <c r="M291" s="21">
        <f t="shared" ref="M291:M328" si="398">G291*D291</f>
        <v>3300</v>
      </c>
    </row>
    <row r="292" spans="1:13">
      <c r="E292" s="21">
        <f t="shared" si="389"/>
        <v>292</v>
      </c>
      <c r="F292" s="9" t="s">
        <v>142</v>
      </c>
      <c r="M292" s="21">
        <v>18800</v>
      </c>
    </row>
    <row r="293" spans="1:13">
      <c r="A293" s="21" t="s">
        <v>227</v>
      </c>
      <c r="B293" s="21">
        <f t="shared" ref="B293:B328" si="399">QUOTIENT( D293-1,$G$20)+1</f>
        <v>5</v>
      </c>
      <c r="C293" s="21">
        <f t="shared" ref="C293" si="400">D293-(B293-1)*$G$20</f>
        <v>13</v>
      </c>
      <c r="D293" s="21">
        <f>COUNT($D$20:$D292)+1</f>
        <v>133</v>
      </c>
      <c r="E293" s="21">
        <f t="shared" si="389"/>
        <v>293</v>
      </c>
      <c r="F293" s="9" t="s">
        <v>126</v>
      </c>
      <c r="G293" s="21">
        <v>25</v>
      </c>
      <c r="H293" s="21">
        <v>10</v>
      </c>
      <c r="M293" s="21">
        <f t="shared" ref="M293:M328" si="401">G293*D293</f>
        <v>3325</v>
      </c>
    </row>
    <row r="294" spans="1:13">
      <c r="E294" s="21">
        <f t="shared" si="389"/>
        <v>294</v>
      </c>
      <c r="F294" s="9" t="s">
        <v>142</v>
      </c>
      <c r="M294" s="21">
        <v>18800</v>
      </c>
    </row>
    <row r="295" spans="1:13">
      <c r="A295" s="21" t="s">
        <v>227</v>
      </c>
      <c r="B295" s="21">
        <f t="shared" ref="B295:B328" si="402">QUOTIENT( D295-1,$G$20)+1</f>
        <v>5</v>
      </c>
      <c r="C295" s="21">
        <f t="shared" ref="C295" si="403">D295-(B295-1)*$G$20</f>
        <v>14</v>
      </c>
      <c r="D295" s="21">
        <f>COUNT($D$20:$D294)+1</f>
        <v>134</v>
      </c>
      <c r="E295" s="21">
        <f t="shared" si="389"/>
        <v>295</v>
      </c>
      <c r="F295" s="9" t="s">
        <v>126</v>
      </c>
      <c r="G295" s="21">
        <v>25</v>
      </c>
      <c r="H295" s="21">
        <v>10</v>
      </c>
      <c r="M295" s="21">
        <f t="shared" ref="M295:M328" si="404">G295*D295</f>
        <v>3350</v>
      </c>
    </row>
    <row r="296" spans="1:13">
      <c r="E296" s="21">
        <f t="shared" si="389"/>
        <v>296</v>
      </c>
      <c r="F296" s="9" t="s">
        <v>142</v>
      </c>
      <c r="M296" s="21">
        <v>18800</v>
      </c>
    </row>
    <row r="297" spans="1:13">
      <c r="A297" s="21" t="s">
        <v>227</v>
      </c>
      <c r="B297" s="21">
        <f t="shared" ref="B297:B328" si="405">QUOTIENT( D297-1,$G$20)+1</f>
        <v>5</v>
      </c>
      <c r="C297" s="21">
        <f t="shared" ref="C297" si="406">D297-(B297-1)*$G$20</f>
        <v>15</v>
      </c>
      <c r="D297" s="21">
        <f>COUNT($D$20:$D296)+1</f>
        <v>135</v>
      </c>
      <c r="E297" s="21">
        <f t="shared" si="389"/>
        <v>297</v>
      </c>
      <c r="F297" s="9" t="s">
        <v>126</v>
      </c>
      <c r="G297" s="21">
        <v>25</v>
      </c>
      <c r="H297" s="21">
        <v>10</v>
      </c>
      <c r="M297" s="21">
        <f t="shared" ref="M297:M328" si="407">G297*D297</f>
        <v>3375</v>
      </c>
    </row>
    <row r="298" spans="1:13">
      <c r="E298" s="21">
        <f t="shared" si="389"/>
        <v>298</v>
      </c>
      <c r="F298" s="9" t="s">
        <v>142</v>
      </c>
      <c r="M298" s="21">
        <v>18800</v>
      </c>
    </row>
    <row r="299" spans="1:13">
      <c r="A299" s="21" t="s">
        <v>227</v>
      </c>
      <c r="B299" s="21">
        <f t="shared" ref="B299:B328" si="408">QUOTIENT( D299-1,$G$20)+1</f>
        <v>5</v>
      </c>
      <c r="C299" s="21">
        <f t="shared" ref="C299" si="409">D299-(B299-1)*$G$20</f>
        <v>16</v>
      </c>
      <c r="D299" s="21">
        <f>COUNT($D$20:$D298)+1</f>
        <v>136</v>
      </c>
      <c r="E299" s="21">
        <f t="shared" si="389"/>
        <v>299</v>
      </c>
      <c r="F299" s="9" t="s">
        <v>126</v>
      </c>
      <c r="G299" s="21">
        <v>25</v>
      </c>
      <c r="H299" s="21">
        <v>10</v>
      </c>
      <c r="M299" s="21">
        <f t="shared" ref="M299:M328" si="410">G299*D299</f>
        <v>3400</v>
      </c>
    </row>
    <row r="300" spans="1:13">
      <c r="E300" s="21">
        <f t="shared" si="389"/>
        <v>300</v>
      </c>
      <c r="F300" s="9" t="s">
        <v>142</v>
      </c>
      <c r="M300" s="21">
        <v>18800</v>
      </c>
    </row>
    <row r="301" spans="1:13">
      <c r="A301" s="21" t="s">
        <v>227</v>
      </c>
      <c r="B301" s="21">
        <f t="shared" ref="B301:B328" si="411">QUOTIENT( D301-1,$G$20)+1</f>
        <v>5</v>
      </c>
      <c r="C301" s="21">
        <f t="shared" ref="C301" si="412">D301-(B301-1)*$G$20</f>
        <v>17</v>
      </c>
      <c r="D301" s="21">
        <f>COUNT($D$20:$D300)+1</f>
        <v>137</v>
      </c>
      <c r="E301" s="21">
        <f t="shared" si="389"/>
        <v>301</v>
      </c>
      <c r="F301" s="9" t="s">
        <v>126</v>
      </c>
      <c r="G301" s="21">
        <v>25</v>
      </c>
      <c r="H301" s="21">
        <v>10</v>
      </c>
      <c r="M301" s="21">
        <f t="shared" ref="M301:M328" si="413">G301*D301</f>
        <v>3425</v>
      </c>
    </row>
    <row r="302" spans="1:13">
      <c r="E302" s="21">
        <f t="shared" si="389"/>
        <v>302</v>
      </c>
      <c r="F302" s="9" t="s">
        <v>142</v>
      </c>
      <c r="M302" s="21">
        <v>18800</v>
      </c>
    </row>
    <row r="303" spans="1:13">
      <c r="A303" s="21" t="s">
        <v>227</v>
      </c>
      <c r="B303" s="21">
        <f t="shared" ref="B303:B328" si="414">QUOTIENT( D303-1,$G$20)+1</f>
        <v>5</v>
      </c>
      <c r="C303" s="21">
        <f t="shared" ref="C303" si="415">D303-(B303-1)*$G$20</f>
        <v>18</v>
      </c>
      <c r="D303" s="21">
        <f>COUNT($D$20:$D302)+1</f>
        <v>138</v>
      </c>
      <c r="E303" s="21">
        <f t="shared" si="389"/>
        <v>303</v>
      </c>
      <c r="F303" s="9" t="s">
        <v>126</v>
      </c>
      <c r="G303" s="21">
        <v>25</v>
      </c>
      <c r="H303" s="21">
        <v>10</v>
      </c>
      <c r="M303" s="21">
        <f t="shared" ref="M303:M328" si="416">G303*D303</f>
        <v>3450</v>
      </c>
    </row>
    <row r="304" spans="1:13">
      <c r="E304" s="21">
        <f t="shared" si="389"/>
        <v>304</v>
      </c>
      <c r="F304" s="9" t="s">
        <v>142</v>
      </c>
      <c r="M304" s="21">
        <v>18800</v>
      </c>
    </row>
    <row r="305" spans="1:13">
      <c r="A305" s="21" t="s">
        <v>227</v>
      </c>
      <c r="B305" s="21">
        <f t="shared" ref="B305:B328" si="417">QUOTIENT( D305-1,$G$20)+1</f>
        <v>5</v>
      </c>
      <c r="C305" s="21">
        <f t="shared" ref="C305" si="418">D305-(B305-1)*$G$20</f>
        <v>19</v>
      </c>
      <c r="D305" s="21">
        <f>COUNT($D$20:$D304)+1</f>
        <v>139</v>
      </c>
      <c r="E305" s="21">
        <f t="shared" si="389"/>
        <v>305</v>
      </c>
      <c r="F305" s="9" t="s">
        <v>126</v>
      </c>
      <c r="G305" s="21">
        <v>25</v>
      </c>
      <c r="H305" s="21">
        <v>10</v>
      </c>
      <c r="M305" s="21">
        <f t="shared" ref="M305:M328" si="419">G305*D305</f>
        <v>3475</v>
      </c>
    </row>
    <row r="306" spans="1:13">
      <c r="E306" s="21">
        <f t="shared" si="389"/>
        <v>306</v>
      </c>
      <c r="F306" s="9" t="s">
        <v>142</v>
      </c>
      <c r="M306" s="21">
        <v>18800</v>
      </c>
    </row>
    <row r="307" spans="1:13">
      <c r="A307" s="21" t="s">
        <v>227</v>
      </c>
      <c r="B307" s="21">
        <f t="shared" ref="B307:B328" si="420">QUOTIENT( D307-1,$G$20)+1</f>
        <v>5</v>
      </c>
      <c r="C307" s="21">
        <f t="shared" ref="C307" si="421">D307-(B307-1)*$G$20</f>
        <v>20</v>
      </c>
      <c r="D307" s="21">
        <f>COUNT($D$20:$D306)+1</f>
        <v>140</v>
      </c>
      <c r="E307" s="21">
        <f t="shared" si="389"/>
        <v>307</v>
      </c>
      <c r="F307" s="9" t="s">
        <v>126</v>
      </c>
      <c r="G307" s="21">
        <v>25</v>
      </c>
      <c r="H307" s="21">
        <v>10</v>
      </c>
      <c r="M307" s="21">
        <f t="shared" ref="M307:M328" si="422">G307*D307</f>
        <v>3500</v>
      </c>
    </row>
    <row r="308" spans="1:13">
      <c r="E308" s="21">
        <f t="shared" si="389"/>
        <v>308</v>
      </c>
      <c r="F308" s="9" t="s">
        <v>142</v>
      </c>
      <c r="M308" s="21">
        <v>18800</v>
      </c>
    </row>
    <row r="309" spans="1:13">
      <c r="A309" s="21" t="s">
        <v>227</v>
      </c>
      <c r="B309" s="21">
        <f t="shared" ref="B309:B328" si="423">QUOTIENT( D309-1,$G$20)+1</f>
        <v>5</v>
      </c>
      <c r="C309" s="21">
        <f t="shared" ref="C309" si="424">D309-(B309-1)*$G$20</f>
        <v>21</v>
      </c>
      <c r="D309" s="21">
        <f>COUNT($D$20:$D308)+1</f>
        <v>141</v>
      </c>
      <c r="E309" s="21">
        <f t="shared" si="389"/>
        <v>309</v>
      </c>
      <c r="F309" s="9" t="s">
        <v>126</v>
      </c>
      <c r="G309" s="21">
        <v>25</v>
      </c>
      <c r="H309" s="21">
        <v>10</v>
      </c>
      <c r="M309" s="21">
        <f t="shared" ref="M309:M328" si="425">G309*D309</f>
        <v>3525</v>
      </c>
    </row>
    <row r="310" spans="1:13">
      <c r="E310" s="21">
        <f t="shared" si="389"/>
        <v>310</v>
      </c>
      <c r="F310" s="9" t="s">
        <v>142</v>
      </c>
      <c r="M310" s="21">
        <v>18800</v>
      </c>
    </row>
    <row r="311" spans="1:13">
      <c r="A311" s="21" t="s">
        <v>227</v>
      </c>
      <c r="B311" s="21">
        <f t="shared" ref="B311:B328" si="426">QUOTIENT( D311-1,$G$20)+1</f>
        <v>5</v>
      </c>
      <c r="C311" s="21">
        <f t="shared" ref="C311" si="427">D311-(B311-1)*$G$20</f>
        <v>22</v>
      </c>
      <c r="D311" s="21">
        <f>COUNT($D$20:$D310)+1</f>
        <v>142</v>
      </c>
      <c r="E311" s="21">
        <f t="shared" si="389"/>
        <v>311</v>
      </c>
      <c r="F311" s="9" t="s">
        <v>126</v>
      </c>
      <c r="G311" s="21">
        <v>25</v>
      </c>
      <c r="H311" s="21">
        <v>10</v>
      </c>
      <c r="M311" s="21">
        <f t="shared" ref="M311:M328" si="428">G311*D311</f>
        <v>3550</v>
      </c>
    </row>
    <row r="312" spans="1:13">
      <c r="E312" s="21">
        <f t="shared" si="389"/>
        <v>312</v>
      </c>
      <c r="F312" s="9" t="s">
        <v>142</v>
      </c>
      <c r="M312" s="21">
        <v>18800</v>
      </c>
    </row>
    <row r="313" spans="1:13">
      <c r="A313" s="21" t="s">
        <v>227</v>
      </c>
      <c r="B313" s="21">
        <f t="shared" ref="B313:B328" si="429">QUOTIENT( D313-1,$G$20)+1</f>
        <v>5</v>
      </c>
      <c r="C313" s="21">
        <f t="shared" ref="C313" si="430">D313-(B313-1)*$G$20</f>
        <v>23</v>
      </c>
      <c r="D313" s="21">
        <f>COUNT($D$20:$D312)+1</f>
        <v>143</v>
      </c>
      <c r="E313" s="21">
        <f t="shared" si="389"/>
        <v>313</v>
      </c>
      <c r="F313" s="9" t="s">
        <v>126</v>
      </c>
      <c r="G313" s="21">
        <v>25</v>
      </c>
      <c r="H313" s="21">
        <v>10</v>
      </c>
      <c r="M313" s="21">
        <f t="shared" ref="M313:M328" si="431">G313*D313</f>
        <v>3575</v>
      </c>
    </row>
    <row r="314" spans="1:13">
      <c r="E314" s="21">
        <f t="shared" si="389"/>
        <v>314</v>
      </c>
      <c r="F314" s="9" t="s">
        <v>142</v>
      </c>
      <c r="M314" s="21">
        <v>18800</v>
      </c>
    </row>
    <row r="315" spans="1:13">
      <c r="A315" s="21" t="s">
        <v>227</v>
      </c>
      <c r="B315" s="21">
        <f t="shared" ref="B315:B328" si="432">QUOTIENT( D315-1,$G$20)+1</f>
        <v>5</v>
      </c>
      <c r="C315" s="21">
        <f t="shared" ref="C315" si="433">D315-(B315-1)*$G$20</f>
        <v>24</v>
      </c>
      <c r="D315" s="21">
        <f>COUNT($D$20:$D314)+1</f>
        <v>144</v>
      </c>
      <c r="E315" s="21">
        <f t="shared" si="389"/>
        <v>315</v>
      </c>
      <c r="F315" s="9" t="s">
        <v>126</v>
      </c>
      <c r="G315" s="21">
        <v>25</v>
      </c>
      <c r="H315" s="21">
        <v>10</v>
      </c>
      <c r="M315" s="21">
        <f t="shared" ref="M315:M328" si="434">G315*D315</f>
        <v>3600</v>
      </c>
    </row>
    <row r="316" spans="1:13">
      <c r="E316" s="21">
        <f t="shared" si="389"/>
        <v>316</v>
      </c>
      <c r="F316" s="9" t="s">
        <v>142</v>
      </c>
      <c r="M316" s="21">
        <v>18800</v>
      </c>
    </row>
    <row r="317" spans="1:13">
      <c r="A317" s="21" t="s">
        <v>227</v>
      </c>
      <c r="B317" s="21">
        <f t="shared" ref="B317:B328" si="435">QUOTIENT( D317-1,$G$20)+1</f>
        <v>5</v>
      </c>
      <c r="C317" s="21">
        <f t="shared" ref="C317" si="436">D317-(B317-1)*$G$20</f>
        <v>25</v>
      </c>
      <c r="D317" s="21">
        <f>COUNT($D$20:$D316)+1</f>
        <v>145</v>
      </c>
      <c r="E317" s="21">
        <f t="shared" si="389"/>
        <v>317</v>
      </c>
      <c r="F317" s="9" t="s">
        <v>126</v>
      </c>
      <c r="G317" s="21">
        <v>25</v>
      </c>
      <c r="H317" s="21">
        <v>10</v>
      </c>
      <c r="M317" s="21">
        <f t="shared" ref="M317:M328" si="437">G317*D317</f>
        <v>3625</v>
      </c>
    </row>
    <row r="318" spans="1:13">
      <c r="E318" s="21">
        <f t="shared" si="389"/>
        <v>318</v>
      </c>
      <c r="F318" s="9" t="s">
        <v>142</v>
      </c>
      <c r="M318" s="21">
        <v>18800</v>
      </c>
    </row>
    <row r="319" spans="1:13">
      <c r="A319" s="21" t="s">
        <v>227</v>
      </c>
      <c r="B319" s="21">
        <f t="shared" ref="B319:B328" si="438">QUOTIENT( D319-1,$G$20)+1</f>
        <v>5</v>
      </c>
      <c r="C319" s="21">
        <f t="shared" ref="C319" si="439">D319-(B319-1)*$G$20</f>
        <v>26</v>
      </c>
      <c r="D319" s="21">
        <f>COUNT($D$20:$D318)+1</f>
        <v>146</v>
      </c>
      <c r="E319" s="21">
        <f t="shared" si="389"/>
        <v>319</v>
      </c>
      <c r="F319" s="9" t="s">
        <v>126</v>
      </c>
      <c r="G319" s="21">
        <v>25</v>
      </c>
      <c r="H319" s="21">
        <v>10</v>
      </c>
      <c r="M319" s="21">
        <f t="shared" ref="M319:M328" si="440">G319*D319</f>
        <v>3650</v>
      </c>
    </row>
    <row r="320" spans="1:13">
      <c r="E320" s="21">
        <f t="shared" si="389"/>
        <v>320</v>
      </c>
      <c r="F320" s="9" t="s">
        <v>142</v>
      </c>
      <c r="M320" s="21">
        <v>18800</v>
      </c>
    </row>
    <row r="321" spans="1:13">
      <c r="A321" s="21" t="s">
        <v>227</v>
      </c>
      <c r="B321" s="21">
        <f t="shared" ref="B321:B328" si="441">QUOTIENT( D321-1,$G$20)+1</f>
        <v>5</v>
      </c>
      <c r="C321" s="21">
        <f t="shared" ref="C321" si="442">D321-(B321-1)*$G$20</f>
        <v>27</v>
      </c>
      <c r="D321" s="21">
        <f>COUNT($D$20:$D320)+1</f>
        <v>147</v>
      </c>
      <c r="E321" s="21">
        <f t="shared" si="389"/>
        <v>321</v>
      </c>
      <c r="F321" s="9" t="s">
        <v>126</v>
      </c>
      <c r="G321" s="21">
        <v>25</v>
      </c>
      <c r="H321" s="21">
        <v>10</v>
      </c>
      <c r="M321" s="21">
        <f t="shared" ref="M321:M328" si="443">G321*D321</f>
        <v>3675</v>
      </c>
    </row>
    <row r="322" spans="1:13">
      <c r="E322" s="21">
        <f t="shared" si="389"/>
        <v>322</v>
      </c>
      <c r="F322" s="9" t="s">
        <v>142</v>
      </c>
      <c r="M322" s="21">
        <v>18800</v>
      </c>
    </row>
    <row r="323" spans="1:13">
      <c r="A323" s="21" t="s">
        <v>227</v>
      </c>
      <c r="B323" s="21">
        <f t="shared" ref="B323:B328" si="444">QUOTIENT( D323-1,$G$20)+1</f>
        <v>5</v>
      </c>
      <c r="C323" s="21">
        <f t="shared" ref="C323" si="445">D323-(B323-1)*$G$20</f>
        <v>28</v>
      </c>
      <c r="D323" s="21">
        <f>COUNT($D$20:$D322)+1</f>
        <v>148</v>
      </c>
      <c r="E323" s="21">
        <f t="shared" si="389"/>
        <v>323</v>
      </c>
      <c r="F323" s="9" t="s">
        <v>126</v>
      </c>
      <c r="G323" s="21">
        <v>25</v>
      </c>
      <c r="H323" s="21">
        <v>10</v>
      </c>
      <c r="M323" s="21">
        <f t="shared" ref="M323:M328" si="446">G323*D323</f>
        <v>3700</v>
      </c>
    </row>
    <row r="324" spans="1:13">
      <c r="E324" s="21">
        <f t="shared" si="389"/>
        <v>324</v>
      </c>
      <c r="F324" s="9" t="s">
        <v>142</v>
      </c>
      <c r="M324" s="21">
        <v>18800</v>
      </c>
    </row>
    <row r="325" spans="1:13">
      <c r="A325" s="21" t="s">
        <v>227</v>
      </c>
      <c r="B325" s="21">
        <f t="shared" ref="B325:B328" si="447">QUOTIENT( D325-1,$G$20)+1</f>
        <v>5</v>
      </c>
      <c r="C325" s="21">
        <f t="shared" ref="C325" si="448">D325-(B325-1)*$G$20</f>
        <v>29</v>
      </c>
      <c r="D325" s="21">
        <f>COUNT($D$20:$D324)+1</f>
        <v>149</v>
      </c>
      <c r="E325" s="21">
        <f t="shared" si="389"/>
        <v>325</v>
      </c>
      <c r="F325" s="9" t="s">
        <v>126</v>
      </c>
      <c r="G325" s="21">
        <v>25</v>
      </c>
      <c r="H325" s="21">
        <v>10</v>
      </c>
      <c r="M325" s="21">
        <f t="shared" ref="M325:M328" si="449">G325*D325</f>
        <v>3725</v>
      </c>
    </row>
    <row r="326" spans="1:13">
      <c r="E326" s="21">
        <f t="shared" si="389"/>
        <v>326</v>
      </c>
      <c r="F326" s="9" t="s">
        <v>142</v>
      </c>
      <c r="M326" s="21">
        <v>18800</v>
      </c>
    </row>
    <row r="327" spans="1:13">
      <c r="A327" s="21" t="s">
        <v>227</v>
      </c>
      <c r="B327" s="21">
        <f t="shared" ref="B327:B328" si="450">QUOTIENT( D327-1,$G$20)+1</f>
        <v>5</v>
      </c>
      <c r="C327" s="21">
        <f t="shared" ref="C327" si="451">D327-(B327-1)*$G$20</f>
        <v>30</v>
      </c>
      <c r="D327" s="21">
        <f>COUNT($D$20:$D326)+1</f>
        <v>150</v>
      </c>
      <c r="E327" s="21">
        <f t="shared" si="389"/>
        <v>327</v>
      </c>
      <c r="F327" s="9" t="s">
        <v>126</v>
      </c>
      <c r="G327" s="21">
        <v>25</v>
      </c>
      <c r="H327" s="21">
        <v>10</v>
      </c>
      <c r="M327" s="21">
        <f t="shared" ref="M327:M328" si="452">G327*D327</f>
        <v>3750</v>
      </c>
    </row>
    <row r="328" spans="1:13">
      <c r="E328" s="21">
        <f t="shared" si="389"/>
        <v>328</v>
      </c>
      <c r="F328" s="9" t="s">
        <v>142</v>
      </c>
      <c r="M328" s="21">
        <v>18800</v>
      </c>
    </row>
  </sheetData>
  <phoneticPr fontId="2" type="noConversion"/>
  <conditionalFormatting sqref="BE1:XFD1 E1:I1">
    <cfRule type="duplicateValues" dxfId="49" priority="1879"/>
  </conditionalFormatting>
  <conditionalFormatting sqref="F1:F2">
    <cfRule type="cellIs" dxfId="48" priority="1380" operator="equal">
      <formula>"ID"</formula>
    </cfRule>
    <cfRule type="cellIs" dxfId="47" priority="1795" operator="equal">
      <formula>"行動序號"</formula>
    </cfRule>
  </conditionalFormatting>
  <conditionalFormatting sqref="J1">
    <cfRule type="duplicateValues" dxfId="46" priority="1378"/>
  </conditionalFormatting>
  <conditionalFormatting sqref="K1:L1">
    <cfRule type="duplicateValues" dxfId="45" priority="1375"/>
  </conditionalFormatting>
  <conditionalFormatting sqref="M1:M2 M5:M1048576">
    <cfRule type="expression" dxfId="44" priority="990">
      <formula>_xlfn.ISFORMULA(M1)</formula>
    </cfRule>
  </conditionalFormatting>
  <conditionalFormatting sqref="N1:BD1">
    <cfRule type="duplicateValues" dxfId="43" priority="1895"/>
  </conditionalFormatting>
  <conditionalFormatting sqref="F1:F2 F5:F1048576">
    <cfRule type="cellIs" dxfId="42" priority="93" operator="equal">
      <formula>"ID"</formula>
    </cfRule>
    <cfRule type="cellIs" dxfId="41" priority="94" operator="equal">
      <formula>"行動ID"</formula>
    </cfRule>
  </conditionalFormatting>
  <conditionalFormatting sqref="M1:M2 M5:M1048576">
    <cfRule type="expression" dxfId="40" priority="54">
      <formula>AND(_xlfn.ISFORMULA(M1),OR($F1="行動ID", $F1="ID"))</formula>
    </cfRule>
    <cfRule type="expression" dxfId="39" priority="56">
      <formula>OR($F1="行動ID", $F1="ID")</formula>
    </cfRule>
  </conditionalFormatting>
  <dataValidations count="1">
    <dataValidation type="list" allowBlank="1" showInputMessage="1" showErrorMessage="1" sqref="L4 F27 K19 L516 F20 L23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stage7_card10shot2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2025-04-24T10:06:21Z</dcterms:modified>
</cp:coreProperties>
</file>