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00A67ACA-D435-4688-90C6-91500056CA8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7Shot2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83" i="1" l="1"/>
  <c r="E82" i="1"/>
  <c r="E81" i="1"/>
  <c r="E80" i="1"/>
  <c r="E79" i="1"/>
  <c r="E78" i="1"/>
  <c r="E77" i="1"/>
  <c r="E76" i="1"/>
  <c r="E75" i="1"/>
  <c r="E74" i="1"/>
  <c r="O73" i="1"/>
  <c r="E73" i="1"/>
  <c r="E72" i="1"/>
  <c r="E71" i="1"/>
  <c r="O70" i="1"/>
  <c r="E70" i="1"/>
  <c r="E68" i="1"/>
  <c r="E67" i="1"/>
  <c r="E66" i="1"/>
  <c r="E65" i="1"/>
  <c r="E64" i="1"/>
  <c r="E63" i="1"/>
  <c r="E62" i="1"/>
  <c r="E61" i="1"/>
  <c r="E60" i="1"/>
  <c r="E59" i="1"/>
  <c r="O58" i="1"/>
  <c r="E58" i="1"/>
  <c r="E57" i="1"/>
  <c r="E56" i="1"/>
  <c r="O55" i="1"/>
  <c r="E55" i="1"/>
  <c r="E53" i="1"/>
  <c r="E52" i="1"/>
  <c r="E51" i="1"/>
  <c r="E50" i="1"/>
  <c r="E49" i="1"/>
  <c r="E48" i="1"/>
  <c r="E47" i="1"/>
  <c r="E46" i="1"/>
  <c r="E45" i="1"/>
  <c r="E44" i="1"/>
  <c r="O43" i="1"/>
  <c r="E43" i="1"/>
  <c r="E42" i="1"/>
  <c r="E41" i="1"/>
  <c r="O40" i="1"/>
  <c r="E40" i="1"/>
  <c r="E38" i="1"/>
  <c r="E37" i="1"/>
  <c r="E36" i="1"/>
  <c r="E35" i="1"/>
  <c r="E34" i="1"/>
  <c r="E33" i="1"/>
  <c r="E32" i="1"/>
  <c r="E31" i="1"/>
  <c r="E30" i="1"/>
  <c r="E29" i="1"/>
  <c r="O28" i="1"/>
  <c r="E28" i="1"/>
  <c r="E27" i="1"/>
  <c r="E26" i="1"/>
  <c r="O25" i="1"/>
  <c r="E25" i="1"/>
  <c r="D24" i="1"/>
  <c r="E16" i="1"/>
  <c r="E175" i="1"/>
  <c r="E174" i="1"/>
  <c r="E173" i="1"/>
  <c r="E172" i="1"/>
  <c r="E171" i="1"/>
  <c r="E170" i="1"/>
  <c r="E169" i="1"/>
  <c r="E168" i="1"/>
  <c r="E167" i="1"/>
  <c r="E166" i="1"/>
  <c r="E164" i="1"/>
  <c r="E163" i="1"/>
  <c r="E162" i="1"/>
  <c r="E161" i="1"/>
  <c r="E160" i="1"/>
  <c r="E159" i="1"/>
  <c r="E158" i="1"/>
  <c r="E157" i="1"/>
  <c r="E156" i="1"/>
  <c r="E155" i="1"/>
  <c r="E153" i="1"/>
  <c r="E152" i="1"/>
  <c r="E151" i="1"/>
  <c r="E150" i="1"/>
  <c r="E149" i="1"/>
  <c r="E148" i="1"/>
  <c r="E147" i="1"/>
  <c r="E146" i="1"/>
  <c r="E145" i="1"/>
  <c r="E144" i="1"/>
  <c r="E142" i="1"/>
  <c r="E141" i="1"/>
  <c r="E140" i="1"/>
  <c r="E139" i="1"/>
  <c r="E138" i="1"/>
  <c r="E137" i="1"/>
  <c r="E136" i="1"/>
  <c r="E135" i="1"/>
  <c r="E134" i="1"/>
  <c r="E133" i="1"/>
  <c r="E131" i="1"/>
  <c r="E130" i="1"/>
  <c r="E129" i="1"/>
  <c r="E128" i="1"/>
  <c r="E127" i="1"/>
  <c r="E126" i="1"/>
  <c r="E125" i="1"/>
  <c r="E124" i="1"/>
  <c r="E123" i="1"/>
  <c r="E122" i="1"/>
  <c r="E120" i="1"/>
  <c r="E119" i="1"/>
  <c r="E118" i="1"/>
  <c r="E117" i="1"/>
  <c r="E116" i="1"/>
  <c r="E115" i="1"/>
  <c r="E114" i="1"/>
  <c r="E113" i="1"/>
  <c r="E112" i="1"/>
  <c r="E111" i="1"/>
  <c r="E109" i="1"/>
  <c r="E108" i="1"/>
  <c r="E107" i="1"/>
  <c r="E106" i="1"/>
  <c r="E105" i="1"/>
  <c r="E104" i="1"/>
  <c r="E103" i="1"/>
  <c r="E102" i="1"/>
  <c r="E101" i="1"/>
  <c r="E100" i="1"/>
  <c r="D69" i="1" l="1"/>
  <c r="D54" i="1"/>
  <c r="B24" i="1"/>
  <c r="C24" i="1" s="1"/>
  <c r="D39" i="1"/>
  <c r="O27" i="1" l="1"/>
  <c r="O35" i="1"/>
  <c r="O36" i="1" s="1"/>
  <c r="B39" i="1"/>
  <c r="C39" i="1" s="1"/>
  <c r="B54" i="1"/>
  <c r="C54" i="1" s="1"/>
  <c r="B69" i="1"/>
  <c r="C69" i="1" s="1"/>
  <c r="E98" i="1"/>
  <c r="E90" i="1"/>
  <c r="E91" i="1"/>
  <c r="E92" i="1"/>
  <c r="E93" i="1"/>
  <c r="E94" i="1"/>
  <c r="E95" i="1"/>
  <c r="E96" i="1"/>
  <c r="E97" i="1"/>
  <c r="E89" i="1"/>
  <c r="O13" i="1"/>
  <c r="E13" i="1"/>
  <c r="O10" i="1"/>
  <c r="E22" i="1"/>
  <c r="E21" i="1"/>
  <c r="D9" i="1"/>
  <c r="A8" i="1"/>
  <c r="E20" i="1"/>
  <c r="E19" i="1"/>
  <c r="E17" i="1"/>
  <c r="O72" i="1" l="1"/>
  <c r="O80" i="1"/>
  <c r="O81" i="1" s="1"/>
  <c r="O57" i="1"/>
  <c r="O65" i="1"/>
  <c r="O66" i="1" s="1"/>
  <c r="O50" i="1"/>
  <c r="O51" i="1" s="1"/>
  <c r="O42" i="1"/>
  <c r="B9" i="1"/>
  <c r="C9" i="1" s="1"/>
  <c r="O12" i="1" s="1"/>
  <c r="E12" i="1"/>
  <c r="D88" i="1"/>
  <c r="A87" i="1"/>
  <c r="E23" i="1"/>
  <c r="E14" i="1"/>
  <c r="D99" i="1" l="1"/>
  <c r="D110" i="1" s="1"/>
  <c r="O20" i="1"/>
  <c r="O21" i="1" s="1"/>
  <c r="O89" i="1"/>
  <c r="B88" i="1"/>
  <c r="D121" i="1" l="1"/>
  <c r="D132" i="1" s="1"/>
  <c r="O133" i="1" s="1"/>
  <c r="B121" i="1"/>
  <c r="C121" i="1" s="1"/>
  <c r="O129" i="1" s="1"/>
  <c r="B110" i="1"/>
  <c r="C110" i="1" s="1"/>
  <c r="O118" i="1" s="1"/>
  <c r="O111" i="1"/>
  <c r="O100" i="1"/>
  <c r="B99" i="1"/>
  <c r="C99" i="1" s="1"/>
  <c r="O107" i="1" s="1"/>
  <c r="C88" i="1"/>
  <c r="O96" i="1" s="1"/>
  <c r="O122" i="1" l="1"/>
  <c r="B132" i="1"/>
  <c r="C132" i="1" s="1"/>
  <c r="O140" i="1" s="1"/>
  <c r="D143" i="1"/>
  <c r="D154" i="1" s="1"/>
  <c r="E11" i="1"/>
  <c r="E15" i="1"/>
  <c r="E18" i="1"/>
  <c r="E10" i="1"/>
  <c r="D165" i="1" l="1"/>
  <c r="B154" i="1"/>
  <c r="C154" i="1" s="1"/>
  <c r="O162" i="1" s="1"/>
  <c r="O155" i="1"/>
  <c r="O144" i="1"/>
  <c r="B143" i="1"/>
  <c r="C143" i="1" s="1"/>
  <c r="O151" i="1" s="1"/>
  <c r="B165" i="1" l="1"/>
  <c r="C165" i="1" s="1"/>
  <c r="O173" i="1" s="1"/>
  <c r="O166" i="1"/>
</calcChain>
</file>

<file path=xl/sharedStrings.xml><?xml version="1.0" encoding="utf-8"?>
<sst xmlns="http://schemas.openxmlformats.org/spreadsheetml/2006/main" count="665" uniqueCount="257">
  <si>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</si>
  <si>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</si>
  <si>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</si>
  <si>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</si>
  <si>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</si>
  <si>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</si>
  <si>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</si>
  <si>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</si>
  <si>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</si>
  <si>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</si>
  <si>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</si>
  <si>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</si>
  <si>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</si>
  <si>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</si>
  <si>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</si>
  <si>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</si>
  <si>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</si>
  <si>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</si>
  <si>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</si>
  <si>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</si>
  <si>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</si>
  <si>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</si>
  <si>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</si>
  <si>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</si>
  <si>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</si>
  <si>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</si>
  <si>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</si>
  <si>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</si>
  <si>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</si>
  <si>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</si>
  <si>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</si>
  <si>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</si>
  <si>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</si>
  <si>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</si>
  <si>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</si>
  <si>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</si>
  <si>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</si>
  <si>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</si>
  <si>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</si>
  <si>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</si>
  <si>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</si>
  <si>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</si>
  <si>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</si>
  <si>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</si>
  <si>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</si>
  <si>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</si>
  <si>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PreLayerNo</t>
    <phoneticPr fontId="2" type="noConversion"/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</si>
  <si>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</si>
  <si>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</si>
  <si>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</si>
  <si>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</si>
  <si>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</si>
  <si>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</si>
  <si>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</si>
  <si>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</si>
  <si>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</si>
  <si>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</si>
  <si>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</si>
  <si>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</si>
  <si>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</si>
  <si>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</si>
  <si>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</si>
  <si>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</si>
  <si>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</si>
  <si>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</si>
  <si>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</si>
  <si>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</si>
  <si>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</si>
  <si>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</si>
  <si>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</si>
  <si>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</si>
  <si>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</si>
  <si>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</si>
  <si>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</si>
  <si>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</si>
  <si>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</si>
  <si>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</si>
  <si>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</si>
  <si>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</si>
  <si>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</si>
  <si>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</si>
  <si>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</si>
  <si>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</si>
  <si>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</si>
  <si>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</si>
  <si>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</si>
  <si>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</si>
  <si>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</si>
  <si>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</si>
  <si>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</si>
  <si>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</si>
  <si>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</si>
  <si>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</si>
  <si>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</si>
  <si>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</si>
  <si>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</si>
  <si>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</si>
  <si>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</si>
  <si>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</si>
  <si>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</si>
  <si>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</si>
  <si>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</si>
  <si>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</si>
  <si>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</si>
  <si>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</si>
  <si>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</si>
  <si>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</si>
  <si>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</si>
  <si>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</si>
  <si>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</si>
  <si>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</si>
  <si>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</si>
  <si>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</si>
  <si>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</si>
  <si>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</si>
  <si>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</si>
  <si>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</si>
  <si>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</si>
  <si>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</si>
  <si>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</si>
  <si>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</si>
  <si>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</si>
  <si>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</si>
  <si>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</si>
  <si>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</si>
  <si>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</si>
  <si>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</si>
  <si>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</si>
  <si>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</si>
  <si>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</si>
  <si>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</si>
  <si>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</si>
  <si>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</si>
  <si>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</si>
  <si>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</si>
  <si>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</si>
  <si>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</si>
  <si>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</si>
  <si>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</si>
  <si>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</si>
  <si>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</si>
  <si>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</si>
  <si>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</si>
  <si>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</si>
  <si>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</si>
  <si>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</si>
  <si>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</si>
  <si>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</si>
  <si>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</si>
  <si>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</si>
  <si>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</si>
  <si>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</si>
  <si>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</si>
  <si>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</si>
  <si>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</si>
  <si>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</si>
  <si>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</si>
  <si>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</si>
  <si>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</si>
  <si>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</si>
  <si>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</si>
  <si>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</si>
  <si>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</si>
  <si>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</si>
  <si>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</si>
  <si>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</si>
  <si>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</si>
  <si>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</si>
  <si>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</si>
  <si>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</si>
  <si>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</si>
  <si>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</si>
  <si>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</si>
  <si>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</si>
  <si>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</si>
  <si>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</si>
  <si>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</si>
  <si>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</si>
  <si>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</si>
  <si>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</si>
  <si>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</si>
  <si>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</si>
  <si>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</si>
  <si>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</si>
  <si>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</si>
  <si>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</si>
  <si>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</si>
  <si>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</si>
  <si>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</si>
  <si>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</si>
  <si>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</si>
  <si>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</si>
  <si>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</si>
  <si>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</si>
  <si>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</si>
  <si>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</si>
  <si>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</si>
  <si>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</si>
  <si>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</si>
  <si>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</si>
  <si>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</si>
  <si>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</si>
  <si>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</si>
  <si>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</si>
  <si>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</si>
  <si>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</si>
  <si>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</si>
  <si>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</si>
  <si>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</si>
  <si>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</si>
  <si>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</si>
  <si>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</si>
  <si>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</si>
  <si>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</si>
  <si>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</si>
  <si>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</si>
  <si>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</si>
  <si>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</si>
  <si>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</si>
  <si>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</si>
  <si>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</si>
  <si>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</si>
  <si>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</si>
  <si>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</si>
  <si>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</si>
  <si>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</si>
  <si>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</si>
  <si>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</si>
  <si>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</si>
  <si>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</si>
  <si>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</si>
  <si>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</si>
  <si>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</si>
  <si>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</si>
  <si>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</si>
  <si>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</si>
  <si>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</si>
  <si>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Sprite</t>
    <phoneticPr fontId="2" type="noConversion"/>
  </si>
  <si>
    <t>EnemyShot6</t>
  </si>
  <si>
    <t>EnemyShot6</t>
    <phoneticPr fontId="2" type="noConversion"/>
  </si>
  <si>
    <t>Shot6_purple</t>
  </si>
  <si>
    <t>Shot6_purple</t>
    <phoneticPr fontId="2" type="noConversion"/>
  </si>
  <si>
    <t>Shot2_purple</t>
  </si>
  <si>
    <t>EnemyShot2</t>
  </si>
  <si>
    <t>EnemyShot2</t>
    <phoneticPr fontId="2" type="noConversion"/>
  </si>
  <si>
    <t>1,3</t>
  </si>
  <si>
    <t>1,3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</si>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</sst>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75"/>
  <sheetViews>
    <sheetView zoomScale="115" zoomScaleNormal="115" workbookViewId="0">
      <pane ySplit="1" topLeftCell="A3" activePane="bottomLeft" state="frozen"/>
      <selection pane="bottomLeft" activeCell="O13" sqref="O13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10" width="7.375" style="23" customWidth="1"/>
    <col min="11" max="11" width="16" style="9" customWidth="1"/>
    <col min="12" max="12" width="22.375" style="9" customWidth="1"/>
    <col min="13" max="13" width="14.625" style="9" bestFit="1" customWidth="1"/>
    <col min="14" max="14" width="12.625" style="9" bestFit="1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1:58" s="17" customFormat="1">
      <c r="A1" s="21"/>
      <c r="B1" s="21"/>
      <c r="C1" s="21"/>
      <c r="D1" s="21"/>
      <c r="E1" s="17" t="s">
        <v>50</v>
      </c>
      <c r="F1" s="19" t="s">
        <v>27</v>
      </c>
      <c r="G1" s="23"/>
      <c r="H1" s="23"/>
      <c r="I1" s="23"/>
      <c r="J1" s="23"/>
      <c r="K1" s="17" t="s">
        <v>142</v>
      </c>
      <c r="L1" s="17" t="s">
        <v>143</v>
      </c>
      <c r="M1" s="17" t="s">
        <v>51</v>
      </c>
      <c r="N1" s="6" t="s">
        <v>46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1:58">
      <c r="E2" s="4"/>
    </row>
    <row r="3" spans="1:58">
      <c r="E3" s="4"/>
    </row>
    <row r="4" spans="1:58">
      <c r="E4" s="4"/>
    </row>
    <row r="5" spans="1:58">
      <c r="E5" s="4"/>
    </row>
    <row r="6" spans="1:58">
      <c r="E6" s="4"/>
    </row>
    <row r="7" spans="1:58">
      <c r="E7" s="4"/>
    </row>
    <row r="8" spans="1:58">
      <c r="A8" s="23">
        <f>G10*H10</f>
        <v>5</v>
      </c>
      <c r="B8" s="9"/>
      <c r="C8" s="9"/>
      <c r="D8" s="9"/>
      <c r="E8" s="4"/>
    </row>
    <row r="9" spans="1:58">
      <c r="A9" s="9" t="s">
        <v>229</v>
      </c>
      <c r="B9" s="23">
        <f>QUOTIENT( D9-1,G10)+1</f>
        <v>1</v>
      </c>
      <c r="C9" s="23">
        <f>D9-(B9-1)*G10</f>
        <v>1</v>
      </c>
      <c r="D9" s="23">
        <f>COUNT($D8:$D$8)+1</f>
        <v>1</v>
      </c>
      <c r="E9" s="4"/>
    </row>
    <row r="10" spans="1:58">
      <c r="E10" s="4">
        <f t="shared" ref="E10:E75" si="0">ROW(E10)</f>
        <v>10</v>
      </c>
      <c r="F10" s="9" t="s">
        <v>95</v>
      </c>
      <c r="G10" s="23">
        <v>5</v>
      </c>
      <c r="H10" s="23">
        <v>1</v>
      </c>
      <c r="J10" s="23">
        <v>13400</v>
      </c>
      <c r="O10" s="23">
        <f>J10+1</f>
        <v>13401</v>
      </c>
    </row>
    <row r="11" spans="1:58">
      <c r="E11" s="4">
        <f t="shared" si="0"/>
        <v>11</v>
      </c>
      <c r="F11" s="9" t="s">
        <v>145</v>
      </c>
      <c r="H11" s="9"/>
      <c r="O11" s="23">
        <v>13200</v>
      </c>
    </row>
    <row r="12" spans="1:58">
      <c r="E12" s="4">
        <f t="shared" si="0"/>
        <v>12</v>
      </c>
      <c r="F12" s="9" t="s">
        <v>128</v>
      </c>
      <c r="H12" s="9"/>
      <c r="I12" s="23">
        <v>65</v>
      </c>
      <c r="J12" s="23">
        <v>50</v>
      </c>
      <c r="O12" s="23">
        <f>I12+J12*(C9-1)</f>
        <v>65</v>
      </c>
    </row>
    <row r="13" spans="1:58">
      <c r="E13" s="4">
        <f t="shared" si="0"/>
        <v>13</v>
      </c>
      <c r="F13" s="9" t="s">
        <v>169</v>
      </c>
      <c r="O13" s="23">
        <f>J10</f>
        <v>13400</v>
      </c>
    </row>
    <row r="14" spans="1:58">
      <c r="E14" s="4">
        <f t="shared" si="0"/>
        <v>14</v>
      </c>
      <c r="F14" s="9" t="s">
        <v>35</v>
      </c>
      <c r="O14" s="23">
        <v>120</v>
      </c>
    </row>
    <row r="15" spans="1:58">
      <c r="E15" s="4">
        <f t="shared" si="0"/>
        <v>15</v>
      </c>
      <c r="F15" s="9" t="s">
        <v>29</v>
      </c>
      <c r="O15" s="23" t="s">
        <v>239</v>
      </c>
    </row>
    <row r="16" spans="1:58">
      <c r="E16" s="4">
        <f t="shared" si="0"/>
        <v>16</v>
      </c>
      <c r="F16" s="9" t="s">
        <v>191</v>
      </c>
      <c r="O16" s="23" t="b">
        <v>1</v>
      </c>
    </row>
    <row r="17" spans="1:15">
      <c r="E17" s="4">
        <f t="shared" si="0"/>
        <v>17</v>
      </c>
      <c r="F17" s="9" t="s">
        <v>237</v>
      </c>
      <c r="O17" s="23" t="s">
        <v>241</v>
      </c>
    </row>
    <row r="18" spans="1:15">
      <c r="E18" s="4">
        <f t="shared" si="0"/>
        <v>18</v>
      </c>
      <c r="F18" s="9" t="s">
        <v>100</v>
      </c>
      <c r="I18" s="9"/>
      <c r="K18" s="9" t="s">
        <v>139</v>
      </c>
      <c r="O18" s="23">
        <v>2</v>
      </c>
    </row>
    <row r="19" spans="1:15">
      <c r="E19" s="4">
        <f t="shared" si="0"/>
        <v>19</v>
      </c>
      <c r="F19" s="9" t="s">
        <v>31</v>
      </c>
      <c r="L19" s="9" t="s">
        <v>136</v>
      </c>
      <c r="O19" s="23">
        <v>270</v>
      </c>
    </row>
    <row r="20" spans="1:15">
      <c r="E20" s="4">
        <f t="shared" si="0"/>
        <v>20</v>
      </c>
      <c r="F20" s="9" t="s">
        <v>30</v>
      </c>
      <c r="G20" s="25">
        <v>1.5</v>
      </c>
      <c r="H20" s="25">
        <v>1</v>
      </c>
      <c r="O20" s="25">
        <f>G20+H20*C9</f>
        <v>2.5</v>
      </c>
    </row>
    <row r="21" spans="1:15">
      <c r="E21" s="4">
        <f t="shared" si="0"/>
        <v>21</v>
      </c>
      <c r="F21" s="9" t="s">
        <v>117</v>
      </c>
      <c r="O21" s="29">
        <f>O20/2*-1</f>
        <v>-1.25</v>
      </c>
    </row>
    <row r="22" spans="1:15">
      <c r="E22" s="4">
        <f t="shared" si="0"/>
        <v>22</v>
      </c>
      <c r="F22" s="9" t="s">
        <v>110</v>
      </c>
      <c r="H22" s="25"/>
      <c r="O22" s="23">
        <v>0</v>
      </c>
    </row>
    <row r="23" spans="1:15">
      <c r="E23" s="4">
        <f t="shared" si="0"/>
        <v>23</v>
      </c>
      <c r="F23" s="9" t="s">
        <v>109</v>
      </c>
      <c r="O23" s="23">
        <v>120</v>
      </c>
    </row>
    <row r="24" spans="1:15">
      <c r="A24" s="22" t="s">
        <v>229</v>
      </c>
      <c r="B24" s="22">
        <f t="shared" ref="B24" si="1">QUOTIENT( D24-1,G25)+1</f>
        <v>1</v>
      </c>
      <c r="C24" s="22">
        <f t="shared" ref="C24" si="2">D24-(B24-1)*G25</f>
        <v>2</v>
      </c>
      <c r="D24" s="22">
        <f>COUNT($D$8:$D23)+1</f>
        <v>2</v>
      </c>
      <c r="E24" s="4"/>
    </row>
    <row r="25" spans="1:15">
      <c r="E25" s="4">
        <f t="shared" si="0"/>
        <v>25</v>
      </c>
      <c r="F25" s="9" t="s">
        <v>95</v>
      </c>
      <c r="G25" s="23">
        <v>5</v>
      </c>
      <c r="H25" s="23">
        <v>1</v>
      </c>
      <c r="J25" s="23">
        <v>13400</v>
      </c>
      <c r="O25" s="23">
        <f t="shared" ref="O25" si="3">J25+1</f>
        <v>13401</v>
      </c>
    </row>
    <row r="26" spans="1:15">
      <c r="E26" s="4">
        <f t="shared" si="0"/>
        <v>26</v>
      </c>
      <c r="F26" s="9" t="s">
        <v>145</v>
      </c>
      <c r="O26" s="23">
        <v>13200</v>
      </c>
    </row>
    <row r="27" spans="1:15">
      <c r="E27" s="4">
        <f t="shared" si="0"/>
        <v>27</v>
      </c>
      <c r="F27" s="9" t="s">
        <v>128</v>
      </c>
      <c r="I27" s="23">
        <v>65</v>
      </c>
      <c r="J27" s="23">
        <v>50</v>
      </c>
      <c r="O27" s="23">
        <f t="shared" ref="O27" si="4">I27+J27*(C24-1)</f>
        <v>115</v>
      </c>
    </row>
    <row r="28" spans="1:15">
      <c r="E28" s="4">
        <f t="shared" si="0"/>
        <v>28</v>
      </c>
      <c r="F28" s="9" t="s">
        <v>169</v>
      </c>
      <c r="O28" s="23">
        <f t="shared" ref="O28" si="5">J25</f>
        <v>13400</v>
      </c>
    </row>
    <row r="29" spans="1:15">
      <c r="E29" s="4">
        <f t="shared" si="0"/>
        <v>29</v>
      </c>
      <c r="F29" s="9" t="s">
        <v>35</v>
      </c>
      <c r="O29" s="23">
        <v>120</v>
      </c>
    </row>
    <row r="30" spans="1:15">
      <c r="E30" s="4">
        <f t="shared" si="0"/>
        <v>30</v>
      </c>
      <c r="F30" s="9" t="s">
        <v>29</v>
      </c>
      <c r="O30" s="23" t="s">
        <v>238</v>
      </c>
    </row>
    <row r="31" spans="1:15">
      <c r="E31" s="4">
        <f t="shared" si="0"/>
        <v>31</v>
      </c>
      <c r="F31" s="9" t="s">
        <v>191</v>
      </c>
      <c r="O31" s="23" t="b">
        <v>1</v>
      </c>
    </row>
    <row r="32" spans="1:15">
      <c r="E32" s="4">
        <f t="shared" si="0"/>
        <v>32</v>
      </c>
      <c r="F32" s="9" t="s">
        <v>120</v>
      </c>
      <c r="O32" s="23" t="s">
        <v>240</v>
      </c>
    </row>
    <row r="33" spans="1:15">
      <c r="E33" s="4">
        <f t="shared" si="0"/>
        <v>33</v>
      </c>
      <c r="F33" s="9" t="s">
        <v>100</v>
      </c>
      <c r="K33" s="9" t="s">
        <v>139</v>
      </c>
      <c r="O33" s="23">
        <v>2</v>
      </c>
    </row>
    <row r="34" spans="1:15">
      <c r="E34" s="4">
        <f t="shared" si="0"/>
        <v>34</v>
      </c>
      <c r="F34" s="9" t="s">
        <v>31</v>
      </c>
      <c r="L34" s="9" t="s">
        <v>136</v>
      </c>
      <c r="O34" s="23">
        <v>270</v>
      </c>
    </row>
    <row r="35" spans="1:15">
      <c r="E35" s="4">
        <f t="shared" si="0"/>
        <v>35</v>
      </c>
      <c r="F35" s="9" t="s">
        <v>30</v>
      </c>
      <c r="G35" s="23">
        <v>1.5</v>
      </c>
      <c r="H35" s="23">
        <v>1</v>
      </c>
      <c r="O35" s="23">
        <f t="shared" ref="O35" si="6">G35+H35*C24</f>
        <v>3.5</v>
      </c>
    </row>
    <row r="36" spans="1:15">
      <c r="E36" s="4">
        <f t="shared" si="0"/>
        <v>36</v>
      </c>
      <c r="F36" s="9" t="s">
        <v>117</v>
      </c>
      <c r="O36" s="23">
        <f t="shared" ref="O36" si="7">O35/2*-1</f>
        <v>-1.75</v>
      </c>
    </row>
    <row r="37" spans="1:15">
      <c r="E37" s="4">
        <f t="shared" si="0"/>
        <v>37</v>
      </c>
      <c r="F37" s="9" t="s">
        <v>110</v>
      </c>
      <c r="O37" s="23">
        <v>0</v>
      </c>
    </row>
    <row r="38" spans="1:15">
      <c r="E38" s="4">
        <f t="shared" si="0"/>
        <v>38</v>
      </c>
      <c r="F38" s="9" t="s">
        <v>109</v>
      </c>
      <c r="O38" s="23">
        <v>120</v>
      </c>
    </row>
    <row r="39" spans="1:15">
      <c r="A39" s="22" t="s">
        <v>229</v>
      </c>
      <c r="B39" s="22">
        <f t="shared" ref="B39" si="8">QUOTIENT( D39-1,G40)+1</f>
        <v>1</v>
      </c>
      <c r="C39" s="22">
        <f t="shared" ref="C39" si="9">D39-(B39-1)*G40</f>
        <v>3</v>
      </c>
      <c r="D39" s="22">
        <f>COUNT($D$8:$D38)+1</f>
        <v>3</v>
      </c>
      <c r="E39" s="4"/>
    </row>
    <row r="40" spans="1:15">
      <c r="E40" s="4">
        <f t="shared" si="0"/>
        <v>40</v>
      </c>
      <c r="F40" s="9" t="s">
        <v>95</v>
      </c>
      <c r="G40" s="23">
        <v>5</v>
      </c>
      <c r="H40" s="23">
        <v>1</v>
      </c>
      <c r="J40" s="23">
        <v>13400</v>
      </c>
      <c r="O40" s="23">
        <f t="shared" ref="O40" si="10">J40+1</f>
        <v>13401</v>
      </c>
    </row>
    <row r="41" spans="1:15">
      <c r="E41" s="4">
        <f t="shared" si="0"/>
        <v>41</v>
      </c>
      <c r="F41" s="9" t="s">
        <v>145</v>
      </c>
      <c r="O41" s="23">
        <v>13200</v>
      </c>
    </row>
    <row r="42" spans="1:15">
      <c r="E42" s="4">
        <f t="shared" si="0"/>
        <v>42</v>
      </c>
      <c r="F42" s="9" t="s">
        <v>128</v>
      </c>
      <c r="I42" s="23">
        <v>65</v>
      </c>
      <c r="J42" s="23">
        <v>50</v>
      </c>
      <c r="O42" s="23">
        <f t="shared" ref="O42" si="11">I42+J42*(C39-1)</f>
        <v>165</v>
      </c>
    </row>
    <row r="43" spans="1:15">
      <c r="E43" s="4">
        <f t="shared" si="0"/>
        <v>43</v>
      </c>
      <c r="F43" s="9" t="s">
        <v>169</v>
      </c>
      <c r="O43" s="23">
        <f t="shared" ref="O43" si="12">J40</f>
        <v>13400</v>
      </c>
    </row>
    <row r="44" spans="1:15">
      <c r="E44" s="4">
        <f t="shared" si="0"/>
        <v>44</v>
      </c>
      <c r="F44" s="9" t="s">
        <v>35</v>
      </c>
      <c r="O44" s="23">
        <v>120</v>
      </c>
    </row>
    <row r="45" spans="1:15">
      <c r="E45" s="4">
        <f t="shared" si="0"/>
        <v>45</v>
      </c>
      <c r="F45" s="9" t="s">
        <v>29</v>
      </c>
      <c r="O45" s="23" t="s">
        <v>238</v>
      </c>
    </row>
    <row r="46" spans="1:15">
      <c r="E46" s="4">
        <f t="shared" si="0"/>
        <v>46</v>
      </c>
      <c r="F46" s="9" t="s">
        <v>191</v>
      </c>
      <c r="O46" s="23" t="b">
        <v>1</v>
      </c>
    </row>
    <row r="47" spans="1:15">
      <c r="E47" s="4">
        <f t="shared" si="0"/>
        <v>47</v>
      </c>
      <c r="F47" s="9" t="s">
        <v>120</v>
      </c>
      <c r="O47" s="23" t="s">
        <v>240</v>
      </c>
    </row>
    <row r="48" spans="1:15">
      <c r="E48" s="4">
        <f t="shared" si="0"/>
        <v>48</v>
      </c>
      <c r="F48" s="9" t="s">
        <v>100</v>
      </c>
      <c r="K48" s="9" t="s">
        <v>139</v>
      </c>
      <c r="O48" s="23">
        <v>2</v>
      </c>
    </row>
    <row r="49" spans="1:15">
      <c r="E49" s="4">
        <f t="shared" si="0"/>
        <v>49</v>
      </c>
      <c r="F49" s="9" t="s">
        <v>31</v>
      </c>
      <c r="L49" s="9" t="s">
        <v>136</v>
      </c>
      <c r="O49" s="23">
        <v>270</v>
      </c>
    </row>
    <row r="50" spans="1:15">
      <c r="E50" s="4">
        <f t="shared" si="0"/>
        <v>50</v>
      </c>
      <c r="F50" s="9" t="s">
        <v>30</v>
      </c>
      <c r="G50" s="23">
        <v>1.5</v>
      </c>
      <c r="H50" s="23">
        <v>1</v>
      </c>
      <c r="O50" s="23">
        <f t="shared" ref="O50" si="13">G50+H50*C39</f>
        <v>4.5</v>
      </c>
    </row>
    <row r="51" spans="1:15">
      <c r="E51" s="4">
        <f t="shared" si="0"/>
        <v>51</v>
      </c>
      <c r="F51" s="9" t="s">
        <v>117</v>
      </c>
      <c r="O51" s="23">
        <f t="shared" ref="O51" si="14">O50/2*-1</f>
        <v>-2.25</v>
      </c>
    </row>
    <row r="52" spans="1:15">
      <c r="E52" s="4">
        <f t="shared" si="0"/>
        <v>52</v>
      </c>
      <c r="F52" s="9" t="s">
        <v>110</v>
      </c>
      <c r="O52" s="23">
        <v>0</v>
      </c>
    </row>
    <row r="53" spans="1:15">
      <c r="E53" s="4">
        <f t="shared" si="0"/>
        <v>53</v>
      </c>
      <c r="F53" s="9" t="s">
        <v>109</v>
      </c>
      <c r="O53" s="23">
        <v>120</v>
      </c>
    </row>
    <row r="54" spans="1:15">
      <c r="A54" s="22" t="s">
        <v>229</v>
      </c>
      <c r="B54" s="22">
        <f t="shared" ref="B54" si="15">QUOTIENT( D54-1,G55)+1</f>
        <v>1</v>
      </c>
      <c r="C54" s="22">
        <f t="shared" ref="C54" si="16">D54-(B54-1)*G55</f>
        <v>4</v>
      </c>
      <c r="D54" s="22">
        <f>COUNT($D$8:$D53)+1</f>
        <v>4</v>
      </c>
      <c r="E54" s="4"/>
    </row>
    <row r="55" spans="1:15">
      <c r="E55" s="4">
        <f t="shared" si="0"/>
        <v>55</v>
      </c>
      <c r="F55" s="9" t="s">
        <v>95</v>
      </c>
      <c r="G55" s="23">
        <v>5</v>
      </c>
      <c r="H55" s="23">
        <v>1</v>
      </c>
      <c r="J55" s="23">
        <v>13400</v>
      </c>
      <c r="O55" s="23">
        <f t="shared" ref="O55" si="17">J55+1</f>
        <v>13401</v>
      </c>
    </row>
    <row r="56" spans="1:15">
      <c r="E56" s="4">
        <f t="shared" si="0"/>
        <v>56</v>
      </c>
      <c r="F56" s="9" t="s">
        <v>145</v>
      </c>
      <c r="O56" s="23">
        <v>13200</v>
      </c>
    </row>
    <row r="57" spans="1:15">
      <c r="E57" s="4">
        <f t="shared" si="0"/>
        <v>57</v>
      </c>
      <c r="F57" s="9" t="s">
        <v>128</v>
      </c>
      <c r="I57" s="23">
        <v>65</v>
      </c>
      <c r="J57" s="23">
        <v>50</v>
      </c>
      <c r="O57" s="23">
        <f t="shared" ref="O57" si="18">I57+J57*(C54-1)</f>
        <v>215</v>
      </c>
    </row>
    <row r="58" spans="1:15">
      <c r="E58" s="4">
        <f t="shared" si="0"/>
        <v>58</v>
      </c>
      <c r="F58" s="9" t="s">
        <v>169</v>
      </c>
      <c r="O58" s="23">
        <f t="shared" ref="O58" si="19">J55</f>
        <v>13400</v>
      </c>
    </row>
    <row r="59" spans="1:15">
      <c r="E59" s="4">
        <f t="shared" si="0"/>
        <v>59</v>
      </c>
      <c r="F59" s="9" t="s">
        <v>35</v>
      </c>
      <c r="O59" s="23">
        <v>120</v>
      </c>
    </row>
    <row r="60" spans="1:15">
      <c r="E60" s="4">
        <f t="shared" si="0"/>
        <v>60</v>
      </c>
      <c r="F60" s="9" t="s">
        <v>29</v>
      </c>
      <c r="O60" s="23" t="s">
        <v>238</v>
      </c>
    </row>
    <row r="61" spans="1:15">
      <c r="E61" s="4">
        <f t="shared" si="0"/>
        <v>61</v>
      </c>
      <c r="F61" s="9" t="s">
        <v>191</v>
      </c>
      <c r="O61" s="23" t="b">
        <v>1</v>
      </c>
    </row>
    <row r="62" spans="1:15">
      <c r="E62" s="4">
        <f t="shared" si="0"/>
        <v>62</v>
      </c>
      <c r="F62" s="9" t="s">
        <v>120</v>
      </c>
      <c r="O62" s="23" t="s">
        <v>240</v>
      </c>
    </row>
    <row r="63" spans="1:15">
      <c r="E63" s="4">
        <f t="shared" si="0"/>
        <v>63</v>
      </c>
      <c r="F63" s="9" t="s">
        <v>100</v>
      </c>
      <c r="K63" s="9" t="s">
        <v>139</v>
      </c>
      <c r="O63" s="23">
        <v>2</v>
      </c>
    </row>
    <row r="64" spans="1:15">
      <c r="E64" s="4">
        <f t="shared" si="0"/>
        <v>64</v>
      </c>
      <c r="F64" s="9" t="s">
        <v>31</v>
      </c>
      <c r="L64" s="9" t="s">
        <v>136</v>
      </c>
      <c r="O64" s="23">
        <v>270</v>
      </c>
    </row>
    <row r="65" spans="1:15">
      <c r="E65" s="4">
        <f t="shared" si="0"/>
        <v>65</v>
      </c>
      <c r="F65" s="9" t="s">
        <v>30</v>
      </c>
      <c r="G65" s="23">
        <v>1.5</v>
      </c>
      <c r="H65" s="23">
        <v>1</v>
      </c>
      <c r="O65" s="23">
        <f t="shared" ref="O65" si="20">G65+H65*C54</f>
        <v>5.5</v>
      </c>
    </row>
    <row r="66" spans="1:15">
      <c r="E66" s="4">
        <f t="shared" si="0"/>
        <v>66</v>
      </c>
      <c r="F66" s="9" t="s">
        <v>117</v>
      </c>
      <c r="O66" s="23">
        <f t="shared" ref="O66" si="21">O65/2*-1</f>
        <v>-2.75</v>
      </c>
    </row>
    <row r="67" spans="1:15">
      <c r="E67" s="4">
        <f t="shared" si="0"/>
        <v>67</v>
      </c>
      <c r="F67" s="9" t="s">
        <v>110</v>
      </c>
      <c r="O67" s="23">
        <v>0</v>
      </c>
    </row>
    <row r="68" spans="1:15">
      <c r="E68" s="4">
        <f t="shared" si="0"/>
        <v>68</v>
      </c>
      <c r="F68" s="9" t="s">
        <v>109</v>
      </c>
      <c r="O68" s="23">
        <v>120</v>
      </c>
    </row>
    <row r="69" spans="1:15">
      <c r="A69" s="22" t="s">
        <v>229</v>
      </c>
      <c r="B69" s="22">
        <f t="shared" ref="B69" si="22">QUOTIENT( D69-1,G70)+1</f>
        <v>1</v>
      </c>
      <c r="C69" s="22">
        <f t="shared" ref="C69" si="23">D69-(B69-1)*G70</f>
        <v>5</v>
      </c>
      <c r="D69" s="22">
        <f>COUNT($D$8:$D68)+1</f>
        <v>5</v>
      </c>
      <c r="E69" s="4"/>
    </row>
    <row r="70" spans="1:15">
      <c r="E70" s="4">
        <f t="shared" si="0"/>
        <v>70</v>
      </c>
      <c r="F70" s="9" t="s">
        <v>95</v>
      </c>
      <c r="G70" s="23">
        <v>5</v>
      </c>
      <c r="H70" s="23">
        <v>1</v>
      </c>
      <c r="J70" s="23">
        <v>13400</v>
      </c>
      <c r="O70" s="23">
        <f t="shared" ref="O70" si="24">J70+1</f>
        <v>13401</v>
      </c>
    </row>
    <row r="71" spans="1:15">
      <c r="E71" s="4">
        <f t="shared" si="0"/>
        <v>71</v>
      </c>
      <c r="F71" s="9" t="s">
        <v>145</v>
      </c>
      <c r="O71" s="23">
        <v>13200</v>
      </c>
    </row>
    <row r="72" spans="1:15">
      <c r="E72" s="4">
        <f t="shared" si="0"/>
        <v>72</v>
      </c>
      <c r="F72" s="9" t="s">
        <v>128</v>
      </c>
      <c r="I72" s="23">
        <v>65</v>
      </c>
      <c r="J72" s="23">
        <v>50</v>
      </c>
      <c r="O72" s="23">
        <f t="shared" ref="O72" si="25">I72+J72*(C69-1)</f>
        <v>265</v>
      </c>
    </row>
    <row r="73" spans="1:15">
      <c r="E73" s="4">
        <f t="shared" si="0"/>
        <v>73</v>
      </c>
      <c r="F73" s="9" t="s">
        <v>169</v>
      </c>
      <c r="O73" s="23">
        <f t="shared" ref="O73" si="26">J70</f>
        <v>13400</v>
      </c>
    </row>
    <row r="74" spans="1:15">
      <c r="E74" s="4">
        <f t="shared" si="0"/>
        <v>74</v>
      </c>
      <c r="F74" s="9" t="s">
        <v>35</v>
      </c>
      <c r="O74" s="23">
        <v>120</v>
      </c>
    </row>
    <row r="75" spans="1:15">
      <c r="E75" s="4">
        <f t="shared" si="0"/>
        <v>75</v>
      </c>
      <c r="F75" s="9" t="s">
        <v>29</v>
      </c>
      <c r="O75" s="23" t="s">
        <v>238</v>
      </c>
    </row>
    <row r="76" spans="1:15">
      <c r="E76" s="4">
        <f t="shared" ref="E76:E83" si="27">ROW(E76)</f>
        <v>76</v>
      </c>
      <c r="F76" s="9" t="s">
        <v>191</v>
      </c>
      <c r="O76" s="23" t="b">
        <v>1</v>
      </c>
    </row>
    <row r="77" spans="1:15">
      <c r="E77" s="4">
        <f t="shared" si="27"/>
        <v>77</v>
      </c>
      <c r="F77" s="9" t="s">
        <v>120</v>
      </c>
      <c r="O77" s="23" t="s">
        <v>240</v>
      </c>
    </row>
    <row r="78" spans="1:15">
      <c r="E78" s="4">
        <f t="shared" si="27"/>
        <v>78</v>
      </c>
      <c r="F78" s="9" t="s">
        <v>100</v>
      </c>
      <c r="K78" s="9" t="s">
        <v>139</v>
      </c>
      <c r="O78" s="23">
        <v>2</v>
      </c>
    </row>
    <row r="79" spans="1:15">
      <c r="E79" s="4">
        <f t="shared" si="27"/>
        <v>79</v>
      </c>
      <c r="F79" s="9" t="s">
        <v>31</v>
      </c>
      <c r="G79" s="9"/>
      <c r="H79" s="9"/>
      <c r="I79" s="25"/>
      <c r="J79" s="9"/>
      <c r="L79" s="9" t="s">
        <v>136</v>
      </c>
      <c r="O79" s="23">
        <v>270</v>
      </c>
    </row>
    <row r="80" spans="1:15">
      <c r="E80" s="4">
        <f t="shared" si="27"/>
        <v>80</v>
      </c>
      <c r="F80" s="9" t="s">
        <v>30</v>
      </c>
      <c r="G80" s="9">
        <v>1.5</v>
      </c>
      <c r="H80" s="9">
        <v>1</v>
      </c>
      <c r="I80" s="25"/>
      <c r="J80" s="9"/>
      <c r="O80" s="23">
        <f t="shared" ref="O80" si="28">G80+H80*C69</f>
        <v>6.5</v>
      </c>
    </row>
    <row r="81" spans="1:15">
      <c r="E81" s="4">
        <f t="shared" si="27"/>
        <v>81</v>
      </c>
      <c r="F81" s="9" t="s">
        <v>117</v>
      </c>
      <c r="G81" s="9"/>
      <c r="H81" s="9"/>
      <c r="I81" s="25"/>
      <c r="J81" s="9"/>
      <c r="O81" s="23">
        <f t="shared" ref="O81" si="29">O80/2*-1</f>
        <v>-3.25</v>
      </c>
    </row>
    <row r="82" spans="1:15">
      <c r="E82" s="4">
        <f t="shared" si="27"/>
        <v>82</v>
      </c>
      <c r="F82" s="9" t="s">
        <v>110</v>
      </c>
      <c r="G82" s="9"/>
      <c r="H82" s="9"/>
      <c r="I82" s="25"/>
      <c r="J82" s="9"/>
      <c r="O82" s="23">
        <v>0</v>
      </c>
    </row>
    <row r="83" spans="1:15">
      <c r="E83" s="4">
        <f t="shared" si="27"/>
        <v>83</v>
      </c>
      <c r="F83" s="9" t="s">
        <v>109</v>
      </c>
      <c r="G83" s="9"/>
      <c r="H83" s="9"/>
      <c r="I83" s="25"/>
      <c r="J83" s="9"/>
      <c r="O83" s="23">
        <v>120</v>
      </c>
    </row>
    <row r="84" spans="1:15">
      <c r="E84" s="4"/>
      <c r="G84" s="9"/>
      <c r="H84" s="9"/>
      <c r="I84" s="25"/>
      <c r="J84" s="9"/>
    </row>
    <row r="85" spans="1:15">
      <c r="E85" s="4"/>
      <c r="G85" s="9"/>
      <c r="H85" s="9"/>
      <c r="I85" s="25"/>
      <c r="J85" s="9"/>
    </row>
    <row r="86" spans="1:15">
      <c r="E86" s="4"/>
      <c r="G86" s="9"/>
      <c r="H86" s="9"/>
      <c r="I86" s="25"/>
      <c r="J86" s="9"/>
    </row>
    <row r="87" spans="1:15">
      <c r="A87" s="23">
        <f>G89*H89</f>
        <v>8</v>
      </c>
      <c r="B87" s="9"/>
      <c r="C87" s="9"/>
      <c r="D87" s="9"/>
      <c r="E87" s="4"/>
    </row>
    <row r="88" spans="1:15">
      <c r="A88" s="9" t="s">
        <v>229</v>
      </c>
      <c r="B88" s="23">
        <f>QUOTIENT( D88-1,G89)+1</f>
        <v>1</v>
      </c>
      <c r="C88" s="23">
        <f>D88-(B88-1)*G89</f>
        <v>1</v>
      </c>
      <c r="D88" s="23">
        <f>COUNT($D$87:$D87)+1</f>
        <v>1</v>
      </c>
      <c r="E88" s="4"/>
    </row>
    <row r="89" spans="1:15">
      <c r="E89" s="4">
        <f t="shared" ref="E89:E153" si="30">ROW(E89)</f>
        <v>89</v>
      </c>
      <c r="F89" s="9" t="s">
        <v>95</v>
      </c>
      <c r="G89" s="23">
        <v>8</v>
      </c>
      <c r="H89" s="23">
        <v>1</v>
      </c>
      <c r="J89" s="23">
        <v>13500</v>
      </c>
      <c r="O89" s="23">
        <f>J89+D88</f>
        <v>13501</v>
      </c>
    </row>
    <row r="90" spans="1:15">
      <c r="E90" s="4">
        <f t="shared" si="30"/>
        <v>90</v>
      </c>
      <c r="F90" s="9" t="s">
        <v>145</v>
      </c>
      <c r="O90" s="23">
        <v>13400</v>
      </c>
    </row>
    <row r="91" spans="1:15">
      <c r="E91" s="4">
        <f t="shared" si="30"/>
        <v>91</v>
      </c>
      <c r="F91" s="9" t="s">
        <v>129</v>
      </c>
      <c r="O91" s="23">
        <v>0</v>
      </c>
    </row>
    <row r="92" spans="1:15">
      <c r="E92" s="4">
        <f t="shared" si="30"/>
        <v>92</v>
      </c>
      <c r="F92" s="9" t="s">
        <v>29</v>
      </c>
      <c r="O92" s="23" t="s">
        <v>244</v>
      </c>
    </row>
    <row r="93" spans="1:15">
      <c r="E93" s="4">
        <f t="shared" si="30"/>
        <v>93</v>
      </c>
      <c r="F93" s="9" t="s">
        <v>120</v>
      </c>
      <c r="O93" s="23" t="s">
        <v>242</v>
      </c>
    </row>
    <row r="94" spans="1:15">
      <c r="E94" s="4">
        <f t="shared" si="30"/>
        <v>94</v>
      </c>
      <c r="F94" s="9" t="s">
        <v>100</v>
      </c>
      <c r="K94" s="9" t="s">
        <v>139</v>
      </c>
      <c r="O94" s="23">
        <v>2</v>
      </c>
    </row>
    <row r="95" spans="1:15">
      <c r="E95" s="4">
        <f t="shared" si="30"/>
        <v>95</v>
      </c>
      <c r="F95" s="9" t="s">
        <v>117</v>
      </c>
      <c r="O95" s="25">
        <v>0.5</v>
      </c>
    </row>
    <row r="96" spans="1:15">
      <c r="E96" s="4">
        <f t="shared" si="30"/>
        <v>96</v>
      </c>
      <c r="F96" s="9" t="s">
        <v>31</v>
      </c>
      <c r="G96" s="23">
        <v>360</v>
      </c>
      <c r="L96" s="9" t="s">
        <v>136</v>
      </c>
      <c r="O96" s="23">
        <f>G96/G89*C88</f>
        <v>45</v>
      </c>
    </row>
    <row r="97" spans="1:15">
      <c r="E97" s="4">
        <f t="shared" si="30"/>
        <v>97</v>
      </c>
      <c r="F97" s="9" t="s">
        <v>184</v>
      </c>
      <c r="L97" s="9" t="s">
        <v>137</v>
      </c>
      <c r="O97" s="23" t="s">
        <v>246</v>
      </c>
    </row>
    <row r="98" spans="1:15">
      <c r="E98" s="9">
        <f t="shared" si="30"/>
        <v>98</v>
      </c>
      <c r="F98" s="9" t="s">
        <v>116</v>
      </c>
      <c r="O98" s="23" t="b">
        <v>1</v>
      </c>
    </row>
    <row r="99" spans="1:15">
      <c r="A99" s="22" t="s">
        <v>229</v>
      </c>
      <c r="B99" s="22">
        <f t="shared" ref="B99" si="31">QUOTIENT( D99-1,G100)+1</f>
        <v>1</v>
      </c>
      <c r="C99" s="22">
        <f t="shared" ref="C99" si="32">D99-(B99-1)*G100</f>
        <v>2</v>
      </c>
      <c r="D99" s="22">
        <f>COUNT($D$87:$D98)+1</f>
        <v>2</v>
      </c>
    </row>
    <row r="100" spans="1:15">
      <c r="E100" s="9">
        <f t="shared" si="30"/>
        <v>100</v>
      </c>
      <c r="F100" s="9" t="s">
        <v>95</v>
      </c>
      <c r="G100" s="23">
        <v>8</v>
      </c>
      <c r="H100" s="23">
        <v>1</v>
      </c>
      <c r="J100" s="23">
        <v>13500</v>
      </c>
      <c r="O100" s="23">
        <f t="shared" ref="O100" si="33">J100+D99</f>
        <v>13502</v>
      </c>
    </row>
    <row r="101" spans="1:15">
      <c r="E101" s="9">
        <f t="shared" si="30"/>
        <v>101</v>
      </c>
      <c r="F101" s="9" t="s">
        <v>145</v>
      </c>
      <c r="O101" s="23">
        <v>13400</v>
      </c>
    </row>
    <row r="102" spans="1:15">
      <c r="E102" s="9">
        <f t="shared" si="30"/>
        <v>102</v>
      </c>
      <c r="F102" s="9" t="s">
        <v>129</v>
      </c>
      <c r="O102" s="23">
        <v>0</v>
      </c>
    </row>
    <row r="103" spans="1:15">
      <c r="E103" s="9">
        <f t="shared" si="30"/>
        <v>103</v>
      </c>
      <c r="F103" s="9" t="s">
        <v>29</v>
      </c>
      <c r="O103" s="23" t="s">
        <v>243</v>
      </c>
    </row>
    <row r="104" spans="1:15">
      <c r="E104" s="9">
        <f t="shared" si="30"/>
        <v>104</v>
      </c>
      <c r="F104" s="9" t="s">
        <v>120</v>
      </c>
      <c r="O104" s="23" t="s">
        <v>242</v>
      </c>
    </row>
    <row r="105" spans="1:15">
      <c r="E105" s="9">
        <f t="shared" si="30"/>
        <v>105</v>
      </c>
      <c r="F105" s="9" t="s">
        <v>100</v>
      </c>
      <c r="K105" s="9" t="s">
        <v>139</v>
      </c>
      <c r="O105" s="23">
        <v>2</v>
      </c>
    </row>
    <row r="106" spans="1:15">
      <c r="E106" s="9">
        <f t="shared" si="30"/>
        <v>106</v>
      </c>
      <c r="F106" s="9" t="s">
        <v>117</v>
      </c>
      <c r="O106" s="23">
        <v>0.5</v>
      </c>
    </row>
    <row r="107" spans="1:15">
      <c r="E107" s="9">
        <f t="shared" si="30"/>
        <v>107</v>
      </c>
      <c r="F107" s="9" t="s">
        <v>31</v>
      </c>
      <c r="G107" s="23">
        <v>360</v>
      </c>
      <c r="L107" s="9" t="s">
        <v>136</v>
      </c>
      <c r="O107" s="23">
        <f t="shared" ref="O107" si="34">G107/G100*C99</f>
        <v>90</v>
      </c>
    </row>
    <row r="108" spans="1:15">
      <c r="E108" s="9">
        <f t="shared" si="30"/>
        <v>108</v>
      </c>
      <c r="F108" s="9" t="s">
        <v>184</v>
      </c>
      <c r="L108" s="9" t="s">
        <v>137</v>
      </c>
      <c r="O108" s="23" t="s">
        <v>245</v>
      </c>
    </row>
    <row r="109" spans="1:15">
      <c r="E109" s="9">
        <f t="shared" si="30"/>
        <v>109</v>
      </c>
      <c r="F109" s="9" t="s">
        <v>116</v>
      </c>
      <c r="O109" s="23" t="b">
        <v>1</v>
      </c>
    </row>
    <row r="110" spans="1:15">
      <c r="A110" s="22" t="s">
        <v>229</v>
      </c>
      <c r="B110" s="22">
        <f t="shared" ref="B110" si="35">QUOTIENT( D110-1,G111)+1</f>
        <v>1</v>
      </c>
      <c r="C110" s="22">
        <f t="shared" ref="C110" si="36">D110-(B110-1)*G111</f>
        <v>3</v>
      </c>
      <c r="D110" s="22">
        <f>COUNT($D$87:$D109)+1</f>
        <v>3</v>
      </c>
    </row>
    <row r="111" spans="1:15">
      <c r="E111" s="9">
        <f t="shared" si="30"/>
        <v>111</v>
      </c>
      <c r="F111" s="9" t="s">
        <v>95</v>
      </c>
      <c r="G111" s="23">
        <v>8</v>
      </c>
      <c r="H111" s="23">
        <v>1</v>
      </c>
      <c r="J111" s="23">
        <v>13500</v>
      </c>
      <c r="O111" s="23">
        <f t="shared" ref="O111" si="37">J111+D110</f>
        <v>13503</v>
      </c>
    </row>
    <row r="112" spans="1:15">
      <c r="E112" s="9">
        <f t="shared" si="30"/>
        <v>112</v>
      </c>
      <c r="F112" s="9" t="s">
        <v>145</v>
      </c>
      <c r="O112" s="23">
        <v>13400</v>
      </c>
    </row>
    <row r="113" spans="1:15">
      <c r="E113" s="9">
        <f t="shared" si="30"/>
        <v>113</v>
      </c>
      <c r="F113" s="9" t="s">
        <v>129</v>
      </c>
      <c r="O113" s="23">
        <v>0</v>
      </c>
    </row>
    <row r="114" spans="1:15">
      <c r="E114" s="9">
        <f t="shared" si="30"/>
        <v>114</v>
      </c>
      <c r="F114" s="9" t="s">
        <v>29</v>
      </c>
      <c r="O114" s="23" t="s">
        <v>243</v>
      </c>
    </row>
    <row r="115" spans="1:15">
      <c r="E115" s="9">
        <f t="shared" si="30"/>
        <v>115</v>
      </c>
      <c r="F115" s="9" t="s">
        <v>120</v>
      </c>
      <c r="O115" s="23" t="s">
        <v>242</v>
      </c>
    </row>
    <row r="116" spans="1:15">
      <c r="E116" s="9">
        <f t="shared" si="30"/>
        <v>116</v>
      </c>
      <c r="F116" s="9" t="s">
        <v>100</v>
      </c>
      <c r="K116" s="9" t="s">
        <v>139</v>
      </c>
      <c r="O116" s="23">
        <v>2</v>
      </c>
    </row>
    <row r="117" spans="1:15">
      <c r="E117" s="9">
        <f t="shared" si="30"/>
        <v>117</v>
      </c>
      <c r="F117" s="9" t="s">
        <v>117</v>
      </c>
      <c r="O117" s="23">
        <v>0.5</v>
      </c>
    </row>
    <row r="118" spans="1:15">
      <c r="E118" s="9">
        <f t="shared" si="30"/>
        <v>118</v>
      </c>
      <c r="F118" s="9" t="s">
        <v>31</v>
      </c>
      <c r="G118" s="23">
        <v>360</v>
      </c>
      <c r="L118" s="9" t="s">
        <v>136</v>
      </c>
      <c r="O118" s="23">
        <f t="shared" ref="O118" si="38">G118/G111*C110</f>
        <v>135</v>
      </c>
    </row>
    <row r="119" spans="1:15">
      <c r="E119" s="9">
        <f t="shared" si="30"/>
        <v>119</v>
      </c>
      <c r="F119" s="9" t="s">
        <v>184</v>
      </c>
      <c r="L119" s="9" t="s">
        <v>137</v>
      </c>
      <c r="O119" s="23" t="s">
        <v>245</v>
      </c>
    </row>
    <row r="120" spans="1:15">
      <c r="E120" s="9">
        <f t="shared" si="30"/>
        <v>120</v>
      </c>
      <c r="F120" s="9" t="s">
        <v>116</v>
      </c>
      <c r="O120" s="23" t="b">
        <v>1</v>
      </c>
    </row>
    <row r="121" spans="1:15">
      <c r="A121" s="22" t="s">
        <v>229</v>
      </c>
      <c r="B121" s="22">
        <f t="shared" ref="B121" si="39">QUOTIENT( D121-1,G122)+1</f>
        <v>1</v>
      </c>
      <c r="C121" s="22">
        <f t="shared" ref="C121" si="40">D121-(B121-1)*G122</f>
        <v>4</v>
      </c>
      <c r="D121" s="22">
        <f>COUNT($D$87:$D120)+1</f>
        <v>4</v>
      </c>
    </row>
    <row r="122" spans="1:15">
      <c r="E122" s="9">
        <f t="shared" si="30"/>
        <v>122</v>
      </c>
      <c r="F122" s="9" t="s">
        <v>95</v>
      </c>
      <c r="G122" s="23">
        <v>8</v>
      </c>
      <c r="H122" s="23">
        <v>1</v>
      </c>
      <c r="J122" s="23">
        <v>13500</v>
      </c>
      <c r="O122" s="23">
        <f t="shared" ref="O122" si="41">J122+D121</f>
        <v>13504</v>
      </c>
    </row>
    <row r="123" spans="1:15">
      <c r="E123" s="9">
        <f t="shared" si="30"/>
        <v>123</v>
      </c>
      <c r="F123" s="9" t="s">
        <v>145</v>
      </c>
      <c r="O123" s="23">
        <v>13400</v>
      </c>
    </row>
    <row r="124" spans="1:15">
      <c r="E124" s="9">
        <f t="shared" si="30"/>
        <v>124</v>
      </c>
      <c r="F124" s="9" t="s">
        <v>129</v>
      </c>
      <c r="O124" s="23">
        <v>0</v>
      </c>
    </row>
    <row r="125" spans="1:15">
      <c r="E125" s="9">
        <f t="shared" si="30"/>
        <v>125</v>
      </c>
      <c r="F125" s="9" t="s">
        <v>29</v>
      </c>
      <c r="O125" s="23" t="s">
        <v>243</v>
      </c>
    </row>
    <row r="126" spans="1:15">
      <c r="E126" s="9">
        <f t="shared" si="30"/>
        <v>126</v>
      </c>
      <c r="F126" s="9" t="s">
        <v>120</v>
      </c>
      <c r="O126" s="23" t="s">
        <v>242</v>
      </c>
    </row>
    <row r="127" spans="1:15">
      <c r="E127" s="9">
        <f t="shared" si="30"/>
        <v>127</v>
      </c>
      <c r="F127" s="9" t="s">
        <v>100</v>
      </c>
      <c r="K127" s="9" t="s">
        <v>139</v>
      </c>
      <c r="O127" s="23">
        <v>2</v>
      </c>
    </row>
    <row r="128" spans="1:15">
      <c r="E128" s="9">
        <f t="shared" si="30"/>
        <v>128</v>
      </c>
      <c r="F128" s="9" t="s">
        <v>117</v>
      </c>
      <c r="O128" s="23">
        <v>0.5</v>
      </c>
    </row>
    <row r="129" spans="1:15">
      <c r="E129" s="9">
        <f t="shared" si="30"/>
        <v>129</v>
      </c>
      <c r="F129" s="9" t="s">
        <v>31</v>
      </c>
      <c r="G129" s="23">
        <v>360</v>
      </c>
      <c r="L129" s="9" t="s">
        <v>136</v>
      </c>
      <c r="O129" s="23">
        <f t="shared" ref="O129" si="42">G129/G122*C121</f>
        <v>180</v>
      </c>
    </row>
    <row r="130" spans="1:15">
      <c r="E130" s="9">
        <f t="shared" si="30"/>
        <v>130</v>
      </c>
      <c r="F130" s="9" t="s">
        <v>184</v>
      </c>
      <c r="L130" s="9" t="s">
        <v>137</v>
      </c>
      <c r="O130" s="23" t="s">
        <v>245</v>
      </c>
    </row>
    <row r="131" spans="1:15">
      <c r="E131" s="9">
        <f t="shared" si="30"/>
        <v>131</v>
      </c>
      <c r="F131" s="9" t="s">
        <v>116</v>
      </c>
      <c r="O131" s="23" t="b">
        <v>1</v>
      </c>
    </row>
    <row r="132" spans="1:15">
      <c r="A132" s="22" t="s">
        <v>229</v>
      </c>
      <c r="B132" s="22">
        <f t="shared" ref="B132" si="43">QUOTIENT( D132-1,G133)+1</f>
        <v>1</v>
      </c>
      <c r="C132" s="22">
        <f t="shared" ref="C132" si="44">D132-(B132-1)*G133</f>
        <v>5</v>
      </c>
      <c r="D132" s="22">
        <f>COUNT($D$87:$D131)+1</f>
        <v>5</v>
      </c>
    </row>
    <row r="133" spans="1:15">
      <c r="E133" s="9">
        <f t="shared" si="30"/>
        <v>133</v>
      </c>
      <c r="F133" s="9" t="s">
        <v>95</v>
      </c>
      <c r="G133" s="23">
        <v>8</v>
      </c>
      <c r="H133" s="23">
        <v>1</v>
      </c>
      <c r="J133" s="23">
        <v>13500</v>
      </c>
      <c r="O133" s="23">
        <f t="shared" ref="O133" si="45">J133+D132</f>
        <v>13505</v>
      </c>
    </row>
    <row r="134" spans="1:15">
      <c r="E134" s="9">
        <f t="shared" si="30"/>
        <v>134</v>
      </c>
      <c r="F134" s="9" t="s">
        <v>145</v>
      </c>
      <c r="O134" s="23">
        <v>13400</v>
      </c>
    </row>
    <row r="135" spans="1:15">
      <c r="E135" s="9">
        <f t="shared" si="30"/>
        <v>135</v>
      </c>
      <c r="F135" s="9" t="s">
        <v>129</v>
      </c>
      <c r="O135" s="23">
        <v>0</v>
      </c>
    </row>
    <row r="136" spans="1:15">
      <c r="E136" s="9">
        <f t="shared" si="30"/>
        <v>136</v>
      </c>
      <c r="F136" s="9" t="s">
        <v>29</v>
      </c>
      <c r="O136" s="23" t="s">
        <v>243</v>
      </c>
    </row>
    <row r="137" spans="1:15">
      <c r="E137" s="9">
        <f t="shared" si="30"/>
        <v>137</v>
      </c>
      <c r="F137" s="9" t="s">
        <v>120</v>
      </c>
      <c r="O137" s="23" t="s">
        <v>242</v>
      </c>
    </row>
    <row r="138" spans="1:15">
      <c r="E138" s="9">
        <f t="shared" si="30"/>
        <v>138</v>
      </c>
      <c r="F138" s="9" t="s">
        <v>100</v>
      </c>
      <c r="K138" s="9" t="s">
        <v>139</v>
      </c>
      <c r="O138" s="23">
        <v>2</v>
      </c>
    </row>
    <row r="139" spans="1:15">
      <c r="E139" s="9">
        <f t="shared" si="30"/>
        <v>139</v>
      </c>
      <c r="F139" s="9" t="s">
        <v>117</v>
      </c>
      <c r="O139" s="23">
        <v>0.5</v>
      </c>
    </row>
    <row r="140" spans="1:15">
      <c r="E140" s="9">
        <f t="shared" si="30"/>
        <v>140</v>
      </c>
      <c r="F140" s="9" t="s">
        <v>31</v>
      </c>
      <c r="G140" s="23">
        <v>360</v>
      </c>
      <c r="L140" s="9" t="s">
        <v>136</v>
      </c>
      <c r="O140" s="23">
        <f t="shared" ref="O140" si="46">G140/G133*C132</f>
        <v>225</v>
      </c>
    </row>
    <row r="141" spans="1:15">
      <c r="E141" s="9">
        <f t="shared" si="30"/>
        <v>141</v>
      </c>
      <c r="F141" s="9" t="s">
        <v>184</v>
      </c>
      <c r="L141" s="9" t="s">
        <v>137</v>
      </c>
      <c r="O141" s="23" t="s">
        <v>245</v>
      </c>
    </row>
    <row r="142" spans="1:15">
      <c r="E142" s="9">
        <f t="shared" si="30"/>
        <v>142</v>
      </c>
      <c r="F142" s="9" t="s">
        <v>116</v>
      </c>
      <c r="O142" s="23" t="b">
        <v>1</v>
      </c>
    </row>
    <row r="143" spans="1:15">
      <c r="A143" s="22" t="s">
        <v>229</v>
      </c>
      <c r="B143" s="22">
        <f t="shared" ref="B143" si="47">QUOTIENT( D143-1,G144)+1</f>
        <v>1</v>
      </c>
      <c r="C143" s="22">
        <f t="shared" ref="C143" si="48">D143-(B143-1)*G144</f>
        <v>6</v>
      </c>
      <c r="D143" s="22">
        <f>COUNT($D$87:$D142)+1</f>
        <v>6</v>
      </c>
    </row>
    <row r="144" spans="1:15">
      <c r="E144" s="9">
        <f t="shared" si="30"/>
        <v>144</v>
      </c>
      <c r="F144" s="9" t="s">
        <v>95</v>
      </c>
      <c r="G144" s="23">
        <v>8</v>
      </c>
      <c r="H144" s="23">
        <v>1</v>
      </c>
      <c r="J144" s="23">
        <v>13500</v>
      </c>
      <c r="O144" s="23">
        <f t="shared" ref="O144" si="49">J144+D143</f>
        <v>13506</v>
      </c>
    </row>
    <row r="145" spans="1:15">
      <c r="E145" s="9">
        <f t="shared" si="30"/>
        <v>145</v>
      </c>
      <c r="F145" s="9" t="s">
        <v>145</v>
      </c>
      <c r="O145" s="23">
        <v>13400</v>
      </c>
    </row>
    <row r="146" spans="1:15">
      <c r="E146" s="9">
        <f t="shared" si="30"/>
        <v>146</v>
      </c>
      <c r="F146" s="9" t="s">
        <v>129</v>
      </c>
      <c r="O146" s="23">
        <v>0</v>
      </c>
    </row>
    <row r="147" spans="1:15">
      <c r="E147" s="9">
        <f t="shared" si="30"/>
        <v>147</v>
      </c>
      <c r="F147" s="9" t="s">
        <v>29</v>
      </c>
      <c r="O147" s="23" t="s">
        <v>243</v>
      </c>
    </row>
    <row r="148" spans="1:15">
      <c r="E148" s="9">
        <f t="shared" si="30"/>
        <v>148</v>
      </c>
      <c r="F148" s="9" t="s">
        <v>120</v>
      </c>
      <c r="O148" s="23" t="s">
        <v>242</v>
      </c>
    </row>
    <row r="149" spans="1:15">
      <c r="E149" s="9">
        <f t="shared" si="30"/>
        <v>149</v>
      </c>
      <c r="F149" s="9" t="s">
        <v>100</v>
      </c>
      <c r="K149" s="9" t="s">
        <v>139</v>
      </c>
      <c r="O149" s="23">
        <v>2</v>
      </c>
    </row>
    <row r="150" spans="1:15">
      <c r="E150" s="9">
        <f t="shared" si="30"/>
        <v>150</v>
      </c>
      <c r="F150" s="9" t="s">
        <v>117</v>
      </c>
      <c r="O150" s="23">
        <v>0.5</v>
      </c>
    </row>
    <row r="151" spans="1:15">
      <c r="E151" s="9">
        <f t="shared" si="30"/>
        <v>151</v>
      </c>
      <c r="F151" s="9" t="s">
        <v>31</v>
      </c>
      <c r="G151" s="23">
        <v>360</v>
      </c>
      <c r="L151" s="9" t="s">
        <v>136</v>
      </c>
      <c r="O151" s="23">
        <f t="shared" ref="O151" si="50">G151/G144*C143</f>
        <v>270</v>
      </c>
    </row>
    <row r="152" spans="1:15">
      <c r="E152" s="9">
        <f t="shared" si="30"/>
        <v>152</v>
      </c>
      <c r="F152" s="9" t="s">
        <v>184</v>
      </c>
      <c r="L152" s="9" t="s">
        <v>137</v>
      </c>
      <c r="O152" s="23" t="s">
        <v>245</v>
      </c>
    </row>
    <row r="153" spans="1:15">
      <c r="E153" s="9">
        <f t="shared" si="30"/>
        <v>153</v>
      </c>
      <c r="F153" s="9" t="s">
        <v>116</v>
      </c>
      <c r="O153" s="23" t="b">
        <v>1</v>
      </c>
    </row>
    <row r="154" spans="1:15">
      <c r="A154" s="22" t="s">
        <v>229</v>
      </c>
      <c r="B154" s="22">
        <f t="shared" ref="B154" si="51">QUOTIENT( D154-1,G155)+1</f>
        <v>1</v>
      </c>
      <c r="C154" s="22">
        <f t="shared" ref="C154" si="52">D154-(B154-1)*G155</f>
        <v>7</v>
      </c>
      <c r="D154" s="22">
        <f>COUNT($D$87:$D153)+1</f>
        <v>7</v>
      </c>
    </row>
    <row r="155" spans="1:15">
      <c r="E155" s="9">
        <f t="shared" ref="E155:E175" si="53">ROW(E155)</f>
        <v>155</v>
      </c>
      <c r="F155" s="9" t="s">
        <v>95</v>
      </c>
      <c r="G155" s="23">
        <v>8</v>
      </c>
      <c r="H155" s="23">
        <v>1</v>
      </c>
      <c r="J155" s="23">
        <v>13500</v>
      </c>
      <c r="O155" s="23">
        <f t="shared" ref="O155" si="54">J155+D154</f>
        <v>13507</v>
      </c>
    </row>
    <row r="156" spans="1:15">
      <c r="E156" s="9">
        <f t="shared" si="53"/>
        <v>156</v>
      </c>
      <c r="F156" s="9" t="s">
        <v>145</v>
      </c>
      <c r="O156" s="23">
        <v>13400</v>
      </c>
    </row>
    <row r="157" spans="1:15">
      <c r="E157" s="9">
        <f t="shared" si="53"/>
        <v>157</v>
      </c>
      <c r="F157" s="9" t="s">
        <v>129</v>
      </c>
      <c r="O157" s="23">
        <v>0</v>
      </c>
    </row>
    <row r="158" spans="1:15">
      <c r="E158" s="9">
        <f t="shared" si="53"/>
        <v>158</v>
      </c>
      <c r="F158" s="9" t="s">
        <v>29</v>
      </c>
      <c r="O158" s="23" t="s">
        <v>243</v>
      </c>
    </row>
    <row r="159" spans="1:15">
      <c r="E159" s="9">
        <f t="shared" si="53"/>
        <v>159</v>
      </c>
      <c r="F159" s="9" t="s">
        <v>120</v>
      </c>
      <c r="O159" s="23" t="s">
        <v>242</v>
      </c>
    </row>
    <row r="160" spans="1:15">
      <c r="E160" s="9">
        <f t="shared" si="53"/>
        <v>160</v>
      </c>
      <c r="F160" s="9" t="s">
        <v>100</v>
      </c>
      <c r="K160" s="9" t="s">
        <v>139</v>
      </c>
      <c r="O160" s="23">
        <v>2</v>
      </c>
    </row>
    <row r="161" spans="1:15">
      <c r="E161" s="9">
        <f t="shared" si="53"/>
        <v>161</v>
      </c>
      <c r="F161" s="9" t="s">
        <v>117</v>
      </c>
      <c r="O161" s="23">
        <v>0.5</v>
      </c>
    </row>
    <row r="162" spans="1:15">
      <c r="E162" s="9">
        <f t="shared" si="53"/>
        <v>162</v>
      </c>
      <c r="F162" s="9" t="s">
        <v>31</v>
      </c>
      <c r="G162" s="23">
        <v>360</v>
      </c>
      <c r="L162" s="9" t="s">
        <v>136</v>
      </c>
      <c r="O162" s="23">
        <f t="shared" ref="O162" si="55">G162/G155*C154</f>
        <v>315</v>
      </c>
    </row>
    <row r="163" spans="1:15">
      <c r="E163" s="9">
        <f t="shared" si="53"/>
        <v>163</v>
      </c>
      <c r="F163" s="9" t="s">
        <v>184</v>
      </c>
      <c r="L163" s="9" t="s">
        <v>137</v>
      </c>
      <c r="O163" s="23" t="s">
        <v>245</v>
      </c>
    </row>
    <row r="164" spans="1:15">
      <c r="E164" s="9">
        <f t="shared" si="53"/>
        <v>164</v>
      </c>
      <c r="F164" s="9" t="s">
        <v>116</v>
      </c>
      <c r="O164" s="23" t="b">
        <v>1</v>
      </c>
    </row>
    <row r="165" spans="1:15">
      <c r="A165" s="22" t="s">
        <v>229</v>
      </c>
      <c r="B165" s="22">
        <f t="shared" ref="B165" si="56">QUOTIENT( D165-1,G166)+1</f>
        <v>1</v>
      </c>
      <c r="C165" s="22">
        <f t="shared" ref="C165" si="57">D165-(B165-1)*G166</f>
        <v>8</v>
      </c>
      <c r="D165" s="22">
        <f>COUNT($D$87:$D164)+1</f>
        <v>8</v>
      </c>
    </row>
    <row r="166" spans="1:15">
      <c r="E166" s="9">
        <f t="shared" si="53"/>
        <v>166</v>
      </c>
      <c r="F166" s="9" t="s">
        <v>95</v>
      </c>
      <c r="G166" s="23">
        <v>8</v>
      </c>
      <c r="H166" s="23">
        <v>1</v>
      </c>
      <c r="J166" s="23">
        <v>13500</v>
      </c>
      <c r="O166" s="23">
        <f t="shared" ref="O166" si="58">J166+D165</f>
        <v>13508</v>
      </c>
    </row>
    <row r="167" spans="1:15">
      <c r="E167" s="9">
        <f t="shared" si="53"/>
        <v>167</v>
      </c>
      <c r="F167" s="9" t="s">
        <v>145</v>
      </c>
      <c r="O167" s="23">
        <v>13400</v>
      </c>
    </row>
    <row r="168" spans="1:15">
      <c r="E168" s="9">
        <f t="shared" si="53"/>
        <v>168</v>
      </c>
      <c r="F168" s="9" t="s">
        <v>129</v>
      </c>
      <c r="O168" s="23">
        <v>0</v>
      </c>
    </row>
    <row r="169" spans="1:15">
      <c r="E169" s="9">
        <f t="shared" si="53"/>
        <v>169</v>
      </c>
      <c r="F169" s="9" t="s">
        <v>29</v>
      </c>
      <c r="O169" s="23" t="s">
        <v>243</v>
      </c>
    </row>
    <row r="170" spans="1:15">
      <c r="E170" s="9">
        <f t="shared" si="53"/>
        <v>170</v>
      </c>
      <c r="F170" s="9" t="s">
        <v>120</v>
      </c>
      <c r="O170" s="23" t="s">
        <v>242</v>
      </c>
    </row>
    <row r="171" spans="1:15">
      <c r="E171" s="9">
        <f t="shared" si="53"/>
        <v>171</v>
      </c>
      <c r="F171" s="9" t="s">
        <v>100</v>
      </c>
      <c r="K171" s="9" t="s">
        <v>139</v>
      </c>
      <c r="O171" s="23">
        <v>2</v>
      </c>
    </row>
    <row r="172" spans="1:15">
      <c r="E172" s="9">
        <f t="shared" si="53"/>
        <v>172</v>
      </c>
      <c r="F172" s="9" t="s">
        <v>117</v>
      </c>
      <c r="O172" s="23">
        <v>0.5</v>
      </c>
    </row>
    <row r="173" spans="1:15">
      <c r="E173" s="9">
        <f t="shared" si="53"/>
        <v>173</v>
      </c>
      <c r="F173" s="9" t="s">
        <v>31</v>
      </c>
      <c r="G173" s="23">
        <v>360</v>
      </c>
      <c r="L173" s="9" t="s">
        <v>136</v>
      </c>
      <c r="O173" s="23">
        <f t="shared" ref="O173" si="59">G173/G166*C165</f>
        <v>360</v>
      </c>
    </row>
    <row r="174" spans="1:15">
      <c r="E174" s="9">
        <f t="shared" si="53"/>
        <v>174</v>
      </c>
      <c r="F174" s="9" t="s">
        <v>184</v>
      </c>
      <c r="L174" s="9" t="s">
        <v>137</v>
      </c>
      <c r="O174" s="23" t="s">
        <v>245</v>
      </c>
    </row>
    <row r="175" spans="1:15">
      <c r="E175" s="9">
        <f t="shared" si="53"/>
        <v>175</v>
      </c>
      <c r="F175" s="9" t="s">
        <v>116</v>
      </c>
      <c r="O175" s="23" t="b">
        <v>1</v>
      </c>
    </row>
  </sheetData>
  <phoneticPr fontId="2" type="noConversion"/>
  <conditionalFormatting sqref="N1">
    <cfRule type="duplicateValues" dxfId="54" priority="602"/>
  </conditionalFormatting>
  <conditionalFormatting sqref="P1:BF1">
    <cfRule type="duplicateValues" dxfId="53" priority="601"/>
  </conditionalFormatting>
  <conditionalFormatting sqref="BG1:XFD1 E1:M1">
    <cfRule type="duplicateValues" dxfId="52" priority="681"/>
  </conditionalFormatting>
  <conditionalFormatting sqref="G79:G86 F1:F1048576">
    <cfRule type="cellIs" dxfId="51" priority="174" operator="equal">
      <formula>"行動ID"</formula>
    </cfRule>
    <cfRule type="cellIs" dxfId="50" priority="182" operator="equal">
      <formula>"ID"</formula>
    </cfRule>
    <cfRule type="cellIs" dxfId="49" priority="597" operator="equal">
      <formula>"行動序號"</formula>
    </cfRule>
  </conditionalFormatting>
  <conditionalFormatting sqref="G79:G86 F1:F1048576">
    <cfRule type="cellIs" dxfId="48" priority="44" operator="equal">
      <formula>"行動ID"</formula>
    </cfRule>
  </conditionalFormatting>
  <conditionalFormatting sqref="F1:F5 F9 F89">
    <cfRule type="cellIs" dxfId="47" priority="40" operator="equal">
      <formula>"行動ID"</formula>
    </cfRule>
  </conditionalFormatting>
  <conditionalFormatting sqref="I18">
    <cfRule type="cellIs" dxfId="46" priority="18" operator="equal">
      <formula>"行動ID"</formula>
    </cfRule>
  </conditionalFormatting>
  <conditionalFormatting sqref="F18">
    <cfRule type="cellIs" dxfId="45" priority="17" operator="equal">
      <formula>"行動ID"</formula>
    </cfRule>
  </conditionalFormatting>
  <conditionalFormatting sqref="F18">
    <cfRule type="cellIs" dxfId="44" priority="16" operator="equal">
      <formula>"行動ID"</formula>
    </cfRule>
  </conditionalFormatting>
  <conditionalFormatting sqref="H18 O1:O1048576">
    <cfRule type="expression" dxfId="43" priority="5">
      <formula>OR(#REF!="行動序號",#REF!="ID")</formula>
    </cfRule>
  </conditionalFormatting>
  <conditionalFormatting sqref="H18 G11:G12 O1:O1048576">
    <cfRule type="expression" dxfId="42" priority="4">
      <formula>_xlfn.ISFORMULA(G1)</formula>
    </cfRule>
  </conditionalFormatting>
  <conditionalFormatting sqref="H18 O1:O1048576">
    <cfRule type="expression" dxfId="41" priority="3">
      <formula>#REF!="行動ID"</formula>
    </cfRule>
  </conditionalFormatting>
  <conditionalFormatting sqref="G11:G12">
    <cfRule type="expression" dxfId="40" priority="914">
      <formula>OR(#REF!="行動序號",#REF!="ID")</formula>
    </cfRule>
  </conditionalFormatting>
  <conditionalFormatting sqref="G11:G12">
    <cfRule type="expression" dxfId="39" priority="918">
      <formula>#REF!="行動ID"</formula>
    </cfRule>
  </conditionalFormatting>
  <dataValidations disablePrompts="1" count="1">
    <dataValidation type="list" allowBlank="1" showInputMessage="1" showErrorMessage="1" sqref="M2:M5 G5:J5 G2:J3 F2:F5 K2:K5 K8 K9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041F-A013-4DA0-97BB-FEDF426998E8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50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589B3BBD-A77D-4499-AF2E-0EA3076DFF1A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FAF35-FF3F-4B64-ABE1-5E1ACAAB5B7F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150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151</v>
      </c>
      <c r="E20" t="str">
        <f t="shared" si="0"/>
        <v>啟動依ID,</v>
      </c>
      <c r="H20"/>
    </row>
    <row r="21" spans="1:8">
      <c r="A21" s="7" t="s">
        <v>27</v>
      </c>
      <c r="B21" s="7" t="s">
        <v>146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7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220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223</v>
      </c>
      <c r="C114" s="7" t="s">
        <v>22</v>
      </c>
      <c r="D114" s="7"/>
      <c r="L114" s="7"/>
    </row>
    <row r="115" spans="1:12">
      <c r="A115" s="7" t="s">
        <v>143</v>
      </c>
      <c r="B115" s="7" t="s">
        <v>224</v>
      </c>
      <c r="C115" s="7" t="s">
        <v>23</v>
      </c>
      <c r="H115"/>
    </row>
    <row r="116" spans="1:12">
      <c r="A116" s="7" t="s">
        <v>143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9E18-60D0-4EC7-8C6D-A89D216C4A66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4" t="s">
        <v>225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226</v>
      </c>
      <c r="D4" s="20"/>
      <c r="G4" s="9"/>
      <c r="H4" s="18"/>
    </row>
    <row r="5" spans="1:10" ht="17.25" customHeight="1">
      <c r="A5" s="20" t="s">
        <v>101</v>
      </c>
      <c r="B5" s="20" t="s">
        <v>220</v>
      </c>
      <c r="C5" s="20" t="s">
        <v>223</v>
      </c>
      <c r="D5" s="20"/>
      <c r="G5" s="9"/>
    </row>
    <row r="6" spans="1:10">
      <c r="A6" s="20" t="s">
        <v>104</v>
      </c>
      <c r="B6" s="20" t="s">
        <v>221</v>
      </c>
      <c r="C6" s="20" t="s">
        <v>224</v>
      </c>
      <c r="D6" s="20"/>
      <c r="G6" s="9"/>
    </row>
    <row r="7" spans="1:10">
      <c r="A7" s="20" t="s">
        <v>49</v>
      </c>
      <c r="B7" s="20" t="s">
        <v>222</v>
      </c>
      <c r="C7" s="26" t="s">
        <v>255</v>
      </c>
      <c r="D7" s="20"/>
      <c r="G7" s="9"/>
    </row>
    <row r="8" spans="1:10">
      <c r="A8" s="20" t="s">
        <v>148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149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146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177</v>
      </c>
      <c r="C49"/>
      <c r="G49" s="9"/>
    </row>
    <row r="50" spans="1:8">
      <c r="A50" s="27" t="s">
        <v>251</v>
      </c>
      <c r="C50"/>
      <c r="G50" s="9"/>
    </row>
    <row r="51" spans="1:8">
      <c r="A51" s="27" t="s">
        <v>256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236</v>
      </c>
      <c r="C57"/>
      <c r="G57" s="9"/>
    </row>
    <row r="58" spans="1:8">
      <c r="A58" s="20" t="s">
        <v>134</v>
      </c>
      <c r="G58" s="9"/>
    </row>
    <row r="59" spans="1:8">
      <c r="A59" s="20" t="s">
        <v>184</v>
      </c>
      <c r="G59" s="9"/>
    </row>
    <row r="60" spans="1:8">
      <c r="A60" s="20" t="s">
        <v>116</v>
      </c>
      <c r="G60" s="9"/>
    </row>
    <row r="61" spans="1:8">
      <c r="A61" s="27" t="s">
        <v>232</v>
      </c>
      <c r="G61" s="9"/>
    </row>
    <row r="62" spans="1:8">
      <c r="A62" s="27" t="s">
        <v>234</v>
      </c>
      <c r="G62" s="9"/>
    </row>
    <row r="63" spans="1:8">
      <c r="A63" s="27" t="s">
        <v>251</v>
      </c>
      <c r="G63" s="9"/>
    </row>
    <row r="64" spans="1:8">
      <c r="A64" s="27" t="s">
        <v>254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2F2F4FE2-AE59-4330-A4ED-46293B79EFAA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F6E9-A34E-47A4-81F7-195C62E4CAF9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FC1E8-E0E7-444B-B687-2D04E8F8F92B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40FB9-F504-492E-8FA6-4A412218A2C8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stage7_7Shot2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2025-04-16T06:38:14Z</dcterms:modified>
</cp:coreProperties>
</file>