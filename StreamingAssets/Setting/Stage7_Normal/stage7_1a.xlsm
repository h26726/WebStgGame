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treamingAssets\Setting\Stage7_Normal\"/>
    </mc:Choice>
  </mc:AlternateContent>
  <xr:revisionPtr revIDLastSave="0" documentId="13_ncr:1_{AEDE1682-FBBA-457A-866A-14BF6F00C75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tage7_1a" sheetId="1" r:id="rId1"/>
    <sheet name="#ALIAS" sheetId="66" r:id="rId2"/>
    <sheet name="#DEFINE" sheetId="67" r:id="rId3"/>
    <sheet name="#OPTION" sheetId="68" r:id="rId4"/>
    <sheet name="#PARAM" sheetId="69" r:id="rId5"/>
    <sheet name="#OUTPUT" sheetId="70" r:id="rId6"/>
    <sheet name="#使用說明" sheetId="71" r:id="rId7"/>
  </sheets>
  <functionGroups builtInGroupCount="19"/>
  <definedNames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_OPTION_">'#OPTION'!$C$2:$C$7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37" i="1" l="1"/>
  <c r="E736" i="1"/>
  <c r="E735" i="1"/>
  <c r="E734" i="1"/>
  <c r="E733" i="1"/>
  <c r="E732" i="1"/>
  <c r="E731" i="1"/>
  <c r="E730" i="1"/>
  <c r="E728" i="1"/>
  <c r="E727" i="1"/>
  <c r="E726" i="1"/>
  <c r="E725" i="1"/>
  <c r="E724" i="1"/>
  <c r="E723" i="1"/>
  <c r="E722" i="1"/>
  <c r="E721" i="1"/>
  <c r="E719" i="1"/>
  <c r="E718" i="1"/>
  <c r="E717" i="1"/>
  <c r="E716" i="1"/>
  <c r="E715" i="1"/>
  <c r="E714" i="1"/>
  <c r="E713" i="1"/>
  <c r="E712" i="1"/>
  <c r="E710" i="1"/>
  <c r="E709" i="1"/>
  <c r="E708" i="1"/>
  <c r="E707" i="1"/>
  <c r="E706" i="1"/>
  <c r="E705" i="1"/>
  <c r="E704" i="1"/>
  <c r="E703" i="1"/>
  <c r="E701" i="1"/>
  <c r="E700" i="1"/>
  <c r="E699" i="1"/>
  <c r="E698" i="1"/>
  <c r="E697" i="1"/>
  <c r="E696" i="1"/>
  <c r="E695" i="1"/>
  <c r="E694" i="1"/>
  <c r="E692" i="1"/>
  <c r="E691" i="1"/>
  <c r="E690" i="1"/>
  <c r="E689" i="1"/>
  <c r="E688" i="1"/>
  <c r="E687" i="1"/>
  <c r="E686" i="1"/>
  <c r="E685" i="1"/>
  <c r="E683" i="1"/>
  <c r="E682" i="1"/>
  <c r="E681" i="1"/>
  <c r="E680" i="1"/>
  <c r="E679" i="1"/>
  <c r="E678" i="1"/>
  <c r="E677" i="1"/>
  <c r="E676" i="1"/>
  <c r="E674" i="1"/>
  <c r="E673" i="1"/>
  <c r="E672" i="1"/>
  <c r="E671" i="1"/>
  <c r="E670" i="1"/>
  <c r="E669" i="1"/>
  <c r="E668" i="1"/>
  <c r="E667" i="1"/>
  <c r="E665" i="1"/>
  <c r="E664" i="1"/>
  <c r="E663" i="1"/>
  <c r="E662" i="1"/>
  <c r="E661" i="1"/>
  <c r="E660" i="1"/>
  <c r="E659" i="1"/>
  <c r="E658" i="1"/>
  <c r="E656" i="1"/>
  <c r="E655" i="1"/>
  <c r="E654" i="1"/>
  <c r="E653" i="1"/>
  <c r="E652" i="1"/>
  <c r="E651" i="1"/>
  <c r="E650" i="1"/>
  <c r="E649" i="1"/>
  <c r="E647" i="1"/>
  <c r="E646" i="1"/>
  <c r="E645" i="1"/>
  <c r="E644" i="1"/>
  <c r="E643" i="1"/>
  <c r="E642" i="1"/>
  <c r="E641" i="1"/>
  <c r="E640" i="1"/>
  <c r="E638" i="1"/>
  <c r="E637" i="1"/>
  <c r="E636" i="1"/>
  <c r="E635" i="1"/>
  <c r="E634" i="1"/>
  <c r="E633" i="1"/>
  <c r="E632" i="1"/>
  <c r="E631" i="1"/>
  <c r="E629" i="1"/>
  <c r="E628" i="1"/>
  <c r="E627" i="1"/>
  <c r="E626" i="1"/>
  <c r="E625" i="1"/>
  <c r="E624" i="1"/>
  <c r="E623" i="1"/>
  <c r="E622" i="1"/>
  <c r="E620" i="1"/>
  <c r="E619" i="1"/>
  <c r="E618" i="1"/>
  <c r="E617" i="1"/>
  <c r="E616" i="1"/>
  <c r="E615" i="1"/>
  <c r="E614" i="1"/>
  <c r="E613" i="1"/>
  <c r="E611" i="1"/>
  <c r="E610" i="1"/>
  <c r="E609" i="1"/>
  <c r="E608" i="1"/>
  <c r="E607" i="1"/>
  <c r="E606" i="1"/>
  <c r="E605" i="1"/>
  <c r="E604" i="1"/>
  <c r="E602" i="1"/>
  <c r="E601" i="1"/>
  <c r="E600" i="1"/>
  <c r="E599" i="1"/>
  <c r="E598" i="1"/>
  <c r="E597" i="1"/>
  <c r="E596" i="1"/>
  <c r="E595" i="1"/>
  <c r="E593" i="1"/>
  <c r="E592" i="1"/>
  <c r="E591" i="1"/>
  <c r="E590" i="1"/>
  <c r="E589" i="1"/>
  <c r="E588" i="1"/>
  <c r="E587" i="1"/>
  <c r="E586" i="1"/>
  <c r="E584" i="1"/>
  <c r="E583" i="1"/>
  <c r="E582" i="1"/>
  <c r="E581" i="1"/>
  <c r="E580" i="1"/>
  <c r="E579" i="1"/>
  <c r="E578" i="1"/>
  <c r="E577" i="1"/>
  <c r="E575" i="1"/>
  <c r="E574" i="1"/>
  <c r="E573" i="1"/>
  <c r="E572" i="1"/>
  <c r="E571" i="1"/>
  <c r="E570" i="1"/>
  <c r="E569" i="1"/>
  <c r="E568" i="1"/>
  <c r="E566" i="1"/>
  <c r="E565" i="1"/>
  <c r="E564" i="1"/>
  <c r="E563" i="1"/>
  <c r="E562" i="1"/>
  <c r="E561" i="1"/>
  <c r="E560" i="1"/>
  <c r="E559" i="1"/>
  <c r="E557" i="1"/>
  <c r="E556" i="1"/>
  <c r="E555" i="1"/>
  <c r="E554" i="1"/>
  <c r="E553" i="1"/>
  <c r="E552" i="1"/>
  <c r="E551" i="1"/>
  <c r="E550" i="1"/>
  <c r="E548" i="1"/>
  <c r="E547" i="1"/>
  <c r="E546" i="1"/>
  <c r="E545" i="1"/>
  <c r="E544" i="1"/>
  <c r="E543" i="1"/>
  <c r="E542" i="1"/>
  <c r="E541" i="1"/>
  <c r="E539" i="1"/>
  <c r="E538" i="1"/>
  <c r="E537" i="1"/>
  <c r="E536" i="1"/>
  <c r="E535" i="1"/>
  <c r="E534" i="1"/>
  <c r="E533" i="1"/>
  <c r="E532" i="1"/>
  <c r="E530" i="1"/>
  <c r="E529" i="1"/>
  <c r="E528" i="1"/>
  <c r="E527" i="1"/>
  <c r="E526" i="1"/>
  <c r="E525" i="1"/>
  <c r="E524" i="1"/>
  <c r="E523" i="1"/>
  <c r="E521" i="1"/>
  <c r="E520" i="1"/>
  <c r="E519" i="1"/>
  <c r="E518" i="1"/>
  <c r="E517" i="1"/>
  <c r="E516" i="1"/>
  <c r="E515" i="1"/>
  <c r="E514" i="1"/>
  <c r="E512" i="1"/>
  <c r="E511" i="1"/>
  <c r="E510" i="1"/>
  <c r="E509" i="1"/>
  <c r="E508" i="1"/>
  <c r="E507" i="1"/>
  <c r="E506" i="1"/>
  <c r="E505" i="1"/>
  <c r="E503" i="1"/>
  <c r="E502" i="1"/>
  <c r="E501" i="1"/>
  <c r="E500" i="1"/>
  <c r="E499" i="1"/>
  <c r="E498" i="1"/>
  <c r="E497" i="1"/>
  <c r="E496" i="1"/>
  <c r="E494" i="1"/>
  <c r="E493" i="1"/>
  <c r="E492" i="1"/>
  <c r="E491" i="1"/>
  <c r="E490" i="1"/>
  <c r="E489" i="1"/>
  <c r="E488" i="1"/>
  <c r="E487" i="1"/>
  <c r="E485" i="1"/>
  <c r="E484" i="1"/>
  <c r="E483" i="1"/>
  <c r="E482" i="1"/>
  <c r="E481" i="1"/>
  <c r="E480" i="1"/>
  <c r="E479" i="1"/>
  <c r="E478" i="1"/>
  <c r="E476" i="1"/>
  <c r="E475" i="1"/>
  <c r="E474" i="1"/>
  <c r="E473" i="1"/>
  <c r="E472" i="1"/>
  <c r="E471" i="1"/>
  <c r="E470" i="1"/>
  <c r="E469" i="1"/>
  <c r="E467" i="1"/>
  <c r="E466" i="1"/>
  <c r="E465" i="1"/>
  <c r="E464" i="1"/>
  <c r="E463" i="1"/>
  <c r="E462" i="1"/>
  <c r="E461" i="1"/>
  <c r="E460" i="1"/>
  <c r="E458" i="1"/>
  <c r="E457" i="1"/>
  <c r="E456" i="1"/>
  <c r="E455" i="1"/>
  <c r="E454" i="1"/>
  <c r="E453" i="1"/>
  <c r="E452" i="1"/>
  <c r="E451" i="1"/>
  <c r="E449" i="1"/>
  <c r="E448" i="1"/>
  <c r="E447" i="1"/>
  <c r="E446" i="1"/>
  <c r="E445" i="1"/>
  <c r="E444" i="1"/>
  <c r="E443" i="1"/>
  <c r="E442" i="1"/>
  <c r="E440" i="1"/>
  <c r="E439" i="1"/>
  <c r="E438" i="1"/>
  <c r="E437" i="1"/>
  <c r="E436" i="1"/>
  <c r="E435" i="1"/>
  <c r="E434" i="1"/>
  <c r="E433" i="1"/>
  <c r="E431" i="1"/>
  <c r="E430" i="1"/>
  <c r="E429" i="1"/>
  <c r="E428" i="1"/>
  <c r="E427" i="1"/>
  <c r="E426" i="1"/>
  <c r="E425" i="1"/>
  <c r="E424" i="1"/>
  <c r="E422" i="1"/>
  <c r="E421" i="1"/>
  <c r="E420" i="1"/>
  <c r="E419" i="1"/>
  <c r="E418" i="1"/>
  <c r="E417" i="1"/>
  <c r="E416" i="1"/>
  <c r="E415" i="1"/>
  <c r="E413" i="1"/>
  <c r="E412" i="1"/>
  <c r="E411" i="1"/>
  <c r="E410" i="1"/>
  <c r="E409" i="1"/>
  <c r="E408" i="1"/>
  <c r="E407" i="1"/>
  <c r="E406" i="1"/>
  <c r="E404" i="1"/>
  <c r="E403" i="1"/>
  <c r="E402" i="1"/>
  <c r="E401" i="1"/>
  <c r="E400" i="1"/>
  <c r="E399" i="1"/>
  <c r="E398" i="1"/>
  <c r="E397" i="1"/>
  <c r="E395" i="1"/>
  <c r="E394" i="1"/>
  <c r="E393" i="1"/>
  <c r="E392" i="1"/>
  <c r="E391" i="1"/>
  <c r="E390" i="1"/>
  <c r="E389" i="1"/>
  <c r="E388" i="1"/>
  <c r="E386" i="1"/>
  <c r="E385" i="1"/>
  <c r="E384" i="1"/>
  <c r="E383" i="1"/>
  <c r="E382" i="1"/>
  <c r="E381" i="1"/>
  <c r="E380" i="1"/>
  <c r="E379" i="1"/>
  <c r="E377" i="1"/>
  <c r="E376" i="1"/>
  <c r="E375" i="1"/>
  <c r="E374" i="1"/>
  <c r="E373" i="1"/>
  <c r="E372" i="1"/>
  <c r="E371" i="1"/>
  <c r="E370" i="1"/>
  <c r="E368" i="1"/>
  <c r="E367" i="1"/>
  <c r="E366" i="1"/>
  <c r="E365" i="1"/>
  <c r="E364" i="1"/>
  <c r="E363" i="1"/>
  <c r="E362" i="1"/>
  <c r="E361" i="1"/>
  <c r="E359" i="1"/>
  <c r="E358" i="1"/>
  <c r="E357" i="1"/>
  <c r="E356" i="1"/>
  <c r="E355" i="1"/>
  <c r="E354" i="1"/>
  <c r="E353" i="1"/>
  <c r="E352" i="1"/>
  <c r="E350" i="1"/>
  <c r="E349" i="1"/>
  <c r="E348" i="1"/>
  <c r="E347" i="1"/>
  <c r="E346" i="1"/>
  <c r="E345" i="1"/>
  <c r="E344" i="1"/>
  <c r="E343" i="1"/>
  <c r="E341" i="1"/>
  <c r="E340" i="1"/>
  <c r="E339" i="1"/>
  <c r="E338" i="1"/>
  <c r="E337" i="1"/>
  <c r="E336" i="1"/>
  <c r="E335" i="1"/>
  <c r="E334" i="1"/>
  <c r="E332" i="1"/>
  <c r="E331" i="1"/>
  <c r="E330" i="1"/>
  <c r="E329" i="1"/>
  <c r="E328" i="1"/>
  <c r="E327" i="1"/>
  <c r="E326" i="1"/>
  <c r="E325" i="1"/>
  <c r="E323" i="1"/>
  <c r="E322" i="1"/>
  <c r="E321" i="1"/>
  <c r="E320" i="1"/>
  <c r="E319" i="1"/>
  <c r="E318" i="1"/>
  <c r="E317" i="1"/>
  <c r="E316" i="1"/>
  <c r="E314" i="1"/>
  <c r="E313" i="1"/>
  <c r="E312" i="1"/>
  <c r="E311" i="1"/>
  <c r="E310" i="1"/>
  <c r="E309" i="1"/>
  <c r="E308" i="1"/>
  <c r="E307" i="1"/>
  <c r="E305" i="1"/>
  <c r="E304" i="1"/>
  <c r="E303" i="1"/>
  <c r="E302" i="1"/>
  <c r="E301" i="1"/>
  <c r="E300" i="1"/>
  <c r="E299" i="1"/>
  <c r="E298" i="1"/>
  <c r="E296" i="1"/>
  <c r="E295" i="1"/>
  <c r="E294" i="1"/>
  <c r="E293" i="1"/>
  <c r="E292" i="1"/>
  <c r="E291" i="1"/>
  <c r="E290" i="1"/>
  <c r="E289" i="1"/>
  <c r="E287" i="1"/>
  <c r="E286" i="1"/>
  <c r="E285" i="1"/>
  <c r="E284" i="1"/>
  <c r="E283" i="1"/>
  <c r="E282" i="1"/>
  <c r="E281" i="1"/>
  <c r="E280" i="1"/>
  <c r="E278" i="1"/>
  <c r="E277" i="1"/>
  <c r="E276" i="1"/>
  <c r="E275" i="1"/>
  <c r="E274" i="1"/>
  <c r="E273" i="1"/>
  <c r="E272" i="1"/>
  <c r="E271" i="1"/>
  <c r="E269" i="1"/>
  <c r="E268" i="1"/>
  <c r="E267" i="1"/>
  <c r="E266" i="1"/>
  <c r="E265" i="1"/>
  <c r="E264" i="1"/>
  <c r="E263" i="1"/>
  <c r="E262" i="1"/>
  <c r="E260" i="1"/>
  <c r="E259" i="1"/>
  <c r="E258" i="1"/>
  <c r="E257" i="1"/>
  <c r="E256" i="1"/>
  <c r="E255" i="1"/>
  <c r="E254" i="1"/>
  <c r="E253" i="1"/>
  <c r="E251" i="1"/>
  <c r="E250" i="1"/>
  <c r="E249" i="1"/>
  <c r="E248" i="1"/>
  <c r="E247" i="1"/>
  <c r="E246" i="1"/>
  <c r="E245" i="1"/>
  <c r="E244" i="1"/>
  <c r="E242" i="1"/>
  <c r="E241" i="1"/>
  <c r="E240" i="1"/>
  <c r="E239" i="1"/>
  <c r="E238" i="1"/>
  <c r="E237" i="1"/>
  <c r="E236" i="1"/>
  <c r="E235" i="1"/>
  <c r="E233" i="1"/>
  <c r="E232" i="1"/>
  <c r="E231" i="1"/>
  <c r="E230" i="1"/>
  <c r="E229" i="1"/>
  <c r="E228" i="1"/>
  <c r="E227" i="1"/>
  <c r="E226" i="1"/>
  <c r="E224" i="1"/>
  <c r="E223" i="1"/>
  <c r="E222" i="1"/>
  <c r="E221" i="1"/>
  <c r="E220" i="1"/>
  <c r="E219" i="1"/>
  <c r="E218" i="1"/>
  <c r="E217" i="1"/>
  <c r="E215" i="1"/>
  <c r="E214" i="1"/>
  <c r="E213" i="1"/>
  <c r="E212" i="1"/>
  <c r="E211" i="1"/>
  <c r="E210" i="1"/>
  <c r="E209" i="1"/>
  <c r="E208" i="1"/>
  <c r="E206" i="1"/>
  <c r="E205" i="1"/>
  <c r="E204" i="1"/>
  <c r="E203" i="1"/>
  <c r="E202" i="1"/>
  <c r="E201" i="1"/>
  <c r="E200" i="1"/>
  <c r="E199" i="1"/>
  <c r="E197" i="1"/>
  <c r="E196" i="1"/>
  <c r="E195" i="1"/>
  <c r="E194" i="1"/>
  <c r="E193" i="1"/>
  <c r="E192" i="1"/>
  <c r="E191" i="1"/>
  <c r="E190" i="1"/>
  <c r="E188" i="1"/>
  <c r="E187" i="1"/>
  <c r="E186" i="1"/>
  <c r="E185" i="1"/>
  <c r="E184" i="1"/>
  <c r="E183" i="1"/>
  <c r="E182" i="1"/>
  <c r="E181" i="1"/>
  <c r="E179" i="1"/>
  <c r="E178" i="1"/>
  <c r="E177" i="1"/>
  <c r="E176" i="1"/>
  <c r="E175" i="1"/>
  <c r="E174" i="1"/>
  <c r="E173" i="1"/>
  <c r="E172" i="1"/>
  <c r="E170" i="1"/>
  <c r="E169" i="1"/>
  <c r="E168" i="1"/>
  <c r="E167" i="1"/>
  <c r="E166" i="1"/>
  <c r="E165" i="1"/>
  <c r="E164" i="1"/>
  <c r="E163" i="1"/>
  <c r="E161" i="1"/>
  <c r="E160" i="1"/>
  <c r="E159" i="1"/>
  <c r="E158" i="1"/>
  <c r="E157" i="1"/>
  <c r="E156" i="1"/>
  <c r="E155" i="1"/>
  <c r="E154" i="1"/>
  <c r="E152" i="1"/>
  <c r="E151" i="1"/>
  <c r="E150" i="1"/>
  <c r="E149" i="1"/>
  <c r="E148" i="1"/>
  <c r="E147" i="1"/>
  <c r="E146" i="1"/>
  <c r="E145" i="1"/>
  <c r="E143" i="1"/>
  <c r="E142" i="1"/>
  <c r="E141" i="1"/>
  <c r="E140" i="1"/>
  <c r="E139" i="1"/>
  <c r="E138" i="1"/>
  <c r="E137" i="1"/>
  <c r="E136" i="1"/>
  <c r="E134" i="1"/>
  <c r="E133" i="1"/>
  <c r="E132" i="1"/>
  <c r="E131" i="1"/>
  <c r="E130" i="1"/>
  <c r="E129" i="1"/>
  <c r="E128" i="1"/>
  <c r="E127" i="1"/>
  <c r="E125" i="1"/>
  <c r="E124" i="1"/>
  <c r="E123" i="1"/>
  <c r="E122" i="1"/>
  <c r="E121" i="1"/>
  <c r="E120" i="1"/>
  <c r="E119" i="1"/>
  <c r="E118" i="1"/>
  <c r="E116" i="1"/>
  <c r="E115" i="1"/>
  <c r="E114" i="1"/>
  <c r="E113" i="1"/>
  <c r="E112" i="1"/>
  <c r="E111" i="1"/>
  <c r="E110" i="1"/>
  <c r="E109" i="1"/>
  <c r="E107" i="1"/>
  <c r="E106" i="1"/>
  <c r="E105" i="1"/>
  <c r="E104" i="1"/>
  <c r="E103" i="1"/>
  <c r="E102" i="1"/>
  <c r="E101" i="1"/>
  <c r="E100" i="1"/>
  <c r="E98" i="1"/>
  <c r="E97" i="1"/>
  <c r="E96" i="1"/>
  <c r="E95" i="1"/>
  <c r="E94" i="1"/>
  <c r="E93" i="1"/>
  <c r="E92" i="1"/>
  <c r="E91" i="1"/>
  <c r="E89" i="1"/>
  <c r="E88" i="1"/>
  <c r="E87" i="1"/>
  <c r="E86" i="1"/>
  <c r="E85" i="1"/>
  <c r="E84" i="1"/>
  <c r="E83" i="1"/>
  <c r="E82" i="1"/>
  <c r="E80" i="1"/>
  <c r="E79" i="1"/>
  <c r="E78" i="1"/>
  <c r="E77" i="1"/>
  <c r="E76" i="1"/>
  <c r="E75" i="1"/>
  <c r="E74" i="1"/>
  <c r="E73" i="1"/>
  <c r="E71" i="1"/>
  <c r="E70" i="1"/>
  <c r="E69" i="1"/>
  <c r="E68" i="1"/>
  <c r="E67" i="1"/>
  <c r="E66" i="1"/>
  <c r="E65" i="1"/>
  <c r="E64" i="1"/>
  <c r="E62" i="1"/>
  <c r="E61" i="1"/>
  <c r="E60" i="1"/>
  <c r="E59" i="1"/>
  <c r="E58" i="1"/>
  <c r="E57" i="1"/>
  <c r="E56" i="1"/>
  <c r="E55" i="1"/>
  <c r="E53" i="1"/>
  <c r="E52" i="1"/>
  <c r="E51" i="1"/>
  <c r="E50" i="1"/>
  <c r="E49" i="1"/>
  <c r="E48" i="1"/>
  <c r="E47" i="1"/>
  <c r="E46" i="1"/>
  <c r="E44" i="1"/>
  <c r="E43" i="1"/>
  <c r="E42" i="1"/>
  <c r="E41" i="1"/>
  <c r="E40" i="1"/>
  <c r="E39" i="1"/>
  <c r="E38" i="1"/>
  <c r="E37" i="1"/>
  <c r="E35" i="1"/>
  <c r="E34" i="1"/>
  <c r="E33" i="1"/>
  <c r="E32" i="1"/>
  <c r="E31" i="1"/>
  <c r="E30" i="1"/>
  <c r="E29" i="1"/>
  <c r="E28" i="1"/>
  <c r="E26" i="1"/>
  <c r="E25" i="1"/>
  <c r="E24" i="1"/>
  <c r="E23" i="1"/>
  <c r="E22" i="1"/>
  <c r="E21" i="1"/>
  <c r="E20" i="1"/>
  <c r="E19" i="1"/>
  <c r="D18" i="1"/>
  <c r="E95" i="67"/>
  <c r="E94" i="67"/>
  <c r="E93" i="67"/>
  <c r="E92" i="67"/>
  <c r="E91" i="67"/>
  <c r="E88" i="67"/>
  <c r="E87" i="67"/>
  <c r="E86" i="67"/>
  <c r="E85" i="67"/>
  <c r="E84" i="67"/>
  <c r="E83" i="67"/>
  <c r="E80" i="67"/>
  <c r="E79" i="67"/>
  <c r="E78" i="67"/>
  <c r="E77" i="67"/>
  <c r="E76" i="67"/>
  <c r="E75" i="67"/>
  <c r="E74" i="67"/>
  <c r="E73" i="67"/>
  <c r="E70" i="67"/>
  <c r="E69" i="67"/>
  <c r="E68" i="67"/>
  <c r="E67" i="67"/>
  <c r="E64" i="67"/>
  <c r="E63" i="67"/>
  <c r="E62" i="67"/>
  <c r="E61" i="67"/>
  <c r="E60" i="67"/>
  <c r="E59" i="67"/>
  <c r="E58" i="67"/>
  <c r="E57" i="67"/>
  <c r="E56" i="67"/>
  <c r="E55" i="67"/>
  <c r="E54" i="67"/>
  <c r="E51" i="67"/>
  <c r="E50" i="67"/>
  <c r="E49" i="67"/>
  <c r="E48" i="67"/>
  <c r="E47" i="67"/>
  <c r="E46" i="67"/>
  <c r="E43" i="67"/>
  <c r="E42" i="67"/>
  <c r="E41" i="67"/>
  <c r="E40" i="67"/>
  <c r="E37" i="67"/>
  <c r="E36" i="67"/>
  <c r="E35" i="67"/>
  <c r="E34" i="67"/>
  <c r="E33" i="67"/>
  <c r="E32" i="67"/>
  <c r="E31" i="67"/>
  <c r="E30" i="67"/>
  <c r="E27" i="67"/>
  <c r="E26" i="67"/>
  <c r="E25" i="67"/>
  <c r="E24" i="67"/>
  <c r="E23" i="67"/>
  <c r="E22" i="67"/>
  <c r="E21" i="67"/>
  <c r="E20" i="67"/>
  <c r="E17" i="67"/>
  <c r="E16" i="67"/>
  <c r="E15" i="67"/>
  <c r="E14" i="67"/>
  <c r="E13" i="67"/>
  <c r="E12" i="67"/>
  <c r="E11" i="67"/>
  <c r="E10" i="67"/>
  <c r="E9" i="67"/>
  <c r="E8" i="67"/>
  <c r="E7" i="67"/>
  <c r="E6" i="67"/>
  <c r="E5" i="67"/>
  <c r="E4" i="67"/>
  <c r="E3" i="67"/>
  <c r="M19" i="1" l="1"/>
  <c r="D27" i="1"/>
  <c r="B18" i="1"/>
  <c r="M20" i="1" s="1"/>
  <c r="D36" i="1"/>
  <c r="C18" i="1"/>
  <c r="M24" i="1" s="1"/>
  <c r="D9" i="1"/>
  <c r="B9" i="1" s="1"/>
  <c r="A8" i="1"/>
  <c r="C9" i="1" l="1"/>
  <c r="M15" i="1" s="1"/>
  <c r="M11" i="1"/>
  <c r="B36" i="1"/>
  <c r="M38" i="1" s="1"/>
  <c r="M37" i="1"/>
  <c r="D45" i="1"/>
  <c r="M28" i="1"/>
  <c r="B27" i="1"/>
  <c r="M29" i="1" s="1"/>
  <c r="M10" i="1"/>
  <c r="D54" i="1" l="1"/>
  <c r="B45" i="1"/>
  <c r="M47" i="1" s="1"/>
  <c r="M46" i="1"/>
  <c r="D63" i="1"/>
  <c r="C27" i="1"/>
  <c r="M33" i="1" s="1"/>
  <c r="C36" i="1"/>
  <c r="M42" i="1" s="1"/>
  <c r="E11" i="1"/>
  <c r="E12" i="1"/>
  <c r="E13" i="1"/>
  <c r="E14" i="1"/>
  <c r="E15" i="1"/>
  <c r="E16" i="1"/>
  <c r="E17" i="1"/>
  <c r="E10" i="1"/>
  <c r="B63" i="1" l="1"/>
  <c r="M65" i="1" s="1"/>
  <c r="M64" i="1"/>
  <c r="C45" i="1"/>
  <c r="M51" i="1" s="1"/>
  <c r="M55" i="1"/>
  <c r="B54" i="1"/>
  <c r="M56" i="1" s="1"/>
  <c r="D72" i="1"/>
  <c r="E2" i="1"/>
  <c r="C63" i="1" l="1"/>
  <c r="M69" i="1" s="1"/>
  <c r="C54" i="1"/>
  <c r="M60" i="1" s="1"/>
  <c r="B72" i="1"/>
  <c r="M74" i="1" s="1"/>
  <c r="M73" i="1"/>
  <c r="D81" i="1"/>
  <c r="C72" i="1" l="1"/>
  <c r="M78" i="1" s="1"/>
  <c r="M82" i="1"/>
  <c r="B81" i="1"/>
  <c r="M83" i="1" s="1"/>
  <c r="D90" i="1"/>
  <c r="C90" i="1" l="1"/>
  <c r="M96" i="1" s="1"/>
  <c r="B90" i="1"/>
  <c r="M92" i="1" s="1"/>
  <c r="M91" i="1"/>
  <c r="C81" i="1"/>
  <c r="M87" i="1" s="1"/>
  <c r="D99" i="1"/>
  <c r="D108" i="1"/>
  <c r="C108" i="1" l="1"/>
  <c r="M114" i="1" s="1"/>
  <c r="M109" i="1"/>
  <c r="B108" i="1"/>
  <c r="M110" i="1" s="1"/>
  <c r="D117" i="1"/>
  <c r="B99" i="1"/>
  <c r="M101" i="1" s="1"/>
  <c r="M100" i="1"/>
  <c r="B117" i="1" l="1"/>
  <c r="M119" i="1" s="1"/>
  <c r="M118" i="1"/>
  <c r="D126" i="1"/>
  <c r="C99" i="1"/>
  <c r="M105" i="1" s="1"/>
  <c r="B126" i="1" l="1"/>
  <c r="M128" i="1" s="1"/>
  <c r="M127" i="1"/>
  <c r="D135" i="1"/>
  <c r="C117" i="1"/>
  <c r="M123" i="1" s="1"/>
  <c r="M136" i="1" l="1"/>
  <c r="B135" i="1"/>
  <c r="M137" i="1" s="1"/>
  <c r="D144" i="1"/>
  <c r="C126" i="1"/>
  <c r="M132" i="1" s="1"/>
  <c r="M145" i="1" l="1"/>
  <c r="B144" i="1"/>
  <c r="M146" i="1" s="1"/>
  <c r="D153" i="1"/>
  <c r="C135" i="1"/>
  <c r="M141" i="1" s="1"/>
  <c r="M154" i="1" l="1"/>
  <c r="B153" i="1"/>
  <c r="M155" i="1" s="1"/>
  <c r="D162" i="1"/>
  <c r="C144" i="1"/>
  <c r="M150" i="1" s="1"/>
  <c r="M163" i="1" l="1"/>
  <c r="B162" i="1"/>
  <c r="M164" i="1" s="1"/>
  <c r="D171" i="1"/>
  <c r="C153" i="1"/>
  <c r="M159" i="1" s="1"/>
  <c r="B171" i="1" l="1"/>
  <c r="M173" i="1" s="1"/>
  <c r="M172" i="1"/>
  <c r="C171" i="1"/>
  <c r="M177" i="1" s="1"/>
  <c r="D180" i="1"/>
  <c r="C162" i="1"/>
  <c r="M168" i="1" s="1"/>
  <c r="B180" i="1" l="1"/>
  <c r="M182" i="1" s="1"/>
  <c r="M181" i="1"/>
  <c r="D189" i="1"/>
  <c r="M190" i="1" l="1"/>
  <c r="B189" i="1"/>
  <c r="M191" i="1" s="1"/>
  <c r="D198" i="1"/>
  <c r="C180" i="1"/>
  <c r="M186" i="1" s="1"/>
  <c r="B198" i="1" l="1"/>
  <c r="M200" i="1" s="1"/>
  <c r="M199" i="1"/>
  <c r="D207" i="1"/>
  <c r="C189" i="1"/>
  <c r="M195" i="1" s="1"/>
  <c r="B207" i="1" l="1"/>
  <c r="M209" i="1" s="1"/>
  <c r="M208" i="1"/>
  <c r="D216" i="1"/>
  <c r="C198" i="1"/>
  <c r="M204" i="1" s="1"/>
  <c r="M217" i="1" l="1"/>
  <c r="B216" i="1"/>
  <c r="M218" i="1" s="1"/>
  <c r="D225" i="1"/>
  <c r="C207" i="1"/>
  <c r="M213" i="1" s="1"/>
  <c r="B225" i="1" l="1"/>
  <c r="M227" i="1" s="1"/>
  <c r="M226" i="1"/>
  <c r="D234" i="1"/>
  <c r="C216" i="1"/>
  <c r="M222" i="1" s="1"/>
  <c r="B234" i="1" l="1"/>
  <c r="M236" i="1" s="1"/>
  <c r="M235" i="1"/>
  <c r="D243" i="1"/>
  <c r="C225" i="1"/>
  <c r="M231" i="1" s="1"/>
  <c r="M244" i="1" l="1"/>
  <c r="B243" i="1"/>
  <c r="M245" i="1" s="1"/>
  <c r="D252" i="1"/>
  <c r="C234" i="1"/>
  <c r="M240" i="1" s="1"/>
  <c r="B252" i="1" l="1"/>
  <c r="M254" i="1" s="1"/>
  <c r="M253" i="1"/>
  <c r="C252" i="1"/>
  <c r="M258" i="1" s="1"/>
  <c r="D261" i="1"/>
  <c r="C243" i="1"/>
  <c r="M249" i="1" s="1"/>
  <c r="B261" i="1" l="1"/>
  <c r="M263" i="1" s="1"/>
  <c r="M262" i="1"/>
  <c r="D270" i="1"/>
  <c r="M271" i="1" l="1"/>
  <c r="B270" i="1"/>
  <c r="M272" i="1" s="1"/>
  <c r="D279" i="1"/>
  <c r="C261" i="1"/>
  <c r="M267" i="1" s="1"/>
  <c r="B279" i="1" l="1"/>
  <c r="M281" i="1" s="1"/>
  <c r="M280" i="1"/>
  <c r="D288" i="1"/>
  <c r="C270" i="1"/>
  <c r="M276" i="1" s="1"/>
  <c r="B288" i="1" l="1"/>
  <c r="M290" i="1" s="1"/>
  <c r="M289" i="1"/>
  <c r="D297" i="1"/>
  <c r="C279" i="1"/>
  <c r="M285" i="1" s="1"/>
  <c r="M298" i="1" l="1"/>
  <c r="B297" i="1"/>
  <c r="M299" i="1" s="1"/>
  <c r="D306" i="1"/>
  <c r="C288" i="1"/>
  <c r="M294" i="1" s="1"/>
  <c r="B306" i="1" l="1"/>
  <c r="M308" i="1" s="1"/>
  <c r="M307" i="1"/>
  <c r="C306" i="1"/>
  <c r="M312" i="1" s="1"/>
  <c r="D315" i="1"/>
  <c r="C297" i="1"/>
  <c r="M303" i="1" s="1"/>
  <c r="B315" i="1" l="1"/>
  <c r="M317" i="1" s="1"/>
  <c r="M316" i="1"/>
  <c r="D324" i="1"/>
  <c r="M325" i="1" l="1"/>
  <c r="B324" i="1"/>
  <c r="M326" i="1" s="1"/>
  <c r="D333" i="1"/>
  <c r="C315" i="1"/>
  <c r="M321" i="1" s="1"/>
  <c r="B333" i="1" l="1"/>
  <c r="M335" i="1" s="1"/>
  <c r="M334" i="1"/>
  <c r="D342" i="1"/>
  <c r="C324" i="1"/>
  <c r="M330" i="1" s="1"/>
  <c r="B342" i="1" l="1"/>
  <c r="M344" i="1" s="1"/>
  <c r="M343" i="1"/>
  <c r="D351" i="1"/>
  <c r="C333" i="1"/>
  <c r="M339" i="1" s="1"/>
  <c r="M352" i="1" l="1"/>
  <c r="B351" i="1"/>
  <c r="M353" i="1" s="1"/>
  <c r="D360" i="1"/>
  <c r="C342" i="1"/>
  <c r="M348" i="1" s="1"/>
  <c r="B360" i="1" l="1"/>
  <c r="M362" i="1" s="1"/>
  <c r="M361" i="1"/>
  <c r="C360" i="1"/>
  <c r="M366" i="1" s="1"/>
  <c r="D369" i="1"/>
  <c r="C351" i="1"/>
  <c r="M357" i="1" s="1"/>
  <c r="B369" i="1" l="1"/>
  <c r="M371" i="1" s="1"/>
  <c r="M370" i="1"/>
  <c r="D378" i="1"/>
  <c r="M379" i="1" l="1"/>
  <c r="B378" i="1"/>
  <c r="M380" i="1" s="1"/>
  <c r="D387" i="1"/>
  <c r="C369" i="1"/>
  <c r="M375" i="1" s="1"/>
  <c r="B387" i="1" l="1"/>
  <c r="M389" i="1" s="1"/>
  <c r="M388" i="1"/>
  <c r="D396" i="1"/>
  <c r="C378" i="1"/>
  <c r="M384" i="1" s="1"/>
  <c r="B396" i="1" l="1"/>
  <c r="M398" i="1" s="1"/>
  <c r="M397" i="1"/>
  <c r="D405" i="1"/>
  <c r="C387" i="1"/>
  <c r="M393" i="1" s="1"/>
  <c r="M406" i="1" l="1"/>
  <c r="B405" i="1"/>
  <c r="M407" i="1" s="1"/>
  <c r="D414" i="1"/>
  <c r="C396" i="1"/>
  <c r="M402" i="1" s="1"/>
  <c r="B414" i="1" l="1"/>
  <c r="M416" i="1" s="1"/>
  <c r="M415" i="1"/>
  <c r="D423" i="1"/>
  <c r="C405" i="1"/>
  <c r="M411" i="1" s="1"/>
  <c r="B423" i="1" l="1"/>
  <c r="M425" i="1" s="1"/>
  <c r="M424" i="1"/>
  <c r="D432" i="1"/>
  <c r="C414" i="1"/>
  <c r="M420" i="1" s="1"/>
  <c r="M433" i="1" l="1"/>
  <c r="B432" i="1"/>
  <c r="M434" i="1" s="1"/>
  <c r="D441" i="1"/>
  <c r="C423" i="1"/>
  <c r="M429" i="1" s="1"/>
  <c r="B441" i="1" l="1"/>
  <c r="M443" i="1" s="1"/>
  <c r="M442" i="1"/>
  <c r="D450" i="1"/>
  <c r="C432" i="1"/>
  <c r="M438" i="1" s="1"/>
  <c r="B450" i="1" l="1"/>
  <c r="M452" i="1" s="1"/>
  <c r="M451" i="1"/>
  <c r="D459" i="1"/>
  <c r="C441" i="1"/>
  <c r="M447" i="1" s="1"/>
  <c r="M460" i="1" l="1"/>
  <c r="B459" i="1"/>
  <c r="M461" i="1" s="1"/>
  <c r="D468" i="1"/>
  <c r="C450" i="1"/>
  <c r="M456" i="1" s="1"/>
  <c r="B468" i="1" l="1"/>
  <c r="M470" i="1" s="1"/>
  <c r="M469" i="1"/>
  <c r="D477" i="1"/>
  <c r="C459" i="1"/>
  <c r="M465" i="1" s="1"/>
  <c r="B477" i="1" l="1"/>
  <c r="M479" i="1" s="1"/>
  <c r="M478" i="1"/>
  <c r="D486" i="1"/>
  <c r="C468" i="1"/>
  <c r="M474" i="1" s="1"/>
  <c r="M487" i="1" l="1"/>
  <c r="B486" i="1"/>
  <c r="M488" i="1" s="1"/>
  <c r="D495" i="1"/>
  <c r="C477" i="1"/>
  <c r="M483" i="1" s="1"/>
  <c r="B495" i="1" l="1"/>
  <c r="M497" i="1" s="1"/>
  <c r="M496" i="1"/>
  <c r="D504" i="1"/>
  <c r="C486" i="1"/>
  <c r="M492" i="1" s="1"/>
  <c r="B504" i="1" l="1"/>
  <c r="M506" i="1" s="1"/>
  <c r="M505" i="1"/>
  <c r="D513" i="1"/>
  <c r="C495" i="1"/>
  <c r="M501" i="1" s="1"/>
  <c r="M514" i="1" l="1"/>
  <c r="B513" i="1"/>
  <c r="M515" i="1" s="1"/>
  <c r="D522" i="1"/>
  <c r="C504" i="1"/>
  <c r="M510" i="1" s="1"/>
  <c r="B522" i="1" l="1"/>
  <c r="M524" i="1" s="1"/>
  <c r="M523" i="1"/>
  <c r="D531" i="1"/>
  <c r="C513" i="1"/>
  <c r="M519" i="1" s="1"/>
  <c r="C522" i="1" l="1"/>
  <c r="M528" i="1" s="1"/>
  <c r="B531" i="1"/>
  <c r="M533" i="1" s="1"/>
  <c r="M532" i="1"/>
  <c r="D540" i="1"/>
  <c r="M541" i="1" l="1"/>
  <c r="B540" i="1"/>
  <c r="M542" i="1" s="1"/>
  <c r="D549" i="1"/>
  <c r="C531" i="1"/>
  <c r="M537" i="1" s="1"/>
  <c r="B549" i="1" l="1"/>
  <c r="M551" i="1" s="1"/>
  <c r="M550" i="1"/>
  <c r="D558" i="1"/>
  <c r="C540" i="1"/>
  <c r="M546" i="1" s="1"/>
  <c r="B558" i="1" l="1"/>
  <c r="M560" i="1" s="1"/>
  <c r="M559" i="1"/>
  <c r="D567" i="1"/>
  <c r="C549" i="1"/>
  <c r="M555" i="1" s="1"/>
  <c r="M568" i="1" l="1"/>
  <c r="B567" i="1"/>
  <c r="M569" i="1" s="1"/>
  <c r="D576" i="1"/>
  <c r="C558" i="1"/>
  <c r="M564" i="1" s="1"/>
  <c r="B576" i="1" l="1"/>
  <c r="M578" i="1" s="1"/>
  <c r="M577" i="1"/>
  <c r="D585" i="1"/>
  <c r="C567" i="1"/>
  <c r="M573" i="1" s="1"/>
  <c r="B585" i="1" l="1"/>
  <c r="M587" i="1" s="1"/>
  <c r="M586" i="1"/>
  <c r="D594" i="1"/>
  <c r="C576" i="1"/>
  <c r="M582" i="1" s="1"/>
  <c r="M595" i="1" l="1"/>
  <c r="B594" i="1"/>
  <c r="M596" i="1" s="1"/>
  <c r="D603" i="1"/>
  <c r="C585" i="1"/>
  <c r="M591" i="1" s="1"/>
  <c r="B603" i="1" l="1"/>
  <c r="M605" i="1" s="1"/>
  <c r="M604" i="1"/>
  <c r="D612" i="1"/>
  <c r="C594" i="1"/>
  <c r="M600" i="1" s="1"/>
  <c r="B612" i="1" l="1"/>
  <c r="M614" i="1" s="1"/>
  <c r="M613" i="1"/>
  <c r="D621" i="1"/>
  <c r="C603" i="1"/>
  <c r="M609" i="1" s="1"/>
  <c r="M622" i="1" l="1"/>
  <c r="B621" i="1"/>
  <c r="M623" i="1" s="1"/>
  <c r="D630" i="1"/>
  <c r="C612" i="1"/>
  <c r="M618" i="1" s="1"/>
  <c r="B630" i="1" l="1"/>
  <c r="M632" i="1" s="1"/>
  <c r="M631" i="1"/>
  <c r="D639" i="1"/>
  <c r="C621" i="1"/>
  <c r="M627" i="1" s="1"/>
  <c r="B639" i="1" l="1"/>
  <c r="M641" i="1" s="1"/>
  <c r="M640" i="1"/>
  <c r="D648" i="1"/>
  <c r="C630" i="1"/>
  <c r="M636" i="1" s="1"/>
  <c r="M649" i="1" l="1"/>
  <c r="B648" i="1"/>
  <c r="M650" i="1" s="1"/>
  <c r="D657" i="1"/>
  <c r="C639" i="1"/>
  <c r="M645" i="1" s="1"/>
  <c r="B657" i="1" l="1"/>
  <c r="M659" i="1" s="1"/>
  <c r="M658" i="1"/>
  <c r="D666" i="1"/>
  <c r="C648" i="1"/>
  <c r="M654" i="1" s="1"/>
  <c r="B666" i="1" l="1"/>
  <c r="M668" i="1" s="1"/>
  <c r="M667" i="1"/>
  <c r="D675" i="1"/>
  <c r="C657" i="1"/>
  <c r="M663" i="1" s="1"/>
  <c r="M676" i="1" l="1"/>
  <c r="B675" i="1"/>
  <c r="M677" i="1" s="1"/>
  <c r="D684" i="1"/>
  <c r="C666" i="1"/>
  <c r="M672" i="1" s="1"/>
  <c r="B684" i="1" l="1"/>
  <c r="M686" i="1" s="1"/>
  <c r="M685" i="1"/>
  <c r="C684" i="1"/>
  <c r="M690" i="1" s="1"/>
  <c r="D693" i="1"/>
  <c r="C675" i="1"/>
  <c r="M681" i="1" s="1"/>
  <c r="B693" i="1" l="1"/>
  <c r="M695" i="1" s="1"/>
  <c r="M694" i="1"/>
  <c r="D702" i="1"/>
  <c r="M703" i="1" l="1"/>
  <c r="B702" i="1"/>
  <c r="M704" i="1" s="1"/>
  <c r="D711" i="1"/>
  <c r="C693" i="1"/>
  <c r="M699" i="1" s="1"/>
  <c r="B711" i="1" l="1"/>
  <c r="M713" i="1" s="1"/>
  <c r="M712" i="1"/>
  <c r="D720" i="1"/>
  <c r="C702" i="1"/>
  <c r="M708" i="1" s="1"/>
  <c r="C711" i="1" l="1"/>
  <c r="M717" i="1" s="1"/>
  <c r="B720" i="1"/>
  <c r="M722" i="1" s="1"/>
  <c r="M721" i="1"/>
  <c r="D729" i="1"/>
  <c r="M730" i="1" l="1"/>
  <c r="B729" i="1"/>
  <c r="M731" i="1" s="1"/>
  <c r="C720" i="1"/>
  <c r="M726" i="1" s="1"/>
  <c r="C729" i="1" l="1"/>
  <c r="M735" i="1" s="1"/>
</calcChain>
</file>

<file path=xl/sharedStrings.xml><?xml version="1.0" encoding="utf-8"?>
<sst xmlns="http://schemas.openxmlformats.org/spreadsheetml/2006/main" count="1809" uniqueCount="253">
  <si>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</si>
  <si>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</si>
  <si>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</si>
  <si>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</si>
  <si>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</si>
  <si>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</si>
  <si>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</si>
  <si>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</si>
  <si>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</si>
  <si>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</si>
  <si>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</si>
  <si>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</si>
  <si>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</si>
  <si>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</si>
  <si>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</si>
  <si>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</si>
  <si>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</si>
  <si>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</si>
  <si>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</si>
  <si>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</si>
  <si>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</si>
  <si>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</si>
  <si>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</si>
  <si>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</si>
  <si>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</si>
  <si>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</si>
  <si>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</si>
  <si>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</si>
  <si>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</si>
  <si>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</si>
  <si>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</si>
  <si>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</si>
  <si>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</si>
  <si>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</si>
  <si>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</si>
  <si>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</si>
  <si>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</si>
  <si>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</si>
  <si>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</si>
  <si>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</si>
  <si>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</si>
  <si>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</si>
  <si>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</si>
  <si>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</si>
  <si>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</si>
  <si>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</si>
  <si>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</si>
  <si>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</si>
  <si>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</si>
  <si>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</si>
  <si>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</si>
  <si>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</si>
  <si>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</si>
  <si>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</si>
  <si>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</si>
  <si>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</si>
  <si>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</si>
  <si>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</si>
  <si>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</si>
  <si>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</si>
  <si>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</si>
  <si>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</si>
  <si>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</si>
  <si>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</si>
  <si>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</si>
  <si>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</si>
  <si>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</si>
  <si>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</si>
  <si>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</si>
  <si>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</si>
  <si>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</si>
  <si>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</si>
  <si>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</si>
  <si>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</si>
  <si>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</si>
  <si>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</si>
  <si>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</si>
  <si>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</si>
  <si>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</si>
  <si>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</si>
  <si>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</si>
  <si>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</si>
  <si>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</si>
  <si>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</si>
  <si>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</si>
  <si>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</si>
  <si>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</si>
  <si>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</si>
  <si>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</si>
  <si>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</si>
  <si>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</si>
  <si>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</si>
  <si>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</si>
  <si>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</si>
  <si>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</si>
  <si>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</si>
  <si>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4</t>
    <phoneticPr fontId="2" type="noConversion"/>
  </si>
  <si>
    <t>回收時間</t>
  </si>
  <si>
    <t>移位置</t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</si>
  <si>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</si>
  <si>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</si>
  <si>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</si>
  <si>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</si>
  <si>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</si>
  <si>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</si>
  <si>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</si>
  <si>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</si>
  <si>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</si>
  <si>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</si>
  <si>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</si>
  <si>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</si>
  <si>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</si>
  <si>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</si>
  <si>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</si>
  <si>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</si>
  <si>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</si>
  <si>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</si>
  <si>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</si>
  <si>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</si>
  <si>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</si>
  <si>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</si>
  <si>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</si>
  <si>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</si>
  <si>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</si>
  <si>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</si>
  <si>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</si>
  <si>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</si>
  <si>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</si>
  <si>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</si>
  <si>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</si>
  <si>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</si>
  <si>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</si>
  <si>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</si>
  <si>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</si>
  <si>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</si>
  <si>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</si>
  <si>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</si>
  <si>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</si>
  <si>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</si>
  <si>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PosParamType</t>
  </si>
  <si>
    <t>PosParamType</t>
    <phoneticPr fontId="2" type="noConversion"/>
  </si>
  <si>
    <t>AngleParamType</t>
    <phoneticPr fontId="2" type="noConversion"/>
  </si>
  <si>
    <t>新參照位置12</t>
    <phoneticPr fontId="2" type="noConversion"/>
  </si>
  <si>
    <t>-5</t>
    <phoneticPr fontId="2" type="noConversion"/>
  </si>
  <si>
    <t>100</t>
    <phoneticPr fontId="2" type="noConversion"/>
  </si>
  <si>
    <t>啟動依遊戲時間</t>
  </si>
  <si>
    <t>ID</t>
    <phoneticPr fontId="2" type="noConversion"/>
  </si>
  <si>
    <t>復位</t>
  </si>
  <si>
    <t>Power</t>
  </si>
  <si>
    <t>下一關</t>
  </si>
  <si>
    <t>啟動依ID</t>
  </si>
  <si>
    <t>101</t>
    <phoneticPr fontId="2" type="noConversion"/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</si>
  <si>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</si>
  <si>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</si>
  <si>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</si>
  <si>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</si>
  <si>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</si>
  <si>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</si>
  <si>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</si>
  <si>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</si>
  <si>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</si>
  <si>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</si>
  <si>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</si>
  <si>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</si>
  <si>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</si>
  <si>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</si>
  <si>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</si>
  <si>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</si>
  <si>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</si>
  <si>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</si>
  <si>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</si>
  <si>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</si>
  <si>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</si>
  <si>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</si>
  <si>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</si>
  <si>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</si>
  <si>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</si>
  <si>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</si>
  <si>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</si>
  <si>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</si>
  <si>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</si>
  <si>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</si>
  <si>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</si>
  <si>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</si>
  <si>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</si>
  <si>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</si>
  <si>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</si>
  <si>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</si>
  <si>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</si>
  <si>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</si>
  <si>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</si>
  <si>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</si>
  <si>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</si>
  <si>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</si>
  <si>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</si>
  <si>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</si>
  <si>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</si>
  <si>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</si>
  <si>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</si>
  <si>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</si>
  <si>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</si>
  <si>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</si>
  <si>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</si>
  <si>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</si>
  <si>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</si>
  <si>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</si>
  <si>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</si>
  <si>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</si>
  <si>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</si>
  <si>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</si>
  <si>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</si>
  <si>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</si>
  <si>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</si>
  <si>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</si>
  <si>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</si>
  <si>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</si>
  <si>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</si>
  <si>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</si>
  <si>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</si>
  <si>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</si>
  <si>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</si>
  <si>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</si>
  <si>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</si>
  <si>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</si>
  <si>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</si>
  <si>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</si>
  <si>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</si>
  <si>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</si>
  <si>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</si>
  <si>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>9</t>
    <phoneticPr fontId="2" type="noConversion"/>
  </si>
  <si>
    <t>EnemyShot2</t>
  </si>
  <si>
    <t>Shot2_bluegreen</t>
  </si>
  <si>
    <t>100</t>
  </si>
  <si>
    <t>-5</t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</si>
  <si>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</si>
  <si>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</si>
  <si>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</si>
  <si>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</si>
  <si>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</si>
  <si>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</si>
  <si>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</si>
  <si>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10200</t>
  </si>
  <si>
    <t>10200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</si>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</sst>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49" fontId="26" fillId="24" borderId="0" xfId="0" applyNumberFormat="1" applyFont="1" applyFill="1" applyAlignment="1">
      <alignment horizontal="center" vertical="center"/>
    </xf>
    <xf numFmtId="0" fontId="31" fillId="0" borderId="0" xfId="0" applyFont="1">
      <alignment vertical="center"/>
    </xf>
    <xf numFmtId="176" fontId="29" fillId="24" borderId="0" xfId="0" applyNumberFormat="1" applyFont="1" applyFill="1" applyAlignment="1">
      <alignment horizontal="left" vertical="center"/>
    </xf>
    <xf numFmtId="176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5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996"/>
  <sheetViews>
    <sheetView tabSelected="1" zoomScale="115" zoomScaleNormal="115" workbookViewId="0">
      <pane ySplit="1" topLeftCell="A721" activePane="bottomLeft" state="frozen"/>
      <selection pane="bottomLeft" activeCell="L725" sqref="L725"/>
    </sheetView>
  </sheetViews>
  <sheetFormatPr defaultRowHeight="19.5"/>
  <cols>
    <col min="1" max="4" width="4.125" style="22" customWidth="1"/>
    <col min="5" max="5" width="9" style="9"/>
    <col min="6" max="6" width="16.125" style="9" bestFit="1" customWidth="1"/>
    <col min="7" max="10" width="8.125" style="9" customWidth="1"/>
    <col min="11" max="11" width="16" style="9" customWidth="1"/>
    <col min="12" max="12" width="22.375" style="9" customWidth="1"/>
    <col min="13" max="13" width="24.375" style="23" bestFit="1" customWidth="1"/>
    <col min="14" max="14" width="16.125" style="9" bestFit="1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1:56" s="17" customFormat="1">
      <c r="A1" s="21"/>
      <c r="B1" s="21"/>
      <c r="C1" s="21"/>
      <c r="D1" s="21"/>
      <c r="E1" s="17" t="s">
        <v>49</v>
      </c>
      <c r="F1" s="19" t="s">
        <v>27</v>
      </c>
      <c r="G1" s="19"/>
      <c r="H1" s="19"/>
      <c r="I1" s="19"/>
      <c r="J1" s="19"/>
      <c r="K1" s="17" t="s">
        <v>140</v>
      </c>
      <c r="L1" s="17" t="s">
        <v>141</v>
      </c>
      <c r="M1" s="23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2" spans="1:56">
      <c r="E2" s="4">
        <f t="shared" ref="E2:E65" si="0">ROW(E2)</f>
        <v>2</v>
      </c>
    </row>
    <row r="3" spans="1:56">
      <c r="E3" s="4"/>
    </row>
    <row r="4" spans="1:56">
      <c r="E4" s="4"/>
    </row>
    <row r="5" spans="1:56">
      <c r="E5" s="4"/>
    </row>
    <row r="6" spans="1:56">
      <c r="E6" s="4"/>
    </row>
    <row r="7" spans="1:56">
      <c r="E7" s="4"/>
    </row>
    <row r="8" spans="1:56">
      <c r="A8" s="23">
        <f>G10*H10</f>
        <v>81</v>
      </c>
      <c r="B8" s="23"/>
      <c r="C8" s="23"/>
      <c r="D8" s="9"/>
      <c r="E8" s="4"/>
    </row>
    <row r="9" spans="1:56">
      <c r="A9" s="23"/>
      <c r="B9" s="23">
        <f>QUOTIENT( D9-1,G10)+1</f>
        <v>1</v>
      </c>
      <c r="C9" s="23">
        <f>D9-(B9-1)*G10</f>
        <v>1</v>
      </c>
      <c r="D9" s="23">
        <f>COUNT($D8:$D$8)+1</f>
        <v>1</v>
      </c>
      <c r="E9" s="4"/>
    </row>
    <row r="10" spans="1:56">
      <c r="E10" s="4">
        <f t="shared" si="0"/>
        <v>10</v>
      </c>
      <c r="F10" s="9" t="s">
        <v>93</v>
      </c>
      <c r="G10" s="9" t="s">
        <v>229</v>
      </c>
      <c r="H10" s="9" t="s">
        <v>229</v>
      </c>
      <c r="J10" s="9" t="s">
        <v>242</v>
      </c>
      <c r="M10" s="23">
        <f>J10+D9</f>
        <v>10201</v>
      </c>
    </row>
    <row r="11" spans="1:56">
      <c r="E11" s="4">
        <f t="shared" si="0"/>
        <v>11</v>
      </c>
      <c r="F11" s="9" t="s">
        <v>145</v>
      </c>
      <c r="G11" s="23">
        <v>150</v>
      </c>
      <c r="H11" s="9" t="s">
        <v>144</v>
      </c>
      <c r="M11" s="23">
        <f>$G$11+B9*$H$11</f>
        <v>250</v>
      </c>
    </row>
    <row r="12" spans="1:56">
      <c r="E12" s="4">
        <f t="shared" si="0"/>
        <v>12</v>
      </c>
      <c r="F12" s="9" t="s">
        <v>29</v>
      </c>
      <c r="M12" s="23" t="s">
        <v>230</v>
      </c>
    </row>
    <row r="13" spans="1:56">
      <c r="E13" s="4">
        <f t="shared" si="0"/>
        <v>13</v>
      </c>
      <c r="F13" s="9" t="s">
        <v>118</v>
      </c>
      <c r="M13" s="23" t="s">
        <v>231</v>
      </c>
    </row>
    <row r="14" spans="1:56">
      <c r="E14" s="4">
        <f t="shared" si="0"/>
        <v>14</v>
      </c>
      <c r="F14" s="9" t="s">
        <v>114</v>
      </c>
      <c r="M14" s="23" t="b">
        <v>1</v>
      </c>
    </row>
    <row r="15" spans="1:56">
      <c r="E15" s="4">
        <f t="shared" si="0"/>
        <v>15</v>
      </c>
      <c r="F15" s="9" t="s">
        <v>98</v>
      </c>
      <c r="G15" s="9" t="s">
        <v>143</v>
      </c>
      <c r="H15" s="23">
        <v>6</v>
      </c>
      <c r="K15" s="9" t="s">
        <v>136</v>
      </c>
      <c r="M15" s="23" t="str">
        <f>CONCATENATE($G$15+MOD(C9-1,$G$10)+1,",",$H$15)</f>
        <v>-4,6</v>
      </c>
    </row>
    <row r="16" spans="1:56">
      <c r="E16" s="4">
        <f t="shared" si="0"/>
        <v>16</v>
      </c>
      <c r="F16" s="9" t="s">
        <v>30</v>
      </c>
      <c r="M16" s="23">
        <v>3.5</v>
      </c>
    </row>
    <row r="17" spans="2:13">
      <c r="E17" s="4">
        <f t="shared" si="0"/>
        <v>17</v>
      </c>
      <c r="F17" s="9" t="s">
        <v>31</v>
      </c>
      <c r="L17" s="9" t="s">
        <v>134</v>
      </c>
      <c r="M17" s="23">
        <v>270</v>
      </c>
    </row>
    <row r="18" spans="2:13">
      <c r="B18" s="22">
        <f t="shared" ref="B18:B81" si="1">QUOTIENT( D18-1,G19)+1</f>
        <v>1</v>
      </c>
      <c r="C18" s="22">
        <f t="shared" ref="C18" si="2">D18-(B18-1)*G19</f>
        <v>2</v>
      </c>
      <c r="D18" s="22">
        <f>COUNT($D$8:$D17)+1</f>
        <v>2</v>
      </c>
      <c r="E18" s="4"/>
    </row>
    <row r="19" spans="2:13">
      <c r="E19" s="4">
        <f t="shared" si="0"/>
        <v>19</v>
      </c>
      <c r="F19" s="9" t="s">
        <v>93</v>
      </c>
      <c r="G19" s="9" t="s">
        <v>40</v>
      </c>
      <c r="H19" s="9" t="s">
        <v>40</v>
      </c>
      <c r="J19" s="9" t="s">
        <v>241</v>
      </c>
      <c r="M19" s="23">
        <f t="shared" ref="M19:M82" si="3">J19+D18</f>
        <v>10202</v>
      </c>
    </row>
    <row r="20" spans="2:13">
      <c r="E20" s="4">
        <f t="shared" si="0"/>
        <v>20</v>
      </c>
      <c r="F20" s="9" t="s">
        <v>145</v>
      </c>
      <c r="G20" s="9">
        <v>150</v>
      </c>
      <c r="H20" s="9" t="s">
        <v>232</v>
      </c>
      <c r="M20" s="23">
        <f t="shared" ref="M20" si="4">$G$11+B18*$H$11</f>
        <v>250</v>
      </c>
    </row>
    <row r="21" spans="2:13">
      <c r="E21" s="4">
        <f t="shared" si="0"/>
        <v>21</v>
      </c>
      <c r="F21" s="9" t="s">
        <v>29</v>
      </c>
      <c r="M21" s="23" t="s">
        <v>230</v>
      </c>
    </row>
    <row r="22" spans="2:13">
      <c r="E22" s="4">
        <f t="shared" si="0"/>
        <v>22</v>
      </c>
      <c r="F22" s="9" t="s">
        <v>118</v>
      </c>
      <c r="M22" s="23" t="s">
        <v>231</v>
      </c>
    </row>
    <row r="23" spans="2:13">
      <c r="E23" s="4">
        <f t="shared" si="0"/>
        <v>23</v>
      </c>
      <c r="F23" s="9" t="s">
        <v>114</v>
      </c>
      <c r="M23" s="23" t="b">
        <v>1</v>
      </c>
    </row>
    <row r="24" spans="2:13">
      <c r="E24" s="4">
        <f t="shared" si="0"/>
        <v>24</v>
      </c>
      <c r="F24" s="9" t="s">
        <v>98</v>
      </c>
      <c r="G24" s="9" t="s">
        <v>233</v>
      </c>
      <c r="H24" s="9">
        <v>6</v>
      </c>
      <c r="K24" s="9" t="s">
        <v>136</v>
      </c>
      <c r="M24" s="23" t="str">
        <f t="shared" ref="M24" si="5">CONCATENATE($G$15+MOD(C18-1,$G$10)+1,",",$H$15)</f>
        <v>-3,6</v>
      </c>
    </row>
    <row r="25" spans="2:13">
      <c r="E25" s="4">
        <f t="shared" si="0"/>
        <v>25</v>
      </c>
      <c r="F25" s="9" t="s">
        <v>30</v>
      </c>
      <c r="M25" s="23">
        <v>3.5</v>
      </c>
    </row>
    <row r="26" spans="2:13">
      <c r="E26" s="4">
        <f t="shared" si="0"/>
        <v>26</v>
      </c>
      <c r="F26" s="9" t="s">
        <v>31</v>
      </c>
      <c r="L26" s="9" t="s">
        <v>134</v>
      </c>
      <c r="M26" s="23">
        <v>270</v>
      </c>
    </row>
    <row r="27" spans="2:13">
      <c r="B27" s="22">
        <f t="shared" ref="B27:B90" si="6">QUOTIENT( D27-1,G28)+1</f>
        <v>1</v>
      </c>
      <c r="C27" s="22">
        <f t="shared" ref="C27" si="7">D27-(B27-1)*G28</f>
        <v>3</v>
      </c>
      <c r="D27" s="22">
        <f>COUNT($D$8:$D26)+1</f>
        <v>3</v>
      </c>
      <c r="E27" s="4"/>
    </row>
    <row r="28" spans="2:13">
      <c r="E28" s="4">
        <f t="shared" si="0"/>
        <v>28</v>
      </c>
      <c r="F28" s="9" t="s">
        <v>93</v>
      </c>
      <c r="G28" s="9" t="s">
        <v>40</v>
      </c>
      <c r="H28" s="9" t="s">
        <v>40</v>
      </c>
      <c r="J28" s="9" t="s">
        <v>241</v>
      </c>
      <c r="M28" s="23">
        <f t="shared" ref="M28:M91" si="8">J28+D27</f>
        <v>10203</v>
      </c>
    </row>
    <row r="29" spans="2:13">
      <c r="E29" s="4">
        <f t="shared" si="0"/>
        <v>29</v>
      </c>
      <c r="F29" s="9" t="s">
        <v>145</v>
      </c>
      <c r="G29" s="9">
        <v>150</v>
      </c>
      <c r="H29" s="9" t="s">
        <v>232</v>
      </c>
      <c r="M29" s="23">
        <f t="shared" ref="M29" si="9">$G$11+B27*$H$11</f>
        <v>250</v>
      </c>
    </row>
    <row r="30" spans="2:13">
      <c r="E30" s="4">
        <f t="shared" si="0"/>
        <v>30</v>
      </c>
      <c r="F30" s="9" t="s">
        <v>29</v>
      </c>
      <c r="M30" s="23" t="s">
        <v>230</v>
      </c>
    </row>
    <row r="31" spans="2:13">
      <c r="E31" s="4">
        <f t="shared" si="0"/>
        <v>31</v>
      </c>
      <c r="F31" s="9" t="s">
        <v>118</v>
      </c>
      <c r="M31" s="23" t="s">
        <v>231</v>
      </c>
    </row>
    <row r="32" spans="2:13">
      <c r="E32" s="4">
        <f t="shared" si="0"/>
        <v>32</v>
      </c>
      <c r="F32" s="9" t="s">
        <v>114</v>
      </c>
      <c r="M32" s="23" t="b">
        <v>1</v>
      </c>
    </row>
    <row r="33" spans="2:13">
      <c r="E33" s="4">
        <f t="shared" si="0"/>
        <v>33</v>
      </c>
      <c r="F33" s="9" t="s">
        <v>98</v>
      </c>
      <c r="G33" s="9" t="s">
        <v>233</v>
      </c>
      <c r="H33" s="9">
        <v>6</v>
      </c>
      <c r="K33" s="9" t="s">
        <v>136</v>
      </c>
      <c r="M33" s="23" t="str">
        <f t="shared" ref="M33" si="10">CONCATENATE($G$15+MOD(C27-1,$G$10)+1,",",$H$15)</f>
        <v>-2,6</v>
      </c>
    </row>
    <row r="34" spans="2:13">
      <c r="E34" s="4">
        <f t="shared" si="0"/>
        <v>34</v>
      </c>
      <c r="F34" s="9" t="s">
        <v>30</v>
      </c>
      <c r="M34" s="23">
        <v>3.5</v>
      </c>
    </row>
    <row r="35" spans="2:13">
      <c r="E35" s="4">
        <f t="shared" si="0"/>
        <v>35</v>
      </c>
      <c r="F35" s="9" t="s">
        <v>31</v>
      </c>
      <c r="L35" s="9" t="s">
        <v>134</v>
      </c>
      <c r="M35" s="23">
        <v>270</v>
      </c>
    </row>
    <row r="36" spans="2:13">
      <c r="B36" s="22">
        <f t="shared" ref="B36:B99" si="11">QUOTIENT( D36-1,G37)+1</f>
        <v>1</v>
      </c>
      <c r="C36" s="22">
        <f t="shared" ref="C36" si="12">D36-(B36-1)*G37</f>
        <v>4</v>
      </c>
      <c r="D36" s="22">
        <f>COUNT($D$8:$D35)+1</f>
        <v>4</v>
      </c>
      <c r="E36" s="4"/>
    </row>
    <row r="37" spans="2:13">
      <c r="E37" s="4">
        <f t="shared" si="0"/>
        <v>37</v>
      </c>
      <c r="F37" s="9" t="s">
        <v>93</v>
      </c>
      <c r="G37" s="9" t="s">
        <v>40</v>
      </c>
      <c r="H37" s="9" t="s">
        <v>40</v>
      </c>
      <c r="J37" s="9" t="s">
        <v>241</v>
      </c>
      <c r="M37" s="23">
        <f t="shared" ref="M37:M100" si="13">J37+D36</f>
        <v>10204</v>
      </c>
    </row>
    <row r="38" spans="2:13">
      <c r="E38" s="4">
        <f t="shared" si="0"/>
        <v>38</v>
      </c>
      <c r="F38" s="9" t="s">
        <v>145</v>
      </c>
      <c r="G38" s="9">
        <v>150</v>
      </c>
      <c r="H38" s="9" t="s">
        <v>232</v>
      </c>
      <c r="M38" s="23">
        <f t="shared" ref="M38" si="14">$G$11+B36*$H$11</f>
        <v>250</v>
      </c>
    </row>
    <row r="39" spans="2:13">
      <c r="E39" s="4">
        <f t="shared" si="0"/>
        <v>39</v>
      </c>
      <c r="F39" s="9" t="s">
        <v>29</v>
      </c>
      <c r="M39" s="23" t="s">
        <v>230</v>
      </c>
    </row>
    <row r="40" spans="2:13">
      <c r="E40" s="4">
        <f t="shared" si="0"/>
        <v>40</v>
      </c>
      <c r="F40" s="9" t="s">
        <v>118</v>
      </c>
      <c r="M40" s="23" t="s">
        <v>231</v>
      </c>
    </row>
    <row r="41" spans="2:13">
      <c r="E41" s="4">
        <f t="shared" si="0"/>
        <v>41</v>
      </c>
      <c r="F41" s="9" t="s">
        <v>114</v>
      </c>
      <c r="M41" s="23" t="b">
        <v>1</v>
      </c>
    </row>
    <row r="42" spans="2:13">
      <c r="E42" s="4">
        <f t="shared" si="0"/>
        <v>42</v>
      </c>
      <c r="F42" s="9" t="s">
        <v>98</v>
      </c>
      <c r="G42" s="9" t="s">
        <v>233</v>
      </c>
      <c r="H42" s="9">
        <v>6</v>
      </c>
      <c r="K42" s="9" t="s">
        <v>136</v>
      </c>
      <c r="M42" s="23" t="str">
        <f t="shared" ref="M42" si="15">CONCATENATE($G$15+MOD(C36-1,$G$10)+1,",",$H$15)</f>
        <v>-1,6</v>
      </c>
    </row>
    <row r="43" spans="2:13">
      <c r="E43" s="4">
        <f t="shared" si="0"/>
        <v>43</v>
      </c>
      <c r="F43" s="9" t="s">
        <v>30</v>
      </c>
      <c r="M43" s="23">
        <v>3.5</v>
      </c>
    </row>
    <row r="44" spans="2:13">
      <c r="E44" s="4">
        <f t="shared" si="0"/>
        <v>44</v>
      </c>
      <c r="F44" s="9" t="s">
        <v>31</v>
      </c>
      <c r="L44" s="9" t="s">
        <v>134</v>
      </c>
      <c r="M44" s="23">
        <v>270</v>
      </c>
    </row>
    <row r="45" spans="2:13">
      <c r="B45" s="22">
        <f t="shared" ref="B45:B108" si="16">QUOTIENT( D45-1,G46)+1</f>
        <v>1</v>
      </c>
      <c r="C45" s="22">
        <f t="shared" ref="C45" si="17">D45-(B45-1)*G46</f>
        <v>5</v>
      </c>
      <c r="D45" s="22">
        <f>COUNT($D$8:$D44)+1</f>
        <v>5</v>
      </c>
      <c r="E45" s="4"/>
    </row>
    <row r="46" spans="2:13">
      <c r="E46" s="4">
        <f t="shared" si="0"/>
        <v>46</v>
      </c>
      <c r="F46" s="9" t="s">
        <v>93</v>
      </c>
      <c r="G46" s="9" t="s">
        <v>40</v>
      </c>
      <c r="H46" s="9" t="s">
        <v>40</v>
      </c>
      <c r="J46" s="9" t="s">
        <v>241</v>
      </c>
      <c r="M46" s="23">
        <f t="shared" ref="M46:M109" si="18">J46+D45</f>
        <v>10205</v>
      </c>
    </row>
    <row r="47" spans="2:13">
      <c r="E47" s="4">
        <f t="shared" si="0"/>
        <v>47</v>
      </c>
      <c r="F47" s="9" t="s">
        <v>145</v>
      </c>
      <c r="G47" s="9">
        <v>150</v>
      </c>
      <c r="H47" s="9" t="s">
        <v>232</v>
      </c>
      <c r="M47" s="23">
        <f t="shared" ref="M47" si="19">$G$11+B45*$H$11</f>
        <v>250</v>
      </c>
    </row>
    <row r="48" spans="2:13">
      <c r="E48" s="4">
        <f t="shared" si="0"/>
        <v>48</v>
      </c>
      <c r="F48" s="9" t="s">
        <v>29</v>
      </c>
      <c r="M48" s="23" t="s">
        <v>230</v>
      </c>
    </row>
    <row r="49" spans="2:13">
      <c r="E49" s="4">
        <f t="shared" si="0"/>
        <v>49</v>
      </c>
      <c r="F49" s="9" t="s">
        <v>118</v>
      </c>
      <c r="M49" s="23" t="s">
        <v>231</v>
      </c>
    </row>
    <row r="50" spans="2:13">
      <c r="E50" s="4">
        <f t="shared" si="0"/>
        <v>50</v>
      </c>
      <c r="F50" s="9" t="s">
        <v>114</v>
      </c>
      <c r="M50" s="23" t="b">
        <v>1</v>
      </c>
    </row>
    <row r="51" spans="2:13">
      <c r="E51" s="4">
        <f t="shared" si="0"/>
        <v>51</v>
      </c>
      <c r="F51" s="9" t="s">
        <v>98</v>
      </c>
      <c r="G51" s="9" t="s">
        <v>233</v>
      </c>
      <c r="H51" s="9">
        <v>6</v>
      </c>
      <c r="K51" s="9" t="s">
        <v>136</v>
      </c>
      <c r="M51" s="23" t="str">
        <f t="shared" ref="M51" si="20">CONCATENATE($G$15+MOD(C45-1,$G$10)+1,",",$H$15)</f>
        <v>0,6</v>
      </c>
    </row>
    <row r="52" spans="2:13">
      <c r="E52" s="4">
        <f t="shared" si="0"/>
        <v>52</v>
      </c>
      <c r="F52" s="9" t="s">
        <v>30</v>
      </c>
      <c r="M52" s="23">
        <v>3.5</v>
      </c>
    </row>
    <row r="53" spans="2:13">
      <c r="E53" s="4">
        <f t="shared" si="0"/>
        <v>53</v>
      </c>
      <c r="F53" s="9" t="s">
        <v>31</v>
      </c>
      <c r="L53" s="9" t="s">
        <v>134</v>
      </c>
      <c r="M53" s="23">
        <v>270</v>
      </c>
    </row>
    <row r="54" spans="2:13">
      <c r="B54" s="22">
        <f t="shared" ref="B54:B117" si="21">QUOTIENT( D54-1,G55)+1</f>
        <v>1</v>
      </c>
      <c r="C54" s="22">
        <f t="shared" ref="C54" si="22">D54-(B54-1)*G55</f>
        <v>6</v>
      </c>
      <c r="D54" s="22">
        <f>COUNT($D$8:$D53)+1</f>
        <v>6</v>
      </c>
      <c r="E54" s="4"/>
    </row>
    <row r="55" spans="2:13">
      <c r="E55" s="4">
        <f t="shared" si="0"/>
        <v>55</v>
      </c>
      <c r="F55" s="9" t="s">
        <v>93</v>
      </c>
      <c r="G55" s="9" t="s">
        <v>40</v>
      </c>
      <c r="H55" s="9" t="s">
        <v>40</v>
      </c>
      <c r="J55" s="9" t="s">
        <v>241</v>
      </c>
      <c r="M55" s="23">
        <f t="shared" ref="M55:M118" si="23">J55+D54</f>
        <v>10206</v>
      </c>
    </row>
    <row r="56" spans="2:13">
      <c r="E56" s="4">
        <f t="shared" si="0"/>
        <v>56</v>
      </c>
      <c r="F56" s="9" t="s">
        <v>145</v>
      </c>
      <c r="G56" s="9">
        <v>150</v>
      </c>
      <c r="H56" s="9" t="s">
        <v>232</v>
      </c>
      <c r="M56" s="23">
        <f t="shared" ref="M56" si="24">$G$11+B54*$H$11</f>
        <v>250</v>
      </c>
    </row>
    <row r="57" spans="2:13">
      <c r="E57" s="4">
        <f t="shared" si="0"/>
        <v>57</v>
      </c>
      <c r="F57" s="9" t="s">
        <v>29</v>
      </c>
      <c r="M57" s="23" t="s">
        <v>230</v>
      </c>
    </row>
    <row r="58" spans="2:13">
      <c r="E58" s="4">
        <f t="shared" si="0"/>
        <v>58</v>
      </c>
      <c r="F58" s="9" t="s">
        <v>118</v>
      </c>
      <c r="M58" s="23" t="s">
        <v>231</v>
      </c>
    </row>
    <row r="59" spans="2:13">
      <c r="E59" s="4">
        <f t="shared" si="0"/>
        <v>59</v>
      </c>
      <c r="F59" s="9" t="s">
        <v>114</v>
      </c>
      <c r="M59" s="23" t="b">
        <v>1</v>
      </c>
    </row>
    <row r="60" spans="2:13">
      <c r="E60" s="4">
        <f t="shared" si="0"/>
        <v>60</v>
      </c>
      <c r="F60" s="9" t="s">
        <v>98</v>
      </c>
      <c r="G60" s="9" t="s">
        <v>233</v>
      </c>
      <c r="H60" s="9">
        <v>6</v>
      </c>
      <c r="K60" s="9" t="s">
        <v>136</v>
      </c>
      <c r="M60" s="23" t="str">
        <f t="shared" ref="M60" si="25">CONCATENATE($G$15+MOD(C54-1,$G$10)+1,",",$H$15)</f>
        <v>1,6</v>
      </c>
    </row>
    <row r="61" spans="2:13">
      <c r="E61" s="4">
        <f t="shared" si="0"/>
        <v>61</v>
      </c>
      <c r="F61" s="9" t="s">
        <v>30</v>
      </c>
      <c r="M61" s="23">
        <v>3.5</v>
      </c>
    </row>
    <row r="62" spans="2:13">
      <c r="E62" s="4">
        <f t="shared" si="0"/>
        <v>62</v>
      </c>
      <c r="F62" s="9" t="s">
        <v>31</v>
      </c>
      <c r="L62" s="9" t="s">
        <v>134</v>
      </c>
      <c r="M62" s="23">
        <v>270</v>
      </c>
    </row>
    <row r="63" spans="2:13">
      <c r="B63" s="22">
        <f t="shared" ref="B63:B126" si="26">QUOTIENT( D63-1,G64)+1</f>
        <v>1</v>
      </c>
      <c r="C63" s="22">
        <f t="shared" ref="C63" si="27">D63-(B63-1)*G64</f>
        <v>7</v>
      </c>
      <c r="D63" s="22">
        <f>COUNT($D$8:$D62)+1</f>
        <v>7</v>
      </c>
      <c r="E63" s="4"/>
    </row>
    <row r="64" spans="2:13">
      <c r="E64" s="4">
        <f t="shared" si="0"/>
        <v>64</v>
      </c>
      <c r="F64" s="9" t="s">
        <v>93</v>
      </c>
      <c r="G64" s="9" t="s">
        <v>40</v>
      </c>
      <c r="H64" s="9" t="s">
        <v>40</v>
      </c>
      <c r="J64" s="9" t="s">
        <v>241</v>
      </c>
      <c r="M64" s="23">
        <f t="shared" ref="M64:M127" si="28">J64+D63</f>
        <v>10207</v>
      </c>
    </row>
    <row r="65" spans="2:13">
      <c r="E65" s="4">
        <f t="shared" si="0"/>
        <v>65</v>
      </c>
      <c r="F65" s="9" t="s">
        <v>145</v>
      </c>
      <c r="G65" s="9">
        <v>150</v>
      </c>
      <c r="H65" s="9" t="s">
        <v>232</v>
      </c>
      <c r="M65" s="23">
        <f t="shared" ref="M65" si="29">$G$11+B63*$H$11</f>
        <v>250</v>
      </c>
    </row>
    <row r="66" spans="2:13">
      <c r="E66" s="4">
        <f t="shared" ref="E66:E129" si="30">ROW(E66)</f>
        <v>66</v>
      </c>
      <c r="F66" s="9" t="s">
        <v>29</v>
      </c>
      <c r="M66" s="23" t="s">
        <v>230</v>
      </c>
    </row>
    <row r="67" spans="2:13">
      <c r="E67" s="4">
        <f t="shared" si="30"/>
        <v>67</v>
      </c>
      <c r="F67" s="9" t="s">
        <v>118</v>
      </c>
      <c r="M67" s="23" t="s">
        <v>231</v>
      </c>
    </row>
    <row r="68" spans="2:13">
      <c r="E68" s="4">
        <f t="shared" si="30"/>
        <v>68</v>
      </c>
      <c r="F68" s="9" t="s">
        <v>114</v>
      </c>
      <c r="M68" s="23" t="b">
        <v>1</v>
      </c>
    </row>
    <row r="69" spans="2:13">
      <c r="E69" s="4">
        <f t="shared" si="30"/>
        <v>69</v>
      </c>
      <c r="F69" s="9" t="s">
        <v>98</v>
      </c>
      <c r="G69" s="9" t="s">
        <v>233</v>
      </c>
      <c r="H69" s="9">
        <v>6</v>
      </c>
      <c r="K69" s="9" t="s">
        <v>136</v>
      </c>
      <c r="M69" s="23" t="str">
        <f t="shared" ref="M69" si="31">CONCATENATE($G$15+MOD(C63-1,$G$10)+1,",",$H$15)</f>
        <v>2,6</v>
      </c>
    </row>
    <row r="70" spans="2:13">
      <c r="E70" s="4">
        <f t="shared" si="30"/>
        <v>70</v>
      </c>
      <c r="F70" s="9" t="s">
        <v>30</v>
      </c>
      <c r="M70" s="23">
        <v>3.5</v>
      </c>
    </row>
    <row r="71" spans="2:13">
      <c r="E71" s="4">
        <f t="shared" si="30"/>
        <v>71</v>
      </c>
      <c r="F71" s="9" t="s">
        <v>31</v>
      </c>
      <c r="L71" s="9" t="s">
        <v>134</v>
      </c>
      <c r="M71" s="23">
        <v>270</v>
      </c>
    </row>
    <row r="72" spans="2:13">
      <c r="B72" s="22">
        <f t="shared" ref="B72:B135" si="32">QUOTIENT( D72-1,G73)+1</f>
        <v>1</v>
      </c>
      <c r="C72" s="22">
        <f t="shared" ref="C72" si="33">D72-(B72-1)*G73</f>
        <v>8</v>
      </c>
      <c r="D72" s="22">
        <f>COUNT($D$8:$D71)+1</f>
        <v>8</v>
      </c>
      <c r="E72" s="4"/>
    </row>
    <row r="73" spans="2:13">
      <c r="E73" s="4">
        <f t="shared" si="30"/>
        <v>73</v>
      </c>
      <c r="F73" s="9" t="s">
        <v>93</v>
      </c>
      <c r="G73" s="9" t="s">
        <v>40</v>
      </c>
      <c r="H73" s="9" t="s">
        <v>40</v>
      </c>
      <c r="J73" s="9" t="s">
        <v>241</v>
      </c>
      <c r="M73" s="23">
        <f t="shared" ref="M73:M136" si="34">J73+D72</f>
        <v>10208</v>
      </c>
    </row>
    <row r="74" spans="2:13">
      <c r="E74" s="4">
        <f t="shared" si="30"/>
        <v>74</v>
      </c>
      <c r="F74" s="9" t="s">
        <v>145</v>
      </c>
      <c r="G74" s="9">
        <v>150</v>
      </c>
      <c r="H74" s="9" t="s">
        <v>232</v>
      </c>
      <c r="M74" s="23">
        <f t="shared" ref="M74" si="35">$G$11+B72*$H$11</f>
        <v>250</v>
      </c>
    </row>
    <row r="75" spans="2:13">
      <c r="E75" s="4">
        <f t="shared" si="30"/>
        <v>75</v>
      </c>
      <c r="F75" s="9" t="s">
        <v>29</v>
      </c>
      <c r="M75" s="23" t="s">
        <v>230</v>
      </c>
    </row>
    <row r="76" spans="2:13">
      <c r="E76" s="4">
        <f t="shared" si="30"/>
        <v>76</v>
      </c>
      <c r="F76" s="9" t="s">
        <v>118</v>
      </c>
      <c r="M76" s="23" t="s">
        <v>231</v>
      </c>
    </row>
    <row r="77" spans="2:13">
      <c r="E77" s="4">
        <f t="shared" si="30"/>
        <v>77</v>
      </c>
      <c r="F77" s="9" t="s">
        <v>114</v>
      </c>
      <c r="M77" s="23" t="b">
        <v>1</v>
      </c>
    </row>
    <row r="78" spans="2:13">
      <c r="E78" s="4">
        <f t="shared" si="30"/>
        <v>78</v>
      </c>
      <c r="F78" s="9" t="s">
        <v>98</v>
      </c>
      <c r="G78" s="9" t="s">
        <v>233</v>
      </c>
      <c r="H78" s="9">
        <v>6</v>
      </c>
      <c r="K78" s="9" t="s">
        <v>136</v>
      </c>
      <c r="M78" s="23" t="str">
        <f t="shared" ref="M78" si="36">CONCATENATE($G$15+MOD(C72-1,$G$10)+1,",",$H$15)</f>
        <v>3,6</v>
      </c>
    </row>
    <row r="79" spans="2:13">
      <c r="E79" s="4">
        <f t="shared" si="30"/>
        <v>79</v>
      </c>
      <c r="F79" s="9" t="s">
        <v>30</v>
      </c>
      <c r="M79" s="23">
        <v>3.5</v>
      </c>
    </row>
    <row r="80" spans="2:13">
      <c r="E80" s="4">
        <f t="shared" si="30"/>
        <v>80</v>
      </c>
      <c r="F80" s="9" t="s">
        <v>31</v>
      </c>
      <c r="L80" s="9" t="s">
        <v>134</v>
      </c>
      <c r="M80" s="23">
        <v>270</v>
      </c>
    </row>
    <row r="81" spans="2:13">
      <c r="B81" s="22">
        <f t="shared" ref="B81:B144" si="37">QUOTIENT( D81-1,G82)+1</f>
        <v>1</v>
      </c>
      <c r="C81" s="22">
        <f t="shared" ref="C81" si="38">D81-(B81-1)*G82</f>
        <v>9</v>
      </c>
      <c r="D81" s="22">
        <f>COUNT($D$8:$D80)+1</f>
        <v>9</v>
      </c>
      <c r="E81" s="4"/>
    </row>
    <row r="82" spans="2:13">
      <c r="E82" s="4">
        <f t="shared" si="30"/>
        <v>82</v>
      </c>
      <c r="F82" s="9" t="s">
        <v>93</v>
      </c>
      <c r="G82" s="9" t="s">
        <v>40</v>
      </c>
      <c r="H82" s="9" t="s">
        <v>40</v>
      </c>
      <c r="J82" s="9" t="s">
        <v>241</v>
      </c>
      <c r="M82" s="23">
        <f t="shared" ref="M82:M145" si="39">J82+D81</f>
        <v>10209</v>
      </c>
    </row>
    <row r="83" spans="2:13">
      <c r="E83" s="4">
        <f t="shared" si="30"/>
        <v>83</v>
      </c>
      <c r="F83" s="9" t="s">
        <v>145</v>
      </c>
      <c r="G83" s="9">
        <v>150</v>
      </c>
      <c r="H83" s="9" t="s">
        <v>232</v>
      </c>
      <c r="M83" s="23">
        <f t="shared" ref="M83" si="40">$G$11+B81*$H$11</f>
        <v>250</v>
      </c>
    </row>
    <row r="84" spans="2:13">
      <c r="E84" s="4">
        <f t="shared" si="30"/>
        <v>84</v>
      </c>
      <c r="F84" s="9" t="s">
        <v>29</v>
      </c>
      <c r="M84" s="23" t="s">
        <v>230</v>
      </c>
    </row>
    <row r="85" spans="2:13">
      <c r="E85" s="4">
        <f t="shared" si="30"/>
        <v>85</v>
      </c>
      <c r="F85" s="9" t="s">
        <v>118</v>
      </c>
      <c r="M85" s="23" t="s">
        <v>231</v>
      </c>
    </row>
    <row r="86" spans="2:13">
      <c r="E86" s="4">
        <f t="shared" si="30"/>
        <v>86</v>
      </c>
      <c r="F86" s="9" t="s">
        <v>114</v>
      </c>
      <c r="M86" s="23" t="b">
        <v>1</v>
      </c>
    </row>
    <row r="87" spans="2:13">
      <c r="E87" s="4">
        <f t="shared" si="30"/>
        <v>87</v>
      </c>
      <c r="F87" s="9" t="s">
        <v>98</v>
      </c>
      <c r="G87" s="9" t="s">
        <v>233</v>
      </c>
      <c r="H87" s="9">
        <v>6</v>
      </c>
      <c r="K87" s="9" t="s">
        <v>136</v>
      </c>
      <c r="M87" s="23" t="str">
        <f t="shared" ref="M87" si="41">CONCATENATE($G$15+MOD(C81-1,$G$10)+1,",",$H$15)</f>
        <v>4,6</v>
      </c>
    </row>
    <row r="88" spans="2:13">
      <c r="E88" s="4">
        <f t="shared" si="30"/>
        <v>88</v>
      </c>
      <c r="F88" s="9" t="s">
        <v>30</v>
      </c>
      <c r="M88" s="23">
        <v>3.5</v>
      </c>
    </row>
    <row r="89" spans="2:13">
      <c r="E89" s="4">
        <f t="shared" si="30"/>
        <v>89</v>
      </c>
      <c r="F89" s="9" t="s">
        <v>31</v>
      </c>
      <c r="L89" s="9" t="s">
        <v>134</v>
      </c>
      <c r="M89" s="23">
        <v>270</v>
      </c>
    </row>
    <row r="90" spans="2:13">
      <c r="B90" s="22">
        <f t="shared" ref="B90:B153" si="42">QUOTIENT( D90-1,G91)+1</f>
        <v>2</v>
      </c>
      <c r="C90" s="22">
        <f t="shared" ref="C90" si="43">D90-(B90-1)*G91</f>
        <v>1</v>
      </c>
      <c r="D90" s="22">
        <f>COUNT($D$8:$D89)+1</f>
        <v>10</v>
      </c>
      <c r="E90" s="4"/>
    </row>
    <row r="91" spans="2:13">
      <c r="E91" s="4">
        <f t="shared" si="30"/>
        <v>91</v>
      </c>
      <c r="F91" s="9" t="s">
        <v>93</v>
      </c>
      <c r="G91" s="9" t="s">
        <v>40</v>
      </c>
      <c r="H91" s="9" t="s">
        <v>40</v>
      </c>
      <c r="J91" s="9" t="s">
        <v>241</v>
      </c>
      <c r="M91" s="23">
        <f t="shared" ref="M91:M154" si="44">J91+D90</f>
        <v>10210</v>
      </c>
    </row>
    <row r="92" spans="2:13">
      <c r="E92" s="4">
        <f t="shared" si="30"/>
        <v>92</v>
      </c>
      <c r="F92" s="9" t="s">
        <v>145</v>
      </c>
      <c r="G92" s="9">
        <v>150</v>
      </c>
      <c r="H92" s="9" t="s">
        <v>232</v>
      </c>
      <c r="M92" s="23">
        <f t="shared" ref="M92" si="45">$G$11+B90*$H$11</f>
        <v>350</v>
      </c>
    </row>
    <row r="93" spans="2:13">
      <c r="E93" s="4">
        <f t="shared" si="30"/>
        <v>93</v>
      </c>
      <c r="F93" s="9" t="s">
        <v>29</v>
      </c>
      <c r="M93" s="23" t="s">
        <v>230</v>
      </c>
    </row>
    <row r="94" spans="2:13">
      <c r="E94" s="4">
        <f t="shared" si="30"/>
        <v>94</v>
      </c>
      <c r="F94" s="9" t="s">
        <v>118</v>
      </c>
      <c r="M94" s="23" t="s">
        <v>231</v>
      </c>
    </row>
    <row r="95" spans="2:13">
      <c r="E95" s="4">
        <f t="shared" si="30"/>
        <v>95</v>
      </c>
      <c r="F95" s="9" t="s">
        <v>114</v>
      </c>
      <c r="M95" s="23" t="b">
        <v>1</v>
      </c>
    </row>
    <row r="96" spans="2:13">
      <c r="E96" s="4">
        <f t="shared" si="30"/>
        <v>96</v>
      </c>
      <c r="F96" s="9" t="s">
        <v>98</v>
      </c>
      <c r="G96" s="9" t="s">
        <v>233</v>
      </c>
      <c r="H96" s="9">
        <v>6</v>
      </c>
      <c r="K96" s="9" t="s">
        <v>136</v>
      </c>
      <c r="M96" s="23" t="str">
        <f t="shared" ref="M96" si="46">CONCATENATE($G$15+MOD(C90-1,$G$10)+1,",",$H$15)</f>
        <v>-4,6</v>
      </c>
    </row>
    <row r="97" spans="2:13">
      <c r="E97" s="4">
        <f t="shared" si="30"/>
        <v>97</v>
      </c>
      <c r="F97" s="9" t="s">
        <v>30</v>
      </c>
      <c r="M97" s="23">
        <v>3.5</v>
      </c>
    </row>
    <row r="98" spans="2:13">
      <c r="E98" s="4">
        <f t="shared" si="30"/>
        <v>98</v>
      </c>
      <c r="F98" s="9" t="s">
        <v>31</v>
      </c>
      <c r="L98" s="9" t="s">
        <v>134</v>
      </c>
      <c r="M98" s="23">
        <v>270</v>
      </c>
    </row>
    <row r="99" spans="2:13">
      <c r="B99" s="22">
        <f t="shared" ref="B99:B162" si="47">QUOTIENT( D99-1,G100)+1</f>
        <v>2</v>
      </c>
      <c r="C99" s="22">
        <f t="shared" ref="C99" si="48">D99-(B99-1)*G100</f>
        <v>2</v>
      </c>
      <c r="D99" s="22">
        <f>COUNT($D$8:$D98)+1</f>
        <v>11</v>
      </c>
      <c r="E99" s="4"/>
    </row>
    <row r="100" spans="2:13">
      <c r="E100" s="4">
        <f t="shared" si="30"/>
        <v>100</v>
      </c>
      <c r="F100" s="9" t="s">
        <v>93</v>
      </c>
      <c r="G100" s="9" t="s">
        <v>40</v>
      </c>
      <c r="H100" s="9" t="s">
        <v>40</v>
      </c>
      <c r="J100" s="9" t="s">
        <v>241</v>
      </c>
      <c r="M100" s="23">
        <f t="shared" ref="M100:M163" si="49">J100+D99</f>
        <v>10211</v>
      </c>
    </row>
    <row r="101" spans="2:13">
      <c r="E101" s="4">
        <f t="shared" si="30"/>
        <v>101</v>
      </c>
      <c r="F101" s="9" t="s">
        <v>145</v>
      </c>
      <c r="G101" s="9">
        <v>150</v>
      </c>
      <c r="H101" s="9" t="s">
        <v>232</v>
      </c>
      <c r="M101" s="23">
        <f t="shared" ref="M101" si="50">$G$11+B99*$H$11</f>
        <v>350</v>
      </c>
    </row>
    <row r="102" spans="2:13">
      <c r="E102" s="4">
        <f t="shared" si="30"/>
        <v>102</v>
      </c>
      <c r="F102" s="9" t="s">
        <v>29</v>
      </c>
      <c r="M102" s="23" t="s">
        <v>230</v>
      </c>
    </row>
    <row r="103" spans="2:13">
      <c r="E103" s="4">
        <f t="shared" si="30"/>
        <v>103</v>
      </c>
      <c r="F103" s="9" t="s">
        <v>118</v>
      </c>
      <c r="M103" s="23" t="s">
        <v>231</v>
      </c>
    </row>
    <row r="104" spans="2:13">
      <c r="E104" s="4">
        <f t="shared" si="30"/>
        <v>104</v>
      </c>
      <c r="F104" s="9" t="s">
        <v>114</v>
      </c>
      <c r="M104" s="23" t="b">
        <v>1</v>
      </c>
    </row>
    <row r="105" spans="2:13">
      <c r="E105" s="4">
        <f t="shared" si="30"/>
        <v>105</v>
      </c>
      <c r="F105" s="9" t="s">
        <v>98</v>
      </c>
      <c r="G105" s="9" t="s">
        <v>233</v>
      </c>
      <c r="H105" s="9">
        <v>6</v>
      </c>
      <c r="K105" s="9" t="s">
        <v>136</v>
      </c>
      <c r="M105" s="23" t="str">
        <f t="shared" ref="M105" si="51">CONCATENATE($G$15+MOD(C99-1,$G$10)+1,",",$H$15)</f>
        <v>-3,6</v>
      </c>
    </row>
    <row r="106" spans="2:13">
      <c r="E106" s="4">
        <f t="shared" si="30"/>
        <v>106</v>
      </c>
      <c r="F106" s="9" t="s">
        <v>30</v>
      </c>
      <c r="M106" s="23">
        <v>3.5</v>
      </c>
    </row>
    <row r="107" spans="2:13">
      <c r="E107" s="4">
        <f t="shared" si="30"/>
        <v>107</v>
      </c>
      <c r="F107" s="9" t="s">
        <v>31</v>
      </c>
      <c r="L107" s="9" t="s">
        <v>134</v>
      </c>
      <c r="M107" s="23">
        <v>270</v>
      </c>
    </row>
    <row r="108" spans="2:13">
      <c r="B108" s="22">
        <f t="shared" ref="B108:B171" si="52">QUOTIENT( D108-1,G109)+1</f>
        <v>2</v>
      </c>
      <c r="C108" s="22">
        <f t="shared" ref="C108" si="53">D108-(B108-1)*G109</f>
        <v>3</v>
      </c>
      <c r="D108" s="22">
        <f>COUNT($D$8:$D107)+1</f>
        <v>12</v>
      </c>
      <c r="E108" s="4"/>
    </row>
    <row r="109" spans="2:13">
      <c r="E109" s="4">
        <f t="shared" si="30"/>
        <v>109</v>
      </c>
      <c r="F109" s="9" t="s">
        <v>93</v>
      </c>
      <c r="G109" s="9" t="s">
        <v>40</v>
      </c>
      <c r="H109" s="9" t="s">
        <v>40</v>
      </c>
      <c r="J109" s="9" t="s">
        <v>241</v>
      </c>
      <c r="M109" s="23">
        <f t="shared" ref="M109:M172" si="54">J109+D108</f>
        <v>10212</v>
      </c>
    </row>
    <row r="110" spans="2:13">
      <c r="E110" s="4">
        <f t="shared" si="30"/>
        <v>110</v>
      </c>
      <c r="F110" s="9" t="s">
        <v>145</v>
      </c>
      <c r="G110" s="9">
        <v>150</v>
      </c>
      <c r="H110" s="9" t="s">
        <v>232</v>
      </c>
      <c r="M110" s="23">
        <f t="shared" ref="M110" si="55">$G$11+B108*$H$11</f>
        <v>350</v>
      </c>
    </row>
    <row r="111" spans="2:13">
      <c r="E111" s="4">
        <f t="shared" si="30"/>
        <v>111</v>
      </c>
      <c r="F111" s="9" t="s">
        <v>29</v>
      </c>
      <c r="M111" s="23" t="s">
        <v>230</v>
      </c>
    </row>
    <row r="112" spans="2:13">
      <c r="E112" s="4">
        <f t="shared" si="30"/>
        <v>112</v>
      </c>
      <c r="F112" s="9" t="s">
        <v>118</v>
      </c>
      <c r="M112" s="23" t="s">
        <v>231</v>
      </c>
    </row>
    <row r="113" spans="2:13">
      <c r="E113" s="4">
        <f t="shared" si="30"/>
        <v>113</v>
      </c>
      <c r="F113" s="9" t="s">
        <v>114</v>
      </c>
      <c r="M113" s="23" t="b">
        <v>1</v>
      </c>
    </row>
    <row r="114" spans="2:13">
      <c r="E114" s="4">
        <f t="shared" si="30"/>
        <v>114</v>
      </c>
      <c r="F114" s="9" t="s">
        <v>98</v>
      </c>
      <c r="G114" s="9" t="s">
        <v>233</v>
      </c>
      <c r="H114" s="9">
        <v>6</v>
      </c>
      <c r="K114" s="9" t="s">
        <v>136</v>
      </c>
      <c r="M114" s="23" t="str">
        <f t="shared" ref="M114" si="56">CONCATENATE($G$15+MOD(C108-1,$G$10)+1,",",$H$15)</f>
        <v>-2,6</v>
      </c>
    </row>
    <row r="115" spans="2:13">
      <c r="E115" s="4">
        <f t="shared" si="30"/>
        <v>115</v>
      </c>
      <c r="F115" s="9" t="s">
        <v>30</v>
      </c>
      <c r="M115" s="23">
        <v>3.5</v>
      </c>
    </row>
    <row r="116" spans="2:13">
      <c r="E116" s="4">
        <f t="shared" si="30"/>
        <v>116</v>
      </c>
      <c r="F116" s="9" t="s">
        <v>31</v>
      </c>
      <c r="L116" s="9" t="s">
        <v>134</v>
      </c>
      <c r="M116" s="23">
        <v>270</v>
      </c>
    </row>
    <row r="117" spans="2:13">
      <c r="B117" s="22">
        <f t="shared" ref="B117:B180" si="57">QUOTIENT( D117-1,G118)+1</f>
        <v>2</v>
      </c>
      <c r="C117" s="22">
        <f t="shared" ref="C117" si="58">D117-(B117-1)*G118</f>
        <v>4</v>
      </c>
      <c r="D117" s="22">
        <f>COUNT($D$8:$D116)+1</f>
        <v>13</v>
      </c>
      <c r="E117" s="4"/>
    </row>
    <row r="118" spans="2:13">
      <c r="E118" s="4">
        <f t="shared" si="30"/>
        <v>118</v>
      </c>
      <c r="F118" s="9" t="s">
        <v>93</v>
      </c>
      <c r="G118" s="9" t="s">
        <v>40</v>
      </c>
      <c r="H118" s="9" t="s">
        <v>40</v>
      </c>
      <c r="J118" s="9" t="s">
        <v>241</v>
      </c>
      <c r="M118" s="23">
        <f t="shared" ref="M118:M181" si="59">J118+D117</f>
        <v>10213</v>
      </c>
    </row>
    <row r="119" spans="2:13">
      <c r="E119" s="4">
        <f t="shared" si="30"/>
        <v>119</v>
      </c>
      <c r="F119" s="9" t="s">
        <v>145</v>
      </c>
      <c r="G119" s="9">
        <v>150</v>
      </c>
      <c r="H119" s="9" t="s">
        <v>232</v>
      </c>
      <c r="M119" s="23">
        <f t="shared" ref="M119" si="60">$G$11+B117*$H$11</f>
        <v>350</v>
      </c>
    </row>
    <row r="120" spans="2:13">
      <c r="E120" s="4">
        <f t="shared" si="30"/>
        <v>120</v>
      </c>
      <c r="F120" s="9" t="s">
        <v>29</v>
      </c>
      <c r="M120" s="23" t="s">
        <v>230</v>
      </c>
    </row>
    <row r="121" spans="2:13">
      <c r="E121" s="4">
        <f t="shared" si="30"/>
        <v>121</v>
      </c>
      <c r="F121" s="9" t="s">
        <v>118</v>
      </c>
      <c r="M121" s="23" t="s">
        <v>231</v>
      </c>
    </row>
    <row r="122" spans="2:13">
      <c r="E122" s="4">
        <f t="shared" si="30"/>
        <v>122</v>
      </c>
      <c r="F122" s="9" t="s">
        <v>114</v>
      </c>
      <c r="M122" s="23" t="b">
        <v>1</v>
      </c>
    </row>
    <row r="123" spans="2:13">
      <c r="E123" s="4">
        <f t="shared" si="30"/>
        <v>123</v>
      </c>
      <c r="F123" s="9" t="s">
        <v>98</v>
      </c>
      <c r="G123" s="9" t="s">
        <v>233</v>
      </c>
      <c r="H123" s="9">
        <v>6</v>
      </c>
      <c r="K123" s="9" t="s">
        <v>136</v>
      </c>
      <c r="M123" s="23" t="str">
        <f t="shared" ref="M123" si="61">CONCATENATE($G$15+MOD(C117-1,$G$10)+1,",",$H$15)</f>
        <v>-1,6</v>
      </c>
    </row>
    <row r="124" spans="2:13">
      <c r="E124" s="4">
        <f t="shared" si="30"/>
        <v>124</v>
      </c>
      <c r="F124" s="9" t="s">
        <v>30</v>
      </c>
      <c r="M124" s="23">
        <v>3.5</v>
      </c>
    </row>
    <row r="125" spans="2:13">
      <c r="E125" s="4">
        <f t="shared" si="30"/>
        <v>125</v>
      </c>
      <c r="F125" s="9" t="s">
        <v>31</v>
      </c>
      <c r="L125" s="9" t="s">
        <v>134</v>
      </c>
      <c r="M125" s="23">
        <v>270</v>
      </c>
    </row>
    <row r="126" spans="2:13">
      <c r="B126" s="22">
        <f t="shared" ref="B126:B189" si="62">QUOTIENT( D126-1,G127)+1</f>
        <v>2</v>
      </c>
      <c r="C126" s="22">
        <f t="shared" ref="C126" si="63">D126-(B126-1)*G127</f>
        <v>5</v>
      </c>
      <c r="D126" s="22">
        <f>COUNT($D$8:$D125)+1</f>
        <v>14</v>
      </c>
      <c r="E126" s="4"/>
    </row>
    <row r="127" spans="2:13">
      <c r="E127" s="4">
        <f t="shared" si="30"/>
        <v>127</v>
      </c>
      <c r="F127" s="9" t="s">
        <v>93</v>
      </c>
      <c r="G127" s="9" t="s">
        <v>40</v>
      </c>
      <c r="H127" s="9" t="s">
        <v>40</v>
      </c>
      <c r="J127" s="9" t="s">
        <v>241</v>
      </c>
      <c r="M127" s="23">
        <f t="shared" ref="M127:M190" si="64">J127+D126</f>
        <v>10214</v>
      </c>
    </row>
    <row r="128" spans="2:13">
      <c r="E128" s="4">
        <f t="shared" si="30"/>
        <v>128</v>
      </c>
      <c r="F128" s="9" t="s">
        <v>145</v>
      </c>
      <c r="G128" s="9">
        <v>150</v>
      </c>
      <c r="H128" s="9" t="s">
        <v>232</v>
      </c>
      <c r="M128" s="23">
        <f t="shared" ref="M128" si="65">$G$11+B126*$H$11</f>
        <v>350</v>
      </c>
    </row>
    <row r="129" spans="2:13">
      <c r="E129" s="4">
        <f t="shared" si="30"/>
        <v>129</v>
      </c>
      <c r="F129" s="9" t="s">
        <v>29</v>
      </c>
      <c r="M129" s="23" t="s">
        <v>230</v>
      </c>
    </row>
    <row r="130" spans="2:13">
      <c r="E130" s="4">
        <f t="shared" ref="E130:E193" si="66">ROW(E130)</f>
        <v>130</v>
      </c>
      <c r="F130" s="9" t="s">
        <v>118</v>
      </c>
      <c r="M130" s="23" t="s">
        <v>231</v>
      </c>
    </row>
    <row r="131" spans="2:13">
      <c r="E131" s="4">
        <f t="shared" si="66"/>
        <v>131</v>
      </c>
      <c r="F131" s="9" t="s">
        <v>114</v>
      </c>
      <c r="M131" s="23" t="b">
        <v>1</v>
      </c>
    </row>
    <row r="132" spans="2:13">
      <c r="E132" s="4">
        <f t="shared" si="66"/>
        <v>132</v>
      </c>
      <c r="F132" s="9" t="s">
        <v>98</v>
      </c>
      <c r="G132" s="9" t="s">
        <v>233</v>
      </c>
      <c r="H132" s="9">
        <v>6</v>
      </c>
      <c r="K132" s="9" t="s">
        <v>136</v>
      </c>
      <c r="M132" s="23" t="str">
        <f t="shared" ref="M132" si="67">CONCATENATE($G$15+MOD(C126-1,$G$10)+1,",",$H$15)</f>
        <v>0,6</v>
      </c>
    </row>
    <row r="133" spans="2:13">
      <c r="E133" s="4">
        <f t="shared" si="66"/>
        <v>133</v>
      </c>
      <c r="F133" s="9" t="s">
        <v>30</v>
      </c>
      <c r="M133" s="23">
        <v>3.5</v>
      </c>
    </row>
    <row r="134" spans="2:13">
      <c r="E134" s="4">
        <f t="shared" si="66"/>
        <v>134</v>
      </c>
      <c r="F134" s="9" t="s">
        <v>31</v>
      </c>
      <c r="L134" s="9" t="s">
        <v>134</v>
      </c>
      <c r="M134" s="23">
        <v>270</v>
      </c>
    </row>
    <row r="135" spans="2:13">
      <c r="B135" s="22">
        <f t="shared" ref="B135:B198" si="68">QUOTIENT( D135-1,G136)+1</f>
        <v>2</v>
      </c>
      <c r="C135" s="22">
        <f t="shared" ref="C135" si="69">D135-(B135-1)*G136</f>
        <v>6</v>
      </c>
      <c r="D135" s="22">
        <f>COUNT($D$8:$D134)+1</f>
        <v>15</v>
      </c>
      <c r="E135" s="4"/>
    </row>
    <row r="136" spans="2:13">
      <c r="E136" s="4">
        <f t="shared" si="66"/>
        <v>136</v>
      </c>
      <c r="F136" s="9" t="s">
        <v>93</v>
      </c>
      <c r="G136" s="9" t="s">
        <v>40</v>
      </c>
      <c r="H136" s="9" t="s">
        <v>40</v>
      </c>
      <c r="J136" s="9" t="s">
        <v>241</v>
      </c>
      <c r="M136" s="23">
        <f t="shared" ref="M136:M199" si="70">J136+D135</f>
        <v>10215</v>
      </c>
    </row>
    <row r="137" spans="2:13">
      <c r="E137" s="4">
        <f t="shared" si="66"/>
        <v>137</v>
      </c>
      <c r="F137" s="9" t="s">
        <v>145</v>
      </c>
      <c r="G137" s="9">
        <v>150</v>
      </c>
      <c r="H137" s="9" t="s">
        <v>232</v>
      </c>
      <c r="M137" s="23">
        <f t="shared" ref="M137" si="71">$G$11+B135*$H$11</f>
        <v>350</v>
      </c>
    </row>
    <row r="138" spans="2:13">
      <c r="E138" s="4">
        <f t="shared" si="66"/>
        <v>138</v>
      </c>
      <c r="F138" s="9" t="s">
        <v>29</v>
      </c>
      <c r="M138" s="23" t="s">
        <v>230</v>
      </c>
    </row>
    <row r="139" spans="2:13">
      <c r="E139" s="4">
        <f t="shared" si="66"/>
        <v>139</v>
      </c>
      <c r="F139" s="9" t="s">
        <v>118</v>
      </c>
      <c r="M139" s="23" t="s">
        <v>231</v>
      </c>
    </row>
    <row r="140" spans="2:13">
      <c r="E140" s="4">
        <f t="shared" si="66"/>
        <v>140</v>
      </c>
      <c r="F140" s="9" t="s">
        <v>114</v>
      </c>
      <c r="M140" s="23" t="b">
        <v>1</v>
      </c>
    </row>
    <row r="141" spans="2:13">
      <c r="E141" s="4">
        <f t="shared" si="66"/>
        <v>141</v>
      </c>
      <c r="F141" s="9" t="s">
        <v>98</v>
      </c>
      <c r="G141" s="9" t="s">
        <v>233</v>
      </c>
      <c r="H141" s="9">
        <v>6</v>
      </c>
      <c r="K141" s="9" t="s">
        <v>136</v>
      </c>
      <c r="M141" s="23" t="str">
        <f t="shared" ref="M141" si="72">CONCATENATE($G$15+MOD(C135-1,$G$10)+1,",",$H$15)</f>
        <v>1,6</v>
      </c>
    </row>
    <row r="142" spans="2:13">
      <c r="E142" s="4">
        <f t="shared" si="66"/>
        <v>142</v>
      </c>
      <c r="F142" s="9" t="s">
        <v>30</v>
      </c>
      <c r="M142" s="23">
        <v>3.5</v>
      </c>
    </row>
    <row r="143" spans="2:13">
      <c r="E143" s="4">
        <f t="shared" si="66"/>
        <v>143</v>
      </c>
      <c r="F143" s="9" t="s">
        <v>31</v>
      </c>
      <c r="L143" s="9" t="s">
        <v>134</v>
      </c>
      <c r="M143" s="23">
        <v>270</v>
      </c>
    </row>
    <row r="144" spans="2:13">
      <c r="B144" s="22">
        <f t="shared" ref="B144:B207" si="73">QUOTIENT( D144-1,G145)+1</f>
        <v>2</v>
      </c>
      <c r="C144" s="22">
        <f t="shared" ref="C144" si="74">D144-(B144-1)*G145</f>
        <v>7</v>
      </c>
      <c r="D144" s="22">
        <f>COUNT($D$8:$D143)+1</f>
        <v>16</v>
      </c>
      <c r="E144" s="4"/>
    </row>
    <row r="145" spans="2:13">
      <c r="E145" s="4">
        <f t="shared" si="66"/>
        <v>145</v>
      </c>
      <c r="F145" s="9" t="s">
        <v>93</v>
      </c>
      <c r="G145" s="9" t="s">
        <v>40</v>
      </c>
      <c r="H145" s="9" t="s">
        <v>40</v>
      </c>
      <c r="J145" s="9" t="s">
        <v>241</v>
      </c>
      <c r="M145" s="23">
        <f t="shared" ref="M145:M208" si="75">J145+D144</f>
        <v>10216</v>
      </c>
    </row>
    <row r="146" spans="2:13">
      <c r="E146" s="4">
        <f t="shared" si="66"/>
        <v>146</v>
      </c>
      <c r="F146" s="9" t="s">
        <v>145</v>
      </c>
      <c r="G146" s="9">
        <v>150</v>
      </c>
      <c r="H146" s="9" t="s">
        <v>232</v>
      </c>
      <c r="M146" s="23">
        <f t="shared" ref="M146" si="76">$G$11+B144*$H$11</f>
        <v>350</v>
      </c>
    </row>
    <row r="147" spans="2:13">
      <c r="E147" s="4">
        <f t="shared" si="66"/>
        <v>147</v>
      </c>
      <c r="F147" s="9" t="s">
        <v>29</v>
      </c>
      <c r="M147" s="23" t="s">
        <v>230</v>
      </c>
    </row>
    <row r="148" spans="2:13">
      <c r="E148" s="4">
        <f t="shared" si="66"/>
        <v>148</v>
      </c>
      <c r="F148" s="9" t="s">
        <v>118</v>
      </c>
      <c r="M148" s="23" t="s">
        <v>231</v>
      </c>
    </row>
    <row r="149" spans="2:13">
      <c r="E149" s="4">
        <f t="shared" si="66"/>
        <v>149</v>
      </c>
      <c r="F149" s="9" t="s">
        <v>114</v>
      </c>
      <c r="M149" s="23" t="b">
        <v>1</v>
      </c>
    </row>
    <row r="150" spans="2:13">
      <c r="E150" s="4">
        <f t="shared" si="66"/>
        <v>150</v>
      </c>
      <c r="F150" s="9" t="s">
        <v>98</v>
      </c>
      <c r="G150" s="9" t="s">
        <v>233</v>
      </c>
      <c r="H150" s="9">
        <v>6</v>
      </c>
      <c r="K150" s="9" t="s">
        <v>136</v>
      </c>
      <c r="M150" s="23" t="str">
        <f t="shared" ref="M150" si="77">CONCATENATE($G$15+MOD(C144-1,$G$10)+1,",",$H$15)</f>
        <v>2,6</v>
      </c>
    </row>
    <row r="151" spans="2:13">
      <c r="E151" s="4">
        <f t="shared" si="66"/>
        <v>151</v>
      </c>
      <c r="F151" s="9" t="s">
        <v>30</v>
      </c>
      <c r="M151" s="23">
        <v>3.5</v>
      </c>
    </row>
    <row r="152" spans="2:13">
      <c r="E152" s="4">
        <f t="shared" si="66"/>
        <v>152</v>
      </c>
      <c r="F152" s="9" t="s">
        <v>31</v>
      </c>
      <c r="L152" s="9" t="s">
        <v>134</v>
      </c>
      <c r="M152" s="23">
        <v>270</v>
      </c>
    </row>
    <row r="153" spans="2:13">
      <c r="B153" s="22">
        <f t="shared" ref="B153:B216" si="78">QUOTIENT( D153-1,G154)+1</f>
        <v>2</v>
      </c>
      <c r="C153" s="22">
        <f t="shared" ref="C153" si="79">D153-(B153-1)*G154</f>
        <v>8</v>
      </c>
      <c r="D153" s="22">
        <f>COUNT($D$8:$D152)+1</f>
        <v>17</v>
      </c>
      <c r="E153" s="4"/>
    </row>
    <row r="154" spans="2:13">
      <c r="E154" s="4">
        <f t="shared" si="66"/>
        <v>154</v>
      </c>
      <c r="F154" s="9" t="s">
        <v>93</v>
      </c>
      <c r="G154" s="9" t="s">
        <v>40</v>
      </c>
      <c r="H154" s="9" t="s">
        <v>40</v>
      </c>
      <c r="J154" s="9" t="s">
        <v>241</v>
      </c>
      <c r="M154" s="23">
        <f t="shared" ref="M154:M217" si="80">J154+D153</f>
        <v>10217</v>
      </c>
    </row>
    <row r="155" spans="2:13">
      <c r="E155" s="4">
        <f t="shared" si="66"/>
        <v>155</v>
      </c>
      <c r="F155" s="9" t="s">
        <v>145</v>
      </c>
      <c r="G155" s="9">
        <v>150</v>
      </c>
      <c r="H155" s="9" t="s">
        <v>232</v>
      </c>
      <c r="M155" s="23">
        <f t="shared" ref="M155" si="81">$G$11+B153*$H$11</f>
        <v>350</v>
      </c>
    </row>
    <row r="156" spans="2:13">
      <c r="E156" s="4">
        <f t="shared" si="66"/>
        <v>156</v>
      </c>
      <c r="F156" s="9" t="s">
        <v>29</v>
      </c>
      <c r="M156" s="23" t="s">
        <v>230</v>
      </c>
    </row>
    <row r="157" spans="2:13">
      <c r="E157" s="4">
        <f t="shared" si="66"/>
        <v>157</v>
      </c>
      <c r="F157" s="9" t="s">
        <v>118</v>
      </c>
      <c r="M157" s="23" t="s">
        <v>231</v>
      </c>
    </row>
    <row r="158" spans="2:13">
      <c r="E158" s="4">
        <f t="shared" si="66"/>
        <v>158</v>
      </c>
      <c r="F158" s="9" t="s">
        <v>114</v>
      </c>
      <c r="M158" s="23" t="b">
        <v>1</v>
      </c>
    </row>
    <row r="159" spans="2:13">
      <c r="E159" s="4">
        <f t="shared" si="66"/>
        <v>159</v>
      </c>
      <c r="F159" s="9" t="s">
        <v>98</v>
      </c>
      <c r="G159" s="9" t="s">
        <v>233</v>
      </c>
      <c r="H159" s="9">
        <v>6</v>
      </c>
      <c r="K159" s="9" t="s">
        <v>136</v>
      </c>
      <c r="M159" s="23" t="str">
        <f t="shared" ref="M159" si="82">CONCATENATE($G$15+MOD(C153-1,$G$10)+1,",",$H$15)</f>
        <v>3,6</v>
      </c>
    </row>
    <row r="160" spans="2:13">
      <c r="E160" s="4">
        <f t="shared" si="66"/>
        <v>160</v>
      </c>
      <c r="F160" s="9" t="s">
        <v>30</v>
      </c>
      <c r="M160" s="23">
        <v>3.5</v>
      </c>
    </row>
    <row r="161" spans="2:13">
      <c r="E161" s="4">
        <f t="shared" si="66"/>
        <v>161</v>
      </c>
      <c r="F161" s="9" t="s">
        <v>31</v>
      </c>
      <c r="L161" s="9" t="s">
        <v>134</v>
      </c>
      <c r="M161" s="23">
        <v>270</v>
      </c>
    </row>
    <row r="162" spans="2:13">
      <c r="B162" s="22">
        <f t="shared" ref="B162:B225" si="83">QUOTIENT( D162-1,G163)+1</f>
        <v>2</v>
      </c>
      <c r="C162" s="22">
        <f t="shared" ref="C162" si="84">D162-(B162-1)*G163</f>
        <v>9</v>
      </c>
      <c r="D162" s="22">
        <f>COUNT($D$8:$D161)+1</f>
        <v>18</v>
      </c>
      <c r="E162" s="4"/>
    </row>
    <row r="163" spans="2:13">
      <c r="E163" s="4">
        <f t="shared" si="66"/>
        <v>163</v>
      </c>
      <c r="F163" s="9" t="s">
        <v>93</v>
      </c>
      <c r="G163" s="9" t="s">
        <v>40</v>
      </c>
      <c r="H163" s="9" t="s">
        <v>40</v>
      </c>
      <c r="J163" s="9" t="s">
        <v>241</v>
      </c>
      <c r="M163" s="23">
        <f t="shared" ref="M163:M226" si="85">J163+D162</f>
        <v>10218</v>
      </c>
    </row>
    <row r="164" spans="2:13">
      <c r="E164" s="4">
        <f t="shared" si="66"/>
        <v>164</v>
      </c>
      <c r="F164" s="9" t="s">
        <v>145</v>
      </c>
      <c r="G164" s="9">
        <v>150</v>
      </c>
      <c r="H164" s="9" t="s">
        <v>232</v>
      </c>
      <c r="M164" s="23">
        <f t="shared" ref="M164" si="86">$G$11+B162*$H$11</f>
        <v>350</v>
      </c>
    </row>
    <row r="165" spans="2:13">
      <c r="E165" s="4">
        <f t="shared" si="66"/>
        <v>165</v>
      </c>
      <c r="F165" s="9" t="s">
        <v>29</v>
      </c>
      <c r="M165" s="23" t="s">
        <v>230</v>
      </c>
    </row>
    <row r="166" spans="2:13">
      <c r="E166" s="4">
        <f t="shared" si="66"/>
        <v>166</v>
      </c>
      <c r="F166" s="9" t="s">
        <v>118</v>
      </c>
      <c r="M166" s="23" t="s">
        <v>231</v>
      </c>
    </row>
    <row r="167" spans="2:13">
      <c r="E167" s="4">
        <f t="shared" si="66"/>
        <v>167</v>
      </c>
      <c r="F167" s="9" t="s">
        <v>114</v>
      </c>
      <c r="M167" s="23" t="b">
        <v>1</v>
      </c>
    </row>
    <row r="168" spans="2:13">
      <c r="E168" s="4">
        <f t="shared" si="66"/>
        <v>168</v>
      </c>
      <c r="F168" s="9" t="s">
        <v>98</v>
      </c>
      <c r="G168" s="9" t="s">
        <v>233</v>
      </c>
      <c r="H168" s="9">
        <v>6</v>
      </c>
      <c r="K168" s="9" t="s">
        <v>136</v>
      </c>
      <c r="M168" s="23" t="str">
        <f t="shared" ref="M168" si="87">CONCATENATE($G$15+MOD(C162-1,$G$10)+1,",",$H$15)</f>
        <v>4,6</v>
      </c>
    </row>
    <row r="169" spans="2:13">
      <c r="E169" s="4">
        <f t="shared" si="66"/>
        <v>169</v>
      </c>
      <c r="F169" s="9" t="s">
        <v>30</v>
      </c>
      <c r="M169" s="23">
        <v>3.5</v>
      </c>
    </row>
    <row r="170" spans="2:13">
      <c r="E170" s="4">
        <f t="shared" si="66"/>
        <v>170</v>
      </c>
      <c r="F170" s="9" t="s">
        <v>31</v>
      </c>
      <c r="L170" s="9" t="s">
        <v>134</v>
      </c>
      <c r="M170" s="23">
        <v>270</v>
      </c>
    </row>
    <row r="171" spans="2:13">
      <c r="B171" s="22">
        <f t="shared" ref="B171:B234" si="88">QUOTIENT( D171-1,G172)+1</f>
        <v>3</v>
      </c>
      <c r="C171" s="22">
        <f t="shared" ref="C171" si="89">D171-(B171-1)*G172</f>
        <v>1</v>
      </c>
      <c r="D171" s="22">
        <f>COUNT($D$8:$D170)+1</f>
        <v>19</v>
      </c>
      <c r="E171" s="4"/>
    </row>
    <row r="172" spans="2:13">
      <c r="E172" s="4">
        <f t="shared" si="66"/>
        <v>172</v>
      </c>
      <c r="F172" s="9" t="s">
        <v>93</v>
      </c>
      <c r="G172" s="9" t="s">
        <v>40</v>
      </c>
      <c r="H172" s="9" t="s">
        <v>40</v>
      </c>
      <c r="J172" s="9" t="s">
        <v>241</v>
      </c>
      <c r="M172" s="23">
        <f t="shared" ref="M172:M235" si="90">J172+D171</f>
        <v>10219</v>
      </c>
    </row>
    <row r="173" spans="2:13">
      <c r="E173" s="4">
        <f t="shared" si="66"/>
        <v>173</v>
      </c>
      <c r="F173" s="9" t="s">
        <v>145</v>
      </c>
      <c r="G173" s="9">
        <v>150</v>
      </c>
      <c r="H173" s="9" t="s">
        <v>232</v>
      </c>
      <c r="M173" s="23">
        <f t="shared" ref="M173" si="91">$G$11+B171*$H$11</f>
        <v>450</v>
      </c>
    </row>
    <row r="174" spans="2:13">
      <c r="E174" s="4">
        <f t="shared" si="66"/>
        <v>174</v>
      </c>
      <c r="F174" s="9" t="s">
        <v>29</v>
      </c>
      <c r="M174" s="23" t="s">
        <v>230</v>
      </c>
    </row>
    <row r="175" spans="2:13">
      <c r="E175" s="4">
        <f t="shared" si="66"/>
        <v>175</v>
      </c>
      <c r="F175" s="9" t="s">
        <v>118</v>
      </c>
      <c r="M175" s="23" t="s">
        <v>231</v>
      </c>
    </row>
    <row r="176" spans="2:13">
      <c r="E176" s="4">
        <f t="shared" si="66"/>
        <v>176</v>
      </c>
      <c r="F176" s="9" t="s">
        <v>114</v>
      </c>
      <c r="M176" s="23" t="b">
        <v>1</v>
      </c>
    </row>
    <row r="177" spans="2:13">
      <c r="E177" s="4">
        <f t="shared" si="66"/>
        <v>177</v>
      </c>
      <c r="F177" s="9" t="s">
        <v>98</v>
      </c>
      <c r="G177" s="9" t="s">
        <v>233</v>
      </c>
      <c r="H177" s="9">
        <v>6</v>
      </c>
      <c r="K177" s="9" t="s">
        <v>136</v>
      </c>
      <c r="M177" s="23" t="str">
        <f t="shared" ref="M177" si="92">CONCATENATE($G$15+MOD(C171-1,$G$10)+1,",",$H$15)</f>
        <v>-4,6</v>
      </c>
    </row>
    <row r="178" spans="2:13">
      <c r="E178" s="4">
        <f t="shared" si="66"/>
        <v>178</v>
      </c>
      <c r="F178" s="9" t="s">
        <v>30</v>
      </c>
      <c r="M178" s="23">
        <v>3.5</v>
      </c>
    </row>
    <row r="179" spans="2:13">
      <c r="E179" s="4">
        <f t="shared" si="66"/>
        <v>179</v>
      </c>
      <c r="F179" s="9" t="s">
        <v>31</v>
      </c>
      <c r="L179" s="9" t="s">
        <v>134</v>
      </c>
      <c r="M179" s="23">
        <v>270</v>
      </c>
    </row>
    <row r="180" spans="2:13">
      <c r="B180" s="22">
        <f t="shared" ref="B180:B243" si="93">QUOTIENT( D180-1,G181)+1</f>
        <v>3</v>
      </c>
      <c r="C180" s="22">
        <f t="shared" ref="C180" si="94">D180-(B180-1)*G181</f>
        <v>2</v>
      </c>
      <c r="D180" s="22">
        <f>COUNT($D$8:$D179)+1</f>
        <v>20</v>
      </c>
      <c r="E180" s="4"/>
    </row>
    <row r="181" spans="2:13">
      <c r="E181" s="4">
        <f t="shared" si="66"/>
        <v>181</v>
      </c>
      <c r="F181" s="9" t="s">
        <v>93</v>
      </c>
      <c r="G181" s="9" t="s">
        <v>40</v>
      </c>
      <c r="H181" s="9" t="s">
        <v>40</v>
      </c>
      <c r="J181" s="9" t="s">
        <v>241</v>
      </c>
      <c r="M181" s="23">
        <f t="shared" ref="M181:M244" si="95">J181+D180</f>
        <v>10220</v>
      </c>
    </row>
    <row r="182" spans="2:13">
      <c r="E182" s="4">
        <f t="shared" si="66"/>
        <v>182</v>
      </c>
      <c r="F182" s="9" t="s">
        <v>145</v>
      </c>
      <c r="G182" s="9">
        <v>150</v>
      </c>
      <c r="H182" s="9" t="s">
        <v>232</v>
      </c>
      <c r="M182" s="23">
        <f t="shared" ref="M182" si="96">$G$11+B180*$H$11</f>
        <v>450</v>
      </c>
    </row>
    <row r="183" spans="2:13">
      <c r="E183" s="4">
        <f t="shared" si="66"/>
        <v>183</v>
      </c>
      <c r="F183" s="9" t="s">
        <v>29</v>
      </c>
      <c r="M183" s="23" t="s">
        <v>230</v>
      </c>
    </row>
    <row r="184" spans="2:13">
      <c r="E184" s="4">
        <f t="shared" si="66"/>
        <v>184</v>
      </c>
      <c r="F184" s="9" t="s">
        <v>118</v>
      </c>
      <c r="M184" s="23" t="s">
        <v>231</v>
      </c>
    </row>
    <row r="185" spans="2:13">
      <c r="E185" s="4">
        <f t="shared" si="66"/>
        <v>185</v>
      </c>
      <c r="F185" s="9" t="s">
        <v>114</v>
      </c>
      <c r="M185" s="23" t="b">
        <v>1</v>
      </c>
    </row>
    <row r="186" spans="2:13">
      <c r="E186" s="4">
        <f t="shared" si="66"/>
        <v>186</v>
      </c>
      <c r="F186" s="9" t="s">
        <v>98</v>
      </c>
      <c r="G186" s="9" t="s">
        <v>233</v>
      </c>
      <c r="H186" s="9">
        <v>6</v>
      </c>
      <c r="K186" s="9" t="s">
        <v>136</v>
      </c>
      <c r="M186" s="23" t="str">
        <f t="shared" ref="M186" si="97">CONCATENATE($G$15+MOD(C180-1,$G$10)+1,",",$H$15)</f>
        <v>-3,6</v>
      </c>
    </row>
    <row r="187" spans="2:13">
      <c r="E187" s="4">
        <f t="shared" si="66"/>
        <v>187</v>
      </c>
      <c r="F187" s="9" t="s">
        <v>30</v>
      </c>
      <c r="M187" s="23">
        <v>3.5</v>
      </c>
    </row>
    <row r="188" spans="2:13">
      <c r="E188" s="4">
        <f t="shared" si="66"/>
        <v>188</v>
      </c>
      <c r="F188" s="9" t="s">
        <v>31</v>
      </c>
      <c r="L188" s="9" t="s">
        <v>134</v>
      </c>
      <c r="M188" s="23">
        <v>270</v>
      </c>
    </row>
    <row r="189" spans="2:13">
      <c r="B189" s="22">
        <f t="shared" ref="B189:B252" si="98">QUOTIENT( D189-1,G190)+1</f>
        <v>3</v>
      </c>
      <c r="C189" s="22">
        <f t="shared" ref="C189" si="99">D189-(B189-1)*G190</f>
        <v>3</v>
      </c>
      <c r="D189" s="22">
        <f>COUNT($D$8:$D188)+1</f>
        <v>21</v>
      </c>
      <c r="E189" s="4"/>
    </row>
    <row r="190" spans="2:13">
      <c r="E190" s="4">
        <f t="shared" si="66"/>
        <v>190</v>
      </c>
      <c r="F190" s="9" t="s">
        <v>93</v>
      </c>
      <c r="G190" s="9" t="s">
        <v>40</v>
      </c>
      <c r="H190" s="9" t="s">
        <v>40</v>
      </c>
      <c r="J190" s="9" t="s">
        <v>241</v>
      </c>
      <c r="M190" s="23">
        <f t="shared" ref="M190:M253" si="100">J190+D189</f>
        <v>10221</v>
      </c>
    </row>
    <row r="191" spans="2:13">
      <c r="E191" s="4">
        <f t="shared" si="66"/>
        <v>191</v>
      </c>
      <c r="F191" s="9" t="s">
        <v>145</v>
      </c>
      <c r="G191" s="9">
        <v>150</v>
      </c>
      <c r="H191" s="9" t="s">
        <v>232</v>
      </c>
      <c r="M191" s="23">
        <f t="shared" ref="M191" si="101">$G$11+B189*$H$11</f>
        <v>450</v>
      </c>
    </row>
    <row r="192" spans="2:13">
      <c r="E192" s="4">
        <f t="shared" si="66"/>
        <v>192</v>
      </c>
      <c r="F192" s="9" t="s">
        <v>29</v>
      </c>
      <c r="M192" s="23" t="s">
        <v>230</v>
      </c>
    </row>
    <row r="193" spans="2:13">
      <c r="E193" s="4">
        <f t="shared" si="66"/>
        <v>193</v>
      </c>
      <c r="F193" s="9" t="s">
        <v>118</v>
      </c>
      <c r="M193" s="23" t="s">
        <v>231</v>
      </c>
    </row>
    <row r="194" spans="2:13">
      <c r="E194" s="4">
        <f t="shared" ref="E194:E257" si="102">ROW(E194)</f>
        <v>194</v>
      </c>
      <c r="F194" s="9" t="s">
        <v>114</v>
      </c>
      <c r="M194" s="23" t="b">
        <v>1</v>
      </c>
    </row>
    <row r="195" spans="2:13">
      <c r="E195" s="4">
        <f t="shared" si="102"/>
        <v>195</v>
      </c>
      <c r="F195" s="9" t="s">
        <v>98</v>
      </c>
      <c r="G195" s="9" t="s">
        <v>233</v>
      </c>
      <c r="H195" s="9">
        <v>6</v>
      </c>
      <c r="K195" s="9" t="s">
        <v>136</v>
      </c>
      <c r="M195" s="23" t="str">
        <f t="shared" ref="M195" si="103">CONCATENATE($G$15+MOD(C189-1,$G$10)+1,",",$H$15)</f>
        <v>-2,6</v>
      </c>
    </row>
    <row r="196" spans="2:13">
      <c r="E196" s="4">
        <f t="shared" si="102"/>
        <v>196</v>
      </c>
      <c r="F196" s="9" t="s">
        <v>30</v>
      </c>
      <c r="M196" s="23">
        <v>3.5</v>
      </c>
    </row>
    <row r="197" spans="2:13">
      <c r="E197" s="4">
        <f t="shared" si="102"/>
        <v>197</v>
      </c>
      <c r="F197" s="9" t="s">
        <v>31</v>
      </c>
      <c r="L197" s="9" t="s">
        <v>134</v>
      </c>
      <c r="M197" s="23">
        <v>270</v>
      </c>
    </row>
    <row r="198" spans="2:13">
      <c r="B198" s="22">
        <f t="shared" ref="B198:B261" si="104">QUOTIENT( D198-1,G199)+1</f>
        <v>3</v>
      </c>
      <c r="C198" s="22">
        <f t="shared" ref="C198" si="105">D198-(B198-1)*G199</f>
        <v>4</v>
      </c>
      <c r="D198" s="22">
        <f>COUNT($D$8:$D197)+1</f>
        <v>22</v>
      </c>
      <c r="E198" s="4"/>
    </row>
    <row r="199" spans="2:13">
      <c r="E199" s="4">
        <f t="shared" si="102"/>
        <v>199</v>
      </c>
      <c r="F199" s="9" t="s">
        <v>93</v>
      </c>
      <c r="G199" s="9" t="s">
        <v>40</v>
      </c>
      <c r="H199" s="9" t="s">
        <v>40</v>
      </c>
      <c r="J199" s="9" t="s">
        <v>241</v>
      </c>
      <c r="M199" s="23">
        <f t="shared" ref="M199:M262" si="106">J199+D198</f>
        <v>10222</v>
      </c>
    </row>
    <row r="200" spans="2:13">
      <c r="E200" s="4">
        <f t="shared" si="102"/>
        <v>200</v>
      </c>
      <c r="F200" s="9" t="s">
        <v>145</v>
      </c>
      <c r="G200" s="9">
        <v>150</v>
      </c>
      <c r="H200" s="9" t="s">
        <v>232</v>
      </c>
      <c r="M200" s="23">
        <f t="shared" ref="M200" si="107">$G$11+B198*$H$11</f>
        <v>450</v>
      </c>
    </row>
    <row r="201" spans="2:13">
      <c r="E201" s="4">
        <f t="shared" si="102"/>
        <v>201</v>
      </c>
      <c r="F201" s="9" t="s">
        <v>29</v>
      </c>
      <c r="M201" s="23" t="s">
        <v>230</v>
      </c>
    </row>
    <row r="202" spans="2:13">
      <c r="E202" s="4">
        <f t="shared" si="102"/>
        <v>202</v>
      </c>
      <c r="F202" s="9" t="s">
        <v>118</v>
      </c>
      <c r="M202" s="23" t="s">
        <v>231</v>
      </c>
    </row>
    <row r="203" spans="2:13">
      <c r="E203" s="4">
        <f t="shared" si="102"/>
        <v>203</v>
      </c>
      <c r="F203" s="9" t="s">
        <v>114</v>
      </c>
      <c r="M203" s="23" t="b">
        <v>1</v>
      </c>
    </row>
    <row r="204" spans="2:13">
      <c r="E204" s="4">
        <f t="shared" si="102"/>
        <v>204</v>
      </c>
      <c r="F204" s="9" t="s">
        <v>98</v>
      </c>
      <c r="G204" s="9" t="s">
        <v>233</v>
      </c>
      <c r="H204" s="9">
        <v>6</v>
      </c>
      <c r="K204" s="9" t="s">
        <v>136</v>
      </c>
      <c r="M204" s="23" t="str">
        <f t="shared" ref="M204" si="108">CONCATENATE($G$15+MOD(C198-1,$G$10)+1,",",$H$15)</f>
        <v>-1,6</v>
      </c>
    </row>
    <row r="205" spans="2:13">
      <c r="E205" s="4">
        <f t="shared" si="102"/>
        <v>205</v>
      </c>
      <c r="F205" s="9" t="s">
        <v>30</v>
      </c>
      <c r="M205" s="23">
        <v>3.5</v>
      </c>
    </row>
    <row r="206" spans="2:13">
      <c r="E206" s="4">
        <f t="shared" si="102"/>
        <v>206</v>
      </c>
      <c r="F206" s="9" t="s">
        <v>31</v>
      </c>
      <c r="L206" s="9" t="s">
        <v>134</v>
      </c>
      <c r="M206" s="23">
        <v>270</v>
      </c>
    </row>
    <row r="207" spans="2:13">
      <c r="B207" s="22">
        <f t="shared" ref="B207:B270" si="109">QUOTIENT( D207-1,G208)+1</f>
        <v>3</v>
      </c>
      <c r="C207" s="22">
        <f t="shared" ref="C207" si="110">D207-(B207-1)*G208</f>
        <v>5</v>
      </c>
      <c r="D207" s="22">
        <f>COUNT($D$8:$D206)+1</f>
        <v>23</v>
      </c>
      <c r="E207" s="4"/>
    </row>
    <row r="208" spans="2:13">
      <c r="E208" s="4">
        <f t="shared" si="102"/>
        <v>208</v>
      </c>
      <c r="F208" s="9" t="s">
        <v>93</v>
      </c>
      <c r="G208" s="9" t="s">
        <v>40</v>
      </c>
      <c r="H208" s="9" t="s">
        <v>40</v>
      </c>
      <c r="J208" s="9" t="s">
        <v>241</v>
      </c>
      <c r="M208" s="23">
        <f t="shared" ref="M208:M271" si="111">J208+D207</f>
        <v>10223</v>
      </c>
    </row>
    <row r="209" spans="2:13">
      <c r="E209" s="4">
        <f t="shared" si="102"/>
        <v>209</v>
      </c>
      <c r="F209" s="9" t="s">
        <v>145</v>
      </c>
      <c r="G209" s="9">
        <v>150</v>
      </c>
      <c r="H209" s="9" t="s">
        <v>232</v>
      </c>
      <c r="M209" s="23">
        <f t="shared" ref="M209" si="112">$G$11+B207*$H$11</f>
        <v>450</v>
      </c>
    </row>
    <row r="210" spans="2:13">
      <c r="E210" s="4">
        <f t="shared" si="102"/>
        <v>210</v>
      </c>
      <c r="F210" s="9" t="s">
        <v>29</v>
      </c>
      <c r="M210" s="23" t="s">
        <v>230</v>
      </c>
    </row>
    <row r="211" spans="2:13">
      <c r="E211" s="4">
        <f t="shared" si="102"/>
        <v>211</v>
      </c>
      <c r="F211" s="9" t="s">
        <v>118</v>
      </c>
      <c r="M211" s="23" t="s">
        <v>231</v>
      </c>
    </row>
    <row r="212" spans="2:13">
      <c r="E212" s="4">
        <f t="shared" si="102"/>
        <v>212</v>
      </c>
      <c r="F212" s="9" t="s">
        <v>114</v>
      </c>
      <c r="M212" s="23" t="b">
        <v>1</v>
      </c>
    </row>
    <row r="213" spans="2:13">
      <c r="E213" s="4">
        <f t="shared" si="102"/>
        <v>213</v>
      </c>
      <c r="F213" s="9" t="s">
        <v>98</v>
      </c>
      <c r="G213" s="9" t="s">
        <v>233</v>
      </c>
      <c r="H213" s="9">
        <v>6</v>
      </c>
      <c r="K213" s="9" t="s">
        <v>136</v>
      </c>
      <c r="M213" s="23" t="str">
        <f t="shared" ref="M213" si="113">CONCATENATE($G$15+MOD(C207-1,$G$10)+1,",",$H$15)</f>
        <v>0,6</v>
      </c>
    </row>
    <row r="214" spans="2:13">
      <c r="E214" s="4">
        <f t="shared" si="102"/>
        <v>214</v>
      </c>
      <c r="F214" s="9" t="s">
        <v>30</v>
      </c>
      <c r="M214" s="23">
        <v>3.5</v>
      </c>
    </row>
    <row r="215" spans="2:13">
      <c r="E215" s="4">
        <f t="shared" si="102"/>
        <v>215</v>
      </c>
      <c r="F215" s="9" t="s">
        <v>31</v>
      </c>
      <c r="L215" s="9" t="s">
        <v>134</v>
      </c>
      <c r="M215" s="23">
        <v>270</v>
      </c>
    </row>
    <row r="216" spans="2:13">
      <c r="B216" s="22">
        <f t="shared" ref="B216:B279" si="114">QUOTIENT( D216-1,G217)+1</f>
        <v>3</v>
      </c>
      <c r="C216" s="22">
        <f t="shared" ref="C216" si="115">D216-(B216-1)*G217</f>
        <v>6</v>
      </c>
      <c r="D216" s="22">
        <f>COUNT($D$8:$D215)+1</f>
        <v>24</v>
      </c>
      <c r="E216" s="4"/>
    </row>
    <row r="217" spans="2:13">
      <c r="E217" s="4">
        <f t="shared" si="102"/>
        <v>217</v>
      </c>
      <c r="F217" s="9" t="s">
        <v>93</v>
      </c>
      <c r="G217" s="9" t="s">
        <v>40</v>
      </c>
      <c r="H217" s="9" t="s">
        <v>40</v>
      </c>
      <c r="J217" s="9" t="s">
        <v>241</v>
      </c>
      <c r="M217" s="23">
        <f t="shared" ref="M217:M280" si="116">J217+D216</f>
        <v>10224</v>
      </c>
    </row>
    <row r="218" spans="2:13">
      <c r="E218" s="4">
        <f t="shared" si="102"/>
        <v>218</v>
      </c>
      <c r="F218" s="9" t="s">
        <v>145</v>
      </c>
      <c r="G218" s="9">
        <v>150</v>
      </c>
      <c r="H218" s="9" t="s">
        <v>232</v>
      </c>
      <c r="M218" s="23">
        <f t="shared" ref="M218" si="117">$G$11+B216*$H$11</f>
        <v>450</v>
      </c>
    </row>
    <row r="219" spans="2:13">
      <c r="E219" s="4">
        <f t="shared" si="102"/>
        <v>219</v>
      </c>
      <c r="F219" s="9" t="s">
        <v>29</v>
      </c>
      <c r="M219" s="23" t="s">
        <v>230</v>
      </c>
    </row>
    <row r="220" spans="2:13">
      <c r="E220" s="4">
        <f t="shared" si="102"/>
        <v>220</v>
      </c>
      <c r="F220" s="9" t="s">
        <v>118</v>
      </c>
      <c r="M220" s="23" t="s">
        <v>231</v>
      </c>
    </row>
    <row r="221" spans="2:13">
      <c r="E221" s="4">
        <f t="shared" si="102"/>
        <v>221</v>
      </c>
      <c r="F221" s="9" t="s">
        <v>114</v>
      </c>
      <c r="M221" s="23" t="b">
        <v>1</v>
      </c>
    </row>
    <row r="222" spans="2:13">
      <c r="E222" s="4">
        <f t="shared" si="102"/>
        <v>222</v>
      </c>
      <c r="F222" s="9" t="s">
        <v>98</v>
      </c>
      <c r="G222" s="9" t="s">
        <v>233</v>
      </c>
      <c r="H222" s="9">
        <v>6</v>
      </c>
      <c r="K222" s="9" t="s">
        <v>136</v>
      </c>
      <c r="M222" s="23" t="str">
        <f t="shared" ref="M222" si="118">CONCATENATE($G$15+MOD(C216-1,$G$10)+1,",",$H$15)</f>
        <v>1,6</v>
      </c>
    </row>
    <row r="223" spans="2:13">
      <c r="E223" s="4">
        <f t="shared" si="102"/>
        <v>223</v>
      </c>
      <c r="F223" s="9" t="s">
        <v>30</v>
      </c>
      <c r="M223" s="23">
        <v>3.5</v>
      </c>
    </row>
    <row r="224" spans="2:13">
      <c r="E224" s="4">
        <f t="shared" si="102"/>
        <v>224</v>
      </c>
      <c r="F224" s="9" t="s">
        <v>31</v>
      </c>
      <c r="L224" s="9" t="s">
        <v>134</v>
      </c>
      <c r="M224" s="23">
        <v>270</v>
      </c>
    </row>
    <row r="225" spans="2:13">
      <c r="B225" s="22">
        <f t="shared" ref="B225:B288" si="119">QUOTIENT( D225-1,G226)+1</f>
        <v>3</v>
      </c>
      <c r="C225" s="22">
        <f t="shared" ref="C225" si="120">D225-(B225-1)*G226</f>
        <v>7</v>
      </c>
      <c r="D225" s="22">
        <f>COUNT($D$8:$D224)+1</f>
        <v>25</v>
      </c>
      <c r="E225" s="4"/>
    </row>
    <row r="226" spans="2:13">
      <c r="E226" s="4">
        <f t="shared" si="102"/>
        <v>226</v>
      </c>
      <c r="F226" s="9" t="s">
        <v>93</v>
      </c>
      <c r="G226" s="9" t="s">
        <v>40</v>
      </c>
      <c r="H226" s="9" t="s">
        <v>40</v>
      </c>
      <c r="J226" s="9" t="s">
        <v>241</v>
      </c>
      <c r="M226" s="23">
        <f t="shared" ref="M226:M289" si="121">J226+D225</f>
        <v>10225</v>
      </c>
    </row>
    <row r="227" spans="2:13">
      <c r="E227" s="4">
        <f t="shared" si="102"/>
        <v>227</v>
      </c>
      <c r="F227" s="9" t="s">
        <v>145</v>
      </c>
      <c r="G227" s="9">
        <v>150</v>
      </c>
      <c r="H227" s="9" t="s">
        <v>232</v>
      </c>
      <c r="M227" s="23">
        <f t="shared" ref="M227" si="122">$G$11+B225*$H$11</f>
        <v>450</v>
      </c>
    </row>
    <row r="228" spans="2:13">
      <c r="E228" s="4">
        <f t="shared" si="102"/>
        <v>228</v>
      </c>
      <c r="F228" s="9" t="s">
        <v>29</v>
      </c>
      <c r="M228" s="23" t="s">
        <v>230</v>
      </c>
    </row>
    <row r="229" spans="2:13">
      <c r="E229" s="4">
        <f t="shared" si="102"/>
        <v>229</v>
      </c>
      <c r="F229" s="9" t="s">
        <v>118</v>
      </c>
      <c r="M229" s="23" t="s">
        <v>231</v>
      </c>
    </row>
    <row r="230" spans="2:13">
      <c r="E230" s="4">
        <f t="shared" si="102"/>
        <v>230</v>
      </c>
      <c r="F230" s="9" t="s">
        <v>114</v>
      </c>
      <c r="M230" s="23" t="b">
        <v>1</v>
      </c>
    </row>
    <row r="231" spans="2:13">
      <c r="E231" s="4">
        <f t="shared" si="102"/>
        <v>231</v>
      </c>
      <c r="F231" s="9" t="s">
        <v>98</v>
      </c>
      <c r="G231" s="9" t="s">
        <v>233</v>
      </c>
      <c r="H231" s="9">
        <v>6</v>
      </c>
      <c r="K231" s="9" t="s">
        <v>136</v>
      </c>
      <c r="M231" s="23" t="str">
        <f t="shared" ref="M231" si="123">CONCATENATE($G$15+MOD(C225-1,$G$10)+1,",",$H$15)</f>
        <v>2,6</v>
      </c>
    </row>
    <row r="232" spans="2:13">
      <c r="E232" s="4">
        <f t="shared" si="102"/>
        <v>232</v>
      </c>
      <c r="F232" s="9" t="s">
        <v>30</v>
      </c>
      <c r="M232" s="23">
        <v>3.5</v>
      </c>
    </row>
    <row r="233" spans="2:13">
      <c r="E233" s="4">
        <f t="shared" si="102"/>
        <v>233</v>
      </c>
      <c r="F233" s="9" t="s">
        <v>31</v>
      </c>
      <c r="L233" s="9" t="s">
        <v>134</v>
      </c>
      <c r="M233" s="23">
        <v>270</v>
      </c>
    </row>
    <row r="234" spans="2:13">
      <c r="B234" s="22">
        <f t="shared" ref="B234:B297" si="124">QUOTIENT( D234-1,G235)+1</f>
        <v>3</v>
      </c>
      <c r="C234" s="22">
        <f t="shared" ref="C234" si="125">D234-(B234-1)*G235</f>
        <v>8</v>
      </c>
      <c r="D234" s="22">
        <f>COUNT($D$8:$D233)+1</f>
        <v>26</v>
      </c>
      <c r="E234" s="4"/>
    </row>
    <row r="235" spans="2:13">
      <c r="E235" s="4">
        <f t="shared" si="102"/>
        <v>235</v>
      </c>
      <c r="F235" s="9" t="s">
        <v>93</v>
      </c>
      <c r="G235" s="9" t="s">
        <v>40</v>
      </c>
      <c r="H235" s="9" t="s">
        <v>40</v>
      </c>
      <c r="J235" s="9" t="s">
        <v>241</v>
      </c>
      <c r="M235" s="23">
        <f t="shared" ref="M235:M298" si="126">J235+D234</f>
        <v>10226</v>
      </c>
    </row>
    <row r="236" spans="2:13">
      <c r="E236" s="4">
        <f t="shared" si="102"/>
        <v>236</v>
      </c>
      <c r="F236" s="9" t="s">
        <v>145</v>
      </c>
      <c r="G236" s="9">
        <v>150</v>
      </c>
      <c r="H236" s="9" t="s">
        <v>232</v>
      </c>
      <c r="M236" s="23">
        <f t="shared" ref="M236" si="127">$G$11+B234*$H$11</f>
        <v>450</v>
      </c>
    </row>
    <row r="237" spans="2:13">
      <c r="E237" s="4">
        <f t="shared" si="102"/>
        <v>237</v>
      </c>
      <c r="F237" s="9" t="s">
        <v>29</v>
      </c>
      <c r="M237" s="23" t="s">
        <v>230</v>
      </c>
    </row>
    <row r="238" spans="2:13">
      <c r="E238" s="4">
        <f t="shared" si="102"/>
        <v>238</v>
      </c>
      <c r="F238" s="9" t="s">
        <v>118</v>
      </c>
      <c r="M238" s="23" t="s">
        <v>231</v>
      </c>
    </row>
    <row r="239" spans="2:13">
      <c r="E239" s="4">
        <f t="shared" si="102"/>
        <v>239</v>
      </c>
      <c r="F239" s="9" t="s">
        <v>114</v>
      </c>
      <c r="M239" s="23" t="b">
        <v>1</v>
      </c>
    </row>
    <row r="240" spans="2:13">
      <c r="E240" s="4">
        <f t="shared" si="102"/>
        <v>240</v>
      </c>
      <c r="F240" s="9" t="s">
        <v>98</v>
      </c>
      <c r="G240" s="9" t="s">
        <v>233</v>
      </c>
      <c r="H240" s="9">
        <v>6</v>
      </c>
      <c r="K240" s="9" t="s">
        <v>136</v>
      </c>
      <c r="M240" s="23" t="str">
        <f t="shared" ref="M240" si="128">CONCATENATE($G$15+MOD(C234-1,$G$10)+1,",",$H$15)</f>
        <v>3,6</v>
      </c>
    </row>
    <row r="241" spans="2:13">
      <c r="E241" s="4">
        <f t="shared" si="102"/>
        <v>241</v>
      </c>
      <c r="F241" s="9" t="s">
        <v>30</v>
      </c>
      <c r="M241" s="23">
        <v>3.5</v>
      </c>
    </row>
    <row r="242" spans="2:13">
      <c r="E242" s="4">
        <f t="shared" si="102"/>
        <v>242</v>
      </c>
      <c r="F242" s="9" t="s">
        <v>31</v>
      </c>
      <c r="L242" s="9" t="s">
        <v>134</v>
      </c>
      <c r="M242" s="23">
        <v>270</v>
      </c>
    </row>
    <row r="243" spans="2:13">
      <c r="B243" s="22">
        <f t="shared" ref="B243:B306" si="129">QUOTIENT( D243-1,G244)+1</f>
        <v>3</v>
      </c>
      <c r="C243" s="22">
        <f t="shared" ref="C243" si="130">D243-(B243-1)*G244</f>
        <v>9</v>
      </c>
      <c r="D243" s="22">
        <f>COUNT($D$8:$D242)+1</f>
        <v>27</v>
      </c>
      <c r="E243" s="4"/>
    </row>
    <row r="244" spans="2:13">
      <c r="E244" s="4">
        <f t="shared" si="102"/>
        <v>244</v>
      </c>
      <c r="F244" s="9" t="s">
        <v>93</v>
      </c>
      <c r="G244" s="9" t="s">
        <v>40</v>
      </c>
      <c r="H244" s="9" t="s">
        <v>40</v>
      </c>
      <c r="J244" s="9" t="s">
        <v>241</v>
      </c>
      <c r="M244" s="23">
        <f t="shared" ref="M244:M307" si="131">J244+D243</f>
        <v>10227</v>
      </c>
    </row>
    <row r="245" spans="2:13">
      <c r="E245" s="4">
        <f t="shared" si="102"/>
        <v>245</v>
      </c>
      <c r="F245" s="9" t="s">
        <v>145</v>
      </c>
      <c r="G245" s="9">
        <v>150</v>
      </c>
      <c r="H245" s="9" t="s">
        <v>232</v>
      </c>
      <c r="M245" s="23">
        <f t="shared" ref="M245" si="132">$G$11+B243*$H$11</f>
        <v>450</v>
      </c>
    </row>
    <row r="246" spans="2:13">
      <c r="E246" s="4">
        <f t="shared" si="102"/>
        <v>246</v>
      </c>
      <c r="F246" s="9" t="s">
        <v>29</v>
      </c>
      <c r="M246" s="23" t="s">
        <v>230</v>
      </c>
    </row>
    <row r="247" spans="2:13">
      <c r="E247" s="4">
        <f t="shared" si="102"/>
        <v>247</v>
      </c>
      <c r="F247" s="9" t="s">
        <v>118</v>
      </c>
      <c r="M247" s="23" t="s">
        <v>231</v>
      </c>
    </row>
    <row r="248" spans="2:13">
      <c r="E248" s="4">
        <f t="shared" si="102"/>
        <v>248</v>
      </c>
      <c r="F248" s="9" t="s">
        <v>114</v>
      </c>
      <c r="M248" s="23" t="b">
        <v>1</v>
      </c>
    </row>
    <row r="249" spans="2:13">
      <c r="E249" s="4">
        <f t="shared" si="102"/>
        <v>249</v>
      </c>
      <c r="F249" s="9" t="s">
        <v>98</v>
      </c>
      <c r="G249" s="9" t="s">
        <v>233</v>
      </c>
      <c r="H249" s="9">
        <v>6</v>
      </c>
      <c r="K249" s="9" t="s">
        <v>136</v>
      </c>
      <c r="M249" s="23" t="str">
        <f t="shared" ref="M249" si="133">CONCATENATE($G$15+MOD(C243-1,$G$10)+1,",",$H$15)</f>
        <v>4,6</v>
      </c>
    </row>
    <row r="250" spans="2:13">
      <c r="E250" s="4">
        <f t="shared" si="102"/>
        <v>250</v>
      </c>
      <c r="F250" s="9" t="s">
        <v>30</v>
      </c>
      <c r="M250" s="23">
        <v>3.5</v>
      </c>
    </row>
    <row r="251" spans="2:13">
      <c r="E251" s="4">
        <f t="shared" si="102"/>
        <v>251</v>
      </c>
      <c r="F251" s="9" t="s">
        <v>31</v>
      </c>
      <c r="L251" s="9" t="s">
        <v>134</v>
      </c>
      <c r="M251" s="23">
        <v>270</v>
      </c>
    </row>
    <row r="252" spans="2:13">
      <c r="B252" s="22">
        <f t="shared" ref="B252:B315" si="134">QUOTIENT( D252-1,G253)+1</f>
        <v>4</v>
      </c>
      <c r="C252" s="22">
        <f t="shared" ref="C252" si="135">D252-(B252-1)*G253</f>
        <v>1</v>
      </c>
      <c r="D252" s="22">
        <f>COUNT($D$8:$D251)+1</f>
        <v>28</v>
      </c>
      <c r="E252" s="4"/>
    </row>
    <row r="253" spans="2:13">
      <c r="E253" s="4">
        <f t="shared" si="102"/>
        <v>253</v>
      </c>
      <c r="F253" s="9" t="s">
        <v>93</v>
      </c>
      <c r="G253" s="9" t="s">
        <v>40</v>
      </c>
      <c r="H253" s="9" t="s">
        <v>40</v>
      </c>
      <c r="J253" s="9" t="s">
        <v>241</v>
      </c>
      <c r="M253" s="23">
        <f t="shared" ref="M253:M316" si="136">J253+D252</f>
        <v>10228</v>
      </c>
    </row>
    <row r="254" spans="2:13">
      <c r="E254" s="4">
        <f t="shared" si="102"/>
        <v>254</v>
      </c>
      <c r="F254" s="9" t="s">
        <v>145</v>
      </c>
      <c r="G254" s="9">
        <v>150</v>
      </c>
      <c r="H254" s="9" t="s">
        <v>232</v>
      </c>
      <c r="M254" s="23">
        <f t="shared" ref="M254" si="137">$G$11+B252*$H$11</f>
        <v>550</v>
      </c>
    </row>
    <row r="255" spans="2:13">
      <c r="E255" s="4">
        <f t="shared" si="102"/>
        <v>255</v>
      </c>
      <c r="F255" s="9" t="s">
        <v>29</v>
      </c>
      <c r="M255" s="23" t="s">
        <v>230</v>
      </c>
    </row>
    <row r="256" spans="2:13">
      <c r="E256" s="4">
        <f t="shared" si="102"/>
        <v>256</v>
      </c>
      <c r="F256" s="9" t="s">
        <v>118</v>
      </c>
      <c r="M256" s="23" t="s">
        <v>231</v>
      </c>
    </row>
    <row r="257" spans="2:13">
      <c r="E257" s="4">
        <f t="shared" si="102"/>
        <v>257</v>
      </c>
      <c r="F257" s="9" t="s">
        <v>114</v>
      </c>
      <c r="M257" s="23" t="b">
        <v>1</v>
      </c>
    </row>
    <row r="258" spans="2:13">
      <c r="E258" s="4">
        <f t="shared" ref="E258:E321" si="138">ROW(E258)</f>
        <v>258</v>
      </c>
      <c r="F258" s="9" t="s">
        <v>98</v>
      </c>
      <c r="G258" s="9" t="s">
        <v>233</v>
      </c>
      <c r="H258" s="9">
        <v>6</v>
      </c>
      <c r="K258" s="9" t="s">
        <v>136</v>
      </c>
      <c r="M258" s="23" t="str">
        <f t="shared" ref="M258" si="139">CONCATENATE($G$15+MOD(C252-1,$G$10)+1,",",$H$15)</f>
        <v>-4,6</v>
      </c>
    </row>
    <row r="259" spans="2:13">
      <c r="E259" s="4">
        <f t="shared" si="138"/>
        <v>259</v>
      </c>
      <c r="F259" s="9" t="s">
        <v>30</v>
      </c>
      <c r="M259" s="23">
        <v>3.5</v>
      </c>
    </row>
    <row r="260" spans="2:13">
      <c r="E260" s="4">
        <f t="shared" si="138"/>
        <v>260</v>
      </c>
      <c r="F260" s="9" t="s">
        <v>31</v>
      </c>
      <c r="L260" s="9" t="s">
        <v>134</v>
      </c>
      <c r="M260" s="23">
        <v>270</v>
      </c>
    </row>
    <row r="261" spans="2:13">
      <c r="B261" s="22">
        <f t="shared" ref="B261:B324" si="140">QUOTIENT( D261-1,G262)+1</f>
        <v>4</v>
      </c>
      <c r="C261" s="22">
        <f t="shared" ref="C261" si="141">D261-(B261-1)*G262</f>
        <v>2</v>
      </c>
      <c r="D261" s="22">
        <f>COUNT($D$8:$D260)+1</f>
        <v>29</v>
      </c>
      <c r="E261" s="4"/>
    </row>
    <row r="262" spans="2:13">
      <c r="E262" s="4">
        <f t="shared" si="138"/>
        <v>262</v>
      </c>
      <c r="F262" s="9" t="s">
        <v>93</v>
      </c>
      <c r="G262" s="9" t="s">
        <v>40</v>
      </c>
      <c r="H262" s="9" t="s">
        <v>40</v>
      </c>
      <c r="J262" s="9" t="s">
        <v>241</v>
      </c>
      <c r="M262" s="23">
        <f t="shared" ref="M262:M325" si="142">J262+D261</f>
        <v>10229</v>
      </c>
    </row>
    <row r="263" spans="2:13">
      <c r="E263" s="4">
        <f t="shared" si="138"/>
        <v>263</v>
      </c>
      <c r="F263" s="9" t="s">
        <v>145</v>
      </c>
      <c r="G263" s="9">
        <v>150</v>
      </c>
      <c r="H263" s="9" t="s">
        <v>232</v>
      </c>
      <c r="M263" s="23">
        <f t="shared" ref="M263" si="143">$G$11+B261*$H$11</f>
        <v>550</v>
      </c>
    </row>
    <row r="264" spans="2:13">
      <c r="E264" s="4">
        <f t="shared" si="138"/>
        <v>264</v>
      </c>
      <c r="F264" s="9" t="s">
        <v>29</v>
      </c>
      <c r="M264" s="23" t="s">
        <v>230</v>
      </c>
    </row>
    <row r="265" spans="2:13">
      <c r="E265" s="4">
        <f t="shared" si="138"/>
        <v>265</v>
      </c>
      <c r="F265" s="9" t="s">
        <v>118</v>
      </c>
      <c r="M265" s="23" t="s">
        <v>231</v>
      </c>
    </row>
    <row r="266" spans="2:13">
      <c r="E266" s="4">
        <f t="shared" si="138"/>
        <v>266</v>
      </c>
      <c r="F266" s="9" t="s">
        <v>114</v>
      </c>
      <c r="M266" s="23" t="b">
        <v>1</v>
      </c>
    </row>
    <row r="267" spans="2:13">
      <c r="E267" s="4">
        <f t="shared" si="138"/>
        <v>267</v>
      </c>
      <c r="F267" s="9" t="s">
        <v>98</v>
      </c>
      <c r="G267" s="9" t="s">
        <v>233</v>
      </c>
      <c r="H267" s="9">
        <v>6</v>
      </c>
      <c r="K267" s="9" t="s">
        <v>136</v>
      </c>
      <c r="M267" s="23" t="str">
        <f t="shared" ref="M267" si="144">CONCATENATE($G$15+MOD(C261-1,$G$10)+1,",",$H$15)</f>
        <v>-3,6</v>
      </c>
    </row>
    <row r="268" spans="2:13">
      <c r="E268" s="4">
        <f t="shared" si="138"/>
        <v>268</v>
      </c>
      <c r="F268" s="9" t="s">
        <v>30</v>
      </c>
      <c r="M268" s="23">
        <v>3.5</v>
      </c>
    </row>
    <row r="269" spans="2:13">
      <c r="E269" s="4">
        <f t="shared" si="138"/>
        <v>269</v>
      </c>
      <c r="F269" s="9" t="s">
        <v>31</v>
      </c>
      <c r="L269" s="9" t="s">
        <v>134</v>
      </c>
      <c r="M269" s="23">
        <v>270</v>
      </c>
    </row>
    <row r="270" spans="2:13">
      <c r="B270" s="22">
        <f t="shared" ref="B270:B333" si="145">QUOTIENT( D270-1,G271)+1</f>
        <v>4</v>
      </c>
      <c r="C270" s="22">
        <f t="shared" ref="C270" si="146">D270-(B270-1)*G271</f>
        <v>3</v>
      </c>
      <c r="D270" s="22">
        <f>COUNT($D$8:$D269)+1</f>
        <v>30</v>
      </c>
      <c r="E270" s="4"/>
    </row>
    <row r="271" spans="2:13">
      <c r="E271" s="4">
        <f t="shared" si="138"/>
        <v>271</v>
      </c>
      <c r="F271" s="9" t="s">
        <v>93</v>
      </c>
      <c r="G271" s="9" t="s">
        <v>40</v>
      </c>
      <c r="H271" s="9" t="s">
        <v>40</v>
      </c>
      <c r="J271" s="9" t="s">
        <v>241</v>
      </c>
      <c r="M271" s="23">
        <f t="shared" ref="M271:M334" si="147">J271+D270</f>
        <v>10230</v>
      </c>
    </row>
    <row r="272" spans="2:13">
      <c r="E272" s="4">
        <f t="shared" si="138"/>
        <v>272</v>
      </c>
      <c r="F272" s="9" t="s">
        <v>145</v>
      </c>
      <c r="G272" s="9">
        <v>150</v>
      </c>
      <c r="H272" s="9" t="s">
        <v>232</v>
      </c>
      <c r="M272" s="23">
        <f t="shared" ref="M272" si="148">$G$11+B270*$H$11</f>
        <v>550</v>
      </c>
    </row>
    <row r="273" spans="2:13">
      <c r="E273" s="4">
        <f t="shared" si="138"/>
        <v>273</v>
      </c>
      <c r="F273" s="9" t="s">
        <v>29</v>
      </c>
      <c r="M273" s="23" t="s">
        <v>230</v>
      </c>
    </row>
    <row r="274" spans="2:13">
      <c r="E274" s="4">
        <f t="shared" si="138"/>
        <v>274</v>
      </c>
      <c r="F274" s="9" t="s">
        <v>118</v>
      </c>
      <c r="M274" s="23" t="s">
        <v>231</v>
      </c>
    </row>
    <row r="275" spans="2:13">
      <c r="E275" s="4">
        <f t="shared" si="138"/>
        <v>275</v>
      </c>
      <c r="F275" s="9" t="s">
        <v>114</v>
      </c>
      <c r="M275" s="23" t="b">
        <v>1</v>
      </c>
    </row>
    <row r="276" spans="2:13">
      <c r="E276" s="4">
        <f t="shared" si="138"/>
        <v>276</v>
      </c>
      <c r="F276" s="9" t="s">
        <v>98</v>
      </c>
      <c r="G276" s="9" t="s">
        <v>233</v>
      </c>
      <c r="H276" s="9">
        <v>6</v>
      </c>
      <c r="K276" s="9" t="s">
        <v>136</v>
      </c>
      <c r="M276" s="23" t="str">
        <f t="shared" ref="M276" si="149">CONCATENATE($G$15+MOD(C270-1,$G$10)+1,",",$H$15)</f>
        <v>-2,6</v>
      </c>
    </row>
    <row r="277" spans="2:13">
      <c r="E277" s="4">
        <f t="shared" si="138"/>
        <v>277</v>
      </c>
      <c r="F277" s="9" t="s">
        <v>30</v>
      </c>
      <c r="M277" s="23">
        <v>3.5</v>
      </c>
    </row>
    <row r="278" spans="2:13">
      <c r="E278" s="4">
        <f t="shared" si="138"/>
        <v>278</v>
      </c>
      <c r="F278" s="9" t="s">
        <v>31</v>
      </c>
      <c r="L278" s="9" t="s">
        <v>134</v>
      </c>
      <c r="M278" s="23">
        <v>270</v>
      </c>
    </row>
    <row r="279" spans="2:13">
      <c r="B279" s="22">
        <f t="shared" ref="B279:B342" si="150">QUOTIENT( D279-1,G280)+1</f>
        <v>4</v>
      </c>
      <c r="C279" s="22">
        <f t="shared" ref="C279" si="151">D279-(B279-1)*G280</f>
        <v>4</v>
      </c>
      <c r="D279" s="22">
        <f>COUNT($D$8:$D278)+1</f>
        <v>31</v>
      </c>
      <c r="E279" s="4"/>
    </row>
    <row r="280" spans="2:13">
      <c r="E280" s="4">
        <f t="shared" si="138"/>
        <v>280</v>
      </c>
      <c r="F280" s="9" t="s">
        <v>93</v>
      </c>
      <c r="G280" s="9" t="s">
        <v>40</v>
      </c>
      <c r="H280" s="9" t="s">
        <v>40</v>
      </c>
      <c r="J280" s="9" t="s">
        <v>241</v>
      </c>
      <c r="M280" s="23">
        <f t="shared" ref="M280:M343" si="152">J280+D279</f>
        <v>10231</v>
      </c>
    </row>
    <row r="281" spans="2:13">
      <c r="E281" s="4">
        <f t="shared" si="138"/>
        <v>281</v>
      </c>
      <c r="F281" s="9" t="s">
        <v>145</v>
      </c>
      <c r="G281" s="9">
        <v>150</v>
      </c>
      <c r="H281" s="9" t="s">
        <v>232</v>
      </c>
      <c r="M281" s="23">
        <f t="shared" ref="M281" si="153">$G$11+B279*$H$11</f>
        <v>550</v>
      </c>
    </row>
    <row r="282" spans="2:13">
      <c r="E282" s="4">
        <f t="shared" si="138"/>
        <v>282</v>
      </c>
      <c r="F282" s="9" t="s">
        <v>29</v>
      </c>
      <c r="M282" s="23" t="s">
        <v>230</v>
      </c>
    </row>
    <row r="283" spans="2:13">
      <c r="E283" s="4">
        <f t="shared" si="138"/>
        <v>283</v>
      </c>
      <c r="F283" s="9" t="s">
        <v>118</v>
      </c>
      <c r="M283" s="23" t="s">
        <v>231</v>
      </c>
    </row>
    <row r="284" spans="2:13">
      <c r="E284" s="4">
        <f t="shared" si="138"/>
        <v>284</v>
      </c>
      <c r="F284" s="9" t="s">
        <v>114</v>
      </c>
      <c r="M284" s="23" t="b">
        <v>1</v>
      </c>
    </row>
    <row r="285" spans="2:13">
      <c r="E285" s="4">
        <f t="shared" si="138"/>
        <v>285</v>
      </c>
      <c r="F285" s="9" t="s">
        <v>98</v>
      </c>
      <c r="G285" s="9" t="s">
        <v>233</v>
      </c>
      <c r="H285" s="9">
        <v>6</v>
      </c>
      <c r="K285" s="9" t="s">
        <v>136</v>
      </c>
      <c r="M285" s="23" t="str">
        <f t="shared" ref="M285" si="154">CONCATENATE($G$15+MOD(C279-1,$G$10)+1,",",$H$15)</f>
        <v>-1,6</v>
      </c>
    </row>
    <row r="286" spans="2:13">
      <c r="E286" s="4">
        <f t="shared" si="138"/>
        <v>286</v>
      </c>
      <c r="F286" s="9" t="s">
        <v>30</v>
      </c>
      <c r="M286" s="23">
        <v>3.5</v>
      </c>
    </row>
    <row r="287" spans="2:13">
      <c r="E287" s="4">
        <f t="shared" si="138"/>
        <v>287</v>
      </c>
      <c r="F287" s="9" t="s">
        <v>31</v>
      </c>
      <c r="L287" s="9" t="s">
        <v>134</v>
      </c>
      <c r="M287" s="23">
        <v>270</v>
      </c>
    </row>
    <row r="288" spans="2:13">
      <c r="B288" s="22">
        <f t="shared" ref="B288:B351" si="155">QUOTIENT( D288-1,G289)+1</f>
        <v>4</v>
      </c>
      <c r="C288" s="22">
        <f t="shared" ref="C288" si="156">D288-(B288-1)*G289</f>
        <v>5</v>
      </c>
      <c r="D288" s="22">
        <f>COUNT($D$8:$D287)+1</f>
        <v>32</v>
      </c>
      <c r="E288" s="4"/>
    </row>
    <row r="289" spans="2:13">
      <c r="E289" s="4">
        <f t="shared" si="138"/>
        <v>289</v>
      </c>
      <c r="F289" s="9" t="s">
        <v>93</v>
      </c>
      <c r="G289" s="9" t="s">
        <v>40</v>
      </c>
      <c r="H289" s="9" t="s">
        <v>40</v>
      </c>
      <c r="J289" s="9" t="s">
        <v>241</v>
      </c>
      <c r="M289" s="23">
        <f t="shared" ref="M289:M352" si="157">J289+D288</f>
        <v>10232</v>
      </c>
    </row>
    <row r="290" spans="2:13">
      <c r="E290" s="4">
        <f t="shared" si="138"/>
        <v>290</v>
      </c>
      <c r="F290" s="9" t="s">
        <v>145</v>
      </c>
      <c r="G290" s="9">
        <v>150</v>
      </c>
      <c r="H290" s="9" t="s">
        <v>232</v>
      </c>
      <c r="M290" s="23">
        <f t="shared" ref="M290" si="158">$G$11+B288*$H$11</f>
        <v>550</v>
      </c>
    </row>
    <row r="291" spans="2:13">
      <c r="E291" s="4">
        <f t="shared" si="138"/>
        <v>291</v>
      </c>
      <c r="F291" s="9" t="s">
        <v>29</v>
      </c>
      <c r="M291" s="23" t="s">
        <v>230</v>
      </c>
    </row>
    <row r="292" spans="2:13">
      <c r="E292" s="4">
        <f t="shared" si="138"/>
        <v>292</v>
      </c>
      <c r="F292" s="9" t="s">
        <v>118</v>
      </c>
      <c r="M292" s="23" t="s">
        <v>231</v>
      </c>
    </row>
    <row r="293" spans="2:13">
      <c r="E293" s="4">
        <f t="shared" si="138"/>
        <v>293</v>
      </c>
      <c r="F293" s="9" t="s">
        <v>114</v>
      </c>
      <c r="M293" s="23" t="b">
        <v>1</v>
      </c>
    </row>
    <row r="294" spans="2:13">
      <c r="E294" s="4">
        <f t="shared" si="138"/>
        <v>294</v>
      </c>
      <c r="F294" s="9" t="s">
        <v>98</v>
      </c>
      <c r="G294" s="9" t="s">
        <v>233</v>
      </c>
      <c r="H294" s="9">
        <v>6</v>
      </c>
      <c r="K294" s="9" t="s">
        <v>136</v>
      </c>
      <c r="M294" s="23" t="str">
        <f t="shared" ref="M294" si="159">CONCATENATE($G$15+MOD(C288-1,$G$10)+1,",",$H$15)</f>
        <v>0,6</v>
      </c>
    </row>
    <row r="295" spans="2:13">
      <c r="E295" s="4">
        <f t="shared" si="138"/>
        <v>295</v>
      </c>
      <c r="F295" s="9" t="s">
        <v>30</v>
      </c>
      <c r="M295" s="23">
        <v>3.5</v>
      </c>
    </row>
    <row r="296" spans="2:13">
      <c r="E296" s="4">
        <f t="shared" si="138"/>
        <v>296</v>
      </c>
      <c r="F296" s="9" t="s">
        <v>31</v>
      </c>
      <c r="L296" s="9" t="s">
        <v>134</v>
      </c>
      <c r="M296" s="23">
        <v>270</v>
      </c>
    </row>
    <row r="297" spans="2:13">
      <c r="B297" s="22">
        <f t="shared" ref="B297:B360" si="160">QUOTIENT( D297-1,G298)+1</f>
        <v>4</v>
      </c>
      <c r="C297" s="22">
        <f t="shared" ref="C297" si="161">D297-(B297-1)*G298</f>
        <v>6</v>
      </c>
      <c r="D297" s="22">
        <f>COUNT($D$8:$D296)+1</f>
        <v>33</v>
      </c>
      <c r="E297" s="4"/>
    </row>
    <row r="298" spans="2:13">
      <c r="E298" s="4">
        <f t="shared" si="138"/>
        <v>298</v>
      </c>
      <c r="F298" s="9" t="s">
        <v>93</v>
      </c>
      <c r="G298" s="9" t="s">
        <v>40</v>
      </c>
      <c r="H298" s="9" t="s">
        <v>40</v>
      </c>
      <c r="J298" s="9" t="s">
        <v>241</v>
      </c>
      <c r="M298" s="23">
        <f t="shared" ref="M298:M361" si="162">J298+D297</f>
        <v>10233</v>
      </c>
    </row>
    <row r="299" spans="2:13">
      <c r="E299" s="4">
        <f t="shared" si="138"/>
        <v>299</v>
      </c>
      <c r="F299" s="9" t="s">
        <v>145</v>
      </c>
      <c r="G299" s="9">
        <v>150</v>
      </c>
      <c r="H299" s="9" t="s">
        <v>232</v>
      </c>
      <c r="M299" s="23">
        <f t="shared" ref="M299" si="163">$G$11+B297*$H$11</f>
        <v>550</v>
      </c>
    </row>
    <row r="300" spans="2:13">
      <c r="E300" s="4">
        <f t="shared" si="138"/>
        <v>300</v>
      </c>
      <c r="F300" s="9" t="s">
        <v>29</v>
      </c>
      <c r="M300" s="23" t="s">
        <v>230</v>
      </c>
    </row>
    <row r="301" spans="2:13">
      <c r="E301" s="4">
        <f t="shared" si="138"/>
        <v>301</v>
      </c>
      <c r="F301" s="9" t="s">
        <v>118</v>
      </c>
      <c r="M301" s="23" t="s">
        <v>231</v>
      </c>
    </row>
    <row r="302" spans="2:13">
      <c r="E302" s="4">
        <f t="shared" si="138"/>
        <v>302</v>
      </c>
      <c r="F302" s="9" t="s">
        <v>114</v>
      </c>
      <c r="M302" s="23" t="b">
        <v>1</v>
      </c>
    </row>
    <row r="303" spans="2:13">
      <c r="E303" s="4">
        <f t="shared" si="138"/>
        <v>303</v>
      </c>
      <c r="F303" s="9" t="s">
        <v>98</v>
      </c>
      <c r="G303" s="9" t="s">
        <v>233</v>
      </c>
      <c r="H303" s="9">
        <v>6</v>
      </c>
      <c r="K303" s="9" t="s">
        <v>136</v>
      </c>
      <c r="M303" s="23" t="str">
        <f t="shared" ref="M303" si="164">CONCATENATE($G$15+MOD(C297-1,$G$10)+1,",",$H$15)</f>
        <v>1,6</v>
      </c>
    </row>
    <row r="304" spans="2:13">
      <c r="E304" s="4">
        <f t="shared" si="138"/>
        <v>304</v>
      </c>
      <c r="F304" s="9" t="s">
        <v>30</v>
      </c>
      <c r="M304" s="23">
        <v>3.5</v>
      </c>
    </row>
    <row r="305" spans="2:13">
      <c r="E305" s="4">
        <f t="shared" si="138"/>
        <v>305</v>
      </c>
      <c r="F305" s="9" t="s">
        <v>31</v>
      </c>
      <c r="L305" s="9" t="s">
        <v>134</v>
      </c>
      <c r="M305" s="23">
        <v>270</v>
      </c>
    </row>
    <row r="306" spans="2:13">
      <c r="B306" s="22">
        <f t="shared" ref="B306:B369" si="165">QUOTIENT( D306-1,G307)+1</f>
        <v>4</v>
      </c>
      <c r="C306" s="22">
        <f t="shared" ref="C306" si="166">D306-(B306-1)*G307</f>
        <v>7</v>
      </c>
      <c r="D306" s="22">
        <f>COUNT($D$8:$D305)+1</f>
        <v>34</v>
      </c>
      <c r="E306" s="4"/>
    </row>
    <row r="307" spans="2:13">
      <c r="E307" s="4">
        <f t="shared" si="138"/>
        <v>307</v>
      </c>
      <c r="F307" s="9" t="s">
        <v>93</v>
      </c>
      <c r="G307" s="9" t="s">
        <v>40</v>
      </c>
      <c r="H307" s="9" t="s">
        <v>40</v>
      </c>
      <c r="J307" s="9" t="s">
        <v>241</v>
      </c>
      <c r="M307" s="23">
        <f t="shared" ref="M307:M370" si="167">J307+D306</f>
        <v>10234</v>
      </c>
    </row>
    <row r="308" spans="2:13">
      <c r="E308" s="4">
        <f t="shared" si="138"/>
        <v>308</v>
      </c>
      <c r="F308" s="9" t="s">
        <v>145</v>
      </c>
      <c r="G308" s="9">
        <v>150</v>
      </c>
      <c r="H308" s="9" t="s">
        <v>232</v>
      </c>
      <c r="M308" s="23">
        <f t="shared" ref="M308" si="168">$G$11+B306*$H$11</f>
        <v>550</v>
      </c>
    </row>
    <row r="309" spans="2:13">
      <c r="E309" s="4">
        <f t="shared" si="138"/>
        <v>309</v>
      </c>
      <c r="F309" s="9" t="s">
        <v>29</v>
      </c>
      <c r="M309" s="23" t="s">
        <v>230</v>
      </c>
    </row>
    <row r="310" spans="2:13">
      <c r="E310" s="4">
        <f t="shared" si="138"/>
        <v>310</v>
      </c>
      <c r="F310" s="9" t="s">
        <v>118</v>
      </c>
      <c r="M310" s="23" t="s">
        <v>231</v>
      </c>
    </row>
    <row r="311" spans="2:13">
      <c r="E311" s="4">
        <f t="shared" si="138"/>
        <v>311</v>
      </c>
      <c r="F311" s="9" t="s">
        <v>114</v>
      </c>
      <c r="M311" s="23" t="b">
        <v>1</v>
      </c>
    </row>
    <row r="312" spans="2:13">
      <c r="E312" s="4">
        <f t="shared" si="138"/>
        <v>312</v>
      </c>
      <c r="F312" s="9" t="s">
        <v>98</v>
      </c>
      <c r="G312" s="9" t="s">
        <v>233</v>
      </c>
      <c r="H312" s="9">
        <v>6</v>
      </c>
      <c r="K312" s="9" t="s">
        <v>136</v>
      </c>
      <c r="M312" s="23" t="str">
        <f t="shared" ref="M312" si="169">CONCATENATE($G$15+MOD(C306-1,$G$10)+1,",",$H$15)</f>
        <v>2,6</v>
      </c>
    </row>
    <row r="313" spans="2:13">
      <c r="E313" s="4">
        <f t="shared" si="138"/>
        <v>313</v>
      </c>
      <c r="F313" s="9" t="s">
        <v>30</v>
      </c>
      <c r="M313" s="23">
        <v>3.5</v>
      </c>
    </row>
    <row r="314" spans="2:13">
      <c r="E314" s="4">
        <f t="shared" si="138"/>
        <v>314</v>
      </c>
      <c r="F314" s="9" t="s">
        <v>31</v>
      </c>
      <c r="L314" s="9" t="s">
        <v>134</v>
      </c>
      <c r="M314" s="23">
        <v>270</v>
      </c>
    </row>
    <row r="315" spans="2:13">
      <c r="B315" s="22">
        <f t="shared" ref="B315:B378" si="170">QUOTIENT( D315-1,G316)+1</f>
        <v>4</v>
      </c>
      <c r="C315" s="22">
        <f t="shared" ref="C315" si="171">D315-(B315-1)*G316</f>
        <v>8</v>
      </c>
      <c r="D315" s="22">
        <f>COUNT($D$8:$D314)+1</f>
        <v>35</v>
      </c>
      <c r="E315" s="4"/>
    </row>
    <row r="316" spans="2:13">
      <c r="E316" s="4">
        <f t="shared" si="138"/>
        <v>316</v>
      </c>
      <c r="F316" s="9" t="s">
        <v>93</v>
      </c>
      <c r="G316" s="9" t="s">
        <v>40</v>
      </c>
      <c r="H316" s="9" t="s">
        <v>40</v>
      </c>
      <c r="J316" s="9" t="s">
        <v>241</v>
      </c>
      <c r="M316" s="23">
        <f t="shared" ref="M316:M379" si="172">J316+D315</f>
        <v>10235</v>
      </c>
    </row>
    <row r="317" spans="2:13">
      <c r="E317" s="4">
        <f t="shared" si="138"/>
        <v>317</v>
      </c>
      <c r="F317" s="9" t="s">
        <v>145</v>
      </c>
      <c r="G317" s="9">
        <v>150</v>
      </c>
      <c r="H317" s="9" t="s">
        <v>232</v>
      </c>
      <c r="M317" s="23">
        <f t="shared" ref="M317" si="173">$G$11+B315*$H$11</f>
        <v>550</v>
      </c>
    </row>
    <row r="318" spans="2:13">
      <c r="E318" s="4">
        <f t="shared" si="138"/>
        <v>318</v>
      </c>
      <c r="F318" s="9" t="s">
        <v>29</v>
      </c>
      <c r="M318" s="23" t="s">
        <v>230</v>
      </c>
    </row>
    <row r="319" spans="2:13">
      <c r="E319" s="4">
        <f t="shared" si="138"/>
        <v>319</v>
      </c>
      <c r="F319" s="9" t="s">
        <v>118</v>
      </c>
      <c r="M319" s="23" t="s">
        <v>231</v>
      </c>
    </row>
    <row r="320" spans="2:13">
      <c r="E320" s="4">
        <f t="shared" si="138"/>
        <v>320</v>
      </c>
      <c r="F320" s="9" t="s">
        <v>114</v>
      </c>
      <c r="M320" s="23" t="b">
        <v>1</v>
      </c>
    </row>
    <row r="321" spans="2:13">
      <c r="E321" s="4">
        <f t="shared" si="138"/>
        <v>321</v>
      </c>
      <c r="F321" s="9" t="s">
        <v>98</v>
      </c>
      <c r="G321" s="9" t="s">
        <v>233</v>
      </c>
      <c r="H321" s="9">
        <v>6</v>
      </c>
      <c r="K321" s="9" t="s">
        <v>136</v>
      </c>
      <c r="M321" s="23" t="str">
        <f t="shared" ref="M321" si="174">CONCATENATE($G$15+MOD(C315-1,$G$10)+1,",",$H$15)</f>
        <v>3,6</v>
      </c>
    </row>
    <row r="322" spans="2:13">
      <c r="E322" s="4">
        <f t="shared" ref="E322:E385" si="175">ROW(E322)</f>
        <v>322</v>
      </c>
      <c r="F322" s="9" t="s">
        <v>30</v>
      </c>
      <c r="M322" s="23">
        <v>3.5</v>
      </c>
    </row>
    <row r="323" spans="2:13">
      <c r="E323" s="4">
        <f t="shared" si="175"/>
        <v>323</v>
      </c>
      <c r="F323" s="9" t="s">
        <v>31</v>
      </c>
      <c r="L323" s="9" t="s">
        <v>134</v>
      </c>
      <c r="M323" s="23">
        <v>270</v>
      </c>
    </row>
    <row r="324" spans="2:13">
      <c r="B324" s="22">
        <f t="shared" ref="B324:B387" si="176">QUOTIENT( D324-1,G325)+1</f>
        <v>4</v>
      </c>
      <c r="C324" s="22">
        <f t="shared" ref="C324" si="177">D324-(B324-1)*G325</f>
        <v>9</v>
      </c>
      <c r="D324" s="22">
        <f>COUNT($D$8:$D323)+1</f>
        <v>36</v>
      </c>
      <c r="E324" s="4"/>
    </row>
    <row r="325" spans="2:13">
      <c r="E325" s="4">
        <f t="shared" si="175"/>
        <v>325</v>
      </c>
      <c r="F325" s="9" t="s">
        <v>93</v>
      </c>
      <c r="G325" s="9" t="s">
        <v>40</v>
      </c>
      <c r="H325" s="9" t="s">
        <v>40</v>
      </c>
      <c r="J325" s="9" t="s">
        <v>241</v>
      </c>
      <c r="M325" s="23">
        <f t="shared" ref="M325:M388" si="178">J325+D324</f>
        <v>10236</v>
      </c>
    </row>
    <row r="326" spans="2:13">
      <c r="E326" s="4">
        <f t="shared" si="175"/>
        <v>326</v>
      </c>
      <c r="F326" s="9" t="s">
        <v>145</v>
      </c>
      <c r="G326" s="9">
        <v>150</v>
      </c>
      <c r="H326" s="9" t="s">
        <v>232</v>
      </c>
      <c r="M326" s="23">
        <f t="shared" ref="M326" si="179">$G$11+B324*$H$11</f>
        <v>550</v>
      </c>
    </row>
    <row r="327" spans="2:13">
      <c r="E327" s="4">
        <f t="shared" si="175"/>
        <v>327</v>
      </c>
      <c r="F327" s="9" t="s">
        <v>29</v>
      </c>
      <c r="M327" s="23" t="s">
        <v>230</v>
      </c>
    </row>
    <row r="328" spans="2:13">
      <c r="E328" s="4">
        <f t="shared" si="175"/>
        <v>328</v>
      </c>
      <c r="F328" s="9" t="s">
        <v>118</v>
      </c>
      <c r="M328" s="23" t="s">
        <v>231</v>
      </c>
    </row>
    <row r="329" spans="2:13">
      <c r="E329" s="4">
        <f t="shared" si="175"/>
        <v>329</v>
      </c>
      <c r="F329" s="9" t="s">
        <v>114</v>
      </c>
      <c r="M329" s="23" t="b">
        <v>1</v>
      </c>
    </row>
    <row r="330" spans="2:13">
      <c r="E330" s="4">
        <f t="shared" si="175"/>
        <v>330</v>
      </c>
      <c r="F330" s="9" t="s">
        <v>98</v>
      </c>
      <c r="G330" s="9" t="s">
        <v>233</v>
      </c>
      <c r="H330" s="9">
        <v>6</v>
      </c>
      <c r="K330" s="9" t="s">
        <v>136</v>
      </c>
      <c r="M330" s="23" t="str">
        <f t="shared" ref="M330" si="180">CONCATENATE($G$15+MOD(C324-1,$G$10)+1,",",$H$15)</f>
        <v>4,6</v>
      </c>
    </row>
    <row r="331" spans="2:13">
      <c r="E331" s="4">
        <f t="shared" si="175"/>
        <v>331</v>
      </c>
      <c r="F331" s="9" t="s">
        <v>30</v>
      </c>
      <c r="M331" s="23">
        <v>3.5</v>
      </c>
    </row>
    <row r="332" spans="2:13">
      <c r="E332" s="4">
        <f t="shared" si="175"/>
        <v>332</v>
      </c>
      <c r="F332" s="9" t="s">
        <v>31</v>
      </c>
      <c r="L332" s="9" t="s">
        <v>134</v>
      </c>
      <c r="M332" s="23">
        <v>270</v>
      </c>
    </row>
    <row r="333" spans="2:13">
      <c r="B333" s="22">
        <f t="shared" ref="B333:B396" si="181">QUOTIENT( D333-1,G334)+1</f>
        <v>5</v>
      </c>
      <c r="C333" s="22">
        <f t="shared" ref="C333" si="182">D333-(B333-1)*G334</f>
        <v>1</v>
      </c>
      <c r="D333" s="22">
        <f>COUNT($D$8:$D332)+1</f>
        <v>37</v>
      </c>
      <c r="E333" s="4"/>
    </row>
    <row r="334" spans="2:13">
      <c r="E334" s="4">
        <f t="shared" si="175"/>
        <v>334</v>
      </c>
      <c r="F334" s="9" t="s">
        <v>93</v>
      </c>
      <c r="G334" s="9" t="s">
        <v>40</v>
      </c>
      <c r="H334" s="9" t="s">
        <v>40</v>
      </c>
      <c r="J334" s="9" t="s">
        <v>241</v>
      </c>
      <c r="M334" s="23">
        <f t="shared" ref="M334:M397" si="183">J334+D333</f>
        <v>10237</v>
      </c>
    </row>
    <row r="335" spans="2:13">
      <c r="E335" s="4">
        <f t="shared" si="175"/>
        <v>335</v>
      </c>
      <c r="F335" s="9" t="s">
        <v>145</v>
      </c>
      <c r="G335" s="9">
        <v>150</v>
      </c>
      <c r="H335" s="9" t="s">
        <v>232</v>
      </c>
      <c r="M335" s="23">
        <f t="shared" ref="M335" si="184">$G$11+B333*$H$11</f>
        <v>650</v>
      </c>
    </row>
    <row r="336" spans="2:13">
      <c r="E336" s="4">
        <f t="shared" si="175"/>
        <v>336</v>
      </c>
      <c r="F336" s="9" t="s">
        <v>29</v>
      </c>
      <c r="M336" s="23" t="s">
        <v>230</v>
      </c>
    </row>
    <row r="337" spans="2:13">
      <c r="E337" s="4">
        <f t="shared" si="175"/>
        <v>337</v>
      </c>
      <c r="F337" s="9" t="s">
        <v>118</v>
      </c>
      <c r="M337" s="23" t="s">
        <v>231</v>
      </c>
    </row>
    <row r="338" spans="2:13">
      <c r="E338" s="4">
        <f t="shared" si="175"/>
        <v>338</v>
      </c>
      <c r="F338" s="9" t="s">
        <v>114</v>
      </c>
      <c r="M338" s="23" t="b">
        <v>1</v>
      </c>
    </row>
    <row r="339" spans="2:13">
      <c r="E339" s="4">
        <f t="shared" si="175"/>
        <v>339</v>
      </c>
      <c r="F339" s="9" t="s">
        <v>98</v>
      </c>
      <c r="G339" s="9" t="s">
        <v>233</v>
      </c>
      <c r="H339" s="9">
        <v>6</v>
      </c>
      <c r="K339" s="9" t="s">
        <v>136</v>
      </c>
      <c r="M339" s="23" t="str">
        <f t="shared" ref="M339" si="185">CONCATENATE($G$15+MOD(C333-1,$G$10)+1,",",$H$15)</f>
        <v>-4,6</v>
      </c>
    </row>
    <row r="340" spans="2:13">
      <c r="E340" s="4">
        <f t="shared" si="175"/>
        <v>340</v>
      </c>
      <c r="F340" s="9" t="s">
        <v>30</v>
      </c>
      <c r="M340" s="23">
        <v>3.5</v>
      </c>
    </row>
    <row r="341" spans="2:13">
      <c r="E341" s="4">
        <f t="shared" si="175"/>
        <v>341</v>
      </c>
      <c r="F341" s="9" t="s">
        <v>31</v>
      </c>
      <c r="L341" s="9" t="s">
        <v>134</v>
      </c>
      <c r="M341" s="23">
        <v>270</v>
      </c>
    </row>
    <row r="342" spans="2:13">
      <c r="B342" s="22">
        <f t="shared" ref="B342:B405" si="186">QUOTIENT( D342-1,G343)+1</f>
        <v>5</v>
      </c>
      <c r="C342" s="22">
        <f t="shared" ref="C342" si="187">D342-(B342-1)*G343</f>
        <v>2</v>
      </c>
      <c r="D342" s="22">
        <f>COUNT($D$8:$D341)+1</f>
        <v>38</v>
      </c>
      <c r="E342" s="4"/>
    </row>
    <row r="343" spans="2:13">
      <c r="E343" s="4">
        <f t="shared" si="175"/>
        <v>343</v>
      </c>
      <c r="F343" s="9" t="s">
        <v>93</v>
      </c>
      <c r="G343" s="9" t="s">
        <v>40</v>
      </c>
      <c r="H343" s="9" t="s">
        <v>40</v>
      </c>
      <c r="J343" s="9" t="s">
        <v>241</v>
      </c>
      <c r="M343" s="23">
        <f t="shared" ref="M343:M406" si="188">J343+D342</f>
        <v>10238</v>
      </c>
    </row>
    <row r="344" spans="2:13">
      <c r="E344" s="4">
        <f t="shared" si="175"/>
        <v>344</v>
      </c>
      <c r="F344" s="9" t="s">
        <v>145</v>
      </c>
      <c r="G344" s="9">
        <v>150</v>
      </c>
      <c r="H344" s="9" t="s">
        <v>232</v>
      </c>
      <c r="M344" s="23">
        <f t="shared" ref="M344" si="189">$G$11+B342*$H$11</f>
        <v>650</v>
      </c>
    </row>
    <row r="345" spans="2:13">
      <c r="E345" s="4">
        <f t="shared" si="175"/>
        <v>345</v>
      </c>
      <c r="F345" s="9" t="s">
        <v>29</v>
      </c>
      <c r="M345" s="23" t="s">
        <v>230</v>
      </c>
    </row>
    <row r="346" spans="2:13">
      <c r="E346" s="4">
        <f t="shared" si="175"/>
        <v>346</v>
      </c>
      <c r="F346" s="9" t="s">
        <v>118</v>
      </c>
      <c r="M346" s="23" t="s">
        <v>231</v>
      </c>
    </row>
    <row r="347" spans="2:13">
      <c r="E347" s="4">
        <f t="shared" si="175"/>
        <v>347</v>
      </c>
      <c r="F347" s="9" t="s">
        <v>114</v>
      </c>
      <c r="M347" s="23" t="b">
        <v>1</v>
      </c>
    </row>
    <row r="348" spans="2:13">
      <c r="E348" s="4">
        <f t="shared" si="175"/>
        <v>348</v>
      </c>
      <c r="F348" s="9" t="s">
        <v>98</v>
      </c>
      <c r="G348" s="9" t="s">
        <v>233</v>
      </c>
      <c r="H348" s="9">
        <v>6</v>
      </c>
      <c r="K348" s="9" t="s">
        <v>136</v>
      </c>
      <c r="M348" s="23" t="str">
        <f t="shared" ref="M348" si="190">CONCATENATE($G$15+MOD(C342-1,$G$10)+1,",",$H$15)</f>
        <v>-3,6</v>
      </c>
    </row>
    <row r="349" spans="2:13">
      <c r="E349" s="4">
        <f t="shared" si="175"/>
        <v>349</v>
      </c>
      <c r="F349" s="9" t="s">
        <v>30</v>
      </c>
      <c r="M349" s="23">
        <v>3.5</v>
      </c>
    </row>
    <row r="350" spans="2:13">
      <c r="E350" s="4">
        <f t="shared" si="175"/>
        <v>350</v>
      </c>
      <c r="F350" s="9" t="s">
        <v>31</v>
      </c>
      <c r="L350" s="9" t="s">
        <v>134</v>
      </c>
      <c r="M350" s="23">
        <v>270</v>
      </c>
    </row>
    <row r="351" spans="2:13">
      <c r="B351" s="22">
        <f t="shared" ref="B351:B414" si="191">QUOTIENT( D351-1,G352)+1</f>
        <v>5</v>
      </c>
      <c r="C351" s="22">
        <f t="shared" ref="C351" si="192">D351-(B351-1)*G352</f>
        <v>3</v>
      </c>
      <c r="D351" s="22">
        <f>COUNT($D$8:$D350)+1</f>
        <v>39</v>
      </c>
      <c r="E351" s="4"/>
    </row>
    <row r="352" spans="2:13">
      <c r="E352" s="4">
        <f t="shared" si="175"/>
        <v>352</v>
      </c>
      <c r="F352" s="9" t="s">
        <v>93</v>
      </c>
      <c r="G352" s="9" t="s">
        <v>40</v>
      </c>
      <c r="H352" s="9" t="s">
        <v>40</v>
      </c>
      <c r="J352" s="9" t="s">
        <v>241</v>
      </c>
      <c r="M352" s="23">
        <f t="shared" ref="M352:M415" si="193">J352+D351</f>
        <v>10239</v>
      </c>
    </row>
    <row r="353" spans="2:13">
      <c r="E353" s="4">
        <f t="shared" si="175"/>
        <v>353</v>
      </c>
      <c r="F353" s="9" t="s">
        <v>145</v>
      </c>
      <c r="G353" s="9">
        <v>150</v>
      </c>
      <c r="H353" s="9" t="s">
        <v>232</v>
      </c>
      <c r="M353" s="23">
        <f t="shared" ref="M353" si="194">$G$11+B351*$H$11</f>
        <v>650</v>
      </c>
    </row>
    <row r="354" spans="2:13">
      <c r="E354" s="4">
        <f t="shared" si="175"/>
        <v>354</v>
      </c>
      <c r="F354" s="9" t="s">
        <v>29</v>
      </c>
      <c r="M354" s="23" t="s">
        <v>230</v>
      </c>
    </row>
    <row r="355" spans="2:13">
      <c r="E355" s="4">
        <f t="shared" si="175"/>
        <v>355</v>
      </c>
      <c r="F355" s="9" t="s">
        <v>118</v>
      </c>
      <c r="M355" s="23" t="s">
        <v>231</v>
      </c>
    </row>
    <row r="356" spans="2:13">
      <c r="E356" s="4">
        <f t="shared" si="175"/>
        <v>356</v>
      </c>
      <c r="F356" s="9" t="s">
        <v>114</v>
      </c>
      <c r="M356" s="23" t="b">
        <v>1</v>
      </c>
    </row>
    <row r="357" spans="2:13">
      <c r="E357" s="4">
        <f t="shared" si="175"/>
        <v>357</v>
      </c>
      <c r="F357" s="9" t="s">
        <v>98</v>
      </c>
      <c r="G357" s="9" t="s">
        <v>233</v>
      </c>
      <c r="H357" s="9">
        <v>6</v>
      </c>
      <c r="K357" s="9" t="s">
        <v>136</v>
      </c>
      <c r="M357" s="23" t="str">
        <f t="shared" ref="M357" si="195">CONCATENATE($G$15+MOD(C351-1,$G$10)+1,",",$H$15)</f>
        <v>-2,6</v>
      </c>
    </row>
    <row r="358" spans="2:13">
      <c r="E358" s="4">
        <f t="shared" si="175"/>
        <v>358</v>
      </c>
      <c r="F358" s="9" t="s">
        <v>30</v>
      </c>
      <c r="M358" s="23">
        <v>3.5</v>
      </c>
    </row>
    <row r="359" spans="2:13">
      <c r="E359" s="4">
        <f t="shared" si="175"/>
        <v>359</v>
      </c>
      <c r="F359" s="9" t="s">
        <v>31</v>
      </c>
      <c r="L359" s="9" t="s">
        <v>134</v>
      </c>
      <c r="M359" s="23">
        <v>270</v>
      </c>
    </row>
    <row r="360" spans="2:13">
      <c r="B360" s="22">
        <f t="shared" ref="B360:B423" si="196">QUOTIENT( D360-1,G361)+1</f>
        <v>5</v>
      </c>
      <c r="C360" s="22">
        <f t="shared" ref="C360" si="197">D360-(B360-1)*G361</f>
        <v>4</v>
      </c>
      <c r="D360" s="22">
        <f>COUNT($D$8:$D359)+1</f>
        <v>40</v>
      </c>
      <c r="E360" s="4"/>
    </row>
    <row r="361" spans="2:13">
      <c r="E361" s="4">
        <f t="shared" si="175"/>
        <v>361</v>
      </c>
      <c r="F361" s="9" t="s">
        <v>93</v>
      </c>
      <c r="G361" s="9" t="s">
        <v>40</v>
      </c>
      <c r="H361" s="9" t="s">
        <v>40</v>
      </c>
      <c r="J361" s="9" t="s">
        <v>241</v>
      </c>
      <c r="M361" s="23">
        <f t="shared" ref="M361:M424" si="198">J361+D360</f>
        <v>10240</v>
      </c>
    </row>
    <row r="362" spans="2:13">
      <c r="E362" s="4">
        <f t="shared" si="175"/>
        <v>362</v>
      </c>
      <c r="F362" s="9" t="s">
        <v>145</v>
      </c>
      <c r="G362" s="9">
        <v>150</v>
      </c>
      <c r="H362" s="9" t="s">
        <v>232</v>
      </c>
      <c r="M362" s="23">
        <f t="shared" ref="M362" si="199">$G$11+B360*$H$11</f>
        <v>650</v>
      </c>
    </row>
    <row r="363" spans="2:13">
      <c r="E363" s="4">
        <f t="shared" si="175"/>
        <v>363</v>
      </c>
      <c r="F363" s="9" t="s">
        <v>29</v>
      </c>
      <c r="M363" s="23" t="s">
        <v>230</v>
      </c>
    </row>
    <row r="364" spans="2:13">
      <c r="E364" s="4">
        <f t="shared" si="175"/>
        <v>364</v>
      </c>
      <c r="F364" s="9" t="s">
        <v>118</v>
      </c>
      <c r="M364" s="23" t="s">
        <v>231</v>
      </c>
    </row>
    <row r="365" spans="2:13">
      <c r="E365" s="4">
        <f t="shared" si="175"/>
        <v>365</v>
      </c>
      <c r="F365" s="9" t="s">
        <v>114</v>
      </c>
      <c r="M365" s="23" t="b">
        <v>1</v>
      </c>
    </row>
    <row r="366" spans="2:13">
      <c r="E366" s="4">
        <f t="shared" si="175"/>
        <v>366</v>
      </c>
      <c r="F366" s="9" t="s">
        <v>98</v>
      </c>
      <c r="G366" s="9" t="s">
        <v>233</v>
      </c>
      <c r="H366" s="9">
        <v>6</v>
      </c>
      <c r="K366" s="9" t="s">
        <v>136</v>
      </c>
      <c r="M366" s="23" t="str">
        <f t="shared" ref="M366" si="200">CONCATENATE($G$15+MOD(C360-1,$G$10)+1,",",$H$15)</f>
        <v>-1,6</v>
      </c>
    </row>
    <row r="367" spans="2:13">
      <c r="E367" s="4">
        <f t="shared" si="175"/>
        <v>367</v>
      </c>
      <c r="F367" s="9" t="s">
        <v>30</v>
      </c>
      <c r="M367" s="23">
        <v>3.5</v>
      </c>
    </row>
    <row r="368" spans="2:13">
      <c r="E368" s="4">
        <f t="shared" si="175"/>
        <v>368</v>
      </c>
      <c r="F368" s="9" t="s">
        <v>31</v>
      </c>
      <c r="L368" s="9" t="s">
        <v>134</v>
      </c>
      <c r="M368" s="23">
        <v>270</v>
      </c>
    </row>
    <row r="369" spans="2:13">
      <c r="B369" s="22">
        <f t="shared" ref="B369:B432" si="201">QUOTIENT( D369-1,G370)+1</f>
        <v>5</v>
      </c>
      <c r="C369" s="22">
        <f t="shared" ref="C369" si="202">D369-(B369-1)*G370</f>
        <v>5</v>
      </c>
      <c r="D369" s="22">
        <f>COUNT($D$8:$D368)+1</f>
        <v>41</v>
      </c>
      <c r="E369" s="4"/>
    </row>
    <row r="370" spans="2:13">
      <c r="E370" s="4">
        <f t="shared" si="175"/>
        <v>370</v>
      </c>
      <c r="F370" s="9" t="s">
        <v>93</v>
      </c>
      <c r="G370" s="9" t="s">
        <v>40</v>
      </c>
      <c r="H370" s="9" t="s">
        <v>40</v>
      </c>
      <c r="J370" s="9" t="s">
        <v>241</v>
      </c>
      <c r="M370" s="23">
        <f t="shared" ref="M370:M433" si="203">J370+D369</f>
        <v>10241</v>
      </c>
    </row>
    <row r="371" spans="2:13">
      <c r="E371" s="4">
        <f t="shared" si="175"/>
        <v>371</v>
      </c>
      <c r="F371" s="9" t="s">
        <v>145</v>
      </c>
      <c r="G371" s="9">
        <v>150</v>
      </c>
      <c r="H371" s="9" t="s">
        <v>232</v>
      </c>
      <c r="M371" s="23">
        <f t="shared" ref="M371" si="204">$G$11+B369*$H$11</f>
        <v>650</v>
      </c>
    </row>
    <row r="372" spans="2:13">
      <c r="E372" s="4">
        <f t="shared" si="175"/>
        <v>372</v>
      </c>
      <c r="F372" s="9" t="s">
        <v>29</v>
      </c>
      <c r="M372" s="23" t="s">
        <v>230</v>
      </c>
    </row>
    <row r="373" spans="2:13">
      <c r="E373" s="4">
        <f t="shared" si="175"/>
        <v>373</v>
      </c>
      <c r="F373" s="9" t="s">
        <v>118</v>
      </c>
      <c r="M373" s="23" t="s">
        <v>231</v>
      </c>
    </row>
    <row r="374" spans="2:13">
      <c r="E374" s="4">
        <f t="shared" si="175"/>
        <v>374</v>
      </c>
      <c r="F374" s="9" t="s">
        <v>114</v>
      </c>
      <c r="M374" s="23" t="b">
        <v>1</v>
      </c>
    </row>
    <row r="375" spans="2:13">
      <c r="E375" s="4">
        <f t="shared" si="175"/>
        <v>375</v>
      </c>
      <c r="F375" s="9" t="s">
        <v>98</v>
      </c>
      <c r="G375" s="9" t="s">
        <v>233</v>
      </c>
      <c r="H375" s="9">
        <v>6</v>
      </c>
      <c r="K375" s="9" t="s">
        <v>136</v>
      </c>
      <c r="M375" s="23" t="str">
        <f t="shared" ref="M375" si="205">CONCATENATE($G$15+MOD(C369-1,$G$10)+1,",",$H$15)</f>
        <v>0,6</v>
      </c>
    </row>
    <row r="376" spans="2:13">
      <c r="E376" s="4">
        <f t="shared" si="175"/>
        <v>376</v>
      </c>
      <c r="F376" s="9" t="s">
        <v>30</v>
      </c>
      <c r="M376" s="23">
        <v>3.5</v>
      </c>
    </row>
    <row r="377" spans="2:13">
      <c r="E377" s="4">
        <f t="shared" si="175"/>
        <v>377</v>
      </c>
      <c r="F377" s="9" t="s">
        <v>31</v>
      </c>
      <c r="L377" s="9" t="s">
        <v>134</v>
      </c>
      <c r="M377" s="23">
        <v>270</v>
      </c>
    </row>
    <row r="378" spans="2:13">
      <c r="B378" s="22">
        <f t="shared" ref="B378:B441" si="206">QUOTIENT( D378-1,G379)+1</f>
        <v>5</v>
      </c>
      <c r="C378" s="22">
        <f t="shared" ref="C378" si="207">D378-(B378-1)*G379</f>
        <v>6</v>
      </c>
      <c r="D378" s="22">
        <f>COUNT($D$8:$D377)+1</f>
        <v>42</v>
      </c>
      <c r="E378" s="4"/>
    </row>
    <row r="379" spans="2:13">
      <c r="E379" s="4">
        <f t="shared" si="175"/>
        <v>379</v>
      </c>
      <c r="F379" s="9" t="s">
        <v>93</v>
      </c>
      <c r="G379" s="9" t="s">
        <v>40</v>
      </c>
      <c r="H379" s="9" t="s">
        <v>40</v>
      </c>
      <c r="J379" s="9" t="s">
        <v>241</v>
      </c>
      <c r="M379" s="23">
        <f t="shared" ref="M379:M442" si="208">J379+D378</f>
        <v>10242</v>
      </c>
    </row>
    <row r="380" spans="2:13">
      <c r="E380" s="4">
        <f t="shared" si="175"/>
        <v>380</v>
      </c>
      <c r="F380" s="9" t="s">
        <v>145</v>
      </c>
      <c r="G380" s="9">
        <v>150</v>
      </c>
      <c r="H380" s="9" t="s">
        <v>232</v>
      </c>
      <c r="M380" s="23">
        <f t="shared" ref="M380" si="209">$G$11+B378*$H$11</f>
        <v>650</v>
      </c>
    </row>
    <row r="381" spans="2:13">
      <c r="E381" s="4">
        <f t="shared" si="175"/>
        <v>381</v>
      </c>
      <c r="F381" s="9" t="s">
        <v>29</v>
      </c>
      <c r="M381" s="23" t="s">
        <v>230</v>
      </c>
    </row>
    <row r="382" spans="2:13">
      <c r="E382" s="4">
        <f t="shared" si="175"/>
        <v>382</v>
      </c>
      <c r="F382" s="9" t="s">
        <v>118</v>
      </c>
      <c r="M382" s="23" t="s">
        <v>231</v>
      </c>
    </row>
    <row r="383" spans="2:13">
      <c r="E383" s="4">
        <f t="shared" si="175"/>
        <v>383</v>
      </c>
      <c r="F383" s="9" t="s">
        <v>114</v>
      </c>
      <c r="M383" s="23" t="b">
        <v>1</v>
      </c>
    </row>
    <row r="384" spans="2:13">
      <c r="E384" s="4">
        <f t="shared" si="175"/>
        <v>384</v>
      </c>
      <c r="F384" s="9" t="s">
        <v>98</v>
      </c>
      <c r="G384" s="9" t="s">
        <v>233</v>
      </c>
      <c r="H384" s="9">
        <v>6</v>
      </c>
      <c r="K384" s="9" t="s">
        <v>136</v>
      </c>
      <c r="M384" s="23" t="str">
        <f t="shared" ref="M384" si="210">CONCATENATE($G$15+MOD(C378-1,$G$10)+1,",",$H$15)</f>
        <v>1,6</v>
      </c>
    </row>
    <row r="385" spans="2:13">
      <c r="E385" s="4">
        <f t="shared" si="175"/>
        <v>385</v>
      </c>
      <c r="F385" s="9" t="s">
        <v>30</v>
      </c>
      <c r="M385" s="23">
        <v>3.5</v>
      </c>
    </row>
    <row r="386" spans="2:13">
      <c r="E386" s="4">
        <f t="shared" ref="E386:E449" si="211">ROW(E386)</f>
        <v>386</v>
      </c>
      <c r="F386" s="9" t="s">
        <v>31</v>
      </c>
      <c r="L386" s="9" t="s">
        <v>134</v>
      </c>
      <c r="M386" s="23">
        <v>270</v>
      </c>
    </row>
    <row r="387" spans="2:13">
      <c r="B387" s="22">
        <f t="shared" ref="B387:B450" si="212">QUOTIENT( D387-1,G388)+1</f>
        <v>5</v>
      </c>
      <c r="C387" s="22">
        <f t="shared" ref="C387" si="213">D387-(B387-1)*G388</f>
        <v>7</v>
      </c>
      <c r="D387" s="22">
        <f>COUNT($D$8:$D386)+1</f>
        <v>43</v>
      </c>
      <c r="E387" s="4"/>
    </row>
    <row r="388" spans="2:13">
      <c r="E388" s="4">
        <f t="shared" si="211"/>
        <v>388</v>
      </c>
      <c r="F388" s="9" t="s">
        <v>93</v>
      </c>
      <c r="G388" s="9" t="s">
        <v>40</v>
      </c>
      <c r="H388" s="9" t="s">
        <v>40</v>
      </c>
      <c r="J388" s="9" t="s">
        <v>241</v>
      </c>
      <c r="M388" s="23">
        <f t="shared" ref="M388:M451" si="214">J388+D387</f>
        <v>10243</v>
      </c>
    </row>
    <row r="389" spans="2:13">
      <c r="E389" s="4">
        <f t="shared" si="211"/>
        <v>389</v>
      </c>
      <c r="F389" s="9" t="s">
        <v>145</v>
      </c>
      <c r="G389" s="9">
        <v>150</v>
      </c>
      <c r="H389" s="9" t="s">
        <v>232</v>
      </c>
      <c r="M389" s="23">
        <f t="shared" ref="M389" si="215">$G$11+B387*$H$11</f>
        <v>650</v>
      </c>
    </row>
    <row r="390" spans="2:13">
      <c r="E390" s="4">
        <f t="shared" si="211"/>
        <v>390</v>
      </c>
      <c r="F390" s="9" t="s">
        <v>29</v>
      </c>
      <c r="M390" s="23" t="s">
        <v>230</v>
      </c>
    </row>
    <row r="391" spans="2:13">
      <c r="E391" s="4">
        <f t="shared" si="211"/>
        <v>391</v>
      </c>
      <c r="F391" s="9" t="s">
        <v>118</v>
      </c>
      <c r="M391" s="23" t="s">
        <v>231</v>
      </c>
    </row>
    <row r="392" spans="2:13">
      <c r="E392" s="4">
        <f t="shared" si="211"/>
        <v>392</v>
      </c>
      <c r="F392" s="9" t="s">
        <v>114</v>
      </c>
      <c r="M392" s="23" t="b">
        <v>1</v>
      </c>
    </row>
    <row r="393" spans="2:13">
      <c r="E393" s="4">
        <f t="shared" si="211"/>
        <v>393</v>
      </c>
      <c r="F393" s="9" t="s">
        <v>98</v>
      </c>
      <c r="G393" s="9" t="s">
        <v>233</v>
      </c>
      <c r="H393" s="9">
        <v>6</v>
      </c>
      <c r="K393" s="9" t="s">
        <v>136</v>
      </c>
      <c r="M393" s="23" t="str">
        <f t="shared" ref="M393" si="216">CONCATENATE($G$15+MOD(C387-1,$G$10)+1,",",$H$15)</f>
        <v>2,6</v>
      </c>
    </row>
    <row r="394" spans="2:13">
      <c r="E394" s="4">
        <f t="shared" si="211"/>
        <v>394</v>
      </c>
      <c r="F394" s="9" t="s">
        <v>30</v>
      </c>
      <c r="M394" s="23">
        <v>3.5</v>
      </c>
    </row>
    <row r="395" spans="2:13">
      <c r="E395" s="4">
        <f t="shared" si="211"/>
        <v>395</v>
      </c>
      <c r="F395" s="9" t="s">
        <v>31</v>
      </c>
      <c r="L395" s="9" t="s">
        <v>134</v>
      </c>
      <c r="M395" s="23">
        <v>270</v>
      </c>
    </row>
    <row r="396" spans="2:13">
      <c r="B396" s="22">
        <f t="shared" ref="B396:B459" si="217">QUOTIENT( D396-1,G397)+1</f>
        <v>5</v>
      </c>
      <c r="C396" s="22">
        <f t="shared" ref="C396" si="218">D396-(B396-1)*G397</f>
        <v>8</v>
      </c>
      <c r="D396" s="22">
        <f>COUNT($D$8:$D395)+1</f>
        <v>44</v>
      </c>
      <c r="E396" s="4"/>
    </row>
    <row r="397" spans="2:13">
      <c r="E397" s="4">
        <f t="shared" si="211"/>
        <v>397</v>
      </c>
      <c r="F397" s="9" t="s">
        <v>93</v>
      </c>
      <c r="G397" s="9" t="s">
        <v>40</v>
      </c>
      <c r="H397" s="9" t="s">
        <v>40</v>
      </c>
      <c r="J397" s="9" t="s">
        <v>241</v>
      </c>
      <c r="M397" s="23">
        <f t="shared" ref="M397:M460" si="219">J397+D396</f>
        <v>10244</v>
      </c>
    </row>
    <row r="398" spans="2:13">
      <c r="E398" s="4">
        <f t="shared" si="211"/>
        <v>398</v>
      </c>
      <c r="F398" s="9" t="s">
        <v>145</v>
      </c>
      <c r="G398" s="9">
        <v>150</v>
      </c>
      <c r="H398" s="9" t="s">
        <v>232</v>
      </c>
      <c r="M398" s="23">
        <f t="shared" ref="M398" si="220">$G$11+B396*$H$11</f>
        <v>650</v>
      </c>
    </row>
    <row r="399" spans="2:13">
      <c r="E399" s="4">
        <f t="shared" si="211"/>
        <v>399</v>
      </c>
      <c r="F399" s="9" t="s">
        <v>29</v>
      </c>
      <c r="M399" s="23" t="s">
        <v>230</v>
      </c>
    </row>
    <row r="400" spans="2:13">
      <c r="E400" s="4">
        <f t="shared" si="211"/>
        <v>400</v>
      </c>
      <c r="F400" s="9" t="s">
        <v>118</v>
      </c>
      <c r="M400" s="23" t="s">
        <v>231</v>
      </c>
    </row>
    <row r="401" spans="2:13">
      <c r="E401" s="4">
        <f t="shared" si="211"/>
        <v>401</v>
      </c>
      <c r="F401" s="9" t="s">
        <v>114</v>
      </c>
      <c r="M401" s="23" t="b">
        <v>1</v>
      </c>
    </row>
    <row r="402" spans="2:13">
      <c r="E402" s="4">
        <f t="shared" si="211"/>
        <v>402</v>
      </c>
      <c r="F402" s="9" t="s">
        <v>98</v>
      </c>
      <c r="G402" s="9" t="s">
        <v>233</v>
      </c>
      <c r="H402" s="9">
        <v>6</v>
      </c>
      <c r="K402" s="9" t="s">
        <v>136</v>
      </c>
      <c r="M402" s="23" t="str">
        <f t="shared" ref="M402" si="221">CONCATENATE($G$15+MOD(C396-1,$G$10)+1,",",$H$15)</f>
        <v>3,6</v>
      </c>
    </row>
    <row r="403" spans="2:13">
      <c r="E403" s="4">
        <f t="shared" si="211"/>
        <v>403</v>
      </c>
      <c r="F403" s="9" t="s">
        <v>30</v>
      </c>
      <c r="M403" s="23">
        <v>3.5</v>
      </c>
    </row>
    <row r="404" spans="2:13">
      <c r="E404" s="4">
        <f t="shared" si="211"/>
        <v>404</v>
      </c>
      <c r="F404" s="9" t="s">
        <v>31</v>
      </c>
      <c r="L404" s="9" t="s">
        <v>134</v>
      </c>
      <c r="M404" s="23">
        <v>270</v>
      </c>
    </row>
    <row r="405" spans="2:13">
      <c r="B405" s="22">
        <f t="shared" ref="B405:B468" si="222">QUOTIENT( D405-1,G406)+1</f>
        <v>5</v>
      </c>
      <c r="C405" s="22">
        <f t="shared" ref="C405" si="223">D405-(B405-1)*G406</f>
        <v>9</v>
      </c>
      <c r="D405" s="22">
        <f>COUNT($D$8:$D404)+1</f>
        <v>45</v>
      </c>
      <c r="E405" s="4"/>
    </row>
    <row r="406" spans="2:13">
      <c r="E406" s="4">
        <f t="shared" si="211"/>
        <v>406</v>
      </c>
      <c r="F406" s="9" t="s">
        <v>93</v>
      </c>
      <c r="G406" s="9" t="s">
        <v>40</v>
      </c>
      <c r="H406" s="9" t="s">
        <v>40</v>
      </c>
      <c r="J406" s="9" t="s">
        <v>241</v>
      </c>
      <c r="M406" s="23">
        <f t="shared" ref="M406:M469" si="224">J406+D405</f>
        <v>10245</v>
      </c>
    </row>
    <row r="407" spans="2:13">
      <c r="E407" s="4">
        <f t="shared" si="211"/>
        <v>407</v>
      </c>
      <c r="F407" s="9" t="s">
        <v>145</v>
      </c>
      <c r="G407" s="9">
        <v>150</v>
      </c>
      <c r="H407" s="9" t="s">
        <v>232</v>
      </c>
      <c r="M407" s="23">
        <f t="shared" ref="M407" si="225">$G$11+B405*$H$11</f>
        <v>650</v>
      </c>
    </row>
    <row r="408" spans="2:13">
      <c r="E408" s="4">
        <f t="shared" si="211"/>
        <v>408</v>
      </c>
      <c r="F408" s="9" t="s">
        <v>29</v>
      </c>
      <c r="M408" s="23" t="s">
        <v>230</v>
      </c>
    </row>
    <row r="409" spans="2:13">
      <c r="E409" s="4">
        <f t="shared" si="211"/>
        <v>409</v>
      </c>
      <c r="F409" s="9" t="s">
        <v>118</v>
      </c>
      <c r="M409" s="23" t="s">
        <v>231</v>
      </c>
    </row>
    <row r="410" spans="2:13">
      <c r="E410" s="4">
        <f t="shared" si="211"/>
        <v>410</v>
      </c>
      <c r="F410" s="9" t="s">
        <v>114</v>
      </c>
      <c r="M410" s="23" t="b">
        <v>1</v>
      </c>
    </row>
    <row r="411" spans="2:13">
      <c r="E411" s="4">
        <f t="shared" si="211"/>
        <v>411</v>
      </c>
      <c r="F411" s="9" t="s">
        <v>98</v>
      </c>
      <c r="G411" s="9" t="s">
        <v>233</v>
      </c>
      <c r="H411" s="9">
        <v>6</v>
      </c>
      <c r="K411" s="9" t="s">
        <v>136</v>
      </c>
      <c r="M411" s="23" t="str">
        <f t="shared" ref="M411" si="226">CONCATENATE($G$15+MOD(C405-1,$G$10)+1,",",$H$15)</f>
        <v>4,6</v>
      </c>
    </row>
    <row r="412" spans="2:13">
      <c r="E412" s="4">
        <f t="shared" si="211"/>
        <v>412</v>
      </c>
      <c r="F412" s="9" t="s">
        <v>30</v>
      </c>
      <c r="M412" s="23">
        <v>3.5</v>
      </c>
    </row>
    <row r="413" spans="2:13">
      <c r="E413" s="4">
        <f t="shared" si="211"/>
        <v>413</v>
      </c>
      <c r="F413" s="9" t="s">
        <v>31</v>
      </c>
      <c r="L413" s="9" t="s">
        <v>134</v>
      </c>
      <c r="M413" s="23">
        <v>270</v>
      </c>
    </row>
    <row r="414" spans="2:13">
      <c r="B414" s="22">
        <f t="shared" ref="B414:B477" si="227">QUOTIENT( D414-1,G415)+1</f>
        <v>6</v>
      </c>
      <c r="C414" s="22">
        <f t="shared" ref="C414" si="228">D414-(B414-1)*G415</f>
        <v>1</v>
      </c>
      <c r="D414" s="22">
        <f>COUNT($D$8:$D413)+1</f>
        <v>46</v>
      </c>
      <c r="E414" s="4"/>
    </row>
    <row r="415" spans="2:13">
      <c r="E415" s="4">
        <f t="shared" si="211"/>
        <v>415</v>
      </c>
      <c r="F415" s="9" t="s">
        <v>93</v>
      </c>
      <c r="G415" s="9" t="s">
        <v>40</v>
      </c>
      <c r="H415" s="9" t="s">
        <v>40</v>
      </c>
      <c r="J415" s="9" t="s">
        <v>241</v>
      </c>
      <c r="M415" s="23">
        <f t="shared" ref="M415:M478" si="229">J415+D414</f>
        <v>10246</v>
      </c>
    </row>
    <row r="416" spans="2:13">
      <c r="E416" s="4">
        <f t="shared" si="211"/>
        <v>416</v>
      </c>
      <c r="F416" s="9" t="s">
        <v>145</v>
      </c>
      <c r="G416" s="9">
        <v>150</v>
      </c>
      <c r="H416" s="9" t="s">
        <v>232</v>
      </c>
      <c r="M416" s="23">
        <f t="shared" ref="M416" si="230">$G$11+B414*$H$11</f>
        <v>750</v>
      </c>
    </row>
    <row r="417" spans="2:13">
      <c r="E417" s="4">
        <f t="shared" si="211"/>
        <v>417</v>
      </c>
      <c r="F417" s="9" t="s">
        <v>29</v>
      </c>
      <c r="M417" s="23" t="s">
        <v>230</v>
      </c>
    </row>
    <row r="418" spans="2:13">
      <c r="E418" s="4">
        <f t="shared" si="211"/>
        <v>418</v>
      </c>
      <c r="F418" s="9" t="s">
        <v>118</v>
      </c>
      <c r="M418" s="23" t="s">
        <v>231</v>
      </c>
    </row>
    <row r="419" spans="2:13">
      <c r="E419" s="4">
        <f t="shared" si="211"/>
        <v>419</v>
      </c>
      <c r="F419" s="9" t="s">
        <v>114</v>
      </c>
      <c r="M419" s="23" t="b">
        <v>1</v>
      </c>
    </row>
    <row r="420" spans="2:13">
      <c r="E420" s="4">
        <f t="shared" si="211"/>
        <v>420</v>
      </c>
      <c r="F420" s="9" t="s">
        <v>98</v>
      </c>
      <c r="G420" s="9" t="s">
        <v>233</v>
      </c>
      <c r="H420" s="9">
        <v>6</v>
      </c>
      <c r="K420" s="9" t="s">
        <v>136</v>
      </c>
      <c r="M420" s="23" t="str">
        <f t="shared" ref="M420" si="231">CONCATENATE($G$15+MOD(C414-1,$G$10)+1,",",$H$15)</f>
        <v>-4,6</v>
      </c>
    </row>
    <row r="421" spans="2:13">
      <c r="E421" s="4">
        <f t="shared" si="211"/>
        <v>421</v>
      </c>
      <c r="F421" s="9" t="s">
        <v>30</v>
      </c>
      <c r="M421" s="23">
        <v>3.5</v>
      </c>
    </row>
    <row r="422" spans="2:13">
      <c r="E422" s="4">
        <f t="shared" si="211"/>
        <v>422</v>
      </c>
      <c r="F422" s="9" t="s">
        <v>31</v>
      </c>
      <c r="L422" s="9" t="s">
        <v>134</v>
      </c>
      <c r="M422" s="23">
        <v>270</v>
      </c>
    </row>
    <row r="423" spans="2:13">
      <c r="B423" s="22">
        <f t="shared" ref="B423:B486" si="232">QUOTIENT( D423-1,G424)+1</f>
        <v>6</v>
      </c>
      <c r="C423" s="22">
        <f t="shared" ref="C423" si="233">D423-(B423-1)*G424</f>
        <v>2</v>
      </c>
      <c r="D423" s="22">
        <f>COUNT($D$8:$D422)+1</f>
        <v>47</v>
      </c>
      <c r="E423" s="4"/>
    </row>
    <row r="424" spans="2:13">
      <c r="E424" s="4">
        <f t="shared" si="211"/>
        <v>424</v>
      </c>
      <c r="F424" s="9" t="s">
        <v>93</v>
      </c>
      <c r="G424" s="9" t="s">
        <v>40</v>
      </c>
      <c r="H424" s="9" t="s">
        <v>40</v>
      </c>
      <c r="J424" s="9" t="s">
        <v>241</v>
      </c>
      <c r="M424" s="23">
        <f t="shared" ref="M424:M487" si="234">J424+D423</f>
        <v>10247</v>
      </c>
    </row>
    <row r="425" spans="2:13">
      <c r="E425" s="4">
        <f t="shared" si="211"/>
        <v>425</v>
      </c>
      <c r="F425" s="9" t="s">
        <v>145</v>
      </c>
      <c r="G425" s="9">
        <v>150</v>
      </c>
      <c r="H425" s="9" t="s">
        <v>232</v>
      </c>
      <c r="M425" s="23">
        <f t="shared" ref="M425" si="235">$G$11+B423*$H$11</f>
        <v>750</v>
      </c>
    </row>
    <row r="426" spans="2:13">
      <c r="E426" s="4">
        <f t="shared" si="211"/>
        <v>426</v>
      </c>
      <c r="F426" s="9" t="s">
        <v>29</v>
      </c>
      <c r="M426" s="23" t="s">
        <v>230</v>
      </c>
    </row>
    <row r="427" spans="2:13">
      <c r="E427" s="4">
        <f t="shared" si="211"/>
        <v>427</v>
      </c>
      <c r="F427" s="9" t="s">
        <v>118</v>
      </c>
      <c r="M427" s="23" t="s">
        <v>231</v>
      </c>
    </row>
    <row r="428" spans="2:13">
      <c r="E428" s="4">
        <f t="shared" si="211"/>
        <v>428</v>
      </c>
      <c r="F428" s="9" t="s">
        <v>114</v>
      </c>
      <c r="M428" s="23" t="b">
        <v>1</v>
      </c>
    </row>
    <row r="429" spans="2:13">
      <c r="E429" s="4">
        <f t="shared" si="211"/>
        <v>429</v>
      </c>
      <c r="F429" s="9" t="s">
        <v>98</v>
      </c>
      <c r="G429" s="9" t="s">
        <v>233</v>
      </c>
      <c r="H429" s="9">
        <v>6</v>
      </c>
      <c r="K429" s="9" t="s">
        <v>136</v>
      </c>
      <c r="M429" s="23" t="str">
        <f t="shared" ref="M429" si="236">CONCATENATE($G$15+MOD(C423-1,$G$10)+1,",",$H$15)</f>
        <v>-3,6</v>
      </c>
    </row>
    <row r="430" spans="2:13">
      <c r="E430" s="4">
        <f t="shared" si="211"/>
        <v>430</v>
      </c>
      <c r="F430" s="9" t="s">
        <v>30</v>
      </c>
      <c r="M430" s="23">
        <v>3.5</v>
      </c>
    </row>
    <row r="431" spans="2:13">
      <c r="E431" s="4">
        <f t="shared" si="211"/>
        <v>431</v>
      </c>
      <c r="F431" s="9" t="s">
        <v>31</v>
      </c>
      <c r="L431" s="9" t="s">
        <v>134</v>
      </c>
      <c r="M431" s="23">
        <v>270</v>
      </c>
    </row>
    <row r="432" spans="2:13">
      <c r="B432" s="22">
        <f t="shared" ref="B432:B495" si="237">QUOTIENT( D432-1,G433)+1</f>
        <v>6</v>
      </c>
      <c r="C432" s="22">
        <f t="shared" ref="C432" si="238">D432-(B432-1)*G433</f>
        <v>3</v>
      </c>
      <c r="D432" s="22">
        <f>COUNT($D$8:$D431)+1</f>
        <v>48</v>
      </c>
      <c r="E432" s="4"/>
    </row>
    <row r="433" spans="2:13">
      <c r="E433" s="4">
        <f t="shared" si="211"/>
        <v>433</v>
      </c>
      <c r="F433" s="9" t="s">
        <v>93</v>
      </c>
      <c r="G433" s="9" t="s">
        <v>40</v>
      </c>
      <c r="H433" s="9" t="s">
        <v>40</v>
      </c>
      <c r="J433" s="9" t="s">
        <v>241</v>
      </c>
      <c r="M433" s="23">
        <f t="shared" ref="M433:M496" si="239">J433+D432</f>
        <v>10248</v>
      </c>
    </row>
    <row r="434" spans="2:13">
      <c r="E434" s="4">
        <f t="shared" si="211"/>
        <v>434</v>
      </c>
      <c r="F434" s="9" t="s">
        <v>145</v>
      </c>
      <c r="G434" s="9">
        <v>150</v>
      </c>
      <c r="H434" s="9" t="s">
        <v>232</v>
      </c>
      <c r="M434" s="23">
        <f t="shared" ref="M434" si="240">$G$11+B432*$H$11</f>
        <v>750</v>
      </c>
    </row>
    <row r="435" spans="2:13">
      <c r="E435" s="4">
        <f t="shared" si="211"/>
        <v>435</v>
      </c>
      <c r="F435" s="9" t="s">
        <v>29</v>
      </c>
      <c r="M435" s="23" t="s">
        <v>230</v>
      </c>
    </row>
    <row r="436" spans="2:13">
      <c r="E436" s="4">
        <f t="shared" si="211"/>
        <v>436</v>
      </c>
      <c r="F436" s="9" t="s">
        <v>118</v>
      </c>
      <c r="M436" s="23" t="s">
        <v>231</v>
      </c>
    </row>
    <row r="437" spans="2:13">
      <c r="E437" s="4">
        <f t="shared" si="211"/>
        <v>437</v>
      </c>
      <c r="F437" s="9" t="s">
        <v>114</v>
      </c>
      <c r="M437" s="23" t="b">
        <v>1</v>
      </c>
    </row>
    <row r="438" spans="2:13">
      <c r="E438" s="4">
        <f t="shared" si="211"/>
        <v>438</v>
      </c>
      <c r="F438" s="9" t="s">
        <v>98</v>
      </c>
      <c r="G438" s="9" t="s">
        <v>233</v>
      </c>
      <c r="H438" s="9">
        <v>6</v>
      </c>
      <c r="K438" s="9" t="s">
        <v>136</v>
      </c>
      <c r="M438" s="23" t="str">
        <f t="shared" ref="M438" si="241">CONCATENATE($G$15+MOD(C432-1,$G$10)+1,",",$H$15)</f>
        <v>-2,6</v>
      </c>
    </row>
    <row r="439" spans="2:13">
      <c r="E439" s="4">
        <f t="shared" si="211"/>
        <v>439</v>
      </c>
      <c r="F439" s="9" t="s">
        <v>30</v>
      </c>
      <c r="M439" s="23">
        <v>3.5</v>
      </c>
    </row>
    <row r="440" spans="2:13">
      <c r="E440" s="4">
        <f t="shared" si="211"/>
        <v>440</v>
      </c>
      <c r="F440" s="9" t="s">
        <v>31</v>
      </c>
      <c r="L440" s="9" t="s">
        <v>134</v>
      </c>
      <c r="M440" s="23">
        <v>270</v>
      </c>
    </row>
    <row r="441" spans="2:13">
      <c r="B441" s="22">
        <f t="shared" ref="B441:B504" si="242">QUOTIENT( D441-1,G442)+1</f>
        <v>6</v>
      </c>
      <c r="C441" s="22">
        <f t="shared" ref="C441" si="243">D441-(B441-1)*G442</f>
        <v>4</v>
      </c>
      <c r="D441" s="22">
        <f>COUNT($D$8:$D440)+1</f>
        <v>49</v>
      </c>
      <c r="E441" s="4"/>
    </row>
    <row r="442" spans="2:13">
      <c r="E442" s="4">
        <f t="shared" si="211"/>
        <v>442</v>
      </c>
      <c r="F442" s="9" t="s">
        <v>93</v>
      </c>
      <c r="G442" s="9" t="s">
        <v>40</v>
      </c>
      <c r="H442" s="9" t="s">
        <v>40</v>
      </c>
      <c r="J442" s="9" t="s">
        <v>241</v>
      </c>
      <c r="M442" s="23">
        <f t="shared" ref="M442:M505" si="244">J442+D441</f>
        <v>10249</v>
      </c>
    </row>
    <row r="443" spans="2:13">
      <c r="E443" s="4">
        <f t="shared" si="211"/>
        <v>443</v>
      </c>
      <c r="F443" s="9" t="s">
        <v>145</v>
      </c>
      <c r="G443" s="9">
        <v>150</v>
      </c>
      <c r="H443" s="9" t="s">
        <v>232</v>
      </c>
      <c r="M443" s="23">
        <f t="shared" ref="M443" si="245">$G$11+B441*$H$11</f>
        <v>750</v>
      </c>
    </row>
    <row r="444" spans="2:13">
      <c r="E444" s="4">
        <f t="shared" si="211"/>
        <v>444</v>
      </c>
      <c r="F444" s="9" t="s">
        <v>29</v>
      </c>
      <c r="M444" s="23" t="s">
        <v>230</v>
      </c>
    </row>
    <row r="445" spans="2:13">
      <c r="E445" s="4">
        <f t="shared" si="211"/>
        <v>445</v>
      </c>
      <c r="F445" s="9" t="s">
        <v>118</v>
      </c>
      <c r="M445" s="23" t="s">
        <v>231</v>
      </c>
    </row>
    <row r="446" spans="2:13">
      <c r="E446" s="4">
        <f t="shared" si="211"/>
        <v>446</v>
      </c>
      <c r="F446" s="9" t="s">
        <v>114</v>
      </c>
      <c r="M446" s="23" t="b">
        <v>1</v>
      </c>
    </row>
    <row r="447" spans="2:13">
      <c r="E447" s="4">
        <f t="shared" si="211"/>
        <v>447</v>
      </c>
      <c r="F447" s="9" t="s">
        <v>98</v>
      </c>
      <c r="G447" s="9" t="s">
        <v>233</v>
      </c>
      <c r="H447" s="9">
        <v>6</v>
      </c>
      <c r="K447" s="9" t="s">
        <v>136</v>
      </c>
      <c r="M447" s="23" t="str">
        <f t="shared" ref="M447" si="246">CONCATENATE($G$15+MOD(C441-1,$G$10)+1,",",$H$15)</f>
        <v>-1,6</v>
      </c>
    </row>
    <row r="448" spans="2:13">
      <c r="E448" s="4">
        <f t="shared" si="211"/>
        <v>448</v>
      </c>
      <c r="F448" s="9" t="s">
        <v>30</v>
      </c>
      <c r="M448" s="23">
        <v>3.5</v>
      </c>
    </row>
    <row r="449" spans="2:13">
      <c r="E449" s="4">
        <f t="shared" si="211"/>
        <v>449</v>
      </c>
      <c r="F449" s="9" t="s">
        <v>31</v>
      </c>
      <c r="L449" s="9" t="s">
        <v>134</v>
      </c>
      <c r="M449" s="23">
        <v>270</v>
      </c>
    </row>
    <row r="450" spans="2:13">
      <c r="B450" s="22">
        <f t="shared" ref="B450:B513" si="247">QUOTIENT( D450-1,G451)+1</f>
        <v>6</v>
      </c>
      <c r="C450" s="22">
        <f t="shared" ref="C450" si="248">D450-(B450-1)*G451</f>
        <v>5</v>
      </c>
      <c r="D450" s="22">
        <f>COUNT($D$8:$D449)+1</f>
        <v>50</v>
      </c>
      <c r="E450" s="4"/>
    </row>
    <row r="451" spans="2:13">
      <c r="E451" s="4">
        <f t="shared" ref="E451:E514" si="249">ROW(E451)</f>
        <v>451</v>
      </c>
      <c r="F451" s="9" t="s">
        <v>93</v>
      </c>
      <c r="G451" s="9" t="s">
        <v>40</v>
      </c>
      <c r="H451" s="9" t="s">
        <v>40</v>
      </c>
      <c r="J451" s="9" t="s">
        <v>241</v>
      </c>
      <c r="M451" s="23">
        <f t="shared" ref="M451:M514" si="250">J451+D450</f>
        <v>10250</v>
      </c>
    </row>
    <row r="452" spans="2:13">
      <c r="E452" s="4">
        <f t="shared" si="249"/>
        <v>452</v>
      </c>
      <c r="F452" s="9" t="s">
        <v>145</v>
      </c>
      <c r="G452" s="9">
        <v>150</v>
      </c>
      <c r="H452" s="9" t="s">
        <v>232</v>
      </c>
      <c r="M452" s="23">
        <f t="shared" ref="M452" si="251">$G$11+B450*$H$11</f>
        <v>750</v>
      </c>
    </row>
    <row r="453" spans="2:13">
      <c r="E453" s="4">
        <f t="shared" si="249"/>
        <v>453</v>
      </c>
      <c r="F453" s="9" t="s">
        <v>29</v>
      </c>
      <c r="M453" s="23" t="s">
        <v>230</v>
      </c>
    </row>
    <row r="454" spans="2:13">
      <c r="E454" s="4">
        <f t="shared" si="249"/>
        <v>454</v>
      </c>
      <c r="F454" s="9" t="s">
        <v>118</v>
      </c>
      <c r="M454" s="23" t="s">
        <v>231</v>
      </c>
    </row>
    <row r="455" spans="2:13">
      <c r="E455" s="4">
        <f t="shared" si="249"/>
        <v>455</v>
      </c>
      <c r="F455" s="9" t="s">
        <v>114</v>
      </c>
      <c r="M455" s="23" t="b">
        <v>1</v>
      </c>
    </row>
    <row r="456" spans="2:13">
      <c r="E456" s="4">
        <f t="shared" si="249"/>
        <v>456</v>
      </c>
      <c r="F456" s="9" t="s">
        <v>98</v>
      </c>
      <c r="G456" s="9" t="s">
        <v>233</v>
      </c>
      <c r="H456" s="9">
        <v>6</v>
      </c>
      <c r="K456" s="9" t="s">
        <v>136</v>
      </c>
      <c r="M456" s="23" t="str">
        <f t="shared" ref="M456" si="252">CONCATENATE($G$15+MOD(C450-1,$G$10)+1,",",$H$15)</f>
        <v>0,6</v>
      </c>
    </row>
    <row r="457" spans="2:13">
      <c r="E457" s="4">
        <f t="shared" si="249"/>
        <v>457</v>
      </c>
      <c r="F457" s="9" t="s">
        <v>30</v>
      </c>
      <c r="M457" s="23">
        <v>3.5</v>
      </c>
    </row>
    <row r="458" spans="2:13">
      <c r="E458" s="4">
        <f t="shared" si="249"/>
        <v>458</v>
      </c>
      <c r="F458" s="9" t="s">
        <v>31</v>
      </c>
      <c r="L458" s="9" t="s">
        <v>134</v>
      </c>
      <c r="M458" s="23">
        <v>270</v>
      </c>
    </row>
    <row r="459" spans="2:13">
      <c r="B459" s="22">
        <f t="shared" ref="B459:B522" si="253">QUOTIENT( D459-1,G460)+1</f>
        <v>6</v>
      </c>
      <c r="C459" s="22">
        <f t="shared" ref="C459" si="254">D459-(B459-1)*G460</f>
        <v>6</v>
      </c>
      <c r="D459" s="22">
        <f>COUNT($D$8:$D458)+1</f>
        <v>51</v>
      </c>
      <c r="E459" s="4"/>
    </row>
    <row r="460" spans="2:13">
      <c r="E460" s="4">
        <f t="shared" si="249"/>
        <v>460</v>
      </c>
      <c r="F460" s="9" t="s">
        <v>93</v>
      </c>
      <c r="G460" s="9" t="s">
        <v>40</v>
      </c>
      <c r="H460" s="9" t="s">
        <v>40</v>
      </c>
      <c r="J460" s="9" t="s">
        <v>241</v>
      </c>
      <c r="M460" s="23">
        <f t="shared" ref="M460:M523" si="255">J460+D459</f>
        <v>10251</v>
      </c>
    </row>
    <row r="461" spans="2:13">
      <c r="E461" s="4">
        <f t="shared" si="249"/>
        <v>461</v>
      </c>
      <c r="F461" s="9" t="s">
        <v>145</v>
      </c>
      <c r="G461" s="9">
        <v>150</v>
      </c>
      <c r="H461" s="9" t="s">
        <v>232</v>
      </c>
      <c r="M461" s="23">
        <f t="shared" ref="M461" si="256">$G$11+B459*$H$11</f>
        <v>750</v>
      </c>
    </row>
    <row r="462" spans="2:13">
      <c r="E462" s="4">
        <f t="shared" si="249"/>
        <v>462</v>
      </c>
      <c r="F462" s="9" t="s">
        <v>29</v>
      </c>
      <c r="M462" s="23" t="s">
        <v>230</v>
      </c>
    </row>
    <row r="463" spans="2:13">
      <c r="E463" s="4">
        <f t="shared" si="249"/>
        <v>463</v>
      </c>
      <c r="F463" s="9" t="s">
        <v>118</v>
      </c>
      <c r="M463" s="23" t="s">
        <v>231</v>
      </c>
    </row>
    <row r="464" spans="2:13">
      <c r="E464" s="4">
        <f t="shared" si="249"/>
        <v>464</v>
      </c>
      <c r="F464" s="9" t="s">
        <v>114</v>
      </c>
      <c r="M464" s="23" t="b">
        <v>1</v>
      </c>
    </row>
    <row r="465" spans="2:13">
      <c r="E465" s="4">
        <f t="shared" si="249"/>
        <v>465</v>
      </c>
      <c r="F465" s="9" t="s">
        <v>98</v>
      </c>
      <c r="G465" s="9" t="s">
        <v>233</v>
      </c>
      <c r="H465" s="9">
        <v>6</v>
      </c>
      <c r="K465" s="9" t="s">
        <v>136</v>
      </c>
      <c r="M465" s="23" t="str">
        <f t="shared" ref="M465" si="257">CONCATENATE($G$15+MOD(C459-1,$G$10)+1,",",$H$15)</f>
        <v>1,6</v>
      </c>
    </row>
    <row r="466" spans="2:13">
      <c r="E466" s="4">
        <f t="shared" si="249"/>
        <v>466</v>
      </c>
      <c r="F466" s="9" t="s">
        <v>30</v>
      </c>
      <c r="M466" s="23">
        <v>3.5</v>
      </c>
    </row>
    <row r="467" spans="2:13">
      <c r="E467" s="4">
        <f t="shared" si="249"/>
        <v>467</v>
      </c>
      <c r="F467" s="9" t="s">
        <v>31</v>
      </c>
      <c r="L467" s="9" t="s">
        <v>134</v>
      </c>
      <c r="M467" s="23">
        <v>270</v>
      </c>
    </row>
    <row r="468" spans="2:13">
      <c r="B468" s="22">
        <f t="shared" ref="B468:B531" si="258">QUOTIENT( D468-1,G469)+1</f>
        <v>6</v>
      </c>
      <c r="C468" s="22">
        <f t="shared" ref="C468" si="259">D468-(B468-1)*G469</f>
        <v>7</v>
      </c>
      <c r="D468" s="22">
        <f>COUNT($D$8:$D467)+1</f>
        <v>52</v>
      </c>
      <c r="E468" s="4"/>
    </row>
    <row r="469" spans="2:13">
      <c r="E469" s="4">
        <f t="shared" si="249"/>
        <v>469</v>
      </c>
      <c r="F469" s="9" t="s">
        <v>93</v>
      </c>
      <c r="G469" s="9" t="s">
        <v>40</v>
      </c>
      <c r="H469" s="9" t="s">
        <v>40</v>
      </c>
      <c r="J469" s="9" t="s">
        <v>241</v>
      </c>
      <c r="M469" s="23">
        <f t="shared" ref="M469:M532" si="260">J469+D468</f>
        <v>10252</v>
      </c>
    </row>
    <row r="470" spans="2:13">
      <c r="E470" s="4">
        <f t="shared" si="249"/>
        <v>470</v>
      </c>
      <c r="F470" s="9" t="s">
        <v>145</v>
      </c>
      <c r="G470" s="9">
        <v>150</v>
      </c>
      <c r="H470" s="9" t="s">
        <v>232</v>
      </c>
      <c r="M470" s="23">
        <f t="shared" ref="M470" si="261">$G$11+B468*$H$11</f>
        <v>750</v>
      </c>
    </row>
    <row r="471" spans="2:13">
      <c r="E471" s="4">
        <f t="shared" si="249"/>
        <v>471</v>
      </c>
      <c r="F471" s="9" t="s">
        <v>29</v>
      </c>
      <c r="M471" s="23" t="s">
        <v>230</v>
      </c>
    </row>
    <row r="472" spans="2:13">
      <c r="E472" s="4">
        <f t="shared" si="249"/>
        <v>472</v>
      </c>
      <c r="F472" s="9" t="s">
        <v>118</v>
      </c>
      <c r="M472" s="23" t="s">
        <v>231</v>
      </c>
    </row>
    <row r="473" spans="2:13">
      <c r="E473" s="4">
        <f t="shared" si="249"/>
        <v>473</v>
      </c>
      <c r="F473" s="9" t="s">
        <v>114</v>
      </c>
      <c r="M473" s="23" t="b">
        <v>1</v>
      </c>
    </row>
    <row r="474" spans="2:13">
      <c r="E474" s="4">
        <f t="shared" si="249"/>
        <v>474</v>
      </c>
      <c r="F474" s="9" t="s">
        <v>98</v>
      </c>
      <c r="G474" s="9" t="s">
        <v>233</v>
      </c>
      <c r="H474" s="9">
        <v>6</v>
      </c>
      <c r="K474" s="9" t="s">
        <v>136</v>
      </c>
      <c r="M474" s="23" t="str">
        <f t="shared" ref="M474" si="262">CONCATENATE($G$15+MOD(C468-1,$G$10)+1,",",$H$15)</f>
        <v>2,6</v>
      </c>
    </row>
    <row r="475" spans="2:13">
      <c r="E475" s="4">
        <f t="shared" si="249"/>
        <v>475</v>
      </c>
      <c r="F475" s="9" t="s">
        <v>30</v>
      </c>
      <c r="M475" s="23">
        <v>3.5</v>
      </c>
    </row>
    <row r="476" spans="2:13">
      <c r="E476" s="4">
        <f t="shared" si="249"/>
        <v>476</v>
      </c>
      <c r="F476" s="9" t="s">
        <v>31</v>
      </c>
      <c r="L476" s="9" t="s">
        <v>134</v>
      </c>
      <c r="M476" s="23">
        <v>270</v>
      </c>
    </row>
    <row r="477" spans="2:13">
      <c r="B477" s="22">
        <f t="shared" ref="B477:B540" si="263">QUOTIENT( D477-1,G478)+1</f>
        <v>6</v>
      </c>
      <c r="C477" s="22">
        <f t="shared" ref="C477" si="264">D477-(B477-1)*G478</f>
        <v>8</v>
      </c>
      <c r="D477" s="22">
        <f>COUNT($D$8:$D476)+1</f>
        <v>53</v>
      </c>
      <c r="E477" s="4"/>
    </row>
    <row r="478" spans="2:13">
      <c r="E478" s="4">
        <f t="shared" si="249"/>
        <v>478</v>
      </c>
      <c r="F478" s="9" t="s">
        <v>93</v>
      </c>
      <c r="G478" s="9" t="s">
        <v>40</v>
      </c>
      <c r="H478" s="9" t="s">
        <v>40</v>
      </c>
      <c r="J478" s="9" t="s">
        <v>241</v>
      </c>
      <c r="M478" s="23">
        <f t="shared" ref="M478:M541" si="265">J478+D477</f>
        <v>10253</v>
      </c>
    </row>
    <row r="479" spans="2:13">
      <c r="E479" s="4">
        <f t="shared" si="249"/>
        <v>479</v>
      </c>
      <c r="F479" s="9" t="s">
        <v>145</v>
      </c>
      <c r="G479" s="9">
        <v>150</v>
      </c>
      <c r="H479" s="9" t="s">
        <v>232</v>
      </c>
      <c r="M479" s="23">
        <f t="shared" ref="M479" si="266">$G$11+B477*$H$11</f>
        <v>750</v>
      </c>
    </row>
    <row r="480" spans="2:13">
      <c r="E480" s="4">
        <f t="shared" si="249"/>
        <v>480</v>
      </c>
      <c r="F480" s="9" t="s">
        <v>29</v>
      </c>
      <c r="M480" s="23" t="s">
        <v>230</v>
      </c>
    </row>
    <row r="481" spans="2:13">
      <c r="E481" s="4">
        <f t="shared" si="249"/>
        <v>481</v>
      </c>
      <c r="F481" s="9" t="s">
        <v>118</v>
      </c>
      <c r="M481" s="23" t="s">
        <v>231</v>
      </c>
    </row>
    <row r="482" spans="2:13">
      <c r="E482" s="4">
        <f t="shared" si="249"/>
        <v>482</v>
      </c>
      <c r="F482" s="9" t="s">
        <v>114</v>
      </c>
      <c r="M482" s="23" t="b">
        <v>1</v>
      </c>
    </row>
    <row r="483" spans="2:13">
      <c r="E483" s="4">
        <f t="shared" si="249"/>
        <v>483</v>
      </c>
      <c r="F483" s="9" t="s">
        <v>98</v>
      </c>
      <c r="G483" s="9" t="s">
        <v>233</v>
      </c>
      <c r="H483" s="9">
        <v>6</v>
      </c>
      <c r="K483" s="9" t="s">
        <v>136</v>
      </c>
      <c r="M483" s="23" t="str">
        <f t="shared" ref="M483" si="267">CONCATENATE($G$15+MOD(C477-1,$G$10)+1,",",$H$15)</f>
        <v>3,6</v>
      </c>
    </row>
    <row r="484" spans="2:13">
      <c r="E484" s="4">
        <f t="shared" si="249"/>
        <v>484</v>
      </c>
      <c r="F484" s="9" t="s">
        <v>30</v>
      </c>
      <c r="M484" s="23">
        <v>3.5</v>
      </c>
    </row>
    <row r="485" spans="2:13">
      <c r="E485" s="4">
        <f t="shared" si="249"/>
        <v>485</v>
      </c>
      <c r="F485" s="9" t="s">
        <v>31</v>
      </c>
      <c r="L485" s="9" t="s">
        <v>134</v>
      </c>
      <c r="M485" s="23">
        <v>270</v>
      </c>
    </row>
    <row r="486" spans="2:13">
      <c r="B486" s="22">
        <f t="shared" ref="B486:B549" si="268">QUOTIENT( D486-1,G487)+1</f>
        <v>6</v>
      </c>
      <c r="C486" s="22">
        <f t="shared" ref="C486" si="269">D486-(B486-1)*G487</f>
        <v>9</v>
      </c>
      <c r="D486" s="22">
        <f>COUNT($D$8:$D485)+1</f>
        <v>54</v>
      </c>
      <c r="E486" s="4"/>
    </row>
    <row r="487" spans="2:13">
      <c r="E487" s="4">
        <f t="shared" si="249"/>
        <v>487</v>
      </c>
      <c r="F487" s="9" t="s">
        <v>93</v>
      </c>
      <c r="G487" s="9" t="s">
        <v>40</v>
      </c>
      <c r="H487" s="9" t="s">
        <v>40</v>
      </c>
      <c r="J487" s="9" t="s">
        <v>241</v>
      </c>
      <c r="M487" s="23">
        <f t="shared" ref="M487:M550" si="270">J487+D486</f>
        <v>10254</v>
      </c>
    </row>
    <row r="488" spans="2:13">
      <c r="E488" s="4">
        <f t="shared" si="249"/>
        <v>488</v>
      </c>
      <c r="F488" s="9" t="s">
        <v>145</v>
      </c>
      <c r="G488" s="9">
        <v>150</v>
      </c>
      <c r="H488" s="9" t="s">
        <v>232</v>
      </c>
      <c r="M488" s="23">
        <f t="shared" ref="M488" si="271">$G$11+B486*$H$11</f>
        <v>750</v>
      </c>
    </row>
    <row r="489" spans="2:13">
      <c r="E489" s="4">
        <f t="shared" si="249"/>
        <v>489</v>
      </c>
      <c r="F489" s="9" t="s">
        <v>29</v>
      </c>
      <c r="M489" s="23" t="s">
        <v>230</v>
      </c>
    </row>
    <row r="490" spans="2:13">
      <c r="E490" s="4">
        <f t="shared" si="249"/>
        <v>490</v>
      </c>
      <c r="F490" s="9" t="s">
        <v>118</v>
      </c>
      <c r="M490" s="23" t="s">
        <v>231</v>
      </c>
    </row>
    <row r="491" spans="2:13">
      <c r="E491" s="4">
        <f t="shared" si="249"/>
        <v>491</v>
      </c>
      <c r="F491" s="9" t="s">
        <v>114</v>
      </c>
      <c r="M491" s="23" t="b">
        <v>1</v>
      </c>
    </row>
    <row r="492" spans="2:13">
      <c r="E492" s="4">
        <f t="shared" si="249"/>
        <v>492</v>
      </c>
      <c r="F492" s="9" t="s">
        <v>98</v>
      </c>
      <c r="G492" s="9" t="s">
        <v>233</v>
      </c>
      <c r="H492" s="9">
        <v>6</v>
      </c>
      <c r="K492" s="9" t="s">
        <v>136</v>
      </c>
      <c r="M492" s="23" t="str">
        <f t="shared" ref="M492" si="272">CONCATENATE($G$15+MOD(C486-1,$G$10)+1,",",$H$15)</f>
        <v>4,6</v>
      </c>
    </row>
    <row r="493" spans="2:13">
      <c r="E493" s="4">
        <f t="shared" si="249"/>
        <v>493</v>
      </c>
      <c r="F493" s="9" t="s">
        <v>30</v>
      </c>
      <c r="M493" s="23">
        <v>3.5</v>
      </c>
    </row>
    <row r="494" spans="2:13">
      <c r="E494" s="4">
        <f t="shared" si="249"/>
        <v>494</v>
      </c>
      <c r="F494" s="9" t="s">
        <v>31</v>
      </c>
      <c r="L494" s="9" t="s">
        <v>134</v>
      </c>
      <c r="M494" s="23">
        <v>270</v>
      </c>
    </row>
    <row r="495" spans="2:13">
      <c r="B495" s="22">
        <f t="shared" ref="B495:B558" si="273">QUOTIENT( D495-1,G496)+1</f>
        <v>7</v>
      </c>
      <c r="C495" s="22">
        <f t="shared" ref="C495" si="274">D495-(B495-1)*G496</f>
        <v>1</v>
      </c>
      <c r="D495" s="22">
        <f>COUNT($D$8:$D494)+1</f>
        <v>55</v>
      </c>
      <c r="E495" s="4"/>
    </row>
    <row r="496" spans="2:13">
      <c r="E496" s="4">
        <f t="shared" si="249"/>
        <v>496</v>
      </c>
      <c r="F496" s="9" t="s">
        <v>93</v>
      </c>
      <c r="G496" s="9" t="s">
        <v>40</v>
      </c>
      <c r="H496" s="9" t="s">
        <v>40</v>
      </c>
      <c r="J496" s="9" t="s">
        <v>241</v>
      </c>
      <c r="M496" s="23">
        <f t="shared" ref="M496:M559" si="275">J496+D495</f>
        <v>10255</v>
      </c>
    </row>
    <row r="497" spans="2:13">
      <c r="E497" s="4">
        <f t="shared" si="249"/>
        <v>497</v>
      </c>
      <c r="F497" s="9" t="s">
        <v>145</v>
      </c>
      <c r="G497" s="9">
        <v>150</v>
      </c>
      <c r="H497" s="9" t="s">
        <v>232</v>
      </c>
      <c r="M497" s="23">
        <f t="shared" ref="M497" si="276">$G$11+B495*$H$11</f>
        <v>850</v>
      </c>
    </row>
    <row r="498" spans="2:13">
      <c r="E498" s="4">
        <f t="shared" si="249"/>
        <v>498</v>
      </c>
      <c r="F498" s="9" t="s">
        <v>29</v>
      </c>
      <c r="M498" s="23" t="s">
        <v>230</v>
      </c>
    </row>
    <row r="499" spans="2:13">
      <c r="E499" s="4">
        <f t="shared" si="249"/>
        <v>499</v>
      </c>
      <c r="F499" s="9" t="s">
        <v>118</v>
      </c>
      <c r="M499" s="23" t="s">
        <v>231</v>
      </c>
    </row>
    <row r="500" spans="2:13">
      <c r="E500" s="4">
        <f t="shared" si="249"/>
        <v>500</v>
      </c>
      <c r="F500" s="9" t="s">
        <v>114</v>
      </c>
      <c r="M500" s="23" t="b">
        <v>1</v>
      </c>
    </row>
    <row r="501" spans="2:13">
      <c r="E501" s="4">
        <f t="shared" si="249"/>
        <v>501</v>
      </c>
      <c r="F501" s="9" t="s">
        <v>98</v>
      </c>
      <c r="G501" s="9" t="s">
        <v>233</v>
      </c>
      <c r="H501" s="9">
        <v>6</v>
      </c>
      <c r="K501" s="9" t="s">
        <v>136</v>
      </c>
      <c r="M501" s="23" t="str">
        <f t="shared" ref="M501" si="277">CONCATENATE($G$15+MOD(C495-1,$G$10)+1,",",$H$15)</f>
        <v>-4,6</v>
      </c>
    </row>
    <row r="502" spans="2:13">
      <c r="E502" s="4">
        <f t="shared" si="249"/>
        <v>502</v>
      </c>
      <c r="F502" s="9" t="s">
        <v>30</v>
      </c>
      <c r="M502" s="23">
        <v>3.5</v>
      </c>
    </row>
    <row r="503" spans="2:13">
      <c r="E503" s="4">
        <f t="shared" si="249"/>
        <v>503</v>
      </c>
      <c r="F503" s="9" t="s">
        <v>31</v>
      </c>
      <c r="L503" s="9" t="s">
        <v>134</v>
      </c>
      <c r="M503" s="23">
        <v>270</v>
      </c>
    </row>
    <row r="504" spans="2:13">
      <c r="B504" s="22">
        <f t="shared" ref="B504:B567" si="278">QUOTIENT( D504-1,G505)+1</f>
        <v>7</v>
      </c>
      <c r="C504" s="22">
        <f t="shared" ref="C504" si="279">D504-(B504-1)*G505</f>
        <v>2</v>
      </c>
      <c r="D504" s="22">
        <f>COUNT($D$8:$D503)+1</f>
        <v>56</v>
      </c>
      <c r="E504" s="4"/>
    </row>
    <row r="505" spans="2:13">
      <c r="E505" s="4">
        <f t="shared" si="249"/>
        <v>505</v>
      </c>
      <c r="F505" s="9" t="s">
        <v>93</v>
      </c>
      <c r="G505" s="9" t="s">
        <v>40</v>
      </c>
      <c r="H505" s="9" t="s">
        <v>40</v>
      </c>
      <c r="J505" s="9" t="s">
        <v>241</v>
      </c>
      <c r="M505" s="23">
        <f t="shared" ref="M505:M568" si="280">J505+D504</f>
        <v>10256</v>
      </c>
    </row>
    <row r="506" spans="2:13">
      <c r="E506" s="4">
        <f t="shared" si="249"/>
        <v>506</v>
      </c>
      <c r="F506" s="9" t="s">
        <v>145</v>
      </c>
      <c r="G506" s="9">
        <v>150</v>
      </c>
      <c r="H506" s="9" t="s">
        <v>232</v>
      </c>
      <c r="M506" s="23">
        <f t="shared" ref="M506" si="281">$G$11+B504*$H$11</f>
        <v>850</v>
      </c>
    </row>
    <row r="507" spans="2:13">
      <c r="E507" s="4">
        <f t="shared" si="249"/>
        <v>507</v>
      </c>
      <c r="F507" s="9" t="s">
        <v>29</v>
      </c>
      <c r="M507" s="23" t="s">
        <v>230</v>
      </c>
    </row>
    <row r="508" spans="2:13">
      <c r="E508" s="4">
        <f t="shared" si="249"/>
        <v>508</v>
      </c>
      <c r="F508" s="9" t="s">
        <v>118</v>
      </c>
      <c r="M508" s="23" t="s">
        <v>231</v>
      </c>
    </row>
    <row r="509" spans="2:13">
      <c r="E509" s="4">
        <f t="shared" si="249"/>
        <v>509</v>
      </c>
      <c r="F509" s="9" t="s">
        <v>114</v>
      </c>
      <c r="M509" s="23" t="b">
        <v>1</v>
      </c>
    </row>
    <row r="510" spans="2:13">
      <c r="E510" s="4">
        <f t="shared" si="249"/>
        <v>510</v>
      </c>
      <c r="F510" s="9" t="s">
        <v>98</v>
      </c>
      <c r="G510" s="9" t="s">
        <v>233</v>
      </c>
      <c r="H510" s="9">
        <v>6</v>
      </c>
      <c r="K510" s="9" t="s">
        <v>136</v>
      </c>
      <c r="M510" s="23" t="str">
        <f t="shared" ref="M510" si="282">CONCATENATE($G$15+MOD(C504-1,$G$10)+1,",",$H$15)</f>
        <v>-3,6</v>
      </c>
    </row>
    <row r="511" spans="2:13">
      <c r="E511" s="4">
        <f t="shared" si="249"/>
        <v>511</v>
      </c>
      <c r="F511" s="9" t="s">
        <v>30</v>
      </c>
      <c r="M511" s="23">
        <v>3.5</v>
      </c>
    </row>
    <row r="512" spans="2:13">
      <c r="E512" s="4">
        <f t="shared" si="249"/>
        <v>512</v>
      </c>
      <c r="F512" s="9" t="s">
        <v>31</v>
      </c>
      <c r="L512" s="9" t="s">
        <v>134</v>
      </c>
      <c r="M512" s="23">
        <v>270</v>
      </c>
    </row>
    <row r="513" spans="2:13">
      <c r="B513" s="22">
        <f t="shared" ref="B513:B576" si="283">QUOTIENT( D513-1,G514)+1</f>
        <v>7</v>
      </c>
      <c r="C513" s="22">
        <f t="shared" ref="C513" si="284">D513-(B513-1)*G514</f>
        <v>3</v>
      </c>
      <c r="D513" s="22">
        <f>COUNT($D$8:$D512)+1</f>
        <v>57</v>
      </c>
      <c r="E513" s="4"/>
    </row>
    <row r="514" spans="2:13">
      <c r="E514" s="4">
        <f t="shared" si="249"/>
        <v>514</v>
      </c>
      <c r="F514" s="9" t="s">
        <v>93</v>
      </c>
      <c r="G514" s="9" t="s">
        <v>40</v>
      </c>
      <c r="H514" s="9" t="s">
        <v>40</v>
      </c>
      <c r="J514" s="9" t="s">
        <v>241</v>
      </c>
      <c r="M514" s="23">
        <f t="shared" ref="M514:M577" si="285">J514+D513</f>
        <v>10257</v>
      </c>
    </row>
    <row r="515" spans="2:13">
      <c r="E515" s="4">
        <f t="shared" ref="E515:E578" si="286">ROW(E515)</f>
        <v>515</v>
      </c>
      <c r="F515" s="9" t="s">
        <v>145</v>
      </c>
      <c r="G515" s="9">
        <v>150</v>
      </c>
      <c r="H515" s="9" t="s">
        <v>232</v>
      </c>
      <c r="M515" s="23">
        <f t="shared" ref="M515" si="287">$G$11+B513*$H$11</f>
        <v>850</v>
      </c>
    </row>
    <row r="516" spans="2:13">
      <c r="E516" s="4">
        <f t="shared" si="286"/>
        <v>516</v>
      </c>
      <c r="F516" s="9" t="s">
        <v>29</v>
      </c>
      <c r="M516" s="23" t="s">
        <v>230</v>
      </c>
    </row>
    <row r="517" spans="2:13">
      <c r="E517" s="4">
        <f t="shared" si="286"/>
        <v>517</v>
      </c>
      <c r="F517" s="9" t="s">
        <v>118</v>
      </c>
      <c r="M517" s="23" t="s">
        <v>231</v>
      </c>
    </row>
    <row r="518" spans="2:13">
      <c r="E518" s="4">
        <f t="shared" si="286"/>
        <v>518</v>
      </c>
      <c r="F518" s="9" t="s">
        <v>114</v>
      </c>
      <c r="M518" s="23" t="b">
        <v>1</v>
      </c>
    </row>
    <row r="519" spans="2:13">
      <c r="E519" s="4">
        <f t="shared" si="286"/>
        <v>519</v>
      </c>
      <c r="F519" s="9" t="s">
        <v>98</v>
      </c>
      <c r="G519" s="9" t="s">
        <v>233</v>
      </c>
      <c r="H519" s="9">
        <v>6</v>
      </c>
      <c r="K519" s="9" t="s">
        <v>136</v>
      </c>
      <c r="M519" s="23" t="str">
        <f t="shared" ref="M519" si="288">CONCATENATE($G$15+MOD(C513-1,$G$10)+1,",",$H$15)</f>
        <v>-2,6</v>
      </c>
    </row>
    <row r="520" spans="2:13">
      <c r="E520" s="4">
        <f t="shared" si="286"/>
        <v>520</v>
      </c>
      <c r="F520" s="9" t="s">
        <v>30</v>
      </c>
      <c r="M520" s="23">
        <v>3.5</v>
      </c>
    </row>
    <row r="521" spans="2:13">
      <c r="E521" s="4">
        <f t="shared" si="286"/>
        <v>521</v>
      </c>
      <c r="F521" s="9" t="s">
        <v>31</v>
      </c>
      <c r="L521" s="9" t="s">
        <v>134</v>
      </c>
      <c r="M521" s="23">
        <v>270</v>
      </c>
    </row>
    <row r="522" spans="2:13">
      <c r="B522" s="22">
        <f t="shared" ref="B522:B585" si="289">QUOTIENT( D522-1,G523)+1</f>
        <v>7</v>
      </c>
      <c r="C522" s="22">
        <f t="shared" ref="C522" si="290">D522-(B522-1)*G523</f>
        <v>4</v>
      </c>
      <c r="D522" s="22">
        <f>COUNT($D$8:$D521)+1</f>
        <v>58</v>
      </c>
      <c r="E522" s="4"/>
    </row>
    <row r="523" spans="2:13">
      <c r="E523" s="4">
        <f t="shared" si="286"/>
        <v>523</v>
      </c>
      <c r="F523" s="9" t="s">
        <v>93</v>
      </c>
      <c r="G523" s="9" t="s">
        <v>40</v>
      </c>
      <c r="H523" s="9" t="s">
        <v>40</v>
      </c>
      <c r="J523" s="9" t="s">
        <v>241</v>
      </c>
      <c r="M523" s="23">
        <f t="shared" ref="M523:M586" si="291">J523+D522</f>
        <v>10258</v>
      </c>
    </row>
    <row r="524" spans="2:13">
      <c r="E524" s="4">
        <f t="shared" si="286"/>
        <v>524</v>
      </c>
      <c r="F524" s="9" t="s">
        <v>145</v>
      </c>
      <c r="G524" s="9">
        <v>150</v>
      </c>
      <c r="H524" s="9" t="s">
        <v>232</v>
      </c>
      <c r="M524" s="23">
        <f t="shared" ref="M524" si="292">$G$11+B522*$H$11</f>
        <v>850</v>
      </c>
    </row>
    <row r="525" spans="2:13">
      <c r="E525" s="4">
        <f t="shared" si="286"/>
        <v>525</v>
      </c>
      <c r="F525" s="9" t="s">
        <v>29</v>
      </c>
      <c r="M525" s="23" t="s">
        <v>230</v>
      </c>
    </row>
    <row r="526" spans="2:13">
      <c r="E526" s="4">
        <f t="shared" si="286"/>
        <v>526</v>
      </c>
      <c r="F526" s="9" t="s">
        <v>118</v>
      </c>
      <c r="M526" s="23" t="s">
        <v>231</v>
      </c>
    </row>
    <row r="527" spans="2:13">
      <c r="E527" s="4">
        <f t="shared" si="286"/>
        <v>527</v>
      </c>
      <c r="F527" s="9" t="s">
        <v>114</v>
      </c>
      <c r="M527" s="23" t="b">
        <v>1</v>
      </c>
    </row>
    <row r="528" spans="2:13">
      <c r="E528" s="4">
        <f t="shared" si="286"/>
        <v>528</v>
      </c>
      <c r="F528" s="9" t="s">
        <v>98</v>
      </c>
      <c r="G528" s="9" t="s">
        <v>233</v>
      </c>
      <c r="H528" s="9">
        <v>6</v>
      </c>
      <c r="K528" s="9" t="s">
        <v>136</v>
      </c>
      <c r="M528" s="23" t="str">
        <f t="shared" ref="M528" si="293">CONCATENATE($G$15+MOD(C522-1,$G$10)+1,",",$H$15)</f>
        <v>-1,6</v>
      </c>
    </row>
    <row r="529" spans="2:13">
      <c r="E529" s="4">
        <f t="shared" si="286"/>
        <v>529</v>
      </c>
      <c r="F529" s="9" t="s">
        <v>30</v>
      </c>
      <c r="M529" s="23">
        <v>3.5</v>
      </c>
    </row>
    <row r="530" spans="2:13">
      <c r="E530" s="4">
        <f t="shared" si="286"/>
        <v>530</v>
      </c>
      <c r="F530" s="9" t="s">
        <v>31</v>
      </c>
      <c r="L530" s="9" t="s">
        <v>134</v>
      </c>
      <c r="M530" s="23">
        <v>270</v>
      </c>
    </row>
    <row r="531" spans="2:13">
      <c r="B531" s="22">
        <f t="shared" ref="B531:B594" si="294">QUOTIENT( D531-1,G532)+1</f>
        <v>7</v>
      </c>
      <c r="C531" s="22">
        <f t="shared" ref="C531" si="295">D531-(B531-1)*G532</f>
        <v>5</v>
      </c>
      <c r="D531" s="22">
        <f>COUNT($D$8:$D530)+1</f>
        <v>59</v>
      </c>
      <c r="E531" s="4"/>
    </row>
    <row r="532" spans="2:13">
      <c r="E532" s="4">
        <f t="shared" si="286"/>
        <v>532</v>
      </c>
      <c r="F532" s="9" t="s">
        <v>93</v>
      </c>
      <c r="G532" s="9" t="s">
        <v>40</v>
      </c>
      <c r="H532" s="9" t="s">
        <v>40</v>
      </c>
      <c r="J532" s="9" t="s">
        <v>241</v>
      </c>
      <c r="M532" s="23">
        <f t="shared" ref="M532:M595" si="296">J532+D531</f>
        <v>10259</v>
      </c>
    </row>
    <row r="533" spans="2:13">
      <c r="E533" s="4">
        <f t="shared" si="286"/>
        <v>533</v>
      </c>
      <c r="F533" s="9" t="s">
        <v>145</v>
      </c>
      <c r="G533" s="9">
        <v>150</v>
      </c>
      <c r="H533" s="9" t="s">
        <v>232</v>
      </c>
      <c r="M533" s="23">
        <f t="shared" ref="M533" si="297">$G$11+B531*$H$11</f>
        <v>850</v>
      </c>
    </row>
    <row r="534" spans="2:13">
      <c r="E534" s="4">
        <f t="shared" si="286"/>
        <v>534</v>
      </c>
      <c r="F534" s="9" t="s">
        <v>29</v>
      </c>
      <c r="M534" s="23" t="s">
        <v>230</v>
      </c>
    </row>
    <row r="535" spans="2:13">
      <c r="E535" s="4">
        <f t="shared" si="286"/>
        <v>535</v>
      </c>
      <c r="F535" s="9" t="s">
        <v>118</v>
      </c>
      <c r="M535" s="23" t="s">
        <v>231</v>
      </c>
    </row>
    <row r="536" spans="2:13">
      <c r="E536" s="4">
        <f t="shared" si="286"/>
        <v>536</v>
      </c>
      <c r="F536" s="9" t="s">
        <v>114</v>
      </c>
      <c r="M536" s="23" t="b">
        <v>1</v>
      </c>
    </row>
    <row r="537" spans="2:13">
      <c r="E537" s="4">
        <f t="shared" si="286"/>
        <v>537</v>
      </c>
      <c r="F537" s="9" t="s">
        <v>98</v>
      </c>
      <c r="G537" s="9" t="s">
        <v>233</v>
      </c>
      <c r="H537" s="9">
        <v>6</v>
      </c>
      <c r="K537" s="9" t="s">
        <v>136</v>
      </c>
      <c r="M537" s="23" t="str">
        <f t="shared" ref="M537" si="298">CONCATENATE($G$15+MOD(C531-1,$G$10)+1,",",$H$15)</f>
        <v>0,6</v>
      </c>
    </row>
    <row r="538" spans="2:13">
      <c r="E538" s="4">
        <f t="shared" si="286"/>
        <v>538</v>
      </c>
      <c r="F538" s="9" t="s">
        <v>30</v>
      </c>
      <c r="M538" s="23">
        <v>3.5</v>
      </c>
    </row>
    <row r="539" spans="2:13">
      <c r="E539" s="4">
        <f t="shared" si="286"/>
        <v>539</v>
      </c>
      <c r="F539" s="9" t="s">
        <v>31</v>
      </c>
      <c r="L539" s="9" t="s">
        <v>134</v>
      </c>
      <c r="M539" s="23">
        <v>270</v>
      </c>
    </row>
    <row r="540" spans="2:13">
      <c r="B540" s="22">
        <f t="shared" ref="B540:B571" si="299">QUOTIENT( D540-1,G541)+1</f>
        <v>7</v>
      </c>
      <c r="C540" s="22">
        <f t="shared" ref="C540" si="300">D540-(B540-1)*G541</f>
        <v>6</v>
      </c>
      <c r="D540" s="22">
        <f>COUNT($D$8:$D539)+1</f>
        <v>60</v>
      </c>
      <c r="E540" s="4"/>
    </row>
    <row r="541" spans="2:13">
      <c r="E541" s="4">
        <f t="shared" si="286"/>
        <v>541</v>
      </c>
      <c r="F541" s="9" t="s">
        <v>93</v>
      </c>
      <c r="G541" s="9" t="s">
        <v>40</v>
      </c>
      <c r="H541" s="9" t="s">
        <v>40</v>
      </c>
      <c r="J541" s="9" t="s">
        <v>241</v>
      </c>
      <c r="M541" s="23">
        <f t="shared" ref="M541:M572" si="301">J541+D540</f>
        <v>10260</v>
      </c>
    </row>
    <row r="542" spans="2:13">
      <c r="E542" s="4">
        <f t="shared" si="286"/>
        <v>542</v>
      </c>
      <c r="F542" s="9" t="s">
        <v>145</v>
      </c>
      <c r="G542" s="9">
        <v>150</v>
      </c>
      <c r="H542" s="9" t="s">
        <v>232</v>
      </c>
      <c r="M542" s="23">
        <f t="shared" ref="M542" si="302">$G$11+B540*$H$11</f>
        <v>850</v>
      </c>
    </row>
    <row r="543" spans="2:13">
      <c r="E543" s="4">
        <f t="shared" si="286"/>
        <v>543</v>
      </c>
      <c r="F543" s="9" t="s">
        <v>29</v>
      </c>
      <c r="M543" s="23" t="s">
        <v>230</v>
      </c>
    </row>
    <row r="544" spans="2:13">
      <c r="E544" s="4">
        <f t="shared" si="286"/>
        <v>544</v>
      </c>
      <c r="F544" s="9" t="s">
        <v>118</v>
      </c>
      <c r="M544" s="23" t="s">
        <v>231</v>
      </c>
    </row>
    <row r="545" spans="2:13">
      <c r="E545" s="4">
        <f t="shared" si="286"/>
        <v>545</v>
      </c>
      <c r="F545" s="9" t="s">
        <v>114</v>
      </c>
      <c r="M545" s="23" t="b">
        <v>1</v>
      </c>
    </row>
    <row r="546" spans="2:13">
      <c r="E546" s="4">
        <f t="shared" si="286"/>
        <v>546</v>
      </c>
      <c r="F546" s="9" t="s">
        <v>98</v>
      </c>
      <c r="G546" s="9" t="s">
        <v>233</v>
      </c>
      <c r="H546" s="9">
        <v>6</v>
      </c>
      <c r="K546" s="9" t="s">
        <v>136</v>
      </c>
      <c r="M546" s="23" t="str">
        <f t="shared" ref="M546" si="303">CONCATENATE($G$15+MOD(C540-1,$G$10)+1,",",$H$15)</f>
        <v>1,6</v>
      </c>
    </row>
    <row r="547" spans="2:13">
      <c r="E547" s="4">
        <f t="shared" si="286"/>
        <v>547</v>
      </c>
      <c r="F547" s="9" t="s">
        <v>30</v>
      </c>
      <c r="M547" s="23">
        <v>3.5</v>
      </c>
    </row>
    <row r="548" spans="2:13">
      <c r="E548" s="4">
        <f t="shared" si="286"/>
        <v>548</v>
      </c>
      <c r="F548" s="9" t="s">
        <v>31</v>
      </c>
      <c r="L548" s="9" t="s">
        <v>134</v>
      </c>
      <c r="M548" s="23">
        <v>270</v>
      </c>
    </row>
    <row r="549" spans="2:13">
      <c r="B549" s="22">
        <f t="shared" ref="B549:B580" si="304">QUOTIENT( D549-1,G550)+1</f>
        <v>7</v>
      </c>
      <c r="C549" s="22">
        <f t="shared" ref="C549" si="305">D549-(B549-1)*G550</f>
        <v>7</v>
      </c>
      <c r="D549" s="22">
        <f>COUNT($D$8:$D548)+1</f>
        <v>61</v>
      </c>
      <c r="E549" s="4"/>
    </row>
    <row r="550" spans="2:13">
      <c r="E550" s="4">
        <f t="shared" si="286"/>
        <v>550</v>
      </c>
      <c r="F550" s="9" t="s">
        <v>93</v>
      </c>
      <c r="G550" s="9" t="s">
        <v>40</v>
      </c>
      <c r="H550" s="9" t="s">
        <v>40</v>
      </c>
      <c r="J550" s="9" t="s">
        <v>241</v>
      </c>
      <c r="M550" s="23">
        <f t="shared" ref="M550:M581" si="306">J550+D549</f>
        <v>10261</v>
      </c>
    </row>
    <row r="551" spans="2:13">
      <c r="E551" s="4">
        <f t="shared" si="286"/>
        <v>551</v>
      </c>
      <c r="F551" s="9" t="s">
        <v>145</v>
      </c>
      <c r="G551" s="9">
        <v>150</v>
      </c>
      <c r="H551" s="9" t="s">
        <v>232</v>
      </c>
      <c r="M551" s="23">
        <f t="shared" ref="M551" si="307">$G$11+B549*$H$11</f>
        <v>850</v>
      </c>
    </row>
    <row r="552" spans="2:13">
      <c r="E552" s="4">
        <f t="shared" si="286"/>
        <v>552</v>
      </c>
      <c r="F552" s="9" t="s">
        <v>29</v>
      </c>
      <c r="M552" s="23" t="s">
        <v>230</v>
      </c>
    </row>
    <row r="553" spans="2:13">
      <c r="E553" s="4">
        <f t="shared" si="286"/>
        <v>553</v>
      </c>
      <c r="F553" s="9" t="s">
        <v>118</v>
      </c>
      <c r="M553" s="23" t="s">
        <v>231</v>
      </c>
    </row>
    <row r="554" spans="2:13">
      <c r="E554" s="4">
        <f t="shared" si="286"/>
        <v>554</v>
      </c>
      <c r="F554" s="9" t="s">
        <v>114</v>
      </c>
      <c r="M554" s="23" t="b">
        <v>1</v>
      </c>
    </row>
    <row r="555" spans="2:13">
      <c r="E555" s="4">
        <f t="shared" si="286"/>
        <v>555</v>
      </c>
      <c r="F555" s="9" t="s">
        <v>98</v>
      </c>
      <c r="G555" s="9" t="s">
        <v>233</v>
      </c>
      <c r="H555" s="9">
        <v>6</v>
      </c>
      <c r="K555" s="9" t="s">
        <v>136</v>
      </c>
      <c r="M555" s="23" t="str">
        <f t="shared" ref="M555" si="308">CONCATENATE($G$15+MOD(C549-1,$G$10)+1,",",$H$15)</f>
        <v>2,6</v>
      </c>
    </row>
    <row r="556" spans="2:13">
      <c r="E556" s="4">
        <f t="shared" si="286"/>
        <v>556</v>
      </c>
      <c r="F556" s="9" t="s">
        <v>30</v>
      </c>
      <c r="M556" s="23">
        <v>3.5</v>
      </c>
    </row>
    <row r="557" spans="2:13">
      <c r="E557" s="4">
        <f t="shared" si="286"/>
        <v>557</v>
      </c>
      <c r="F557" s="9" t="s">
        <v>31</v>
      </c>
      <c r="L557" s="9" t="s">
        <v>134</v>
      </c>
      <c r="M557" s="23">
        <v>270</v>
      </c>
    </row>
    <row r="558" spans="2:13">
      <c r="B558" s="22">
        <f t="shared" ref="B558:B589" si="309">QUOTIENT( D558-1,G559)+1</f>
        <v>7</v>
      </c>
      <c r="C558" s="22">
        <f t="shared" ref="C558" si="310">D558-(B558-1)*G559</f>
        <v>8</v>
      </c>
      <c r="D558" s="22">
        <f>COUNT($D$8:$D557)+1</f>
        <v>62</v>
      </c>
      <c r="E558" s="4"/>
    </row>
    <row r="559" spans="2:13">
      <c r="E559" s="4">
        <f t="shared" si="286"/>
        <v>559</v>
      </c>
      <c r="F559" s="9" t="s">
        <v>93</v>
      </c>
      <c r="G559" s="9" t="s">
        <v>40</v>
      </c>
      <c r="H559" s="9" t="s">
        <v>40</v>
      </c>
      <c r="J559" s="9" t="s">
        <v>241</v>
      </c>
      <c r="M559" s="23">
        <f t="shared" ref="M559:M590" si="311">J559+D558</f>
        <v>10262</v>
      </c>
    </row>
    <row r="560" spans="2:13">
      <c r="E560" s="4">
        <f t="shared" si="286"/>
        <v>560</v>
      </c>
      <c r="F560" s="9" t="s">
        <v>145</v>
      </c>
      <c r="G560" s="9">
        <v>150</v>
      </c>
      <c r="H560" s="9" t="s">
        <v>232</v>
      </c>
      <c r="M560" s="23">
        <f t="shared" ref="M560" si="312">$G$11+B558*$H$11</f>
        <v>850</v>
      </c>
    </row>
    <row r="561" spans="2:13">
      <c r="E561" s="4">
        <f t="shared" si="286"/>
        <v>561</v>
      </c>
      <c r="F561" s="9" t="s">
        <v>29</v>
      </c>
      <c r="M561" s="23" t="s">
        <v>230</v>
      </c>
    </row>
    <row r="562" spans="2:13">
      <c r="E562" s="4">
        <f t="shared" si="286"/>
        <v>562</v>
      </c>
      <c r="F562" s="9" t="s">
        <v>118</v>
      </c>
      <c r="M562" s="23" t="s">
        <v>231</v>
      </c>
    </row>
    <row r="563" spans="2:13">
      <c r="E563" s="4">
        <f t="shared" si="286"/>
        <v>563</v>
      </c>
      <c r="F563" s="9" t="s">
        <v>114</v>
      </c>
      <c r="M563" s="23" t="b">
        <v>1</v>
      </c>
    </row>
    <row r="564" spans="2:13">
      <c r="E564" s="4">
        <f t="shared" si="286"/>
        <v>564</v>
      </c>
      <c r="F564" s="9" t="s">
        <v>98</v>
      </c>
      <c r="G564" s="9" t="s">
        <v>233</v>
      </c>
      <c r="H564" s="9">
        <v>6</v>
      </c>
      <c r="K564" s="9" t="s">
        <v>136</v>
      </c>
      <c r="M564" s="23" t="str">
        <f t="shared" ref="M564" si="313">CONCATENATE($G$15+MOD(C558-1,$G$10)+1,",",$H$15)</f>
        <v>3,6</v>
      </c>
    </row>
    <row r="565" spans="2:13">
      <c r="E565" s="4">
        <f t="shared" si="286"/>
        <v>565</v>
      </c>
      <c r="F565" s="9" t="s">
        <v>30</v>
      </c>
      <c r="M565" s="23">
        <v>3.5</v>
      </c>
    </row>
    <row r="566" spans="2:13">
      <c r="E566" s="4">
        <f t="shared" si="286"/>
        <v>566</v>
      </c>
      <c r="F566" s="9" t="s">
        <v>31</v>
      </c>
      <c r="L566" s="9" t="s">
        <v>134</v>
      </c>
      <c r="M566" s="23">
        <v>270</v>
      </c>
    </row>
    <row r="567" spans="2:13">
      <c r="B567" s="22">
        <f t="shared" ref="B567:B598" si="314">QUOTIENT( D567-1,G568)+1</f>
        <v>7</v>
      </c>
      <c r="C567" s="22">
        <f t="shared" ref="C567" si="315">D567-(B567-1)*G568</f>
        <v>9</v>
      </c>
      <c r="D567" s="22">
        <f>COUNT($D$8:$D566)+1</f>
        <v>63</v>
      </c>
      <c r="E567" s="4"/>
    </row>
    <row r="568" spans="2:13">
      <c r="E568" s="4">
        <f t="shared" si="286"/>
        <v>568</v>
      </c>
      <c r="F568" s="9" t="s">
        <v>93</v>
      </c>
      <c r="G568" s="9" t="s">
        <v>40</v>
      </c>
      <c r="H568" s="9" t="s">
        <v>40</v>
      </c>
      <c r="J568" s="9" t="s">
        <v>241</v>
      </c>
      <c r="M568" s="23">
        <f t="shared" ref="M568:M599" si="316">J568+D567</f>
        <v>10263</v>
      </c>
    </row>
    <row r="569" spans="2:13">
      <c r="E569" s="4">
        <f t="shared" si="286"/>
        <v>569</v>
      </c>
      <c r="F569" s="9" t="s">
        <v>145</v>
      </c>
      <c r="G569" s="9">
        <v>150</v>
      </c>
      <c r="H569" s="9" t="s">
        <v>232</v>
      </c>
      <c r="M569" s="23">
        <f t="shared" ref="M569" si="317">$G$11+B567*$H$11</f>
        <v>850</v>
      </c>
    </row>
    <row r="570" spans="2:13">
      <c r="E570" s="4">
        <f t="shared" si="286"/>
        <v>570</v>
      </c>
      <c r="F570" s="9" t="s">
        <v>29</v>
      </c>
      <c r="M570" s="23" t="s">
        <v>230</v>
      </c>
    </row>
    <row r="571" spans="2:13">
      <c r="E571" s="4">
        <f t="shared" si="286"/>
        <v>571</v>
      </c>
      <c r="F571" s="9" t="s">
        <v>118</v>
      </c>
      <c r="M571" s="23" t="s">
        <v>231</v>
      </c>
    </row>
    <row r="572" spans="2:13">
      <c r="E572" s="4">
        <f t="shared" si="286"/>
        <v>572</v>
      </c>
      <c r="F572" s="9" t="s">
        <v>114</v>
      </c>
      <c r="M572" s="23" t="b">
        <v>1</v>
      </c>
    </row>
    <row r="573" spans="2:13">
      <c r="E573" s="4">
        <f t="shared" si="286"/>
        <v>573</v>
      </c>
      <c r="F573" s="9" t="s">
        <v>98</v>
      </c>
      <c r="G573" s="9" t="s">
        <v>233</v>
      </c>
      <c r="H573" s="9">
        <v>6</v>
      </c>
      <c r="K573" s="9" t="s">
        <v>136</v>
      </c>
      <c r="M573" s="23" t="str">
        <f t="shared" ref="M573" si="318">CONCATENATE($G$15+MOD(C567-1,$G$10)+1,",",$H$15)</f>
        <v>4,6</v>
      </c>
    </row>
    <row r="574" spans="2:13">
      <c r="E574" s="4">
        <f t="shared" si="286"/>
        <v>574</v>
      </c>
      <c r="F574" s="9" t="s">
        <v>30</v>
      </c>
      <c r="M574" s="23">
        <v>3.5</v>
      </c>
    </row>
    <row r="575" spans="2:13">
      <c r="E575" s="4">
        <f t="shared" si="286"/>
        <v>575</v>
      </c>
      <c r="F575" s="9" t="s">
        <v>31</v>
      </c>
      <c r="L575" s="9" t="s">
        <v>134</v>
      </c>
      <c r="M575" s="23">
        <v>270</v>
      </c>
    </row>
    <row r="576" spans="2:13">
      <c r="B576" s="22">
        <f t="shared" ref="B576:B607" si="319">QUOTIENT( D576-1,G577)+1</f>
        <v>8</v>
      </c>
      <c r="C576" s="22">
        <f t="shared" ref="C576" si="320">D576-(B576-1)*G577</f>
        <v>1</v>
      </c>
      <c r="D576" s="22">
        <f>COUNT($D$8:$D575)+1</f>
        <v>64</v>
      </c>
      <c r="E576" s="4"/>
    </row>
    <row r="577" spans="2:13">
      <c r="E577" s="4">
        <f t="shared" si="286"/>
        <v>577</v>
      </c>
      <c r="F577" s="9" t="s">
        <v>93</v>
      </c>
      <c r="G577" s="9" t="s">
        <v>40</v>
      </c>
      <c r="H577" s="9" t="s">
        <v>40</v>
      </c>
      <c r="J577" s="9" t="s">
        <v>241</v>
      </c>
      <c r="M577" s="23">
        <f t="shared" ref="M577:M608" si="321">J577+D576</f>
        <v>10264</v>
      </c>
    </row>
    <row r="578" spans="2:13">
      <c r="E578" s="4">
        <f t="shared" si="286"/>
        <v>578</v>
      </c>
      <c r="F578" s="9" t="s">
        <v>145</v>
      </c>
      <c r="G578" s="9">
        <v>150</v>
      </c>
      <c r="H578" s="9" t="s">
        <v>232</v>
      </c>
      <c r="M578" s="23">
        <f t="shared" ref="M578" si="322">$G$11+B576*$H$11</f>
        <v>950</v>
      </c>
    </row>
    <row r="579" spans="2:13">
      <c r="E579" s="4">
        <f t="shared" ref="E579:E642" si="323">ROW(E579)</f>
        <v>579</v>
      </c>
      <c r="F579" s="9" t="s">
        <v>29</v>
      </c>
      <c r="M579" s="23" t="s">
        <v>230</v>
      </c>
    </row>
    <row r="580" spans="2:13">
      <c r="E580" s="4">
        <f t="shared" si="323"/>
        <v>580</v>
      </c>
      <c r="F580" s="9" t="s">
        <v>118</v>
      </c>
      <c r="M580" s="23" t="s">
        <v>231</v>
      </c>
    </row>
    <row r="581" spans="2:13">
      <c r="E581" s="4">
        <f t="shared" si="323"/>
        <v>581</v>
      </c>
      <c r="F581" s="9" t="s">
        <v>114</v>
      </c>
      <c r="M581" s="23" t="b">
        <v>1</v>
      </c>
    </row>
    <row r="582" spans="2:13">
      <c r="E582" s="4">
        <f t="shared" si="323"/>
        <v>582</v>
      </c>
      <c r="F582" s="9" t="s">
        <v>98</v>
      </c>
      <c r="G582" s="9" t="s">
        <v>233</v>
      </c>
      <c r="H582" s="9">
        <v>6</v>
      </c>
      <c r="K582" s="9" t="s">
        <v>136</v>
      </c>
      <c r="M582" s="23" t="str">
        <f t="shared" ref="M582" si="324">CONCATENATE($G$15+MOD(C576-1,$G$10)+1,",",$H$15)</f>
        <v>-4,6</v>
      </c>
    </row>
    <row r="583" spans="2:13">
      <c r="E583" s="4">
        <f t="shared" si="323"/>
        <v>583</v>
      </c>
      <c r="F583" s="9" t="s">
        <v>30</v>
      </c>
      <c r="M583" s="23">
        <v>3.5</v>
      </c>
    </row>
    <row r="584" spans="2:13">
      <c r="E584" s="4">
        <f t="shared" si="323"/>
        <v>584</v>
      </c>
      <c r="F584" s="9" t="s">
        <v>31</v>
      </c>
      <c r="L584" s="9" t="s">
        <v>134</v>
      </c>
      <c r="M584" s="23">
        <v>270</v>
      </c>
    </row>
    <row r="585" spans="2:13">
      <c r="B585" s="22">
        <f t="shared" ref="B585:B616" si="325">QUOTIENT( D585-1,G586)+1</f>
        <v>8</v>
      </c>
      <c r="C585" s="22">
        <f t="shared" ref="C585" si="326">D585-(B585-1)*G586</f>
        <v>2</v>
      </c>
      <c r="D585" s="22">
        <f>COUNT($D$8:$D584)+1</f>
        <v>65</v>
      </c>
      <c r="E585" s="4"/>
    </row>
    <row r="586" spans="2:13">
      <c r="E586" s="4">
        <f t="shared" si="323"/>
        <v>586</v>
      </c>
      <c r="F586" s="9" t="s">
        <v>93</v>
      </c>
      <c r="G586" s="9" t="s">
        <v>40</v>
      </c>
      <c r="H586" s="9" t="s">
        <v>40</v>
      </c>
      <c r="J586" s="9" t="s">
        <v>241</v>
      </c>
      <c r="M586" s="23">
        <f t="shared" ref="M586:M617" si="327">J586+D585</f>
        <v>10265</v>
      </c>
    </row>
    <row r="587" spans="2:13">
      <c r="E587" s="4">
        <f t="shared" si="323"/>
        <v>587</v>
      </c>
      <c r="F587" s="9" t="s">
        <v>145</v>
      </c>
      <c r="G587" s="9">
        <v>150</v>
      </c>
      <c r="H587" s="9" t="s">
        <v>232</v>
      </c>
      <c r="M587" s="23">
        <f t="shared" ref="M587" si="328">$G$11+B585*$H$11</f>
        <v>950</v>
      </c>
    </row>
    <row r="588" spans="2:13">
      <c r="E588" s="4">
        <f t="shared" si="323"/>
        <v>588</v>
      </c>
      <c r="F588" s="9" t="s">
        <v>29</v>
      </c>
      <c r="M588" s="23" t="s">
        <v>230</v>
      </c>
    </row>
    <row r="589" spans="2:13">
      <c r="E589" s="4">
        <f t="shared" si="323"/>
        <v>589</v>
      </c>
      <c r="F589" s="9" t="s">
        <v>118</v>
      </c>
      <c r="M589" s="23" t="s">
        <v>231</v>
      </c>
    </row>
    <row r="590" spans="2:13">
      <c r="E590" s="4">
        <f t="shared" si="323"/>
        <v>590</v>
      </c>
      <c r="F590" s="9" t="s">
        <v>114</v>
      </c>
      <c r="M590" s="23" t="b">
        <v>1</v>
      </c>
    </row>
    <row r="591" spans="2:13">
      <c r="E591" s="4">
        <f t="shared" si="323"/>
        <v>591</v>
      </c>
      <c r="F591" s="9" t="s">
        <v>98</v>
      </c>
      <c r="G591" s="9" t="s">
        <v>233</v>
      </c>
      <c r="H591" s="9">
        <v>6</v>
      </c>
      <c r="K591" s="9" t="s">
        <v>136</v>
      </c>
      <c r="M591" s="23" t="str">
        <f t="shared" ref="M591" si="329">CONCATENATE($G$15+MOD(C585-1,$G$10)+1,",",$H$15)</f>
        <v>-3,6</v>
      </c>
    </row>
    <row r="592" spans="2:13">
      <c r="E592" s="4">
        <f t="shared" si="323"/>
        <v>592</v>
      </c>
      <c r="F592" s="9" t="s">
        <v>30</v>
      </c>
      <c r="M592" s="23">
        <v>3.5</v>
      </c>
    </row>
    <row r="593" spans="2:13">
      <c r="E593" s="4">
        <f t="shared" si="323"/>
        <v>593</v>
      </c>
      <c r="F593" s="9" t="s">
        <v>31</v>
      </c>
      <c r="L593" s="9" t="s">
        <v>134</v>
      </c>
      <c r="M593" s="23">
        <v>270</v>
      </c>
    </row>
    <row r="594" spans="2:13">
      <c r="B594" s="22">
        <f t="shared" ref="B594:B625" si="330">QUOTIENT( D594-1,G595)+1</f>
        <v>8</v>
      </c>
      <c r="C594" s="22">
        <f t="shared" ref="C594" si="331">D594-(B594-1)*G595</f>
        <v>3</v>
      </c>
      <c r="D594" s="22">
        <f>COUNT($D$8:$D593)+1</f>
        <v>66</v>
      </c>
      <c r="E594" s="4"/>
    </row>
    <row r="595" spans="2:13">
      <c r="E595" s="4">
        <f t="shared" si="323"/>
        <v>595</v>
      </c>
      <c r="F595" s="9" t="s">
        <v>93</v>
      </c>
      <c r="G595" s="9" t="s">
        <v>40</v>
      </c>
      <c r="H595" s="9" t="s">
        <v>40</v>
      </c>
      <c r="J595" s="9" t="s">
        <v>241</v>
      </c>
      <c r="M595" s="23">
        <f t="shared" ref="M595:M626" si="332">J595+D594</f>
        <v>10266</v>
      </c>
    </row>
    <row r="596" spans="2:13">
      <c r="E596" s="4">
        <f t="shared" si="323"/>
        <v>596</v>
      </c>
      <c r="F596" s="9" t="s">
        <v>145</v>
      </c>
      <c r="G596" s="9">
        <v>150</v>
      </c>
      <c r="H596" s="9" t="s">
        <v>232</v>
      </c>
      <c r="M596" s="23">
        <f t="shared" ref="M596" si="333">$G$11+B594*$H$11</f>
        <v>950</v>
      </c>
    </row>
    <row r="597" spans="2:13">
      <c r="E597" s="4">
        <f t="shared" si="323"/>
        <v>597</v>
      </c>
      <c r="F597" s="9" t="s">
        <v>29</v>
      </c>
      <c r="M597" s="23" t="s">
        <v>230</v>
      </c>
    </row>
    <row r="598" spans="2:13">
      <c r="E598" s="4">
        <f t="shared" si="323"/>
        <v>598</v>
      </c>
      <c r="F598" s="9" t="s">
        <v>118</v>
      </c>
      <c r="M598" s="23" t="s">
        <v>231</v>
      </c>
    </row>
    <row r="599" spans="2:13">
      <c r="E599" s="4">
        <f t="shared" si="323"/>
        <v>599</v>
      </c>
      <c r="F599" s="9" t="s">
        <v>114</v>
      </c>
      <c r="M599" s="23" t="b">
        <v>1</v>
      </c>
    </row>
    <row r="600" spans="2:13">
      <c r="E600" s="4">
        <f t="shared" si="323"/>
        <v>600</v>
      </c>
      <c r="F600" s="9" t="s">
        <v>98</v>
      </c>
      <c r="G600" s="9" t="s">
        <v>233</v>
      </c>
      <c r="H600" s="9">
        <v>6</v>
      </c>
      <c r="K600" s="9" t="s">
        <v>136</v>
      </c>
      <c r="M600" s="23" t="str">
        <f t="shared" ref="M600" si="334">CONCATENATE($G$15+MOD(C594-1,$G$10)+1,",",$H$15)</f>
        <v>-2,6</v>
      </c>
    </row>
    <row r="601" spans="2:13">
      <c r="E601" s="4">
        <f t="shared" si="323"/>
        <v>601</v>
      </c>
      <c r="F601" s="9" t="s">
        <v>30</v>
      </c>
      <c r="M601" s="23">
        <v>3.5</v>
      </c>
    </row>
    <row r="602" spans="2:13">
      <c r="E602" s="4">
        <f t="shared" si="323"/>
        <v>602</v>
      </c>
      <c r="F602" s="9" t="s">
        <v>31</v>
      </c>
      <c r="L602" s="9" t="s">
        <v>134</v>
      </c>
      <c r="M602" s="23">
        <v>270</v>
      </c>
    </row>
    <row r="603" spans="2:13">
      <c r="B603" s="22">
        <f t="shared" ref="B603:B634" si="335">QUOTIENT( D603-1,G604)+1</f>
        <v>8</v>
      </c>
      <c r="C603" s="22">
        <f t="shared" ref="C603" si="336">D603-(B603-1)*G604</f>
        <v>4</v>
      </c>
      <c r="D603" s="22">
        <f>COUNT($D$8:$D602)+1</f>
        <v>67</v>
      </c>
      <c r="E603" s="4"/>
    </row>
    <row r="604" spans="2:13">
      <c r="E604" s="4">
        <f t="shared" si="323"/>
        <v>604</v>
      </c>
      <c r="F604" s="9" t="s">
        <v>93</v>
      </c>
      <c r="G604" s="9" t="s">
        <v>40</v>
      </c>
      <c r="H604" s="9" t="s">
        <v>40</v>
      </c>
      <c r="J604" s="9" t="s">
        <v>241</v>
      </c>
      <c r="M604" s="23">
        <f t="shared" ref="M604:M635" si="337">J604+D603</f>
        <v>10267</v>
      </c>
    </row>
    <row r="605" spans="2:13">
      <c r="E605" s="4">
        <f t="shared" si="323"/>
        <v>605</v>
      </c>
      <c r="F605" s="9" t="s">
        <v>145</v>
      </c>
      <c r="G605" s="9">
        <v>150</v>
      </c>
      <c r="H605" s="9" t="s">
        <v>232</v>
      </c>
      <c r="M605" s="23">
        <f t="shared" ref="M605" si="338">$G$11+B603*$H$11</f>
        <v>950</v>
      </c>
    </row>
    <row r="606" spans="2:13">
      <c r="E606" s="4">
        <f t="shared" si="323"/>
        <v>606</v>
      </c>
      <c r="F606" s="9" t="s">
        <v>29</v>
      </c>
      <c r="M606" s="23" t="s">
        <v>230</v>
      </c>
    </row>
    <row r="607" spans="2:13">
      <c r="E607" s="4">
        <f t="shared" si="323"/>
        <v>607</v>
      </c>
      <c r="F607" s="9" t="s">
        <v>118</v>
      </c>
      <c r="M607" s="23" t="s">
        <v>231</v>
      </c>
    </row>
    <row r="608" spans="2:13">
      <c r="E608" s="4">
        <f t="shared" si="323"/>
        <v>608</v>
      </c>
      <c r="F608" s="9" t="s">
        <v>114</v>
      </c>
      <c r="M608" s="23" t="b">
        <v>1</v>
      </c>
    </row>
    <row r="609" spans="2:13">
      <c r="E609" s="4">
        <f t="shared" si="323"/>
        <v>609</v>
      </c>
      <c r="F609" s="9" t="s">
        <v>98</v>
      </c>
      <c r="G609" s="9" t="s">
        <v>233</v>
      </c>
      <c r="H609" s="9">
        <v>6</v>
      </c>
      <c r="K609" s="9" t="s">
        <v>136</v>
      </c>
      <c r="M609" s="23" t="str">
        <f t="shared" ref="M609" si="339">CONCATENATE($G$15+MOD(C603-1,$G$10)+1,",",$H$15)</f>
        <v>-1,6</v>
      </c>
    </row>
    <row r="610" spans="2:13">
      <c r="E610" s="4">
        <f t="shared" si="323"/>
        <v>610</v>
      </c>
      <c r="F610" s="9" t="s">
        <v>30</v>
      </c>
      <c r="M610" s="23">
        <v>3.5</v>
      </c>
    </row>
    <row r="611" spans="2:13">
      <c r="E611" s="4">
        <f t="shared" si="323"/>
        <v>611</v>
      </c>
      <c r="F611" s="9" t="s">
        <v>31</v>
      </c>
      <c r="L611" s="9" t="s">
        <v>134</v>
      </c>
      <c r="M611" s="23">
        <v>270</v>
      </c>
    </row>
    <row r="612" spans="2:13">
      <c r="B612" s="22">
        <f t="shared" ref="B612:B643" si="340">QUOTIENT( D612-1,G613)+1</f>
        <v>8</v>
      </c>
      <c r="C612" s="22">
        <f t="shared" ref="C612" si="341">D612-(B612-1)*G613</f>
        <v>5</v>
      </c>
      <c r="D612" s="22">
        <f>COUNT($D$8:$D611)+1</f>
        <v>68</v>
      </c>
      <c r="E612" s="4"/>
    </row>
    <row r="613" spans="2:13">
      <c r="E613" s="4">
        <f t="shared" si="323"/>
        <v>613</v>
      </c>
      <c r="F613" s="9" t="s">
        <v>93</v>
      </c>
      <c r="G613" s="9" t="s">
        <v>40</v>
      </c>
      <c r="H613" s="9" t="s">
        <v>40</v>
      </c>
      <c r="J613" s="9" t="s">
        <v>241</v>
      </c>
      <c r="M613" s="23">
        <f t="shared" ref="M613:M644" si="342">J613+D612</f>
        <v>10268</v>
      </c>
    </row>
    <row r="614" spans="2:13">
      <c r="E614" s="4">
        <f t="shared" si="323"/>
        <v>614</v>
      </c>
      <c r="F614" s="9" t="s">
        <v>145</v>
      </c>
      <c r="G614" s="9">
        <v>150</v>
      </c>
      <c r="H614" s="9" t="s">
        <v>232</v>
      </c>
      <c r="M614" s="23">
        <f t="shared" ref="M614" si="343">$G$11+B612*$H$11</f>
        <v>950</v>
      </c>
    </row>
    <row r="615" spans="2:13">
      <c r="E615" s="4">
        <f t="shared" si="323"/>
        <v>615</v>
      </c>
      <c r="F615" s="9" t="s">
        <v>29</v>
      </c>
      <c r="M615" s="23" t="s">
        <v>230</v>
      </c>
    </row>
    <row r="616" spans="2:13">
      <c r="E616" s="4">
        <f t="shared" si="323"/>
        <v>616</v>
      </c>
      <c r="F616" s="9" t="s">
        <v>118</v>
      </c>
      <c r="M616" s="23" t="s">
        <v>231</v>
      </c>
    </row>
    <row r="617" spans="2:13">
      <c r="E617" s="4">
        <f t="shared" si="323"/>
        <v>617</v>
      </c>
      <c r="F617" s="9" t="s">
        <v>114</v>
      </c>
      <c r="M617" s="23" t="b">
        <v>1</v>
      </c>
    </row>
    <row r="618" spans="2:13">
      <c r="E618" s="4">
        <f t="shared" si="323"/>
        <v>618</v>
      </c>
      <c r="F618" s="9" t="s">
        <v>98</v>
      </c>
      <c r="G618" s="9" t="s">
        <v>233</v>
      </c>
      <c r="H618" s="9">
        <v>6</v>
      </c>
      <c r="K618" s="9" t="s">
        <v>136</v>
      </c>
      <c r="M618" s="23" t="str">
        <f t="shared" ref="M618" si="344">CONCATENATE($G$15+MOD(C612-1,$G$10)+1,",",$H$15)</f>
        <v>0,6</v>
      </c>
    </row>
    <row r="619" spans="2:13">
      <c r="E619" s="4">
        <f t="shared" si="323"/>
        <v>619</v>
      </c>
      <c r="F619" s="9" t="s">
        <v>30</v>
      </c>
      <c r="M619" s="23">
        <v>3.5</v>
      </c>
    </row>
    <row r="620" spans="2:13">
      <c r="E620" s="4">
        <f t="shared" si="323"/>
        <v>620</v>
      </c>
      <c r="F620" s="9" t="s">
        <v>31</v>
      </c>
      <c r="L620" s="9" t="s">
        <v>134</v>
      </c>
      <c r="M620" s="23">
        <v>270</v>
      </c>
    </row>
    <row r="621" spans="2:13">
      <c r="B621" s="22">
        <f t="shared" ref="B621:B652" si="345">QUOTIENT( D621-1,G622)+1</f>
        <v>8</v>
      </c>
      <c r="C621" s="22">
        <f t="shared" ref="C621" si="346">D621-(B621-1)*G622</f>
        <v>6</v>
      </c>
      <c r="D621" s="22">
        <f>COUNT($D$8:$D620)+1</f>
        <v>69</v>
      </c>
      <c r="E621" s="4"/>
    </row>
    <row r="622" spans="2:13">
      <c r="E622" s="4">
        <f t="shared" si="323"/>
        <v>622</v>
      </c>
      <c r="F622" s="9" t="s">
        <v>93</v>
      </c>
      <c r="G622" s="9" t="s">
        <v>40</v>
      </c>
      <c r="H622" s="9" t="s">
        <v>40</v>
      </c>
      <c r="J622" s="9" t="s">
        <v>241</v>
      </c>
      <c r="M622" s="23">
        <f t="shared" ref="M622:M653" si="347">J622+D621</f>
        <v>10269</v>
      </c>
    </row>
    <row r="623" spans="2:13">
      <c r="E623" s="4">
        <f t="shared" si="323"/>
        <v>623</v>
      </c>
      <c r="F623" s="9" t="s">
        <v>145</v>
      </c>
      <c r="G623" s="9">
        <v>150</v>
      </c>
      <c r="H623" s="9" t="s">
        <v>232</v>
      </c>
      <c r="M623" s="23">
        <f t="shared" ref="M623" si="348">$G$11+B621*$H$11</f>
        <v>950</v>
      </c>
    </row>
    <row r="624" spans="2:13">
      <c r="E624" s="4">
        <f t="shared" si="323"/>
        <v>624</v>
      </c>
      <c r="F624" s="9" t="s">
        <v>29</v>
      </c>
      <c r="M624" s="23" t="s">
        <v>230</v>
      </c>
    </row>
    <row r="625" spans="2:13">
      <c r="E625" s="4">
        <f t="shared" si="323"/>
        <v>625</v>
      </c>
      <c r="F625" s="9" t="s">
        <v>118</v>
      </c>
      <c r="M625" s="23" t="s">
        <v>231</v>
      </c>
    </row>
    <row r="626" spans="2:13">
      <c r="E626" s="4">
        <f t="shared" si="323"/>
        <v>626</v>
      </c>
      <c r="F626" s="9" t="s">
        <v>114</v>
      </c>
      <c r="M626" s="23" t="b">
        <v>1</v>
      </c>
    </row>
    <row r="627" spans="2:13">
      <c r="E627" s="4">
        <f t="shared" si="323"/>
        <v>627</v>
      </c>
      <c r="F627" s="9" t="s">
        <v>98</v>
      </c>
      <c r="G627" s="9" t="s">
        <v>233</v>
      </c>
      <c r="H627" s="9">
        <v>6</v>
      </c>
      <c r="K627" s="9" t="s">
        <v>136</v>
      </c>
      <c r="M627" s="23" t="str">
        <f t="shared" ref="M627" si="349">CONCATENATE($G$15+MOD(C621-1,$G$10)+1,",",$H$15)</f>
        <v>1,6</v>
      </c>
    </row>
    <row r="628" spans="2:13">
      <c r="E628" s="4">
        <f t="shared" si="323"/>
        <v>628</v>
      </c>
      <c r="F628" s="9" t="s">
        <v>30</v>
      </c>
      <c r="M628" s="23">
        <v>3.5</v>
      </c>
    </row>
    <row r="629" spans="2:13">
      <c r="E629" s="4">
        <f t="shared" si="323"/>
        <v>629</v>
      </c>
      <c r="F629" s="9" t="s">
        <v>31</v>
      </c>
      <c r="L629" s="9" t="s">
        <v>134</v>
      </c>
      <c r="M629" s="23">
        <v>270</v>
      </c>
    </row>
    <row r="630" spans="2:13">
      <c r="B630" s="22">
        <f t="shared" ref="B630:B661" si="350">QUOTIENT( D630-1,G631)+1</f>
        <v>8</v>
      </c>
      <c r="C630" s="22">
        <f t="shared" ref="C630" si="351">D630-(B630-1)*G631</f>
        <v>7</v>
      </c>
      <c r="D630" s="22">
        <f>COUNT($D$8:$D629)+1</f>
        <v>70</v>
      </c>
      <c r="E630" s="4"/>
    </row>
    <row r="631" spans="2:13">
      <c r="E631" s="4">
        <f t="shared" si="323"/>
        <v>631</v>
      </c>
      <c r="F631" s="9" t="s">
        <v>93</v>
      </c>
      <c r="G631" s="9" t="s">
        <v>40</v>
      </c>
      <c r="H631" s="9" t="s">
        <v>40</v>
      </c>
      <c r="J631" s="9" t="s">
        <v>241</v>
      </c>
      <c r="M631" s="23">
        <f t="shared" ref="M631:M662" si="352">J631+D630</f>
        <v>10270</v>
      </c>
    </row>
    <row r="632" spans="2:13">
      <c r="E632" s="4">
        <f t="shared" si="323"/>
        <v>632</v>
      </c>
      <c r="F632" s="9" t="s">
        <v>145</v>
      </c>
      <c r="G632" s="9">
        <v>150</v>
      </c>
      <c r="H632" s="9" t="s">
        <v>232</v>
      </c>
      <c r="M632" s="23">
        <f t="shared" ref="M632" si="353">$G$11+B630*$H$11</f>
        <v>950</v>
      </c>
    </row>
    <row r="633" spans="2:13">
      <c r="E633" s="4">
        <f t="shared" si="323"/>
        <v>633</v>
      </c>
      <c r="F633" s="9" t="s">
        <v>29</v>
      </c>
      <c r="M633" s="23" t="s">
        <v>230</v>
      </c>
    </row>
    <row r="634" spans="2:13">
      <c r="E634" s="4">
        <f t="shared" si="323"/>
        <v>634</v>
      </c>
      <c r="F634" s="9" t="s">
        <v>118</v>
      </c>
      <c r="M634" s="23" t="s">
        <v>231</v>
      </c>
    </row>
    <row r="635" spans="2:13">
      <c r="E635" s="4">
        <f t="shared" si="323"/>
        <v>635</v>
      </c>
      <c r="F635" s="9" t="s">
        <v>114</v>
      </c>
      <c r="M635" s="23" t="b">
        <v>1</v>
      </c>
    </row>
    <row r="636" spans="2:13">
      <c r="E636" s="4">
        <f t="shared" si="323"/>
        <v>636</v>
      </c>
      <c r="F636" s="9" t="s">
        <v>98</v>
      </c>
      <c r="G636" s="9" t="s">
        <v>233</v>
      </c>
      <c r="H636" s="9">
        <v>6</v>
      </c>
      <c r="K636" s="9" t="s">
        <v>136</v>
      </c>
      <c r="M636" s="23" t="str">
        <f t="shared" ref="M636" si="354">CONCATENATE($G$15+MOD(C630-1,$G$10)+1,",",$H$15)</f>
        <v>2,6</v>
      </c>
    </row>
    <row r="637" spans="2:13">
      <c r="E637" s="4">
        <f t="shared" si="323"/>
        <v>637</v>
      </c>
      <c r="F637" s="9" t="s">
        <v>30</v>
      </c>
      <c r="M637" s="23">
        <v>3.5</v>
      </c>
    </row>
    <row r="638" spans="2:13">
      <c r="E638" s="4">
        <f t="shared" si="323"/>
        <v>638</v>
      </c>
      <c r="F638" s="9" t="s">
        <v>31</v>
      </c>
      <c r="L638" s="9" t="s">
        <v>134</v>
      </c>
      <c r="M638" s="23">
        <v>270</v>
      </c>
    </row>
    <row r="639" spans="2:13">
      <c r="B639" s="22">
        <f t="shared" ref="B639:B670" si="355">QUOTIENT( D639-1,G640)+1</f>
        <v>8</v>
      </c>
      <c r="C639" s="22">
        <f t="shared" ref="C639" si="356">D639-(B639-1)*G640</f>
        <v>8</v>
      </c>
      <c r="D639" s="22">
        <f>COUNT($D$8:$D638)+1</f>
        <v>71</v>
      </c>
      <c r="E639" s="4"/>
    </row>
    <row r="640" spans="2:13">
      <c r="E640" s="4">
        <f t="shared" si="323"/>
        <v>640</v>
      </c>
      <c r="F640" s="9" t="s">
        <v>93</v>
      </c>
      <c r="G640" s="9" t="s">
        <v>40</v>
      </c>
      <c r="H640" s="9" t="s">
        <v>40</v>
      </c>
      <c r="J640" s="9" t="s">
        <v>241</v>
      </c>
      <c r="M640" s="23">
        <f t="shared" ref="M640:M671" si="357">J640+D639</f>
        <v>10271</v>
      </c>
    </row>
    <row r="641" spans="2:13">
      <c r="E641" s="4">
        <f t="shared" si="323"/>
        <v>641</v>
      </c>
      <c r="F641" s="9" t="s">
        <v>145</v>
      </c>
      <c r="G641" s="9">
        <v>150</v>
      </c>
      <c r="H641" s="9" t="s">
        <v>232</v>
      </c>
      <c r="M641" s="23">
        <f t="shared" ref="M641" si="358">$G$11+B639*$H$11</f>
        <v>950</v>
      </c>
    </row>
    <row r="642" spans="2:13">
      <c r="E642" s="4">
        <f t="shared" si="323"/>
        <v>642</v>
      </c>
      <c r="F642" s="9" t="s">
        <v>29</v>
      </c>
      <c r="M642" s="23" t="s">
        <v>230</v>
      </c>
    </row>
    <row r="643" spans="2:13">
      <c r="E643" s="4">
        <f t="shared" ref="E643:E706" si="359">ROW(E643)</f>
        <v>643</v>
      </c>
      <c r="F643" s="9" t="s">
        <v>118</v>
      </c>
      <c r="M643" s="23" t="s">
        <v>231</v>
      </c>
    </row>
    <row r="644" spans="2:13">
      <c r="E644" s="4">
        <f t="shared" si="359"/>
        <v>644</v>
      </c>
      <c r="F644" s="9" t="s">
        <v>114</v>
      </c>
      <c r="M644" s="23" t="b">
        <v>1</v>
      </c>
    </row>
    <row r="645" spans="2:13">
      <c r="E645" s="4">
        <f t="shared" si="359"/>
        <v>645</v>
      </c>
      <c r="F645" s="9" t="s">
        <v>98</v>
      </c>
      <c r="G645" s="9" t="s">
        <v>233</v>
      </c>
      <c r="H645" s="9">
        <v>6</v>
      </c>
      <c r="K645" s="9" t="s">
        <v>136</v>
      </c>
      <c r="M645" s="23" t="str">
        <f t="shared" ref="M645" si="360">CONCATENATE($G$15+MOD(C639-1,$G$10)+1,",",$H$15)</f>
        <v>3,6</v>
      </c>
    </row>
    <row r="646" spans="2:13">
      <c r="E646" s="4">
        <f t="shared" si="359"/>
        <v>646</v>
      </c>
      <c r="F646" s="9" t="s">
        <v>30</v>
      </c>
      <c r="M646" s="23">
        <v>3.5</v>
      </c>
    </row>
    <row r="647" spans="2:13">
      <c r="E647" s="4">
        <f t="shared" si="359"/>
        <v>647</v>
      </c>
      <c r="F647" s="9" t="s">
        <v>31</v>
      </c>
      <c r="L647" s="9" t="s">
        <v>134</v>
      </c>
      <c r="M647" s="23">
        <v>270</v>
      </c>
    </row>
    <row r="648" spans="2:13">
      <c r="B648" s="22">
        <f t="shared" ref="B648:B679" si="361">QUOTIENT( D648-1,G649)+1</f>
        <v>8</v>
      </c>
      <c r="C648" s="22">
        <f t="shared" ref="C648" si="362">D648-(B648-1)*G649</f>
        <v>9</v>
      </c>
      <c r="D648" s="22">
        <f>COUNT($D$8:$D647)+1</f>
        <v>72</v>
      </c>
      <c r="E648" s="4"/>
    </row>
    <row r="649" spans="2:13">
      <c r="E649" s="4">
        <f t="shared" si="359"/>
        <v>649</v>
      </c>
      <c r="F649" s="9" t="s">
        <v>93</v>
      </c>
      <c r="G649" s="9" t="s">
        <v>40</v>
      </c>
      <c r="H649" s="9" t="s">
        <v>40</v>
      </c>
      <c r="J649" s="9" t="s">
        <v>241</v>
      </c>
      <c r="M649" s="23">
        <f t="shared" ref="M649:M680" si="363">J649+D648</f>
        <v>10272</v>
      </c>
    </row>
    <row r="650" spans="2:13">
      <c r="E650" s="4">
        <f t="shared" si="359"/>
        <v>650</v>
      </c>
      <c r="F650" s="9" t="s">
        <v>145</v>
      </c>
      <c r="G650" s="9">
        <v>150</v>
      </c>
      <c r="H650" s="9" t="s">
        <v>232</v>
      </c>
      <c r="M650" s="23">
        <f t="shared" ref="M650" si="364">$G$11+B648*$H$11</f>
        <v>950</v>
      </c>
    </row>
    <row r="651" spans="2:13">
      <c r="E651" s="4">
        <f t="shared" si="359"/>
        <v>651</v>
      </c>
      <c r="F651" s="9" t="s">
        <v>29</v>
      </c>
      <c r="M651" s="23" t="s">
        <v>230</v>
      </c>
    </row>
    <row r="652" spans="2:13">
      <c r="E652" s="4">
        <f t="shared" si="359"/>
        <v>652</v>
      </c>
      <c r="F652" s="9" t="s">
        <v>118</v>
      </c>
      <c r="M652" s="23" t="s">
        <v>231</v>
      </c>
    </row>
    <row r="653" spans="2:13">
      <c r="E653" s="4">
        <f t="shared" si="359"/>
        <v>653</v>
      </c>
      <c r="F653" s="9" t="s">
        <v>114</v>
      </c>
      <c r="M653" s="23" t="b">
        <v>1</v>
      </c>
    </row>
    <row r="654" spans="2:13">
      <c r="E654" s="4">
        <f t="shared" si="359"/>
        <v>654</v>
      </c>
      <c r="F654" s="9" t="s">
        <v>98</v>
      </c>
      <c r="G654" s="9" t="s">
        <v>233</v>
      </c>
      <c r="H654" s="9">
        <v>6</v>
      </c>
      <c r="K654" s="9" t="s">
        <v>136</v>
      </c>
      <c r="M654" s="23" t="str">
        <f t="shared" ref="M654" si="365">CONCATENATE($G$15+MOD(C648-1,$G$10)+1,",",$H$15)</f>
        <v>4,6</v>
      </c>
    </row>
    <row r="655" spans="2:13">
      <c r="E655" s="4">
        <f t="shared" si="359"/>
        <v>655</v>
      </c>
      <c r="F655" s="9" t="s">
        <v>30</v>
      </c>
      <c r="M655" s="23">
        <v>3.5</v>
      </c>
    </row>
    <row r="656" spans="2:13">
      <c r="E656" s="4">
        <f t="shared" si="359"/>
        <v>656</v>
      </c>
      <c r="F656" s="9" t="s">
        <v>31</v>
      </c>
      <c r="L656" s="9" t="s">
        <v>134</v>
      </c>
      <c r="M656" s="23">
        <v>270</v>
      </c>
    </row>
    <row r="657" spans="2:13">
      <c r="B657" s="22">
        <f t="shared" ref="B657:B688" si="366">QUOTIENT( D657-1,G658)+1</f>
        <v>9</v>
      </c>
      <c r="C657" s="22">
        <f t="shared" ref="C657" si="367">D657-(B657-1)*G658</f>
        <v>1</v>
      </c>
      <c r="D657" s="22">
        <f>COUNT($D$8:$D656)+1</f>
        <v>73</v>
      </c>
      <c r="E657" s="4"/>
    </row>
    <row r="658" spans="2:13">
      <c r="E658" s="4">
        <f t="shared" si="359"/>
        <v>658</v>
      </c>
      <c r="F658" s="9" t="s">
        <v>93</v>
      </c>
      <c r="G658" s="9" t="s">
        <v>40</v>
      </c>
      <c r="H658" s="9" t="s">
        <v>40</v>
      </c>
      <c r="J658" s="9" t="s">
        <v>241</v>
      </c>
      <c r="M658" s="23">
        <f t="shared" ref="M658:M689" si="368">J658+D657</f>
        <v>10273</v>
      </c>
    </row>
    <row r="659" spans="2:13">
      <c r="E659" s="4">
        <f t="shared" si="359"/>
        <v>659</v>
      </c>
      <c r="F659" s="9" t="s">
        <v>145</v>
      </c>
      <c r="G659" s="9">
        <v>150</v>
      </c>
      <c r="H659" s="9" t="s">
        <v>232</v>
      </c>
      <c r="M659" s="23">
        <f t="shared" ref="M659" si="369">$G$11+B657*$H$11</f>
        <v>1050</v>
      </c>
    </row>
    <row r="660" spans="2:13">
      <c r="E660" s="4">
        <f t="shared" si="359"/>
        <v>660</v>
      </c>
      <c r="F660" s="9" t="s">
        <v>29</v>
      </c>
      <c r="M660" s="23" t="s">
        <v>230</v>
      </c>
    </row>
    <row r="661" spans="2:13">
      <c r="E661" s="4">
        <f t="shared" si="359"/>
        <v>661</v>
      </c>
      <c r="F661" s="9" t="s">
        <v>118</v>
      </c>
      <c r="M661" s="23" t="s">
        <v>231</v>
      </c>
    </row>
    <row r="662" spans="2:13">
      <c r="E662" s="4">
        <f t="shared" si="359"/>
        <v>662</v>
      </c>
      <c r="F662" s="9" t="s">
        <v>114</v>
      </c>
      <c r="M662" s="23" t="b">
        <v>1</v>
      </c>
    </row>
    <row r="663" spans="2:13">
      <c r="E663" s="4">
        <f t="shared" si="359"/>
        <v>663</v>
      </c>
      <c r="F663" s="9" t="s">
        <v>98</v>
      </c>
      <c r="G663" s="9" t="s">
        <v>233</v>
      </c>
      <c r="H663" s="9">
        <v>6</v>
      </c>
      <c r="K663" s="9" t="s">
        <v>136</v>
      </c>
      <c r="M663" s="23" t="str">
        <f t="shared" ref="M663" si="370">CONCATENATE($G$15+MOD(C657-1,$G$10)+1,",",$H$15)</f>
        <v>-4,6</v>
      </c>
    </row>
    <row r="664" spans="2:13">
      <c r="E664" s="4">
        <f t="shared" si="359"/>
        <v>664</v>
      </c>
      <c r="F664" s="9" t="s">
        <v>30</v>
      </c>
      <c r="M664" s="23">
        <v>3.5</v>
      </c>
    </row>
    <row r="665" spans="2:13">
      <c r="E665" s="4">
        <f t="shared" si="359"/>
        <v>665</v>
      </c>
      <c r="F665" s="9" t="s">
        <v>31</v>
      </c>
      <c r="L665" s="9" t="s">
        <v>134</v>
      </c>
      <c r="M665" s="23">
        <v>270</v>
      </c>
    </row>
    <row r="666" spans="2:13">
      <c r="B666" s="22">
        <f t="shared" ref="B666:B697" si="371">QUOTIENT( D666-1,G667)+1</f>
        <v>9</v>
      </c>
      <c r="C666" s="22">
        <f t="shared" ref="C666" si="372">D666-(B666-1)*G667</f>
        <v>2</v>
      </c>
      <c r="D666" s="22">
        <f>COUNT($D$8:$D665)+1</f>
        <v>74</v>
      </c>
      <c r="E666" s="4"/>
    </row>
    <row r="667" spans="2:13">
      <c r="E667" s="4">
        <f t="shared" si="359"/>
        <v>667</v>
      </c>
      <c r="F667" s="9" t="s">
        <v>93</v>
      </c>
      <c r="G667" s="9" t="s">
        <v>40</v>
      </c>
      <c r="H667" s="9" t="s">
        <v>40</v>
      </c>
      <c r="J667" s="9" t="s">
        <v>241</v>
      </c>
      <c r="M667" s="23">
        <f t="shared" ref="M667:M698" si="373">J667+D666</f>
        <v>10274</v>
      </c>
    </row>
    <row r="668" spans="2:13">
      <c r="E668" s="4">
        <f t="shared" si="359"/>
        <v>668</v>
      </c>
      <c r="F668" s="9" t="s">
        <v>145</v>
      </c>
      <c r="G668" s="9">
        <v>150</v>
      </c>
      <c r="H668" s="9" t="s">
        <v>232</v>
      </c>
      <c r="M668" s="23">
        <f t="shared" ref="M668" si="374">$G$11+B666*$H$11</f>
        <v>1050</v>
      </c>
    </row>
    <row r="669" spans="2:13">
      <c r="E669" s="4">
        <f t="shared" si="359"/>
        <v>669</v>
      </c>
      <c r="F669" s="9" t="s">
        <v>29</v>
      </c>
      <c r="M669" s="23" t="s">
        <v>230</v>
      </c>
    </row>
    <row r="670" spans="2:13">
      <c r="E670" s="4">
        <f t="shared" si="359"/>
        <v>670</v>
      </c>
      <c r="F670" s="9" t="s">
        <v>118</v>
      </c>
      <c r="M670" s="23" t="s">
        <v>231</v>
      </c>
    </row>
    <row r="671" spans="2:13">
      <c r="E671" s="4">
        <f t="shared" si="359"/>
        <v>671</v>
      </c>
      <c r="F671" s="9" t="s">
        <v>114</v>
      </c>
      <c r="M671" s="23" t="b">
        <v>1</v>
      </c>
    </row>
    <row r="672" spans="2:13">
      <c r="E672" s="4">
        <f t="shared" si="359"/>
        <v>672</v>
      </c>
      <c r="F672" s="9" t="s">
        <v>98</v>
      </c>
      <c r="G672" s="9" t="s">
        <v>233</v>
      </c>
      <c r="H672" s="9">
        <v>6</v>
      </c>
      <c r="K672" s="9" t="s">
        <v>136</v>
      </c>
      <c r="M672" s="23" t="str">
        <f t="shared" ref="M672" si="375">CONCATENATE($G$15+MOD(C666-1,$G$10)+1,",",$H$15)</f>
        <v>-3,6</v>
      </c>
    </row>
    <row r="673" spans="2:13">
      <c r="E673" s="4">
        <f t="shared" si="359"/>
        <v>673</v>
      </c>
      <c r="F673" s="9" t="s">
        <v>30</v>
      </c>
      <c r="M673" s="23">
        <v>3.5</v>
      </c>
    </row>
    <row r="674" spans="2:13">
      <c r="E674" s="4">
        <f t="shared" si="359"/>
        <v>674</v>
      </c>
      <c r="F674" s="9" t="s">
        <v>31</v>
      </c>
      <c r="L674" s="9" t="s">
        <v>134</v>
      </c>
      <c r="M674" s="23">
        <v>270</v>
      </c>
    </row>
    <row r="675" spans="2:13">
      <c r="B675" s="22">
        <f t="shared" ref="B675:B706" si="376">QUOTIENT( D675-1,G676)+1</f>
        <v>9</v>
      </c>
      <c r="C675" s="22">
        <f t="shared" ref="C675" si="377">D675-(B675-1)*G676</f>
        <v>3</v>
      </c>
      <c r="D675" s="22">
        <f>COUNT($D$8:$D674)+1</f>
        <v>75</v>
      </c>
      <c r="E675" s="4"/>
    </row>
    <row r="676" spans="2:13">
      <c r="E676" s="4">
        <f t="shared" si="359"/>
        <v>676</v>
      </c>
      <c r="F676" s="9" t="s">
        <v>93</v>
      </c>
      <c r="G676" s="9" t="s">
        <v>40</v>
      </c>
      <c r="H676" s="9" t="s">
        <v>40</v>
      </c>
      <c r="J676" s="9" t="s">
        <v>241</v>
      </c>
      <c r="M676" s="23">
        <f t="shared" ref="M676:M707" si="378">J676+D675</f>
        <v>10275</v>
      </c>
    </row>
    <row r="677" spans="2:13">
      <c r="E677" s="4">
        <f t="shared" si="359"/>
        <v>677</v>
      </c>
      <c r="F677" s="9" t="s">
        <v>145</v>
      </c>
      <c r="G677" s="9">
        <v>150</v>
      </c>
      <c r="H677" s="9" t="s">
        <v>232</v>
      </c>
      <c r="M677" s="23">
        <f t="shared" ref="M677" si="379">$G$11+B675*$H$11</f>
        <v>1050</v>
      </c>
    </row>
    <row r="678" spans="2:13">
      <c r="E678" s="4">
        <f t="shared" si="359"/>
        <v>678</v>
      </c>
      <c r="F678" s="9" t="s">
        <v>29</v>
      </c>
      <c r="M678" s="23" t="s">
        <v>230</v>
      </c>
    </row>
    <row r="679" spans="2:13">
      <c r="E679" s="4">
        <f t="shared" si="359"/>
        <v>679</v>
      </c>
      <c r="F679" s="9" t="s">
        <v>118</v>
      </c>
      <c r="M679" s="23" t="s">
        <v>231</v>
      </c>
    </row>
    <row r="680" spans="2:13">
      <c r="E680" s="4">
        <f t="shared" si="359"/>
        <v>680</v>
      </c>
      <c r="F680" s="9" t="s">
        <v>114</v>
      </c>
      <c r="M680" s="23" t="b">
        <v>1</v>
      </c>
    </row>
    <row r="681" spans="2:13">
      <c r="E681" s="4">
        <f t="shared" si="359"/>
        <v>681</v>
      </c>
      <c r="F681" s="9" t="s">
        <v>98</v>
      </c>
      <c r="G681" s="9" t="s">
        <v>233</v>
      </c>
      <c r="H681" s="9">
        <v>6</v>
      </c>
      <c r="K681" s="9" t="s">
        <v>136</v>
      </c>
      <c r="M681" s="23" t="str">
        <f t="shared" ref="M681" si="380">CONCATENATE($G$15+MOD(C675-1,$G$10)+1,",",$H$15)</f>
        <v>-2,6</v>
      </c>
    </row>
    <row r="682" spans="2:13">
      <c r="E682" s="4">
        <f t="shared" si="359"/>
        <v>682</v>
      </c>
      <c r="F682" s="9" t="s">
        <v>30</v>
      </c>
      <c r="M682" s="23">
        <v>3.5</v>
      </c>
    </row>
    <row r="683" spans="2:13">
      <c r="E683" s="4">
        <f t="shared" si="359"/>
        <v>683</v>
      </c>
      <c r="F683" s="9" t="s">
        <v>31</v>
      </c>
      <c r="L683" s="9" t="s">
        <v>134</v>
      </c>
      <c r="M683" s="23">
        <v>270</v>
      </c>
    </row>
    <row r="684" spans="2:13">
      <c r="B684" s="22">
        <f t="shared" ref="B684:B715" si="381">QUOTIENT( D684-1,G685)+1</f>
        <v>9</v>
      </c>
      <c r="C684" s="22">
        <f t="shared" ref="C684" si="382">D684-(B684-1)*G685</f>
        <v>4</v>
      </c>
      <c r="D684" s="22">
        <f>COUNT($D$8:$D683)+1</f>
        <v>76</v>
      </c>
      <c r="E684" s="4"/>
    </row>
    <row r="685" spans="2:13">
      <c r="E685" s="4">
        <f t="shared" si="359"/>
        <v>685</v>
      </c>
      <c r="F685" s="9" t="s">
        <v>93</v>
      </c>
      <c r="G685" s="9" t="s">
        <v>40</v>
      </c>
      <c r="H685" s="9" t="s">
        <v>40</v>
      </c>
      <c r="J685" s="9" t="s">
        <v>241</v>
      </c>
      <c r="M685" s="23">
        <f t="shared" ref="M685:M716" si="383">J685+D684</f>
        <v>10276</v>
      </c>
    </row>
    <row r="686" spans="2:13">
      <c r="E686" s="4">
        <f t="shared" si="359"/>
        <v>686</v>
      </c>
      <c r="F686" s="9" t="s">
        <v>145</v>
      </c>
      <c r="G686" s="9">
        <v>150</v>
      </c>
      <c r="H686" s="9" t="s">
        <v>232</v>
      </c>
      <c r="M686" s="23">
        <f t="shared" ref="M686" si="384">$G$11+B684*$H$11</f>
        <v>1050</v>
      </c>
    </row>
    <row r="687" spans="2:13">
      <c r="E687" s="4">
        <f t="shared" si="359"/>
        <v>687</v>
      </c>
      <c r="F687" s="9" t="s">
        <v>29</v>
      </c>
      <c r="M687" s="23" t="s">
        <v>230</v>
      </c>
    </row>
    <row r="688" spans="2:13">
      <c r="E688" s="4">
        <f t="shared" si="359"/>
        <v>688</v>
      </c>
      <c r="F688" s="9" t="s">
        <v>118</v>
      </c>
      <c r="M688" s="23" t="s">
        <v>231</v>
      </c>
    </row>
    <row r="689" spans="2:13">
      <c r="E689" s="4">
        <f t="shared" si="359"/>
        <v>689</v>
      </c>
      <c r="F689" s="9" t="s">
        <v>114</v>
      </c>
      <c r="M689" s="23" t="b">
        <v>1</v>
      </c>
    </row>
    <row r="690" spans="2:13">
      <c r="E690" s="4">
        <f t="shared" si="359"/>
        <v>690</v>
      </c>
      <c r="F690" s="9" t="s">
        <v>98</v>
      </c>
      <c r="G690" s="9" t="s">
        <v>233</v>
      </c>
      <c r="H690" s="9">
        <v>6</v>
      </c>
      <c r="K690" s="9" t="s">
        <v>136</v>
      </c>
      <c r="M690" s="23" t="str">
        <f t="shared" ref="M690" si="385">CONCATENATE($G$15+MOD(C684-1,$G$10)+1,",",$H$15)</f>
        <v>-1,6</v>
      </c>
    </row>
    <row r="691" spans="2:13">
      <c r="E691" s="4">
        <f t="shared" si="359"/>
        <v>691</v>
      </c>
      <c r="F691" s="9" t="s">
        <v>30</v>
      </c>
      <c r="M691" s="23">
        <v>3.5</v>
      </c>
    </row>
    <row r="692" spans="2:13">
      <c r="E692" s="4">
        <f t="shared" si="359"/>
        <v>692</v>
      </c>
      <c r="F692" s="9" t="s">
        <v>31</v>
      </c>
      <c r="L692" s="9" t="s">
        <v>134</v>
      </c>
      <c r="M692" s="23">
        <v>270</v>
      </c>
    </row>
    <row r="693" spans="2:13">
      <c r="B693" s="22">
        <f t="shared" ref="B693:B737" si="386">QUOTIENT( D693-1,G694)+1</f>
        <v>9</v>
      </c>
      <c r="C693" s="22">
        <f t="shared" ref="C693" si="387">D693-(B693-1)*G694</f>
        <v>5</v>
      </c>
      <c r="D693" s="22">
        <f>COUNT($D$8:$D692)+1</f>
        <v>77</v>
      </c>
      <c r="E693" s="4"/>
    </row>
    <row r="694" spans="2:13">
      <c r="E694" s="4">
        <f t="shared" si="359"/>
        <v>694</v>
      </c>
      <c r="F694" s="9" t="s">
        <v>93</v>
      </c>
      <c r="G694" s="9" t="s">
        <v>40</v>
      </c>
      <c r="H694" s="9" t="s">
        <v>40</v>
      </c>
      <c r="J694" s="9" t="s">
        <v>241</v>
      </c>
      <c r="M694" s="23">
        <f t="shared" ref="M694:M737" si="388">J694+D693</f>
        <v>10277</v>
      </c>
    </row>
    <row r="695" spans="2:13">
      <c r="E695" s="4">
        <f t="shared" si="359"/>
        <v>695</v>
      </c>
      <c r="F695" s="9" t="s">
        <v>145</v>
      </c>
      <c r="G695" s="9">
        <v>150</v>
      </c>
      <c r="H695" s="9" t="s">
        <v>232</v>
      </c>
      <c r="M695" s="23">
        <f t="shared" ref="M695" si="389">$G$11+B693*$H$11</f>
        <v>1050</v>
      </c>
    </row>
    <row r="696" spans="2:13">
      <c r="E696" s="4">
        <f t="shared" si="359"/>
        <v>696</v>
      </c>
      <c r="F696" s="9" t="s">
        <v>29</v>
      </c>
      <c r="M696" s="23" t="s">
        <v>230</v>
      </c>
    </row>
    <row r="697" spans="2:13">
      <c r="E697" s="4">
        <f t="shared" si="359"/>
        <v>697</v>
      </c>
      <c r="F697" s="9" t="s">
        <v>118</v>
      </c>
      <c r="M697" s="23" t="s">
        <v>231</v>
      </c>
    </row>
    <row r="698" spans="2:13">
      <c r="E698" s="4">
        <f t="shared" si="359"/>
        <v>698</v>
      </c>
      <c r="F698" s="9" t="s">
        <v>114</v>
      </c>
      <c r="M698" s="23" t="b">
        <v>1</v>
      </c>
    </row>
    <row r="699" spans="2:13">
      <c r="E699" s="4">
        <f t="shared" si="359"/>
        <v>699</v>
      </c>
      <c r="F699" s="9" t="s">
        <v>98</v>
      </c>
      <c r="G699" s="9" t="s">
        <v>233</v>
      </c>
      <c r="H699" s="9">
        <v>6</v>
      </c>
      <c r="K699" s="9" t="s">
        <v>136</v>
      </c>
      <c r="M699" s="23" t="str">
        <f t="shared" ref="M699" si="390">CONCATENATE($G$15+MOD(C693-1,$G$10)+1,",",$H$15)</f>
        <v>0,6</v>
      </c>
    </row>
    <row r="700" spans="2:13">
      <c r="E700" s="4">
        <f t="shared" si="359"/>
        <v>700</v>
      </c>
      <c r="F700" s="9" t="s">
        <v>30</v>
      </c>
      <c r="M700" s="23">
        <v>3.5</v>
      </c>
    </row>
    <row r="701" spans="2:13">
      <c r="E701" s="4">
        <f t="shared" si="359"/>
        <v>701</v>
      </c>
      <c r="F701" s="9" t="s">
        <v>31</v>
      </c>
      <c r="L701" s="9" t="s">
        <v>134</v>
      </c>
      <c r="M701" s="23">
        <v>270</v>
      </c>
    </row>
    <row r="702" spans="2:13">
      <c r="B702" s="22">
        <f t="shared" ref="B702:B737" si="391">QUOTIENT( D702-1,G703)+1</f>
        <v>9</v>
      </c>
      <c r="C702" s="22">
        <f t="shared" ref="C702" si="392">D702-(B702-1)*G703</f>
        <v>6</v>
      </c>
      <c r="D702" s="22">
        <f>COUNT($D$8:$D701)+1</f>
        <v>78</v>
      </c>
      <c r="E702" s="4"/>
    </row>
    <row r="703" spans="2:13">
      <c r="E703" s="4">
        <f t="shared" si="359"/>
        <v>703</v>
      </c>
      <c r="F703" s="9" t="s">
        <v>93</v>
      </c>
      <c r="G703" s="9" t="s">
        <v>40</v>
      </c>
      <c r="H703" s="9" t="s">
        <v>40</v>
      </c>
      <c r="J703" s="9" t="s">
        <v>241</v>
      </c>
      <c r="M703" s="23">
        <f t="shared" ref="M703:M737" si="393">J703+D702</f>
        <v>10278</v>
      </c>
    </row>
    <row r="704" spans="2:13">
      <c r="E704" s="4">
        <f t="shared" si="359"/>
        <v>704</v>
      </c>
      <c r="F704" s="9" t="s">
        <v>145</v>
      </c>
      <c r="G704" s="9">
        <v>150</v>
      </c>
      <c r="H704" s="9" t="s">
        <v>232</v>
      </c>
      <c r="M704" s="23">
        <f t="shared" ref="M704" si="394">$G$11+B702*$H$11</f>
        <v>1050</v>
      </c>
    </row>
    <row r="705" spans="2:13">
      <c r="E705" s="4">
        <f t="shared" si="359"/>
        <v>705</v>
      </c>
      <c r="F705" s="9" t="s">
        <v>29</v>
      </c>
      <c r="M705" s="23" t="s">
        <v>230</v>
      </c>
    </row>
    <row r="706" spans="2:13">
      <c r="E706" s="4">
        <f t="shared" si="359"/>
        <v>706</v>
      </c>
      <c r="F706" s="9" t="s">
        <v>118</v>
      </c>
      <c r="M706" s="23" t="s">
        <v>231</v>
      </c>
    </row>
    <row r="707" spans="2:13">
      <c r="E707" s="4">
        <f t="shared" ref="E707:E737" si="395">ROW(E707)</f>
        <v>707</v>
      </c>
      <c r="F707" s="9" t="s">
        <v>114</v>
      </c>
      <c r="M707" s="23" t="b">
        <v>1</v>
      </c>
    </row>
    <row r="708" spans="2:13">
      <c r="E708" s="4">
        <f t="shared" si="395"/>
        <v>708</v>
      </c>
      <c r="F708" s="9" t="s">
        <v>98</v>
      </c>
      <c r="G708" s="9" t="s">
        <v>233</v>
      </c>
      <c r="H708" s="9">
        <v>6</v>
      </c>
      <c r="K708" s="9" t="s">
        <v>136</v>
      </c>
      <c r="M708" s="23" t="str">
        <f t="shared" ref="M708" si="396">CONCATENATE($G$15+MOD(C702-1,$G$10)+1,",",$H$15)</f>
        <v>1,6</v>
      </c>
    </row>
    <row r="709" spans="2:13">
      <c r="E709" s="4">
        <f t="shared" si="395"/>
        <v>709</v>
      </c>
      <c r="F709" s="9" t="s">
        <v>30</v>
      </c>
      <c r="M709" s="23">
        <v>3.5</v>
      </c>
    </row>
    <row r="710" spans="2:13">
      <c r="E710" s="4">
        <f t="shared" si="395"/>
        <v>710</v>
      </c>
      <c r="F710" s="9" t="s">
        <v>31</v>
      </c>
      <c r="L710" s="9" t="s">
        <v>134</v>
      </c>
      <c r="M710" s="23">
        <v>270</v>
      </c>
    </row>
    <row r="711" spans="2:13">
      <c r="B711" s="22">
        <f t="shared" ref="B711:B737" si="397">QUOTIENT( D711-1,G712)+1</f>
        <v>9</v>
      </c>
      <c r="C711" s="22">
        <f t="shared" ref="C711" si="398">D711-(B711-1)*G712</f>
        <v>7</v>
      </c>
      <c r="D711" s="22">
        <f>COUNT($D$8:$D710)+1</f>
        <v>79</v>
      </c>
      <c r="E711" s="4"/>
    </row>
    <row r="712" spans="2:13">
      <c r="E712" s="4">
        <f t="shared" si="395"/>
        <v>712</v>
      </c>
      <c r="F712" s="9" t="s">
        <v>93</v>
      </c>
      <c r="G712" s="9" t="s">
        <v>40</v>
      </c>
      <c r="H712" s="9" t="s">
        <v>40</v>
      </c>
      <c r="J712" s="9" t="s">
        <v>241</v>
      </c>
      <c r="M712" s="23">
        <f t="shared" ref="M712:M737" si="399">J712+D711</f>
        <v>10279</v>
      </c>
    </row>
    <row r="713" spans="2:13">
      <c r="E713" s="4">
        <f t="shared" si="395"/>
        <v>713</v>
      </c>
      <c r="F713" s="9" t="s">
        <v>145</v>
      </c>
      <c r="G713" s="9">
        <v>150</v>
      </c>
      <c r="H713" s="9" t="s">
        <v>232</v>
      </c>
      <c r="M713" s="23">
        <f t="shared" ref="M713" si="400">$G$11+B711*$H$11</f>
        <v>1050</v>
      </c>
    </row>
    <row r="714" spans="2:13">
      <c r="E714" s="4">
        <f t="shared" si="395"/>
        <v>714</v>
      </c>
      <c r="F714" s="9" t="s">
        <v>29</v>
      </c>
      <c r="M714" s="23" t="s">
        <v>230</v>
      </c>
    </row>
    <row r="715" spans="2:13">
      <c r="E715" s="4">
        <f t="shared" si="395"/>
        <v>715</v>
      </c>
      <c r="F715" s="9" t="s">
        <v>118</v>
      </c>
      <c r="M715" s="23" t="s">
        <v>231</v>
      </c>
    </row>
    <row r="716" spans="2:13">
      <c r="E716" s="4">
        <f t="shared" si="395"/>
        <v>716</v>
      </c>
      <c r="F716" s="9" t="s">
        <v>114</v>
      </c>
      <c r="M716" s="23" t="b">
        <v>1</v>
      </c>
    </row>
    <row r="717" spans="2:13">
      <c r="E717" s="4">
        <f t="shared" si="395"/>
        <v>717</v>
      </c>
      <c r="F717" s="9" t="s">
        <v>98</v>
      </c>
      <c r="G717" s="9" t="s">
        <v>233</v>
      </c>
      <c r="H717" s="9">
        <v>6</v>
      </c>
      <c r="K717" s="9" t="s">
        <v>136</v>
      </c>
      <c r="M717" s="23" t="str">
        <f t="shared" ref="M717" si="401">CONCATENATE($G$15+MOD(C711-1,$G$10)+1,",",$H$15)</f>
        <v>2,6</v>
      </c>
    </row>
    <row r="718" spans="2:13">
      <c r="E718" s="4">
        <f t="shared" si="395"/>
        <v>718</v>
      </c>
      <c r="F718" s="9" t="s">
        <v>30</v>
      </c>
      <c r="M718" s="23">
        <v>3.5</v>
      </c>
    </row>
    <row r="719" spans="2:13">
      <c r="E719" s="4">
        <f t="shared" si="395"/>
        <v>719</v>
      </c>
      <c r="F719" s="9" t="s">
        <v>31</v>
      </c>
      <c r="L719" s="9" t="s">
        <v>134</v>
      </c>
      <c r="M719" s="23">
        <v>270</v>
      </c>
    </row>
    <row r="720" spans="2:13">
      <c r="B720" s="22">
        <f t="shared" ref="B720:B737" si="402">QUOTIENT( D720-1,G721)+1</f>
        <v>9</v>
      </c>
      <c r="C720" s="22">
        <f t="shared" ref="C720" si="403">D720-(B720-1)*G721</f>
        <v>8</v>
      </c>
      <c r="D720" s="22">
        <f>COUNT($D$8:$D719)+1</f>
        <v>80</v>
      </c>
      <c r="E720" s="4"/>
    </row>
    <row r="721" spans="2:13">
      <c r="E721" s="4">
        <f t="shared" si="395"/>
        <v>721</v>
      </c>
      <c r="F721" s="9" t="s">
        <v>93</v>
      </c>
      <c r="G721" s="9" t="s">
        <v>40</v>
      </c>
      <c r="H721" s="9" t="s">
        <v>40</v>
      </c>
      <c r="J721" s="9" t="s">
        <v>241</v>
      </c>
      <c r="M721" s="23">
        <f t="shared" ref="M721:M737" si="404">J721+D720</f>
        <v>10280</v>
      </c>
    </row>
    <row r="722" spans="2:13">
      <c r="E722" s="4">
        <f t="shared" si="395"/>
        <v>722</v>
      </c>
      <c r="F722" s="9" t="s">
        <v>145</v>
      </c>
      <c r="G722" s="9">
        <v>150</v>
      </c>
      <c r="H722" s="9" t="s">
        <v>232</v>
      </c>
      <c r="M722" s="23">
        <f t="shared" ref="M722" si="405">$G$11+B720*$H$11</f>
        <v>1050</v>
      </c>
    </row>
    <row r="723" spans="2:13">
      <c r="E723" s="4">
        <f t="shared" si="395"/>
        <v>723</v>
      </c>
      <c r="F723" s="9" t="s">
        <v>29</v>
      </c>
      <c r="M723" s="23" t="s">
        <v>230</v>
      </c>
    </row>
    <row r="724" spans="2:13">
      <c r="E724" s="4">
        <f t="shared" si="395"/>
        <v>724</v>
      </c>
      <c r="F724" s="9" t="s">
        <v>118</v>
      </c>
      <c r="M724" s="23" t="s">
        <v>231</v>
      </c>
    </row>
    <row r="725" spans="2:13">
      <c r="E725" s="4">
        <f t="shared" si="395"/>
        <v>725</v>
      </c>
      <c r="F725" s="9" t="s">
        <v>114</v>
      </c>
      <c r="M725" s="23" t="b">
        <v>1</v>
      </c>
    </row>
    <row r="726" spans="2:13">
      <c r="E726" s="4">
        <f t="shared" si="395"/>
        <v>726</v>
      </c>
      <c r="F726" s="9" t="s">
        <v>98</v>
      </c>
      <c r="G726" s="9" t="s">
        <v>233</v>
      </c>
      <c r="H726" s="9">
        <v>6</v>
      </c>
      <c r="K726" s="9" t="s">
        <v>136</v>
      </c>
      <c r="M726" s="23" t="str">
        <f t="shared" ref="M726" si="406">CONCATENATE($G$15+MOD(C720-1,$G$10)+1,",",$H$15)</f>
        <v>3,6</v>
      </c>
    </row>
    <row r="727" spans="2:13">
      <c r="E727" s="4">
        <f t="shared" si="395"/>
        <v>727</v>
      </c>
      <c r="F727" s="9" t="s">
        <v>30</v>
      </c>
      <c r="M727" s="23">
        <v>3.5</v>
      </c>
    </row>
    <row r="728" spans="2:13">
      <c r="E728" s="4">
        <f t="shared" si="395"/>
        <v>728</v>
      </c>
      <c r="F728" s="9" t="s">
        <v>31</v>
      </c>
      <c r="L728" s="9" t="s">
        <v>134</v>
      </c>
      <c r="M728" s="23">
        <v>270</v>
      </c>
    </row>
    <row r="729" spans="2:13">
      <c r="B729" s="22">
        <f t="shared" ref="B729:B737" si="407">QUOTIENT( D729-1,G730)+1</f>
        <v>9</v>
      </c>
      <c r="C729" s="22">
        <f t="shared" ref="C729" si="408">D729-(B729-1)*G730</f>
        <v>9</v>
      </c>
      <c r="D729" s="22">
        <f>COUNT($D$8:$D728)+1</f>
        <v>81</v>
      </c>
      <c r="E729" s="4"/>
    </row>
    <row r="730" spans="2:13">
      <c r="E730" s="4">
        <f t="shared" si="395"/>
        <v>730</v>
      </c>
      <c r="F730" s="9" t="s">
        <v>93</v>
      </c>
      <c r="G730" s="9" t="s">
        <v>40</v>
      </c>
      <c r="H730" s="9" t="s">
        <v>40</v>
      </c>
      <c r="J730" s="9" t="s">
        <v>241</v>
      </c>
      <c r="M730" s="23">
        <f t="shared" ref="M730:M737" si="409">J730+D729</f>
        <v>10281</v>
      </c>
    </row>
    <row r="731" spans="2:13">
      <c r="E731" s="4">
        <f t="shared" si="395"/>
        <v>731</v>
      </c>
      <c r="F731" s="9" t="s">
        <v>145</v>
      </c>
      <c r="G731" s="9">
        <v>150</v>
      </c>
      <c r="H731" s="9" t="s">
        <v>232</v>
      </c>
      <c r="M731" s="23">
        <f t="shared" ref="M731" si="410">$G$11+B729*$H$11</f>
        <v>1050</v>
      </c>
    </row>
    <row r="732" spans="2:13">
      <c r="E732" s="4">
        <f t="shared" si="395"/>
        <v>732</v>
      </c>
      <c r="F732" s="9" t="s">
        <v>29</v>
      </c>
      <c r="M732" s="23" t="s">
        <v>230</v>
      </c>
    </row>
    <row r="733" spans="2:13">
      <c r="E733" s="4">
        <f t="shared" si="395"/>
        <v>733</v>
      </c>
      <c r="F733" s="9" t="s">
        <v>118</v>
      </c>
      <c r="M733" s="23" t="s">
        <v>231</v>
      </c>
    </row>
    <row r="734" spans="2:13">
      <c r="E734" s="4">
        <f t="shared" si="395"/>
        <v>734</v>
      </c>
      <c r="F734" s="9" t="s">
        <v>114</v>
      </c>
      <c r="M734" s="23" t="b">
        <v>1</v>
      </c>
    </row>
    <row r="735" spans="2:13">
      <c r="E735" s="4">
        <f t="shared" si="395"/>
        <v>735</v>
      </c>
      <c r="F735" s="9" t="s">
        <v>98</v>
      </c>
      <c r="G735" s="9" t="s">
        <v>233</v>
      </c>
      <c r="H735" s="9">
        <v>6</v>
      </c>
      <c r="K735" s="9" t="s">
        <v>136</v>
      </c>
      <c r="M735" s="23" t="str">
        <f t="shared" ref="M735" si="411">CONCATENATE($G$15+MOD(C729-1,$G$10)+1,",",$H$15)</f>
        <v>4,6</v>
      </c>
    </row>
    <row r="736" spans="2:13">
      <c r="E736" s="4">
        <f t="shared" si="395"/>
        <v>736</v>
      </c>
      <c r="F736" s="9" t="s">
        <v>30</v>
      </c>
      <c r="M736" s="23">
        <v>3.5</v>
      </c>
    </row>
    <row r="737" spans="5:13">
      <c r="E737" s="4">
        <f t="shared" si="395"/>
        <v>737</v>
      </c>
      <c r="F737" s="9" t="s">
        <v>31</v>
      </c>
      <c r="L737" s="9" t="s">
        <v>134</v>
      </c>
      <c r="M737" s="23">
        <v>270</v>
      </c>
    </row>
    <row r="738" spans="5:13">
      <c r="E738" s="4"/>
    </row>
    <row r="739" spans="5:13">
      <c r="E739" s="4"/>
    </row>
    <row r="740" spans="5:13">
      <c r="E740" s="4"/>
    </row>
    <row r="741" spans="5:13">
      <c r="E741" s="4"/>
    </row>
    <row r="742" spans="5:13">
      <c r="E742" s="4"/>
    </row>
    <row r="743" spans="5:13">
      <c r="E743" s="4"/>
    </row>
    <row r="744" spans="5:13">
      <c r="E744" s="4"/>
    </row>
    <row r="745" spans="5:13">
      <c r="E745" s="4"/>
    </row>
    <row r="746" spans="5:13">
      <c r="E746" s="4"/>
    </row>
    <row r="747" spans="5:13">
      <c r="E747" s="4"/>
    </row>
    <row r="748" spans="5:13">
      <c r="E748" s="4"/>
    </row>
    <row r="749" spans="5:13">
      <c r="E749" s="4"/>
    </row>
    <row r="750" spans="5:13">
      <c r="E750" s="4"/>
    </row>
    <row r="751" spans="5:13">
      <c r="E751" s="4"/>
    </row>
    <row r="752" spans="5:13">
      <c r="E752" s="4"/>
    </row>
    <row r="753" spans="5:5">
      <c r="E753" s="4"/>
    </row>
    <row r="754" spans="5:5">
      <c r="E754" s="4"/>
    </row>
    <row r="755" spans="5:5">
      <c r="E755" s="4"/>
    </row>
    <row r="756" spans="5:5">
      <c r="E756" s="4"/>
    </row>
    <row r="757" spans="5:5">
      <c r="E757" s="4"/>
    </row>
    <row r="758" spans="5:5">
      <c r="E758" s="4"/>
    </row>
    <row r="759" spans="5:5">
      <c r="E759" s="4"/>
    </row>
    <row r="760" spans="5:5">
      <c r="E760" s="4"/>
    </row>
    <row r="761" spans="5:5">
      <c r="E761" s="4"/>
    </row>
    <row r="762" spans="5:5">
      <c r="E762" s="4"/>
    </row>
    <row r="763" spans="5:5">
      <c r="E763" s="4"/>
    </row>
    <row r="764" spans="5:5">
      <c r="E764" s="4"/>
    </row>
    <row r="765" spans="5:5">
      <c r="E765" s="4"/>
    </row>
    <row r="766" spans="5:5">
      <c r="E766" s="4"/>
    </row>
    <row r="767" spans="5:5">
      <c r="E767" s="4"/>
    </row>
    <row r="768" spans="5:5">
      <c r="E768" s="4"/>
    </row>
    <row r="769" spans="5:5">
      <c r="E769" s="4"/>
    </row>
    <row r="770" spans="5:5">
      <c r="E770" s="4"/>
    </row>
    <row r="771" spans="5:5">
      <c r="E771" s="4"/>
    </row>
    <row r="772" spans="5:5">
      <c r="E772" s="4"/>
    </row>
    <row r="773" spans="5:5">
      <c r="E773" s="4"/>
    </row>
    <row r="774" spans="5:5">
      <c r="E774" s="4"/>
    </row>
    <row r="775" spans="5:5">
      <c r="E775" s="4"/>
    </row>
    <row r="776" spans="5:5">
      <c r="E776" s="4"/>
    </row>
    <row r="777" spans="5:5">
      <c r="E777" s="4"/>
    </row>
    <row r="778" spans="5:5">
      <c r="E778" s="4"/>
    </row>
    <row r="779" spans="5:5">
      <c r="E779" s="4"/>
    </row>
    <row r="780" spans="5:5">
      <c r="E780" s="4"/>
    </row>
    <row r="781" spans="5:5">
      <c r="E781" s="4"/>
    </row>
    <row r="782" spans="5:5">
      <c r="E782" s="4"/>
    </row>
    <row r="783" spans="5:5">
      <c r="E783" s="4"/>
    </row>
    <row r="784" spans="5:5">
      <c r="E784" s="4"/>
    </row>
    <row r="785" spans="5:5">
      <c r="E785" s="4"/>
    </row>
    <row r="786" spans="5:5">
      <c r="E786" s="4"/>
    </row>
    <row r="787" spans="5:5">
      <c r="E787" s="4"/>
    </row>
    <row r="788" spans="5:5">
      <c r="E788" s="4"/>
    </row>
    <row r="789" spans="5:5">
      <c r="E789" s="4"/>
    </row>
    <row r="790" spans="5:5">
      <c r="E790" s="4"/>
    </row>
    <row r="791" spans="5:5">
      <c r="E791" s="4"/>
    </row>
    <row r="792" spans="5:5">
      <c r="E792" s="4"/>
    </row>
    <row r="793" spans="5:5">
      <c r="E793" s="4"/>
    </row>
    <row r="794" spans="5:5">
      <c r="E794" s="4"/>
    </row>
    <row r="795" spans="5:5">
      <c r="E795" s="4"/>
    </row>
    <row r="796" spans="5:5">
      <c r="E796" s="4"/>
    </row>
    <row r="797" spans="5:5">
      <c r="E797" s="4"/>
    </row>
    <row r="798" spans="5:5">
      <c r="E798" s="4"/>
    </row>
    <row r="799" spans="5:5">
      <c r="E799" s="4"/>
    </row>
    <row r="800" spans="5:5">
      <c r="E800" s="4"/>
    </row>
    <row r="801" spans="5:5">
      <c r="E801" s="4"/>
    </row>
    <row r="802" spans="5:5">
      <c r="E802" s="4"/>
    </row>
    <row r="803" spans="5:5">
      <c r="E803" s="4"/>
    </row>
    <row r="804" spans="5:5">
      <c r="E804" s="4"/>
    </row>
    <row r="805" spans="5:5">
      <c r="E805" s="4"/>
    </row>
    <row r="806" spans="5:5">
      <c r="E806" s="4"/>
    </row>
    <row r="807" spans="5:5">
      <c r="E807" s="4"/>
    </row>
    <row r="808" spans="5:5">
      <c r="E808" s="4"/>
    </row>
    <row r="809" spans="5:5">
      <c r="E809" s="4"/>
    </row>
    <row r="810" spans="5:5">
      <c r="E810" s="4"/>
    </row>
    <row r="811" spans="5:5">
      <c r="E811" s="4"/>
    </row>
    <row r="812" spans="5:5">
      <c r="E812" s="4"/>
    </row>
    <row r="813" spans="5:5">
      <c r="E813" s="4"/>
    </row>
    <row r="814" spans="5:5">
      <c r="E814" s="4"/>
    </row>
    <row r="815" spans="5:5">
      <c r="E815" s="4"/>
    </row>
    <row r="816" spans="5:5">
      <c r="E816" s="4"/>
    </row>
    <row r="817" spans="5:5">
      <c r="E817" s="4"/>
    </row>
    <row r="818" spans="5:5">
      <c r="E818" s="4"/>
    </row>
    <row r="819" spans="5:5">
      <c r="E819" s="4"/>
    </row>
    <row r="820" spans="5:5">
      <c r="E820" s="4"/>
    </row>
    <row r="821" spans="5:5">
      <c r="E821" s="4"/>
    </row>
    <row r="822" spans="5:5">
      <c r="E822" s="4"/>
    </row>
    <row r="823" spans="5:5">
      <c r="E823" s="4"/>
    </row>
    <row r="824" spans="5:5">
      <c r="E824" s="4"/>
    </row>
    <row r="825" spans="5:5">
      <c r="E825" s="4"/>
    </row>
    <row r="826" spans="5:5">
      <c r="E826" s="4"/>
    </row>
    <row r="827" spans="5:5">
      <c r="E827" s="4"/>
    </row>
    <row r="828" spans="5:5">
      <c r="E828" s="4"/>
    </row>
    <row r="829" spans="5:5">
      <c r="E829" s="4"/>
    </row>
    <row r="830" spans="5:5">
      <c r="E830" s="4"/>
    </row>
    <row r="831" spans="5:5">
      <c r="E831" s="4"/>
    </row>
    <row r="832" spans="5:5">
      <c r="E832" s="4"/>
    </row>
    <row r="833" spans="5:5">
      <c r="E833" s="4"/>
    </row>
    <row r="834" spans="5:5">
      <c r="E834" s="4"/>
    </row>
    <row r="835" spans="5:5">
      <c r="E835" s="4"/>
    </row>
    <row r="836" spans="5:5">
      <c r="E836" s="4"/>
    </row>
    <row r="837" spans="5:5">
      <c r="E837" s="4"/>
    </row>
    <row r="838" spans="5:5">
      <c r="E838" s="4"/>
    </row>
    <row r="839" spans="5:5">
      <c r="E839" s="4"/>
    </row>
    <row r="840" spans="5:5">
      <c r="E840" s="4"/>
    </row>
    <row r="841" spans="5:5">
      <c r="E841" s="4"/>
    </row>
    <row r="842" spans="5:5">
      <c r="E842" s="4"/>
    </row>
    <row r="843" spans="5:5">
      <c r="E843" s="4"/>
    </row>
    <row r="844" spans="5:5">
      <c r="E844" s="4"/>
    </row>
    <row r="845" spans="5:5">
      <c r="E845" s="4"/>
    </row>
    <row r="846" spans="5:5">
      <c r="E846" s="4"/>
    </row>
    <row r="847" spans="5:5">
      <c r="E847" s="4"/>
    </row>
    <row r="848" spans="5:5">
      <c r="E848" s="4"/>
    </row>
    <row r="849" spans="5:5">
      <c r="E849" s="4"/>
    </row>
    <row r="850" spans="5:5">
      <c r="E850" s="4"/>
    </row>
    <row r="851" spans="5:5">
      <c r="E851" s="4"/>
    </row>
    <row r="852" spans="5:5">
      <c r="E852" s="4"/>
    </row>
    <row r="853" spans="5:5">
      <c r="E853" s="4"/>
    </row>
    <row r="854" spans="5:5">
      <c r="E854" s="4"/>
    </row>
    <row r="855" spans="5:5">
      <c r="E855" s="4"/>
    </row>
    <row r="856" spans="5:5">
      <c r="E856" s="4"/>
    </row>
    <row r="857" spans="5:5">
      <c r="E857" s="4"/>
    </row>
    <row r="858" spans="5:5">
      <c r="E858" s="4"/>
    </row>
    <row r="859" spans="5:5">
      <c r="E859" s="4"/>
    </row>
    <row r="860" spans="5:5">
      <c r="E860" s="4"/>
    </row>
    <row r="861" spans="5:5">
      <c r="E861" s="4"/>
    </row>
    <row r="862" spans="5:5">
      <c r="E862" s="4"/>
    </row>
    <row r="863" spans="5:5">
      <c r="E863" s="4"/>
    </row>
    <row r="864" spans="5:5">
      <c r="E864" s="4"/>
    </row>
    <row r="865" spans="5:5">
      <c r="E865" s="4"/>
    </row>
    <row r="866" spans="5:5">
      <c r="E866" s="4"/>
    </row>
    <row r="867" spans="5:5">
      <c r="E867" s="4"/>
    </row>
    <row r="868" spans="5:5">
      <c r="E868" s="4"/>
    </row>
    <row r="869" spans="5:5">
      <c r="E869" s="4"/>
    </row>
    <row r="870" spans="5:5">
      <c r="E870" s="4"/>
    </row>
    <row r="871" spans="5:5">
      <c r="E871" s="4"/>
    </row>
    <row r="872" spans="5:5">
      <c r="E872" s="4"/>
    </row>
    <row r="873" spans="5:5">
      <c r="E873" s="4"/>
    </row>
    <row r="874" spans="5:5">
      <c r="E874" s="4"/>
    </row>
    <row r="875" spans="5:5">
      <c r="E875" s="4"/>
    </row>
    <row r="876" spans="5:5">
      <c r="E876" s="4"/>
    </row>
    <row r="877" spans="5:5">
      <c r="E877" s="4"/>
    </row>
    <row r="878" spans="5:5">
      <c r="E878" s="4"/>
    </row>
    <row r="879" spans="5:5">
      <c r="E879" s="4"/>
    </row>
    <row r="880" spans="5:5">
      <c r="E880" s="4"/>
    </row>
    <row r="881" spans="5:5">
      <c r="E881" s="4"/>
    </row>
    <row r="882" spans="5:5">
      <c r="E882" s="4"/>
    </row>
    <row r="883" spans="5:5">
      <c r="E883" s="4"/>
    </row>
    <row r="884" spans="5:5">
      <c r="E884" s="4"/>
    </row>
    <row r="885" spans="5:5">
      <c r="E885" s="4"/>
    </row>
    <row r="886" spans="5:5">
      <c r="E886" s="4"/>
    </row>
    <row r="887" spans="5:5">
      <c r="E887" s="4"/>
    </row>
    <row r="888" spans="5:5">
      <c r="E888" s="4"/>
    </row>
    <row r="889" spans="5:5">
      <c r="E889" s="4"/>
    </row>
    <row r="890" spans="5:5">
      <c r="E890" s="4"/>
    </row>
    <row r="891" spans="5:5">
      <c r="E891" s="4"/>
    </row>
    <row r="892" spans="5:5">
      <c r="E892" s="4"/>
    </row>
    <row r="893" spans="5:5">
      <c r="E893" s="4"/>
    </row>
    <row r="894" spans="5:5">
      <c r="E894" s="4"/>
    </row>
    <row r="895" spans="5:5">
      <c r="E895" s="4"/>
    </row>
    <row r="896" spans="5:5">
      <c r="E896" s="4"/>
    </row>
    <row r="897" spans="5:5">
      <c r="E897" s="4"/>
    </row>
    <row r="898" spans="5:5">
      <c r="E898" s="4"/>
    </row>
    <row r="899" spans="5:5">
      <c r="E899" s="4"/>
    </row>
    <row r="900" spans="5:5">
      <c r="E900" s="4"/>
    </row>
    <row r="901" spans="5:5">
      <c r="E901" s="4"/>
    </row>
    <row r="902" spans="5:5">
      <c r="E902" s="4"/>
    </row>
    <row r="903" spans="5:5">
      <c r="E903" s="4"/>
    </row>
    <row r="904" spans="5:5">
      <c r="E904" s="4"/>
    </row>
    <row r="905" spans="5:5">
      <c r="E905" s="4"/>
    </row>
    <row r="906" spans="5:5">
      <c r="E906" s="4"/>
    </row>
    <row r="907" spans="5:5">
      <c r="E907" s="4"/>
    </row>
    <row r="908" spans="5:5">
      <c r="E908" s="4"/>
    </row>
    <row r="909" spans="5:5">
      <c r="E909" s="4"/>
    </row>
    <row r="910" spans="5:5">
      <c r="E910" s="4"/>
    </row>
    <row r="911" spans="5:5">
      <c r="E911" s="4"/>
    </row>
    <row r="912" spans="5:5">
      <c r="E912" s="4"/>
    </row>
    <row r="913" spans="5:5">
      <c r="E913" s="4"/>
    </row>
    <row r="914" spans="5:5">
      <c r="E914" s="4"/>
    </row>
    <row r="915" spans="5:5">
      <c r="E915" s="4"/>
    </row>
    <row r="916" spans="5:5">
      <c r="E916" s="4"/>
    </row>
    <row r="917" spans="5:5">
      <c r="E917" s="4"/>
    </row>
    <row r="918" spans="5:5">
      <c r="E918" s="4"/>
    </row>
    <row r="919" spans="5:5">
      <c r="E919" s="4"/>
    </row>
    <row r="920" spans="5:5">
      <c r="E920" s="4"/>
    </row>
    <row r="921" spans="5:5">
      <c r="E921" s="4"/>
    </row>
    <row r="922" spans="5:5">
      <c r="E922" s="4"/>
    </row>
    <row r="923" spans="5:5">
      <c r="E923" s="4"/>
    </row>
    <row r="924" spans="5:5">
      <c r="E924" s="4"/>
    </row>
    <row r="925" spans="5:5">
      <c r="E925" s="4"/>
    </row>
    <row r="926" spans="5:5">
      <c r="E926" s="4"/>
    </row>
    <row r="927" spans="5:5">
      <c r="E927" s="4"/>
    </row>
    <row r="928" spans="5:5">
      <c r="E928" s="4"/>
    </row>
    <row r="929" spans="5:5">
      <c r="E929" s="4"/>
    </row>
    <row r="930" spans="5:5">
      <c r="E930" s="4"/>
    </row>
    <row r="931" spans="5:5">
      <c r="E931" s="4"/>
    </row>
    <row r="932" spans="5:5">
      <c r="E932" s="4"/>
    </row>
    <row r="933" spans="5:5">
      <c r="E933" s="4"/>
    </row>
    <row r="934" spans="5:5">
      <c r="E934" s="4"/>
    </row>
    <row r="935" spans="5:5">
      <c r="E935" s="4"/>
    </row>
    <row r="936" spans="5:5">
      <c r="E936" s="4"/>
    </row>
    <row r="937" spans="5:5">
      <c r="E937" s="4"/>
    </row>
    <row r="938" spans="5:5">
      <c r="E938" s="4"/>
    </row>
    <row r="939" spans="5:5">
      <c r="E939" s="4"/>
    </row>
    <row r="940" spans="5:5">
      <c r="E940" s="4"/>
    </row>
    <row r="941" spans="5:5">
      <c r="E941" s="4"/>
    </row>
    <row r="942" spans="5:5">
      <c r="E942" s="4"/>
    </row>
    <row r="943" spans="5:5">
      <c r="E943" s="4"/>
    </row>
    <row r="944" spans="5:5">
      <c r="E944" s="4"/>
    </row>
    <row r="945" spans="5:5">
      <c r="E945" s="4"/>
    </row>
    <row r="946" spans="5:5">
      <c r="E946" s="4"/>
    </row>
    <row r="947" spans="5:5">
      <c r="E947" s="4"/>
    </row>
    <row r="948" spans="5:5">
      <c r="E948" s="4"/>
    </row>
    <row r="949" spans="5:5">
      <c r="E949" s="4"/>
    </row>
    <row r="950" spans="5:5">
      <c r="E950" s="4"/>
    </row>
    <row r="951" spans="5:5">
      <c r="E951" s="4"/>
    </row>
    <row r="952" spans="5:5">
      <c r="E952" s="4"/>
    </row>
    <row r="953" spans="5:5">
      <c r="E953" s="4"/>
    </row>
    <row r="954" spans="5:5">
      <c r="E954" s="4"/>
    </row>
    <row r="955" spans="5:5">
      <c r="E955" s="4"/>
    </row>
    <row r="956" spans="5:5">
      <c r="E956" s="4"/>
    </row>
    <row r="957" spans="5:5">
      <c r="E957" s="4"/>
    </row>
    <row r="958" spans="5:5">
      <c r="E958" s="4"/>
    </row>
    <row r="959" spans="5:5">
      <c r="E959" s="4"/>
    </row>
    <row r="960" spans="5:5">
      <c r="E960" s="4"/>
    </row>
    <row r="961" spans="5:5">
      <c r="E961" s="4"/>
    </row>
    <row r="962" spans="5:5">
      <c r="E962" s="4"/>
    </row>
    <row r="963" spans="5:5">
      <c r="E963" s="4"/>
    </row>
    <row r="964" spans="5:5">
      <c r="E964" s="4"/>
    </row>
    <row r="965" spans="5:5">
      <c r="E965" s="4"/>
    </row>
    <row r="966" spans="5:5">
      <c r="E966" s="4"/>
    </row>
    <row r="967" spans="5:5">
      <c r="E967" s="4"/>
    </row>
    <row r="968" spans="5:5">
      <c r="E968" s="4"/>
    </row>
    <row r="969" spans="5:5">
      <c r="E969" s="4"/>
    </row>
    <row r="970" spans="5:5">
      <c r="E970" s="4"/>
    </row>
    <row r="971" spans="5:5">
      <c r="E971" s="4"/>
    </row>
    <row r="972" spans="5:5">
      <c r="E972" s="4"/>
    </row>
    <row r="973" spans="5:5">
      <c r="E973" s="4"/>
    </row>
    <row r="974" spans="5:5">
      <c r="E974" s="4"/>
    </row>
    <row r="975" spans="5:5">
      <c r="E975" s="4"/>
    </row>
    <row r="976" spans="5:5">
      <c r="E976" s="4"/>
    </row>
    <row r="977" spans="5:5">
      <c r="E977" s="4"/>
    </row>
    <row r="978" spans="5:5">
      <c r="E978" s="4"/>
    </row>
    <row r="979" spans="5:5">
      <c r="E979" s="4"/>
    </row>
    <row r="980" spans="5:5">
      <c r="E980" s="4"/>
    </row>
    <row r="981" spans="5:5">
      <c r="E981" s="4"/>
    </row>
    <row r="982" spans="5:5">
      <c r="E982" s="4"/>
    </row>
    <row r="983" spans="5:5">
      <c r="E983" s="4"/>
    </row>
    <row r="984" spans="5:5">
      <c r="E984" s="4"/>
    </row>
    <row r="985" spans="5:5">
      <c r="E985" s="4"/>
    </row>
    <row r="986" spans="5:5">
      <c r="E986" s="4"/>
    </row>
    <row r="987" spans="5:5">
      <c r="E987" s="4"/>
    </row>
    <row r="988" spans="5:5">
      <c r="E988" s="4"/>
    </row>
    <row r="989" spans="5:5">
      <c r="E989" s="4"/>
    </row>
    <row r="990" spans="5:5">
      <c r="E990" s="4"/>
    </row>
    <row r="991" spans="5:5">
      <c r="E991" s="4"/>
    </row>
    <row r="992" spans="5:5">
      <c r="E992" s="4"/>
    </row>
    <row r="993" spans="5:5">
      <c r="E993" s="4"/>
    </row>
    <row r="994" spans="5:5">
      <c r="E994" s="4"/>
    </row>
    <row r="995" spans="5:5">
      <c r="E995" s="4"/>
    </row>
    <row r="996" spans="5:5">
      <c r="E996" s="4"/>
    </row>
  </sheetData>
  <phoneticPr fontId="2" type="noConversion"/>
  <conditionalFormatting sqref="N1:BD1">
    <cfRule type="duplicateValues" dxfId="53" priority="589"/>
  </conditionalFormatting>
  <conditionalFormatting sqref="BE1:XFD1 E1:L1">
    <cfRule type="duplicateValues" dxfId="52" priority="669"/>
  </conditionalFormatting>
  <conditionalFormatting sqref="F1:J5 F23:J28 F34:J39 F45:J50 F56:J61 F67:J72 F78:J83 F89:J94 F100:J105 F19:J21 F30:J32 F41:J43 F52:J54 F63:J65 F74:J76 F85:J87 F96:J98 F111:J116 F210:J215 F309:J314 F408:J413 F507:J512 F606:J611 F705:J710 F804:J809 F903:J908 F107:J109 F206:J208 F305:J307 F404:J406 F503:J505 F602:J604 F701:J703 F800:J802 F899:J901 F122:J127 F221:J226 F320:J325 F419:J424 F518:J523 F617:J622 F716:J721 F815:J820 F914:J919 F133:J138 F232:J237 F331:J336 F430:J435 F529:J534 F628:J633 F727:J732 F826:J831 F925:J930 F144:J149 F243:J248 F342:J347 F441:J446 F540:J545 F639:J644 F738:J743 F837:J842 F936:J941 F155:J160 F254:J259 F353:J358 F452:J457 F551:J556 F650:J655 F749:J754 F848:J853 F947:J952 F166:J171 F265:J270 F364:J369 F463:J468 F562:J567 F661:J666 F760:J765 F859:J864 F958:J963 F177:J182 F276:J281 F375:J380 F474:J479 F573:J578 F672:J677 F771:J776 F870:J875 F969:J974 F188:J193 F287:J292 F386:J391 F485:J490 F584:J589 F683:J688 F782:J787 F881:J886 F980:J985 F199:J204 F298:J303 F397:J402 F496:J501 F595:J600 F694:J699 F793:J798 F892:J897 F991:J996 F118:J120 F217:J219 F316:J318 F415:J417 F514:J516 F613:J615 F712:J714 F811:J813 F910:J912 F129:J131 F228:J230 F327:J329 F426:J428 F525:J527 F624:J626 F723:J725 F822:J824 F921:J923 F140:J142 F239:J241 F338:J340 F437:J439 F536:J538 F635:J637 F734:J736 F833:J835 F932:J934 F151:J153 F250:J252 F349:J351 F448:J450 F547:J549 F646:J648 F745:J747 F844:J846 F943:J945 F162:J164 F261:J263 F360:J362 F459:J461 F558:J560 F657:J659 F756:J758 F855:J857 F954:J956 F173:J175 F272:J274 F371:J373 F470:J472 F569:J571 F668:J670 F767:J769 F866:J868 F965:J967 F184:J186 F283:J285 F382:J384 F481:J483 F580:J582 F679:J681 F778:J780 F877:J879 F976:J978 F195:J197 F294:J296 F393:J395 F492:J494 F591:J593 F690:J692 F789:J791 F888:J890 F987:J989 F9:J10 F11 H11:J11 F12:J17">
    <cfRule type="cellIs" dxfId="51" priority="162" operator="equal">
      <formula>"行動ID"</formula>
    </cfRule>
    <cfRule type="cellIs" dxfId="50" priority="170" operator="equal">
      <formula>"ID"</formula>
    </cfRule>
    <cfRule type="cellIs" dxfId="49" priority="585" operator="equal">
      <formula>"行動序號"</formula>
    </cfRule>
  </conditionalFormatting>
  <conditionalFormatting sqref="F20:J23 F31:J34 F42:J45 F53:J56 F64:J67 F75:J78 F86:J89 F97:J100 F108:J111 F207:J210 F306:J309 F405:J408 F504:J507 F603:J606 F702:J705 F801:J804 F900:J903 F119:J122 F218:J221 F317:J320 F416:J419 F515:J518 F614:J617 F713:J716 F812:J815 F911:J914 F130:J133 F229:J232 F328:J331 F427:J430 F526:J529 F625:J628 F724:J727 F823:J826 F922:J925 F141:J144 F240:J243 F339:J342 F438:J441 F537:J540 F636:J639 F735:J738 F834:J837 F933:J936 F152:J155 F251:J254 F350:J353 F449:J452 F548:J551 F647:J650 F746:J749 F845:J848 F944:J947 F163:J166 F262:J265 F361:J364 F460:J463 F559:J562 F658:J661 F757:J760 F856:J859 F955:J958 F174:J177 F273:J276 F372:J375 F471:J474 F570:J573 F669:J672 F768:J771 F867:J870 F966:J969 F185:J188 F284:J287 F383:J386 F482:J485 F581:J584 F680:J683 F779:J782 F878:J881 F977:J980 F196:J199 F295:J298 F394:J397 F493:J496 F592:J595 F691:J694 F790:J793 F889:J892 F988:J991 F10:J10 F11 H11:J11 F12:J12 G15">
    <cfRule type="cellIs" dxfId="48" priority="32" operator="equal">
      <formula>"行動ID"</formula>
    </cfRule>
  </conditionalFormatting>
  <conditionalFormatting sqref="F1:J5 F9:J9 F19:J19 F30:J30 F41:J41 F52:J52 F63:J63 F74:J74 F85:J85 F96:J96 F107:J107 F206:J206 F305:J305 F404:J404 F503:J503 F602:J602 F701:J701 F800:J800 F899:J899 F118:J118 F217:J217 F316:J316 F415:J415 F514:J514 F613:J613 F712:J712 F811:J811 F910:J910 F129:J129 F228:J228 F327:J327 F426:J426 F525:J525 F624:J624 F723:J723 F822:J822 F921:J921 F140:J140 F239:J239 F338:J338 F437:J437 F536:J536 F635:J635 F734:J734 F833:J833 F932:J932 F151:J151 F250:J250 F349:J349 F448:J448 F547:J547 F646:J646 F745:J745 F844:J844 F943:J943 F162:J162 F261:J261 F360:J360 F459:J459 F558:J558 F657:J657 F756:J756 F855:J855 F954:J954 F173:J173 F272:J272 F371:J371 F470:J470 F569:J569 F668:J668 F767:J767 F866:J866 F965:J965 F184:J184 F283:J283 F382:J382 F481:J481 F580:J580 F679:J679 F778:J778 F877:J877 F976:J976 F195:J195 F294:J294 F393:J393 F492:J492 F591:J591 F690:J690 F789:J789 F888:J888 F987:J987">
    <cfRule type="cellIs" dxfId="47" priority="28" operator="equal">
      <formula>"行動ID"</formula>
    </cfRule>
  </conditionalFormatting>
  <conditionalFormatting sqref="F15:J17 F26:J28 F37:J39 F48:J50 F59:J61 F70:J72 F81:J83 F92:J94 F103:J105 F114:J116 F213:J215 F312:J314 F411:J413 F510:J512 F609:J611 F708:J710 F807:J809 F906:J908 F125:J127 F224:J226 F323:J325 F422:J424 F521:J523 F620:J622 F719:J721 F818:J820 F917:J919 F136:J138 F235:J237 F334:J336 F433:J435 F532:J534 F631:J633 F730:J732 F829:J831 F928:J930 F147:J149 F246:J248 F345:J347 F444:J446 F543:J545 F642:J644 F741:J743 F840:J842 F939:J941 F158:J160 F257:J259 F356:J358 F455:J457 F554:J556 F653:J655 F752:J754 F851:J853 F950:J952 F169:J171 F268:J270 F367:J369 F466:J468 F565:J567 F664:J666 F763:J765 F862:J864 F961:J963 F180:J182 F279:J281 F378:J380 F477:J479 F576:J578 F675:J677 F774:J776 F873:J875 F972:J974 F191:J193 F290:J292 F389:J391 F488:J490 F587:J589 F686:J688 F785:J787 F884:J886 F983:J985 F202:J204 F301:J303 F400:J402 F499:J501 F598:J600 F697:J699 F796:J798 F895:J897 F994:J996">
    <cfRule type="cellIs" dxfId="46" priority="21" operator="equal">
      <formula>"行動ID"</formula>
    </cfRule>
  </conditionalFormatting>
  <conditionalFormatting sqref="F13:J13 F24:J24 F35:J35 F46:J46 F57:J57 F68:J68 F79:J79 F90:J90 F101:J101 F112:J112 F211:J211 F310:J310 F409:J409 F508:J508 F607:J607 F706:J706 F805:J805 F904:J904 F123:J123 F222:J222 F321:J321 F420:J420 F519:J519 F618:J618 F717:J717 F816:J816 F915:J915 F134:J134 F233:J233 F332:J332 F431:J431 F530:J530 F629:J629 F728:J728 F827:J827 F926:J926 F145:J145 F244:J244 F343:J343 F442:J442 F541:J541 F640:J640 F739:J739 F838:J838 F937:J937 F156:J156 F255:J255 F354:J354 F453:J453 F552:J552 F651:J651 F750:J750 F849:J849 F948:J948 F167:J167 F266:J266 F365:J365 F464:J464 F563:J563 F662:J662 F761:J761 F860:J860 F959:J959 F178:J178 F277:J277 F376:J376 F475:J475 F574:J574 F673:J673 F772:J772 F871:J871 F970:J970 F189:J189 F288:J288 F387:J387 F486:J486 F585:J585 F684:J684 F783:J783 F882:J882 F981:J981 F200:J200 F299:J299 F398:J398 F497:J497 F596:J596 F695:J695 F794:J794 F893:J893 F992:J992">
    <cfRule type="cellIs" dxfId="45" priority="9" operator="equal">
      <formula>"行動ID"</formula>
    </cfRule>
  </conditionalFormatting>
  <conditionalFormatting sqref="F14:J14 F25:J25 F36:J36 F47:J47 F58:J58 F69:J69 F80:J80 F91:J91 F102:J102 F113:J113 F212:J212 F311:J311 F410:J410 F509:J509 F608:J608 F707:J707 F806:J806 F905:J905 F124:J124 F223:J223 F322:J322 F421:J421 F520:J520 F619:J619 F718:J718 F817:J817 F916:J916 F135:J135 F234:J234 F333:J333 F432:J432 F531:J531 F630:J630 F729:J729 F828:J828 F927:J927 F146:J146 F245:J245 F344:J344 F443:J443 F542:J542 F641:J641 F740:J740 F839:J839 F938:J938 F157:J157 F256:J256 F355:J355 F454:J454 F553:J553 F652:J652 F751:J751 F850:J850 F949:J949 F168:J168 F267:J267 F366:J366 F465:J465 F564:J564 F663:J663 F762:J762 F861:J861 F960:J960 F179:J179 F278:J278 F377:J377 F476:J476 F575:J575 F674:J674 F773:J773 F872:J872 F971:J971 F190:J190 F289:J289 F388:J388 F487:J487 F586:J586 F685:J685 F784:J784 F883:J883 F982:J982 F201:J201 F300:J300 F399:J399 F498:J498 F597:J597 F696:J696 F795:J795 F894:J894 F993:J993">
    <cfRule type="cellIs" dxfId="44" priority="5" operator="equal">
      <formula>"行動ID"</formula>
    </cfRule>
  </conditionalFormatting>
  <conditionalFormatting sqref="M1:M1048576">
    <cfRule type="expression" dxfId="43" priority="3">
      <formula>OR(#REF!="行動序號",#REF!="ID")</formula>
    </cfRule>
  </conditionalFormatting>
  <conditionalFormatting sqref="G11 M1:M1048576">
    <cfRule type="expression" dxfId="42" priority="2">
      <formula>_xlfn.ISFORMULA(G1)</formula>
    </cfRule>
  </conditionalFormatting>
  <conditionalFormatting sqref="M1:M1048576">
    <cfRule type="expression" dxfId="41" priority="1">
      <formula>#REF!="行動ID"</formula>
    </cfRule>
  </conditionalFormatting>
  <conditionalFormatting sqref="G11">
    <cfRule type="expression" dxfId="40" priority="902">
      <formula>OR(#REF!="行動序號",#REF!="ID")</formula>
    </cfRule>
  </conditionalFormatting>
  <conditionalFormatting sqref="G11">
    <cfRule type="expression" dxfId="39" priority="906">
      <formula>#REF!="行動ID"</formula>
    </cfRule>
  </conditionalFormatting>
  <dataValidations count="1">
    <dataValidation type="list" allowBlank="1" showInputMessage="1" showErrorMessage="1" sqref="F2:K5 F8:J8 L6 L725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6257B-97D0-4266-B1B3-E2BA1B1B18BA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141</v>
      </c>
      <c r="D1" s="17" t="s">
        <v>140</v>
      </c>
      <c r="E1" s="6" t="s">
        <v>36</v>
      </c>
    </row>
    <row r="2" spans="1:5">
      <c r="A2" s="9" t="s">
        <v>50</v>
      </c>
      <c r="B2" s="9" t="s">
        <v>28</v>
      </c>
      <c r="C2" s="9" t="s">
        <v>141</v>
      </c>
      <c r="D2" s="9" t="s">
        <v>139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E324E447-0157-4F86-B490-AFEAC413AE37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357AB-1211-4CD5-83F3-B3706118B98F}">
  <sheetPr codeName="DefineSheet"/>
  <dimension ref="A1:L116"/>
  <sheetViews>
    <sheetView topLeftCell="A94" workbookViewId="0">
      <selection activeCell="B116" sqref="B116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146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101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99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102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147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110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234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148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103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104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130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131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149</v>
      </c>
      <c r="C17" s="7" t="s">
        <v>235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150</v>
      </c>
      <c r="C20" s="7" t="s">
        <v>151</v>
      </c>
      <c r="E20" t="str">
        <f t="shared" si="0"/>
        <v>啟動依ID,</v>
      </c>
      <c r="H20"/>
    </row>
    <row r="21" spans="1:8">
      <c r="A21" s="7" t="s">
        <v>27</v>
      </c>
      <c r="B21" s="7" t="s">
        <v>145</v>
      </c>
      <c r="C21" s="7" t="s">
        <v>152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126</v>
      </c>
      <c r="C22" s="7" t="s">
        <v>153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127</v>
      </c>
      <c r="C23" s="7" t="s">
        <v>154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128</v>
      </c>
      <c r="C24" s="7" t="s">
        <v>155</v>
      </c>
      <c r="E24" t="str">
        <f t="shared" si="0"/>
        <v>啟動依位置,</v>
      </c>
      <c r="H24"/>
    </row>
    <row r="25" spans="1:8">
      <c r="A25" s="7" t="s">
        <v>27</v>
      </c>
      <c r="B25" s="7" t="s">
        <v>129</v>
      </c>
      <c r="C25" s="7" t="s">
        <v>156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157</v>
      </c>
      <c r="C26" s="7" t="s">
        <v>158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159</v>
      </c>
      <c r="C27" s="7" t="s">
        <v>160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161</v>
      </c>
      <c r="E30" t="str">
        <f t="shared" si="0"/>
        <v>物件,</v>
      </c>
      <c r="H30"/>
    </row>
    <row r="31" spans="1:8">
      <c r="A31" s="7" t="s">
        <v>27</v>
      </c>
      <c r="B31" s="7" t="s">
        <v>118</v>
      </c>
      <c r="C31" s="7" t="s">
        <v>162</v>
      </c>
      <c r="E31" t="str">
        <f t="shared" si="0"/>
        <v>Sprite,</v>
      </c>
      <c r="H31"/>
    </row>
    <row r="32" spans="1:8">
      <c r="A32" s="7" t="s">
        <v>27</v>
      </c>
      <c r="B32" s="7" t="s">
        <v>100</v>
      </c>
      <c r="C32" s="7" t="s">
        <v>163</v>
      </c>
      <c r="E32" t="str">
        <f t="shared" si="0"/>
        <v>動畫,</v>
      </c>
      <c r="H32"/>
    </row>
    <row r="33" spans="1:8">
      <c r="A33" s="7" t="s">
        <v>27</v>
      </c>
      <c r="B33" s="7" t="s">
        <v>106</v>
      </c>
      <c r="C33" s="7" t="s">
        <v>164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105</v>
      </c>
      <c r="C34" s="7" t="s">
        <v>165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166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167</v>
      </c>
      <c r="C36" s="7" t="s">
        <v>168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169</v>
      </c>
      <c r="C37" s="7" t="s">
        <v>170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171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97</v>
      </c>
      <c r="C41" s="7" t="s">
        <v>172</v>
      </c>
      <c r="E41" t="str">
        <f t="shared" si="0"/>
        <v>回收時間,</v>
      </c>
      <c r="H41"/>
    </row>
    <row r="42" spans="1:8">
      <c r="A42" s="7" t="s">
        <v>27</v>
      </c>
      <c r="B42" s="7" t="s">
        <v>107</v>
      </c>
      <c r="C42" s="7" t="s">
        <v>173</v>
      </c>
      <c r="E42" t="str">
        <f t="shared" si="0"/>
        <v>死亡時間,</v>
      </c>
      <c r="H42"/>
    </row>
    <row r="43" spans="1:8">
      <c r="A43" s="7" t="s">
        <v>27</v>
      </c>
      <c r="B43" s="7" t="s">
        <v>227</v>
      </c>
      <c r="C43" s="7" t="s">
        <v>228</v>
      </c>
      <c r="E43" t="str">
        <f t="shared" si="0"/>
        <v>符卡時間,</v>
      </c>
      <c r="H43"/>
    </row>
    <row r="44" spans="1:8">
      <c r="B44" s="25"/>
      <c r="H44"/>
    </row>
    <row r="45" spans="1:8">
      <c r="H45"/>
    </row>
    <row r="46" spans="1:8">
      <c r="A46" s="7" t="s">
        <v>27</v>
      </c>
      <c r="B46" s="7" t="s">
        <v>98</v>
      </c>
      <c r="C46" s="7" t="s">
        <v>174</v>
      </c>
      <c r="E46" t="str">
        <f t="shared" si="0"/>
        <v>移位置,</v>
      </c>
      <c r="H46"/>
    </row>
    <row r="47" spans="1:8">
      <c r="A47" s="7" t="s">
        <v>27</v>
      </c>
      <c r="B47" s="7" t="s">
        <v>116</v>
      </c>
      <c r="C47" s="7" t="s">
        <v>175</v>
      </c>
      <c r="E47" t="str">
        <f t="shared" si="0"/>
        <v>相對位置,</v>
      </c>
      <c r="H47"/>
    </row>
    <row r="48" spans="1:8">
      <c r="A48" s="7" t="s">
        <v>27</v>
      </c>
      <c r="B48" s="7" t="s">
        <v>133</v>
      </c>
      <c r="C48" s="7" t="s">
        <v>176</v>
      </c>
      <c r="E48" t="str">
        <f t="shared" si="0"/>
        <v>位置參數,</v>
      </c>
      <c r="H48"/>
    </row>
    <row r="49" spans="1:8">
      <c r="A49" s="7" t="s">
        <v>27</v>
      </c>
      <c r="B49" s="7" t="s">
        <v>177</v>
      </c>
      <c r="C49" s="7" t="s">
        <v>178</v>
      </c>
      <c r="E49" t="str">
        <f t="shared" si="0"/>
        <v>加位置,</v>
      </c>
      <c r="H49"/>
    </row>
    <row r="50" spans="1:8">
      <c r="A50" s="7" t="s">
        <v>27</v>
      </c>
      <c r="B50" s="7" t="s">
        <v>243</v>
      </c>
      <c r="C50" s="7" t="s">
        <v>244</v>
      </c>
      <c r="E50" t="str">
        <f t="shared" si="0"/>
        <v>記錄位置,</v>
      </c>
      <c r="H50"/>
    </row>
    <row r="51" spans="1:8">
      <c r="A51" s="7" t="s">
        <v>27</v>
      </c>
      <c r="B51" s="7" t="s">
        <v>245</v>
      </c>
      <c r="C51" s="7" t="s">
        <v>246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179</v>
      </c>
      <c r="E54" t="str">
        <f t="shared" si="0"/>
        <v>移動角度,</v>
      </c>
      <c r="H54"/>
    </row>
    <row r="55" spans="1:8">
      <c r="A55" s="7" t="s">
        <v>27</v>
      </c>
      <c r="B55" s="7" t="s">
        <v>111</v>
      </c>
      <c r="C55" s="7" t="s">
        <v>180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112</v>
      </c>
      <c r="C56" s="7" t="s">
        <v>181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113</v>
      </c>
      <c r="C57" s="7" t="s">
        <v>182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132</v>
      </c>
      <c r="C58" s="7" t="s">
        <v>183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184</v>
      </c>
      <c r="C59" s="7" t="s">
        <v>185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114</v>
      </c>
      <c r="C60" s="7" t="s">
        <v>186</v>
      </c>
      <c r="E60" t="str">
        <f t="shared" si="0"/>
        <v>旋轉是移動角度,</v>
      </c>
      <c r="H60"/>
    </row>
    <row r="61" spans="1:8">
      <c r="A61" s="7" t="s">
        <v>27</v>
      </c>
      <c r="B61" s="26" t="s">
        <v>236</v>
      </c>
      <c r="C61" s="7" t="s">
        <v>237</v>
      </c>
      <c r="E61" t="str">
        <f t="shared" si="0"/>
        <v>子旋轉角度,</v>
      </c>
      <c r="H61"/>
    </row>
    <row r="62" spans="1:8">
      <c r="A62" s="7" t="s">
        <v>27</v>
      </c>
      <c r="B62" s="26" t="s">
        <v>238</v>
      </c>
      <c r="C62" s="7" t="s">
        <v>239</v>
      </c>
      <c r="E62" t="str">
        <f t="shared" si="0"/>
        <v>子加旋轉角度,</v>
      </c>
      <c r="H62"/>
    </row>
    <row r="63" spans="1:8">
      <c r="A63" s="7" t="s">
        <v>27</v>
      </c>
      <c r="B63" s="7" t="s">
        <v>247</v>
      </c>
      <c r="C63" s="7" t="s">
        <v>248</v>
      </c>
      <c r="E63" t="str">
        <f t="shared" si="0"/>
        <v>記錄角度,</v>
      </c>
      <c r="H63"/>
    </row>
    <row r="64" spans="1:8">
      <c r="A64" s="7" t="s">
        <v>27</v>
      </c>
      <c r="B64" s="7" t="s">
        <v>250</v>
      </c>
      <c r="C64" s="7" t="s">
        <v>249</v>
      </c>
      <c r="E64" t="str">
        <f t="shared" si="0"/>
        <v>記錄角度ID,</v>
      </c>
      <c r="H64"/>
    </row>
    <row r="65" spans="1:11">
      <c r="B65" s="26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187</v>
      </c>
      <c r="E67" t="str">
        <f t="shared" si="0"/>
        <v>速度,</v>
      </c>
      <c r="H67"/>
    </row>
    <row r="68" spans="1:11">
      <c r="A68" s="7" t="s">
        <v>27</v>
      </c>
      <c r="B68" s="7" t="s">
        <v>115</v>
      </c>
      <c r="C68" s="7" t="s">
        <v>188</v>
      </c>
      <c r="E68" t="str">
        <f t="shared" si="0"/>
        <v>加速度,</v>
      </c>
      <c r="H68"/>
    </row>
    <row r="69" spans="1:11">
      <c r="A69" s="7" t="s">
        <v>27</v>
      </c>
      <c r="B69" s="7" t="s">
        <v>108</v>
      </c>
      <c r="C69" s="7" t="s">
        <v>189</v>
      </c>
      <c r="E69" t="str">
        <f t="shared" si="0"/>
        <v>最小速度,</v>
      </c>
      <c r="H69"/>
    </row>
    <row r="70" spans="1:11">
      <c r="A70" s="7" t="s">
        <v>27</v>
      </c>
      <c r="B70" s="7" t="s">
        <v>109</v>
      </c>
      <c r="C70" s="7" t="s">
        <v>190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191</v>
      </c>
      <c r="C73" s="7" t="s">
        <v>192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193</v>
      </c>
      <c r="E74" t="str">
        <f t="shared" si="0"/>
        <v>無敵,</v>
      </c>
      <c r="H74"/>
    </row>
    <row r="75" spans="1:11">
      <c r="A75" s="7" t="s">
        <v>27</v>
      </c>
      <c r="B75" s="7" t="s">
        <v>117</v>
      </c>
      <c r="C75" s="7" t="s">
        <v>194</v>
      </c>
      <c r="E75" t="str">
        <f t="shared" si="0"/>
        <v>貫穿,</v>
      </c>
      <c r="H75"/>
    </row>
    <row r="76" spans="1:11">
      <c r="A76" s="7" t="s">
        <v>27</v>
      </c>
      <c r="B76" s="7" t="s">
        <v>125</v>
      </c>
      <c r="C76" s="7" t="s">
        <v>195</v>
      </c>
      <c r="E76" t="str">
        <f t="shared" si="0"/>
        <v>回收距離,</v>
      </c>
      <c r="H76"/>
    </row>
    <row r="77" spans="1:11">
      <c r="A77" s="7" t="s">
        <v>27</v>
      </c>
      <c r="B77" s="7" t="s">
        <v>196</v>
      </c>
      <c r="C77" s="7" t="s">
        <v>197</v>
      </c>
      <c r="E77" t="str">
        <f t="shared" si="0"/>
        <v>出生動畫速率,</v>
      </c>
      <c r="H77"/>
    </row>
    <row r="78" spans="1:11">
      <c r="A78" s="7" t="s">
        <v>27</v>
      </c>
      <c r="B78" s="7" t="s">
        <v>198</v>
      </c>
      <c r="C78" s="7" t="s">
        <v>199</v>
      </c>
      <c r="E78" t="str">
        <f t="shared" si="0"/>
        <v>出生動畫時間,</v>
      </c>
      <c r="H78"/>
    </row>
    <row r="79" spans="1:11">
      <c r="A79" s="7" t="s">
        <v>27</v>
      </c>
      <c r="B79" s="7" t="s">
        <v>200</v>
      </c>
      <c r="C79" s="7" t="s">
        <v>201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202</v>
      </c>
      <c r="C80" s="7" t="s">
        <v>203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119</v>
      </c>
      <c r="C83" s="7" t="s">
        <v>204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120</v>
      </c>
      <c r="C84" s="7" t="s">
        <v>205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121</v>
      </c>
      <c r="C85" s="7" t="s">
        <v>206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122</v>
      </c>
      <c r="C86" s="7" t="s">
        <v>207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123</v>
      </c>
      <c r="C87" s="7" t="s">
        <v>208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124</v>
      </c>
      <c r="C88" s="7" t="s">
        <v>209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210</v>
      </c>
      <c r="C91" s="7" t="s">
        <v>211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212</v>
      </c>
      <c r="C92" s="7" t="s">
        <v>213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214</v>
      </c>
      <c r="C93" s="7" t="s">
        <v>215</v>
      </c>
      <c r="E93" t="str">
        <f t="shared" si="1"/>
        <v>玩家Power需求,</v>
      </c>
      <c r="H93"/>
    </row>
    <row r="94" spans="1:11">
      <c r="A94" s="7" t="s">
        <v>27</v>
      </c>
      <c r="B94" s="7" t="s">
        <v>216</v>
      </c>
      <c r="C94" s="7" t="s">
        <v>217</v>
      </c>
      <c r="E94" t="str">
        <f t="shared" si="1"/>
        <v>玩家Shift,</v>
      </c>
      <c r="H94"/>
    </row>
    <row r="95" spans="1:11">
      <c r="A95" s="7" t="s">
        <v>27</v>
      </c>
      <c r="B95" s="7" t="s">
        <v>218</v>
      </c>
      <c r="C95" s="7" t="s">
        <v>219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140</v>
      </c>
      <c r="B103" s="7" t="s">
        <v>136</v>
      </c>
      <c r="C103" s="7" t="s">
        <v>21</v>
      </c>
      <c r="H103"/>
    </row>
    <row r="104" spans="1:12" customFormat="1">
      <c r="A104" s="7" t="s">
        <v>140</v>
      </c>
      <c r="B104" t="s">
        <v>137</v>
      </c>
      <c r="C104" s="7" t="s">
        <v>25</v>
      </c>
      <c r="D104" s="7"/>
      <c r="L104" s="7"/>
    </row>
    <row r="105" spans="1:12" customFormat="1">
      <c r="A105" s="7" t="s">
        <v>140</v>
      </c>
      <c r="B105" t="s">
        <v>138</v>
      </c>
      <c r="C105" s="7" t="s">
        <v>26</v>
      </c>
      <c r="D105" s="7"/>
      <c r="L105" s="7"/>
    </row>
    <row r="106" spans="1:12" customFormat="1">
      <c r="A106" s="7" t="s">
        <v>140</v>
      </c>
      <c r="B106" t="s">
        <v>220</v>
      </c>
      <c r="C106" s="7" t="s">
        <v>96</v>
      </c>
      <c r="D106" s="7"/>
      <c r="L106" s="7"/>
    </row>
    <row r="107" spans="1:12" customFormat="1">
      <c r="A107" s="7" t="s">
        <v>140</v>
      </c>
      <c r="B107" t="s">
        <v>221</v>
      </c>
      <c r="C107" s="7" t="s">
        <v>23</v>
      </c>
      <c r="D107" s="7"/>
      <c r="L107" s="7"/>
    </row>
    <row r="108" spans="1:12" customFormat="1">
      <c r="A108" s="7" t="s">
        <v>140</v>
      </c>
      <c r="B108" t="s">
        <v>222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141</v>
      </c>
      <c r="B111" t="s">
        <v>134</v>
      </c>
      <c r="C111" s="7" t="s">
        <v>21</v>
      </c>
      <c r="D111" s="4"/>
      <c r="L111" s="7"/>
    </row>
    <row r="112" spans="1:12" customFormat="1">
      <c r="A112" s="7" t="s">
        <v>141</v>
      </c>
      <c r="B112" t="s">
        <v>135</v>
      </c>
      <c r="C112" s="7" t="s">
        <v>37</v>
      </c>
      <c r="D112" s="7"/>
      <c r="L112" s="7"/>
    </row>
    <row r="113" spans="1:12" customFormat="1">
      <c r="A113" s="7" t="s">
        <v>141</v>
      </c>
      <c r="B113" t="s">
        <v>142</v>
      </c>
      <c r="C113" s="7" t="s">
        <v>38</v>
      </c>
      <c r="D113" s="7"/>
      <c r="L113" s="7"/>
    </row>
    <row r="114" spans="1:12" customFormat="1">
      <c r="A114" s="7" t="s">
        <v>141</v>
      </c>
      <c r="B114" t="s">
        <v>223</v>
      </c>
      <c r="C114" s="7" t="s">
        <v>22</v>
      </c>
      <c r="D114" s="7"/>
      <c r="L114" s="7"/>
    </row>
    <row r="115" spans="1:12">
      <c r="A115" s="7" t="s">
        <v>141</v>
      </c>
      <c r="B115" s="7" t="s">
        <v>224</v>
      </c>
      <c r="C115" s="7" t="s">
        <v>23</v>
      </c>
      <c r="H115"/>
    </row>
    <row r="116" spans="1:12">
      <c r="A116" s="7" t="s">
        <v>141</v>
      </c>
      <c r="B116" s="7" t="s">
        <v>251</v>
      </c>
      <c r="C116" s="7" t="s">
        <v>24</v>
      </c>
      <c r="H116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3CF67-CD33-49A7-A1CD-A3E08B873261}">
  <sheetPr codeName="OptionSheet"/>
  <dimension ref="A1:J112"/>
  <sheetViews>
    <sheetView topLeftCell="A40" zoomScale="115" zoomScaleNormal="115" workbookViewId="0">
      <selection activeCell="A52" sqref="A52"/>
    </sheetView>
  </sheetViews>
  <sheetFormatPr defaultRowHeight="16.5"/>
  <cols>
    <col min="1" max="1" width="20.5" style="20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140</v>
      </c>
      <c r="C1" s="6" t="s">
        <v>141</v>
      </c>
      <c r="D1" s="8"/>
      <c r="E1" s="8"/>
      <c r="F1" s="8"/>
      <c r="G1" s="6"/>
      <c r="H1" s="8"/>
      <c r="I1" s="8"/>
      <c r="J1" s="8"/>
    </row>
    <row r="2" spans="1:10" ht="85.5">
      <c r="B2" s="20" t="s">
        <v>136</v>
      </c>
      <c r="C2" s="20" t="s">
        <v>134</v>
      </c>
      <c r="D2" s="20"/>
      <c r="G2" s="24" t="s">
        <v>225</v>
      </c>
    </row>
    <row r="3" spans="1:10">
      <c r="A3" s="20" t="s">
        <v>93</v>
      </c>
      <c r="B3" s="20" t="s">
        <v>137</v>
      </c>
      <c r="C3" s="20" t="s">
        <v>135</v>
      </c>
      <c r="D3" s="20"/>
      <c r="G3" s="9"/>
    </row>
    <row r="4" spans="1:10">
      <c r="A4" s="20" t="s">
        <v>101</v>
      </c>
      <c r="B4" s="20" t="s">
        <v>138</v>
      </c>
      <c r="C4" s="20" t="s">
        <v>226</v>
      </c>
      <c r="D4" s="20"/>
      <c r="G4" s="9"/>
      <c r="H4" s="18"/>
    </row>
    <row r="5" spans="1:10" ht="17.25" customHeight="1">
      <c r="A5" s="20" t="s">
        <v>99</v>
      </c>
      <c r="B5" s="20" t="s">
        <v>220</v>
      </c>
      <c r="C5" s="20" t="s">
        <v>223</v>
      </c>
      <c r="D5" s="20"/>
      <c r="G5" s="9"/>
    </row>
    <row r="6" spans="1:10">
      <c r="A6" s="20" t="s">
        <v>102</v>
      </c>
      <c r="B6" s="20" t="s">
        <v>221</v>
      </c>
      <c r="C6" s="20" t="s">
        <v>224</v>
      </c>
      <c r="D6" s="20"/>
      <c r="G6" s="9"/>
    </row>
    <row r="7" spans="1:10">
      <c r="A7" s="20" t="s">
        <v>48</v>
      </c>
      <c r="B7" s="20" t="s">
        <v>222</v>
      </c>
      <c r="C7" s="25" t="s">
        <v>251</v>
      </c>
      <c r="D7" s="20"/>
      <c r="G7" s="9"/>
    </row>
    <row r="8" spans="1:10">
      <c r="A8" s="20" t="s">
        <v>147</v>
      </c>
      <c r="B8" s="25"/>
      <c r="C8" s="20"/>
      <c r="D8" s="20"/>
      <c r="G8" s="9"/>
    </row>
    <row r="9" spans="1:10">
      <c r="A9" s="20" t="s">
        <v>110</v>
      </c>
      <c r="B9" s="20"/>
      <c r="C9" s="20"/>
      <c r="D9" s="20"/>
      <c r="G9" s="9"/>
    </row>
    <row r="10" spans="1:10">
      <c r="A10" s="20" t="s">
        <v>234</v>
      </c>
      <c r="B10" s="20"/>
      <c r="C10" s="20"/>
      <c r="D10" s="20"/>
      <c r="G10" s="9"/>
    </row>
    <row r="11" spans="1:10">
      <c r="A11" s="20" t="s">
        <v>148</v>
      </c>
      <c r="G11" s="9"/>
    </row>
    <row r="12" spans="1:10">
      <c r="A12" s="20" t="s">
        <v>45</v>
      </c>
      <c r="G12" s="9"/>
    </row>
    <row r="13" spans="1:10">
      <c r="A13" s="20" t="s">
        <v>103</v>
      </c>
      <c r="G13" s="9"/>
    </row>
    <row r="14" spans="1:10">
      <c r="A14" s="20" t="s">
        <v>104</v>
      </c>
      <c r="C14" s="9"/>
      <c r="G14" s="9"/>
    </row>
    <row r="15" spans="1:10">
      <c r="A15" s="20" t="s">
        <v>130</v>
      </c>
      <c r="G15" s="9"/>
    </row>
    <row r="16" spans="1:10">
      <c r="A16" s="20" t="s">
        <v>131</v>
      </c>
      <c r="C16"/>
      <c r="G16" s="9"/>
    </row>
    <row r="17" spans="1:7">
      <c r="A17" s="20" t="s">
        <v>149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20" t="s">
        <v>150</v>
      </c>
      <c r="C20"/>
      <c r="G20" s="9"/>
    </row>
    <row r="21" spans="1:7">
      <c r="A21" s="20" t="s">
        <v>145</v>
      </c>
      <c r="C21"/>
      <c r="G21" s="9"/>
    </row>
    <row r="22" spans="1:7">
      <c r="A22" s="20" t="s">
        <v>126</v>
      </c>
      <c r="C22"/>
      <c r="G22" s="9"/>
    </row>
    <row r="23" spans="1:7">
      <c r="A23" s="20" t="s">
        <v>127</v>
      </c>
      <c r="C23"/>
      <c r="G23" s="9"/>
    </row>
    <row r="24" spans="1:7">
      <c r="A24" s="20" t="s">
        <v>128</v>
      </c>
      <c r="C24"/>
      <c r="G24" s="9"/>
    </row>
    <row r="25" spans="1:7" s="9" customFormat="1">
      <c r="A25" s="20" t="s">
        <v>129</v>
      </c>
      <c r="C25"/>
      <c r="F25" s="4"/>
    </row>
    <row r="26" spans="1:7">
      <c r="A26" s="20" t="s">
        <v>157</v>
      </c>
      <c r="C26"/>
      <c r="G26" s="9"/>
    </row>
    <row r="27" spans="1:7">
      <c r="A27" s="20" t="s">
        <v>159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20" t="s">
        <v>29</v>
      </c>
      <c r="C30"/>
      <c r="G30" s="9"/>
    </row>
    <row r="31" spans="1:7">
      <c r="A31" s="20" t="s">
        <v>118</v>
      </c>
      <c r="C31"/>
      <c r="G31" s="9"/>
    </row>
    <row r="32" spans="1:7">
      <c r="A32" s="20" t="s">
        <v>100</v>
      </c>
      <c r="C32"/>
      <c r="G32" s="9"/>
    </row>
    <row r="33" spans="1:7">
      <c r="A33" s="20" t="s">
        <v>106</v>
      </c>
      <c r="C33"/>
      <c r="G33" s="9"/>
    </row>
    <row r="34" spans="1:7">
      <c r="A34" s="20" t="s">
        <v>105</v>
      </c>
      <c r="C34"/>
      <c r="G34" s="9"/>
    </row>
    <row r="35" spans="1:7">
      <c r="A35" s="20" t="s">
        <v>46</v>
      </c>
      <c r="C35"/>
      <c r="G35" s="9"/>
    </row>
    <row r="36" spans="1:7">
      <c r="A36" s="20" t="s">
        <v>167</v>
      </c>
      <c r="C36"/>
    </row>
    <row r="37" spans="1:7">
      <c r="A37" s="20" t="s">
        <v>169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20" t="s">
        <v>35</v>
      </c>
      <c r="C40"/>
      <c r="G40" s="9"/>
    </row>
    <row r="41" spans="1:7">
      <c r="A41" s="20" t="s">
        <v>97</v>
      </c>
      <c r="C41"/>
      <c r="G41" s="9"/>
    </row>
    <row r="42" spans="1:7">
      <c r="A42" s="20" t="s">
        <v>107</v>
      </c>
      <c r="C42"/>
      <c r="G42" s="9"/>
    </row>
    <row r="43" spans="1:7">
      <c r="A43" s="25" t="s">
        <v>227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20" t="s">
        <v>98</v>
      </c>
      <c r="C46"/>
      <c r="G46" s="9"/>
    </row>
    <row r="47" spans="1:7">
      <c r="A47" s="20" t="s">
        <v>116</v>
      </c>
      <c r="C47"/>
      <c r="G47" s="9"/>
    </row>
    <row r="48" spans="1:7">
      <c r="A48" s="20" t="s">
        <v>133</v>
      </c>
      <c r="C48"/>
      <c r="G48" s="9"/>
    </row>
    <row r="49" spans="1:8">
      <c r="A49" s="20" t="s">
        <v>177</v>
      </c>
      <c r="C49"/>
      <c r="G49" s="9"/>
    </row>
    <row r="50" spans="1:8">
      <c r="A50" s="26" t="s">
        <v>247</v>
      </c>
      <c r="C50"/>
      <c r="G50" s="9"/>
    </row>
    <row r="51" spans="1:8">
      <c r="A51" s="26" t="s">
        <v>252</v>
      </c>
      <c r="C51"/>
      <c r="G51" s="9"/>
    </row>
    <row r="52" spans="1:8">
      <c r="A52" s="26"/>
      <c r="C52"/>
      <c r="G52" s="9"/>
    </row>
    <row r="53" spans="1:8">
      <c r="C53"/>
      <c r="G53" s="9"/>
    </row>
    <row r="54" spans="1:8">
      <c r="A54" s="20" t="s">
        <v>31</v>
      </c>
      <c r="C54"/>
      <c r="G54" s="9"/>
      <c r="H54" s="10"/>
    </row>
    <row r="55" spans="1:8">
      <c r="A55" s="20" t="s">
        <v>111</v>
      </c>
      <c r="C55"/>
      <c r="G55" s="9"/>
      <c r="H55" s="11"/>
    </row>
    <row r="56" spans="1:8">
      <c r="A56" s="20" t="s">
        <v>112</v>
      </c>
      <c r="C56"/>
      <c r="G56" s="9"/>
      <c r="H56" s="11"/>
    </row>
    <row r="57" spans="1:8">
      <c r="A57" s="27" t="s">
        <v>240</v>
      </c>
      <c r="C57"/>
      <c r="G57" s="9"/>
    </row>
    <row r="58" spans="1:8">
      <c r="A58" s="20" t="s">
        <v>132</v>
      </c>
      <c r="G58" s="9"/>
    </row>
    <row r="59" spans="1:8">
      <c r="A59" s="20" t="s">
        <v>184</v>
      </c>
      <c r="G59" s="9"/>
    </row>
    <row r="60" spans="1:8">
      <c r="A60" s="20" t="s">
        <v>114</v>
      </c>
      <c r="G60" s="9"/>
    </row>
    <row r="61" spans="1:8">
      <c r="A61" s="26" t="s">
        <v>236</v>
      </c>
      <c r="G61" s="9"/>
    </row>
    <row r="62" spans="1:8">
      <c r="A62" s="26" t="s">
        <v>238</v>
      </c>
      <c r="G62" s="9"/>
    </row>
    <row r="63" spans="1:8">
      <c r="A63" s="26" t="s">
        <v>247</v>
      </c>
      <c r="G63" s="9"/>
    </row>
    <row r="64" spans="1:8">
      <c r="A64" s="26" t="s">
        <v>250</v>
      </c>
      <c r="G64" s="9"/>
    </row>
    <row r="65" spans="1:7">
      <c r="A65" s="26"/>
      <c r="G65" s="9"/>
    </row>
    <row r="66" spans="1:7">
      <c r="G66" s="9"/>
    </row>
    <row r="67" spans="1:7">
      <c r="A67" s="20" t="s">
        <v>30</v>
      </c>
      <c r="G67" s="9"/>
    </row>
    <row r="68" spans="1:7">
      <c r="A68" s="20" t="s">
        <v>115</v>
      </c>
      <c r="C68"/>
      <c r="G68" s="9"/>
    </row>
    <row r="69" spans="1:7">
      <c r="A69" s="20" t="s">
        <v>108</v>
      </c>
      <c r="C69"/>
      <c r="G69" s="9"/>
    </row>
    <row r="70" spans="1:7">
      <c r="A70" s="20" t="s">
        <v>109</v>
      </c>
      <c r="G70" s="9"/>
    </row>
    <row r="71" spans="1:7">
      <c r="G71" s="9"/>
    </row>
    <row r="72" spans="1:7">
      <c r="G72" s="9"/>
    </row>
    <row r="73" spans="1:7">
      <c r="A73" s="20" t="s">
        <v>191</v>
      </c>
    </row>
    <row r="74" spans="1:7">
      <c r="A74" s="20" t="s">
        <v>47</v>
      </c>
    </row>
    <row r="75" spans="1:7">
      <c r="A75" s="20" t="s">
        <v>117</v>
      </c>
    </row>
    <row r="76" spans="1:7">
      <c r="A76" s="20" t="s">
        <v>125</v>
      </c>
      <c r="G76" s="9"/>
    </row>
    <row r="77" spans="1:7">
      <c r="A77" s="20" t="s">
        <v>196</v>
      </c>
      <c r="G77" s="9"/>
    </row>
    <row r="78" spans="1:7">
      <c r="A78" s="20" t="s">
        <v>198</v>
      </c>
      <c r="G78" s="9"/>
    </row>
    <row r="79" spans="1:7">
      <c r="A79" s="20" t="s">
        <v>200</v>
      </c>
    </row>
    <row r="80" spans="1:7">
      <c r="A80" s="20" t="s">
        <v>202</v>
      </c>
    </row>
    <row r="83" spans="1:1">
      <c r="A83" s="20" t="s">
        <v>119</v>
      </c>
    </row>
    <row r="84" spans="1:1">
      <c r="A84" s="20" t="s">
        <v>120</v>
      </c>
    </row>
    <row r="85" spans="1:1">
      <c r="A85" s="20" t="s">
        <v>121</v>
      </c>
    </row>
    <row r="86" spans="1:1">
      <c r="A86" s="20" t="s">
        <v>122</v>
      </c>
    </row>
    <row r="87" spans="1:1">
      <c r="A87" s="20" t="s">
        <v>123</v>
      </c>
    </row>
    <row r="88" spans="1:1">
      <c r="A88" s="20" t="s">
        <v>124</v>
      </c>
    </row>
    <row r="91" spans="1:1">
      <c r="A91" s="20" t="s">
        <v>210</v>
      </c>
    </row>
    <row r="92" spans="1:1">
      <c r="A92" s="20" t="s">
        <v>212</v>
      </c>
    </row>
    <row r="93" spans="1:1">
      <c r="A93" s="20" t="s">
        <v>214</v>
      </c>
    </row>
    <row r="94" spans="1:1">
      <c r="A94" s="20" t="s">
        <v>216</v>
      </c>
    </row>
    <row r="95" spans="1:1">
      <c r="A95" s="20" t="s">
        <v>218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B5B805C8-5A49-49C3-B149-6D523AAA7468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85765-4090-45A8-B593-3FF2685FF2EE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72404-AF59-4F22-B52B-69A445A9B57F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CBE5B-1E28-4839-9ADA-1293EF97BD25}">
  <sheetPr codeName="HelpSheet"/>
  <dimension ref="A1:A15"/>
  <sheetViews>
    <sheetView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2</vt:i4>
      </vt:variant>
    </vt:vector>
  </HeadingPairs>
  <TitlesOfParts>
    <vt:vector size="9" baseType="lpstr">
      <vt:lpstr>stage7_1a</vt:lpstr>
      <vt:lpstr>#ALIAS</vt:lpstr>
      <vt:lpstr>#DEFINE</vt:lpstr>
      <vt:lpstr>#OPTION</vt:lpstr>
      <vt:lpstr>#PARAM</vt:lpstr>
      <vt:lpstr>#OUTPUT</vt:lpstr>
      <vt:lpstr>#使用說明</vt:lpstr>
      <vt:lpstr>'#OPTION'!_OPTION_</vt:lpstr>
      <vt:lpstr>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2025-05-05T14:58:56Z</dcterms:modified>
</cp:coreProperties>
</file>