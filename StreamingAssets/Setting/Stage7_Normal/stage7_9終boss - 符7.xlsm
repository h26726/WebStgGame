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F93B66C6-F9CD-48FF-A0E3-41415B1DEF3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7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xlnm._FilterDatabase" localSheetId="0" hidden="1">stage7_card7!$D$1:$D$12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64" i="1" l="1"/>
  <c r="M63" i="1"/>
  <c r="M66" i="1" s="1"/>
  <c r="E68" i="1"/>
  <c r="E67" i="1"/>
  <c r="E66" i="1"/>
  <c r="E65" i="1"/>
  <c r="E64" i="1"/>
  <c r="E63" i="1"/>
  <c r="E62" i="1"/>
  <c r="E61" i="1"/>
  <c r="E60" i="1"/>
  <c r="E59" i="1"/>
  <c r="M58" i="1"/>
  <c r="E58" i="1"/>
  <c r="M57" i="1"/>
  <c r="M60" i="1" s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M41" i="1"/>
  <c r="M50" i="1" s="1"/>
  <c r="E41" i="1"/>
  <c r="E40" i="1"/>
  <c r="E39" i="1"/>
  <c r="E38" i="1"/>
  <c r="E37" i="1"/>
  <c r="E36" i="1"/>
  <c r="E35" i="1"/>
  <c r="E34" i="1"/>
  <c r="M33" i="1"/>
  <c r="M42" i="1" s="1"/>
  <c r="E33" i="1"/>
  <c r="E32" i="1"/>
  <c r="E31" i="1"/>
  <c r="E30" i="1"/>
  <c r="E29" i="1"/>
  <c r="E28" i="1"/>
  <c r="E27" i="1"/>
  <c r="E26" i="1"/>
  <c r="E25" i="1"/>
  <c r="E24" i="1"/>
  <c r="M23" i="1"/>
  <c r="M49" i="1" s="1"/>
  <c r="M25" i="1" s="1"/>
  <c r="E23" i="1"/>
  <c r="M22" i="1"/>
  <c r="M34" i="1" s="1"/>
  <c r="E22" i="1"/>
  <c r="E20" i="1" l="1"/>
  <c r="E7" i="1"/>
  <c r="E8" i="1"/>
  <c r="E9" i="1"/>
  <c r="E10" i="1"/>
  <c r="E11" i="1"/>
  <c r="E6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19" i="1" l="1"/>
  <c r="E19" i="1"/>
  <c r="E16" i="1" l="1"/>
  <c r="E17" i="1"/>
  <c r="E18" i="1"/>
  <c r="E21" i="1"/>
  <c r="E15" i="1" l="1"/>
</calcChain>
</file>

<file path=xl/sharedStrings.xml><?xml version="1.0" encoding="utf-8"?>
<sst xmlns="http://schemas.openxmlformats.org/spreadsheetml/2006/main" count="515" uniqueCount="261">
  <si>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</si>
  <si>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</si>
  <si>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</si>
  <si>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</si>
  <si>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</si>
  <si>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</si>
  <si>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</si>
  <si>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</si>
  <si>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</si>
  <si>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</si>
  <si>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</si>
  <si>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</si>
  <si>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</si>
  <si>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</si>
  <si>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</si>
  <si>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</si>
  <si>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</si>
  <si>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</si>
  <si>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</si>
  <si>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</si>
  <si>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</si>
  <si>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</si>
  <si>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</si>
  <si>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</si>
  <si>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</si>
  <si>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</si>
  <si>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</si>
  <si>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</si>
  <si>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</si>
  <si>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</si>
  <si>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</si>
  <si>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</si>
  <si>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</si>
  <si>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</si>
  <si>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</si>
  <si>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</si>
  <si>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</si>
  <si>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</si>
  <si>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</si>
  <si>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</si>
  <si>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</si>
  <si>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</si>
  <si>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</si>
  <si>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</si>
  <si>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</si>
  <si>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</si>
  <si>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</si>
  <si>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</si>
  <si>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</si>
  <si>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</si>
  <si>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</si>
  <si>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</si>
  <si>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</si>
  <si>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</si>
  <si>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</si>
  <si>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</si>
  <si>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</si>
  <si>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</si>
  <si>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</si>
  <si>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</si>
  <si>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</si>
  <si>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</si>
  <si>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</si>
  <si>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</si>
  <si>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</si>
  <si>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</si>
  <si>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</si>
  <si>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</si>
  <si>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</si>
  <si>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</si>
  <si>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</si>
  <si>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</si>
  <si>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</si>
  <si>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</si>
  <si>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</si>
  <si>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</si>
  <si>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</si>
  <si>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</si>
  <si>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</si>
  <si>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</si>
  <si>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</si>
  <si>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</si>
  <si>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</si>
  <si>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</si>
  <si>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</si>
  <si>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</si>
  <si>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</si>
  <si>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</si>
  <si>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</si>
  <si>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</si>
  <si>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</si>
  <si>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</si>
  <si>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</si>
  <si>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</si>
  <si>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</si>
  <si>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</si>
  <si>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</si>
  <si>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</si>
  <si>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</si>
  <si>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</si>
  <si>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</si>
  <si>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</si>
  <si>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</si>
  <si>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</si>
  <si>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</si>
  <si>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</si>
  <si>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</si>
  <si>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</si>
  <si>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</si>
  <si>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</si>
  <si>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</si>
  <si>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</si>
  <si>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</si>
  <si>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</si>
  <si>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</si>
  <si>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</si>
  <si>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</si>
  <si>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</si>
  <si>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</si>
  <si>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</si>
  <si>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</si>
  <si>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</si>
  <si>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</si>
  <si>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</si>
  <si>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</si>
  <si>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</si>
  <si>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</si>
  <si>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</si>
  <si>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</si>
  <si>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</si>
  <si>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</si>
  <si>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</si>
  <si>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</si>
  <si>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</si>
  <si>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</si>
  <si>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</si>
  <si>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</si>
  <si>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</si>
  <si>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</si>
  <si>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</si>
  <si>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</si>
  <si>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</si>
  <si>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</si>
  <si>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</si>
  <si>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</si>
  <si>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</si>
  <si>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</si>
  <si>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</si>
  <si>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</si>
  <si>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</si>
  <si>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</si>
  <si>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</si>
  <si>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</si>
  <si>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復位</t>
    <phoneticPr fontId="2" type="noConversion"/>
  </si>
  <si>
    <t>0</t>
    <phoneticPr fontId="2" type="noConversion"/>
  </si>
  <si>
    <t>30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</si>
  <si>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</si>
  <si>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</si>
  <si>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</si>
  <si>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</si>
  <si>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</si>
  <si>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</si>
  <si>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</si>
  <si>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</si>
  <si>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</si>
  <si>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</si>
  <si>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</si>
  <si>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</si>
  <si>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</si>
  <si>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</si>
  <si>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</si>
  <si>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</si>
  <si>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</si>
  <si>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</si>
  <si>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</si>
  <si>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</si>
  <si>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</si>
  <si>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</si>
  <si>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</si>
  <si>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</si>
  <si>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</si>
  <si>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</si>
  <si>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</si>
  <si>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</si>
  <si>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</si>
  <si>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</si>
  <si>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</si>
  <si>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</si>
  <si>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</si>
  <si>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</si>
  <si>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</si>
  <si>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</si>
  <si>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</si>
  <si>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</si>
  <si>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</si>
  <si>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</si>
  <si>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</si>
  <si>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</si>
  <si>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</si>
  <si>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</si>
  <si>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</si>
  <si>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</si>
  <si>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</si>
  <si>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</si>
  <si>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</si>
  <si>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</si>
  <si>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</si>
  <si>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</si>
  <si>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</si>
  <si>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</si>
  <si>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</si>
  <si>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</si>
  <si>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</si>
  <si>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</si>
  <si>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</si>
  <si>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</si>
  <si>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</si>
  <si>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</si>
  <si>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</si>
  <si>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</si>
  <si>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</si>
  <si>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</si>
  <si>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</si>
  <si>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</si>
  <si>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</si>
  <si>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</si>
  <si>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</si>
  <si>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</si>
  <si>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</si>
  <si>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</si>
  <si>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</si>
  <si>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</si>
  <si>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</si>
  <si>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</si>
  <si>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</si>
  <si>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</si>
  <si>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</si>
  <si>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</si>
  <si>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</si>
  <si>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Sera</t>
    <phoneticPr fontId="2" type="noConversion"/>
  </si>
  <si>
    <t>1000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</si>
  <si>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</si>
  <si>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</si>
  <si>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</si>
  <si>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</si>
  <si>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</si>
  <si>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</si>
  <si>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</si>
  <si>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</si>
  <si>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</si>
  <si>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</si>
  <si>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</si>
  <si>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</si>
  <si>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</si>
  <si>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</si>
  <si>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</si>
  <si>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</si>
  <si>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</si>
  <si>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漸進「漂浮畫面」</t>
    <phoneticPr fontId="2" type="noConversion"/>
  </si>
  <si>
    <t>-2.5,0</t>
    <phoneticPr fontId="2" type="noConversion"/>
  </si>
  <si>
    <t>2.5,0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</si>
</sst>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68"/>
  <sheetViews>
    <sheetView tabSelected="1" zoomScale="115" zoomScaleNormal="115" workbookViewId="0">
      <pane ySplit="1" topLeftCell="A6" activePane="bottomLeft" state="frozen"/>
      <selection pane="bottomLeft" activeCell="N18" sqref="N18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140</v>
      </c>
    </row>
    <row r="3" spans="3:56">
      <c r="C3" s="22" t="s">
        <v>141</v>
      </c>
    </row>
    <row r="4" spans="3:56">
      <c r="C4" s="22" t="s">
        <v>142</v>
      </c>
    </row>
    <row r="6" spans="3:56">
      <c r="E6" s="22">
        <f>ROW(E6)</f>
        <v>6</v>
      </c>
      <c r="F6" s="9" t="s">
        <v>153</v>
      </c>
      <c r="M6" s="22">
        <v>16400</v>
      </c>
    </row>
    <row r="7" spans="3:56">
      <c r="E7" s="22">
        <f t="shared" ref="E7:E11" si="0">ROW(E7)</f>
        <v>7</v>
      </c>
      <c r="F7" s="9" t="s">
        <v>156</v>
      </c>
      <c r="M7" s="22">
        <v>8500</v>
      </c>
      <c r="N7" s="22"/>
    </row>
    <row r="8" spans="3:56">
      <c r="E8" s="22">
        <f t="shared" si="0"/>
        <v>8</v>
      </c>
      <c r="F8" s="9" t="s">
        <v>35</v>
      </c>
      <c r="M8" s="22" t="s">
        <v>155</v>
      </c>
    </row>
    <row r="9" spans="3:56">
      <c r="E9" s="22">
        <f t="shared" si="0"/>
        <v>9</v>
      </c>
      <c r="F9" s="9" t="s">
        <v>120</v>
      </c>
      <c r="M9" s="22" t="s">
        <v>155</v>
      </c>
    </row>
    <row r="10" spans="3:56">
      <c r="E10" s="22">
        <f t="shared" si="0"/>
        <v>10</v>
      </c>
      <c r="F10" s="9" t="s">
        <v>99</v>
      </c>
      <c r="M10" s="22" t="s">
        <v>154</v>
      </c>
    </row>
    <row r="11" spans="3:56">
      <c r="E11" s="22">
        <f t="shared" si="0"/>
        <v>11</v>
      </c>
      <c r="F11" s="9" t="s">
        <v>121</v>
      </c>
      <c r="K11" s="9" t="s">
        <v>138</v>
      </c>
      <c r="M11" s="22" t="s">
        <v>24</v>
      </c>
    </row>
    <row r="15" spans="3:56">
      <c r="E15" s="22">
        <f>ROW(E15)</f>
        <v>15</v>
      </c>
      <c r="F15" s="9" t="s">
        <v>45</v>
      </c>
      <c r="G15" s="22">
        <v>1</v>
      </c>
      <c r="M15" s="22">
        <v>16410</v>
      </c>
      <c r="N15" s="22"/>
    </row>
    <row r="16" spans="3:56">
      <c r="E16" s="22">
        <f t="shared" ref="E16:E59" si="1">ROW(E16)</f>
        <v>16</v>
      </c>
      <c r="F16" s="9" t="s">
        <v>156</v>
      </c>
      <c r="M16" s="22">
        <v>8600</v>
      </c>
      <c r="N16" s="22"/>
    </row>
    <row r="17" spans="5:14">
      <c r="E17" s="22">
        <f t="shared" si="1"/>
        <v>17</v>
      </c>
      <c r="F17" s="9" t="s">
        <v>152</v>
      </c>
      <c r="M17" s="22" t="s">
        <v>239</v>
      </c>
      <c r="N17" s="22"/>
    </row>
    <row r="18" spans="5:14">
      <c r="E18" s="22">
        <f t="shared" si="1"/>
        <v>18</v>
      </c>
      <c r="F18" s="9" t="s">
        <v>149</v>
      </c>
      <c r="M18" s="22" t="s">
        <v>240</v>
      </c>
    </row>
    <row r="19" spans="5:14">
      <c r="E19" s="22">
        <f t="shared" si="1"/>
        <v>19</v>
      </c>
      <c r="F19" s="9" t="s">
        <v>237</v>
      </c>
      <c r="G19" s="22">
        <v>50</v>
      </c>
      <c r="M19" s="22">
        <f>G19*60</f>
        <v>3000</v>
      </c>
    </row>
    <row r="20" spans="5:14">
      <c r="E20" s="22">
        <f t="shared" si="1"/>
        <v>20</v>
      </c>
      <c r="F20" s="9" t="s">
        <v>151</v>
      </c>
      <c r="M20" s="22" t="s">
        <v>258</v>
      </c>
    </row>
    <row r="21" spans="5:14">
      <c r="E21" s="22">
        <f t="shared" si="1"/>
        <v>21</v>
      </c>
      <c r="F21" s="9" t="s">
        <v>148</v>
      </c>
      <c r="M21" s="22">
        <v>120</v>
      </c>
      <c r="N21" s="22"/>
    </row>
    <row r="22" spans="5:14">
      <c r="E22" s="22">
        <f t="shared" si="1"/>
        <v>22</v>
      </c>
      <c r="F22" s="9" t="s">
        <v>102</v>
      </c>
      <c r="M22" s="22">
        <f>M15*10+1</f>
        <v>164101</v>
      </c>
      <c r="N22" s="22"/>
    </row>
    <row r="23" spans="5:14">
      <c r="E23" s="22">
        <f t="shared" si="1"/>
        <v>23</v>
      </c>
      <c r="F23" s="9" t="s">
        <v>146</v>
      </c>
      <c r="M23" s="22">
        <f>M15</f>
        <v>16410</v>
      </c>
      <c r="N23" s="22"/>
    </row>
    <row r="24" spans="5:14">
      <c r="E24" s="22">
        <f t="shared" si="1"/>
        <v>24</v>
      </c>
      <c r="F24" s="9" t="s">
        <v>128</v>
      </c>
      <c r="M24" s="22">
        <v>0</v>
      </c>
      <c r="N24" s="22"/>
    </row>
    <row r="25" spans="5:14">
      <c r="E25" s="22">
        <f t="shared" si="1"/>
        <v>25</v>
      </c>
      <c r="F25" s="9" t="s">
        <v>146</v>
      </c>
      <c r="M25" s="22">
        <f>M49</f>
        <v>164104</v>
      </c>
      <c r="N25" s="22"/>
    </row>
    <row r="26" spans="5:14">
      <c r="E26" s="22">
        <f t="shared" si="1"/>
        <v>26</v>
      </c>
      <c r="F26" s="9" t="s">
        <v>128</v>
      </c>
      <c r="M26" s="22">
        <v>0</v>
      </c>
      <c r="N26" s="22"/>
    </row>
    <row r="27" spans="5:14">
      <c r="E27" s="22">
        <f t="shared" si="1"/>
        <v>27</v>
      </c>
      <c r="F27" s="9" t="s">
        <v>148</v>
      </c>
      <c r="M27" s="22">
        <v>120</v>
      </c>
      <c r="N27" s="22"/>
    </row>
    <row r="28" spans="5:14">
      <c r="E28" s="22">
        <f t="shared" si="1"/>
        <v>28</v>
      </c>
      <c r="F28" s="9" t="s">
        <v>150</v>
      </c>
      <c r="M28" s="22" t="b">
        <v>0</v>
      </c>
      <c r="N28" s="22"/>
    </row>
    <row r="29" spans="5:14">
      <c r="E29" s="22">
        <f t="shared" si="1"/>
        <v>29</v>
      </c>
      <c r="F29" s="9" t="s">
        <v>120</v>
      </c>
      <c r="M29" s="22">
        <v>30</v>
      </c>
      <c r="N29" s="24"/>
    </row>
    <row r="30" spans="5:14">
      <c r="E30" s="22">
        <f t="shared" si="1"/>
        <v>30</v>
      </c>
      <c r="F30" s="9" t="s">
        <v>123</v>
      </c>
      <c r="M30" s="22">
        <v>5</v>
      </c>
      <c r="N30" s="24"/>
    </row>
    <row r="31" spans="5:14">
      <c r="E31" s="22">
        <f t="shared" si="1"/>
        <v>31</v>
      </c>
      <c r="F31" s="9" t="s">
        <v>121</v>
      </c>
      <c r="K31" s="9" t="s">
        <v>138</v>
      </c>
      <c r="M31" s="22">
        <v>1</v>
      </c>
      <c r="N31" s="24"/>
    </row>
    <row r="32" spans="5:14">
      <c r="E32" s="22">
        <f t="shared" si="1"/>
        <v>32</v>
      </c>
      <c r="F32" s="9" t="s">
        <v>187</v>
      </c>
      <c r="K32" s="9" t="s">
        <v>137</v>
      </c>
      <c r="M32" s="9" t="s">
        <v>259</v>
      </c>
      <c r="N32" s="24"/>
    </row>
    <row r="33" spans="5:14">
      <c r="E33" s="22">
        <f t="shared" si="1"/>
        <v>33</v>
      </c>
      <c r="F33" s="9" t="s">
        <v>102</v>
      </c>
      <c r="M33" s="22">
        <f>M15*10+2</f>
        <v>164102</v>
      </c>
      <c r="N33" s="22"/>
    </row>
    <row r="34" spans="5:14">
      <c r="E34" s="22">
        <f t="shared" si="1"/>
        <v>34</v>
      </c>
      <c r="F34" s="9" t="s">
        <v>146</v>
      </c>
      <c r="M34" s="22">
        <f>M22</f>
        <v>164101</v>
      </c>
      <c r="N34" s="22"/>
    </row>
    <row r="35" spans="5:14">
      <c r="E35" s="22">
        <f t="shared" si="1"/>
        <v>35</v>
      </c>
      <c r="F35" s="9" t="s">
        <v>128</v>
      </c>
      <c r="M35" s="22">
        <v>0</v>
      </c>
      <c r="N35" s="22"/>
    </row>
    <row r="36" spans="5:14">
      <c r="E36" s="22">
        <f t="shared" si="1"/>
        <v>36</v>
      </c>
      <c r="F36" s="9" t="s">
        <v>148</v>
      </c>
      <c r="M36" s="22">
        <v>120</v>
      </c>
      <c r="N36" s="22"/>
    </row>
    <row r="37" spans="5:14">
      <c r="E37" s="22">
        <f t="shared" si="1"/>
        <v>37</v>
      </c>
      <c r="F37" s="9" t="s">
        <v>120</v>
      </c>
      <c r="M37" s="22">
        <v>30</v>
      </c>
      <c r="N37" s="24"/>
    </row>
    <row r="38" spans="5:14">
      <c r="E38" s="22">
        <f t="shared" si="1"/>
        <v>38</v>
      </c>
      <c r="F38" s="9" t="s">
        <v>123</v>
      </c>
      <c r="M38" s="22">
        <v>5</v>
      </c>
      <c r="N38" s="24"/>
    </row>
    <row r="39" spans="5:14">
      <c r="E39" s="22">
        <f t="shared" si="1"/>
        <v>39</v>
      </c>
      <c r="F39" s="9" t="s">
        <v>121</v>
      </c>
      <c r="K39" s="9" t="s">
        <v>138</v>
      </c>
      <c r="M39" s="22">
        <v>1</v>
      </c>
      <c r="N39" s="24"/>
    </row>
    <row r="40" spans="5:14">
      <c r="E40" s="22">
        <f t="shared" si="1"/>
        <v>40</v>
      </c>
      <c r="F40" s="9" t="s">
        <v>187</v>
      </c>
      <c r="K40" s="9" t="s">
        <v>137</v>
      </c>
      <c r="M40" s="9" t="s">
        <v>260</v>
      </c>
      <c r="N40" s="24"/>
    </row>
    <row r="41" spans="5:14">
      <c r="E41" s="22">
        <f t="shared" si="1"/>
        <v>41</v>
      </c>
      <c r="F41" s="9" t="s">
        <v>102</v>
      </c>
      <c r="M41" s="22">
        <f>M15*10+3</f>
        <v>164103</v>
      </c>
      <c r="N41" s="22"/>
    </row>
    <row r="42" spans="5:14">
      <c r="E42" s="22">
        <f t="shared" si="1"/>
        <v>42</v>
      </c>
      <c r="F42" s="9" t="s">
        <v>146</v>
      </c>
      <c r="M42" s="22">
        <f>M33</f>
        <v>164102</v>
      </c>
      <c r="N42" s="22"/>
    </row>
    <row r="43" spans="5:14">
      <c r="E43" s="22">
        <f t="shared" si="1"/>
        <v>43</v>
      </c>
      <c r="F43" s="9" t="s">
        <v>128</v>
      </c>
      <c r="M43" s="22">
        <v>0</v>
      </c>
      <c r="N43" s="22"/>
    </row>
    <row r="44" spans="5:14">
      <c r="E44" s="22">
        <f t="shared" si="1"/>
        <v>44</v>
      </c>
      <c r="F44" s="9" t="s">
        <v>148</v>
      </c>
      <c r="M44" s="22">
        <v>120</v>
      </c>
      <c r="N44" s="22"/>
    </row>
    <row r="45" spans="5:14">
      <c r="E45" s="22">
        <f t="shared" si="1"/>
        <v>45</v>
      </c>
      <c r="F45" s="9" t="s">
        <v>120</v>
      </c>
      <c r="M45" s="22">
        <v>30</v>
      </c>
      <c r="N45" s="24"/>
    </row>
    <row r="46" spans="5:14">
      <c r="E46" s="22">
        <f t="shared" si="1"/>
        <v>46</v>
      </c>
      <c r="F46" s="9" t="s">
        <v>123</v>
      </c>
      <c r="M46" s="22">
        <v>5</v>
      </c>
      <c r="N46" s="24"/>
    </row>
    <row r="47" spans="5:14">
      <c r="E47" s="22">
        <f t="shared" si="1"/>
        <v>47</v>
      </c>
      <c r="F47" s="9" t="s">
        <v>121</v>
      </c>
      <c r="K47" s="9" t="s">
        <v>138</v>
      </c>
      <c r="M47" s="22">
        <v>1</v>
      </c>
      <c r="N47" s="24"/>
    </row>
    <row r="48" spans="5:14">
      <c r="E48" s="22">
        <f t="shared" si="1"/>
        <v>48</v>
      </c>
      <c r="F48" s="9" t="s">
        <v>187</v>
      </c>
      <c r="K48" s="9" t="s">
        <v>137</v>
      </c>
      <c r="M48" s="9" t="s">
        <v>260</v>
      </c>
      <c r="N48" s="24"/>
    </row>
    <row r="49" spans="5:14">
      <c r="E49" s="22">
        <f t="shared" si="1"/>
        <v>49</v>
      </c>
      <c r="F49" s="9" t="s">
        <v>102</v>
      </c>
      <c r="M49" s="22">
        <f>M23*10+4</f>
        <v>164104</v>
      </c>
      <c r="N49" s="22"/>
    </row>
    <row r="50" spans="5:14">
      <c r="E50" s="22">
        <f t="shared" si="1"/>
        <v>50</v>
      </c>
      <c r="F50" s="9" t="s">
        <v>146</v>
      </c>
      <c r="M50" s="22">
        <f>M41</f>
        <v>164103</v>
      </c>
      <c r="N50" s="22"/>
    </row>
    <row r="51" spans="5:14">
      <c r="E51" s="22">
        <f t="shared" si="1"/>
        <v>51</v>
      </c>
      <c r="F51" s="9" t="s">
        <v>128</v>
      </c>
      <c r="M51" s="22">
        <v>0</v>
      </c>
      <c r="N51" s="22"/>
    </row>
    <row r="52" spans="5:14">
      <c r="E52" s="22">
        <f t="shared" si="1"/>
        <v>52</v>
      </c>
      <c r="F52" s="9" t="s">
        <v>148</v>
      </c>
      <c r="M52" s="22">
        <v>120</v>
      </c>
      <c r="N52" s="22"/>
    </row>
    <row r="53" spans="5:14">
      <c r="E53" s="22">
        <f t="shared" si="1"/>
        <v>53</v>
      </c>
      <c r="F53" s="9" t="s">
        <v>120</v>
      </c>
      <c r="M53" s="22">
        <v>30</v>
      </c>
      <c r="N53" s="24"/>
    </row>
    <row r="54" spans="5:14">
      <c r="E54" s="22">
        <f t="shared" si="1"/>
        <v>54</v>
      </c>
      <c r="F54" s="9" t="s">
        <v>123</v>
      </c>
      <c r="M54" s="22">
        <v>5</v>
      </c>
      <c r="N54" s="24"/>
    </row>
    <row r="55" spans="5:14">
      <c r="E55" s="22">
        <f t="shared" si="1"/>
        <v>55</v>
      </c>
      <c r="F55" s="9" t="s">
        <v>121</v>
      </c>
      <c r="K55" s="9" t="s">
        <v>138</v>
      </c>
      <c r="M55" s="22">
        <v>1</v>
      </c>
      <c r="N55" s="24"/>
    </row>
    <row r="56" spans="5:14">
      <c r="E56" s="22">
        <f t="shared" si="1"/>
        <v>56</v>
      </c>
      <c r="F56" s="9" t="s">
        <v>187</v>
      </c>
      <c r="K56" s="9" t="s">
        <v>137</v>
      </c>
      <c r="M56" s="9" t="s">
        <v>259</v>
      </c>
      <c r="N56" s="24"/>
    </row>
    <row r="57" spans="5:14">
      <c r="E57" s="22">
        <f t="shared" si="1"/>
        <v>57</v>
      </c>
      <c r="F57" s="9" t="s">
        <v>102</v>
      </c>
      <c r="M57" s="22">
        <f>M15*10+9</f>
        <v>164109</v>
      </c>
    </row>
    <row r="58" spans="5:14">
      <c r="E58" s="22">
        <f t="shared" si="1"/>
        <v>58</v>
      </c>
      <c r="F58" s="9" t="s">
        <v>146</v>
      </c>
      <c r="M58" s="22">
        <f>M15</f>
        <v>16410</v>
      </c>
    </row>
    <row r="59" spans="5:14">
      <c r="E59" s="22">
        <f t="shared" si="1"/>
        <v>59</v>
      </c>
      <c r="F59" s="9" t="s">
        <v>127</v>
      </c>
      <c r="M59" s="22">
        <v>240</v>
      </c>
    </row>
    <row r="60" spans="5:14">
      <c r="E60" s="22">
        <f>ROW(E60)</f>
        <v>60</v>
      </c>
      <c r="F60" s="9" t="s">
        <v>146</v>
      </c>
      <c r="M60" s="22">
        <f>M57</f>
        <v>164109</v>
      </c>
    </row>
    <row r="61" spans="5:14">
      <c r="E61" s="22">
        <f>ROW(E61)</f>
        <v>61</v>
      </c>
      <c r="F61" s="9" t="s">
        <v>128</v>
      </c>
      <c r="M61" s="22">
        <v>0</v>
      </c>
    </row>
    <row r="62" spans="5:14">
      <c r="E62" s="22">
        <f t="shared" ref="E62:E65" si="2">ROW(E62)</f>
        <v>62</v>
      </c>
      <c r="F62" s="9" t="s">
        <v>148</v>
      </c>
      <c r="M62" s="22">
        <v>120</v>
      </c>
      <c r="N62" s="22"/>
    </row>
    <row r="63" spans="5:14">
      <c r="E63" s="22">
        <f t="shared" si="2"/>
        <v>63</v>
      </c>
      <c r="F63" s="9" t="s">
        <v>102</v>
      </c>
      <c r="M63" s="22">
        <f>M15*10+8</f>
        <v>164108</v>
      </c>
    </row>
    <row r="64" spans="5:14">
      <c r="E64" s="22">
        <f t="shared" si="2"/>
        <v>64</v>
      </c>
      <c r="F64" s="9" t="s">
        <v>146</v>
      </c>
      <c r="M64" s="22">
        <f>M58</f>
        <v>16410</v>
      </c>
    </row>
    <row r="65" spans="5:14">
      <c r="E65" s="22">
        <f t="shared" si="2"/>
        <v>65</v>
      </c>
      <c r="F65" s="9" t="s">
        <v>127</v>
      </c>
      <c r="M65" s="22">
        <v>60</v>
      </c>
    </row>
    <row r="66" spans="5:14">
      <c r="E66" s="22">
        <f>ROW(E66)</f>
        <v>66</v>
      </c>
      <c r="F66" s="9" t="s">
        <v>146</v>
      </c>
      <c r="M66" s="22">
        <f>M63</f>
        <v>164108</v>
      </c>
    </row>
    <row r="67" spans="5:14">
      <c r="E67" s="22">
        <f>ROW(E67)</f>
        <v>67</v>
      </c>
      <c r="F67" s="9" t="s">
        <v>128</v>
      </c>
      <c r="M67" s="22">
        <v>0</v>
      </c>
    </row>
    <row r="68" spans="5:14">
      <c r="E68" s="22">
        <f t="shared" ref="E68" si="3">ROW(E68)</f>
        <v>68</v>
      </c>
      <c r="F68" s="9" t="s">
        <v>148</v>
      </c>
      <c r="M68" s="22">
        <v>60</v>
      </c>
      <c r="N68" s="22"/>
    </row>
  </sheetData>
  <autoFilter ref="D1:D12" xr:uid="{00000000-0001-0000-0000-000000000000}"/>
  <phoneticPr fontId="2" type="noConversion"/>
  <conditionalFormatting sqref="N1:BD1">
    <cfRule type="duplicateValues" dxfId="65" priority="565"/>
  </conditionalFormatting>
  <conditionalFormatting sqref="BE1:XFD1 E1:I1">
    <cfRule type="duplicateValues" dxfId="64" priority="645"/>
  </conditionalFormatting>
  <conditionalFormatting sqref="F1:F5 F12:F21">
    <cfRule type="cellIs" dxfId="63" priority="146" operator="equal">
      <formula>"ID"</formula>
    </cfRule>
    <cfRule type="cellIs" dxfId="62" priority="561" operator="equal">
      <formula>"行動序號"</formula>
    </cfRule>
  </conditionalFormatting>
  <conditionalFormatting sqref="N15:N17 N21">
    <cfRule type="expression" dxfId="61" priority="648">
      <formula>OR($F15="行動序號",$F15="ID")</formula>
    </cfRule>
  </conditionalFormatting>
  <conditionalFormatting sqref="N15:N17 N21">
    <cfRule type="expression" dxfId="60" priority="560">
      <formula>$F15="行動ID"</formula>
    </cfRule>
  </conditionalFormatting>
  <conditionalFormatting sqref="J1">
    <cfRule type="duplicateValues" dxfId="59" priority="144"/>
  </conditionalFormatting>
  <conditionalFormatting sqref="K1:L1">
    <cfRule type="duplicateValues" dxfId="58" priority="141"/>
  </conditionalFormatting>
  <conditionalFormatting sqref="F18:F20">
    <cfRule type="cellIs" dxfId="57" priority="43" operator="equal">
      <formula>"行動ID"</formula>
    </cfRule>
    <cfRule type="cellIs" dxfId="56" priority="44" operator="equal">
      <formula>"ID"</formula>
    </cfRule>
    <cfRule type="cellIs" dxfId="55" priority="45" operator="equal">
      <formula>"行動序號"</formula>
    </cfRule>
  </conditionalFormatting>
  <conditionalFormatting sqref="F7">
    <cfRule type="cellIs" dxfId="54" priority="19" operator="equal">
      <formula>"ID"</formula>
    </cfRule>
    <cfRule type="cellIs" dxfId="53" priority="21" operator="equal">
      <formula>"行動序號"</formula>
    </cfRule>
  </conditionalFormatting>
  <conditionalFormatting sqref="N7">
    <cfRule type="expression" dxfId="52" priority="22">
      <formula>OR($F7="行動序號",$F7="ID")</formula>
    </cfRule>
  </conditionalFormatting>
  <conditionalFormatting sqref="N7">
    <cfRule type="expression" dxfId="51" priority="20">
      <formula>$F7="行動ID"</formula>
    </cfRule>
  </conditionalFormatting>
  <conditionalFormatting sqref="F10">
    <cfRule type="cellIs" dxfId="50" priority="15" operator="equal">
      <formula>"行動ID"</formula>
    </cfRule>
    <cfRule type="cellIs" dxfId="49" priority="16" operator="equal">
      <formula>"ID"</formula>
    </cfRule>
    <cfRule type="cellIs" dxfId="48" priority="18" operator="equal">
      <formula>"行動序號"</formula>
    </cfRule>
  </conditionalFormatting>
  <conditionalFormatting sqref="F10">
    <cfRule type="cellIs" dxfId="47" priority="17" operator="equal">
      <formula>"行動序號"</formula>
    </cfRule>
  </conditionalFormatting>
  <conditionalFormatting sqref="M1:M21 M69:M1048576">
    <cfRule type="expression" dxfId="46" priority="6">
      <formula>AND(_xlfn.ISFORMULA(M1),OR($F1="行動ID", $F1="ID"))</formula>
    </cfRule>
    <cfRule type="expression" dxfId="45" priority="8">
      <formula>OR($F1="行動ID", $F1="ID")</formula>
    </cfRule>
  </conditionalFormatting>
  <conditionalFormatting sqref="M1:M21 M69:M1048576">
    <cfRule type="expression" dxfId="44" priority="7">
      <formula>_xlfn.ISFORMULA(M1)</formula>
    </cfRule>
  </conditionalFormatting>
  <conditionalFormatting sqref="F22:F68">
    <cfRule type="cellIs" dxfId="43" priority="2" operator="equal">
      <formula>"ID"</formula>
    </cfRule>
    <cfRule type="cellIs" dxfId="42" priority="4" operator="equal">
      <formula>"行動序號"</formula>
    </cfRule>
  </conditionalFormatting>
  <conditionalFormatting sqref="M62:N62 M57:M61 M22:N56 M68:N68 M63:M67">
    <cfRule type="expression" dxfId="41" priority="5">
      <formula>OR($F22="行動序號",$F22="ID")</formula>
    </cfRule>
  </conditionalFormatting>
  <conditionalFormatting sqref="M62:N62 M57:M61 M22:N56 M68:N68 M63:M67">
    <cfRule type="expression" dxfId="40" priority="3">
      <formula>$F22="行動ID"</formula>
    </cfRule>
  </conditionalFormatting>
  <conditionalFormatting sqref="M22:M68">
    <cfRule type="expression" dxfId="39" priority="1">
      <formula>_xlfn.ISFORMULA(M22)</formula>
    </cfRule>
  </conditionalFormatting>
  <dataValidations count="1">
    <dataValidation type="list" allowBlank="1" showInputMessage="1" showErrorMessage="1" sqref="L5 L16 K13:L13 K17 K7 F16 F19:F20 L14 L10 K19:L20 K9:L9 L70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A037-4A91-4431-9BB7-C1E0E36D8BD3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B6B971F3-2949-4690-AF19-33B6AC951474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63F5-685F-47BF-8F99-95231A1B050D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241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160</v>
      </c>
      <c r="C17" s="7" t="s">
        <v>242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161</v>
      </c>
      <c r="E20" t="str">
        <f t="shared" si="0"/>
        <v>啟動依ID,</v>
      </c>
      <c r="H20"/>
    </row>
    <row r="21" spans="1:8">
      <c r="A21" s="7" t="s">
        <v>27</v>
      </c>
      <c r="B21" s="7" t="s">
        <v>156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237</v>
      </c>
      <c r="C43" s="7" t="s">
        <v>238</v>
      </c>
      <c r="E43" t="str">
        <f t="shared" si="0"/>
        <v>符卡時間,</v>
      </c>
      <c r="H43"/>
    </row>
    <row r="44" spans="1:8">
      <c r="B44" s="25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248</v>
      </c>
      <c r="C50" s="7" t="s">
        <v>249</v>
      </c>
      <c r="E50" t="str">
        <f t="shared" si="0"/>
        <v>記錄位置,</v>
      </c>
      <c r="H50"/>
    </row>
    <row r="51" spans="1:8">
      <c r="A51" s="7" t="s">
        <v>27</v>
      </c>
      <c r="B51" s="7" t="s">
        <v>250</v>
      </c>
      <c r="C51" s="7" t="s">
        <v>251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6" t="s">
        <v>243</v>
      </c>
      <c r="C61" s="7" t="s">
        <v>244</v>
      </c>
      <c r="E61" t="str">
        <f t="shared" si="0"/>
        <v>子旋轉角度,</v>
      </c>
      <c r="H61"/>
    </row>
    <row r="62" spans="1:8">
      <c r="A62" s="7" t="s">
        <v>27</v>
      </c>
      <c r="B62" s="26" t="s">
        <v>245</v>
      </c>
      <c r="C62" s="7" t="s">
        <v>246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252</v>
      </c>
      <c r="C63" s="7" t="s">
        <v>253</v>
      </c>
      <c r="E63" t="str">
        <f t="shared" si="0"/>
        <v>記錄角度,</v>
      </c>
      <c r="H63"/>
    </row>
    <row r="64" spans="1:8">
      <c r="A64" s="7" t="s">
        <v>27</v>
      </c>
      <c r="B64" s="7" t="s">
        <v>255</v>
      </c>
      <c r="C64" s="7" t="s">
        <v>254</v>
      </c>
      <c r="E64" t="str">
        <f t="shared" si="0"/>
        <v>記錄角度ID,</v>
      </c>
      <c r="H64"/>
    </row>
    <row r="65" spans="1:11">
      <c r="B65" s="26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208</v>
      </c>
      <c r="C78" s="7" t="s">
        <v>209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210</v>
      </c>
      <c r="C79" s="7" t="s">
        <v>211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212</v>
      </c>
      <c r="C80" s="7" t="s">
        <v>213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220</v>
      </c>
      <c r="C91" s="7" t="s">
        <v>221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222</v>
      </c>
      <c r="C92" s="7" t="s">
        <v>223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224</v>
      </c>
      <c r="C93" s="7" t="s">
        <v>225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226</v>
      </c>
      <c r="C94" s="7" t="s">
        <v>227</v>
      </c>
      <c r="E94" t="str">
        <f t="shared" si="1"/>
        <v>玩家Shift,</v>
      </c>
      <c r="H94"/>
    </row>
    <row r="95" spans="1:11">
      <c r="A95" s="7" t="s">
        <v>27</v>
      </c>
      <c r="B95" s="7" t="s">
        <v>228</v>
      </c>
      <c r="C95" s="7" t="s">
        <v>229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230</v>
      </c>
      <c r="C106" s="7" t="s">
        <v>96</v>
      </c>
      <c r="D106" s="7"/>
      <c r="L106" s="7"/>
    </row>
    <row r="107" spans="1:12" customFormat="1">
      <c r="A107" s="7" t="s">
        <v>143</v>
      </c>
      <c r="B107" t="s">
        <v>231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233</v>
      </c>
      <c r="C114" s="7" t="s">
        <v>22</v>
      </c>
      <c r="D114" s="7"/>
      <c r="L114" s="7"/>
    </row>
    <row r="115" spans="1:12">
      <c r="A115" s="7" t="s">
        <v>144</v>
      </c>
      <c r="B115" s="7" t="s">
        <v>234</v>
      </c>
      <c r="C115" s="7" t="s">
        <v>23</v>
      </c>
      <c r="H115"/>
    </row>
    <row r="116" spans="1:12">
      <c r="A116" s="7" t="s">
        <v>144</v>
      </c>
      <c r="B116" s="7" t="s">
        <v>256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932BF-0CD2-4D4F-B20A-4D77AA41F58D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235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236</v>
      </c>
      <c r="D4" s="20"/>
      <c r="G4" s="9"/>
      <c r="H4" s="18"/>
    </row>
    <row r="5" spans="1:10" ht="17.25" customHeight="1">
      <c r="A5" s="20" t="s">
        <v>100</v>
      </c>
      <c r="B5" s="20" t="s">
        <v>230</v>
      </c>
      <c r="C5" s="20" t="s">
        <v>233</v>
      </c>
      <c r="D5" s="20"/>
      <c r="G5" s="9"/>
    </row>
    <row r="6" spans="1:10">
      <c r="A6" s="20" t="s">
        <v>103</v>
      </c>
      <c r="B6" s="20" t="s">
        <v>231</v>
      </c>
      <c r="C6" s="20" t="s">
        <v>234</v>
      </c>
      <c r="D6" s="20"/>
      <c r="G6" s="9"/>
    </row>
    <row r="7" spans="1:10">
      <c r="A7" s="20" t="s">
        <v>48</v>
      </c>
      <c r="B7" s="20" t="s">
        <v>232</v>
      </c>
      <c r="C7" s="25" t="s">
        <v>256</v>
      </c>
      <c r="D7" s="20"/>
      <c r="G7" s="9"/>
    </row>
    <row r="8" spans="1:10">
      <c r="A8" s="20" t="s">
        <v>158</v>
      </c>
      <c r="B8" s="25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241</v>
      </c>
      <c r="B10" s="20"/>
      <c r="C10" s="20"/>
      <c r="D10" s="20"/>
      <c r="G10" s="9"/>
    </row>
    <row r="11" spans="1:10">
      <c r="A11" s="20" t="s">
        <v>159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156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108</v>
      </c>
      <c r="C42"/>
      <c r="G42" s="9"/>
    </row>
    <row r="43" spans="1:7">
      <c r="A43" s="25" t="s">
        <v>237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187</v>
      </c>
      <c r="C49"/>
      <c r="G49" s="9"/>
    </row>
    <row r="50" spans="1:8">
      <c r="A50" s="26" t="s">
        <v>252</v>
      </c>
      <c r="C50"/>
      <c r="G50" s="9"/>
    </row>
    <row r="51" spans="1:8">
      <c r="A51" s="26" t="s">
        <v>257</v>
      </c>
      <c r="C51"/>
      <c r="G51" s="9"/>
    </row>
    <row r="52" spans="1:8">
      <c r="A52" s="26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7" t="s">
        <v>247</v>
      </c>
      <c r="C57"/>
      <c r="G57" s="9"/>
    </row>
    <row r="58" spans="1:8">
      <c r="A58" s="20" t="s">
        <v>133</v>
      </c>
      <c r="G58" s="9"/>
    </row>
    <row r="59" spans="1:8">
      <c r="A59" s="20" t="s">
        <v>194</v>
      </c>
      <c r="G59" s="9"/>
    </row>
    <row r="60" spans="1:8">
      <c r="A60" s="20" t="s">
        <v>115</v>
      </c>
      <c r="G60" s="9"/>
    </row>
    <row r="61" spans="1:8">
      <c r="A61" s="26" t="s">
        <v>243</v>
      </c>
      <c r="G61" s="9"/>
    </row>
    <row r="62" spans="1:8">
      <c r="A62" s="26" t="s">
        <v>245</v>
      </c>
      <c r="G62" s="9"/>
    </row>
    <row r="63" spans="1:8">
      <c r="A63" s="26" t="s">
        <v>252</v>
      </c>
      <c r="G63" s="9"/>
    </row>
    <row r="64" spans="1:8">
      <c r="A64" s="26" t="s">
        <v>255</v>
      </c>
      <c r="G64" s="9"/>
    </row>
    <row r="65" spans="1:7">
      <c r="A65" s="26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206</v>
      </c>
      <c r="G77" s="9"/>
    </row>
    <row r="78" spans="1:7">
      <c r="A78" s="20" t="s">
        <v>208</v>
      </c>
      <c r="G78" s="9"/>
    </row>
    <row r="79" spans="1:7">
      <c r="A79" s="20" t="s">
        <v>210</v>
      </c>
    </row>
    <row r="80" spans="1:7">
      <c r="A80" s="20" t="s">
        <v>212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220</v>
      </c>
    </row>
    <row r="92" spans="1:1">
      <c r="A92" s="20" t="s">
        <v>222</v>
      </c>
    </row>
    <row r="93" spans="1:1">
      <c r="A93" s="20" t="s">
        <v>224</v>
      </c>
    </row>
    <row r="94" spans="1:1">
      <c r="A94" s="20" t="s">
        <v>226</v>
      </c>
    </row>
    <row r="95" spans="1:1">
      <c r="A95" s="20" t="s">
        <v>228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4F3CC94E-0A07-46FF-BB95-526785FF50D9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4208-2C4E-494B-9119-15E140562571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7273F-4BF0-404E-8B39-CCFBD510AC5D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D1A2-05CF-4146-8806-237C7C91B28D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stage7_card7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2025-04-20T16:19:55Z</dcterms:modified>
</cp:coreProperties>
</file>