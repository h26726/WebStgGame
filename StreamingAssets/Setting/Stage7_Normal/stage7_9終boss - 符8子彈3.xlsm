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463432D4-17AA-4A85-A393-3F9883A3C15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8shot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4" i="1" l="1"/>
  <c r="E233" i="1"/>
  <c r="E232" i="1"/>
  <c r="E231" i="1"/>
  <c r="E230" i="1"/>
  <c r="E229" i="1"/>
  <c r="E228" i="1"/>
  <c r="E227" i="1"/>
  <c r="E226" i="1"/>
  <c r="E225" i="1"/>
  <c r="E223" i="1"/>
  <c r="E222" i="1"/>
  <c r="E221" i="1"/>
  <c r="E220" i="1"/>
  <c r="E219" i="1"/>
  <c r="E218" i="1"/>
  <c r="E217" i="1"/>
  <c r="E216" i="1"/>
  <c r="E215" i="1"/>
  <c r="E214" i="1"/>
  <c r="E212" i="1"/>
  <c r="E211" i="1"/>
  <c r="E210" i="1"/>
  <c r="E209" i="1"/>
  <c r="E208" i="1"/>
  <c r="E207" i="1"/>
  <c r="E206" i="1"/>
  <c r="E205" i="1"/>
  <c r="E204" i="1"/>
  <c r="E203" i="1"/>
  <c r="E201" i="1"/>
  <c r="E200" i="1"/>
  <c r="E199" i="1"/>
  <c r="E198" i="1"/>
  <c r="E197" i="1"/>
  <c r="E196" i="1"/>
  <c r="E195" i="1"/>
  <c r="E194" i="1"/>
  <c r="E193" i="1"/>
  <c r="E192" i="1"/>
  <c r="E190" i="1"/>
  <c r="E189" i="1"/>
  <c r="E188" i="1"/>
  <c r="E187" i="1"/>
  <c r="E186" i="1"/>
  <c r="E185" i="1"/>
  <c r="E184" i="1"/>
  <c r="E183" i="1"/>
  <c r="E182" i="1"/>
  <c r="E181" i="1"/>
  <c r="E179" i="1"/>
  <c r="E178" i="1"/>
  <c r="E177" i="1"/>
  <c r="E176" i="1"/>
  <c r="E175" i="1"/>
  <c r="E174" i="1"/>
  <c r="E173" i="1"/>
  <c r="E172" i="1"/>
  <c r="E171" i="1"/>
  <c r="E170" i="1"/>
  <c r="E168" i="1"/>
  <c r="E167" i="1"/>
  <c r="E166" i="1"/>
  <c r="E165" i="1"/>
  <c r="E164" i="1"/>
  <c r="E163" i="1"/>
  <c r="E162" i="1"/>
  <c r="E161" i="1"/>
  <c r="E160" i="1"/>
  <c r="E159" i="1"/>
  <c r="E157" i="1"/>
  <c r="E156" i="1"/>
  <c r="E155" i="1"/>
  <c r="E154" i="1"/>
  <c r="E153" i="1"/>
  <c r="E152" i="1"/>
  <c r="E151" i="1"/>
  <c r="E150" i="1"/>
  <c r="E149" i="1"/>
  <c r="E148" i="1"/>
  <c r="E146" i="1"/>
  <c r="E145" i="1"/>
  <c r="E144" i="1"/>
  <c r="E143" i="1"/>
  <c r="E142" i="1"/>
  <c r="E141" i="1"/>
  <c r="E140" i="1"/>
  <c r="E139" i="1"/>
  <c r="E138" i="1"/>
  <c r="E137" i="1"/>
  <c r="E135" i="1"/>
  <c r="E134" i="1"/>
  <c r="E133" i="1"/>
  <c r="E132" i="1"/>
  <c r="E131" i="1"/>
  <c r="E130" i="1"/>
  <c r="E129" i="1"/>
  <c r="E128" i="1"/>
  <c r="E127" i="1"/>
  <c r="E126" i="1"/>
  <c r="E124" i="1"/>
  <c r="E123" i="1"/>
  <c r="E122" i="1"/>
  <c r="E121" i="1"/>
  <c r="E120" i="1"/>
  <c r="E119" i="1"/>
  <c r="E118" i="1"/>
  <c r="E117" i="1"/>
  <c r="E116" i="1"/>
  <c r="E115" i="1"/>
  <c r="E113" i="1"/>
  <c r="E112" i="1"/>
  <c r="E111" i="1"/>
  <c r="E110" i="1"/>
  <c r="E109" i="1"/>
  <c r="E108" i="1"/>
  <c r="E107" i="1"/>
  <c r="E106" i="1"/>
  <c r="E105" i="1"/>
  <c r="E104" i="1"/>
  <c r="E102" i="1"/>
  <c r="E101" i="1"/>
  <c r="E100" i="1"/>
  <c r="E99" i="1"/>
  <c r="E98" i="1"/>
  <c r="E97" i="1"/>
  <c r="E96" i="1"/>
  <c r="E95" i="1"/>
  <c r="E94" i="1"/>
  <c r="E93" i="1"/>
  <c r="E91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3" i="1"/>
  <c r="E72" i="1"/>
  <c r="E71" i="1"/>
  <c r="E69" i="1"/>
  <c r="E68" i="1"/>
  <c r="E67" i="1"/>
  <c r="E66" i="1"/>
  <c r="E65" i="1"/>
  <c r="E64" i="1"/>
  <c r="E63" i="1"/>
  <c r="E62" i="1"/>
  <c r="E61" i="1"/>
  <c r="E60" i="1"/>
  <c r="E58" i="1"/>
  <c r="E57" i="1"/>
  <c r="E56" i="1"/>
  <c r="E55" i="1"/>
  <c r="E54" i="1"/>
  <c r="E53" i="1"/>
  <c r="E52" i="1"/>
  <c r="E51" i="1"/>
  <c r="E50" i="1"/>
  <c r="E49" i="1"/>
  <c r="E47" i="1"/>
  <c r="E46" i="1"/>
  <c r="E45" i="1"/>
  <c r="E44" i="1"/>
  <c r="E43" i="1"/>
  <c r="E42" i="1"/>
  <c r="E41" i="1"/>
  <c r="E40" i="1"/>
  <c r="E39" i="1"/>
  <c r="E38" i="1"/>
  <c r="D37" i="1"/>
  <c r="E36" i="1"/>
  <c r="E35" i="1"/>
  <c r="E34" i="1"/>
  <c r="E33" i="1"/>
  <c r="E32" i="1"/>
  <c r="E31" i="1"/>
  <c r="E30" i="1"/>
  <c r="E29" i="1"/>
  <c r="E28" i="1"/>
  <c r="M27" i="1"/>
  <c r="E27" i="1"/>
  <c r="D26" i="1"/>
  <c r="B26" i="1"/>
  <c r="D48" i="1" l="1"/>
  <c r="B37" i="1"/>
  <c r="C37" i="1" s="1"/>
  <c r="M45" i="1" s="1"/>
  <c r="C26" i="1"/>
  <c r="M34" i="1" s="1"/>
  <c r="M38" i="1"/>
  <c r="D59" i="1" l="1"/>
  <c r="M49" i="1"/>
  <c r="B48" i="1"/>
  <c r="C48" i="1" s="1"/>
  <c r="M56" i="1" s="1"/>
  <c r="D70" i="1"/>
  <c r="M60" i="1" l="1"/>
  <c r="B59" i="1"/>
  <c r="C59" i="1" s="1"/>
  <c r="M67" i="1" s="1"/>
  <c r="D81" i="1"/>
  <c r="B70" i="1"/>
  <c r="C70" i="1" s="1"/>
  <c r="M78" i="1" s="1"/>
  <c r="M71" i="1"/>
  <c r="M82" i="1" l="1"/>
  <c r="B81" i="1"/>
  <c r="C81" i="1"/>
  <c r="M89" i="1" s="1"/>
  <c r="D92" i="1"/>
  <c r="B92" i="1" l="1"/>
  <c r="C92" i="1" s="1"/>
  <c r="M100" i="1" s="1"/>
  <c r="M93" i="1"/>
  <c r="D103" i="1"/>
  <c r="M104" i="1" l="1"/>
  <c r="B103" i="1"/>
  <c r="C103" i="1" s="1"/>
  <c r="M111" i="1" s="1"/>
  <c r="D114" i="1"/>
  <c r="D125" i="1"/>
  <c r="M126" i="1" l="1"/>
  <c r="B125" i="1"/>
  <c r="C125" i="1" s="1"/>
  <c r="M133" i="1" s="1"/>
  <c r="D136" i="1"/>
  <c r="B114" i="1"/>
  <c r="C114" i="1" s="1"/>
  <c r="M122" i="1" s="1"/>
  <c r="M115" i="1"/>
  <c r="B136" i="1" l="1"/>
  <c r="C136" i="1" s="1"/>
  <c r="M144" i="1" s="1"/>
  <c r="M137" i="1"/>
  <c r="D147" i="1"/>
  <c r="M148" i="1" l="1"/>
  <c r="B147" i="1"/>
  <c r="C147" i="1" s="1"/>
  <c r="M155" i="1" s="1"/>
  <c r="D158" i="1"/>
  <c r="M159" i="1" l="1"/>
  <c r="B158" i="1"/>
  <c r="C158" i="1" s="1"/>
  <c r="M166" i="1" s="1"/>
  <c r="D169" i="1"/>
  <c r="M170" i="1" l="1"/>
  <c r="B169" i="1"/>
  <c r="C169" i="1" s="1"/>
  <c r="M177" i="1" s="1"/>
  <c r="D180" i="1"/>
  <c r="B180" i="1" l="1"/>
  <c r="C180" i="1" s="1"/>
  <c r="M188" i="1" s="1"/>
  <c r="M181" i="1"/>
  <c r="D191" i="1"/>
  <c r="M192" i="1" l="1"/>
  <c r="B191" i="1"/>
  <c r="C191" i="1" s="1"/>
  <c r="M199" i="1" s="1"/>
  <c r="D202" i="1"/>
  <c r="B202" i="1" l="1"/>
  <c r="C202" i="1" s="1"/>
  <c r="M210" i="1" s="1"/>
  <c r="M203" i="1"/>
  <c r="D213" i="1"/>
  <c r="M214" i="1" l="1"/>
  <c r="B213" i="1"/>
  <c r="C213" i="1" s="1"/>
  <c r="M221" i="1" s="1"/>
  <c r="D224" i="1"/>
  <c r="C224" i="1" l="1"/>
  <c r="M232" i="1" s="1"/>
  <c r="B224" i="1"/>
  <c r="M225" i="1"/>
  <c r="E25" i="1" l="1"/>
  <c r="E24" i="1"/>
  <c r="E23" i="1"/>
  <c r="E22" i="1"/>
  <c r="E21" i="1" l="1"/>
  <c r="E20" i="1"/>
  <c r="D15" i="1" l="1"/>
  <c r="E19" i="1"/>
  <c r="E18" i="1"/>
  <c r="E17" i="1"/>
  <c r="E16" i="1"/>
  <c r="A14" i="1"/>
  <c r="M16" i="1" l="1"/>
  <c r="B15" i="1" l="1"/>
  <c r="C15" i="1" l="1"/>
  <c r="M23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sharedStrings.xml><?xml version="1.0" encoding="utf-8"?>
<sst xmlns="http://schemas.openxmlformats.org/spreadsheetml/2006/main" count="776" uniqueCount="254">
  <si>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</si>
  <si>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</si>
  <si>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</si>
  <si>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</si>
  <si>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</si>
  <si>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</si>
  <si>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</si>
  <si>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</si>
  <si>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</si>
  <si>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</si>
  <si>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</si>
  <si>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</si>
  <si>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</si>
  <si>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</si>
  <si>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</si>
  <si>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</si>
  <si>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</si>
  <si>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</si>
  <si>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</si>
  <si>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</si>
  <si>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</si>
  <si>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</si>
  <si>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</si>
  <si>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</si>
  <si>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</si>
  <si>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</si>
  <si>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</si>
  <si>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</si>
  <si>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</si>
  <si>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</si>
  <si>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</si>
  <si>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</si>
  <si>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</si>
  <si>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</si>
  <si>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</si>
  <si>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</si>
  <si>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</si>
  <si>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</si>
  <si>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</si>
  <si>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</si>
  <si>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</si>
  <si>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</si>
  <si>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</si>
  <si>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</si>
  <si>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</si>
  <si>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</si>
  <si>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</si>
  <si>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</si>
  <si>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</si>
  <si>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</si>
  <si>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</si>
  <si>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</si>
  <si>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</si>
  <si>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</si>
  <si>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</si>
  <si>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</si>
  <si>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</si>
  <si>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</si>
  <si>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</si>
  <si>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</si>
  <si>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</si>
  <si>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</si>
  <si>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</si>
  <si>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</si>
  <si>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</si>
  <si>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</si>
  <si>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</si>
  <si>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</si>
  <si>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</si>
  <si>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</si>
  <si>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</si>
  <si>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</si>
  <si>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</si>
  <si>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</si>
  <si>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</si>
  <si>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</si>
  <si>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</si>
  <si>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</si>
  <si>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</si>
  <si>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</si>
  <si>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</si>
  <si>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</si>
  <si>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</si>
  <si>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</si>
  <si>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</si>
  <si>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</si>
  <si>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</si>
  <si>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</si>
  <si>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</si>
  <si>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</si>
  <si>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</si>
  <si>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</si>
  <si>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</si>
  <si>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</si>
  <si>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</si>
  <si>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</si>
  <si>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</si>
  <si>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</si>
  <si>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</si>
  <si>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</si>
  <si>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</si>
  <si>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</si>
  <si>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</si>
  <si>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</si>
  <si>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</si>
  <si>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</si>
  <si>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</si>
  <si>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</si>
  <si>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</si>
  <si>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</si>
  <si>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</si>
  <si>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</si>
  <si>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</si>
  <si>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</si>
  <si>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</si>
  <si>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</si>
  <si>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</si>
  <si>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</si>
  <si>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</si>
  <si>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</si>
  <si>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</si>
  <si>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</si>
  <si>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</si>
  <si>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</si>
  <si>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</si>
  <si>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</si>
  <si>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</si>
  <si>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</si>
  <si>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</si>
  <si>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</si>
  <si>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</si>
  <si>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</si>
  <si>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</si>
  <si>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</si>
  <si>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</si>
  <si>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</si>
  <si>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</si>
  <si>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</si>
  <si>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</si>
  <si>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</si>
  <si>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</si>
  <si>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</si>
  <si>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</si>
  <si>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</si>
  <si>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</si>
  <si>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</si>
  <si>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</si>
  <si>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</si>
  <si>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</si>
  <si>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</si>
  <si>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</si>
  <si>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</si>
  <si>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</si>
  <si>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</si>
  <si>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</si>
  <si>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</si>
  <si>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</si>
  <si>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</si>
  <si>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</si>
  <si>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</si>
  <si>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</si>
  <si>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</si>
  <si>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</si>
  <si>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</si>
  <si>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</si>
  <si>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</si>
  <si>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</si>
  <si>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</si>
  <si>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</si>
  <si>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</si>
  <si>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</si>
  <si>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</si>
  <si>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</si>
  <si>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</si>
  <si>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</si>
  <si>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</si>
  <si>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</si>
  <si>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</si>
  <si>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</si>
  <si>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</si>
  <si>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</si>
  <si>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</si>
  <si>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</si>
  <si>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</si>
  <si>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</si>
  <si>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</si>
  <si>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</si>
  <si>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</si>
  <si>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</si>
  <si>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</si>
  <si>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</si>
  <si>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</si>
  <si>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</si>
  <si>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</si>
  <si>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</si>
  <si>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</si>
  <si>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</si>
  <si>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</si>
  <si>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</si>
  <si>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</si>
  <si>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</si>
  <si>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</si>
  <si>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</si>
  <si>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</si>
  <si>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</si>
  <si>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</si>
  <si>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</si>
  <si>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</si>
  <si>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</si>
  <si>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</si>
  <si>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</si>
  <si>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</si>
  <si>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</si>
  <si>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</si>
  <si>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</si>
  <si>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</si>
  <si>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</si>
  <si>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</si>
  <si>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</si>
  <si>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</si>
  <si>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</si>
  <si>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</si>
  <si>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</si>
  <si>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</si>
  <si>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</si>
  <si>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</si>
  <si>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</si>
  <si>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</si>
  <si>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</si>
  <si>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</si>
  <si>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</si>
  <si>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</si>
  <si>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</si>
  <si>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</si>
  <si>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</si>
  <si>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</si>
  <si>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</si>
  <si>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</si>
  <si>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</si>
  <si>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</si>
  <si>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</si>
  <si>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</si>
  <si>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</si>
  <si>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</si>
  <si>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</si>
  <si>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</si>
  <si>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</si>
  <si>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</si>
  <si>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2,3</t>
  </si>
  <si>
    <t>2,3</t>
    <phoneticPr fontId="2" type="noConversion"/>
  </si>
  <si>
    <t>EnemyShot2</t>
  </si>
  <si>
    <t>EnemyShot2</t>
    <phoneticPr fontId="2" type="noConversion"/>
  </si>
  <si>
    <t>Shot2_purple</t>
  </si>
  <si>
    <t>Shot2_purple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</si>
</sst>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34"/>
  <sheetViews>
    <sheetView tabSelected="1" zoomScale="115" zoomScaleNormal="115" workbookViewId="0">
      <pane ySplit="1" topLeftCell="A11" activePane="bottomLeft" state="frozen"/>
      <selection pane="bottomLeft" activeCell="O18" sqref="O18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 ht="23.25" customHeight="1">
      <c r="B12" s="9"/>
      <c r="C12" s="9"/>
      <c r="D12" s="9"/>
    </row>
    <row r="14" spans="1:60">
      <c r="A14" s="21">
        <f>G16*H16</f>
        <v>20</v>
      </c>
      <c r="B14" s="9"/>
      <c r="C14" s="9"/>
      <c r="D14" s="9"/>
      <c r="R14" s="12"/>
      <c r="S14" s="9"/>
      <c r="U14" s="12"/>
      <c r="X14" s="15"/>
      <c r="AE14" s="16"/>
      <c r="BH14" s="9"/>
    </row>
    <row r="15" spans="1:60">
      <c r="A15" s="9" t="s">
        <v>228</v>
      </c>
      <c r="B15" s="21">
        <f>QUOTIENT( D15-1,G16)+1</f>
        <v>1</v>
      </c>
      <c r="C15" s="21">
        <f>D15-(B15-1)*G16</f>
        <v>1</v>
      </c>
      <c r="D15" s="21">
        <f>COUNT($D$14:$D14)+1</f>
        <v>1</v>
      </c>
      <c r="R15" s="12"/>
      <c r="S15" s="9"/>
      <c r="U15" s="12"/>
      <c r="X15" s="15"/>
      <c r="AE15" s="16"/>
      <c r="BH15" s="9"/>
    </row>
    <row r="16" spans="1:60">
      <c r="A16" s="9"/>
      <c r="B16" s="9"/>
      <c r="E16" s="21">
        <f>ROW(E16)</f>
        <v>16</v>
      </c>
      <c r="F16" s="9" t="s">
        <v>93</v>
      </c>
      <c r="G16" s="21">
        <v>20</v>
      </c>
      <c r="H16" s="21">
        <v>1</v>
      </c>
      <c r="J16" s="21">
        <v>17700</v>
      </c>
      <c r="M16" s="21">
        <f>J16+D15</f>
        <v>17701</v>
      </c>
      <c r="R16" s="12"/>
      <c r="S16" s="9"/>
      <c r="U16" s="12"/>
      <c r="X16" s="15"/>
      <c r="AE16" s="16"/>
      <c r="BH16" s="9"/>
    </row>
    <row r="17" spans="1:60">
      <c r="A17" s="9"/>
      <c r="B17" s="9"/>
      <c r="E17" s="21">
        <f t="shared" ref="E17:E25" si="0">ROW(E17)</f>
        <v>17</v>
      </c>
      <c r="F17" s="9" t="s">
        <v>143</v>
      </c>
      <c r="M17" s="21">
        <v>173108</v>
      </c>
      <c r="R17" s="12"/>
      <c r="S17" s="9"/>
      <c r="U17" s="12"/>
      <c r="X17" s="15"/>
      <c r="AE17" s="16"/>
      <c r="BH17" s="9"/>
    </row>
    <row r="18" spans="1:60">
      <c r="A18" s="9"/>
      <c r="B18" s="9"/>
      <c r="E18" s="21">
        <f t="shared" si="0"/>
        <v>18</v>
      </c>
      <c r="F18" s="9" t="s">
        <v>127</v>
      </c>
      <c r="M18" s="27">
        <v>0</v>
      </c>
      <c r="R18" s="12"/>
      <c r="S18" s="9"/>
      <c r="U18" s="12"/>
      <c r="X18" s="15"/>
      <c r="AE18" s="16"/>
      <c r="BH18" s="9"/>
    </row>
    <row r="19" spans="1:60">
      <c r="A19" s="9"/>
      <c r="B19" s="9"/>
      <c r="E19" s="21">
        <f t="shared" si="0"/>
        <v>19</v>
      </c>
      <c r="F19" s="9" t="s">
        <v>96</v>
      </c>
      <c r="M19" s="21" t="s">
        <v>251</v>
      </c>
      <c r="R19" s="12"/>
      <c r="S19" s="9"/>
      <c r="U19" s="12"/>
      <c r="X19" s="15"/>
      <c r="AE19" s="16"/>
      <c r="BH19" s="9"/>
    </row>
    <row r="20" spans="1:60">
      <c r="A20" s="9"/>
      <c r="B20" s="9"/>
      <c r="E20" s="21">
        <f t="shared" si="0"/>
        <v>20</v>
      </c>
      <c r="F20" s="9" t="s">
        <v>119</v>
      </c>
      <c r="M20" s="21" t="s">
        <v>253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 t="shared" si="0"/>
        <v>21</v>
      </c>
      <c r="F21" s="9" t="s">
        <v>99</v>
      </c>
      <c r="G21" s="26"/>
      <c r="H21" s="28"/>
      <c r="I21" s="27"/>
      <c r="J21" s="27"/>
      <c r="K21" s="9" t="s">
        <v>138</v>
      </c>
      <c r="M21" s="27">
        <v>2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si="0"/>
        <v>22</v>
      </c>
      <c r="F22" s="9" t="s">
        <v>31</v>
      </c>
      <c r="G22" s="26"/>
      <c r="H22" s="28"/>
      <c r="I22" s="27"/>
      <c r="J22" s="27"/>
      <c r="L22" s="9" t="s">
        <v>136</v>
      </c>
      <c r="M22" s="27" t="s">
        <v>249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183</v>
      </c>
      <c r="G23" s="26">
        <v>360</v>
      </c>
      <c r="H23" s="28"/>
      <c r="I23" s="27"/>
      <c r="J23" s="27"/>
      <c r="L23" s="9" t="s">
        <v>135</v>
      </c>
      <c r="M23" s="27">
        <f>G23/G16*C15</f>
        <v>18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30</v>
      </c>
      <c r="G24" s="26"/>
      <c r="H24" s="28"/>
      <c r="I24" s="27"/>
      <c r="J24" s="27"/>
      <c r="M24" s="27">
        <v>1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115</v>
      </c>
      <c r="G25" s="26"/>
      <c r="H25" s="28"/>
      <c r="I25" s="27"/>
      <c r="J25" s="27"/>
      <c r="M25" s="27" t="b">
        <v>1</v>
      </c>
      <c r="R25" s="12"/>
      <c r="S25" s="9"/>
      <c r="U25" s="12"/>
      <c r="X25" s="15"/>
      <c r="AE25" s="16"/>
      <c r="BH25" s="9"/>
    </row>
    <row r="26" spans="1:60">
      <c r="A26" s="21" t="s">
        <v>228</v>
      </c>
      <c r="B26" s="21">
        <f t="shared" ref="B26:B89" si="1">QUOTIENT( D26-1,G27)+1</f>
        <v>1</v>
      </c>
      <c r="C26" s="21">
        <f t="shared" ref="C26" si="2">D26-(B26-1)*G27</f>
        <v>2</v>
      </c>
      <c r="D26" s="21">
        <f>COUNT($D$14:$D25)+1</f>
        <v>2</v>
      </c>
    </row>
    <row r="27" spans="1:60">
      <c r="E27" s="21">
        <f t="shared" ref="E27:E90" si="3">ROW(E27)</f>
        <v>27</v>
      </c>
      <c r="F27" s="9" t="s">
        <v>93</v>
      </c>
      <c r="G27" s="21">
        <v>20</v>
      </c>
      <c r="H27" s="21">
        <v>1</v>
      </c>
      <c r="J27" s="9">
        <v>17700</v>
      </c>
      <c r="M27" s="21">
        <f t="shared" ref="M27:M90" si="4">J27+D26</f>
        <v>17702</v>
      </c>
    </row>
    <row r="28" spans="1:60">
      <c r="E28" s="21">
        <f t="shared" si="3"/>
        <v>28</v>
      </c>
      <c r="F28" s="9" t="s">
        <v>143</v>
      </c>
      <c r="M28" s="21">
        <v>173108</v>
      </c>
    </row>
    <row r="29" spans="1:60">
      <c r="E29" s="21">
        <f t="shared" si="3"/>
        <v>29</v>
      </c>
      <c r="F29" s="9" t="s">
        <v>127</v>
      </c>
      <c r="M29" s="21">
        <v>0</v>
      </c>
    </row>
    <row r="30" spans="1:60">
      <c r="E30" s="21">
        <f t="shared" si="3"/>
        <v>30</v>
      </c>
      <c r="F30" s="9" t="s">
        <v>29</v>
      </c>
      <c r="M30" s="21" t="s">
        <v>250</v>
      </c>
    </row>
    <row r="31" spans="1:60">
      <c r="E31" s="21">
        <f t="shared" si="3"/>
        <v>31</v>
      </c>
      <c r="F31" s="9" t="s">
        <v>119</v>
      </c>
      <c r="M31" s="21" t="s">
        <v>252</v>
      </c>
    </row>
    <row r="32" spans="1:60">
      <c r="E32" s="21">
        <f t="shared" si="3"/>
        <v>32</v>
      </c>
      <c r="F32" s="9" t="s">
        <v>99</v>
      </c>
      <c r="K32" s="9" t="s">
        <v>138</v>
      </c>
      <c r="M32" s="21">
        <v>2</v>
      </c>
    </row>
    <row r="33" spans="1:13">
      <c r="E33" s="21">
        <f t="shared" si="3"/>
        <v>33</v>
      </c>
      <c r="F33" s="9" t="s">
        <v>31</v>
      </c>
      <c r="L33" s="9" t="s">
        <v>136</v>
      </c>
      <c r="M33" s="28" t="s">
        <v>248</v>
      </c>
    </row>
    <row r="34" spans="1:13">
      <c r="E34" s="21">
        <f t="shared" si="3"/>
        <v>34</v>
      </c>
      <c r="F34" s="9" t="s">
        <v>183</v>
      </c>
      <c r="G34" s="21">
        <v>360</v>
      </c>
      <c r="L34" s="9" t="s">
        <v>135</v>
      </c>
      <c r="M34" s="21">
        <f t="shared" ref="M34" si="5">G34/G27*C26</f>
        <v>36</v>
      </c>
    </row>
    <row r="35" spans="1:13">
      <c r="E35" s="21">
        <f t="shared" si="3"/>
        <v>35</v>
      </c>
      <c r="F35" s="9" t="s">
        <v>30</v>
      </c>
      <c r="M35" s="21">
        <v>1</v>
      </c>
    </row>
    <row r="36" spans="1:13">
      <c r="E36" s="21">
        <f t="shared" si="3"/>
        <v>36</v>
      </c>
      <c r="F36" s="9" t="s">
        <v>115</v>
      </c>
      <c r="M36" s="21" t="b">
        <v>1</v>
      </c>
    </row>
    <row r="37" spans="1:13">
      <c r="A37" s="21" t="s">
        <v>228</v>
      </c>
      <c r="B37" s="21">
        <f t="shared" ref="B37:B68" si="6">QUOTIENT( D37-1,G38)+1</f>
        <v>1</v>
      </c>
      <c r="C37" s="21">
        <f t="shared" ref="C37" si="7">D37-(B37-1)*G38</f>
        <v>3</v>
      </c>
      <c r="D37" s="21">
        <f>COUNT($D$14:$D36)+1</f>
        <v>3</v>
      </c>
    </row>
    <row r="38" spans="1:13">
      <c r="E38" s="21">
        <f t="shared" ref="E38:E69" si="8">ROW(E38)</f>
        <v>38</v>
      </c>
      <c r="F38" s="9" t="s">
        <v>93</v>
      </c>
      <c r="G38" s="21">
        <v>20</v>
      </c>
      <c r="H38" s="21">
        <v>1</v>
      </c>
      <c r="J38" s="9">
        <v>17700</v>
      </c>
      <c r="M38" s="21">
        <f t="shared" ref="M38:M69" si="9">J38+D37</f>
        <v>17703</v>
      </c>
    </row>
    <row r="39" spans="1:13">
      <c r="E39" s="21">
        <f t="shared" si="3"/>
        <v>39</v>
      </c>
      <c r="F39" s="9" t="s">
        <v>143</v>
      </c>
      <c r="M39" s="21">
        <v>173108</v>
      </c>
    </row>
    <row r="40" spans="1:13">
      <c r="E40" s="21">
        <f t="shared" si="3"/>
        <v>40</v>
      </c>
      <c r="F40" s="9" t="s">
        <v>127</v>
      </c>
      <c r="M40" s="21">
        <v>0</v>
      </c>
    </row>
    <row r="41" spans="1:13">
      <c r="E41" s="21">
        <f t="shared" si="3"/>
        <v>41</v>
      </c>
      <c r="F41" s="9" t="s">
        <v>29</v>
      </c>
      <c r="M41" s="21" t="s">
        <v>250</v>
      </c>
    </row>
    <row r="42" spans="1:13">
      <c r="E42" s="21">
        <f t="shared" si="3"/>
        <v>42</v>
      </c>
      <c r="F42" s="9" t="s">
        <v>119</v>
      </c>
      <c r="M42" s="21" t="s">
        <v>252</v>
      </c>
    </row>
    <row r="43" spans="1:13">
      <c r="E43" s="21">
        <f t="shared" si="3"/>
        <v>43</v>
      </c>
      <c r="F43" s="9" t="s">
        <v>99</v>
      </c>
      <c r="K43" s="9" t="s">
        <v>138</v>
      </c>
      <c r="M43" s="21">
        <v>2</v>
      </c>
    </row>
    <row r="44" spans="1:13">
      <c r="E44" s="21">
        <f t="shared" si="3"/>
        <v>44</v>
      </c>
      <c r="F44" s="9" t="s">
        <v>31</v>
      </c>
      <c r="L44" s="9" t="s">
        <v>136</v>
      </c>
      <c r="M44" s="21" t="s">
        <v>248</v>
      </c>
    </row>
    <row r="45" spans="1:13">
      <c r="E45" s="21">
        <f t="shared" si="3"/>
        <v>45</v>
      </c>
      <c r="F45" s="9" t="s">
        <v>183</v>
      </c>
      <c r="G45" s="21">
        <v>360</v>
      </c>
      <c r="L45" s="9" t="s">
        <v>135</v>
      </c>
      <c r="M45" s="21">
        <f t="shared" ref="M45" si="10">G45/G38*C37</f>
        <v>54</v>
      </c>
    </row>
    <row r="46" spans="1:13">
      <c r="E46" s="21">
        <f t="shared" si="3"/>
        <v>46</v>
      </c>
      <c r="F46" s="9" t="s">
        <v>30</v>
      </c>
      <c r="M46" s="21">
        <v>1</v>
      </c>
    </row>
    <row r="47" spans="1:13">
      <c r="E47" s="21">
        <f t="shared" si="3"/>
        <v>47</v>
      </c>
      <c r="F47" s="9" t="s">
        <v>115</v>
      </c>
      <c r="M47" s="21" t="b">
        <v>1</v>
      </c>
    </row>
    <row r="48" spans="1:13">
      <c r="A48" s="21" t="s">
        <v>228</v>
      </c>
      <c r="B48" s="21">
        <f t="shared" ref="B48:B79" si="11">QUOTIENT( D48-1,G49)+1</f>
        <v>1</v>
      </c>
      <c r="C48" s="21">
        <f t="shared" ref="C48" si="12">D48-(B48-1)*G49</f>
        <v>4</v>
      </c>
      <c r="D48" s="21">
        <f>COUNT($D$14:$D47)+1</f>
        <v>4</v>
      </c>
    </row>
    <row r="49" spans="1:13">
      <c r="E49" s="21">
        <f t="shared" ref="E49:E80" si="13">ROW(E49)</f>
        <v>49</v>
      </c>
      <c r="F49" s="9" t="s">
        <v>93</v>
      </c>
      <c r="G49" s="21">
        <v>20</v>
      </c>
      <c r="H49" s="21">
        <v>1</v>
      </c>
      <c r="J49" s="9">
        <v>17700</v>
      </c>
      <c r="M49" s="21">
        <f t="shared" ref="M49:M80" si="14">J49+D48</f>
        <v>17704</v>
      </c>
    </row>
    <row r="50" spans="1:13">
      <c r="E50" s="21">
        <f t="shared" si="3"/>
        <v>50</v>
      </c>
      <c r="F50" s="9" t="s">
        <v>143</v>
      </c>
      <c r="M50" s="21">
        <v>173108</v>
      </c>
    </row>
    <row r="51" spans="1:13">
      <c r="E51" s="21">
        <f t="shared" si="3"/>
        <v>51</v>
      </c>
      <c r="F51" s="9" t="s">
        <v>127</v>
      </c>
      <c r="M51" s="21">
        <v>0</v>
      </c>
    </row>
    <row r="52" spans="1:13">
      <c r="E52" s="21">
        <f t="shared" si="3"/>
        <v>52</v>
      </c>
      <c r="F52" s="9" t="s">
        <v>29</v>
      </c>
      <c r="M52" s="21" t="s">
        <v>250</v>
      </c>
    </row>
    <row r="53" spans="1:13">
      <c r="E53" s="21">
        <f t="shared" si="3"/>
        <v>53</v>
      </c>
      <c r="F53" s="9" t="s">
        <v>119</v>
      </c>
      <c r="M53" s="21" t="s">
        <v>252</v>
      </c>
    </row>
    <row r="54" spans="1:13">
      <c r="E54" s="21">
        <f t="shared" si="3"/>
        <v>54</v>
      </c>
      <c r="F54" s="9" t="s">
        <v>99</v>
      </c>
      <c r="K54" s="9" t="s">
        <v>138</v>
      </c>
      <c r="M54" s="21">
        <v>2</v>
      </c>
    </row>
    <row r="55" spans="1:13">
      <c r="E55" s="21">
        <f t="shared" si="3"/>
        <v>55</v>
      </c>
      <c r="F55" s="9" t="s">
        <v>31</v>
      </c>
      <c r="L55" s="9" t="s">
        <v>136</v>
      </c>
      <c r="M55" s="21" t="s">
        <v>248</v>
      </c>
    </row>
    <row r="56" spans="1:13">
      <c r="E56" s="21">
        <f t="shared" si="3"/>
        <v>56</v>
      </c>
      <c r="F56" s="9" t="s">
        <v>183</v>
      </c>
      <c r="G56" s="21">
        <v>360</v>
      </c>
      <c r="L56" s="9" t="s">
        <v>135</v>
      </c>
      <c r="M56" s="21">
        <f t="shared" ref="M56" si="15">G56/G49*C48</f>
        <v>72</v>
      </c>
    </row>
    <row r="57" spans="1:13">
      <c r="E57" s="21">
        <f t="shared" si="3"/>
        <v>57</v>
      </c>
      <c r="F57" s="9" t="s">
        <v>30</v>
      </c>
      <c r="M57" s="21">
        <v>1</v>
      </c>
    </row>
    <row r="58" spans="1:13">
      <c r="E58" s="21">
        <f t="shared" si="3"/>
        <v>58</v>
      </c>
      <c r="F58" s="9" t="s">
        <v>115</v>
      </c>
      <c r="M58" s="21" t="b">
        <v>1</v>
      </c>
    </row>
    <row r="59" spans="1:13">
      <c r="A59" s="21" t="s">
        <v>228</v>
      </c>
      <c r="B59" s="21">
        <f t="shared" ref="B59:B90" si="16">QUOTIENT( D59-1,G60)+1</f>
        <v>1</v>
      </c>
      <c r="C59" s="21">
        <f t="shared" ref="C59" si="17">D59-(B59-1)*G60</f>
        <v>5</v>
      </c>
      <c r="D59" s="21">
        <f>COUNT($D$14:$D58)+1</f>
        <v>5</v>
      </c>
    </row>
    <row r="60" spans="1:13">
      <c r="E60" s="21">
        <f t="shared" ref="E60:E91" si="18">ROW(E60)</f>
        <v>60</v>
      </c>
      <c r="F60" s="9" t="s">
        <v>93</v>
      </c>
      <c r="G60" s="21">
        <v>20</v>
      </c>
      <c r="H60" s="21">
        <v>1</v>
      </c>
      <c r="J60" s="9">
        <v>17700</v>
      </c>
      <c r="M60" s="21">
        <f t="shared" ref="M60:M91" si="19">J60+D59</f>
        <v>17705</v>
      </c>
    </row>
    <row r="61" spans="1:13">
      <c r="E61" s="21">
        <f t="shared" si="3"/>
        <v>61</v>
      </c>
      <c r="F61" s="9" t="s">
        <v>143</v>
      </c>
      <c r="M61" s="21">
        <v>173108</v>
      </c>
    </row>
    <row r="62" spans="1:13">
      <c r="E62" s="21">
        <f t="shared" si="3"/>
        <v>62</v>
      </c>
      <c r="F62" s="9" t="s">
        <v>127</v>
      </c>
      <c r="M62" s="21">
        <v>0</v>
      </c>
    </row>
    <row r="63" spans="1:13">
      <c r="E63" s="21">
        <f t="shared" si="3"/>
        <v>63</v>
      </c>
      <c r="F63" s="9" t="s">
        <v>29</v>
      </c>
      <c r="M63" s="21" t="s">
        <v>250</v>
      </c>
    </row>
    <row r="64" spans="1:13">
      <c r="E64" s="21">
        <f t="shared" si="3"/>
        <v>64</v>
      </c>
      <c r="F64" s="9" t="s">
        <v>119</v>
      </c>
      <c r="M64" s="21" t="s">
        <v>252</v>
      </c>
    </row>
    <row r="65" spans="1:13">
      <c r="E65" s="21">
        <f t="shared" si="3"/>
        <v>65</v>
      </c>
      <c r="F65" s="9" t="s">
        <v>99</v>
      </c>
      <c r="K65" s="9" t="s">
        <v>138</v>
      </c>
      <c r="M65" s="21">
        <v>2</v>
      </c>
    </row>
    <row r="66" spans="1:13">
      <c r="E66" s="21">
        <f t="shared" si="3"/>
        <v>66</v>
      </c>
      <c r="F66" s="9" t="s">
        <v>31</v>
      </c>
      <c r="L66" s="9" t="s">
        <v>136</v>
      </c>
      <c r="M66" s="21" t="s">
        <v>248</v>
      </c>
    </row>
    <row r="67" spans="1:13">
      <c r="E67" s="21">
        <f t="shared" si="3"/>
        <v>67</v>
      </c>
      <c r="F67" s="9" t="s">
        <v>183</v>
      </c>
      <c r="G67" s="21">
        <v>360</v>
      </c>
      <c r="L67" s="9" t="s">
        <v>135</v>
      </c>
      <c r="M67" s="21">
        <f t="shared" ref="M67" si="20">G67/G60*C59</f>
        <v>90</v>
      </c>
    </row>
    <row r="68" spans="1:13">
      <c r="E68" s="21">
        <f t="shared" si="3"/>
        <v>68</v>
      </c>
      <c r="F68" s="9" t="s">
        <v>30</v>
      </c>
      <c r="M68" s="21">
        <v>1</v>
      </c>
    </row>
    <row r="69" spans="1:13">
      <c r="E69" s="21">
        <f t="shared" si="3"/>
        <v>69</v>
      </c>
      <c r="F69" s="9" t="s">
        <v>115</v>
      </c>
      <c r="M69" s="21" t="b">
        <v>1</v>
      </c>
    </row>
    <row r="70" spans="1:13">
      <c r="A70" s="21" t="s">
        <v>228</v>
      </c>
      <c r="B70" s="21">
        <f t="shared" ref="B70:B101" si="21">QUOTIENT( D70-1,G71)+1</f>
        <v>1</v>
      </c>
      <c r="C70" s="21">
        <f t="shared" ref="C70" si="22">D70-(B70-1)*G71</f>
        <v>6</v>
      </c>
      <c r="D70" s="21">
        <f>COUNT($D$14:$D69)+1</f>
        <v>6</v>
      </c>
    </row>
    <row r="71" spans="1:13">
      <c r="E71" s="21">
        <f t="shared" ref="E71:E102" si="23">ROW(E71)</f>
        <v>71</v>
      </c>
      <c r="F71" s="9" t="s">
        <v>93</v>
      </c>
      <c r="G71" s="21">
        <v>20</v>
      </c>
      <c r="H71" s="21">
        <v>1</v>
      </c>
      <c r="J71" s="9">
        <v>17700</v>
      </c>
      <c r="M71" s="21">
        <f t="shared" ref="M71:M102" si="24">J71+D70</f>
        <v>17706</v>
      </c>
    </row>
    <row r="72" spans="1:13">
      <c r="E72" s="21">
        <f t="shared" si="3"/>
        <v>72</v>
      </c>
      <c r="F72" s="9" t="s">
        <v>143</v>
      </c>
      <c r="M72" s="21">
        <v>173108</v>
      </c>
    </row>
    <row r="73" spans="1:13">
      <c r="E73" s="21">
        <f t="shared" si="3"/>
        <v>73</v>
      </c>
      <c r="F73" s="9" t="s">
        <v>127</v>
      </c>
      <c r="M73" s="21">
        <v>0</v>
      </c>
    </row>
    <row r="74" spans="1:13">
      <c r="E74" s="21">
        <f t="shared" si="3"/>
        <v>74</v>
      </c>
      <c r="F74" s="9" t="s">
        <v>29</v>
      </c>
      <c r="M74" s="21" t="s">
        <v>250</v>
      </c>
    </row>
    <row r="75" spans="1:13">
      <c r="E75" s="21">
        <f t="shared" si="3"/>
        <v>75</v>
      </c>
      <c r="F75" s="9" t="s">
        <v>119</v>
      </c>
      <c r="M75" s="21" t="s">
        <v>252</v>
      </c>
    </row>
    <row r="76" spans="1:13">
      <c r="E76" s="21">
        <f t="shared" si="3"/>
        <v>76</v>
      </c>
      <c r="F76" s="9" t="s">
        <v>99</v>
      </c>
      <c r="K76" s="9" t="s">
        <v>138</v>
      </c>
      <c r="M76" s="21">
        <v>2</v>
      </c>
    </row>
    <row r="77" spans="1:13">
      <c r="E77" s="21">
        <f t="shared" si="3"/>
        <v>77</v>
      </c>
      <c r="F77" s="9" t="s">
        <v>31</v>
      </c>
      <c r="L77" s="9" t="s">
        <v>136</v>
      </c>
      <c r="M77" s="21" t="s">
        <v>248</v>
      </c>
    </row>
    <row r="78" spans="1:13">
      <c r="E78" s="21">
        <f t="shared" si="3"/>
        <v>78</v>
      </c>
      <c r="F78" s="9" t="s">
        <v>183</v>
      </c>
      <c r="G78" s="21">
        <v>360</v>
      </c>
      <c r="L78" s="9" t="s">
        <v>135</v>
      </c>
      <c r="M78" s="21">
        <f t="shared" ref="M78" si="25">G78/G71*C70</f>
        <v>108</v>
      </c>
    </row>
    <row r="79" spans="1:13">
      <c r="E79" s="21">
        <f t="shared" si="3"/>
        <v>79</v>
      </c>
      <c r="F79" s="9" t="s">
        <v>30</v>
      </c>
      <c r="M79" s="21">
        <v>1</v>
      </c>
    </row>
    <row r="80" spans="1:13">
      <c r="E80" s="21">
        <f t="shared" si="3"/>
        <v>80</v>
      </c>
      <c r="F80" s="9" t="s">
        <v>115</v>
      </c>
      <c r="M80" s="21" t="b">
        <v>1</v>
      </c>
    </row>
    <row r="81" spans="1:13">
      <c r="A81" s="21" t="s">
        <v>228</v>
      </c>
      <c r="B81" s="21">
        <f t="shared" ref="B81:B112" si="26">QUOTIENT( D81-1,G82)+1</f>
        <v>1</v>
      </c>
      <c r="C81" s="21">
        <f t="shared" ref="C81" si="27">D81-(B81-1)*G82</f>
        <v>7</v>
      </c>
      <c r="D81" s="21">
        <f>COUNT($D$14:$D80)+1</f>
        <v>7</v>
      </c>
    </row>
    <row r="82" spans="1:13">
      <c r="E82" s="21">
        <f t="shared" ref="E82:E113" si="28">ROW(E82)</f>
        <v>82</v>
      </c>
      <c r="F82" s="9" t="s">
        <v>93</v>
      </c>
      <c r="G82" s="21">
        <v>20</v>
      </c>
      <c r="H82" s="21">
        <v>1</v>
      </c>
      <c r="J82" s="9">
        <v>17700</v>
      </c>
      <c r="M82" s="21">
        <f t="shared" ref="M82:M113" si="29">J82+D81</f>
        <v>17707</v>
      </c>
    </row>
    <row r="83" spans="1:13">
      <c r="E83" s="21">
        <f t="shared" si="3"/>
        <v>83</v>
      </c>
      <c r="F83" s="9" t="s">
        <v>143</v>
      </c>
      <c r="M83" s="21">
        <v>173108</v>
      </c>
    </row>
    <row r="84" spans="1:13">
      <c r="E84" s="21">
        <f t="shared" si="3"/>
        <v>84</v>
      </c>
      <c r="F84" s="9" t="s">
        <v>127</v>
      </c>
      <c r="M84" s="21">
        <v>0</v>
      </c>
    </row>
    <row r="85" spans="1:13">
      <c r="E85" s="21">
        <f t="shared" si="3"/>
        <v>85</v>
      </c>
      <c r="F85" s="9" t="s">
        <v>29</v>
      </c>
      <c r="M85" s="21" t="s">
        <v>250</v>
      </c>
    </row>
    <row r="86" spans="1:13">
      <c r="E86" s="21">
        <f t="shared" si="3"/>
        <v>86</v>
      </c>
      <c r="F86" s="9" t="s">
        <v>119</v>
      </c>
      <c r="M86" s="21" t="s">
        <v>252</v>
      </c>
    </row>
    <row r="87" spans="1:13">
      <c r="E87" s="21">
        <f t="shared" si="3"/>
        <v>87</v>
      </c>
      <c r="F87" s="9" t="s">
        <v>99</v>
      </c>
      <c r="K87" s="9" t="s">
        <v>138</v>
      </c>
      <c r="M87" s="21">
        <v>2</v>
      </c>
    </row>
    <row r="88" spans="1:13">
      <c r="E88" s="21">
        <f t="shared" si="3"/>
        <v>88</v>
      </c>
      <c r="F88" s="9" t="s">
        <v>31</v>
      </c>
      <c r="L88" s="9" t="s">
        <v>136</v>
      </c>
      <c r="M88" s="21" t="s">
        <v>248</v>
      </c>
    </row>
    <row r="89" spans="1:13">
      <c r="E89" s="21">
        <f t="shared" si="3"/>
        <v>89</v>
      </c>
      <c r="F89" s="9" t="s">
        <v>183</v>
      </c>
      <c r="G89" s="21">
        <v>360</v>
      </c>
      <c r="L89" s="9" t="s">
        <v>135</v>
      </c>
      <c r="M89" s="21">
        <f t="shared" ref="M89" si="30">G89/G82*C81</f>
        <v>126</v>
      </c>
    </row>
    <row r="90" spans="1:13">
      <c r="E90" s="21">
        <f t="shared" si="3"/>
        <v>90</v>
      </c>
      <c r="F90" s="9" t="s">
        <v>30</v>
      </c>
      <c r="M90" s="21">
        <v>1</v>
      </c>
    </row>
    <row r="91" spans="1:13">
      <c r="E91" s="21">
        <f t="shared" ref="E91:E154" si="31">ROW(E91)</f>
        <v>91</v>
      </c>
      <c r="F91" s="9" t="s">
        <v>115</v>
      </c>
      <c r="M91" s="21" t="b">
        <v>1</v>
      </c>
    </row>
    <row r="92" spans="1:13">
      <c r="A92" s="21" t="s">
        <v>228</v>
      </c>
      <c r="B92" s="21">
        <f t="shared" ref="B92:B123" si="32">QUOTIENT( D92-1,G93)+1</f>
        <v>1</v>
      </c>
      <c r="C92" s="21">
        <f t="shared" ref="C92" si="33">D92-(B92-1)*G93</f>
        <v>8</v>
      </c>
      <c r="D92" s="21">
        <f>COUNT($D$14:$D91)+1</f>
        <v>8</v>
      </c>
    </row>
    <row r="93" spans="1:13">
      <c r="E93" s="21">
        <f t="shared" ref="E93:E124" si="34">ROW(E93)</f>
        <v>93</v>
      </c>
      <c r="F93" s="9" t="s">
        <v>93</v>
      </c>
      <c r="G93" s="21">
        <v>20</v>
      </c>
      <c r="H93" s="21">
        <v>1</v>
      </c>
      <c r="J93" s="9">
        <v>17700</v>
      </c>
      <c r="M93" s="21">
        <f t="shared" ref="M93:M124" si="35">J93+D92</f>
        <v>17708</v>
      </c>
    </row>
    <row r="94" spans="1:13">
      <c r="E94" s="21">
        <f t="shared" si="31"/>
        <v>94</v>
      </c>
      <c r="F94" s="9" t="s">
        <v>143</v>
      </c>
      <c r="M94" s="21">
        <v>173108</v>
      </c>
    </row>
    <row r="95" spans="1:13">
      <c r="E95" s="21">
        <f t="shared" si="31"/>
        <v>95</v>
      </c>
      <c r="F95" s="9" t="s">
        <v>127</v>
      </c>
      <c r="M95" s="21">
        <v>0</v>
      </c>
    </row>
    <row r="96" spans="1:13">
      <c r="E96" s="21">
        <f t="shared" si="31"/>
        <v>96</v>
      </c>
      <c r="F96" s="9" t="s">
        <v>29</v>
      </c>
      <c r="M96" s="21" t="s">
        <v>250</v>
      </c>
    </row>
    <row r="97" spans="1:13">
      <c r="E97" s="21">
        <f t="shared" si="31"/>
        <v>97</v>
      </c>
      <c r="F97" s="9" t="s">
        <v>119</v>
      </c>
      <c r="M97" s="21" t="s">
        <v>252</v>
      </c>
    </row>
    <row r="98" spans="1:13">
      <c r="E98" s="21">
        <f t="shared" si="31"/>
        <v>98</v>
      </c>
      <c r="F98" s="9" t="s">
        <v>99</v>
      </c>
      <c r="K98" s="9" t="s">
        <v>138</v>
      </c>
      <c r="M98" s="21">
        <v>2</v>
      </c>
    </row>
    <row r="99" spans="1:13">
      <c r="E99" s="21">
        <f t="shared" si="31"/>
        <v>99</v>
      </c>
      <c r="F99" s="9" t="s">
        <v>31</v>
      </c>
      <c r="L99" s="9" t="s">
        <v>136</v>
      </c>
      <c r="M99" s="21" t="s">
        <v>248</v>
      </c>
    </row>
    <row r="100" spans="1:13">
      <c r="E100" s="21">
        <f t="shared" si="31"/>
        <v>100</v>
      </c>
      <c r="F100" s="9" t="s">
        <v>183</v>
      </c>
      <c r="G100" s="21">
        <v>360</v>
      </c>
      <c r="L100" s="9" t="s">
        <v>135</v>
      </c>
      <c r="M100" s="21">
        <f t="shared" ref="M100" si="36">G100/G93*C92</f>
        <v>144</v>
      </c>
    </row>
    <row r="101" spans="1:13">
      <c r="E101" s="21">
        <f t="shared" si="31"/>
        <v>101</v>
      </c>
      <c r="F101" s="9" t="s">
        <v>30</v>
      </c>
      <c r="M101" s="21">
        <v>1</v>
      </c>
    </row>
    <row r="102" spans="1:13">
      <c r="E102" s="21">
        <f t="shared" si="31"/>
        <v>102</v>
      </c>
      <c r="F102" s="9" t="s">
        <v>115</v>
      </c>
      <c r="M102" s="21" t="b">
        <v>1</v>
      </c>
    </row>
    <row r="103" spans="1:13">
      <c r="A103" s="21" t="s">
        <v>228</v>
      </c>
      <c r="B103" s="21">
        <f t="shared" ref="B103:B134" si="37">QUOTIENT( D103-1,G104)+1</f>
        <v>1</v>
      </c>
      <c r="C103" s="21">
        <f t="shared" ref="C103" si="38">D103-(B103-1)*G104</f>
        <v>9</v>
      </c>
      <c r="D103" s="21">
        <f>COUNT($D$14:$D102)+1</f>
        <v>9</v>
      </c>
    </row>
    <row r="104" spans="1:13">
      <c r="E104" s="21">
        <f t="shared" ref="E104:E135" si="39">ROW(E104)</f>
        <v>104</v>
      </c>
      <c r="F104" s="9" t="s">
        <v>93</v>
      </c>
      <c r="G104" s="21">
        <v>20</v>
      </c>
      <c r="H104" s="21">
        <v>1</v>
      </c>
      <c r="J104" s="9">
        <v>17700</v>
      </c>
      <c r="M104" s="21">
        <f t="shared" ref="M104:M135" si="40">J104+D103</f>
        <v>17709</v>
      </c>
    </row>
    <row r="105" spans="1:13">
      <c r="E105" s="21">
        <f t="shared" si="31"/>
        <v>105</v>
      </c>
      <c r="F105" s="9" t="s">
        <v>143</v>
      </c>
      <c r="M105" s="21">
        <v>173108</v>
      </c>
    </row>
    <row r="106" spans="1:13">
      <c r="E106" s="21">
        <f t="shared" si="31"/>
        <v>106</v>
      </c>
      <c r="F106" s="9" t="s">
        <v>127</v>
      </c>
      <c r="M106" s="21">
        <v>0</v>
      </c>
    </row>
    <row r="107" spans="1:13">
      <c r="E107" s="21">
        <f t="shared" si="31"/>
        <v>107</v>
      </c>
      <c r="F107" s="9" t="s">
        <v>29</v>
      </c>
      <c r="M107" s="21" t="s">
        <v>250</v>
      </c>
    </row>
    <row r="108" spans="1:13">
      <c r="E108" s="21">
        <f t="shared" si="31"/>
        <v>108</v>
      </c>
      <c r="F108" s="9" t="s">
        <v>119</v>
      </c>
      <c r="M108" s="21" t="s">
        <v>252</v>
      </c>
    </row>
    <row r="109" spans="1:13">
      <c r="E109" s="21">
        <f t="shared" si="31"/>
        <v>109</v>
      </c>
      <c r="F109" s="9" t="s">
        <v>99</v>
      </c>
      <c r="K109" s="9" t="s">
        <v>138</v>
      </c>
      <c r="M109" s="21">
        <v>2</v>
      </c>
    </row>
    <row r="110" spans="1:13">
      <c r="E110" s="21">
        <f t="shared" si="31"/>
        <v>110</v>
      </c>
      <c r="F110" s="9" t="s">
        <v>31</v>
      </c>
      <c r="L110" s="9" t="s">
        <v>136</v>
      </c>
      <c r="M110" s="21" t="s">
        <v>248</v>
      </c>
    </row>
    <row r="111" spans="1:13">
      <c r="E111" s="21">
        <f t="shared" si="31"/>
        <v>111</v>
      </c>
      <c r="F111" s="9" t="s">
        <v>183</v>
      </c>
      <c r="G111" s="21">
        <v>360</v>
      </c>
      <c r="L111" s="9" t="s">
        <v>135</v>
      </c>
      <c r="M111" s="21">
        <f t="shared" ref="M111" si="41">G111/G104*C103</f>
        <v>162</v>
      </c>
    </row>
    <row r="112" spans="1:13">
      <c r="E112" s="21">
        <f t="shared" si="31"/>
        <v>112</v>
      </c>
      <c r="F112" s="9" t="s">
        <v>30</v>
      </c>
      <c r="M112" s="21">
        <v>1</v>
      </c>
    </row>
    <row r="113" spans="1:13">
      <c r="E113" s="21">
        <f t="shared" si="31"/>
        <v>113</v>
      </c>
      <c r="F113" s="9" t="s">
        <v>115</v>
      </c>
      <c r="M113" s="21" t="b">
        <v>1</v>
      </c>
    </row>
    <row r="114" spans="1:13">
      <c r="A114" s="21" t="s">
        <v>228</v>
      </c>
      <c r="B114" s="21">
        <f t="shared" ref="B114:B145" si="42">QUOTIENT( D114-1,G115)+1</f>
        <v>1</v>
      </c>
      <c r="C114" s="21">
        <f t="shared" ref="C114" si="43">D114-(B114-1)*G115</f>
        <v>10</v>
      </c>
      <c r="D114" s="21">
        <f>COUNT($D$14:$D113)+1</f>
        <v>10</v>
      </c>
    </row>
    <row r="115" spans="1:13">
      <c r="E115" s="21">
        <f t="shared" ref="E115:E146" si="44">ROW(E115)</f>
        <v>115</v>
      </c>
      <c r="F115" s="9" t="s">
        <v>93</v>
      </c>
      <c r="G115" s="21">
        <v>20</v>
      </c>
      <c r="H115" s="21">
        <v>1</v>
      </c>
      <c r="J115" s="9">
        <v>17700</v>
      </c>
      <c r="M115" s="21">
        <f t="shared" ref="M115:M146" si="45">J115+D114</f>
        <v>17710</v>
      </c>
    </row>
    <row r="116" spans="1:13">
      <c r="E116" s="21">
        <f t="shared" si="31"/>
        <v>116</v>
      </c>
      <c r="F116" s="9" t="s">
        <v>143</v>
      </c>
      <c r="M116" s="21">
        <v>173108</v>
      </c>
    </row>
    <row r="117" spans="1:13">
      <c r="E117" s="21">
        <f t="shared" si="31"/>
        <v>117</v>
      </c>
      <c r="F117" s="9" t="s">
        <v>127</v>
      </c>
      <c r="M117" s="21">
        <v>0</v>
      </c>
    </row>
    <row r="118" spans="1:13">
      <c r="E118" s="21">
        <f t="shared" si="31"/>
        <v>118</v>
      </c>
      <c r="F118" s="9" t="s">
        <v>29</v>
      </c>
      <c r="M118" s="21" t="s">
        <v>250</v>
      </c>
    </row>
    <row r="119" spans="1:13">
      <c r="E119" s="21">
        <f t="shared" si="31"/>
        <v>119</v>
      </c>
      <c r="F119" s="9" t="s">
        <v>119</v>
      </c>
      <c r="M119" s="21" t="s">
        <v>252</v>
      </c>
    </row>
    <row r="120" spans="1:13">
      <c r="E120" s="21">
        <f t="shared" si="31"/>
        <v>120</v>
      </c>
      <c r="F120" s="9" t="s">
        <v>99</v>
      </c>
      <c r="K120" s="9" t="s">
        <v>138</v>
      </c>
      <c r="M120" s="21">
        <v>2</v>
      </c>
    </row>
    <row r="121" spans="1:13">
      <c r="E121" s="21">
        <f t="shared" si="31"/>
        <v>121</v>
      </c>
      <c r="F121" s="9" t="s">
        <v>31</v>
      </c>
      <c r="L121" s="9" t="s">
        <v>136</v>
      </c>
      <c r="M121" s="21" t="s">
        <v>248</v>
      </c>
    </row>
    <row r="122" spans="1:13">
      <c r="E122" s="21">
        <f t="shared" si="31"/>
        <v>122</v>
      </c>
      <c r="F122" s="9" t="s">
        <v>183</v>
      </c>
      <c r="G122" s="21">
        <v>360</v>
      </c>
      <c r="L122" s="9" t="s">
        <v>135</v>
      </c>
      <c r="M122" s="21">
        <f t="shared" ref="M122" si="46">G122/G115*C114</f>
        <v>180</v>
      </c>
    </row>
    <row r="123" spans="1:13">
      <c r="E123" s="21">
        <f t="shared" si="31"/>
        <v>123</v>
      </c>
      <c r="F123" s="9" t="s">
        <v>30</v>
      </c>
      <c r="M123" s="21">
        <v>1</v>
      </c>
    </row>
    <row r="124" spans="1:13">
      <c r="E124" s="21">
        <f t="shared" si="31"/>
        <v>124</v>
      </c>
      <c r="F124" s="9" t="s">
        <v>115</v>
      </c>
      <c r="M124" s="21" t="b">
        <v>1</v>
      </c>
    </row>
    <row r="125" spans="1:13">
      <c r="A125" s="21" t="s">
        <v>228</v>
      </c>
      <c r="B125" s="21">
        <f t="shared" ref="B125:B156" si="47">QUOTIENT( D125-1,G126)+1</f>
        <v>1</v>
      </c>
      <c r="C125" s="21">
        <f t="shared" ref="C125" si="48">D125-(B125-1)*G126</f>
        <v>11</v>
      </c>
      <c r="D125" s="21">
        <f>COUNT($D$14:$D124)+1</f>
        <v>11</v>
      </c>
    </row>
    <row r="126" spans="1:13">
      <c r="E126" s="21">
        <f t="shared" ref="E126:E157" si="49">ROW(E126)</f>
        <v>126</v>
      </c>
      <c r="F126" s="9" t="s">
        <v>93</v>
      </c>
      <c r="G126" s="21">
        <v>20</v>
      </c>
      <c r="H126" s="21">
        <v>1</v>
      </c>
      <c r="J126" s="9">
        <v>17700</v>
      </c>
      <c r="M126" s="21">
        <f t="shared" ref="M126:M157" si="50">J126+D125</f>
        <v>17711</v>
      </c>
    </row>
    <row r="127" spans="1:13">
      <c r="E127" s="21">
        <f t="shared" si="31"/>
        <v>127</v>
      </c>
      <c r="F127" s="9" t="s">
        <v>143</v>
      </c>
      <c r="M127" s="21">
        <v>173108</v>
      </c>
    </row>
    <row r="128" spans="1:13">
      <c r="E128" s="21">
        <f t="shared" si="31"/>
        <v>128</v>
      </c>
      <c r="F128" s="9" t="s">
        <v>127</v>
      </c>
      <c r="M128" s="21">
        <v>0</v>
      </c>
    </row>
    <row r="129" spans="1:13">
      <c r="E129" s="21">
        <f t="shared" si="31"/>
        <v>129</v>
      </c>
      <c r="F129" s="9" t="s">
        <v>29</v>
      </c>
      <c r="M129" s="21" t="s">
        <v>250</v>
      </c>
    </row>
    <row r="130" spans="1:13">
      <c r="E130" s="21">
        <f t="shared" si="31"/>
        <v>130</v>
      </c>
      <c r="F130" s="9" t="s">
        <v>119</v>
      </c>
      <c r="M130" s="21" t="s">
        <v>252</v>
      </c>
    </row>
    <row r="131" spans="1:13">
      <c r="E131" s="21">
        <f t="shared" si="31"/>
        <v>131</v>
      </c>
      <c r="F131" s="9" t="s">
        <v>99</v>
      </c>
      <c r="K131" s="9" t="s">
        <v>138</v>
      </c>
      <c r="M131" s="21">
        <v>2</v>
      </c>
    </row>
    <row r="132" spans="1:13">
      <c r="E132" s="21">
        <f t="shared" si="31"/>
        <v>132</v>
      </c>
      <c r="F132" s="9" t="s">
        <v>31</v>
      </c>
      <c r="L132" s="9" t="s">
        <v>136</v>
      </c>
      <c r="M132" s="21" t="s">
        <v>248</v>
      </c>
    </row>
    <row r="133" spans="1:13">
      <c r="E133" s="21">
        <f t="shared" si="31"/>
        <v>133</v>
      </c>
      <c r="F133" s="9" t="s">
        <v>183</v>
      </c>
      <c r="G133" s="21">
        <v>360</v>
      </c>
      <c r="L133" s="9" t="s">
        <v>135</v>
      </c>
      <c r="M133" s="21">
        <f t="shared" ref="M133" si="51">G133/G126*C125</f>
        <v>198</v>
      </c>
    </row>
    <row r="134" spans="1:13">
      <c r="E134" s="21">
        <f t="shared" si="31"/>
        <v>134</v>
      </c>
      <c r="F134" s="9" t="s">
        <v>30</v>
      </c>
      <c r="M134" s="21">
        <v>1</v>
      </c>
    </row>
    <row r="135" spans="1:13">
      <c r="E135" s="21">
        <f t="shared" si="31"/>
        <v>135</v>
      </c>
      <c r="F135" s="9" t="s">
        <v>115</v>
      </c>
      <c r="M135" s="21" t="b">
        <v>1</v>
      </c>
    </row>
    <row r="136" spans="1:13">
      <c r="A136" s="21" t="s">
        <v>228</v>
      </c>
      <c r="B136" s="21">
        <f t="shared" ref="B136:B167" si="52">QUOTIENT( D136-1,G137)+1</f>
        <v>1</v>
      </c>
      <c r="C136" s="21">
        <f t="shared" ref="C136" si="53">D136-(B136-1)*G137</f>
        <v>12</v>
      </c>
      <c r="D136" s="21">
        <f>COUNT($D$14:$D135)+1</f>
        <v>12</v>
      </c>
    </row>
    <row r="137" spans="1:13">
      <c r="E137" s="21">
        <f t="shared" ref="E137:E168" si="54">ROW(E137)</f>
        <v>137</v>
      </c>
      <c r="F137" s="9" t="s">
        <v>93</v>
      </c>
      <c r="G137" s="21">
        <v>20</v>
      </c>
      <c r="H137" s="21">
        <v>1</v>
      </c>
      <c r="J137" s="9">
        <v>17700</v>
      </c>
      <c r="M137" s="21">
        <f t="shared" ref="M137:M168" si="55">J137+D136</f>
        <v>17712</v>
      </c>
    </row>
    <row r="138" spans="1:13">
      <c r="E138" s="21">
        <f t="shared" si="31"/>
        <v>138</v>
      </c>
      <c r="F138" s="9" t="s">
        <v>143</v>
      </c>
      <c r="M138" s="21">
        <v>173108</v>
      </c>
    </row>
    <row r="139" spans="1:13">
      <c r="E139" s="21">
        <f t="shared" si="31"/>
        <v>139</v>
      </c>
      <c r="F139" s="9" t="s">
        <v>127</v>
      </c>
      <c r="M139" s="21">
        <v>0</v>
      </c>
    </row>
    <row r="140" spans="1:13">
      <c r="E140" s="21">
        <f t="shared" si="31"/>
        <v>140</v>
      </c>
      <c r="F140" s="9" t="s">
        <v>29</v>
      </c>
      <c r="M140" s="21" t="s">
        <v>250</v>
      </c>
    </row>
    <row r="141" spans="1:13">
      <c r="E141" s="21">
        <f t="shared" si="31"/>
        <v>141</v>
      </c>
      <c r="F141" s="9" t="s">
        <v>119</v>
      </c>
      <c r="M141" s="21" t="s">
        <v>252</v>
      </c>
    </row>
    <row r="142" spans="1:13">
      <c r="E142" s="21">
        <f t="shared" si="31"/>
        <v>142</v>
      </c>
      <c r="F142" s="9" t="s">
        <v>99</v>
      </c>
      <c r="K142" s="9" t="s">
        <v>138</v>
      </c>
      <c r="M142" s="21">
        <v>2</v>
      </c>
    </row>
    <row r="143" spans="1:13">
      <c r="E143" s="21">
        <f t="shared" si="31"/>
        <v>143</v>
      </c>
      <c r="F143" s="9" t="s">
        <v>31</v>
      </c>
      <c r="L143" s="9" t="s">
        <v>136</v>
      </c>
      <c r="M143" s="21" t="s">
        <v>248</v>
      </c>
    </row>
    <row r="144" spans="1:13">
      <c r="E144" s="21">
        <f t="shared" si="31"/>
        <v>144</v>
      </c>
      <c r="F144" s="9" t="s">
        <v>183</v>
      </c>
      <c r="G144" s="21">
        <v>360</v>
      </c>
      <c r="L144" s="9" t="s">
        <v>135</v>
      </c>
      <c r="M144" s="21">
        <f t="shared" ref="M144" si="56">G144/G137*C136</f>
        <v>216</v>
      </c>
    </row>
    <row r="145" spans="1:13">
      <c r="E145" s="21">
        <f t="shared" si="31"/>
        <v>145</v>
      </c>
      <c r="F145" s="9" t="s">
        <v>30</v>
      </c>
      <c r="M145" s="21">
        <v>1</v>
      </c>
    </row>
    <row r="146" spans="1:13">
      <c r="E146" s="21">
        <f t="shared" si="31"/>
        <v>146</v>
      </c>
      <c r="F146" s="9" t="s">
        <v>115</v>
      </c>
      <c r="M146" s="21" t="b">
        <v>1</v>
      </c>
    </row>
    <row r="147" spans="1:13">
      <c r="A147" s="21" t="s">
        <v>228</v>
      </c>
      <c r="B147" s="21">
        <f t="shared" ref="B147:B178" si="57">QUOTIENT( D147-1,G148)+1</f>
        <v>1</v>
      </c>
      <c r="C147" s="21">
        <f t="shared" ref="C147" si="58">D147-(B147-1)*G148</f>
        <v>13</v>
      </c>
      <c r="D147" s="21">
        <f>COUNT($D$14:$D146)+1</f>
        <v>13</v>
      </c>
    </row>
    <row r="148" spans="1:13">
      <c r="E148" s="21">
        <f t="shared" ref="E148:E179" si="59">ROW(E148)</f>
        <v>148</v>
      </c>
      <c r="F148" s="9" t="s">
        <v>93</v>
      </c>
      <c r="G148" s="21">
        <v>20</v>
      </c>
      <c r="H148" s="21">
        <v>1</v>
      </c>
      <c r="J148" s="9">
        <v>17700</v>
      </c>
      <c r="M148" s="21">
        <f t="shared" ref="M148:M179" si="60">J148+D147</f>
        <v>17713</v>
      </c>
    </row>
    <row r="149" spans="1:13">
      <c r="E149" s="21">
        <f t="shared" si="31"/>
        <v>149</v>
      </c>
      <c r="F149" s="9" t="s">
        <v>143</v>
      </c>
      <c r="M149" s="21">
        <v>173108</v>
      </c>
    </row>
    <row r="150" spans="1:13">
      <c r="E150" s="21">
        <f t="shared" si="31"/>
        <v>150</v>
      </c>
      <c r="F150" s="9" t="s">
        <v>127</v>
      </c>
      <c r="M150" s="21">
        <v>0</v>
      </c>
    </row>
    <row r="151" spans="1:13">
      <c r="E151" s="21">
        <f t="shared" si="31"/>
        <v>151</v>
      </c>
      <c r="F151" s="9" t="s">
        <v>29</v>
      </c>
      <c r="M151" s="21" t="s">
        <v>250</v>
      </c>
    </row>
    <row r="152" spans="1:13">
      <c r="E152" s="21">
        <f t="shared" si="31"/>
        <v>152</v>
      </c>
      <c r="F152" s="9" t="s">
        <v>119</v>
      </c>
      <c r="M152" s="21" t="s">
        <v>252</v>
      </c>
    </row>
    <row r="153" spans="1:13">
      <c r="E153" s="21">
        <f t="shared" si="31"/>
        <v>153</v>
      </c>
      <c r="F153" s="9" t="s">
        <v>99</v>
      </c>
      <c r="K153" s="9" t="s">
        <v>138</v>
      </c>
      <c r="M153" s="21">
        <v>2</v>
      </c>
    </row>
    <row r="154" spans="1:13">
      <c r="E154" s="21">
        <f t="shared" si="31"/>
        <v>154</v>
      </c>
      <c r="F154" s="9" t="s">
        <v>31</v>
      </c>
      <c r="L154" s="9" t="s">
        <v>136</v>
      </c>
      <c r="M154" s="21" t="s">
        <v>248</v>
      </c>
    </row>
    <row r="155" spans="1:13">
      <c r="E155" s="21">
        <f t="shared" ref="E155:E218" si="61">ROW(E155)</f>
        <v>155</v>
      </c>
      <c r="F155" s="9" t="s">
        <v>183</v>
      </c>
      <c r="G155" s="21">
        <v>360</v>
      </c>
      <c r="L155" s="9" t="s">
        <v>135</v>
      </c>
      <c r="M155" s="21">
        <f t="shared" ref="M155" si="62">G155/G148*C147</f>
        <v>234</v>
      </c>
    </row>
    <row r="156" spans="1:13">
      <c r="E156" s="21">
        <f t="shared" si="61"/>
        <v>156</v>
      </c>
      <c r="F156" s="9" t="s">
        <v>30</v>
      </c>
      <c r="M156" s="21">
        <v>1</v>
      </c>
    </row>
    <row r="157" spans="1:13">
      <c r="E157" s="21">
        <f t="shared" si="61"/>
        <v>157</v>
      </c>
      <c r="F157" s="9" t="s">
        <v>115</v>
      </c>
      <c r="M157" s="21" t="b">
        <v>1</v>
      </c>
    </row>
    <row r="158" spans="1:13">
      <c r="A158" s="21" t="s">
        <v>228</v>
      </c>
      <c r="B158" s="21">
        <f t="shared" ref="B158:B189" si="63">QUOTIENT( D158-1,G159)+1</f>
        <v>1</v>
      </c>
      <c r="C158" s="21">
        <f t="shared" ref="C158" si="64">D158-(B158-1)*G159</f>
        <v>14</v>
      </c>
      <c r="D158" s="21">
        <f>COUNT($D$14:$D157)+1</f>
        <v>14</v>
      </c>
    </row>
    <row r="159" spans="1:13">
      <c r="E159" s="21">
        <f t="shared" ref="E159:E190" si="65">ROW(E159)</f>
        <v>159</v>
      </c>
      <c r="F159" s="9" t="s">
        <v>93</v>
      </c>
      <c r="G159" s="21">
        <v>20</v>
      </c>
      <c r="H159" s="21">
        <v>1</v>
      </c>
      <c r="J159" s="9">
        <v>17700</v>
      </c>
      <c r="M159" s="21">
        <f t="shared" ref="M159:M190" si="66">J159+D158</f>
        <v>17714</v>
      </c>
    </row>
    <row r="160" spans="1:13">
      <c r="E160" s="21">
        <f t="shared" si="61"/>
        <v>160</v>
      </c>
      <c r="F160" s="9" t="s">
        <v>143</v>
      </c>
      <c r="M160" s="21">
        <v>173108</v>
      </c>
    </row>
    <row r="161" spans="1:13">
      <c r="E161" s="21">
        <f t="shared" si="61"/>
        <v>161</v>
      </c>
      <c r="F161" s="9" t="s">
        <v>127</v>
      </c>
      <c r="M161" s="21">
        <v>0</v>
      </c>
    </row>
    <row r="162" spans="1:13">
      <c r="E162" s="21">
        <f t="shared" si="61"/>
        <v>162</v>
      </c>
      <c r="F162" s="9" t="s">
        <v>29</v>
      </c>
      <c r="M162" s="21" t="s">
        <v>250</v>
      </c>
    </row>
    <row r="163" spans="1:13">
      <c r="E163" s="21">
        <f t="shared" si="61"/>
        <v>163</v>
      </c>
      <c r="F163" s="9" t="s">
        <v>119</v>
      </c>
      <c r="M163" s="21" t="s">
        <v>252</v>
      </c>
    </row>
    <row r="164" spans="1:13">
      <c r="E164" s="21">
        <f t="shared" si="61"/>
        <v>164</v>
      </c>
      <c r="F164" s="9" t="s">
        <v>99</v>
      </c>
      <c r="K164" s="9" t="s">
        <v>138</v>
      </c>
      <c r="M164" s="21">
        <v>2</v>
      </c>
    </row>
    <row r="165" spans="1:13">
      <c r="E165" s="21">
        <f t="shared" si="61"/>
        <v>165</v>
      </c>
      <c r="F165" s="9" t="s">
        <v>31</v>
      </c>
      <c r="L165" s="9" t="s">
        <v>136</v>
      </c>
      <c r="M165" s="21" t="s">
        <v>248</v>
      </c>
    </row>
    <row r="166" spans="1:13">
      <c r="E166" s="21">
        <f t="shared" si="61"/>
        <v>166</v>
      </c>
      <c r="F166" s="9" t="s">
        <v>183</v>
      </c>
      <c r="G166" s="21">
        <v>360</v>
      </c>
      <c r="L166" s="9" t="s">
        <v>135</v>
      </c>
      <c r="M166" s="21">
        <f t="shared" ref="M166" si="67">G166/G159*C158</f>
        <v>252</v>
      </c>
    </row>
    <row r="167" spans="1:13">
      <c r="E167" s="21">
        <f t="shared" si="61"/>
        <v>167</v>
      </c>
      <c r="F167" s="9" t="s">
        <v>30</v>
      </c>
      <c r="M167" s="21">
        <v>1</v>
      </c>
    </row>
    <row r="168" spans="1:13">
      <c r="E168" s="21">
        <f t="shared" si="61"/>
        <v>168</v>
      </c>
      <c r="F168" s="9" t="s">
        <v>115</v>
      </c>
      <c r="M168" s="21" t="b">
        <v>1</v>
      </c>
    </row>
    <row r="169" spans="1:13">
      <c r="A169" s="21" t="s">
        <v>228</v>
      </c>
      <c r="B169" s="21">
        <f t="shared" ref="B169:B200" si="68">QUOTIENT( D169-1,G170)+1</f>
        <v>1</v>
      </c>
      <c r="C169" s="21">
        <f t="shared" ref="C169" si="69">D169-(B169-1)*G170</f>
        <v>15</v>
      </c>
      <c r="D169" s="21">
        <f>COUNT($D$14:$D168)+1</f>
        <v>15</v>
      </c>
    </row>
    <row r="170" spans="1:13">
      <c r="E170" s="21">
        <f t="shared" ref="E170:E201" si="70">ROW(E170)</f>
        <v>170</v>
      </c>
      <c r="F170" s="9" t="s">
        <v>93</v>
      </c>
      <c r="G170" s="21">
        <v>20</v>
      </c>
      <c r="H170" s="21">
        <v>1</v>
      </c>
      <c r="J170" s="9">
        <v>17700</v>
      </c>
      <c r="M170" s="21">
        <f t="shared" ref="M170:M201" si="71">J170+D169</f>
        <v>17715</v>
      </c>
    </row>
    <row r="171" spans="1:13">
      <c r="E171" s="21">
        <f t="shared" si="61"/>
        <v>171</v>
      </c>
      <c r="F171" s="9" t="s">
        <v>143</v>
      </c>
      <c r="M171" s="21">
        <v>173108</v>
      </c>
    </row>
    <row r="172" spans="1:13">
      <c r="E172" s="21">
        <f t="shared" si="61"/>
        <v>172</v>
      </c>
      <c r="F172" s="9" t="s">
        <v>127</v>
      </c>
      <c r="M172" s="21">
        <v>0</v>
      </c>
    </row>
    <row r="173" spans="1:13">
      <c r="E173" s="21">
        <f t="shared" si="61"/>
        <v>173</v>
      </c>
      <c r="F173" s="9" t="s">
        <v>29</v>
      </c>
      <c r="M173" s="21" t="s">
        <v>250</v>
      </c>
    </row>
    <row r="174" spans="1:13">
      <c r="E174" s="21">
        <f t="shared" si="61"/>
        <v>174</v>
      </c>
      <c r="F174" s="9" t="s">
        <v>119</v>
      </c>
      <c r="M174" s="21" t="s">
        <v>252</v>
      </c>
    </row>
    <row r="175" spans="1:13">
      <c r="E175" s="21">
        <f t="shared" si="61"/>
        <v>175</v>
      </c>
      <c r="F175" s="9" t="s">
        <v>99</v>
      </c>
      <c r="K175" s="9" t="s">
        <v>138</v>
      </c>
      <c r="M175" s="21">
        <v>2</v>
      </c>
    </row>
    <row r="176" spans="1:13">
      <c r="E176" s="21">
        <f t="shared" si="61"/>
        <v>176</v>
      </c>
      <c r="F176" s="9" t="s">
        <v>31</v>
      </c>
      <c r="L176" s="9" t="s">
        <v>136</v>
      </c>
      <c r="M176" s="21" t="s">
        <v>248</v>
      </c>
    </row>
    <row r="177" spans="1:13">
      <c r="E177" s="21">
        <f t="shared" si="61"/>
        <v>177</v>
      </c>
      <c r="F177" s="9" t="s">
        <v>183</v>
      </c>
      <c r="G177" s="21">
        <v>360</v>
      </c>
      <c r="L177" s="9" t="s">
        <v>135</v>
      </c>
      <c r="M177" s="21">
        <f t="shared" ref="M177" si="72">G177/G170*C169</f>
        <v>270</v>
      </c>
    </row>
    <row r="178" spans="1:13">
      <c r="E178" s="21">
        <f t="shared" si="61"/>
        <v>178</v>
      </c>
      <c r="F178" s="9" t="s">
        <v>30</v>
      </c>
      <c r="M178" s="21">
        <v>1</v>
      </c>
    </row>
    <row r="179" spans="1:13">
      <c r="E179" s="21">
        <f t="shared" si="61"/>
        <v>179</v>
      </c>
      <c r="F179" s="9" t="s">
        <v>115</v>
      </c>
      <c r="M179" s="21" t="b">
        <v>1</v>
      </c>
    </row>
    <row r="180" spans="1:13">
      <c r="A180" s="21" t="s">
        <v>228</v>
      </c>
      <c r="B180" s="21">
        <f t="shared" ref="B180:B211" si="73">QUOTIENT( D180-1,G181)+1</f>
        <v>1</v>
      </c>
      <c r="C180" s="21">
        <f t="shared" ref="C180" si="74">D180-(B180-1)*G181</f>
        <v>16</v>
      </c>
      <c r="D180" s="21">
        <f>COUNT($D$14:$D179)+1</f>
        <v>16</v>
      </c>
    </row>
    <row r="181" spans="1:13">
      <c r="E181" s="21">
        <f t="shared" ref="E181:E212" si="75">ROW(E181)</f>
        <v>181</v>
      </c>
      <c r="F181" s="9" t="s">
        <v>93</v>
      </c>
      <c r="G181" s="21">
        <v>20</v>
      </c>
      <c r="H181" s="21">
        <v>1</v>
      </c>
      <c r="J181" s="9">
        <v>17700</v>
      </c>
      <c r="M181" s="21">
        <f t="shared" ref="M181:M212" si="76">J181+D180</f>
        <v>17716</v>
      </c>
    </row>
    <row r="182" spans="1:13">
      <c r="E182" s="21">
        <f t="shared" si="61"/>
        <v>182</v>
      </c>
      <c r="F182" s="9" t="s">
        <v>143</v>
      </c>
      <c r="M182" s="21">
        <v>173108</v>
      </c>
    </row>
    <row r="183" spans="1:13">
      <c r="E183" s="21">
        <f t="shared" si="61"/>
        <v>183</v>
      </c>
      <c r="F183" s="9" t="s">
        <v>127</v>
      </c>
      <c r="M183" s="21">
        <v>0</v>
      </c>
    </row>
    <row r="184" spans="1:13">
      <c r="E184" s="21">
        <f t="shared" si="61"/>
        <v>184</v>
      </c>
      <c r="F184" s="9" t="s">
        <v>29</v>
      </c>
      <c r="M184" s="21" t="s">
        <v>250</v>
      </c>
    </row>
    <row r="185" spans="1:13">
      <c r="E185" s="21">
        <f t="shared" si="61"/>
        <v>185</v>
      </c>
      <c r="F185" s="9" t="s">
        <v>119</v>
      </c>
      <c r="M185" s="21" t="s">
        <v>252</v>
      </c>
    </row>
    <row r="186" spans="1:13">
      <c r="E186" s="21">
        <f t="shared" si="61"/>
        <v>186</v>
      </c>
      <c r="F186" s="9" t="s">
        <v>99</v>
      </c>
      <c r="K186" s="9" t="s">
        <v>138</v>
      </c>
      <c r="M186" s="21">
        <v>2</v>
      </c>
    </row>
    <row r="187" spans="1:13">
      <c r="E187" s="21">
        <f t="shared" si="61"/>
        <v>187</v>
      </c>
      <c r="F187" s="9" t="s">
        <v>31</v>
      </c>
      <c r="L187" s="9" t="s">
        <v>136</v>
      </c>
      <c r="M187" s="21" t="s">
        <v>248</v>
      </c>
    </row>
    <row r="188" spans="1:13">
      <c r="E188" s="21">
        <f t="shared" si="61"/>
        <v>188</v>
      </c>
      <c r="F188" s="9" t="s">
        <v>183</v>
      </c>
      <c r="G188" s="21">
        <v>360</v>
      </c>
      <c r="L188" s="9" t="s">
        <v>135</v>
      </c>
      <c r="M188" s="21">
        <f t="shared" ref="M188" si="77">G188/G181*C180</f>
        <v>288</v>
      </c>
    </row>
    <row r="189" spans="1:13">
      <c r="E189" s="21">
        <f t="shared" si="61"/>
        <v>189</v>
      </c>
      <c r="F189" s="9" t="s">
        <v>30</v>
      </c>
      <c r="M189" s="21">
        <v>1</v>
      </c>
    </row>
    <row r="190" spans="1:13">
      <c r="E190" s="21">
        <f t="shared" si="61"/>
        <v>190</v>
      </c>
      <c r="F190" s="9" t="s">
        <v>115</v>
      </c>
      <c r="M190" s="21" t="b">
        <v>1</v>
      </c>
    </row>
    <row r="191" spans="1:13">
      <c r="A191" s="21" t="s">
        <v>228</v>
      </c>
      <c r="B191" s="21">
        <f t="shared" ref="B191:B234" si="78">QUOTIENT( D191-1,G192)+1</f>
        <v>1</v>
      </c>
      <c r="C191" s="21">
        <f t="shared" ref="C191" si="79">D191-(B191-1)*G192</f>
        <v>17</v>
      </c>
      <c r="D191" s="21">
        <f>COUNT($D$14:$D190)+1</f>
        <v>17</v>
      </c>
    </row>
    <row r="192" spans="1:13">
      <c r="E192" s="21">
        <f t="shared" ref="E192:E234" si="80">ROW(E192)</f>
        <v>192</v>
      </c>
      <c r="F192" s="9" t="s">
        <v>93</v>
      </c>
      <c r="G192" s="21">
        <v>20</v>
      </c>
      <c r="H192" s="21">
        <v>1</v>
      </c>
      <c r="J192" s="9">
        <v>17700</v>
      </c>
      <c r="M192" s="21">
        <f t="shared" ref="M192:M234" si="81">J192+D191</f>
        <v>17717</v>
      </c>
    </row>
    <row r="193" spans="1:13">
      <c r="E193" s="21">
        <f t="shared" si="61"/>
        <v>193</v>
      </c>
      <c r="F193" s="9" t="s">
        <v>143</v>
      </c>
      <c r="M193" s="21">
        <v>173108</v>
      </c>
    </row>
    <row r="194" spans="1:13">
      <c r="E194" s="21">
        <f t="shared" si="61"/>
        <v>194</v>
      </c>
      <c r="F194" s="9" t="s">
        <v>127</v>
      </c>
      <c r="M194" s="21">
        <v>0</v>
      </c>
    </row>
    <row r="195" spans="1:13">
      <c r="E195" s="21">
        <f t="shared" si="61"/>
        <v>195</v>
      </c>
      <c r="F195" s="9" t="s">
        <v>29</v>
      </c>
      <c r="M195" s="21" t="s">
        <v>250</v>
      </c>
    </row>
    <row r="196" spans="1:13">
      <c r="E196" s="21">
        <f t="shared" si="61"/>
        <v>196</v>
      </c>
      <c r="F196" s="9" t="s">
        <v>119</v>
      </c>
      <c r="M196" s="21" t="s">
        <v>252</v>
      </c>
    </row>
    <row r="197" spans="1:13">
      <c r="E197" s="21">
        <f t="shared" si="61"/>
        <v>197</v>
      </c>
      <c r="F197" s="9" t="s">
        <v>99</v>
      </c>
      <c r="K197" s="9" t="s">
        <v>138</v>
      </c>
      <c r="M197" s="21">
        <v>2</v>
      </c>
    </row>
    <row r="198" spans="1:13">
      <c r="E198" s="21">
        <f t="shared" si="61"/>
        <v>198</v>
      </c>
      <c r="F198" s="9" t="s">
        <v>31</v>
      </c>
      <c r="L198" s="9" t="s">
        <v>136</v>
      </c>
      <c r="M198" s="21" t="s">
        <v>248</v>
      </c>
    </row>
    <row r="199" spans="1:13">
      <c r="E199" s="21">
        <f t="shared" si="61"/>
        <v>199</v>
      </c>
      <c r="F199" s="9" t="s">
        <v>183</v>
      </c>
      <c r="G199" s="21">
        <v>360</v>
      </c>
      <c r="L199" s="9" t="s">
        <v>135</v>
      </c>
      <c r="M199" s="21">
        <f t="shared" ref="M199" si="82">G199/G192*C191</f>
        <v>306</v>
      </c>
    </row>
    <row r="200" spans="1:13">
      <c r="E200" s="21">
        <f t="shared" si="61"/>
        <v>200</v>
      </c>
      <c r="F200" s="9" t="s">
        <v>30</v>
      </c>
      <c r="M200" s="21">
        <v>1</v>
      </c>
    </row>
    <row r="201" spans="1:13">
      <c r="E201" s="21">
        <f t="shared" si="61"/>
        <v>201</v>
      </c>
      <c r="F201" s="9" t="s">
        <v>115</v>
      </c>
      <c r="M201" s="21" t="b">
        <v>1</v>
      </c>
    </row>
    <row r="202" spans="1:13">
      <c r="A202" s="21" t="s">
        <v>228</v>
      </c>
      <c r="B202" s="21">
        <f t="shared" ref="B202:B234" si="83">QUOTIENT( D202-1,G203)+1</f>
        <v>1</v>
      </c>
      <c r="C202" s="21">
        <f t="shared" ref="C202" si="84">D202-(B202-1)*G203</f>
        <v>18</v>
      </c>
      <c r="D202" s="21">
        <f>COUNT($D$14:$D201)+1</f>
        <v>18</v>
      </c>
    </row>
    <row r="203" spans="1:13">
      <c r="E203" s="21">
        <f t="shared" ref="E203:E234" si="85">ROW(E203)</f>
        <v>203</v>
      </c>
      <c r="F203" s="9" t="s">
        <v>93</v>
      </c>
      <c r="G203" s="21">
        <v>20</v>
      </c>
      <c r="H203" s="21">
        <v>1</v>
      </c>
      <c r="J203" s="9">
        <v>17700</v>
      </c>
      <c r="M203" s="21">
        <f t="shared" ref="M203:M234" si="86">J203+D202</f>
        <v>17718</v>
      </c>
    </row>
    <row r="204" spans="1:13">
      <c r="E204" s="21">
        <f t="shared" si="61"/>
        <v>204</v>
      </c>
      <c r="F204" s="9" t="s">
        <v>143</v>
      </c>
      <c r="M204" s="21">
        <v>173108</v>
      </c>
    </row>
    <row r="205" spans="1:13">
      <c r="E205" s="21">
        <f t="shared" si="61"/>
        <v>205</v>
      </c>
      <c r="F205" s="9" t="s">
        <v>127</v>
      </c>
      <c r="M205" s="21">
        <v>0</v>
      </c>
    </row>
    <row r="206" spans="1:13">
      <c r="E206" s="21">
        <f t="shared" si="61"/>
        <v>206</v>
      </c>
      <c r="F206" s="9" t="s">
        <v>29</v>
      </c>
      <c r="M206" s="21" t="s">
        <v>250</v>
      </c>
    </row>
    <row r="207" spans="1:13">
      <c r="E207" s="21">
        <f t="shared" si="61"/>
        <v>207</v>
      </c>
      <c r="F207" s="9" t="s">
        <v>119</v>
      </c>
      <c r="M207" s="21" t="s">
        <v>252</v>
      </c>
    </row>
    <row r="208" spans="1:13">
      <c r="E208" s="21">
        <f t="shared" si="61"/>
        <v>208</v>
      </c>
      <c r="F208" s="9" t="s">
        <v>99</v>
      </c>
      <c r="K208" s="9" t="s">
        <v>138</v>
      </c>
      <c r="M208" s="21">
        <v>2</v>
      </c>
    </row>
    <row r="209" spans="1:13">
      <c r="E209" s="21">
        <f t="shared" si="61"/>
        <v>209</v>
      </c>
      <c r="F209" s="9" t="s">
        <v>31</v>
      </c>
      <c r="L209" s="9" t="s">
        <v>136</v>
      </c>
      <c r="M209" s="21" t="s">
        <v>248</v>
      </c>
    </row>
    <row r="210" spans="1:13">
      <c r="E210" s="21">
        <f t="shared" si="61"/>
        <v>210</v>
      </c>
      <c r="F210" s="9" t="s">
        <v>183</v>
      </c>
      <c r="G210" s="21">
        <v>360</v>
      </c>
      <c r="L210" s="9" t="s">
        <v>135</v>
      </c>
      <c r="M210" s="21">
        <f t="shared" ref="M210" si="87">G210/G203*C202</f>
        <v>324</v>
      </c>
    </row>
    <row r="211" spans="1:13">
      <c r="E211" s="21">
        <f t="shared" si="61"/>
        <v>211</v>
      </c>
      <c r="F211" s="9" t="s">
        <v>30</v>
      </c>
      <c r="M211" s="21">
        <v>1</v>
      </c>
    </row>
    <row r="212" spans="1:13">
      <c r="E212" s="21">
        <f t="shared" si="61"/>
        <v>212</v>
      </c>
      <c r="F212" s="9" t="s">
        <v>115</v>
      </c>
      <c r="M212" s="21" t="b">
        <v>1</v>
      </c>
    </row>
    <row r="213" spans="1:13">
      <c r="A213" s="21" t="s">
        <v>228</v>
      </c>
      <c r="B213" s="21">
        <f t="shared" ref="B213:B234" si="88">QUOTIENT( D213-1,G214)+1</f>
        <v>1</v>
      </c>
      <c r="C213" s="21">
        <f t="shared" ref="C213" si="89">D213-(B213-1)*G214</f>
        <v>19</v>
      </c>
      <c r="D213" s="21">
        <f>COUNT($D$14:$D212)+1</f>
        <v>19</v>
      </c>
    </row>
    <row r="214" spans="1:13">
      <c r="E214" s="21">
        <f t="shared" ref="E214:E234" si="90">ROW(E214)</f>
        <v>214</v>
      </c>
      <c r="F214" s="9" t="s">
        <v>93</v>
      </c>
      <c r="G214" s="21">
        <v>20</v>
      </c>
      <c r="H214" s="21">
        <v>1</v>
      </c>
      <c r="J214" s="9">
        <v>17700</v>
      </c>
      <c r="M214" s="21">
        <f t="shared" ref="M214:M234" si="91">J214+D213</f>
        <v>17719</v>
      </c>
    </row>
    <row r="215" spans="1:13">
      <c r="E215" s="21">
        <f t="shared" si="61"/>
        <v>215</v>
      </c>
      <c r="F215" s="9" t="s">
        <v>143</v>
      </c>
      <c r="M215" s="21">
        <v>173108</v>
      </c>
    </row>
    <row r="216" spans="1:13">
      <c r="E216" s="21">
        <f t="shared" si="61"/>
        <v>216</v>
      </c>
      <c r="F216" s="9" t="s">
        <v>127</v>
      </c>
      <c r="M216" s="21">
        <v>0</v>
      </c>
    </row>
    <row r="217" spans="1:13">
      <c r="E217" s="21">
        <f t="shared" si="61"/>
        <v>217</v>
      </c>
      <c r="F217" s="9" t="s">
        <v>29</v>
      </c>
      <c r="M217" s="21" t="s">
        <v>250</v>
      </c>
    </row>
    <row r="218" spans="1:13">
      <c r="E218" s="21">
        <f t="shared" si="61"/>
        <v>218</v>
      </c>
      <c r="F218" s="9" t="s">
        <v>119</v>
      </c>
      <c r="M218" s="21" t="s">
        <v>252</v>
      </c>
    </row>
    <row r="219" spans="1:13">
      <c r="E219" s="21">
        <f t="shared" ref="E219:E234" si="92">ROW(E219)</f>
        <v>219</v>
      </c>
      <c r="F219" s="9" t="s">
        <v>99</v>
      </c>
      <c r="K219" s="9" t="s">
        <v>138</v>
      </c>
      <c r="M219" s="21">
        <v>2</v>
      </c>
    </row>
    <row r="220" spans="1:13">
      <c r="E220" s="21">
        <f t="shared" si="92"/>
        <v>220</v>
      </c>
      <c r="F220" s="9" t="s">
        <v>31</v>
      </c>
      <c r="L220" s="9" t="s">
        <v>136</v>
      </c>
      <c r="M220" s="21" t="s">
        <v>248</v>
      </c>
    </row>
    <row r="221" spans="1:13">
      <c r="E221" s="21">
        <f t="shared" si="92"/>
        <v>221</v>
      </c>
      <c r="F221" s="9" t="s">
        <v>183</v>
      </c>
      <c r="G221" s="21">
        <v>360</v>
      </c>
      <c r="L221" s="9" t="s">
        <v>135</v>
      </c>
      <c r="M221" s="21">
        <f t="shared" ref="M221" si="93">G221/G214*C213</f>
        <v>342</v>
      </c>
    </row>
    <row r="222" spans="1:13">
      <c r="E222" s="21">
        <f t="shared" si="92"/>
        <v>222</v>
      </c>
      <c r="F222" s="9" t="s">
        <v>30</v>
      </c>
      <c r="M222" s="21">
        <v>1</v>
      </c>
    </row>
    <row r="223" spans="1:13">
      <c r="E223" s="21">
        <f t="shared" si="92"/>
        <v>223</v>
      </c>
      <c r="F223" s="9" t="s">
        <v>115</v>
      </c>
      <c r="M223" s="21" t="b">
        <v>1</v>
      </c>
    </row>
    <row r="224" spans="1:13">
      <c r="A224" s="21" t="s">
        <v>228</v>
      </c>
      <c r="B224" s="21">
        <f t="shared" ref="B224:B234" si="94">QUOTIENT( D224-1,G225)+1</f>
        <v>1</v>
      </c>
      <c r="C224" s="21">
        <f t="shared" ref="C224" si="95">D224-(B224-1)*G225</f>
        <v>20</v>
      </c>
      <c r="D224" s="21">
        <f>COUNT($D$14:$D223)+1</f>
        <v>20</v>
      </c>
    </row>
    <row r="225" spans="5:13">
      <c r="E225" s="21">
        <f t="shared" ref="E225:E234" si="96">ROW(E225)</f>
        <v>225</v>
      </c>
      <c r="F225" s="9" t="s">
        <v>93</v>
      </c>
      <c r="G225" s="21">
        <v>20</v>
      </c>
      <c r="H225" s="21">
        <v>1</v>
      </c>
      <c r="J225" s="9">
        <v>17700</v>
      </c>
      <c r="M225" s="21">
        <f t="shared" ref="M225:M234" si="97">J225+D224</f>
        <v>17720</v>
      </c>
    </row>
    <row r="226" spans="5:13">
      <c r="E226" s="21">
        <f t="shared" si="92"/>
        <v>226</v>
      </c>
      <c r="F226" s="9" t="s">
        <v>143</v>
      </c>
      <c r="M226" s="21">
        <v>173108</v>
      </c>
    </row>
    <row r="227" spans="5:13">
      <c r="E227" s="21">
        <f t="shared" si="92"/>
        <v>227</v>
      </c>
      <c r="F227" s="9" t="s">
        <v>127</v>
      </c>
      <c r="M227" s="21">
        <v>0</v>
      </c>
    </row>
    <row r="228" spans="5:13">
      <c r="E228" s="21">
        <f t="shared" si="92"/>
        <v>228</v>
      </c>
      <c r="F228" s="9" t="s">
        <v>29</v>
      </c>
      <c r="M228" s="21" t="s">
        <v>250</v>
      </c>
    </row>
    <row r="229" spans="5:13">
      <c r="E229" s="21">
        <f t="shared" si="92"/>
        <v>229</v>
      </c>
      <c r="F229" s="9" t="s">
        <v>119</v>
      </c>
      <c r="M229" s="21" t="s">
        <v>252</v>
      </c>
    </row>
    <row r="230" spans="5:13">
      <c r="E230" s="21">
        <f t="shared" si="92"/>
        <v>230</v>
      </c>
      <c r="F230" s="9" t="s">
        <v>99</v>
      </c>
      <c r="K230" s="9" t="s">
        <v>138</v>
      </c>
      <c r="M230" s="21">
        <v>2</v>
      </c>
    </row>
    <row r="231" spans="5:13">
      <c r="E231" s="21">
        <f t="shared" si="92"/>
        <v>231</v>
      </c>
      <c r="F231" s="9" t="s">
        <v>31</v>
      </c>
      <c r="L231" s="9" t="s">
        <v>136</v>
      </c>
      <c r="M231" s="21" t="s">
        <v>248</v>
      </c>
    </row>
    <row r="232" spans="5:13">
      <c r="E232" s="21">
        <f t="shared" si="92"/>
        <v>232</v>
      </c>
      <c r="F232" s="9" t="s">
        <v>183</v>
      </c>
      <c r="G232" s="21">
        <v>360</v>
      </c>
      <c r="L232" s="9" t="s">
        <v>135</v>
      </c>
      <c r="M232" s="21">
        <f t="shared" ref="M232" si="98">G232/G225*C224</f>
        <v>360</v>
      </c>
    </row>
    <row r="233" spans="5:13">
      <c r="E233" s="21">
        <f t="shared" si="92"/>
        <v>233</v>
      </c>
      <c r="F233" s="9" t="s">
        <v>30</v>
      </c>
      <c r="M233" s="21">
        <v>1</v>
      </c>
    </row>
    <row r="234" spans="5:13">
      <c r="E234" s="21">
        <f t="shared" si="92"/>
        <v>234</v>
      </c>
      <c r="F234" s="9" t="s">
        <v>115</v>
      </c>
      <c r="M234" s="21" t="b">
        <v>1</v>
      </c>
    </row>
  </sheetData>
  <phoneticPr fontId="2" type="noConversion"/>
  <conditionalFormatting sqref="BE1:XFD1 E1:I1">
    <cfRule type="duplicateValues" dxfId="54" priority="1879"/>
  </conditionalFormatting>
  <conditionalFormatting sqref="F1:F10">
    <cfRule type="cellIs" dxfId="53" priority="1380" operator="equal">
      <formula>"ID"</formula>
    </cfRule>
    <cfRule type="cellIs" dxfId="52" priority="1795" operator="equal">
      <formula>"行動序號"</formula>
    </cfRule>
  </conditionalFormatting>
  <conditionalFormatting sqref="J1">
    <cfRule type="duplicateValues" dxfId="51" priority="1378"/>
  </conditionalFormatting>
  <conditionalFormatting sqref="K1:L1">
    <cfRule type="duplicateValues" dxfId="50" priority="1375"/>
  </conditionalFormatting>
  <conditionalFormatting sqref="M1:M1048576">
    <cfRule type="expression" dxfId="49" priority="990">
      <formula>_xlfn.ISFORMULA(M1)</formula>
    </cfRule>
  </conditionalFormatting>
  <conditionalFormatting sqref="N1:BD1">
    <cfRule type="duplicateValues" dxfId="48" priority="1895"/>
  </conditionalFormatting>
  <conditionalFormatting sqref="F11:F12">
    <cfRule type="cellIs" dxfId="47" priority="100" operator="equal">
      <formula>"ID"</formula>
    </cfRule>
    <cfRule type="cellIs" dxfId="46" priority="101" operator="equal">
      <formula>"行動序號"</formula>
    </cfRule>
  </conditionalFormatting>
  <conditionalFormatting sqref="F1:F1048576">
    <cfRule type="cellIs" dxfId="45" priority="93" operator="equal">
      <formula>"ID"</formula>
    </cfRule>
    <cfRule type="cellIs" dxfId="44" priority="94" operator="equal">
      <formula>"行動ID"</formula>
    </cfRule>
  </conditionalFormatting>
  <conditionalFormatting sqref="M1:M1048576">
    <cfRule type="expression" dxfId="43" priority="54">
      <formula>AND(_xlfn.ISFORMULA(M1),OR($F1="行動ID", $F1="ID"))</formula>
    </cfRule>
    <cfRule type="expression" dxfId="42" priority="56">
      <formula>OR($F1="行動ID", $F1="ID")</formula>
    </cfRule>
  </conditionalFormatting>
  <conditionalFormatting sqref="J16">
    <cfRule type="expression" dxfId="41" priority="15">
      <formula>_xlfn.ISFORMULA(J16)</formula>
    </cfRule>
  </conditionalFormatting>
  <conditionalFormatting sqref="J16">
    <cfRule type="expression" dxfId="40" priority="16">
      <formula>OR($F14="行動序號",$F14="ID")</formula>
    </cfRule>
  </conditionalFormatting>
  <conditionalFormatting sqref="J16">
    <cfRule type="expression" dxfId="39" priority="17">
      <formula>$F14="行動ID"</formula>
    </cfRule>
  </conditionalFormatting>
  <dataValidations count="1">
    <dataValidation type="list" allowBlank="1" showInputMessage="1" showErrorMessage="1" sqref="K8 L5:L6 F10 K4 L14 K1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stage7_card8shot3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2025-04-22T09:14:37Z</dcterms:modified>
</cp:coreProperties>
</file>