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hcook-win\STG project\Assets\Setting\Stage7_Normal\"/>
    </mc:Choice>
  </mc:AlternateContent>
  <xr:revisionPtr revIDLastSave="0" documentId="13_ncr:1_{AD19F874-6649-4B2E-849E-227109A9FADF}" xr6:coauthVersionLast="47" xr6:coauthVersionMax="47" xr10:uidLastSave="{00000000-0000-0000-0000-000000000000}"/>
  <bookViews>
    <workbookView xWindow="-120" yWindow="-120" windowWidth="29040" windowHeight="15840" activeTab="6" xr2:uid="{00000000-000D-0000-FFFF-FFFF00000000}"/>
  </bookViews>
  <sheets>
    <sheet name="stage7_3a" sheetId="1" r:id="rId1"/>
    <sheet name="#ALIAS" sheetId="66" r:id="rId2"/>
    <sheet name="#DEFINE" sheetId="67" r:id="rId3"/>
    <sheet name="#OPTION" sheetId="68" r:id="rId4"/>
    <sheet name="#PARAM" sheetId="69" r:id="rId5"/>
    <sheet name="#OUTPUT" sheetId="70" r:id="rId6"/>
    <sheet name="#使用說明" sheetId="71" r:id="rId7"/>
  </sheets>
  <functionGroups builtInGroupCount="19"/>
  <externalReferences>
    <externalReference r:id="rId8"/>
  </externalReferences>
  <definedNames>
    <definedName name="_OPTION_" localSheetId="1">#REF!</definedName>
    <definedName name="_OPTION_" localSheetId="2">#REF!</definedName>
    <definedName name="_OPTION_" localSheetId="3">'#OPTION'!$A$2:$A$98</definedName>
    <definedName name="_OPTION_" localSheetId="5">#REF!</definedName>
    <definedName name="_OPTION_" localSheetId="4">#REF!</definedName>
    <definedName name="_OPTION_" localSheetId="6">#REF!</definedName>
    <definedName name="_OPTION_">#REF!</definedName>
    <definedName name="一般物品">#REF!</definedName>
    <definedName name="無償商城幣">#REF!</definedName>
  </definedNames>
  <calcPr calcId="191029" calcMode="manual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95" i="67" l="1"/>
  <c r="E94" i="67"/>
  <c r="E93" i="67"/>
  <c r="E92" i="67"/>
  <c r="E91" i="67"/>
  <c r="E88" i="67"/>
  <c r="E87" i="67"/>
  <c r="E86" i="67"/>
  <c r="E85" i="67"/>
  <c r="E84" i="67"/>
  <c r="E83" i="67"/>
  <c r="E80" i="67"/>
  <c r="E79" i="67"/>
  <c r="E78" i="67"/>
  <c r="E77" i="67"/>
  <c r="E76" i="67"/>
  <c r="E75" i="67"/>
  <c r="E74" i="67"/>
  <c r="E73" i="67"/>
  <c r="E70" i="67"/>
  <c r="E69" i="67"/>
  <c r="E68" i="67"/>
  <c r="E67" i="67"/>
  <c r="E64" i="67"/>
  <c r="E63" i="67"/>
  <c r="E62" i="67"/>
  <c r="E61" i="67"/>
  <c r="E60" i="67"/>
  <c r="E59" i="67"/>
  <c r="E58" i="67"/>
  <c r="E57" i="67"/>
  <c r="E56" i="67"/>
  <c r="E55" i="67"/>
  <c r="E54" i="67"/>
  <c r="E51" i="67"/>
  <c r="E50" i="67"/>
  <c r="E49" i="67"/>
  <c r="E48" i="67"/>
  <c r="E47" i="67"/>
  <c r="E46" i="67"/>
  <c r="E43" i="67"/>
  <c r="E42" i="67"/>
  <c r="E41" i="67"/>
  <c r="E40" i="67"/>
  <c r="E37" i="67"/>
  <c r="E36" i="67"/>
  <c r="E35" i="67"/>
  <c r="E34" i="67"/>
  <c r="E33" i="67"/>
  <c r="E32" i="67"/>
  <c r="E31" i="67"/>
  <c r="E30" i="67"/>
  <c r="E27" i="67"/>
  <c r="E26" i="67"/>
  <c r="E25" i="67"/>
  <c r="E24" i="67"/>
  <c r="E23" i="67"/>
  <c r="E22" i="67"/>
  <c r="E21" i="67"/>
  <c r="E20" i="67"/>
  <c r="E17" i="67"/>
  <c r="E16" i="67"/>
  <c r="E15" i="67"/>
  <c r="E14" i="67"/>
  <c r="E13" i="67"/>
  <c r="E12" i="67"/>
  <c r="E11" i="67"/>
  <c r="E10" i="67"/>
  <c r="E9" i="67"/>
  <c r="E8" i="67"/>
  <c r="E7" i="67"/>
  <c r="E6" i="67"/>
  <c r="E5" i="67"/>
  <c r="E4" i="67"/>
  <c r="E3" i="67"/>
  <c r="E491" i="1" l="1"/>
  <c r="E490" i="1"/>
  <c r="E489" i="1"/>
  <c r="E488" i="1"/>
  <c r="E487" i="1"/>
  <c r="E486" i="1"/>
  <c r="E485" i="1"/>
  <c r="E484" i="1"/>
  <c r="E483" i="1"/>
  <c r="E482" i="1"/>
  <c r="E481" i="1"/>
  <c r="E480" i="1"/>
  <c r="E479" i="1"/>
  <c r="E477" i="1"/>
  <c r="E476" i="1"/>
  <c r="E475" i="1"/>
  <c r="E474" i="1"/>
  <c r="E473" i="1"/>
  <c r="E472" i="1"/>
  <c r="E471" i="1"/>
  <c r="E469" i="1"/>
  <c r="E468" i="1"/>
  <c r="E467" i="1"/>
  <c r="E466" i="1"/>
  <c r="E465" i="1"/>
  <c r="E464" i="1"/>
  <c r="E463" i="1"/>
  <c r="E462" i="1"/>
  <c r="E461" i="1"/>
  <c r="E460" i="1"/>
  <c r="E459" i="1"/>
  <c r="E458" i="1"/>
  <c r="E457" i="1"/>
  <c r="E455" i="1"/>
  <c r="E454" i="1"/>
  <c r="E453" i="1"/>
  <c r="E452" i="1"/>
  <c r="E451" i="1"/>
  <c r="E450" i="1"/>
  <c r="E449" i="1"/>
  <c r="E447" i="1"/>
  <c r="E446" i="1"/>
  <c r="E445" i="1"/>
  <c r="E444" i="1"/>
  <c r="E443" i="1"/>
  <c r="E442" i="1"/>
  <c r="E441" i="1"/>
  <c r="E440" i="1"/>
  <c r="E439" i="1"/>
  <c r="E438" i="1"/>
  <c r="E437" i="1"/>
  <c r="E436" i="1"/>
  <c r="E435" i="1"/>
  <c r="E433" i="1"/>
  <c r="E432" i="1"/>
  <c r="E431" i="1"/>
  <c r="E430" i="1"/>
  <c r="E429" i="1"/>
  <c r="E428" i="1"/>
  <c r="E427" i="1"/>
  <c r="E425" i="1"/>
  <c r="E424" i="1"/>
  <c r="E423" i="1"/>
  <c r="E422" i="1"/>
  <c r="E421" i="1"/>
  <c r="E420" i="1"/>
  <c r="E419" i="1"/>
  <c r="E418" i="1"/>
  <c r="E417" i="1"/>
  <c r="E416" i="1"/>
  <c r="E415" i="1"/>
  <c r="E414" i="1"/>
  <c r="E413" i="1"/>
  <c r="E411" i="1"/>
  <c r="E410" i="1"/>
  <c r="E409" i="1"/>
  <c r="E408" i="1"/>
  <c r="E407" i="1"/>
  <c r="E406" i="1"/>
  <c r="E405" i="1"/>
  <c r="E403" i="1"/>
  <c r="E402" i="1"/>
  <c r="E401" i="1"/>
  <c r="E400" i="1"/>
  <c r="E399" i="1"/>
  <c r="E398" i="1"/>
  <c r="E397" i="1"/>
  <c r="E396" i="1"/>
  <c r="E395" i="1"/>
  <c r="E394" i="1"/>
  <c r="E393" i="1"/>
  <c r="E392" i="1"/>
  <c r="E391" i="1"/>
  <c r="E389" i="1"/>
  <c r="E388" i="1"/>
  <c r="E387" i="1"/>
  <c r="E386" i="1"/>
  <c r="E385" i="1"/>
  <c r="E384" i="1"/>
  <c r="E383" i="1"/>
  <c r="E381" i="1"/>
  <c r="E380" i="1"/>
  <c r="E379" i="1"/>
  <c r="E378" i="1"/>
  <c r="E377" i="1"/>
  <c r="E376" i="1"/>
  <c r="E375" i="1"/>
  <c r="E374" i="1"/>
  <c r="E373" i="1"/>
  <c r="E372" i="1"/>
  <c r="E371" i="1"/>
  <c r="E370" i="1"/>
  <c r="E369" i="1"/>
  <c r="E367" i="1"/>
  <c r="E366" i="1"/>
  <c r="E365" i="1"/>
  <c r="E364" i="1"/>
  <c r="E363" i="1"/>
  <c r="E362" i="1"/>
  <c r="E361" i="1"/>
  <c r="E359" i="1"/>
  <c r="E358" i="1"/>
  <c r="E357" i="1"/>
  <c r="E356" i="1"/>
  <c r="E355" i="1"/>
  <c r="E354" i="1"/>
  <c r="E353" i="1"/>
  <c r="E352" i="1"/>
  <c r="E351" i="1"/>
  <c r="E350" i="1"/>
  <c r="E349" i="1"/>
  <c r="E348" i="1"/>
  <c r="E347" i="1"/>
  <c r="E345" i="1"/>
  <c r="E344" i="1"/>
  <c r="E343" i="1"/>
  <c r="E342" i="1"/>
  <c r="E341" i="1"/>
  <c r="E340" i="1"/>
  <c r="E339" i="1"/>
  <c r="E337" i="1"/>
  <c r="E336" i="1"/>
  <c r="E335" i="1"/>
  <c r="E334" i="1"/>
  <c r="E333" i="1"/>
  <c r="E332" i="1"/>
  <c r="E331" i="1"/>
  <c r="E330" i="1"/>
  <c r="E329" i="1"/>
  <c r="E328" i="1"/>
  <c r="E327" i="1"/>
  <c r="E326" i="1"/>
  <c r="E325" i="1"/>
  <c r="E323" i="1"/>
  <c r="E322" i="1"/>
  <c r="E321" i="1"/>
  <c r="E320" i="1"/>
  <c r="E319" i="1"/>
  <c r="E318" i="1"/>
  <c r="E317" i="1"/>
  <c r="E315" i="1"/>
  <c r="E314" i="1"/>
  <c r="E313" i="1"/>
  <c r="E312" i="1"/>
  <c r="E311" i="1"/>
  <c r="E310" i="1"/>
  <c r="E309" i="1"/>
  <c r="E308" i="1"/>
  <c r="E307" i="1"/>
  <c r="E306" i="1"/>
  <c r="E305" i="1"/>
  <c r="E304" i="1"/>
  <c r="E303" i="1"/>
  <c r="E301" i="1"/>
  <c r="E300" i="1"/>
  <c r="E299" i="1"/>
  <c r="E298" i="1"/>
  <c r="E297" i="1"/>
  <c r="E296" i="1"/>
  <c r="E295" i="1"/>
  <c r="E293" i="1"/>
  <c r="E292" i="1"/>
  <c r="E291" i="1"/>
  <c r="E290" i="1"/>
  <c r="E289" i="1"/>
  <c r="E288" i="1"/>
  <c r="E287" i="1"/>
  <c r="E286" i="1"/>
  <c r="E285" i="1"/>
  <c r="E284" i="1"/>
  <c r="E283" i="1"/>
  <c r="E282" i="1"/>
  <c r="E281" i="1"/>
  <c r="E279" i="1"/>
  <c r="E278" i="1"/>
  <c r="E277" i="1"/>
  <c r="E276" i="1"/>
  <c r="E275" i="1"/>
  <c r="E274" i="1"/>
  <c r="E273" i="1"/>
  <c r="E271" i="1"/>
  <c r="E270" i="1"/>
  <c r="E269" i="1"/>
  <c r="E268" i="1"/>
  <c r="E267" i="1"/>
  <c r="E266" i="1"/>
  <c r="E265" i="1"/>
  <c r="E264" i="1"/>
  <c r="E263" i="1"/>
  <c r="E262" i="1"/>
  <c r="E261" i="1"/>
  <c r="E260" i="1"/>
  <c r="E259" i="1"/>
  <c r="E257" i="1"/>
  <c r="E256" i="1"/>
  <c r="E255" i="1"/>
  <c r="E254" i="1"/>
  <c r="E253" i="1"/>
  <c r="E252" i="1"/>
  <c r="E251" i="1"/>
  <c r="E249" i="1"/>
  <c r="E248" i="1"/>
  <c r="E247" i="1"/>
  <c r="E246" i="1"/>
  <c r="E245" i="1"/>
  <c r="E244" i="1"/>
  <c r="E243" i="1"/>
  <c r="E242" i="1"/>
  <c r="E241" i="1"/>
  <c r="E240" i="1"/>
  <c r="E239" i="1"/>
  <c r="E238" i="1"/>
  <c r="E237" i="1"/>
  <c r="E235" i="1"/>
  <c r="E234" i="1"/>
  <c r="E233" i="1"/>
  <c r="E232" i="1"/>
  <c r="E231" i="1"/>
  <c r="E230" i="1"/>
  <c r="E229" i="1"/>
  <c r="E227" i="1"/>
  <c r="E226" i="1"/>
  <c r="E225" i="1"/>
  <c r="E224" i="1"/>
  <c r="E223" i="1"/>
  <c r="E222" i="1"/>
  <c r="E221" i="1"/>
  <c r="E220" i="1"/>
  <c r="E219" i="1"/>
  <c r="E218" i="1"/>
  <c r="E217" i="1"/>
  <c r="E216" i="1"/>
  <c r="E215" i="1"/>
  <c r="E213" i="1"/>
  <c r="E212" i="1"/>
  <c r="E211" i="1"/>
  <c r="E210" i="1"/>
  <c r="E209" i="1"/>
  <c r="E208" i="1"/>
  <c r="E207" i="1"/>
  <c r="E205" i="1"/>
  <c r="E204" i="1"/>
  <c r="E203" i="1"/>
  <c r="E202" i="1"/>
  <c r="E201" i="1"/>
  <c r="E200" i="1"/>
  <c r="E199" i="1"/>
  <c r="E198" i="1"/>
  <c r="E197" i="1"/>
  <c r="E196" i="1"/>
  <c r="E195" i="1"/>
  <c r="E194" i="1"/>
  <c r="E193" i="1"/>
  <c r="E191" i="1"/>
  <c r="E190" i="1"/>
  <c r="E189" i="1"/>
  <c r="E188" i="1"/>
  <c r="E187" i="1"/>
  <c r="E186" i="1"/>
  <c r="E185" i="1"/>
  <c r="E183" i="1"/>
  <c r="E182" i="1"/>
  <c r="E181" i="1"/>
  <c r="E180" i="1"/>
  <c r="E179" i="1"/>
  <c r="E178" i="1"/>
  <c r="E177" i="1"/>
  <c r="E176" i="1"/>
  <c r="E175" i="1"/>
  <c r="E174" i="1"/>
  <c r="E173" i="1"/>
  <c r="E172" i="1"/>
  <c r="E171" i="1"/>
  <c r="E169" i="1"/>
  <c r="E168" i="1"/>
  <c r="E167" i="1"/>
  <c r="E166" i="1"/>
  <c r="E165" i="1"/>
  <c r="E164" i="1"/>
  <c r="E163" i="1"/>
  <c r="E161" i="1"/>
  <c r="E160" i="1"/>
  <c r="E159" i="1"/>
  <c r="E158" i="1"/>
  <c r="E157" i="1"/>
  <c r="E156" i="1"/>
  <c r="E155" i="1"/>
  <c r="E154" i="1"/>
  <c r="E153" i="1"/>
  <c r="E152" i="1"/>
  <c r="E151" i="1"/>
  <c r="E150" i="1"/>
  <c r="E149" i="1"/>
  <c r="E147" i="1"/>
  <c r="E146" i="1"/>
  <c r="E145" i="1"/>
  <c r="E144" i="1"/>
  <c r="E143" i="1"/>
  <c r="E142" i="1"/>
  <c r="E141" i="1"/>
  <c r="E139" i="1"/>
  <c r="E138" i="1"/>
  <c r="E137" i="1"/>
  <c r="E136" i="1"/>
  <c r="E135" i="1"/>
  <c r="E134" i="1"/>
  <c r="E133" i="1"/>
  <c r="E132" i="1"/>
  <c r="E131" i="1"/>
  <c r="E130" i="1"/>
  <c r="E129" i="1"/>
  <c r="E128" i="1"/>
  <c r="E127" i="1"/>
  <c r="E125" i="1"/>
  <c r="E124" i="1"/>
  <c r="E123" i="1"/>
  <c r="E122" i="1"/>
  <c r="E121" i="1"/>
  <c r="E120" i="1"/>
  <c r="E119" i="1"/>
  <c r="E117" i="1"/>
  <c r="E116" i="1"/>
  <c r="E115" i="1"/>
  <c r="E114" i="1"/>
  <c r="E113" i="1"/>
  <c r="E112" i="1"/>
  <c r="E111" i="1"/>
  <c r="E110" i="1"/>
  <c r="E109" i="1"/>
  <c r="E108" i="1"/>
  <c r="E107" i="1"/>
  <c r="E106" i="1"/>
  <c r="E105" i="1"/>
  <c r="E103" i="1"/>
  <c r="E102" i="1"/>
  <c r="E101" i="1"/>
  <c r="E100" i="1"/>
  <c r="E99" i="1"/>
  <c r="E98" i="1"/>
  <c r="E97" i="1"/>
  <c r="E95" i="1"/>
  <c r="E94" i="1"/>
  <c r="E93" i="1"/>
  <c r="E92" i="1"/>
  <c r="E91" i="1"/>
  <c r="E90" i="1"/>
  <c r="E89" i="1"/>
  <c r="E88" i="1"/>
  <c r="E87" i="1"/>
  <c r="E86" i="1"/>
  <c r="E85" i="1"/>
  <c r="E84" i="1"/>
  <c r="E83" i="1"/>
  <c r="E81" i="1"/>
  <c r="E80" i="1"/>
  <c r="E79" i="1"/>
  <c r="E78" i="1"/>
  <c r="E77" i="1"/>
  <c r="E76" i="1"/>
  <c r="E75" i="1"/>
  <c r="E73" i="1"/>
  <c r="E72" i="1"/>
  <c r="E71" i="1"/>
  <c r="E70" i="1"/>
  <c r="E69" i="1"/>
  <c r="E68" i="1"/>
  <c r="E67" i="1"/>
  <c r="G66" i="1"/>
  <c r="O66" i="1" s="1"/>
  <c r="E66" i="1"/>
  <c r="E65" i="1"/>
  <c r="E64" i="1"/>
  <c r="E63" i="1"/>
  <c r="E62" i="1"/>
  <c r="E61" i="1"/>
  <c r="E59" i="1"/>
  <c r="E58" i="1"/>
  <c r="E57" i="1"/>
  <c r="E56" i="1"/>
  <c r="E55" i="1"/>
  <c r="E54" i="1"/>
  <c r="E53" i="1"/>
  <c r="D52" i="1"/>
  <c r="E51" i="1"/>
  <c r="E50" i="1"/>
  <c r="E49" i="1"/>
  <c r="O48" i="1"/>
  <c r="E48" i="1"/>
  <c r="E47" i="1"/>
  <c r="E46" i="1"/>
  <c r="E45" i="1"/>
  <c r="G44" i="1"/>
  <c r="O44" i="1" s="1"/>
  <c r="E44" i="1"/>
  <c r="E43" i="1"/>
  <c r="O42" i="1"/>
  <c r="E42" i="1"/>
  <c r="E41" i="1"/>
  <c r="E40" i="1"/>
  <c r="E39" i="1"/>
  <c r="E37" i="1"/>
  <c r="E36" i="1"/>
  <c r="E35" i="1"/>
  <c r="E34" i="1"/>
  <c r="E33" i="1"/>
  <c r="E32" i="1"/>
  <c r="O31" i="1"/>
  <c r="O41" i="1" s="1"/>
  <c r="O47" i="1" s="1"/>
  <c r="E31" i="1"/>
  <c r="D30" i="1"/>
  <c r="B52" i="1" l="1"/>
  <c r="O53" i="1"/>
  <c r="C52" i="1"/>
  <c r="B30" i="1"/>
  <c r="D74" i="1"/>
  <c r="D96" i="1"/>
  <c r="G22" i="1"/>
  <c r="D8" i="1"/>
  <c r="B8" i="1" s="1"/>
  <c r="C8" i="1" s="1"/>
  <c r="A7" i="1"/>
  <c r="B96" i="1" l="1"/>
  <c r="O97" i="1"/>
  <c r="G110" i="1"/>
  <c r="O110" i="1" s="1"/>
  <c r="C96" i="1"/>
  <c r="G58" i="1"/>
  <c r="O58" i="1" s="1"/>
  <c r="O68" i="1" s="1"/>
  <c r="O73" i="1" s="1"/>
  <c r="G59" i="1"/>
  <c r="O59" i="1" s="1"/>
  <c r="G62" i="1"/>
  <c r="O62" i="1" s="1"/>
  <c r="G88" i="1"/>
  <c r="O88" i="1" s="1"/>
  <c r="O75" i="1"/>
  <c r="C74" i="1"/>
  <c r="B74" i="1"/>
  <c r="D118" i="1"/>
  <c r="D140" i="1" s="1"/>
  <c r="O64" i="1"/>
  <c r="O63" i="1"/>
  <c r="G40" i="1"/>
  <c r="O40" i="1" s="1"/>
  <c r="C30" i="1"/>
  <c r="G37" i="1"/>
  <c r="O37" i="1" s="1"/>
  <c r="G36" i="1"/>
  <c r="O36" i="1" s="1"/>
  <c r="O46" i="1" s="1"/>
  <c r="O51" i="1" s="1"/>
  <c r="G18" i="1"/>
  <c r="O18" i="1" s="1"/>
  <c r="G15" i="1"/>
  <c r="O15" i="1" s="1"/>
  <c r="O22" i="1"/>
  <c r="G14" i="1"/>
  <c r="O9" i="1"/>
  <c r="E27" i="1"/>
  <c r="E21" i="1"/>
  <c r="E28" i="1"/>
  <c r="E29" i="1"/>
  <c r="E26" i="1"/>
  <c r="E25" i="1"/>
  <c r="E19" i="1"/>
  <c r="E20" i="1"/>
  <c r="E22" i="1"/>
  <c r="E23" i="1"/>
  <c r="E24" i="1"/>
  <c r="G154" i="1" l="1"/>
  <c r="O154" i="1" s="1"/>
  <c r="B140" i="1"/>
  <c r="O141" i="1"/>
  <c r="O70" i="1"/>
  <c r="O69" i="1"/>
  <c r="G81" i="1"/>
  <c r="O81" i="1" s="1"/>
  <c r="G80" i="1"/>
  <c r="O80" i="1" s="1"/>
  <c r="O90" i="1" s="1"/>
  <c r="O95" i="1" s="1"/>
  <c r="G84" i="1"/>
  <c r="O84" i="1" s="1"/>
  <c r="O107" i="1"/>
  <c r="O108" i="1"/>
  <c r="G106" i="1"/>
  <c r="O106" i="1" s="1"/>
  <c r="G102" i="1"/>
  <c r="O102" i="1" s="1"/>
  <c r="O112" i="1" s="1"/>
  <c r="O117" i="1" s="1"/>
  <c r="G103" i="1"/>
  <c r="O103" i="1" s="1"/>
  <c r="B118" i="1"/>
  <c r="C118" i="1" s="1"/>
  <c r="O119" i="1"/>
  <c r="G132" i="1"/>
  <c r="O132" i="1" s="1"/>
  <c r="D184" i="1"/>
  <c r="D162" i="1"/>
  <c r="O86" i="1"/>
  <c r="O85" i="1"/>
  <c r="O20" i="1"/>
  <c r="O19" i="1"/>
  <c r="O14" i="1"/>
  <c r="O129" i="1" l="1"/>
  <c r="O130" i="1"/>
  <c r="D206" i="1"/>
  <c r="O152" i="1"/>
  <c r="O151" i="1"/>
  <c r="O163" i="1"/>
  <c r="B162" i="1"/>
  <c r="C162" i="1" s="1"/>
  <c r="G176" i="1"/>
  <c r="O176" i="1" s="1"/>
  <c r="G147" i="1"/>
  <c r="O147" i="1" s="1"/>
  <c r="G146" i="1"/>
  <c r="O146" i="1" s="1"/>
  <c r="O156" i="1" s="1"/>
  <c r="O161" i="1" s="1"/>
  <c r="G150" i="1"/>
  <c r="O150" i="1" s="1"/>
  <c r="B184" i="1"/>
  <c r="O185" i="1"/>
  <c r="G198" i="1"/>
  <c r="O198" i="1" s="1"/>
  <c r="C184" i="1"/>
  <c r="O114" i="1"/>
  <c r="O113" i="1"/>
  <c r="G124" i="1"/>
  <c r="O124" i="1" s="1"/>
  <c r="O134" i="1" s="1"/>
  <c r="O139" i="1" s="1"/>
  <c r="G125" i="1"/>
  <c r="O125" i="1" s="1"/>
  <c r="G128" i="1"/>
  <c r="O128" i="1" s="1"/>
  <c r="C140" i="1"/>
  <c r="O91" i="1"/>
  <c r="O92" i="1"/>
  <c r="D228" i="1"/>
  <c r="O24" i="1"/>
  <c r="O29" i="1" s="1"/>
  <c r="E10" i="1"/>
  <c r="E11" i="1"/>
  <c r="E12" i="1"/>
  <c r="E13" i="1"/>
  <c r="E14" i="1"/>
  <c r="E15" i="1"/>
  <c r="E17" i="1"/>
  <c r="E18" i="1"/>
  <c r="E9" i="1"/>
  <c r="B228" i="1" l="1"/>
  <c r="O229" i="1"/>
  <c r="G242" i="1"/>
  <c r="O242" i="1" s="1"/>
  <c r="C228" i="1"/>
  <c r="G190" i="1"/>
  <c r="O190" i="1" s="1"/>
  <c r="O200" i="1" s="1"/>
  <c r="O205" i="1" s="1"/>
  <c r="G191" i="1"/>
  <c r="O191" i="1" s="1"/>
  <c r="G194" i="1"/>
  <c r="O194" i="1" s="1"/>
  <c r="G172" i="1"/>
  <c r="O172" i="1" s="1"/>
  <c r="G168" i="1"/>
  <c r="O168" i="1" s="1"/>
  <c r="O178" i="1" s="1"/>
  <c r="O183" i="1" s="1"/>
  <c r="G169" i="1"/>
  <c r="O169" i="1" s="1"/>
  <c r="G220" i="1"/>
  <c r="O220" i="1" s="1"/>
  <c r="C206" i="1"/>
  <c r="O207" i="1"/>
  <c r="B206" i="1"/>
  <c r="O173" i="1"/>
  <c r="O174" i="1"/>
  <c r="O136" i="1"/>
  <c r="O135" i="1"/>
  <c r="O195" i="1"/>
  <c r="O196" i="1"/>
  <c r="D250" i="1"/>
  <c r="O157" i="1"/>
  <c r="O158" i="1"/>
  <c r="O25" i="1"/>
  <c r="O26" i="1"/>
  <c r="G213" i="1" l="1"/>
  <c r="O213" i="1" s="1"/>
  <c r="G212" i="1"/>
  <c r="O212" i="1" s="1"/>
  <c r="O222" i="1" s="1"/>
  <c r="O227" i="1" s="1"/>
  <c r="G216" i="1"/>
  <c r="O216" i="1" s="1"/>
  <c r="O218" i="1"/>
  <c r="O217" i="1"/>
  <c r="O239" i="1"/>
  <c r="O240" i="1"/>
  <c r="B250" i="1"/>
  <c r="C250" i="1" s="1"/>
  <c r="O251" i="1"/>
  <c r="G264" i="1"/>
  <c r="O264" i="1" s="1"/>
  <c r="G238" i="1"/>
  <c r="O238" i="1" s="1"/>
  <c r="G234" i="1"/>
  <c r="O234" i="1" s="1"/>
  <c r="O244" i="1" s="1"/>
  <c r="O249" i="1" s="1"/>
  <c r="G235" i="1"/>
  <c r="O235" i="1" s="1"/>
  <c r="O202" i="1"/>
  <c r="O201" i="1"/>
  <c r="D272" i="1"/>
  <c r="O179" i="1"/>
  <c r="O180" i="1"/>
  <c r="G256" i="1" l="1"/>
  <c r="O256" i="1" s="1"/>
  <c r="O266" i="1" s="1"/>
  <c r="O271" i="1" s="1"/>
  <c r="G257" i="1"/>
  <c r="O257" i="1" s="1"/>
  <c r="G260" i="1"/>
  <c r="O260" i="1" s="1"/>
  <c r="O246" i="1"/>
  <c r="O245" i="1"/>
  <c r="O262" i="1"/>
  <c r="O261" i="1"/>
  <c r="G286" i="1"/>
  <c r="O286" i="1" s="1"/>
  <c r="O273" i="1"/>
  <c r="B272" i="1"/>
  <c r="D294" i="1"/>
  <c r="O223" i="1"/>
  <c r="O224" i="1"/>
  <c r="B294" i="1" l="1"/>
  <c r="O295" i="1"/>
  <c r="G308" i="1"/>
  <c r="O308" i="1" s="1"/>
  <c r="C294" i="1"/>
  <c r="D316" i="1"/>
  <c r="G279" i="1"/>
  <c r="O279" i="1" s="1"/>
  <c r="G278" i="1"/>
  <c r="O278" i="1" s="1"/>
  <c r="O288" i="1" s="1"/>
  <c r="O293" i="1" s="1"/>
  <c r="G282" i="1"/>
  <c r="O282" i="1" s="1"/>
  <c r="O284" i="1"/>
  <c r="O283" i="1"/>
  <c r="C272" i="1"/>
  <c r="O268" i="1"/>
  <c r="O267" i="1"/>
  <c r="O289" i="1" l="1"/>
  <c r="O290" i="1"/>
  <c r="B316" i="1"/>
  <c r="O317" i="1"/>
  <c r="G330" i="1"/>
  <c r="O330" i="1" s="1"/>
  <c r="C316" i="1"/>
  <c r="D338" i="1"/>
  <c r="O306" i="1"/>
  <c r="O305" i="1"/>
  <c r="G304" i="1"/>
  <c r="O304" i="1" s="1"/>
  <c r="G300" i="1"/>
  <c r="O300" i="1" s="1"/>
  <c r="O310" i="1" s="1"/>
  <c r="O315" i="1" s="1"/>
  <c r="G301" i="1"/>
  <c r="O301" i="1" s="1"/>
  <c r="G322" i="1" l="1"/>
  <c r="O322" i="1" s="1"/>
  <c r="O332" i="1" s="1"/>
  <c r="O337" i="1" s="1"/>
  <c r="G323" i="1"/>
  <c r="O323" i="1" s="1"/>
  <c r="G326" i="1"/>
  <c r="O326" i="1" s="1"/>
  <c r="O327" i="1"/>
  <c r="O328" i="1"/>
  <c r="O312" i="1"/>
  <c r="O311" i="1"/>
  <c r="G352" i="1"/>
  <c r="O352" i="1" s="1"/>
  <c r="B338" i="1"/>
  <c r="O339" i="1"/>
  <c r="D360" i="1"/>
  <c r="O361" i="1" l="1"/>
  <c r="B360" i="1"/>
  <c r="G374" i="1"/>
  <c r="O374" i="1" s="1"/>
  <c r="C360" i="1"/>
  <c r="D382" i="1"/>
  <c r="G345" i="1"/>
  <c r="O345" i="1" s="1"/>
  <c r="G344" i="1"/>
  <c r="O344" i="1" s="1"/>
  <c r="O354" i="1" s="1"/>
  <c r="O359" i="1" s="1"/>
  <c r="G348" i="1"/>
  <c r="O348" i="1" s="1"/>
  <c r="O334" i="1"/>
  <c r="O333" i="1"/>
  <c r="O350" i="1"/>
  <c r="O349" i="1"/>
  <c r="C338" i="1"/>
  <c r="B382" i="1" l="1"/>
  <c r="O383" i="1"/>
  <c r="C382" i="1"/>
  <c r="G396" i="1"/>
  <c r="O396" i="1" s="1"/>
  <c r="D404" i="1"/>
  <c r="O355" i="1"/>
  <c r="O356" i="1"/>
  <c r="G370" i="1"/>
  <c r="O370" i="1" s="1"/>
  <c r="G366" i="1"/>
  <c r="O366" i="1" s="1"/>
  <c r="O376" i="1" s="1"/>
  <c r="O381" i="1" s="1"/>
  <c r="G367" i="1"/>
  <c r="O367" i="1" s="1"/>
  <c r="O372" i="1"/>
  <c r="O371" i="1"/>
  <c r="G418" i="1" l="1"/>
  <c r="O418" i="1" s="1"/>
  <c r="B404" i="1"/>
  <c r="O405" i="1"/>
  <c r="D426" i="1"/>
  <c r="O393" i="1"/>
  <c r="O394" i="1"/>
  <c r="O377" i="1"/>
  <c r="O378" i="1"/>
  <c r="G388" i="1"/>
  <c r="O388" i="1" s="1"/>
  <c r="O398" i="1" s="1"/>
  <c r="O403" i="1" s="1"/>
  <c r="G389" i="1"/>
  <c r="O389" i="1" s="1"/>
  <c r="G392" i="1"/>
  <c r="O392" i="1" s="1"/>
  <c r="O400" i="1" l="1"/>
  <c r="O399" i="1"/>
  <c r="G411" i="1"/>
  <c r="O411" i="1" s="1"/>
  <c r="G410" i="1"/>
  <c r="O410" i="1" s="1"/>
  <c r="O420" i="1" s="1"/>
  <c r="O425" i="1" s="1"/>
  <c r="G414" i="1"/>
  <c r="O414" i="1" s="1"/>
  <c r="O427" i="1"/>
  <c r="B426" i="1"/>
  <c r="G440" i="1"/>
  <c r="O440" i="1" s="1"/>
  <c r="C426" i="1"/>
  <c r="D448" i="1"/>
  <c r="O416" i="1"/>
  <c r="O415" i="1"/>
  <c r="C404" i="1"/>
  <c r="O421" i="1" l="1"/>
  <c r="O422" i="1"/>
  <c r="O437" i="1"/>
  <c r="O438" i="1"/>
  <c r="B448" i="1"/>
  <c r="O449" i="1"/>
  <c r="G462" i="1"/>
  <c r="O462" i="1" s="1"/>
  <c r="D470" i="1"/>
  <c r="G436" i="1"/>
  <c r="O436" i="1" s="1"/>
  <c r="G432" i="1"/>
  <c r="O432" i="1" s="1"/>
  <c r="O442" i="1" s="1"/>
  <c r="O447" i="1" s="1"/>
  <c r="G433" i="1"/>
  <c r="O433" i="1" s="1"/>
  <c r="O460" i="1" l="1"/>
  <c r="O459" i="1"/>
  <c r="G454" i="1"/>
  <c r="O454" i="1" s="1"/>
  <c r="O464" i="1" s="1"/>
  <c r="O469" i="1" s="1"/>
  <c r="G455" i="1"/>
  <c r="O455" i="1" s="1"/>
  <c r="G458" i="1"/>
  <c r="O458" i="1" s="1"/>
  <c r="G484" i="1"/>
  <c r="O484" i="1" s="1"/>
  <c r="B470" i="1"/>
  <c r="O471" i="1"/>
  <c r="O444" i="1"/>
  <c r="O443" i="1"/>
  <c r="C448" i="1"/>
  <c r="O482" i="1" l="1"/>
  <c r="O481" i="1"/>
  <c r="O466" i="1"/>
  <c r="O465" i="1"/>
  <c r="G477" i="1"/>
  <c r="O477" i="1" s="1"/>
  <c r="G476" i="1"/>
  <c r="O476" i="1" s="1"/>
  <c r="O486" i="1" s="1"/>
  <c r="O491" i="1" s="1"/>
  <c r="G480" i="1"/>
  <c r="O480" i="1" s="1"/>
  <c r="C470" i="1"/>
  <c r="O487" i="1" l="1"/>
  <c r="O488" i="1"/>
</calcChain>
</file>

<file path=xl/sharedStrings.xml><?xml version="1.0" encoding="utf-8"?>
<sst xmlns="http://schemas.openxmlformats.org/spreadsheetml/2006/main" count="1204" uniqueCount="259">
  <si>
    <t>Author: Overing</t>
    <phoneticPr fontId="2" type="noConversion"/>
  </si>
  <si>
    <t>當標題是</t>
    <phoneticPr fontId="2" type="noConversion"/>
  </si>
  <si>
    <t>且選項值為</t>
    <phoneticPr fontId="2" type="noConversion"/>
  </si>
  <si>
    <t>把後面的標題設定成…</t>
    <phoneticPr fontId="2" type="noConversion"/>
  </si>
  <si>
    <r>
      <t>沒有 '#' 開頭的 Sheet 會被當作輸出 XML 的主要資料來源</t>
    </r>
    <r>
      <rPr>
        <sz val="12"/>
        <rFont val="新細明體"/>
        <family val="1"/>
        <charset val="136"/>
      </rPr>
      <t xml:space="preserve">
Sheet name 會被做為輸出的 Node name           請依需求修改
如果需要自己開空的 Sheet 整理資料使用
請在最前方加上 '#' 符號避開輸出功能</t>
    </r>
    <phoneticPr fontId="2" type="noConversion"/>
  </si>
  <si>
    <r>
      <t>#DEFINE</t>
    </r>
    <r>
      <rPr>
        <sz val="12"/>
        <rFont val="新細明體"/>
        <family val="1"/>
        <charset val="136"/>
      </rPr>
      <t xml:space="preserve"> Sheet 功能
輸出 DEFINE Node 的資料列
Head 列要有值 且 下方任一 Row 有值才會被輸出</t>
    </r>
    <phoneticPr fontId="2" type="noConversion"/>
  </si>
  <si>
    <r>
      <t>#ALIAS</t>
    </r>
    <r>
      <rPr>
        <sz val="12"/>
        <rFont val="新細明體"/>
        <family val="1"/>
        <charset val="136"/>
      </rPr>
      <t xml:space="preserve"> Sheet 功能
輸出後 主要設定 Node 的 Attribute name 對照
主要設定 Sheet 的 Head 只要能在 ALIAS Sheet 的 Row1 被找到
就會輸出 ALIAS Sheet 的 Row2 名稱到 XML
反之 有在主要設定 Sheet 裡但是 ALIAS Sheet 找不到的 Column 就不會被輸出
可以拿來做為只有在表格上看得到的註解列使用</t>
    </r>
    <phoneticPr fontId="2" type="noConversion"/>
  </si>
  <si>
    <r>
      <t>#OPTION</t>
    </r>
    <r>
      <rPr>
        <sz val="12"/>
        <rFont val="新細明體"/>
        <family val="1"/>
        <charset val="136"/>
      </rPr>
      <t xml:space="preserve"> Sheet 功能
主要 Sheet 中需要被做成選項的項目參照
Head 為有選項的選項標題
後續值就是可以選項項目列舉
(被 #PARAM Sheet 設定變更過的 Head 也有用)</t>
    </r>
    <phoneticPr fontId="2" type="noConversion"/>
  </si>
  <si>
    <t>Update Note</t>
    <phoneticPr fontId="2" type="noConversion"/>
  </si>
  <si>
    <t>2015/09/07: 調整載入 Option 方式為設定定義名稱 (解決選項不能超過 255 字 bug)</t>
    <phoneticPr fontId="2" type="noConversion"/>
  </si>
  <si>
    <t>2015/09/10: 調整輸出巨集，改善輸出耗費時間 (減半)</t>
    <phoneticPr fontId="2" type="noConversion"/>
  </si>
  <si>
    <t>輸出路徑或參考檔案</t>
    <phoneticPr fontId="2" type="noConversion"/>
  </si>
  <si>
    <r>
      <t>#OUTPUT</t>
    </r>
    <r>
      <rPr>
        <sz val="12"/>
        <rFont val="新細明體"/>
        <family val="1"/>
        <charset val="136"/>
      </rPr>
      <t xml:space="preserve"> Sheet 功能
與前一版表格功能類似 不過改成可以讀檔或路徑兩者皆可
如果是檔案 就把他開起來讀取裡面的行當 </t>
    </r>
    <r>
      <rPr>
        <sz val="12"/>
        <rFont val="新細明體"/>
        <family val="1"/>
        <charset val="136"/>
      </rPr>
      <t xml:space="preserve">xml </t>
    </r>
    <r>
      <rPr>
        <sz val="12"/>
        <rFont val="新細明體"/>
        <family val="1"/>
        <charset val="136"/>
      </rPr>
      <t>輸出路徑
如果是路徑 就直接往該路徑輸出</t>
    </r>
    <r>
      <rPr>
        <sz val="12"/>
        <rFont val="新細明體"/>
        <family val="1"/>
        <charset val="136"/>
      </rPr>
      <t xml:space="preserve"> xml</t>
    </r>
    <phoneticPr fontId="2" type="noConversion"/>
  </si>
  <si>
    <t>2015/11/03: 調整巨集
 * 輸出再加速 (已經可以跟原本的 xml scheam 版比了)
 * 輸出超過 1000 筆資料量時 Call DoEvents (解決UI卡死 讓人以為當掉的問題)
 * 縮小無法 Undo 的影響範圍
 * 註解掉 HttpPost ReloadSetting 動作</t>
    <phoneticPr fontId="2" type="noConversion"/>
  </si>
  <si>
    <r>
      <t>#PARAM</t>
    </r>
    <r>
      <rPr>
        <sz val="12"/>
        <rFont val="新細明體"/>
        <family val="1"/>
        <charset val="136"/>
      </rPr>
      <t xml:space="preserve"> Sheet 功能
主要 Sheet 中 Head 需要根據選項變化的項目
當 標題 與 其下 Cell 值符合時會替換之後的標題
</t>
    </r>
    <r>
      <rPr>
        <sz val="12"/>
        <color indexed="10"/>
        <rFont val="新細明體"/>
        <family val="1"/>
        <charset val="136"/>
      </rPr>
      <t>需要留下一列 "當沒有選值的時候要指定的標題" 復原原始的標題才能正常輸出</t>
    </r>
    <r>
      <rPr>
        <sz val="12"/>
        <rFont val="新細明體"/>
        <family val="1"/>
        <charset val="136"/>
      </rPr>
      <t xml:space="preserve">
(需要注意重疊問題 請慎用 不然會無限迴圈XD)</t>
    </r>
    <phoneticPr fontId="2" type="noConversion"/>
  </si>
  <si>
    <t>2015/11/04: 修改說明注意事項</t>
    <phoneticPr fontId="2" type="noConversion"/>
  </si>
  <si>
    <t>Version: 2019/09/17</t>
    <phoneticPr fontId="2" type="noConversion"/>
  </si>
  <si>
    <t>輸出到XML時取代成…</t>
    <phoneticPr fontId="2" type="noConversion"/>
  </si>
  <si>
    <t>且值為</t>
    <phoneticPr fontId="2" type="noConversion"/>
  </si>
  <si>
    <t>2019/09/17:
* 支援複數同前綴欄位使用 "[]" 尾綴定義 #ALIAS Sheet 將值輸出到子節點 (方便程式碼使用陣列載入)
* 支援複數同前綴欄位使用 "[]" 尾綴定義 #OPTION Sheet 一次定義所有選項下拉選單
* 支援複數同前綴欄位使用 "[]" 尾綴定義 #PARAM Sheet 一次定義所有標題置換規則
* 新增 #DEFINE Sheet 做輸出值轉換</t>
    <phoneticPr fontId="2" type="noConversion"/>
  </si>
  <si>
    <t>/</t>
    <phoneticPr fontId="2" type="noConversion"/>
  </si>
  <si>
    <t>1</t>
    <phoneticPr fontId="2" type="noConversion"/>
  </si>
  <si>
    <t>4</t>
  </si>
  <si>
    <t>5</t>
  </si>
  <si>
    <t>6</t>
    <phoneticPr fontId="2" type="noConversion"/>
  </si>
  <si>
    <t>2</t>
    <phoneticPr fontId="2" type="noConversion"/>
  </si>
  <si>
    <t>3</t>
    <phoneticPr fontId="2" type="noConversion"/>
  </si>
  <si>
    <t>類型</t>
    <phoneticPr fontId="2" type="noConversion"/>
  </si>
  <si>
    <t>Type</t>
    <phoneticPr fontId="2" type="noConversion"/>
  </si>
  <si>
    <t>物件</t>
  </si>
  <si>
    <t>速度</t>
  </si>
  <si>
    <t>移動角度</t>
  </si>
  <si>
    <t>6</t>
  </si>
  <si>
    <t>8</t>
  </si>
  <si>
    <t>10</t>
  </si>
  <si>
    <t>行動時間</t>
  </si>
  <si>
    <t>ParamVals[]</t>
    <phoneticPr fontId="2" type="noConversion"/>
  </si>
  <si>
    <t>2</t>
  </si>
  <si>
    <t>3</t>
  </si>
  <si>
    <t>7</t>
  </si>
  <si>
    <t>9</t>
  </si>
  <si>
    <t>11</t>
  </si>
  <si>
    <t>12</t>
  </si>
  <si>
    <t>13</t>
  </si>
  <si>
    <t>14</t>
  </si>
  <si>
    <t>符卡</t>
  </si>
  <si>
    <t>PreLayerNo</t>
    <phoneticPr fontId="2" type="noConversion"/>
  </si>
  <si>
    <t>HP</t>
  </si>
  <si>
    <t>無敵</t>
  </si>
  <si>
    <t>BOSS</t>
  </si>
  <si>
    <t>順序</t>
    <phoneticPr fontId="2" type="noConversion"/>
  </si>
  <si>
    <t>ParamFormat</t>
    <phoneticPr fontId="2" type="noConversion"/>
  </si>
  <si>
    <t>Order</t>
    <phoneticPr fontId="2" type="noConversion"/>
  </si>
  <si>
    <t>ParamVals2</t>
  </si>
  <si>
    <t>ParamVals3</t>
  </si>
  <si>
    <t>ParamVals4</t>
  </si>
  <si>
    <t>ParamVals5</t>
  </si>
  <si>
    <t>ParamVals6</t>
  </si>
  <si>
    <t>ParamVals7</t>
  </si>
  <si>
    <t>ParamVals8</t>
  </si>
  <si>
    <t>ParamVals9</t>
  </si>
  <si>
    <t>ParamVals10</t>
  </si>
  <si>
    <t>ParamVals11</t>
  </si>
  <si>
    <t>ParamVals12</t>
  </si>
  <si>
    <t>ParamVals13</t>
  </si>
  <si>
    <t>ParamVals14</t>
  </si>
  <si>
    <t>ParamVals15</t>
  </si>
  <si>
    <t>ParamVals16</t>
  </si>
  <si>
    <t>ParamVals17</t>
  </si>
  <si>
    <t>ParamVals18</t>
  </si>
  <si>
    <t>ParamVals19</t>
  </si>
  <si>
    <t>ParamVals20</t>
  </si>
  <si>
    <t>ParamVals21</t>
  </si>
  <si>
    <t>ParamVals22</t>
  </si>
  <si>
    <t>ParamVals23</t>
  </si>
  <si>
    <t>ParamVals24</t>
  </si>
  <si>
    <t>ParamVals25</t>
  </si>
  <si>
    <t>ParamVals26</t>
  </si>
  <si>
    <t>ParamVals27</t>
  </si>
  <si>
    <t>ParamVals28</t>
  </si>
  <si>
    <t>ParamVals29</t>
  </si>
  <si>
    <t>ParamVals30</t>
  </si>
  <si>
    <t>ParamVals31</t>
  </si>
  <si>
    <t>ParamVals32</t>
  </si>
  <si>
    <t>ParamVals33</t>
  </si>
  <si>
    <t>ParamVals34</t>
  </si>
  <si>
    <t>ParamVals35</t>
  </si>
  <si>
    <t>ParamVals36</t>
  </si>
  <si>
    <t>ParamVals37</t>
  </si>
  <si>
    <t>ParamVals38</t>
  </si>
  <si>
    <t>ParamVals39</t>
  </si>
  <si>
    <t>ParamVals40</t>
  </si>
  <si>
    <t>ParamVals41</t>
  </si>
  <si>
    <t>ParamVals42</t>
  </si>
  <si>
    <t>ParamVals43</t>
  </si>
  <si>
    <t>ID</t>
  </si>
  <si>
    <t>ParamVals0</t>
    <phoneticPr fontId="2" type="noConversion"/>
  </si>
  <si>
    <t>ParamVals1</t>
  </si>
  <si>
    <t>4</t>
    <phoneticPr fontId="2" type="noConversion"/>
  </si>
  <si>
    <t>回收時間</t>
  </si>
  <si>
    <t>移位置</t>
  </si>
  <si>
    <t>玩家</t>
  </si>
  <si>
    <t>動畫</t>
  </si>
  <si>
    <t>行動ID</t>
  </si>
  <si>
    <t>玩家子彈</t>
  </si>
  <si>
    <t>標題</t>
  </si>
  <si>
    <t>對話</t>
  </si>
  <si>
    <t>傷害</t>
  </si>
  <si>
    <t>Name</t>
  </si>
  <si>
    <t>死亡時間</t>
  </si>
  <si>
    <t>最小速度</t>
  </si>
  <si>
    <t>最大速度</t>
  </si>
  <si>
    <t>BOSSDEAD</t>
  </si>
  <si>
    <t>加移動角度</t>
  </si>
  <si>
    <t>旋轉角度</t>
  </si>
  <si>
    <t>加旋轉角度</t>
  </si>
  <si>
    <t>旋轉是移動角度</t>
  </si>
  <si>
    <t>加速度</t>
  </si>
  <si>
    <t>相對位置</t>
  </si>
  <si>
    <t>貫穿</t>
  </si>
  <si>
    <t>Sprite</t>
  </si>
  <si>
    <t>時位時間</t>
  </si>
  <si>
    <t>時位位置</t>
  </si>
  <si>
    <t>時位變速點</t>
  </si>
  <si>
    <t>時位開始速度</t>
  </si>
  <si>
    <t>時位結束速度</t>
  </si>
  <si>
    <t>時位移動角度</t>
  </si>
  <si>
    <t>回收距離</t>
  </si>
  <si>
    <t>啟動依開始時間後</t>
  </si>
  <si>
    <t>啟動依結束時間前</t>
  </si>
  <si>
    <t>啟動依位置</t>
  </si>
  <si>
    <t>啟動依位置距離</t>
  </si>
  <si>
    <t>播放音樂</t>
  </si>
  <si>
    <t>關卡結束</t>
  </si>
  <si>
    <t>角度參數</t>
  </si>
  <si>
    <t>位置參數</t>
  </si>
  <si>
    <t>角度值</t>
  </si>
  <si>
    <t>角度IDs</t>
  </si>
  <si>
    <t>位置xy</t>
  </si>
  <si>
    <t>位置ID</t>
  </si>
  <si>
    <t>位置Gene</t>
  </si>
  <si>
    <t>PosParamType</t>
  </si>
  <si>
    <t>PosParamType</t>
    <phoneticPr fontId="2" type="noConversion"/>
  </si>
  <si>
    <t>AngleParamType</t>
    <phoneticPr fontId="2" type="noConversion"/>
  </si>
  <si>
    <t>新參照位置12</t>
    <phoneticPr fontId="2" type="noConversion"/>
  </si>
  <si>
    <t>啟動依ID</t>
  </si>
  <si>
    <t>Shot5_yellow</t>
  </si>
  <si>
    <t>EnemyShot5</t>
  </si>
  <si>
    <t>6</t>
    <phoneticPr fontId="2" type="noConversion"/>
  </si>
  <si>
    <t>1</t>
    <phoneticPr fontId="2" type="noConversion"/>
  </si>
  <si>
    <t>-6</t>
    <phoneticPr fontId="2" type="noConversion"/>
  </si>
  <si>
    <t>-0.8</t>
    <phoneticPr fontId="2" type="noConversion"/>
  </si>
  <si>
    <t>170</t>
    <phoneticPr fontId="2" type="noConversion"/>
  </si>
  <si>
    <t>啟動依遊戲時間</t>
  </si>
  <si>
    <t>ID</t>
    <phoneticPr fontId="2" type="noConversion"/>
  </si>
  <si>
    <t>復位</t>
  </si>
  <si>
    <t>Power</t>
  </si>
  <si>
    <t>下一關</t>
  </si>
  <si>
    <t>101</t>
    <phoneticPr fontId="2" type="noConversion"/>
  </si>
  <si>
    <t>102</t>
  </si>
  <si>
    <t>103</t>
  </si>
  <si>
    <t>104</t>
  </si>
  <si>
    <t>105</t>
  </si>
  <si>
    <t>106</t>
  </si>
  <si>
    <t>啟動依玩家死亡</t>
  </si>
  <si>
    <t>107</t>
  </si>
  <si>
    <t>啟動位置是活動</t>
  </si>
  <si>
    <t>108</t>
  </si>
  <si>
    <t>201</t>
    <phoneticPr fontId="2" type="noConversion"/>
  </si>
  <si>
    <t>202</t>
  </si>
  <si>
    <t>203</t>
  </si>
  <si>
    <t>204</t>
  </si>
  <si>
    <t>205</t>
  </si>
  <si>
    <t>206</t>
  </si>
  <si>
    <t>Power掉落</t>
  </si>
  <si>
    <t>207</t>
  </si>
  <si>
    <t>加ID</t>
  </si>
  <si>
    <t>208</t>
  </si>
  <si>
    <t>301</t>
    <phoneticPr fontId="2" type="noConversion"/>
  </si>
  <si>
    <t>302</t>
  </si>
  <si>
    <t>303</t>
  </si>
  <si>
    <t>401</t>
    <phoneticPr fontId="2" type="noConversion"/>
  </si>
  <si>
    <t>402</t>
  </si>
  <si>
    <t>403</t>
  </si>
  <si>
    <t>加位置</t>
  </si>
  <si>
    <t>404</t>
  </si>
  <si>
    <t>501</t>
    <phoneticPr fontId="2" type="noConversion"/>
  </si>
  <si>
    <t>502</t>
  </si>
  <si>
    <t>503</t>
  </si>
  <si>
    <t>504</t>
  </si>
  <si>
    <t>505</t>
  </si>
  <si>
    <t>加角度</t>
  </si>
  <si>
    <t>506</t>
  </si>
  <si>
    <t>507</t>
  </si>
  <si>
    <t>601</t>
    <phoneticPr fontId="2" type="noConversion"/>
  </si>
  <si>
    <t>602</t>
  </si>
  <si>
    <t>603</t>
  </si>
  <si>
    <t>604</t>
  </si>
  <si>
    <t>是界內</t>
  </si>
  <si>
    <t>701</t>
    <phoneticPr fontId="2" type="noConversion"/>
  </si>
  <si>
    <t>702</t>
  </si>
  <si>
    <t>703</t>
  </si>
  <si>
    <t>704</t>
  </si>
  <si>
    <t>出生動畫速率</t>
  </si>
  <si>
    <t>705</t>
  </si>
  <si>
    <t>出生動畫時間</t>
  </si>
  <si>
    <t>706</t>
  </si>
  <si>
    <t>出生動畫開始</t>
  </si>
  <si>
    <t>707</t>
  </si>
  <si>
    <t>行動ID結束</t>
  </si>
  <si>
    <t>708</t>
  </si>
  <si>
    <t>801</t>
    <phoneticPr fontId="2" type="noConversion"/>
  </si>
  <si>
    <t>802</t>
  </si>
  <si>
    <t>803</t>
  </si>
  <si>
    <t>804</t>
  </si>
  <si>
    <t>805</t>
  </si>
  <si>
    <t>806</t>
  </si>
  <si>
    <t>玩家遊戲時間</t>
  </si>
  <si>
    <t>901</t>
    <phoneticPr fontId="2" type="noConversion"/>
  </si>
  <si>
    <t>玩家子彈間隔</t>
  </si>
  <si>
    <t>902</t>
  </si>
  <si>
    <t>玩家Power需求</t>
  </si>
  <si>
    <t>903</t>
  </si>
  <si>
    <t>玩家Shift</t>
  </si>
  <si>
    <t>904</t>
  </si>
  <si>
    <t>玩家子彈延遲</t>
  </si>
  <si>
    <t>905</t>
  </si>
  <si>
    <t>位置參數角距距離</t>
  </si>
  <si>
    <t>位置參數角距角度</t>
  </si>
  <si>
    <t>新參照位置</t>
  </si>
  <si>
    <t>新參照角度</t>
  </si>
  <si>
    <t>角度ID旋轉</t>
  </si>
  <si>
    <t>Self = 1,
Parent = 2,
Player = 3,
Boss = 4,
Center=5,
BossHome=6,</t>
    <phoneticPr fontId="2" type="noConversion"/>
  </si>
  <si>
    <t>新參照位置12</t>
  </si>
  <si>
    <t>符卡時間</t>
    <phoneticPr fontId="2" type="noConversion"/>
  </si>
  <si>
    <t>304</t>
  </si>
  <si>
    <t/>
  </si>
  <si>
    <t>2</t>
    <phoneticPr fontId="2" type="noConversion"/>
  </si>
  <si>
    <t>1</t>
  </si>
  <si>
    <t>-6</t>
  </si>
  <si>
    <t>-0.8</t>
  </si>
  <si>
    <t>170</t>
  </si>
  <si>
    <t>BOSSLEAVE</t>
    <phoneticPr fontId="2" type="noConversion"/>
  </si>
  <si>
    <t>15</t>
  </si>
  <si>
    <t>子旋轉角度</t>
    <phoneticPr fontId="2" type="noConversion"/>
  </si>
  <si>
    <t>508</t>
  </si>
  <si>
    <r>
      <rPr>
        <sz val="11"/>
        <rFont val="Microsoft JhengHei UI"/>
        <family val="3"/>
        <charset val="136"/>
      </rPr>
      <t>子</t>
    </r>
    <r>
      <rPr>
        <sz val="11"/>
        <rFont val="微軟正黑體"/>
        <family val="3"/>
        <charset val="136"/>
      </rPr>
      <t>加旋轉角度</t>
    </r>
    <phoneticPr fontId="2" type="noConversion"/>
  </si>
  <si>
    <t>509</t>
  </si>
  <si>
    <t>加旋轉角度</t>
    <phoneticPr fontId="2" type="noConversion"/>
  </si>
  <si>
    <t>記錄位置</t>
    <phoneticPr fontId="2" type="noConversion"/>
  </si>
  <si>
    <t>405</t>
  </si>
  <si>
    <t>記錄位置序號</t>
    <phoneticPr fontId="2" type="noConversion"/>
  </si>
  <si>
    <t>406</t>
  </si>
  <si>
    <t>記錄角度</t>
    <phoneticPr fontId="2" type="noConversion"/>
  </si>
  <si>
    <t>510</t>
  </si>
  <si>
    <t>511</t>
  </si>
  <si>
    <t>記錄角度ID</t>
    <phoneticPr fontId="2" type="noConversion"/>
  </si>
  <si>
    <t>角度ID記錄</t>
    <phoneticPr fontId="2" type="noConversion"/>
  </si>
  <si>
    <t>記錄位置ID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</si>
</sst>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_);[Red]\(0\)"/>
    <numFmt numFmtId="177" formatCode="0.0"/>
  </numFmts>
  <fonts count="37">
    <font>
      <sz val="12"/>
      <name val="新細明體"/>
      <family val="1"/>
      <charset val="136"/>
    </font>
    <font>
      <sz val="12"/>
      <name val="新細明體"/>
      <family val="1"/>
      <charset val="136"/>
    </font>
    <font>
      <sz val="9"/>
      <name val="新細明體"/>
      <family val="1"/>
      <charset val="136"/>
    </font>
    <font>
      <sz val="12"/>
      <color indexed="8"/>
      <name val="新細明體"/>
      <family val="1"/>
      <charset val="136"/>
    </font>
    <font>
      <sz val="12"/>
      <color indexed="9"/>
      <name val="新細明體"/>
      <family val="1"/>
      <charset val="136"/>
    </font>
    <font>
      <sz val="12"/>
      <color indexed="60"/>
      <name val="新細明體"/>
      <family val="1"/>
      <charset val="136"/>
    </font>
    <font>
      <b/>
      <sz val="12"/>
      <color indexed="8"/>
      <name val="新細明體"/>
      <family val="1"/>
      <charset val="136"/>
    </font>
    <font>
      <sz val="12"/>
      <color indexed="17"/>
      <name val="新細明體"/>
      <family val="1"/>
      <charset val="136"/>
    </font>
    <font>
      <b/>
      <sz val="12"/>
      <color indexed="52"/>
      <name val="新細明體"/>
      <family val="1"/>
      <charset val="136"/>
    </font>
    <font>
      <sz val="12"/>
      <color indexed="52"/>
      <name val="新細明體"/>
      <family val="1"/>
      <charset val="136"/>
    </font>
    <font>
      <i/>
      <sz val="12"/>
      <color indexed="23"/>
      <name val="新細明體"/>
      <family val="1"/>
      <charset val="136"/>
    </font>
    <font>
      <sz val="11"/>
      <color indexed="8"/>
      <name val="ＭＳ Ｐゴシック"/>
      <family val="2"/>
      <charset val="128"/>
    </font>
    <font>
      <sz val="11"/>
      <color indexed="8"/>
      <name val="新細明體"/>
      <family val="1"/>
      <charset val="136"/>
    </font>
    <font>
      <sz val="12"/>
      <name val="微軟正黑體"/>
      <family val="2"/>
      <charset val="136"/>
    </font>
    <font>
      <b/>
      <sz val="18"/>
      <color indexed="56"/>
      <name val="新細明體"/>
      <family val="1"/>
      <charset val="136"/>
    </font>
    <font>
      <b/>
      <sz val="15"/>
      <color indexed="56"/>
      <name val="新細明體"/>
      <family val="1"/>
      <charset val="136"/>
    </font>
    <font>
      <b/>
      <sz val="13"/>
      <color indexed="56"/>
      <name val="新細明體"/>
      <family val="1"/>
      <charset val="136"/>
    </font>
    <font>
      <b/>
      <sz val="11"/>
      <color indexed="56"/>
      <name val="新細明體"/>
      <family val="1"/>
      <charset val="136"/>
    </font>
    <font>
      <sz val="12"/>
      <color indexed="62"/>
      <name val="新細明體"/>
      <family val="1"/>
      <charset val="136"/>
    </font>
    <font>
      <b/>
      <sz val="12"/>
      <color indexed="63"/>
      <name val="新細明體"/>
      <family val="1"/>
      <charset val="136"/>
    </font>
    <font>
      <b/>
      <sz val="12"/>
      <color indexed="9"/>
      <name val="新細明體"/>
      <family val="1"/>
      <charset val="136"/>
    </font>
    <font>
      <sz val="12"/>
      <color indexed="20"/>
      <name val="新細明體"/>
      <family val="1"/>
      <charset val="136"/>
    </font>
    <font>
      <sz val="12"/>
      <color indexed="10"/>
      <name val="新細明體"/>
      <family val="1"/>
      <charset val="136"/>
    </font>
    <font>
      <b/>
      <sz val="12"/>
      <name val="新細明體"/>
      <family val="1"/>
      <charset val="136"/>
    </font>
    <font>
      <b/>
      <sz val="12"/>
      <color theme="0"/>
      <name val="新細明體"/>
      <family val="1"/>
      <charset val="136"/>
    </font>
    <font>
      <sz val="14"/>
      <name val="細明體"/>
      <family val="1"/>
      <charset val="136"/>
    </font>
    <font>
      <sz val="12"/>
      <color theme="0"/>
      <name val="新細明體"/>
      <family val="1"/>
      <charset val="136"/>
    </font>
    <font>
      <sz val="11"/>
      <color rgb="FFCCCCCC"/>
      <name val="Consolas"/>
      <family val="3"/>
    </font>
    <font>
      <sz val="11"/>
      <color rgb="FF4FC1FF"/>
      <name val="Consolas"/>
      <family val="3"/>
    </font>
    <font>
      <sz val="14"/>
      <color theme="0"/>
      <name val="細明體"/>
      <family val="1"/>
      <charset val="136"/>
    </font>
    <font>
      <sz val="12"/>
      <name val="Microsoft JhengHei"/>
      <family val="1"/>
      <charset val="136"/>
    </font>
    <font>
      <sz val="11"/>
      <name val="Consolas"/>
      <family val="3"/>
    </font>
    <font>
      <sz val="10"/>
      <name val="新細明體"/>
      <family val="1"/>
      <charset val="136"/>
    </font>
    <font>
      <sz val="11"/>
      <name val="Microsoft JhengHei"/>
      <family val="3"/>
    </font>
    <font>
      <sz val="11"/>
      <name val="微軟正黑體"/>
      <family val="3"/>
      <charset val="136"/>
    </font>
    <font>
      <sz val="11"/>
      <name val="Microsoft JhengHei UI"/>
      <family val="3"/>
      <charset val="136"/>
    </font>
    <font>
      <sz val="11"/>
      <name val="微軟正黑體"/>
      <family val="2"/>
      <charset val="136"/>
    </font>
  </fonts>
  <fills count="27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43"/>
      </patternFill>
    </fill>
    <fill>
      <patternFill patternType="solid">
        <fgColor indexed="22"/>
      </patternFill>
    </fill>
    <fill>
      <patternFill patternType="solid">
        <fgColor indexed="26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theme="1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6" tint="0.79998168889431442"/>
        <bgColor indexed="64"/>
      </patternFill>
    </fill>
  </fills>
  <borders count="10">
    <border>
      <left/>
      <right/>
      <top/>
      <bottom/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</borders>
  <cellStyleXfs count="64">
    <xf numFmtId="0" fontId="0" fillId="0" borderId="0">
      <alignment vertical="center"/>
    </xf>
    <xf numFmtId="0" fontId="3" fillId="2" borderId="0" applyNumberFormat="0" applyBorder="0" applyAlignment="0" applyProtection="0">
      <alignment vertical="center"/>
    </xf>
    <xf numFmtId="0" fontId="3" fillId="3" borderId="0" applyNumberFormat="0" applyBorder="0" applyAlignment="0" applyProtection="0">
      <alignment vertical="center"/>
    </xf>
    <xf numFmtId="0" fontId="3" fillId="4" borderId="0" applyNumberFormat="0" applyBorder="0" applyAlignment="0" applyProtection="0">
      <alignment vertical="center"/>
    </xf>
    <xf numFmtId="0" fontId="3" fillId="5" borderId="0" applyNumberFormat="0" applyBorder="0" applyAlignment="0" applyProtection="0">
      <alignment vertical="center"/>
    </xf>
    <xf numFmtId="0" fontId="3" fillId="6" borderId="0" applyNumberFormat="0" applyBorder="0" applyAlignment="0" applyProtection="0">
      <alignment vertical="center"/>
    </xf>
    <xf numFmtId="0" fontId="3" fillId="7" borderId="0" applyNumberFormat="0" applyBorder="0" applyAlignment="0" applyProtection="0">
      <alignment vertical="center"/>
    </xf>
    <xf numFmtId="0" fontId="3" fillId="8" borderId="0" applyNumberFormat="0" applyBorder="0" applyAlignment="0" applyProtection="0">
      <alignment vertical="center"/>
    </xf>
    <xf numFmtId="0" fontId="3" fillId="9" borderId="0" applyNumberFormat="0" applyBorder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5" borderId="0" applyNumberFormat="0" applyBorder="0" applyAlignment="0" applyProtection="0">
      <alignment vertical="center"/>
    </xf>
    <xf numFmtId="0" fontId="3" fillId="8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4" fillId="12" borderId="0" applyNumberFormat="0" applyBorder="0" applyAlignment="0" applyProtection="0">
      <alignment vertical="center"/>
    </xf>
    <xf numFmtId="0" fontId="4" fillId="9" borderId="0" applyNumberFormat="0" applyBorder="0" applyAlignment="0" applyProtection="0">
      <alignment vertical="center"/>
    </xf>
    <xf numFmtId="0" fontId="4" fillId="10" borderId="0" applyNumberFormat="0" applyBorder="0" applyAlignment="0" applyProtection="0">
      <alignment vertical="center"/>
    </xf>
    <xf numFmtId="0" fontId="4" fillId="13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15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6" fillId="0" borderId="1" applyNumberFormat="0" applyFill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8" fillId="17" borderId="2" applyNumberFormat="0" applyAlignment="0" applyProtection="0">
      <alignment vertical="center"/>
    </xf>
    <xf numFmtId="0" fontId="9" fillId="0" borderId="3" applyNumberFormat="0" applyFill="0" applyAlignment="0" applyProtection="0">
      <alignment vertical="center"/>
    </xf>
    <xf numFmtId="0" fontId="1" fillId="18" borderId="4" applyNumberFormat="0" applyFont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4" fillId="19" borderId="0" applyNumberFormat="0" applyBorder="0" applyAlignment="0" applyProtection="0">
      <alignment vertical="center"/>
    </xf>
    <xf numFmtId="0" fontId="4" fillId="20" borderId="0" applyNumberFormat="0" applyBorder="0" applyAlignment="0" applyProtection="0">
      <alignment vertical="center"/>
    </xf>
    <xf numFmtId="0" fontId="4" fillId="21" borderId="0" applyNumberFormat="0" applyBorder="0" applyAlignment="0" applyProtection="0">
      <alignment vertical="center"/>
    </xf>
    <xf numFmtId="0" fontId="4" fillId="13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2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1" fillId="0" borderId="0">
      <alignment vertical="center"/>
    </xf>
    <xf numFmtId="0" fontId="1" fillId="0" borderId="0">
      <alignment vertical="center"/>
    </xf>
    <xf numFmtId="0" fontId="12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2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" fillId="0" borderId="0"/>
    <xf numFmtId="0" fontId="1" fillId="0" borderId="0"/>
    <xf numFmtId="0" fontId="14" fillId="0" borderId="0" applyNumberFormat="0" applyFill="0" applyBorder="0" applyAlignment="0" applyProtection="0">
      <alignment vertical="center"/>
    </xf>
    <xf numFmtId="0" fontId="15" fillId="0" borderId="5" applyNumberFormat="0" applyFill="0" applyAlignment="0" applyProtection="0">
      <alignment vertical="center"/>
    </xf>
    <xf numFmtId="0" fontId="16" fillId="0" borderId="6" applyNumberFormat="0" applyFill="0" applyAlignment="0" applyProtection="0">
      <alignment vertical="center"/>
    </xf>
    <xf numFmtId="0" fontId="17" fillId="0" borderId="7" applyNumberFormat="0" applyFill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7" borderId="2" applyNumberFormat="0" applyAlignment="0" applyProtection="0">
      <alignment vertical="center"/>
    </xf>
    <xf numFmtId="0" fontId="19" fillId="17" borderId="8" applyNumberFormat="0" applyAlignment="0" applyProtection="0">
      <alignment vertical="center"/>
    </xf>
    <xf numFmtId="0" fontId="20" fillId="23" borderId="9" applyNumberFormat="0" applyAlignment="0" applyProtection="0">
      <alignment vertical="center"/>
    </xf>
    <xf numFmtId="0" fontId="21" fillId="3" borderId="0" applyNumberFormat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</cellStyleXfs>
  <cellXfs count="29">
    <xf numFmtId="0" fontId="0" fillId="0" borderId="0" xfId="0">
      <alignment vertical="center"/>
    </xf>
    <xf numFmtId="0" fontId="23" fillId="0" borderId="0" xfId="0" applyFont="1">
      <alignment vertical="center"/>
    </xf>
    <xf numFmtId="0" fontId="0" fillId="0" borderId="0" xfId="0" applyAlignment="1">
      <alignment vertical="center" wrapText="1"/>
    </xf>
    <xf numFmtId="0" fontId="23" fillId="0" borderId="0" xfId="0" applyFont="1" applyAlignment="1">
      <alignment vertical="center" wrapText="1"/>
    </xf>
    <xf numFmtId="0" fontId="0" fillId="0" borderId="0" xfId="0" applyAlignment="1">
      <alignment horizontal="center" vertical="center"/>
    </xf>
    <xf numFmtId="0" fontId="24" fillId="24" borderId="0" xfId="0" applyFont="1" applyFill="1" applyAlignment="1">
      <alignment horizontal="center" vertical="center"/>
    </xf>
    <xf numFmtId="49" fontId="24" fillId="24" borderId="0" xfId="0" applyNumberFormat="1" applyFont="1" applyFill="1" applyAlignment="1">
      <alignment horizontal="center" vertical="center"/>
    </xf>
    <xf numFmtId="49" fontId="0" fillId="0" borderId="0" xfId="0" applyNumberFormat="1">
      <alignment vertical="center"/>
    </xf>
    <xf numFmtId="49" fontId="24" fillId="24" borderId="0" xfId="0" applyNumberFormat="1" applyFont="1" applyFill="1">
      <alignment vertical="center"/>
    </xf>
    <xf numFmtId="49" fontId="0" fillId="0" borderId="0" xfId="0" applyNumberFormat="1" applyAlignment="1">
      <alignment horizontal="center" vertical="center"/>
    </xf>
    <xf numFmtId="0" fontId="28" fillId="0" borderId="0" xfId="0" applyFont="1">
      <alignment vertical="center"/>
    </xf>
    <xf numFmtId="0" fontId="27" fillId="0" borderId="0" xfId="0" applyFont="1">
      <alignment vertical="center"/>
    </xf>
    <xf numFmtId="49" fontId="25" fillId="0" borderId="0" xfId="0" applyNumberFormat="1" applyFont="1" applyAlignment="1">
      <alignment horizontal="center" vertical="center"/>
    </xf>
    <xf numFmtId="49" fontId="26" fillId="25" borderId="0" xfId="0" applyNumberFormat="1" applyFont="1" applyFill="1" applyAlignment="1">
      <alignment horizontal="center" vertical="center"/>
    </xf>
    <xf numFmtId="49" fontId="0" fillId="26" borderId="0" xfId="0" applyNumberFormat="1" applyFill="1" applyAlignment="1">
      <alignment horizontal="center" vertical="center"/>
    </xf>
    <xf numFmtId="49" fontId="25" fillId="0" borderId="0" xfId="0" applyNumberFormat="1" applyFont="1" applyAlignment="1">
      <alignment horizontal="left" vertical="center"/>
    </xf>
    <xf numFmtId="49" fontId="0" fillId="0" borderId="0" xfId="0" applyNumberFormat="1" applyAlignment="1">
      <alignment horizontal="left" vertical="center"/>
    </xf>
    <xf numFmtId="49" fontId="29" fillId="24" borderId="0" xfId="0" applyNumberFormat="1" applyFont="1" applyFill="1" applyAlignment="1">
      <alignment horizontal="left" vertical="center"/>
    </xf>
    <xf numFmtId="0" fontId="30" fillId="0" borderId="0" xfId="0" applyFont="1" applyAlignment="1">
      <alignment horizontal="center" vertical="center"/>
    </xf>
    <xf numFmtId="49" fontId="26" fillId="24" borderId="0" xfId="0" applyNumberFormat="1" applyFont="1" applyFill="1" applyAlignment="1">
      <alignment horizontal="center" vertical="center"/>
    </xf>
    <xf numFmtId="0" fontId="31" fillId="0" borderId="0" xfId="0" applyFont="1">
      <alignment vertical="center"/>
    </xf>
    <xf numFmtId="176" fontId="29" fillId="24" borderId="0" xfId="0" applyNumberFormat="1" applyFont="1" applyFill="1" applyAlignment="1">
      <alignment horizontal="left" vertical="center"/>
    </xf>
    <xf numFmtId="176" fontId="0" fillId="0" borderId="0" xfId="0" applyNumberFormat="1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0" fontId="32" fillId="0" borderId="0" xfId="0" applyFont="1" applyAlignment="1">
      <alignment horizontal="center" vertical="center" wrapText="1"/>
    </xf>
    <xf numFmtId="177" fontId="0" fillId="0" borderId="0" xfId="0" applyNumberFormat="1" applyAlignment="1">
      <alignment horizontal="center" vertical="center"/>
    </xf>
    <xf numFmtId="0" fontId="33" fillId="0" borderId="0" xfId="0" applyFont="1">
      <alignment vertical="center"/>
    </xf>
    <xf numFmtId="0" fontId="34" fillId="0" borderId="0" xfId="0" applyFont="1">
      <alignment vertical="center"/>
    </xf>
    <xf numFmtId="0" fontId="36" fillId="0" borderId="0" xfId="0" applyFont="1">
      <alignment vertical="center"/>
    </xf>
  </cellXfs>
  <cellStyles count="64">
    <cellStyle name="20% - 輔色1" xfId="1" builtinId="30" customBuiltin="1"/>
    <cellStyle name="20% - 輔色2" xfId="2" builtinId="34" customBuiltin="1"/>
    <cellStyle name="20% - 輔色3" xfId="3" builtinId="38" customBuiltin="1"/>
    <cellStyle name="20% - 輔色4" xfId="4" builtinId="42" customBuiltin="1"/>
    <cellStyle name="20% - 輔色5" xfId="5" builtinId="46" customBuiltin="1"/>
    <cellStyle name="20% - 輔色6" xfId="6" builtinId="50" customBuiltin="1"/>
    <cellStyle name="40% - 輔色1" xfId="7" builtinId="31" customBuiltin="1"/>
    <cellStyle name="40% - 輔色2" xfId="8" builtinId="35" customBuiltin="1"/>
    <cellStyle name="40% - 輔色3" xfId="9" builtinId="39" customBuiltin="1"/>
    <cellStyle name="40% - 輔色4" xfId="10" builtinId="43" customBuiltin="1"/>
    <cellStyle name="40% - 輔色5" xfId="11" builtinId="47" customBuiltin="1"/>
    <cellStyle name="40% - 輔色6" xfId="12" builtinId="51" customBuiltin="1"/>
    <cellStyle name="60% - 輔色1" xfId="13" builtinId="32" customBuiltin="1"/>
    <cellStyle name="60% - 輔色2" xfId="14" builtinId="36" customBuiltin="1"/>
    <cellStyle name="60% - 輔色3" xfId="15" builtinId="40" customBuiltin="1"/>
    <cellStyle name="60% - 輔色4" xfId="16" builtinId="44" customBuiltin="1"/>
    <cellStyle name="60% - 輔色5" xfId="17" builtinId="48" customBuiltin="1"/>
    <cellStyle name="60% - 輔色6" xfId="18" builtinId="52" customBuiltin="1"/>
    <cellStyle name="一般" xfId="0" builtinId="0"/>
    <cellStyle name="中等" xfId="19" builtinId="28" customBuiltin="1"/>
    <cellStyle name="合計" xfId="20" builtinId="25" customBuiltin="1"/>
    <cellStyle name="好" xfId="21" builtinId="26" customBuiltin="1"/>
    <cellStyle name="計算方式" xfId="22" builtinId="22" customBuiltin="1"/>
    <cellStyle name="連結的儲存格" xfId="23" builtinId="24" customBuiltin="1"/>
    <cellStyle name="備註" xfId="24" builtinId="10" customBuiltin="1"/>
    <cellStyle name="說明文字" xfId="25" builtinId="53" customBuiltin="1"/>
    <cellStyle name="輔色1" xfId="26" builtinId="29" customBuiltin="1"/>
    <cellStyle name="輔色2" xfId="27" builtinId="33" customBuiltin="1"/>
    <cellStyle name="輔色3" xfId="28" builtinId="37" customBuiltin="1"/>
    <cellStyle name="輔色4" xfId="29" builtinId="41" customBuiltin="1"/>
    <cellStyle name="輔色5" xfId="30" builtinId="45" customBuiltin="1"/>
    <cellStyle name="輔色6" xfId="31" builtinId="49" customBuiltin="1"/>
    <cellStyle name="標準 10" xfId="32" xr:uid="{00000000-0005-0000-0000-000021000000}"/>
    <cellStyle name="標準 11" xfId="33" xr:uid="{00000000-0005-0000-0000-000022000000}"/>
    <cellStyle name="標準 12" xfId="34" xr:uid="{00000000-0005-0000-0000-000023000000}"/>
    <cellStyle name="標準 13" xfId="35" xr:uid="{00000000-0005-0000-0000-000024000000}"/>
    <cellStyle name="標準 14" xfId="36" xr:uid="{00000000-0005-0000-0000-000025000000}"/>
    <cellStyle name="標準 19" xfId="37" xr:uid="{00000000-0005-0000-0000-000026000000}"/>
    <cellStyle name="標準 2" xfId="38" xr:uid="{00000000-0005-0000-0000-000027000000}"/>
    <cellStyle name="標準 2 2" xfId="39" xr:uid="{00000000-0005-0000-0000-000028000000}"/>
    <cellStyle name="標準 2 3" xfId="40" xr:uid="{00000000-0005-0000-0000-000029000000}"/>
    <cellStyle name="標準 2 4" xfId="41" xr:uid="{00000000-0005-0000-0000-00002A000000}"/>
    <cellStyle name="標準 2 5" xfId="42" xr:uid="{00000000-0005-0000-0000-00002B000000}"/>
    <cellStyle name="標準 2 6" xfId="43" xr:uid="{00000000-0005-0000-0000-00002C000000}"/>
    <cellStyle name="標準 3" xfId="44" xr:uid="{00000000-0005-0000-0000-00002D000000}"/>
    <cellStyle name="標準 3 2" xfId="45" xr:uid="{00000000-0005-0000-0000-00002E000000}"/>
    <cellStyle name="標準 3 3" xfId="46" xr:uid="{00000000-0005-0000-0000-00002F000000}"/>
    <cellStyle name="標準 3 4" xfId="47" xr:uid="{00000000-0005-0000-0000-000030000000}"/>
    <cellStyle name="標準 4" xfId="48" xr:uid="{00000000-0005-0000-0000-000031000000}"/>
    <cellStyle name="標準 5" xfId="49" xr:uid="{00000000-0005-0000-0000-000032000000}"/>
    <cellStyle name="標準 6" xfId="50" xr:uid="{00000000-0005-0000-0000-000033000000}"/>
    <cellStyle name="標準 7" xfId="51" xr:uid="{00000000-0005-0000-0000-000034000000}"/>
    <cellStyle name="標準 8" xfId="52" xr:uid="{00000000-0005-0000-0000-000035000000}"/>
    <cellStyle name="標準 9" xfId="53" xr:uid="{00000000-0005-0000-0000-000036000000}"/>
    <cellStyle name="標題" xfId="54" builtinId="15" customBuiltin="1"/>
    <cellStyle name="標題 1" xfId="55" builtinId="16" customBuiltin="1"/>
    <cellStyle name="標題 2" xfId="56" builtinId="17" customBuiltin="1"/>
    <cellStyle name="標題 3" xfId="57" builtinId="18" customBuiltin="1"/>
    <cellStyle name="標題 4" xfId="58" builtinId="19" customBuiltin="1"/>
    <cellStyle name="輸入" xfId="59" builtinId="20" customBuiltin="1"/>
    <cellStyle name="輸出" xfId="60" builtinId="21" customBuiltin="1"/>
    <cellStyle name="檢查儲存格" xfId="61" builtinId="23" customBuiltin="1"/>
    <cellStyle name="壞" xfId="62" builtinId="27" customBuiltin="1"/>
    <cellStyle name="警告文字" xfId="63" builtinId="11" customBuiltin="1"/>
  </cellStyles>
  <dxfs count="6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theme="7" tint="0.7999816888943144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color theme="3" tint="0.39994506668294322"/>
      </font>
      <fill>
        <patternFill patternType="none">
          <bgColor auto="1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8" tint="0.59996337778862885"/>
        </patternFill>
      </fill>
    </dxf>
    <dxf>
      <fill>
        <patternFill>
          <bgColor theme="9" tint="0.7999816888943144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hcook-win\STG%20project\Assets\Setting\Stage7_Normal\stage7_9&#32066;boss%20-%20&#31526;5&#23376;&#24392;2.xlsm" TargetMode="External"/><Relationship Id="rId1" Type="http://schemas.openxmlformats.org/officeDocument/2006/relationships/externalLinkPath" Target="stage7_9&#32066;boss%20-%20&#31526;5&#23376;&#24392;2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tage7_card5shot2"/>
      <sheetName val="#ALIAS"/>
      <sheetName val="#DEFINE"/>
      <sheetName val="#OPTION"/>
      <sheetName val="#PARAM"/>
      <sheetName val="#OUTPUT"/>
      <sheetName val="#使用說明"/>
    </sheetNames>
    <sheetDataSet>
      <sheetData sheetId="0"/>
      <sheetData sheetId="1"/>
      <sheetData sheetId="2"/>
      <sheetData sheetId="3"/>
      <sheetData sheetId="4"/>
      <sheetData sheetId="5"/>
      <sheetData sheetId="6"/>
    </sheetDataSet>
  </externalBook>
</externalLink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J512"/>
  <sheetViews>
    <sheetView zoomScale="115" zoomScaleNormal="115" workbookViewId="0">
      <pane ySplit="1" topLeftCell="A5" activePane="bottomLeft" state="frozen"/>
      <selection pane="bottomLeft" activeCell="O13" sqref="O13"/>
    </sheetView>
  </sheetViews>
  <sheetFormatPr defaultRowHeight="19.5"/>
  <cols>
    <col min="1" max="4" width="4.125" style="22" customWidth="1"/>
    <col min="5" max="5" width="9" style="9"/>
    <col min="6" max="6" width="16.125" style="9" bestFit="1" customWidth="1"/>
    <col min="7" max="7" width="7.375" style="23" customWidth="1"/>
    <col min="8" max="8" width="7.375" style="9" customWidth="1"/>
    <col min="9" max="10" width="9" style="9"/>
    <col min="11" max="11" width="16" style="9" customWidth="1"/>
    <col min="12" max="12" width="22.375" style="9" customWidth="1"/>
    <col min="13" max="13" width="14.625" style="9" bestFit="1" customWidth="1"/>
    <col min="14" max="14" width="12.625" style="9" bestFit="1" customWidth="1"/>
    <col min="15" max="15" width="24.375" style="23" bestFit="1" customWidth="1"/>
    <col min="16" max="16" width="16.125" style="9" bestFit="1" customWidth="1"/>
    <col min="17" max="17" width="12.625" style="9" bestFit="1" customWidth="1"/>
    <col min="18" max="18" width="13.875" style="9" bestFit="1" customWidth="1"/>
    <col min="19" max="19" width="9" style="9"/>
    <col min="20" max="20" width="8" style="9" bestFit="1" customWidth="1"/>
    <col min="21" max="21" width="9.25" style="12" bestFit="1" customWidth="1"/>
    <col min="22" max="22" width="13.875" style="9" bestFit="1" customWidth="1"/>
    <col min="23" max="23" width="13.25" style="9" bestFit="1" customWidth="1"/>
    <col min="24" max="24" width="10.5" style="12" bestFit="1" customWidth="1"/>
    <col min="25" max="25" width="16.125" style="12" bestFit="1" customWidth="1"/>
    <col min="26" max="26" width="16.125" style="12" customWidth="1"/>
    <col min="27" max="28" width="16.125" style="15" bestFit="1" customWidth="1"/>
    <col min="29" max="33" width="13.25" style="15" bestFit="1" customWidth="1"/>
    <col min="34" max="35" width="13.25" style="16" bestFit="1" customWidth="1"/>
    <col min="36" max="62" width="14.625" style="16" bestFit="1" customWidth="1"/>
    <col min="63" max="16384" width="9" style="9"/>
  </cols>
  <sheetData>
    <row r="1" spans="1:58" s="17" customFormat="1">
      <c r="A1" s="21"/>
      <c r="B1" s="21"/>
      <c r="C1" s="21"/>
      <c r="D1" s="21"/>
      <c r="E1" s="17" t="s">
        <v>50</v>
      </c>
      <c r="F1" s="19" t="s">
        <v>27</v>
      </c>
      <c r="K1" s="17" t="s">
        <v>142</v>
      </c>
      <c r="L1" s="17" t="s">
        <v>143</v>
      </c>
      <c r="M1" s="17" t="s">
        <v>51</v>
      </c>
      <c r="N1" s="6" t="s">
        <v>46</v>
      </c>
      <c r="O1" s="23" t="s">
        <v>96</v>
      </c>
      <c r="P1" s="6" t="s">
        <v>97</v>
      </c>
      <c r="Q1" s="6" t="s">
        <v>53</v>
      </c>
      <c r="R1" s="6" t="s">
        <v>54</v>
      </c>
      <c r="S1" s="6" t="s">
        <v>55</v>
      </c>
      <c r="T1" s="6" t="s">
        <v>56</v>
      </c>
      <c r="U1" s="6" t="s">
        <v>57</v>
      </c>
      <c r="V1" s="6" t="s">
        <v>58</v>
      </c>
      <c r="W1" s="6" t="s">
        <v>59</v>
      </c>
      <c r="X1" s="6" t="s">
        <v>60</v>
      </c>
      <c r="Y1" s="6" t="s">
        <v>61</v>
      </c>
      <c r="Z1" s="6" t="s">
        <v>62</v>
      </c>
      <c r="AA1" s="6" t="s">
        <v>63</v>
      </c>
      <c r="AB1" s="6" t="s">
        <v>64</v>
      </c>
      <c r="AC1" s="6" t="s">
        <v>65</v>
      </c>
      <c r="AD1" s="6" t="s">
        <v>66</v>
      </c>
      <c r="AE1" s="6" t="s">
        <v>67</v>
      </c>
      <c r="AF1" s="6" t="s">
        <v>68</v>
      </c>
      <c r="AG1" s="6" t="s">
        <v>69</v>
      </c>
      <c r="AH1" s="6" t="s">
        <v>70</v>
      </c>
      <c r="AI1" s="6" t="s">
        <v>71</v>
      </c>
      <c r="AJ1" s="6" t="s">
        <v>72</v>
      </c>
      <c r="AK1" s="6" t="s">
        <v>73</v>
      </c>
      <c r="AL1" s="6" t="s">
        <v>74</v>
      </c>
      <c r="AM1" s="6" t="s">
        <v>75</v>
      </c>
      <c r="AN1" s="6" t="s">
        <v>76</v>
      </c>
      <c r="AO1" s="6" t="s">
        <v>77</v>
      </c>
      <c r="AP1" s="6" t="s">
        <v>78</v>
      </c>
      <c r="AQ1" s="6" t="s">
        <v>79</v>
      </c>
      <c r="AR1" s="6" t="s">
        <v>80</v>
      </c>
      <c r="AS1" s="6" t="s">
        <v>81</v>
      </c>
      <c r="AT1" s="6" t="s">
        <v>82</v>
      </c>
      <c r="AU1" s="6" t="s">
        <v>83</v>
      </c>
      <c r="AV1" s="6" t="s">
        <v>84</v>
      </c>
      <c r="AW1" s="6" t="s">
        <v>85</v>
      </c>
      <c r="AX1" s="6" t="s">
        <v>86</v>
      </c>
      <c r="AY1" s="6" t="s">
        <v>87</v>
      </c>
      <c r="AZ1" s="6" t="s">
        <v>88</v>
      </c>
      <c r="BA1" s="6" t="s">
        <v>89</v>
      </c>
      <c r="BB1" s="6" t="s">
        <v>90</v>
      </c>
      <c r="BC1" s="6" t="s">
        <v>91</v>
      </c>
      <c r="BD1" s="6" t="s">
        <v>92</v>
      </c>
      <c r="BE1" s="6" t="s">
        <v>93</v>
      </c>
      <c r="BF1" s="6" t="s">
        <v>94</v>
      </c>
    </row>
    <row r="2" spans="1:58">
      <c r="E2" s="4"/>
    </row>
    <row r="3" spans="1:58">
      <c r="E3" s="4"/>
    </row>
    <row r="4" spans="1:58">
      <c r="E4" s="4"/>
    </row>
    <row r="5" spans="1:58">
      <c r="E5" s="4"/>
    </row>
    <row r="6" spans="1:58">
      <c r="E6" s="4"/>
    </row>
    <row r="7" spans="1:58">
      <c r="A7" s="23">
        <f>G9*H9</f>
        <v>22</v>
      </c>
      <c r="B7" s="9"/>
      <c r="C7" s="9"/>
      <c r="D7" s="9"/>
      <c r="E7" s="4"/>
    </row>
    <row r="8" spans="1:58">
      <c r="A8" s="9" t="s">
        <v>236</v>
      </c>
      <c r="B8" s="23">
        <f>QUOTIENT( D8-1,G9)+1</f>
        <v>1</v>
      </c>
      <c r="C8" s="23">
        <f>D8-(B8-1)*G9</f>
        <v>1</v>
      </c>
      <c r="D8" s="23">
        <f>COUNT($D7:$D$7)+1</f>
        <v>1</v>
      </c>
      <c r="E8" s="4"/>
    </row>
    <row r="9" spans="1:58">
      <c r="E9" s="4">
        <f t="shared" ref="E9:E72" si="0">ROW(E9)</f>
        <v>9</v>
      </c>
      <c r="F9" s="9" t="s">
        <v>95</v>
      </c>
      <c r="G9" s="23">
        <v>11</v>
      </c>
      <c r="H9" s="9" t="s">
        <v>237</v>
      </c>
      <c r="J9" s="23">
        <v>10700</v>
      </c>
      <c r="O9" s="23">
        <f>$J$9+D8</f>
        <v>10701</v>
      </c>
    </row>
    <row r="10" spans="1:58">
      <c r="E10" s="4">
        <f t="shared" si="0"/>
        <v>10</v>
      </c>
      <c r="F10" s="9" t="s">
        <v>153</v>
      </c>
      <c r="O10" s="23">
        <v>1450</v>
      </c>
    </row>
    <row r="11" spans="1:58">
      <c r="E11" s="4">
        <f t="shared" si="0"/>
        <v>11</v>
      </c>
      <c r="F11" s="9" t="s">
        <v>35</v>
      </c>
      <c r="O11" s="23">
        <v>60</v>
      </c>
    </row>
    <row r="12" spans="1:58">
      <c r="E12" s="4">
        <f t="shared" si="0"/>
        <v>12</v>
      </c>
      <c r="F12" s="9" t="s">
        <v>29</v>
      </c>
      <c r="O12" s="23" t="s">
        <v>147</v>
      </c>
    </row>
    <row r="13" spans="1:58">
      <c r="E13" s="4">
        <f t="shared" si="0"/>
        <v>13</v>
      </c>
      <c r="F13" s="9" t="s">
        <v>120</v>
      </c>
      <c r="O13" s="23" t="s">
        <v>146</v>
      </c>
    </row>
    <row r="14" spans="1:58">
      <c r="E14" s="4">
        <f t="shared" si="0"/>
        <v>14</v>
      </c>
      <c r="F14" s="9" t="s">
        <v>115</v>
      </c>
      <c r="G14" s="23" t="b">
        <f>MOD(B8,2)=0</f>
        <v>0</v>
      </c>
      <c r="H14" s="23">
        <v>-90</v>
      </c>
      <c r="I14" s="9" t="s">
        <v>149</v>
      </c>
      <c r="J14" s="23">
        <v>-1</v>
      </c>
      <c r="L14" s="9" t="s">
        <v>136</v>
      </c>
      <c r="O14" s="23">
        <f>$H$14*IF(G14,$I$14,$J$14)</f>
        <v>90</v>
      </c>
    </row>
    <row r="15" spans="1:58">
      <c r="E15" s="4">
        <f t="shared" si="0"/>
        <v>15</v>
      </c>
      <c r="F15" s="9" t="s">
        <v>100</v>
      </c>
      <c r="G15" s="23" t="b">
        <f>MOD(B8,2)=0</f>
        <v>0</v>
      </c>
      <c r="K15" s="9" t="s">
        <v>138</v>
      </c>
      <c r="O15" s="23" t="str">
        <f>CONCATENATE(IF(G15,$G$16,$H$16),",",$I$16+$J$16*(MOD(D8-1,$G$9)+1))</f>
        <v>-6,4</v>
      </c>
    </row>
    <row r="16" spans="1:58">
      <c r="E16" s="4"/>
      <c r="G16" s="9" t="s">
        <v>148</v>
      </c>
      <c r="H16" s="9" t="s">
        <v>150</v>
      </c>
      <c r="I16" s="25">
        <v>4.8</v>
      </c>
      <c r="J16" s="9" t="s">
        <v>151</v>
      </c>
    </row>
    <row r="17" spans="1:15">
      <c r="E17" s="4">
        <f t="shared" si="0"/>
        <v>17</v>
      </c>
      <c r="F17" s="9" t="s">
        <v>30</v>
      </c>
      <c r="O17" s="23">
        <v>1.4</v>
      </c>
    </row>
    <row r="18" spans="1:15">
      <c r="E18" s="4">
        <f t="shared" si="0"/>
        <v>18</v>
      </c>
      <c r="F18" s="9" t="s">
        <v>31</v>
      </c>
      <c r="G18" s="23" t="b">
        <f>MOD(B8,2)=0</f>
        <v>0</v>
      </c>
      <c r="H18" s="23">
        <v>180</v>
      </c>
      <c r="I18" s="9" t="s">
        <v>149</v>
      </c>
      <c r="J18" s="23">
        <v>0</v>
      </c>
      <c r="L18" s="9" t="s">
        <v>136</v>
      </c>
      <c r="O18" s="23">
        <f>IF(G18,$H$18*$I$18,$H$18*$J$18)</f>
        <v>0</v>
      </c>
    </row>
    <row r="19" spans="1:15">
      <c r="E19" s="4">
        <f t="shared" si="0"/>
        <v>19</v>
      </c>
      <c r="F19" s="9" t="s">
        <v>103</v>
      </c>
      <c r="O19" s="23">
        <f>O9*10+1</f>
        <v>107011</v>
      </c>
    </row>
    <row r="20" spans="1:15">
      <c r="E20" s="4">
        <f t="shared" si="0"/>
        <v>20</v>
      </c>
      <c r="F20" s="9" t="s">
        <v>145</v>
      </c>
      <c r="O20" s="23">
        <f>O9</f>
        <v>10701</v>
      </c>
    </row>
    <row r="21" spans="1:15">
      <c r="E21" s="4">
        <f t="shared" si="0"/>
        <v>21</v>
      </c>
      <c r="F21" s="9" t="s">
        <v>129</v>
      </c>
      <c r="G21" s="9"/>
      <c r="O21" s="23">
        <v>0</v>
      </c>
    </row>
    <row r="22" spans="1:15">
      <c r="E22" s="4">
        <f t="shared" si="0"/>
        <v>22</v>
      </c>
      <c r="F22" s="9" t="s">
        <v>35</v>
      </c>
      <c r="G22" s="23" t="b">
        <f>MOD(D8,2)=0</f>
        <v>0</v>
      </c>
      <c r="H22" s="23">
        <v>170</v>
      </c>
      <c r="I22" s="9" t="s">
        <v>152</v>
      </c>
      <c r="J22" s="23">
        <v>0</v>
      </c>
      <c r="O22" s="23">
        <f>$H$22+IF(G22,$I$22,$J$22)</f>
        <v>170</v>
      </c>
    </row>
    <row r="23" spans="1:15">
      <c r="E23" s="4">
        <f t="shared" si="0"/>
        <v>23</v>
      </c>
      <c r="F23" s="9" t="s">
        <v>30</v>
      </c>
      <c r="O23" s="23">
        <v>0</v>
      </c>
    </row>
    <row r="24" spans="1:15">
      <c r="E24" s="4">
        <f t="shared" si="0"/>
        <v>24</v>
      </c>
      <c r="F24" s="9" t="s">
        <v>115</v>
      </c>
      <c r="L24" s="9" t="s">
        <v>136</v>
      </c>
      <c r="O24" s="23">
        <f>O14</f>
        <v>90</v>
      </c>
    </row>
    <row r="25" spans="1:15">
      <c r="E25" s="4">
        <f t="shared" si="0"/>
        <v>25</v>
      </c>
      <c r="F25" s="9" t="s">
        <v>103</v>
      </c>
      <c r="O25" s="23">
        <f>O19+1</f>
        <v>107012</v>
      </c>
    </row>
    <row r="26" spans="1:15">
      <c r="E26" s="4">
        <f t="shared" si="0"/>
        <v>26</v>
      </c>
      <c r="F26" s="9" t="s">
        <v>145</v>
      </c>
      <c r="O26" s="23">
        <f>O19</f>
        <v>107011</v>
      </c>
    </row>
    <row r="27" spans="1:15">
      <c r="E27" s="4">
        <f t="shared" si="0"/>
        <v>27</v>
      </c>
      <c r="F27" s="9" t="s">
        <v>129</v>
      </c>
      <c r="O27" s="23">
        <v>0</v>
      </c>
    </row>
    <row r="28" spans="1:15">
      <c r="E28" s="4">
        <f t="shared" si="0"/>
        <v>28</v>
      </c>
      <c r="F28" s="9" t="s">
        <v>30</v>
      </c>
      <c r="O28" s="23">
        <v>3</v>
      </c>
    </row>
    <row r="29" spans="1:15">
      <c r="E29" s="4">
        <f t="shared" si="0"/>
        <v>29</v>
      </c>
      <c r="F29" s="9" t="s">
        <v>115</v>
      </c>
      <c r="L29" s="9" t="s">
        <v>136</v>
      </c>
      <c r="O29" s="23">
        <f>O24</f>
        <v>90</v>
      </c>
    </row>
    <row r="30" spans="1:15">
      <c r="A30" s="22" t="s">
        <v>236</v>
      </c>
      <c r="B30" s="22">
        <f t="shared" ref="B30" si="1">QUOTIENT( D30-1,G31)+1</f>
        <v>1</v>
      </c>
      <c r="C30" s="22">
        <f t="shared" ref="C30" si="2">D30-(B30-1)*G31</f>
        <v>2</v>
      </c>
      <c r="D30" s="22">
        <f>COUNT($D$7:$D29)+1</f>
        <v>2</v>
      </c>
      <c r="E30" s="4"/>
    </row>
    <row r="31" spans="1:15">
      <c r="E31" s="4">
        <f t="shared" si="0"/>
        <v>31</v>
      </c>
      <c r="F31" s="9" t="s">
        <v>95</v>
      </c>
      <c r="G31" s="23">
        <v>11</v>
      </c>
      <c r="H31" s="9" t="s">
        <v>37</v>
      </c>
      <c r="J31" s="9">
        <v>10700</v>
      </c>
      <c r="O31" s="23">
        <f t="shared" ref="O31" si="3">$J$9+D30</f>
        <v>10702</v>
      </c>
    </row>
    <row r="32" spans="1:15">
      <c r="E32" s="4">
        <f t="shared" si="0"/>
        <v>32</v>
      </c>
      <c r="F32" s="9" t="s">
        <v>153</v>
      </c>
      <c r="O32" s="23">
        <v>1450</v>
      </c>
    </row>
    <row r="33" spans="5:15">
      <c r="E33" s="4">
        <f t="shared" si="0"/>
        <v>33</v>
      </c>
      <c r="F33" s="9" t="s">
        <v>35</v>
      </c>
      <c r="O33" s="23">
        <v>60</v>
      </c>
    </row>
    <row r="34" spans="5:15">
      <c r="E34" s="4">
        <f t="shared" si="0"/>
        <v>34</v>
      </c>
      <c r="F34" s="9" t="s">
        <v>29</v>
      </c>
      <c r="O34" s="23" t="s">
        <v>147</v>
      </c>
    </row>
    <row r="35" spans="5:15">
      <c r="E35" s="4">
        <f t="shared" si="0"/>
        <v>35</v>
      </c>
      <c r="F35" s="9" t="s">
        <v>120</v>
      </c>
      <c r="O35" s="23" t="s">
        <v>146</v>
      </c>
    </row>
    <row r="36" spans="5:15">
      <c r="E36" s="4">
        <f t="shared" si="0"/>
        <v>36</v>
      </c>
      <c r="F36" s="9" t="s">
        <v>115</v>
      </c>
      <c r="G36" s="23" t="b">
        <f t="shared" ref="G36" si="4">MOD(B30,2)=0</f>
        <v>0</v>
      </c>
      <c r="H36" s="9">
        <v>-90</v>
      </c>
      <c r="I36" s="9" t="s">
        <v>238</v>
      </c>
      <c r="J36" s="9">
        <v>-1</v>
      </c>
      <c r="L36" s="9" t="s">
        <v>136</v>
      </c>
      <c r="O36" s="23">
        <f t="shared" ref="O36" si="5">$H$14*IF(G36,$I$14,$J$14)</f>
        <v>90</v>
      </c>
    </row>
    <row r="37" spans="5:15">
      <c r="E37" s="4">
        <f t="shared" si="0"/>
        <v>37</v>
      </c>
      <c r="F37" s="9" t="s">
        <v>100</v>
      </c>
      <c r="G37" s="23" t="b">
        <f t="shared" ref="G37" si="6">MOD(B30,2)=0</f>
        <v>0</v>
      </c>
      <c r="K37" s="9" t="s">
        <v>138</v>
      </c>
      <c r="O37" s="23" t="str">
        <f t="shared" ref="O37" si="7">CONCATENATE(IF(G37,$G$16,$H$16),",",$I$16+$J$16*(MOD(D30-1,$G$9)+1))</f>
        <v>-6,3.2</v>
      </c>
    </row>
    <row r="38" spans="5:15">
      <c r="E38" s="4"/>
      <c r="G38" s="23" t="s">
        <v>32</v>
      </c>
      <c r="H38" s="9" t="s">
        <v>239</v>
      </c>
      <c r="I38" s="9">
        <v>4.8</v>
      </c>
      <c r="J38" s="9" t="s">
        <v>240</v>
      </c>
    </row>
    <row r="39" spans="5:15">
      <c r="E39" s="4">
        <f t="shared" si="0"/>
        <v>39</v>
      </c>
      <c r="F39" s="9" t="s">
        <v>30</v>
      </c>
      <c r="O39" s="23">
        <v>1.4</v>
      </c>
    </row>
    <row r="40" spans="5:15">
      <c r="E40" s="4">
        <f t="shared" si="0"/>
        <v>40</v>
      </c>
      <c r="F40" s="9" t="s">
        <v>31</v>
      </c>
      <c r="G40" s="23" t="b">
        <f t="shared" ref="G40" si="8">MOD(B30,2)=0</f>
        <v>0</v>
      </c>
      <c r="H40" s="9">
        <v>180</v>
      </c>
      <c r="I40" s="9" t="s">
        <v>238</v>
      </c>
      <c r="J40" s="9">
        <v>0</v>
      </c>
      <c r="L40" s="9" t="s">
        <v>136</v>
      </c>
      <c r="O40" s="23">
        <f t="shared" ref="O40" si="9">IF(G40,$H$18*$I$18,$H$18*$J$18)</f>
        <v>0</v>
      </c>
    </row>
    <row r="41" spans="5:15">
      <c r="E41" s="4">
        <f t="shared" si="0"/>
        <v>41</v>
      </c>
      <c r="F41" s="9" t="s">
        <v>103</v>
      </c>
      <c r="O41" s="23">
        <f t="shared" ref="O41" si="10">O31*10+1</f>
        <v>107021</v>
      </c>
    </row>
    <row r="42" spans="5:15">
      <c r="E42" s="4">
        <f t="shared" si="0"/>
        <v>42</v>
      </c>
      <c r="F42" s="9" t="s">
        <v>145</v>
      </c>
      <c r="O42" s="23">
        <f t="shared" ref="O42" si="11">O31</f>
        <v>10702</v>
      </c>
    </row>
    <row r="43" spans="5:15">
      <c r="E43" s="4">
        <f t="shared" si="0"/>
        <v>43</v>
      </c>
      <c r="F43" s="9" t="s">
        <v>129</v>
      </c>
      <c r="G43" s="9"/>
      <c r="O43" s="23">
        <v>0</v>
      </c>
    </row>
    <row r="44" spans="5:15">
      <c r="E44" s="4">
        <f t="shared" si="0"/>
        <v>44</v>
      </c>
      <c r="F44" s="9" t="s">
        <v>35</v>
      </c>
      <c r="G44" s="23" t="b">
        <f t="shared" ref="G44" si="12">MOD(D30,2)=0</f>
        <v>1</v>
      </c>
      <c r="H44" s="9">
        <v>170</v>
      </c>
      <c r="I44" s="9" t="s">
        <v>241</v>
      </c>
      <c r="J44" s="9">
        <v>0</v>
      </c>
      <c r="O44" s="23">
        <f t="shared" ref="O44" si="13">$H$22+IF(G44,$I$22,$J$22)</f>
        <v>340</v>
      </c>
    </row>
    <row r="45" spans="5:15">
      <c r="E45" s="4">
        <f t="shared" si="0"/>
        <v>45</v>
      </c>
      <c r="F45" s="9" t="s">
        <v>30</v>
      </c>
      <c r="O45" s="23">
        <v>0</v>
      </c>
    </row>
    <row r="46" spans="5:15">
      <c r="E46" s="4">
        <f t="shared" si="0"/>
        <v>46</v>
      </c>
      <c r="F46" s="9" t="s">
        <v>115</v>
      </c>
      <c r="L46" s="9" t="s">
        <v>136</v>
      </c>
      <c r="O46" s="23">
        <f t="shared" ref="O46" si="14">O36</f>
        <v>90</v>
      </c>
    </row>
    <row r="47" spans="5:15">
      <c r="E47" s="4">
        <f t="shared" si="0"/>
        <v>47</v>
      </c>
      <c r="F47" s="9" t="s">
        <v>103</v>
      </c>
      <c r="O47" s="23">
        <f t="shared" ref="O47" si="15">O41+1</f>
        <v>107022</v>
      </c>
    </row>
    <row r="48" spans="5:15">
      <c r="E48" s="4">
        <f t="shared" si="0"/>
        <v>48</v>
      </c>
      <c r="F48" s="9" t="s">
        <v>145</v>
      </c>
      <c r="O48" s="23">
        <f t="shared" ref="O48" si="16">O41</f>
        <v>107021</v>
      </c>
    </row>
    <row r="49" spans="1:15">
      <c r="E49" s="4">
        <f t="shared" si="0"/>
        <v>49</v>
      </c>
      <c r="F49" s="9" t="s">
        <v>129</v>
      </c>
      <c r="O49" s="23">
        <v>0</v>
      </c>
    </row>
    <row r="50" spans="1:15">
      <c r="E50" s="4">
        <f t="shared" si="0"/>
        <v>50</v>
      </c>
      <c r="F50" s="9" t="s">
        <v>30</v>
      </c>
      <c r="O50" s="23">
        <v>3</v>
      </c>
    </row>
    <row r="51" spans="1:15">
      <c r="E51" s="4">
        <f t="shared" si="0"/>
        <v>51</v>
      </c>
      <c r="F51" s="9" t="s">
        <v>115</v>
      </c>
      <c r="L51" s="9" t="s">
        <v>136</v>
      </c>
      <c r="O51" s="23">
        <f t="shared" ref="O51" si="17">O46</f>
        <v>90</v>
      </c>
    </row>
    <row r="52" spans="1:15">
      <c r="A52" s="22" t="s">
        <v>236</v>
      </c>
      <c r="B52" s="22">
        <f t="shared" ref="B52" si="18">QUOTIENT( D52-1,G53)+1</f>
        <v>1</v>
      </c>
      <c r="C52" s="22">
        <f t="shared" ref="C52" si="19">D52-(B52-1)*G53</f>
        <v>3</v>
      </c>
      <c r="D52" s="22">
        <f>COUNT($D$7:$D51)+1</f>
        <v>3</v>
      </c>
      <c r="E52" s="4"/>
    </row>
    <row r="53" spans="1:15">
      <c r="E53" s="4">
        <f t="shared" si="0"/>
        <v>53</v>
      </c>
      <c r="F53" s="9" t="s">
        <v>95</v>
      </c>
      <c r="G53" s="23">
        <v>11</v>
      </c>
      <c r="H53" s="9" t="s">
        <v>37</v>
      </c>
      <c r="J53" s="9">
        <v>10700</v>
      </c>
      <c r="O53" s="23">
        <f t="shared" ref="O53" si="20">$J$9+D52</f>
        <v>10703</v>
      </c>
    </row>
    <row r="54" spans="1:15">
      <c r="E54" s="4">
        <f t="shared" si="0"/>
        <v>54</v>
      </c>
      <c r="F54" s="9" t="s">
        <v>153</v>
      </c>
      <c r="O54" s="23">
        <v>1450</v>
      </c>
    </row>
    <row r="55" spans="1:15">
      <c r="E55" s="4">
        <f t="shared" si="0"/>
        <v>55</v>
      </c>
      <c r="F55" s="9" t="s">
        <v>35</v>
      </c>
      <c r="O55" s="23">
        <v>60</v>
      </c>
    </row>
    <row r="56" spans="1:15">
      <c r="E56" s="4">
        <f t="shared" si="0"/>
        <v>56</v>
      </c>
      <c r="F56" s="9" t="s">
        <v>29</v>
      </c>
      <c r="O56" s="23" t="s">
        <v>147</v>
      </c>
    </row>
    <row r="57" spans="1:15">
      <c r="E57" s="4">
        <f t="shared" si="0"/>
        <v>57</v>
      </c>
      <c r="F57" s="9" t="s">
        <v>120</v>
      </c>
      <c r="O57" s="23" t="s">
        <v>146</v>
      </c>
    </row>
    <row r="58" spans="1:15">
      <c r="E58" s="4">
        <f t="shared" si="0"/>
        <v>58</v>
      </c>
      <c r="F58" s="9" t="s">
        <v>115</v>
      </c>
      <c r="G58" s="23" t="b">
        <f t="shared" ref="G58" si="21">MOD(B52,2)=0</f>
        <v>0</v>
      </c>
      <c r="H58" s="9">
        <v>-90</v>
      </c>
      <c r="I58" s="9" t="s">
        <v>238</v>
      </c>
      <c r="J58" s="9">
        <v>-1</v>
      </c>
      <c r="L58" s="9" t="s">
        <v>136</v>
      </c>
      <c r="O58" s="23">
        <f t="shared" ref="O58" si="22">$H$14*IF(G58,$I$14,$J$14)</f>
        <v>90</v>
      </c>
    </row>
    <row r="59" spans="1:15">
      <c r="E59" s="4">
        <f t="shared" si="0"/>
        <v>59</v>
      </c>
      <c r="F59" s="9" t="s">
        <v>100</v>
      </c>
      <c r="G59" s="23" t="b">
        <f t="shared" ref="G59" si="23">MOD(B52,2)=0</f>
        <v>0</v>
      </c>
      <c r="K59" s="9" t="s">
        <v>138</v>
      </c>
      <c r="O59" s="23" t="str">
        <f t="shared" ref="O59" si="24">CONCATENATE(IF(G59,$G$16,$H$16),",",$I$16+$J$16*(MOD(D52-1,$G$9)+1))</f>
        <v>-6,2.4</v>
      </c>
    </row>
    <row r="60" spans="1:15">
      <c r="E60" s="4"/>
      <c r="G60" s="23" t="s">
        <v>32</v>
      </c>
      <c r="H60" s="9" t="s">
        <v>239</v>
      </c>
      <c r="I60" s="9">
        <v>4.8</v>
      </c>
      <c r="J60" s="9" t="s">
        <v>240</v>
      </c>
    </row>
    <row r="61" spans="1:15">
      <c r="E61" s="4">
        <f t="shared" si="0"/>
        <v>61</v>
      </c>
      <c r="F61" s="9" t="s">
        <v>30</v>
      </c>
      <c r="O61" s="23">
        <v>1.4</v>
      </c>
    </row>
    <row r="62" spans="1:15">
      <c r="E62" s="4">
        <f t="shared" si="0"/>
        <v>62</v>
      </c>
      <c r="F62" s="9" t="s">
        <v>31</v>
      </c>
      <c r="G62" s="23" t="b">
        <f t="shared" ref="G62" si="25">MOD(B52,2)=0</f>
        <v>0</v>
      </c>
      <c r="H62" s="9">
        <v>180</v>
      </c>
      <c r="I62" s="9" t="s">
        <v>238</v>
      </c>
      <c r="J62" s="9">
        <v>0</v>
      </c>
      <c r="L62" s="9" t="s">
        <v>136</v>
      </c>
      <c r="O62" s="23">
        <f t="shared" ref="O62" si="26">IF(G62,$H$18*$I$18,$H$18*$J$18)</f>
        <v>0</v>
      </c>
    </row>
    <row r="63" spans="1:15">
      <c r="E63" s="4">
        <f t="shared" si="0"/>
        <v>63</v>
      </c>
      <c r="F63" s="9" t="s">
        <v>103</v>
      </c>
      <c r="O63" s="23">
        <f t="shared" ref="O63" si="27">O53*10+1</f>
        <v>107031</v>
      </c>
    </row>
    <row r="64" spans="1:15">
      <c r="E64" s="4">
        <f t="shared" si="0"/>
        <v>64</v>
      </c>
      <c r="F64" s="9" t="s">
        <v>145</v>
      </c>
      <c r="O64" s="23">
        <f t="shared" ref="O64" si="28">O53</f>
        <v>10703</v>
      </c>
    </row>
    <row r="65" spans="1:15">
      <c r="E65" s="4">
        <f t="shared" si="0"/>
        <v>65</v>
      </c>
      <c r="F65" s="9" t="s">
        <v>129</v>
      </c>
      <c r="O65" s="23">
        <v>0</v>
      </c>
    </row>
    <row r="66" spans="1:15">
      <c r="E66" s="4">
        <f t="shared" si="0"/>
        <v>66</v>
      </c>
      <c r="F66" s="9" t="s">
        <v>35</v>
      </c>
      <c r="G66" s="9" t="b">
        <f t="shared" ref="G66" si="29">MOD(D52,2)=0</f>
        <v>0</v>
      </c>
      <c r="H66" s="9">
        <v>170</v>
      </c>
      <c r="I66" s="9" t="s">
        <v>241</v>
      </c>
      <c r="J66" s="9">
        <v>0</v>
      </c>
      <c r="O66" s="23">
        <f t="shared" ref="O66" si="30">$H$22+IF(G66,$I$22,$J$22)</f>
        <v>170</v>
      </c>
    </row>
    <row r="67" spans="1:15">
      <c r="E67" s="4">
        <f t="shared" si="0"/>
        <v>67</v>
      </c>
      <c r="F67" s="9" t="s">
        <v>30</v>
      </c>
      <c r="O67" s="23">
        <v>0</v>
      </c>
    </row>
    <row r="68" spans="1:15">
      <c r="E68" s="4">
        <f t="shared" si="0"/>
        <v>68</v>
      </c>
      <c r="F68" s="9" t="s">
        <v>115</v>
      </c>
      <c r="L68" s="9" t="s">
        <v>136</v>
      </c>
      <c r="O68" s="23">
        <f t="shared" ref="O68" si="31">O58</f>
        <v>90</v>
      </c>
    </row>
    <row r="69" spans="1:15">
      <c r="E69" s="4">
        <f t="shared" si="0"/>
        <v>69</v>
      </c>
      <c r="F69" s="9" t="s">
        <v>103</v>
      </c>
      <c r="O69" s="23">
        <f t="shared" ref="O69" si="32">O63+1</f>
        <v>107032</v>
      </c>
    </row>
    <row r="70" spans="1:15">
      <c r="E70" s="4">
        <f t="shared" si="0"/>
        <v>70</v>
      </c>
      <c r="F70" s="9" t="s">
        <v>145</v>
      </c>
      <c r="O70" s="23">
        <f t="shared" ref="O70" si="33">O63</f>
        <v>107031</v>
      </c>
    </row>
    <row r="71" spans="1:15">
      <c r="E71" s="4">
        <f t="shared" si="0"/>
        <v>71</v>
      </c>
      <c r="F71" s="9" t="s">
        <v>129</v>
      </c>
      <c r="O71" s="23">
        <v>0</v>
      </c>
    </row>
    <row r="72" spans="1:15">
      <c r="E72" s="4">
        <f t="shared" si="0"/>
        <v>72</v>
      </c>
      <c r="F72" s="9" t="s">
        <v>30</v>
      </c>
      <c r="O72" s="23">
        <v>3</v>
      </c>
    </row>
    <row r="73" spans="1:15">
      <c r="E73" s="4">
        <f t="shared" ref="E73:E136" si="34">ROW(E73)</f>
        <v>73</v>
      </c>
      <c r="F73" s="9" t="s">
        <v>115</v>
      </c>
      <c r="L73" s="9" t="s">
        <v>136</v>
      </c>
      <c r="O73" s="23">
        <f t="shared" ref="O73" si="35">O68</f>
        <v>90</v>
      </c>
    </row>
    <row r="74" spans="1:15">
      <c r="A74" s="22" t="s">
        <v>236</v>
      </c>
      <c r="B74" s="22">
        <f t="shared" ref="B74" si="36">QUOTIENT( D74-1,G75)+1</f>
        <v>1</v>
      </c>
      <c r="C74" s="22">
        <f t="shared" ref="C74" si="37">D74-(B74-1)*G75</f>
        <v>4</v>
      </c>
      <c r="D74" s="22">
        <f>COUNT($D$7:$D73)+1</f>
        <v>4</v>
      </c>
      <c r="E74" s="4"/>
    </row>
    <row r="75" spans="1:15">
      <c r="E75" s="4">
        <f t="shared" si="34"/>
        <v>75</v>
      </c>
      <c r="F75" s="9" t="s">
        <v>95</v>
      </c>
      <c r="G75" s="23">
        <v>11</v>
      </c>
      <c r="H75" s="9" t="s">
        <v>37</v>
      </c>
      <c r="J75" s="9">
        <v>10700</v>
      </c>
      <c r="O75" s="23">
        <f t="shared" ref="O75" si="38">$J$9+D74</f>
        <v>10704</v>
      </c>
    </row>
    <row r="76" spans="1:15">
      <c r="E76" s="4">
        <f t="shared" si="34"/>
        <v>76</v>
      </c>
      <c r="F76" s="9" t="s">
        <v>153</v>
      </c>
      <c r="O76" s="23">
        <v>1450</v>
      </c>
    </row>
    <row r="77" spans="1:15">
      <c r="E77" s="4">
        <f t="shared" si="34"/>
        <v>77</v>
      </c>
      <c r="F77" s="9" t="s">
        <v>35</v>
      </c>
      <c r="O77" s="23">
        <v>60</v>
      </c>
    </row>
    <row r="78" spans="1:15">
      <c r="E78" s="4">
        <f t="shared" si="34"/>
        <v>78</v>
      </c>
      <c r="F78" s="9" t="s">
        <v>29</v>
      </c>
      <c r="O78" s="23" t="s">
        <v>147</v>
      </c>
    </row>
    <row r="79" spans="1:15">
      <c r="E79" s="4">
        <f t="shared" si="34"/>
        <v>79</v>
      </c>
      <c r="F79" s="9" t="s">
        <v>120</v>
      </c>
      <c r="O79" s="23" t="s">
        <v>146</v>
      </c>
    </row>
    <row r="80" spans="1:15">
      <c r="E80" s="4">
        <f t="shared" si="34"/>
        <v>80</v>
      </c>
      <c r="F80" s="9" t="s">
        <v>115</v>
      </c>
      <c r="G80" s="23" t="b">
        <f t="shared" ref="G80" si="39">MOD(B74,2)=0</f>
        <v>0</v>
      </c>
      <c r="H80" s="9">
        <v>-90</v>
      </c>
      <c r="I80" s="9" t="s">
        <v>238</v>
      </c>
      <c r="J80" s="9">
        <v>-1</v>
      </c>
      <c r="L80" s="9" t="s">
        <v>136</v>
      </c>
      <c r="O80" s="23">
        <f t="shared" ref="O80" si="40">$H$14*IF(G80,$I$14,$J$14)</f>
        <v>90</v>
      </c>
    </row>
    <row r="81" spans="1:15">
      <c r="E81" s="4">
        <f t="shared" si="34"/>
        <v>81</v>
      </c>
      <c r="F81" s="9" t="s">
        <v>100</v>
      </c>
      <c r="G81" s="23" t="b">
        <f t="shared" ref="G81" si="41">MOD(B74,2)=0</f>
        <v>0</v>
      </c>
      <c r="K81" s="9" t="s">
        <v>138</v>
      </c>
      <c r="O81" s="23" t="str">
        <f t="shared" ref="O81" si="42">CONCATENATE(IF(G81,$G$16,$H$16),",",$I$16+$J$16*(MOD(D74-1,$G$9)+1))</f>
        <v>-6,1.6</v>
      </c>
    </row>
    <row r="82" spans="1:15">
      <c r="E82" s="4"/>
      <c r="G82" s="23" t="s">
        <v>32</v>
      </c>
      <c r="H82" s="9" t="s">
        <v>239</v>
      </c>
      <c r="I82" s="9">
        <v>4.8</v>
      </c>
      <c r="J82" s="9" t="s">
        <v>240</v>
      </c>
    </row>
    <row r="83" spans="1:15">
      <c r="E83" s="4">
        <f t="shared" si="34"/>
        <v>83</v>
      </c>
      <c r="F83" s="9" t="s">
        <v>30</v>
      </c>
      <c r="O83" s="23">
        <v>1.4</v>
      </c>
    </row>
    <row r="84" spans="1:15">
      <c r="E84" s="4">
        <f t="shared" si="34"/>
        <v>84</v>
      </c>
      <c r="F84" s="9" t="s">
        <v>31</v>
      </c>
      <c r="G84" s="23" t="b">
        <f t="shared" ref="G84" si="43">MOD(B74,2)=0</f>
        <v>0</v>
      </c>
      <c r="H84" s="9">
        <v>180</v>
      </c>
      <c r="I84" s="9" t="s">
        <v>238</v>
      </c>
      <c r="J84" s="9">
        <v>0</v>
      </c>
      <c r="L84" s="9" t="s">
        <v>136</v>
      </c>
      <c r="O84" s="23">
        <f t="shared" ref="O84" si="44">IF(G84,$H$18*$I$18,$H$18*$J$18)</f>
        <v>0</v>
      </c>
    </row>
    <row r="85" spans="1:15">
      <c r="E85" s="4">
        <f t="shared" si="34"/>
        <v>85</v>
      </c>
      <c r="F85" s="9" t="s">
        <v>103</v>
      </c>
      <c r="O85" s="23">
        <f t="shared" ref="O85" si="45">O75*10+1</f>
        <v>107041</v>
      </c>
    </row>
    <row r="86" spans="1:15">
      <c r="E86" s="4">
        <f t="shared" si="34"/>
        <v>86</v>
      </c>
      <c r="F86" s="9" t="s">
        <v>145</v>
      </c>
      <c r="O86" s="23">
        <f t="shared" ref="O86" si="46">O75</f>
        <v>10704</v>
      </c>
    </row>
    <row r="87" spans="1:15">
      <c r="E87" s="4">
        <f t="shared" si="34"/>
        <v>87</v>
      </c>
      <c r="F87" s="9" t="s">
        <v>129</v>
      </c>
      <c r="O87" s="23">
        <v>0</v>
      </c>
    </row>
    <row r="88" spans="1:15">
      <c r="E88" s="4">
        <f t="shared" si="34"/>
        <v>88</v>
      </c>
      <c r="F88" s="9" t="s">
        <v>35</v>
      </c>
      <c r="G88" s="23" t="b">
        <f t="shared" ref="G88" si="47">MOD(D74,2)=0</f>
        <v>1</v>
      </c>
      <c r="H88" s="9">
        <v>170</v>
      </c>
      <c r="I88" s="9" t="s">
        <v>241</v>
      </c>
      <c r="J88" s="9">
        <v>0</v>
      </c>
      <c r="O88" s="23">
        <f t="shared" ref="O88" si="48">$H$22+IF(G88,$I$22,$J$22)</f>
        <v>340</v>
      </c>
    </row>
    <row r="89" spans="1:15">
      <c r="E89" s="4">
        <f t="shared" si="34"/>
        <v>89</v>
      </c>
      <c r="F89" s="9" t="s">
        <v>30</v>
      </c>
      <c r="G89" s="9"/>
      <c r="O89" s="23">
        <v>0</v>
      </c>
    </row>
    <row r="90" spans="1:15">
      <c r="E90" s="4">
        <f t="shared" si="34"/>
        <v>90</v>
      </c>
      <c r="F90" s="9" t="s">
        <v>115</v>
      </c>
      <c r="L90" s="9" t="s">
        <v>136</v>
      </c>
      <c r="O90" s="23">
        <f t="shared" ref="O90" si="49">O80</f>
        <v>90</v>
      </c>
    </row>
    <row r="91" spans="1:15">
      <c r="E91" s="4">
        <f t="shared" si="34"/>
        <v>91</v>
      </c>
      <c r="F91" s="9" t="s">
        <v>103</v>
      </c>
      <c r="O91" s="23">
        <f t="shared" ref="O91" si="50">O85+1</f>
        <v>107042</v>
      </c>
    </row>
    <row r="92" spans="1:15">
      <c r="E92" s="4">
        <f t="shared" si="34"/>
        <v>92</v>
      </c>
      <c r="F92" s="9" t="s">
        <v>145</v>
      </c>
      <c r="O92" s="23">
        <f t="shared" ref="O92" si="51">O85</f>
        <v>107041</v>
      </c>
    </row>
    <row r="93" spans="1:15">
      <c r="E93" s="4">
        <f t="shared" si="34"/>
        <v>93</v>
      </c>
      <c r="F93" s="9" t="s">
        <v>129</v>
      </c>
      <c r="O93" s="23">
        <v>0</v>
      </c>
    </row>
    <row r="94" spans="1:15">
      <c r="E94" s="4">
        <f t="shared" si="34"/>
        <v>94</v>
      </c>
      <c r="F94" s="9" t="s">
        <v>30</v>
      </c>
      <c r="O94" s="23">
        <v>3</v>
      </c>
    </row>
    <row r="95" spans="1:15">
      <c r="E95" s="4">
        <f t="shared" si="34"/>
        <v>95</v>
      </c>
      <c r="F95" s="9" t="s">
        <v>115</v>
      </c>
      <c r="L95" s="9" t="s">
        <v>136</v>
      </c>
      <c r="O95" s="23">
        <f t="shared" ref="O95" si="52">O90</f>
        <v>90</v>
      </c>
    </row>
    <row r="96" spans="1:15">
      <c r="A96" s="22" t="s">
        <v>236</v>
      </c>
      <c r="B96" s="22">
        <f t="shared" ref="B96" si="53">QUOTIENT( D96-1,G97)+1</f>
        <v>1</v>
      </c>
      <c r="C96" s="22">
        <f t="shared" ref="C96" si="54">D96-(B96-1)*G97</f>
        <v>5</v>
      </c>
      <c r="D96" s="22">
        <f>COUNT($D$7:$D95)+1</f>
        <v>5</v>
      </c>
      <c r="E96" s="4"/>
    </row>
    <row r="97" spans="5:15">
      <c r="E97" s="4">
        <f t="shared" si="34"/>
        <v>97</v>
      </c>
      <c r="F97" s="9" t="s">
        <v>95</v>
      </c>
      <c r="G97" s="23">
        <v>11</v>
      </c>
      <c r="H97" s="9" t="s">
        <v>37</v>
      </c>
      <c r="J97" s="9">
        <v>10700</v>
      </c>
      <c r="O97" s="23">
        <f t="shared" ref="O97" si="55">$J$9+D96</f>
        <v>10705</v>
      </c>
    </row>
    <row r="98" spans="5:15">
      <c r="E98" s="4">
        <f t="shared" si="34"/>
        <v>98</v>
      </c>
      <c r="F98" s="9" t="s">
        <v>153</v>
      </c>
      <c r="O98" s="23">
        <v>1450</v>
      </c>
    </row>
    <row r="99" spans="5:15">
      <c r="E99" s="4">
        <f t="shared" si="34"/>
        <v>99</v>
      </c>
      <c r="F99" s="9" t="s">
        <v>35</v>
      </c>
      <c r="O99" s="23">
        <v>60</v>
      </c>
    </row>
    <row r="100" spans="5:15">
      <c r="E100" s="4">
        <f t="shared" si="34"/>
        <v>100</v>
      </c>
      <c r="F100" s="9" t="s">
        <v>29</v>
      </c>
      <c r="O100" s="23" t="s">
        <v>147</v>
      </c>
    </row>
    <row r="101" spans="5:15">
      <c r="E101" s="4">
        <f t="shared" si="34"/>
        <v>101</v>
      </c>
      <c r="F101" s="9" t="s">
        <v>120</v>
      </c>
      <c r="O101" s="23" t="s">
        <v>146</v>
      </c>
    </row>
    <row r="102" spans="5:15">
      <c r="E102" s="4">
        <f t="shared" si="34"/>
        <v>102</v>
      </c>
      <c r="F102" s="9" t="s">
        <v>115</v>
      </c>
      <c r="G102" s="23" t="b">
        <f t="shared" ref="G102" si="56">MOD(B96,2)=0</f>
        <v>0</v>
      </c>
      <c r="H102" s="9">
        <v>-90</v>
      </c>
      <c r="I102" s="9" t="s">
        <v>238</v>
      </c>
      <c r="J102" s="9">
        <v>-1</v>
      </c>
      <c r="L102" s="9" t="s">
        <v>136</v>
      </c>
      <c r="O102" s="23">
        <f t="shared" ref="O102" si="57">$H$14*IF(G102,$I$14,$J$14)</f>
        <v>90</v>
      </c>
    </row>
    <row r="103" spans="5:15">
      <c r="E103" s="4">
        <f t="shared" si="34"/>
        <v>103</v>
      </c>
      <c r="F103" s="9" t="s">
        <v>100</v>
      </c>
      <c r="G103" s="23" t="b">
        <f t="shared" ref="G103" si="58">MOD(B96,2)=0</f>
        <v>0</v>
      </c>
      <c r="K103" s="9" t="s">
        <v>138</v>
      </c>
      <c r="O103" s="23" t="str">
        <f t="shared" ref="O103" si="59">CONCATENATE(IF(G103,$G$16,$H$16),",",$I$16+$J$16*(MOD(D96-1,$G$9)+1))</f>
        <v>-6,0.8</v>
      </c>
    </row>
    <row r="104" spans="5:15">
      <c r="E104" s="4"/>
      <c r="G104" s="23" t="s">
        <v>32</v>
      </c>
      <c r="H104" s="9" t="s">
        <v>239</v>
      </c>
      <c r="I104" s="9">
        <v>4.8</v>
      </c>
      <c r="J104" s="9" t="s">
        <v>240</v>
      </c>
    </row>
    <row r="105" spans="5:15">
      <c r="E105" s="4">
        <f t="shared" si="34"/>
        <v>105</v>
      </c>
      <c r="F105" s="9" t="s">
        <v>30</v>
      </c>
      <c r="O105" s="23">
        <v>1.4</v>
      </c>
    </row>
    <row r="106" spans="5:15">
      <c r="E106" s="4">
        <f t="shared" si="34"/>
        <v>106</v>
      </c>
      <c r="F106" s="9" t="s">
        <v>31</v>
      </c>
      <c r="G106" s="23" t="b">
        <f t="shared" ref="G106" si="60">MOD(B96,2)=0</f>
        <v>0</v>
      </c>
      <c r="H106" s="9">
        <v>180</v>
      </c>
      <c r="I106" s="9" t="s">
        <v>238</v>
      </c>
      <c r="J106" s="9">
        <v>0</v>
      </c>
      <c r="L106" s="9" t="s">
        <v>136</v>
      </c>
      <c r="O106" s="23">
        <f t="shared" ref="O106" si="61">IF(G106,$H$18*$I$18,$H$18*$J$18)</f>
        <v>0</v>
      </c>
    </row>
    <row r="107" spans="5:15">
      <c r="E107" s="4">
        <f t="shared" si="34"/>
        <v>107</v>
      </c>
      <c r="F107" s="9" t="s">
        <v>103</v>
      </c>
      <c r="O107" s="23">
        <f t="shared" ref="O107" si="62">O97*10+1</f>
        <v>107051</v>
      </c>
    </row>
    <row r="108" spans="5:15">
      <c r="E108" s="4">
        <f t="shared" si="34"/>
        <v>108</v>
      </c>
      <c r="F108" s="9" t="s">
        <v>145</v>
      </c>
      <c r="O108" s="23">
        <f t="shared" ref="O108" si="63">O97</f>
        <v>10705</v>
      </c>
    </row>
    <row r="109" spans="5:15">
      <c r="E109" s="4">
        <f t="shared" si="34"/>
        <v>109</v>
      </c>
      <c r="F109" s="9" t="s">
        <v>129</v>
      </c>
      <c r="O109" s="23">
        <v>0</v>
      </c>
    </row>
    <row r="110" spans="5:15">
      <c r="E110" s="4">
        <f t="shared" si="34"/>
        <v>110</v>
      </c>
      <c r="F110" s="9" t="s">
        <v>35</v>
      </c>
      <c r="G110" s="23" t="b">
        <f t="shared" ref="G110" si="64">MOD(D96,2)=0</f>
        <v>0</v>
      </c>
      <c r="H110" s="9">
        <v>170</v>
      </c>
      <c r="I110" s="9" t="s">
        <v>241</v>
      </c>
      <c r="J110" s="9">
        <v>0</v>
      </c>
      <c r="O110" s="23">
        <f t="shared" ref="O110" si="65">$H$22+IF(G110,$I$22,$J$22)</f>
        <v>170</v>
      </c>
    </row>
    <row r="111" spans="5:15">
      <c r="E111" s="4">
        <f t="shared" si="34"/>
        <v>111</v>
      </c>
      <c r="F111" s="9" t="s">
        <v>30</v>
      </c>
      <c r="O111" s="23">
        <v>0</v>
      </c>
    </row>
    <row r="112" spans="5:15">
      <c r="E112" s="4">
        <f t="shared" si="34"/>
        <v>112</v>
      </c>
      <c r="F112" s="9" t="s">
        <v>115</v>
      </c>
      <c r="G112" s="9"/>
      <c r="L112" s="9" t="s">
        <v>136</v>
      </c>
      <c r="O112" s="23">
        <f t="shared" ref="O112" si="66">O102</f>
        <v>90</v>
      </c>
    </row>
    <row r="113" spans="1:15">
      <c r="E113" s="4">
        <f t="shared" si="34"/>
        <v>113</v>
      </c>
      <c r="F113" s="9" t="s">
        <v>103</v>
      </c>
      <c r="O113" s="23">
        <f t="shared" ref="O113" si="67">O107+1</f>
        <v>107052</v>
      </c>
    </row>
    <row r="114" spans="1:15">
      <c r="E114" s="4">
        <f t="shared" si="34"/>
        <v>114</v>
      </c>
      <c r="F114" s="9" t="s">
        <v>145</v>
      </c>
      <c r="O114" s="23">
        <f t="shared" ref="O114" si="68">O107</f>
        <v>107051</v>
      </c>
    </row>
    <row r="115" spans="1:15">
      <c r="E115" s="4">
        <f t="shared" si="34"/>
        <v>115</v>
      </c>
      <c r="F115" s="9" t="s">
        <v>129</v>
      </c>
      <c r="O115" s="23">
        <v>0</v>
      </c>
    </row>
    <row r="116" spans="1:15">
      <c r="E116" s="4">
        <f t="shared" si="34"/>
        <v>116</v>
      </c>
      <c r="F116" s="9" t="s">
        <v>30</v>
      </c>
      <c r="O116" s="23">
        <v>3</v>
      </c>
    </row>
    <row r="117" spans="1:15">
      <c r="E117" s="4">
        <f t="shared" si="34"/>
        <v>117</v>
      </c>
      <c r="F117" s="9" t="s">
        <v>115</v>
      </c>
      <c r="L117" s="9" t="s">
        <v>136</v>
      </c>
      <c r="O117" s="23">
        <f t="shared" ref="O117" si="69">O112</f>
        <v>90</v>
      </c>
    </row>
    <row r="118" spans="1:15">
      <c r="A118" s="22" t="s">
        <v>236</v>
      </c>
      <c r="B118" s="22">
        <f t="shared" ref="B118" si="70">QUOTIENT( D118-1,G119)+1</f>
        <v>1</v>
      </c>
      <c r="C118" s="22">
        <f t="shared" ref="C118" si="71">D118-(B118-1)*G119</f>
        <v>6</v>
      </c>
      <c r="D118" s="22">
        <f>COUNT($D$7:$D117)+1</f>
        <v>6</v>
      </c>
      <c r="E118" s="4"/>
    </row>
    <row r="119" spans="1:15">
      <c r="E119" s="4">
        <f t="shared" si="34"/>
        <v>119</v>
      </c>
      <c r="F119" s="9" t="s">
        <v>95</v>
      </c>
      <c r="G119" s="23">
        <v>11</v>
      </c>
      <c r="H119" s="9" t="s">
        <v>37</v>
      </c>
      <c r="J119" s="9">
        <v>10700</v>
      </c>
      <c r="O119" s="23">
        <f t="shared" ref="O119" si="72">$J$9+D118</f>
        <v>10706</v>
      </c>
    </row>
    <row r="120" spans="1:15">
      <c r="E120" s="4">
        <f t="shared" si="34"/>
        <v>120</v>
      </c>
      <c r="F120" s="9" t="s">
        <v>153</v>
      </c>
      <c r="O120" s="23">
        <v>1450</v>
      </c>
    </row>
    <row r="121" spans="1:15">
      <c r="E121" s="4">
        <f t="shared" si="34"/>
        <v>121</v>
      </c>
      <c r="F121" s="9" t="s">
        <v>35</v>
      </c>
      <c r="O121" s="23">
        <v>60</v>
      </c>
    </row>
    <row r="122" spans="1:15">
      <c r="E122" s="4">
        <f t="shared" si="34"/>
        <v>122</v>
      </c>
      <c r="F122" s="9" t="s">
        <v>29</v>
      </c>
      <c r="O122" s="23" t="s">
        <v>147</v>
      </c>
    </row>
    <row r="123" spans="1:15">
      <c r="E123" s="4">
        <f t="shared" si="34"/>
        <v>123</v>
      </c>
      <c r="F123" s="9" t="s">
        <v>120</v>
      </c>
      <c r="O123" s="23" t="s">
        <v>146</v>
      </c>
    </row>
    <row r="124" spans="1:15">
      <c r="E124" s="4">
        <f t="shared" si="34"/>
        <v>124</v>
      </c>
      <c r="F124" s="9" t="s">
        <v>115</v>
      </c>
      <c r="G124" s="23" t="b">
        <f t="shared" ref="G124" si="73">MOD(B118,2)=0</f>
        <v>0</v>
      </c>
      <c r="H124" s="9">
        <v>-90</v>
      </c>
      <c r="I124" s="9" t="s">
        <v>238</v>
      </c>
      <c r="J124" s="9">
        <v>-1</v>
      </c>
      <c r="L124" s="9" t="s">
        <v>136</v>
      </c>
      <c r="O124" s="23">
        <f t="shared" ref="O124" si="74">$H$14*IF(G124,$I$14,$J$14)</f>
        <v>90</v>
      </c>
    </row>
    <row r="125" spans="1:15">
      <c r="E125" s="4">
        <f t="shared" si="34"/>
        <v>125</v>
      </c>
      <c r="F125" s="9" t="s">
        <v>100</v>
      </c>
      <c r="G125" s="23" t="b">
        <f t="shared" ref="G125" si="75">MOD(B118,2)=0</f>
        <v>0</v>
      </c>
      <c r="K125" s="9" t="s">
        <v>138</v>
      </c>
      <c r="O125" s="23" t="str">
        <f t="shared" ref="O125" si="76">CONCATENATE(IF(G125,$G$16,$H$16),",",$I$16+$J$16*(MOD(D118-1,$G$9)+1))</f>
        <v>-6,-8.88178419700125E-16</v>
      </c>
    </row>
    <row r="126" spans="1:15">
      <c r="E126" s="4"/>
      <c r="G126" s="23" t="s">
        <v>32</v>
      </c>
      <c r="H126" s="9" t="s">
        <v>239</v>
      </c>
      <c r="I126" s="9">
        <v>4.8</v>
      </c>
      <c r="J126" s="9" t="s">
        <v>240</v>
      </c>
    </row>
    <row r="127" spans="1:15">
      <c r="E127" s="4">
        <f t="shared" si="34"/>
        <v>127</v>
      </c>
      <c r="F127" s="9" t="s">
        <v>30</v>
      </c>
      <c r="O127" s="23">
        <v>1.4</v>
      </c>
    </row>
    <row r="128" spans="1:15">
      <c r="E128" s="4">
        <f t="shared" si="34"/>
        <v>128</v>
      </c>
      <c r="F128" s="9" t="s">
        <v>31</v>
      </c>
      <c r="G128" s="23" t="b">
        <f t="shared" ref="G128" si="77">MOD(B118,2)=0</f>
        <v>0</v>
      </c>
      <c r="H128" s="9">
        <v>180</v>
      </c>
      <c r="I128" s="9" t="s">
        <v>238</v>
      </c>
      <c r="J128" s="9">
        <v>0</v>
      </c>
      <c r="L128" s="9" t="s">
        <v>136</v>
      </c>
      <c r="O128" s="23">
        <f t="shared" ref="O128" si="78">IF(G128,$H$18*$I$18,$H$18*$J$18)</f>
        <v>0</v>
      </c>
    </row>
    <row r="129" spans="1:15">
      <c r="E129" s="4">
        <f t="shared" si="34"/>
        <v>129</v>
      </c>
      <c r="F129" s="9" t="s">
        <v>103</v>
      </c>
      <c r="O129" s="23">
        <f t="shared" ref="O129" si="79">O119*10+1</f>
        <v>107061</v>
      </c>
    </row>
    <row r="130" spans="1:15">
      <c r="E130" s="4">
        <f t="shared" si="34"/>
        <v>130</v>
      </c>
      <c r="F130" s="9" t="s">
        <v>145</v>
      </c>
      <c r="O130" s="23">
        <f t="shared" ref="O130" si="80">O119</f>
        <v>10706</v>
      </c>
    </row>
    <row r="131" spans="1:15">
      <c r="E131" s="4">
        <f t="shared" si="34"/>
        <v>131</v>
      </c>
      <c r="F131" s="9" t="s">
        <v>129</v>
      </c>
      <c r="O131" s="23">
        <v>0</v>
      </c>
    </row>
    <row r="132" spans="1:15">
      <c r="E132" s="4">
        <f t="shared" si="34"/>
        <v>132</v>
      </c>
      <c r="F132" s="9" t="s">
        <v>35</v>
      </c>
      <c r="G132" s="23" t="b">
        <f t="shared" ref="G132" si="81">MOD(D118,2)=0</f>
        <v>1</v>
      </c>
      <c r="H132" s="9">
        <v>170</v>
      </c>
      <c r="I132" s="9" t="s">
        <v>241</v>
      </c>
      <c r="J132" s="9">
        <v>0</v>
      </c>
      <c r="O132" s="23">
        <f t="shared" ref="O132" si="82">$H$22+IF(G132,$I$22,$J$22)</f>
        <v>340</v>
      </c>
    </row>
    <row r="133" spans="1:15">
      <c r="E133" s="4">
        <f t="shared" si="34"/>
        <v>133</v>
      </c>
      <c r="F133" s="9" t="s">
        <v>30</v>
      </c>
      <c r="O133" s="23">
        <v>0</v>
      </c>
    </row>
    <row r="134" spans="1:15">
      <c r="E134" s="4">
        <f t="shared" si="34"/>
        <v>134</v>
      </c>
      <c r="F134" s="9" t="s">
        <v>115</v>
      </c>
      <c r="L134" s="9" t="s">
        <v>136</v>
      </c>
      <c r="O134" s="23">
        <f t="shared" ref="O134" si="83">O124</f>
        <v>90</v>
      </c>
    </row>
    <row r="135" spans="1:15">
      <c r="E135" s="4">
        <f t="shared" si="34"/>
        <v>135</v>
      </c>
      <c r="F135" s="9" t="s">
        <v>103</v>
      </c>
      <c r="G135" s="9"/>
      <c r="O135" s="23">
        <f t="shared" ref="O135" si="84">O129+1</f>
        <v>107062</v>
      </c>
    </row>
    <row r="136" spans="1:15">
      <c r="E136" s="4">
        <f t="shared" si="34"/>
        <v>136</v>
      </c>
      <c r="F136" s="9" t="s">
        <v>145</v>
      </c>
      <c r="O136" s="23">
        <f t="shared" ref="O136" si="85">O129</f>
        <v>107061</v>
      </c>
    </row>
    <row r="137" spans="1:15">
      <c r="E137" s="4">
        <f t="shared" ref="E137:E200" si="86">ROW(E137)</f>
        <v>137</v>
      </c>
      <c r="F137" s="9" t="s">
        <v>129</v>
      </c>
      <c r="O137" s="23">
        <v>0</v>
      </c>
    </row>
    <row r="138" spans="1:15">
      <c r="E138" s="4">
        <f t="shared" si="86"/>
        <v>138</v>
      </c>
      <c r="F138" s="9" t="s">
        <v>30</v>
      </c>
      <c r="O138" s="23">
        <v>3</v>
      </c>
    </row>
    <row r="139" spans="1:15">
      <c r="E139" s="4">
        <f t="shared" si="86"/>
        <v>139</v>
      </c>
      <c r="F139" s="9" t="s">
        <v>115</v>
      </c>
      <c r="L139" s="9" t="s">
        <v>136</v>
      </c>
      <c r="O139" s="23">
        <f t="shared" ref="O139" si="87">O134</f>
        <v>90</v>
      </c>
    </row>
    <row r="140" spans="1:15">
      <c r="A140" s="22" t="s">
        <v>236</v>
      </c>
      <c r="B140" s="22">
        <f t="shared" ref="B140" si="88">QUOTIENT( D140-1,G141)+1</f>
        <v>1</v>
      </c>
      <c r="C140" s="22">
        <f t="shared" ref="C140" si="89">D140-(B140-1)*G141</f>
        <v>7</v>
      </c>
      <c r="D140" s="22">
        <f>COUNT($D$7:$D139)+1</f>
        <v>7</v>
      </c>
      <c r="E140" s="4"/>
    </row>
    <row r="141" spans="1:15">
      <c r="E141" s="4">
        <f t="shared" si="86"/>
        <v>141</v>
      </c>
      <c r="F141" s="9" t="s">
        <v>95</v>
      </c>
      <c r="G141" s="23">
        <v>11</v>
      </c>
      <c r="H141" s="9" t="s">
        <v>37</v>
      </c>
      <c r="J141" s="9">
        <v>10700</v>
      </c>
      <c r="O141" s="23">
        <f t="shared" ref="O141" si="90">$J$9+D140</f>
        <v>10707</v>
      </c>
    </row>
    <row r="142" spans="1:15">
      <c r="E142" s="4">
        <f t="shared" si="86"/>
        <v>142</v>
      </c>
      <c r="F142" s="9" t="s">
        <v>153</v>
      </c>
      <c r="O142" s="23">
        <v>1450</v>
      </c>
    </row>
    <row r="143" spans="1:15">
      <c r="E143" s="4">
        <f t="shared" si="86"/>
        <v>143</v>
      </c>
      <c r="F143" s="9" t="s">
        <v>35</v>
      </c>
      <c r="O143" s="23">
        <v>60</v>
      </c>
    </row>
    <row r="144" spans="1:15">
      <c r="E144" s="4">
        <f t="shared" si="86"/>
        <v>144</v>
      </c>
      <c r="F144" s="9" t="s">
        <v>29</v>
      </c>
      <c r="O144" s="23" t="s">
        <v>147</v>
      </c>
    </row>
    <row r="145" spans="5:15">
      <c r="E145" s="4">
        <f t="shared" si="86"/>
        <v>145</v>
      </c>
      <c r="F145" s="9" t="s">
        <v>120</v>
      </c>
      <c r="O145" s="23" t="s">
        <v>146</v>
      </c>
    </row>
    <row r="146" spans="5:15">
      <c r="E146" s="4">
        <f t="shared" si="86"/>
        <v>146</v>
      </c>
      <c r="F146" s="9" t="s">
        <v>115</v>
      </c>
      <c r="G146" s="23" t="b">
        <f t="shared" ref="G146" si="91">MOD(B140,2)=0</f>
        <v>0</v>
      </c>
      <c r="H146" s="9">
        <v>-90</v>
      </c>
      <c r="I146" s="9" t="s">
        <v>238</v>
      </c>
      <c r="J146" s="9">
        <v>-1</v>
      </c>
      <c r="L146" s="9" t="s">
        <v>136</v>
      </c>
      <c r="O146" s="23">
        <f t="shared" ref="O146" si="92">$H$14*IF(G146,$I$14,$J$14)</f>
        <v>90</v>
      </c>
    </row>
    <row r="147" spans="5:15">
      <c r="E147" s="4">
        <f t="shared" si="86"/>
        <v>147</v>
      </c>
      <c r="F147" s="9" t="s">
        <v>100</v>
      </c>
      <c r="G147" s="23" t="b">
        <f t="shared" ref="G147" si="93">MOD(B140,2)=0</f>
        <v>0</v>
      </c>
      <c r="K147" s="9" t="s">
        <v>138</v>
      </c>
      <c r="O147" s="23" t="str">
        <f t="shared" ref="O147" si="94">CONCATENATE(IF(G147,$G$16,$H$16),",",$I$16+$J$16*(MOD(D140-1,$G$9)+1))</f>
        <v>-6,-0.800000000000001</v>
      </c>
    </row>
    <row r="148" spans="5:15">
      <c r="E148" s="4"/>
      <c r="G148" s="23" t="s">
        <v>32</v>
      </c>
      <c r="H148" s="9" t="s">
        <v>239</v>
      </c>
      <c r="I148" s="9">
        <v>4.8</v>
      </c>
      <c r="J148" s="9" t="s">
        <v>240</v>
      </c>
    </row>
    <row r="149" spans="5:15">
      <c r="E149" s="4">
        <f t="shared" si="86"/>
        <v>149</v>
      </c>
      <c r="F149" s="9" t="s">
        <v>30</v>
      </c>
      <c r="O149" s="23">
        <v>1.4</v>
      </c>
    </row>
    <row r="150" spans="5:15">
      <c r="E150" s="4">
        <f t="shared" si="86"/>
        <v>150</v>
      </c>
      <c r="F150" s="9" t="s">
        <v>31</v>
      </c>
      <c r="G150" s="23" t="b">
        <f t="shared" ref="G150" si="95">MOD(B140,2)=0</f>
        <v>0</v>
      </c>
      <c r="H150" s="9">
        <v>180</v>
      </c>
      <c r="I150" s="9" t="s">
        <v>238</v>
      </c>
      <c r="J150" s="9">
        <v>0</v>
      </c>
      <c r="L150" s="9" t="s">
        <v>136</v>
      </c>
      <c r="O150" s="23">
        <f t="shared" ref="O150" si="96">IF(G150,$H$18*$I$18,$H$18*$J$18)</f>
        <v>0</v>
      </c>
    </row>
    <row r="151" spans="5:15">
      <c r="E151" s="4">
        <f t="shared" si="86"/>
        <v>151</v>
      </c>
      <c r="F151" s="9" t="s">
        <v>103</v>
      </c>
      <c r="O151" s="23">
        <f t="shared" ref="O151" si="97">O141*10+1</f>
        <v>107071</v>
      </c>
    </row>
    <row r="152" spans="5:15">
      <c r="E152" s="4">
        <f t="shared" si="86"/>
        <v>152</v>
      </c>
      <c r="F152" s="9" t="s">
        <v>145</v>
      </c>
      <c r="O152" s="23">
        <f t="shared" ref="O152" si="98">O141</f>
        <v>10707</v>
      </c>
    </row>
    <row r="153" spans="5:15">
      <c r="E153" s="4">
        <f t="shared" si="86"/>
        <v>153</v>
      </c>
      <c r="F153" s="9" t="s">
        <v>129</v>
      </c>
      <c r="O153" s="23">
        <v>0</v>
      </c>
    </row>
    <row r="154" spans="5:15">
      <c r="E154" s="4">
        <f t="shared" si="86"/>
        <v>154</v>
      </c>
      <c r="F154" s="9" t="s">
        <v>35</v>
      </c>
      <c r="G154" s="23" t="b">
        <f t="shared" ref="G154" si="99">MOD(D140,2)=0</f>
        <v>0</v>
      </c>
      <c r="H154" s="9">
        <v>170</v>
      </c>
      <c r="I154" s="9" t="s">
        <v>241</v>
      </c>
      <c r="J154" s="9">
        <v>0</v>
      </c>
      <c r="O154" s="23">
        <f t="shared" ref="O154" si="100">$H$22+IF(G154,$I$22,$J$22)</f>
        <v>170</v>
      </c>
    </row>
    <row r="155" spans="5:15">
      <c r="E155" s="4">
        <f t="shared" si="86"/>
        <v>155</v>
      </c>
      <c r="F155" s="9" t="s">
        <v>30</v>
      </c>
      <c r="O155" s="23">
        <v>0</v>
      </c>
    </row>
    <row r="156" spans="5:15">
      <c r="E156" s="4">
        <f t="shared" si="86"/>
        <v>156</v>
      </c>
      <c r="F156" s="9" t="s">
        <v>115</v>
      </c>
      <c r="L156" s="9" t="s">
        <v>136</v>
      </c>
      <c r="O156" s="23">
        <f t="shared" ref="O156" si="101">O146</f>
        <v>90</v>
      </c>
    </row>
    <row r="157" spans="5:15">
      <c r="E157" s="4">
        <f t="shared" si="86"/>
        <v>157</v>
      </c>
      <c r="F157" s="9" t="s">
        <v>103</v>
      </c>
      <c r="O157" s="23">
        <f t="shared" ref="O157" si="102">O151+1</f>
        <v>107072</v>
      </c>
    </row>
    <row r="158" spans="5:15">
      <c r="E158" s="4">
        <f t="shared" si="86"/>
        <v>158</v>
      </c>
      <c r="F158" s="9" t="s">
        <v>145</v>
      </c>
      <c r="G158" s="9"/>
      <c r="O158" s="23">
        <f t="shared" ref="O158" si="103">O151</f>
        <v>107071</v>
      </c>
    </row>
    <row r="159" spans="5:15">
      <c r="E159" s="4">
        <f t="shared" si="86"/>
        <v>159</v>
      </c>
      <c r="F159" s="9" t="s">
        <v>129</v>
      </c>
      <c r="O159" s="23">
        <v>0</v>
      </c>
    </row>
    <row r="160" spans="5:15">
      <c r="E160" s="4">
        <f t="shared" si="86"/>
        <v>160</v>
      </c>
      <c r="F160" s="9" t="s">
        <v>30</v>
      </c>
      <c r="O160" s="23">
        <v>3</v>
      </c>
    </row>
    <row r="161" spans="1:15">
      <c r="E161" s="4">
        <f t="shared" si="86"/>
        <v>161</v>
      </c>
      <c r="F161" s="9" t="s">
        <v>115</v>
      </c>
      <c r="L161" s="9" t="s">
        <v>136</v>
      </c>
      <c r="O161" s="23">
        <f t="shared" ref="O161" si="104">O156</f>
        <v>90</v>
      </c>
    </row>
    <row r="162" spans="1:15">
      <c r="A162" s="22" t="s">
        <v>236</v>
      </c>
      <c r="B162" s="22">
        <f t="shared" ref="B162" si="105">QUOTIENT( D162-1,G163)+1</f>
        <v>1</v>
      </c>
      <c r="C162" s="22">
        <f t="shared" ref="C162" si="106">D162-(B162-1)*G163</f>
        <v>8</v>
      </c>
      <c r="D162" s="22">
        <f>COUNT($D$7:$D161)+1</f>
        <v>8</v>
      </c>
      <c r="E162" s="4"/>
    </row>
    <row r="163" spans="1:15">
      <c r="E163" s="4">
        <f t="shared" si="86"/>
        <v>163</v>
      </c>
      <c r="F163" s="9" t="s">
        <v>95</v>
      </c>
      <c r="G163" s="23">
        <v>11</v>
      </c>
      <c r="H163" s="9" t="s">
        <v>37</v>
      </c>
      <c r="J163" s="9">
        <v>10700</v>
      </c>
      <c r="O163" s="23">
        <f t="shared" ref="O163" si="107">$J$9+D162</f>
        <v>10708</v>
      </c>
    </row>
    <row r="164" spans="1:15">
      <c r="E164" s="4">
        <f t="shared" si="86"/>
        <v>164</v>
      </c>
      <c r="F164" s="9" t="s">
        <v>153</v>
      </c>
      <c r="O164" s="23">
        <v>1450</v>
      </c>
    </row>
    <row r="165" spans="1:15">
      <c r="E165" s="4">
        <f t="shared" si="86"/>
        <v>165</v>
      </c>
      <c r="F165" s="9" t="s">
        <v>35</v>
      </c>
      <c r="O165" s="23">
        <v>60</v>
      </c>
    </row>
    <row r="166" spans="1:15">
      <c r="E166" s="4">
        <f t="shared" si="86"/>
        <v>166</v>
      </c>
      <c r="F166" s="9" t="s">
        <v>29</v>
      </c>
      <c r="O166" s="23" t="s">
        <v>147</v>
      </c>
    </row>
    <row r="167" spans="1:15">
      <c r="E167" s="4">
        <f t="shared" si="86"/>
        <v>167</v>
      </c>
      <c r="F167" s="9" t="s">
        <v>120</v>
      </c>
      <c r="O167" s="23" t="s">
        <v>146</v>
      </c>
    </row>
    <row r="168" spans="1:15">
      <c r="E168" s="4">
        <f t="shared" si="86"/>
        <v>168</v>
      </c>
      <c r="F168" s="9" t="s">
        <v>115</v>
      </c>
      <c r="G168" s="23" t="b">
        <f t="shared" ref="G168" si="108">MOD(B162,2)=0</f>
        <v>0</v>
      </c>
      <c r="H168" s="9">
        <v>-90</v>
      </c>
      <c r="I168" s="9" t="s">
        <v>238</v>
      </c>
      <c r="J168" s="9">
        <v>-1</v>
      </c>
      <c r="L168" s="9" t="s">
        <v>136</v>
      </c>
      <c r="O168" s="23">
        <f t="shared" ref="O168" si="109">$H$14*IF(G168,$I$14,$J$14)</f>
        <v>90</v>
      </c>
    </row>
    <row r="169" spans="1:15">
      <c r="E169" s="4">
        <f t="shared" si="86"/>
        <v>169</v>
      </c>
      <c r="F169" s="9" t="s">
        <v>100</v>
      </c>
      <c r="G169" s="23" t="b">
        <f t="shared" ref="G169" si="110">MOD(B162,2)=0</f>
        <v>0</v>
      </c>
      <c r="K169" s="9" t="s">
        <v>138</v>
      </c>
      <c r="O169" s="23" t="str">
        <f t="shared" ref="O169" si="111">CONCATENATE(IF(G169,$G$16,$H$16),",",$I$16+$J$16*(MOD(D162-1,$G$9)+1))</f>
        <v>-6,-1.6</v>
      </c>
    </row>
    <row r="170" spans="1:15">
      <c r="E170" s="4"/>
      <c r="G170" s="23" t="s">
        <v>32</v>
      </c>
      <c r="H170" s="9" t="s">
        <v>239</v>
      </c>
      <c r="I170" s="9">
        <v>4.8</v>
      </c>
      <c r="J170" s="9" t="s">
        <v>240</v>
      </c>
    </row>
    <row r="171" spans="1:15">
      <c r="E171" s="4">
        <f t="shared" si="86"/>
        <v>171</v>
      </c>
      <c r="F171" s="9" t="s">
        <v>30</v>
      </c>
      <c r="O171" s="23">
        <v>1.4</v>
      </c>
    </row>
    <row r="172" spans="1:15">
      <c r="E172" s="4">
        <f t="shared" si="86"/>
        <v>172</v>
      </c>
      <c r="F172" s="9" t="s">
        <v>31</v>
      </c>
      <c r="G172" s="23" t="b">
        <f t="shared" ref="G172" si="112">MOD(B162,2)=0</f>
        <v>0</v>
      </c>
      <c r="H172" s="9">
        <v>180</v>
      </c>
      <c r="I172" s="9" t="s">
        <v>238</v>
      </c>
      <c r="J172" s="9">
        <v>0</v>
      </c>
      <c r="L172" s="9" t="s">
        <v>136</v>
      </c>
      <c r="O172" s="23">
        <f t="shared" ref="O172" si="113">IF(G172,$H$18*$I$18,$H$18*$J$18)</f>
        <v>0</v>
      </c>
    </row>
    <row r="173" spans="1:15">
      <c r="E173" s="4">
        <f t="shared" si="86"/>
        <v>173</v>
      </c>
      <c r="F173" s="9" t="s">
        <v>103</v>
      </c>
      <c r="O173" s="23">
        <f t="shared" ref="O173" si="114">O163*10+1</f>
        <v>107081</v>
      </c>
    </row>
    <row r="174" spans="1:15">
      <c r="E174" s="4">
        <f t="shared" si="86"/>
        <v>174</v>
      </c>
      <c r="F174" s="9" t="s">
        <v>145</v>
      </c>
      <c r="O174" s="23">
        <f t="shared" ref="O174" si="115">O163</f>
        <v>10708</v>
      </c>
    </row>
    <row r="175" spans="1:15">
      <c r="E175" s="4">
        <f t="shared" si="86"/>
        <v>175</v>
      </c>
      <c r="F175" s="9" t="s">
        <v>129</v>
      </c>
      <c r="O175" s="23">
        <v>0</v>
      </c>
    </row>
    <row r="176" spans="1:15">
      <c r="E176" s="4">
        <f t="shared" si="86"/>
        <v>176</v>
      </c>
      <c r="F176" s="9" t="s">
        <v>35</v>
      </c>
      <c r="G176" s="23" t="b">
        <f t="shared" ref="G176" si="116">MOD(D162,2)=0</f>
        <v>1</v>
      </c>
      <c r="H176" s="9">
        <v>170</v>
      </c>
      <c r="I176" s="9" t="s">
        <v>241</v>
      </c>
      <c r="J176" s="9">
        <v>0</v>
      </c>
      <c r="O176" s="23">
        <f t="shared" ref="O176" si="117">$H$22+IF(G176,$I$22,$J$22)</f>
        <v>340</v>
      </c>
    </row>
    <row r="177" spans="1:15">
      <c r="E177" s="4">
        <f t="shared" si="86"/>
        <v>177</v>
      </c>
      <c r="F177" s="9" t="s">
        <v>30</v>
      </c>
      <c r="O177" s="23">
        <v>0</v>
      </c>
    </row>
    <row r="178" spans="1:15">
      <c r="E178" s="4">
        <f t="shared" si="86"/>
        <v>178</v>
      </c>
      <c r="F178" s="9" t="s">
        <v>115</v>
      </c>
      <c r="L178" s="9" t="s">
        <v>136</v>
      </c>
      <c r="O178" s="23">
        <f t="shared" ref="O178" si="118">O168</f>
        <v>90</v>
      </c>
    </row>
    <row r="179" spans="1:15">
      <c r="E179" s="4">
        <f t="shared" si="86"/>
        <v>179</v>
      </c>
      <c r="F179" s="9" t="s">
        <v>103</v>
      </c>
      <c r="O179" s="23">
        <f t="shared" ref="O179" si="119">O173+1</f>
        <v>107082</v>
      </c>
    </row>
    <row r="180" spans="1:15">
      <c r="E180" s="4">
        <f t="shared" si="86"/>
        <v>180</v>
      </c>
      <c r="F180" s="9" t="s">
        <v>145</v>
      </c>
      <c r="O180" s="23">
        <f t="shared" ref="O180" si="120">O173</f>
        <v>107081</v>
      </c>
    </row>
    <row r="181" spans="1:15">
      <c r="E181" s="4">
        <f t="shared" si="86"/>
        <v>181</v>
      </c>
      <c r="F181" s="9" t="s">
        <v>129</v>
      </c>
      <c r="G181" s="9"/>
      <c r="O181" s="23">
        <v>0</v>
      </c>
    </row>
    <row r="182" spans="1:15">
      <c r="E182" s="4">
        <f t="shared" si="86"/>
        <v>182</v>
      </c>
      <c r="F182" s="9" t="s">
        <v>30</v>
      </c>
      <c r="O182" s="23">
        <v>3</v>
      </c>
    </row>
    <row r="183" spans="1:15">
      <c r="E183" s="4">
        <f t="shared" si="86"/>
        <v>183</v>
      </c>
      <c r="F183" s="9" t="s">
        <v>115</v>
      </c>
      <c r="L183" s="9" t="s">
        <v>136</v>
      </c>
      <c r="O183" s="23">
        <f t="shared" ref="O183" si="121">O178</f>
        <v>90</v>
      </c>
    </row>
    <row r="184" spans="1:15">
      <c r="A184" s="22" t="s">
        <v>236</v>
      </c>
      <c r="B184" s="22">
        <f t="shared" ref="B184" si="122">QUOTIENT( D184-1,G185)+1</f>
        <v>1</v>
      </c>
      <c r="C184" s="22">
        <f t="shared" ref="C184" si="123">D184-(B184-1)*G185</f>
        <v>9</v>
      </c>
      <c r="D184" s="22">
        <f>COUNT($D$7:$D183)+1</f>
        <v>9</v>
      </c>
      <c r="E184" s="4"/>
    </row>
    <row r="185" spans="1:15">
      <c r="E185" s="4">
        <f t="shared" si="86"/>
        <v>185</v>
      </c>
      <c r="F185" s="9" t="s">
        <v>95</v>
      </c>
      <c r="G185" s="23">
        <v>11</v>
      </c>
      <c r="H185" s="9" t="s">
        <v>37</v>
      </c>
      <c r="J185" s="9">
        <v>10700</v>
      </c>
      <c r="O185" s="23">
        <f t="shared" ref="O185" si="124">$J$9+D184</f>
        <v>10709</v>
      </c>
    </row>
    <row r="186" spans="1:15">
      <c r="E186" s="4">
        <f t="shared" si="86"/>
        <v>186</v>
      </c>
      <c r="F186" s="9" t="s">
        <v>153</v>
      </c>
      <c r="O186" s="23">
        <v>1450</v>
      </c>
    </row>
    <row r="187" spans="1:15">
      <c r="E187" s="4">
        <f t="shared" si="86"/>
        <v>187</v>
      </c>
      <c r="F187" s="9" t="s">
        <v>35</v>
      </c>
      <c r="O187" s="23">
        <v>60</v>
      </c>
    </row>
    <row r="188" spans="1:15">
      <c r="E188" s="4">
        <f t="shared" si="86"/>
        <v>188</v>
      </c>
      <c r="F188" s="9" t="s">
        <v>29</v>
      </c>
      <c r="O188" s="23" t="s">
        <v>147</v>
      </c>
    </row>
    <row r="189" spans="1:15">
      <c r="E189" s="4">
        <f t="shared" si="86"/>
        <v>189</v>
      </c>
      <c r="F189" s="9" t="s">
        <v>120</v>
      </c>
      <c r="O189" s="23" t="s">
        <v>146</v>
      </c>
    </row>
    <row r="190" spans="1:15">
      <c r="E190" s="4">
        <f t="shared" si="86"/>
        <v>190</v>
      </c>
      <c r="F190" s="9" t="s">
        <v>115</v>
      </c>
      <c r="G190" s="23" t="b">
        <f t="shared" ref="G190" si="125">MOD(B184,2)=0</f>
        <v>0</v>
      </c>
      <c r="H190" s="9">
        <v>-90</v>
      </c>
      <c r="I190" s="9" t="s">
        <v>238</v>
      </c>
      <c r="J190" s="9">
        <v>-1</v>
      </c>
      <c r="L190" s="9" t="s">
        <v>136</v>
      </c>
      <c r="O190" s="23">
        <f t="shared" ref="O190" si="126">$H$14*IF(G190,$I$14,$J$14)</f>
        <v>90</v>
      </c>
    </row>
    <row r="191" spans="1:15">
      <c r="E191" s="4">
        <f t="shared" si="86"/>
        <v>191</v>
      </c>
      <c r="F191" s="9" t="s">
        <v>100</v>
      </c>
      <c r="G191" s="23" t="b">
        <f t="shared" ref="G191" si="127">MOD(B184,2)=0</f>
        <v>0</v>
      </c>
      <c r="K191" s="9" t="s">
        <v>138</v>
      </c>
      <c r="O191" s="23" t="str">
        <f t="shared" ref="O191" si="128">CONCATENATE(IF(G191,$G$16,$H$16),",",$I$16+$J$16*(MOD(D184-1,$G$9)+1))</f>
        <v>-6,-2.4</v>
      </c>
    </row>
    <row r="192" spans="1:15">
      <c r="E192" s="4"/>
      <c r="G192" s="23" t="s">
        <v>32</v>
      </c>
      <c r="H192" s="9" t="s">
        <v>239</v>
      </c>
      <c r="I192" s="9">
        <v>4.8</v>
      </c>
      <c r="J192" s="9" t="s">
        <v>240</v>
      </c>
    </row>
    <row r="193" spans="1:15">
      <c r="E193" s="4">
        <f t="shared" si="86"/>
        <v>193</v>
      </c>
      <c r="F193" s="9" t="s">
        <v>30</v>
      </c>
      <c r="O193" s="23">
        <v>1.4</v>
      </c>
    </row>
    <row r="194" spans="1:15">
      <c r="E194" s="4">
        <f t="shared" si="86"/>
        <v>194</v>
      </c>
      <c r="F194" s="9" t="s">
        <v>31</v>
      </c>
      <c r="G194" s="23" t="b">
        <f t="shared" ref="G194" si="129">MOD(B184,2)=0</f>
        <v>0</v>
      </c>
      <c r="H194" s="9">
        <v>180</v>
      </c>
      <c r="I194" s="9" t="s">
        <v>238</v>
      </c>
      <c r="J194" s="9">
        <v>0</v>
      </c>
      <c r="L194" s="9" t="s">
        <v>136</v>
      </c>
      <c r="O194" s="23">
        <f t="shared" ref="O194" si="130">IF(G194,$H$18*$I$18,$H$18*$J$18)</f>
        <v>0</v>
      </c>
    </row>
    <row r="195" spans="1:15">
      <c r="E195" s="4">
        <f t="shared" si="86"/>
        <v>195</v>
      </c>
      <c r="F195" s="9" t="s">
        <v>103</v>
      </c>
      <c r="O195" s="23">
        <f t="shared" ref="O195" si="131">O185*10+1</f>
        <v>107091</v>
      </c>
    </row>
    <row r="196" spans="1:15">
      <c r="E196" s="4">
        <f t="shared" si="86"/>
        <v>196</v>
      </c>
      <c r="F196" s="9" t="s">
        <v>145</v>
      </c>
      <c r="O196" s="23">
        <f t="shared" ref="O196" si="132">O185</f>
        <v>10709</v>
      </c>
    </row>
    <row r="197" spans="1:15">
      <c r="E197" s="4">
        <f t="shared" si="86"/>
        <v>197</v>
      </c>
      <c r="F197" s="9" t="s">
        <v>129</v>
      </c>
      <c r="O197" s="23">
        <v>0</v>
      </c>
    </row>
    <row r="198" spans="1:15">
      <c r="E198" s="4">
        <f t="shared" si="86"/>
        <v>198</v>
      </c>
      <c r="F198" s="9" t="s">
        <v>35</v>
      </c>
      <c r="G198" s="23" t="b">
        <f t="shared" ref="G198" si="133">MOD(D184,2)=0</f>
        <v>0</v>
      </c>
      <c r="H198" s="9">
        <v>170</v>
      </c>
      <c r="I198" s="9" t="s">
        <v>241</v>
      </c>
      <c r="J198" s="9">
        <v>0</v>
      </c>
      <c r="O198" s="23">
        <f t="shared" ref="O198" si="134">$H$22+IF(G198,$I$22,$J$22)</f>
        <v>170</v>
      </c>
    </row>
    <row r="199" spans="1:15">
      <c r="E199" s="4">
        <f t="shared" si="86"/>
        <v>199</v>
      </c>
      <c r="F199" s="9" t="s">
        <v>30</v>
      </c>
      <c r="O199" s="23">
        <v>0</v>
      </c>
    </row>
    <row r="200" spans="1:15">
      <c r="E200" s="4">
        <f t="shared" si="86"/>
        <v>200</v>
      </c>
      <c r="F200" s="9" t="s">
        <v>115</v>
      </c>
      <c r="L200" s="9" t="s">
        <v>136</v>
      </c>
      <c r="O200" s="23">
        <f t="shared" ref="O200" si="135">O190</f>
        <v>90</v>
      </c>
    </row>
    <row r="201" spans="1:15">
      <c r="E201" s="4">
        <f t="shared" ref="E201:E264" si="136">ROW(E201)</f>
        <v>201</v>
      </c>
      <c r="F201" s="9" t="s">
        <v>103</v>
      </c>
      <c r="O201" s="23">
        <f t="shared" ref="O201" si="137">O195+1</f>
        <v>107092</v>
      </c>
    </row>
    <row r="202" spans="1:15">
      <c r="E202" s="4">
        <f t="shared" si="136"/>
        <v>202</v>
      </c>
      <c r="F202" s="9" t="s">
        <v>145</v>
      </c>
      <c r="O202" s="23">
        <f t="shared" ref="O202" si="138">O195</f>
        <v>107091</v>
      </c>
    </row>
    <row r="203" spans="1:15">
      <c r="E203" s="4">
        <f t="shared" si="136"/>
        <v>203</v>
      </c>
      <c r="F203" s="9" t="s">
        <v>129</v>
      </c>
      <c r="O203" s="23">
        <v>0</v>
      </c>
    </row>
    <row r="204" spans="1:15">
      <c r="E204" s="4">
        <f t="shared" si="136"/>
        <v>204</v>
      </c>
      <c r="F204" s="9" t="s">
        <v>30</v>
      </c>
      <c r="G204" s="9"/>
      <c r="O204" s="23">
        <v>3</v>
      </c>
    </row>
    <row r="205" spans="1:15">
      <c r="E205" s="4">
        <f t="shared" si="136"/>
        <v>205</v>
      </c>
      <c r="F205" s="9" t="s">
        <v>115</v>
      </c>
      <c r="L205" s="9" t="s">
        <v>136</v>
      </c>
      <c r="O205" s="23">
        <f t="shared" ref="O205" si="139">O200</f>
        <v>90</v>
      </c>
    </row>
    <row r="206" spans="1:15">
      <c r="A206" s="22" t="s">
        <v>236</v>
      </c>
      <c r="B206" s="22">
        <f t="shared" ref="B206" si="140">QUOTIENT( D206-1,G207)+1</f>
        <v>1</v>
      </c>
      <c r="C206" s="22">
        <f t="shared" ref="C206" si="141">D206-(B206-1)*G207</f>
        <v>10</v>
      </c>
      <c r="D206" s="22">
        <f>COUNT($D$7:$D205)+1</f>
        <v>10</v>
      </c>
      <c r="E206" s="4"/>
    </row>
    <row r="207" spans="1:15">
      <c r="E207" s="4">
        <f t="shared" si="136"/>
        <v>207</v>
      </c>
      <c r="F207" s="9" t="s">
        <v>95</v>
      </c>
      <c r="G207" s="23">
        <v>11</v>
      </c>
      <c r="H207" s="9" t="s">
        <v>37</v>
      </c>
      <c r="J207" s="9">
        <v>10700</v>
      </c>
      <c r="O207" s="23">
        <f t="shared" ref="O207" si="142">$J$9+D206</f>
        <v>10710</v>
      </c>
    </row>
    <row r="208" spans="1:15">
      <c r="E208" s="4">
        <f t="shared" si="136"/>
        <v>208</v>
      </c>
      <c r="F208" s="9" t="s">
        <v>153</v>
      </c>
      <c r="O208" s="23">
        <v>1450</v>
      </c>
    </row>
    <row r="209" spans="5:15">
      <c r="E209" s="4">
        <f t="shared" si="136"/>
        <v>209</v>
      </c>
      <c r="F209" s="9" t="s">
        <v>35</v>
      </c>
      <c r="O209" s="23">
        <v>60</v>
      </c>
    </row>
    <row r="210" spans="5:15">
      <c r="E210" s="4">
        <f t="shared" si="136"/>
        <v>210</v>
      </c>
      <c r="F210" s="9" t="s">
        <v>29</v>
      </c>
      <c r="O210" s="23" t="s">
        <v>147</v>
      </c>
    </row>
    <row r="211" spans="5:15">
      <c r="E211" s="4">
        <f t="shared" si="136"/>
        <v>211</v>
      </c>
      <c r="F211" s="9" t="s">
        <v>120</v>
      </c>
      <c r="O211" s="23" t="s">
        <v>146</v>
      </c>
    </row>
    <row r="212" spans="5:15">
      <c r="E212" s="4">
        <f t="shared" si="136"/>
        <v>212</v>
      </c>
      <c r="F212" s="9" t="s">
        <v>115</v>
      </c>
      <c r="G212" s="23" t="b">
        <f t="shared" ref="G212" si="143">MOD(B206,2)=0</f>
        <v>0</v>
      </c>
      <c r="H212" s="9">
        <v>-90</v>
      </c>
      <c r="I212" s="9" t="s">
        <v>238</v>
      </c>
      <c r="J212" s="9">
        <v>-1</v>
      </c>
      <c r="L212" s="9" t="s">
        <v>136</v>
      </c>
      <c r="O212" s="23">
        <f t="shared" ref="O212" si="144">$H$14*IF(G212,$I$14,$J$14)</f>
        <v>90</v>
      </c>
    </row>
    <row r="213" spans="5:15">
      <c r="E213" s="4">
        <f t="shared" si="136"/>
        <v>213</v>
      </c>
      <c r="F213" s="9" t="s">
        <v>100</v>
      </c>
      <c r="G213" s="23" t="b">
        <f t="shared" ref="G213" si="145">MOD(B206,2)=0</f>
        <v>0</v>
      </c>
      <c r="K213" s="9" t="s">
        <v>138</v>
      </c>
      <c r="O213" s="23" t="str">
        <f t="shared" ref="O213" si="146">CONCATENATE(IF(G213,$G$16,$H$16),",",$I$16+$J$16*(MOD(D206-1,$G$9)+1))</f>
        <v>-6,-3.2</v>
      </c>
    </row>
    <row r="214" spans="5:15">
      <c r="E214" s="4"/>
      <c r="G214" s="23" t="s">
        <v>32</v>
      </c>
      <c r="H214" s="9" t="s">
        <v>239</v>
      </c>
      <c r="I214" s="9">
        <v>4.8</v>
      </c>
      <c r="J214" s="9" t="s">
        <v>240</v>
      </c>
    </row>
    <row r="215" spans="5:15">
      <c r="E215" s="4">
        <f t="shared" si="136"/>
        <v>215</v>
      </c>
      <c r="F215" s="9" t="s">
        <v>30</v>
      </c>
      <c r="O215" s="23">
        <v>1.4</v>
      </c>
    </row>
    <row r="216" spans="5:15">
      <c r="E216" s="4">
        <f t="shared" si="136"/>
        <v>216</v>
      </c>
      <c r="F216" s="9" t="s">
        <v>31</v>
      </c>
      <c r="G216" s="23" t="b">
        <f t="shared" ref="G216" si="147">MOD(B206,2)=0</f>
        <v>0</v>
      </c>
      <c r="H216" s="9">
        <v>180</v>
      </c>
      <c r="I216" s="9" t="s">
        <v>238</v>
      </c>
      <c r="J216" s="9">
        <v>0</v>
      </c>
      <c r="L216" s="9" t="s">
        <v>136</v>
      </c>
      <c r="O216" s="23">
        <f t="shared" ref="O216" si="148">IF(G216,$H$18*$I$18,$H$18*$J$18)</f>
        <v>0</v>
      </c>
    </row>
    <row r="217" spans="5:15">
      <c r="E217" s="4">
        <f t="shared" si="136"/>
        <v>217</v>
      </c>
      <c r="F217" s="9" t="s">
        <v>103</v>
      </c>
      <c r="O217" s="23">
        <f t="shared" ref="O217" si="149">O207*10+1</f>
        <v>107101</v>
      </c>
    </row>
    <row r="218" spans="5:15">
      <c r="E218" s="4">
        <f t="shared" si="136"/>
        <v>218</v>
      </c>
      <c r="F218" s="9" t="s">
        <v>145</v>
      </c>
      <c r="O218" s="23">
        <f t="shared" ref="O218" si="150">O207</f>
        <v>10710</v>
      </c>
    </row>
    <row r="219" spans="5:15">
      <c r="E219" s="4">
        <f t="shared" si="136"/>
        <v>219</v>
      </c>
      <c r="F219" s="9" t="s">
        <v>129</v>
      </c>
      <c r="O219" s="23">
        <v>0</v>
      </c>
    </row>
    <row r="220" spans="5:15">
      <c r="E220" s="4">
        <f t="shared" si="136"/>
        <v>220</v>
      </c>
      <c r="F220" s="9" t="s">
        <v>35</v>
      </c>
      <c r="G220" s="23" t="b">
        <f t="shared" ref="G220" si="151">MOD(D206,2)=0</f>
        <v>1</v>
      </c>
      <c r="H220" s="9">
        <v>170</v>
      </c>
      <c r="I220" s="9" t="s">
        <v>241</v>
      </c>
      <c r="J220" s="9">
        <v>0</v>
      </c>
      <c r="O220" s="23">
        <f t="shared" ref="O220" si="152">$H$22+IF(G220,$I$22,$J$22)</f>
        <v>340</v>
      </c>
    </row>
    <row r="221" spans="5:15">
      <c r="E221" s="4">
        <f t="shared" si="136"/>
        <v>221</v>
      </c>
      <c r="F221" s="9" t="s">
        <v>30</v>
      </c>
      <c r="O221" s="23">
        <v>0</v>
      </c>
    </row>
    <row r="222" spans="5:15">
      <c r="E222" s="4">
        <f t="shared" si="136"/>
        <v>222</v>
      </c>
      <c r="F222" s="9" t="s">
        <v>115</v>
      </c>
      <c r="L222" s="9" t="s">
        <v>136</v>
      </c>
      <c r="O222" s="23">
        <f t="shared" ref="O222" si="153">O212</f>
        <v>90</v>
      </c>
    </row>
    <row r="223" spans="5:15">
      <c r="E223" s="4">
        <f t="shared" si="136"/>
        <v>223</v>
      </c>
      <c r="F223" s="9" t="s">
        <v>103</v>
      </c>
      <c r="O223" s="23">
        <f t="shared" ref="O223" si="154">O217+1</f>
        <v>107102</v>
      </c>
    </row>
    <row r="224" spans="5:15">
      <c r="E224" s="4">
        <f t="shared" si="136"/>
        <v>224</v>
      </c>
      <c r="F224" s="9" t="s">
        <v>145</v>
      </c>
      <c r="O224" s="23">
        <f t="shared" ref="O224" si="155">O217</f>
        <v>107101</v>
      </c>
    </row>
    <row r="225" spans="1:15">
      <c r="E225" s="4">
        <f t="shared" si="136"/>
        <v>225</v>
      </c>
      <c r="F225" s="9" t="s">
        <v>129</v>
      </c>
      <c r="O225" s="23">
        <v>0</v>
      </c>
    </row>
    <row r="226" spans="1:15">
      <c r="E226" s="4">
        <f t="shared" si="136"/>
        <v>226</v>
      </c>
      <c r="F226" s="9" t="s">
        <v>30</v>
      </c>
      <c r="O226" s="23">
        <v>3</v>
      </c>
    </row>
    <row r="227" spans="1:15">
      <c r="E227" s="4">
        <f t="shared" si="136"/>
        <v>227</v>
      </c>
      <c r="F227" s="9" t="s">
        <v>115</v>
      </c>
      <c r="G227" s="9"/>
      <c r="L227" s="9" t="s">
        <v>136</v>
      </c>
      <c r="O227" s="23">
        <f t="shared" ref="O227" si="156">O222</f>
        <v>90</v>
      </c>
    </row>
    <row r="228" spans="1:15">
      <c r="A228" s="22" t="s">
        <v>236</v>
      </c>
      <c r="B228" s="22">
        <f t="shared" ref="B228" si="157">QUOTIENT( D228-1,G229)+1</f>
        <v>1</v>
      </c>
      <c r="C228" s="22">
        <f t="shared" ref="C228" si="158">D228-(B228-1)*G229</f>
        <v>11</v>
      </c>
      <c r="D228" s="22">
        <f>COUNT($D$7:$D227)+1</f>
        <v>11</v>
      </c>
      <c r="E228" s="4"/>
    </row>
    <row r="229" spans="1:15">
      <c r="E229" s="4">
        <f t="shared" si="136"/>
        <v>229</v>
      </c>
      <c r="F229" s="9" t="s">
        <v>95</v>
      </c>
      <c r="G229" s="23">
        <v>11</v>
      </c>
      <c r="H229" s="9" t="s">
        <v>37</v>
      </c>
      <c r="J229" s="9">
        <v>10700</v>
      </c>
      <c r="O229" s="23">
        <f t="shared" ref="O229" si="159">$J$9+D228</f>
        <v>10711</v>
      </c>
    </row>
    <row r="230" spans="1:15">
      <c r="E230" s="4">
        <f t="shared" si="136"/>
        <v>230</v>
      </c>
      <c r="F230" s="9" t="s">
        <v>153</v>
      </c>
      <c r="O230" s="23">
        <v>1450</v>
      </c>
    </row>
    <row r="231" spans="1:15">
      <c r="E231" s="4">
        <f t="shared" si="136"/>
        <v>231</v>
      </c>
      <c r="F231" s="9" t="s">
        <v>35</v>
      </c>
      <c r="O231" s="23">
        <v>60</v>
      </c>
    </row>
    <row r="232" spans="1:15">
      <c r="E232" s="4">
        <f t="shared" si="136"/>
        <v>232</v>
      </c>
      <c r="F232" s="9" t="s">
        <v>29</v>
      </c>
      <c r="O232" s="23" t="s">
        <v>147</v>
      </c>
    </row>
    <row r="233" spans="1:15">
      <c r="E233" s="4">
        <f t="shared" si="136"/>
        <v>233</v>
      </c>
      <c r="F233" s="9" t="s">
        <v>120</v>
      </c>
      <c r="O233" s="23" t="s">
        <v>146</v>
      </c>
    </row>
    <row r="234" spans="1:15">
      <c r="E234" s="4">
        <f t="shared" si="136"/>
        <v>234</v>
      </c>
      <c r="F234" s="9" t="s">
        <v>115</v>
      </c>
      <c r="G234" s="23" t="b">
        <f t="shared" ref="G234" si="160">MOD(B228,2)=0</f>
        <v>0</v>
      </c>
      <c r="H234" s="9">
        <v>-90</v>
      </c>
      <c r="I234" s="9" t="s">
        <v>238</v>
      </c>
      <c r="J234" s="9">
        <v>-1</v>
      </c>
      <c r="L234" s="9" t="s">
        <v>136</v>
      </c>
      <c r="O234" s="23">
        <f t="shared" ref="O234" si="161">$H$14*IF(G234,$I$14,$J$14)</f>
        <v>90</v>
      </c>
    </row>
    <row r="235" spans="1:15">
      <c r="E235" s="4">
        <f t="shared" si="136"/>
        <v>235</v>
      </c>
      <c r="F235" s="9" t="s">
        <v>100</v>
      </c>
      <c r="G235" s="23" t="b">
        <f t="shared" ref="G235" si="162">MOD(B228,2)=0</f>
        <v>0</v>
      </c>
      <c r="K235" s="9" t="s">
        <v>138</v>
      </c>
      <c r="O235" s="23" t="str">
        <f t="shared" ref="O235" si="163">CONCATENATE(IF(G235,$G$16,$H$16),",",$I$16+$J$16*(MOD(D228-1,$G$9)+1))</f>
        <v>-6,-4</v>
      </c>
    </row>
    <row r="236" spans="1:15">
      <c r="E236" s="4"/>
      <c r="G236" s="23" t="s">
        <v>32</v>
      </c>
      <c r="H236" s="9" t="s">
        <v>239</v>
      </c>
      <c r="I236" s="9">
        <v>4.8</v>
      </c>
      <c r="J236" s="9" t="s">
        <v>240</v>
      </c>
    </row>
    <row r="237" spans="1:15">
      <c r="E237" s="4">
        <f t="shared" si="136"/>
        <v>237</v>
      </c>
      <c r="F237" s="9" t="s">
        <v>30</v>
      </c>
      <c r="O237" s="23">
        <v>1.4</v>
      </c>
    </row>
    <row r="238" spans="1:15">
      <c r="E238" s="4">
        <f t="shared" si="136"/>
        <v>238</v>
      </c>
      <c r="F238" s="9" t="s">
        <v>31</v>
      </c>
      <c r="G238" s="23" t="b">
        <f t="shared" ref="G238" si="164">MOD(B228,2)=0</f>
        <v>0</v>
      </c>
      <c r="H238" s="9">
        <v>180</v>
      </c>
      <c r="I238" s="9" t="s">
        <v>238</v>
      </c>
      <c r="J238" s="9">
        <v>0</v>
      </c>
      <c r="L238" s="9" t="s">
        <v>136</v>
      </c>
      <c r="O238" s="23">
        <f t="shared" ref="O238" si="165">IF(G238,$H$18*$I$18,$H$18*$J$18)</f>
        <v>0</v>
      </c>
    </row>
    <row r="239" spans="1:15">
      <c r="E239" s="4">
        <f t="shared" si="136"/>
        <v>239</v>
      </c>
      <c r="F239" s="9" t="s">
        <v>103</v>
      </c>
      <c r="O239" s="23">
        <f t="shared" ref="O239" si="166">O229*10+1</f>
        <v>107111</v>
      </c>
    </row>
    <row r="240" spans="1:15">
      <c r="E240" s="4">
        <f t="shared" si="136"/>
        <v>240</v>
      </c>
      <c r="F240" s="9" t="s">
        <v>145</v>
      </c>
      <c r="O240" s="23">
        <f t="shared" ref="O240" si="167">O229</f>
        <v>10711</v>
      </c>
    </row>
    <row r="241" spans="1:15">
      <c r="E241" s="4">
        <f t="shared" si="136"/>
        <v>241</v>
      </c>
      <c r="F241" s="9" t="s">
        <v>129</v>
      </c>
      <c r="O241" s="23">
        <v>0</v>
      </c>
    </row>
    <row r="242" spans="1:15">
      <c r="E242" s="4">
        <f t="shared" si="136"/>
        <v>242</v>
      </c>
      <c r="F242" s="9" t="s">
        <v>35</v>
      </c>
      <c r="G242" s="23" t="b">
        <f t="shared" ref="G242" si="168">MOD(D228,2)=0</f>
        <v>0</v>
      </c>
      <c r="H242" s="9">
        <v>170</v>
      </c>
      <c r="I242" s="9" t="s">
        <v>241</v>
      </c>
      <c r="J242" s="9">
        <v>0</v>
      </c>
      <c r="O242" s="23">
        <f t="shared" ref="O242" si="169">$H$22+IF(G242,$I$22,$J$22)</f>
        <v>170</v>
      </c>
    </row>
    <row r="243" spans="1:15">
      <c r="E243" s="4">
        <f t="shared" si="136"/>
        <v>243</v>
      </c>
      <c r="F243" s="9" t="s">
        <v>30</v>
      </c>
      <c r="O243" s="23">
        <v>0</v>
      </c>
    </row>
    <row r="244" spans="1:15">
      <c r="E244" s="4">
        <f t="shared" si="136"/>
        <v>244</v>
      </c>
      <c r="F244" s="9" t="s">
        <v>115</v>
      </c>
      <c r="L244" s="9" t="s">
        <v>136</v>
      </c>
      <c r="O244" s="23">
        <f t="shared" ref="O244" si="170">O234</f>
        <v>90</v>
      </c>
    </row>
    <row r="245" spans="1:15">
      <c r="E245" s="4">
        <f t="shared" si="136"/>
        <v>245</v>
      </c>
      <c r="F245" s="9" t="s">
        <v>103</v>
      </c>
      <c r="O245" s="23">
        <f t="shared" ref="O245" si="171">O239+1</f>
        <v>107112</v>
      </c>
    </row>
    <row r="246" spans="1:15">
      <c r="E246" s="4">
        <f t="shared" si="136"/>
        <v>246</v>
      </c>
      <c r="F246" s="9" t="s">
        <v>145</v>
      </c>
      <c r="O246" s="23">
        <f t="shared" ref="O246" si="172">O239</f>
        <v>107111</v>
      </c>
    </row>
    <row r="247" spans="1:15">
      <c r="E247" s="4">
        <f t="shared" si="136"/>
        <v>247</v>
      </c>
      <c r="F247" s="9" t="s">
        <v>129</v>
      </c>
      <c r="O247" s="23">
        <v>0</v>
      </c>
    </row>
    <row r="248" spans="1:15">
      <c r="E248" s="4">
        <f t="shared" si="136"/>
        <v>248</v>
      </c>
      <c r="F248" s="9" t="s">
        <v>30</v>
      </c>
      <c r="O248" s="23">
        <v>3</v>
      </c>
    </row>
    <row r="249" spans="1:15">
      <c r="E249" s="4">
        <f t="shared" si="136"/>
        <v>249</v>
      </c>
      <c r="F249" s="9" t="s">
        <v>115</v>
      </c>
      <c r="L249" s="9" t="s">
        <v>136</v>
      </c>
      <c r="O249" s="23">
        <f t="shared" ref="O249" si="173">O244</f>
        <v>90</v>
      </c>
    </row>
    <row r="250" spans="1:15">
      <c r="A250" s="22" t="s">
        <v>236</v>
      </c>
      <c r="B250" s="22">
        <f t="shared" ref="B250" si="174">QUOTIENT( D250-1,G251)+1</f>
        <v>2</v>
      </c>
      <c r="C250" s="22">
        <f t="shared" ref="C250" si="175">D250-(B250-1)*G251</f>
        <v>1</v>
      </c>
      <c r="D250" s="22">
        <f>COUNT($D$7:$D249)+1</f>
        <v>12</v>
      </c>
      <c r="E250" s="4"/>
      <c r="G250" s="9"/>
    </row>
    <row r="251" spans="1:15">
      <c r="E251" s="4">
        <f t="shared" si="136"/>
        <v>251</v>
      </c>
      <c r="F251" s="9" t="s">
        <v>95</v>
      </c>
      <c r="G251" s="23">
        <v>11</v>
      </c>
      <c r="H251" s="9" t="s">
        <v>37</v>
      </c>
      <c r="J251" s="9">
        <v>10700</v>
      </c>
      <c r="O251" s="23">
        <f t="shared" ref="O251" si="176">$J$9+D250</f>
        <v>10712</v>
      </c>
    </row>
    <row r="252" spans="1:15">
      <c r="E252" s="4">
        <f t="shared" si="136"/>
        <v>252</v>
      </c>
      <c r="F252" s="9" t="s">
        <v>153</v>
      </c>
      <c r="O252" s="23">
        <v>1450</v>
      </c>
    </row>
    <row r="253" spans="1:15">
      <c r="E253" s="4">
        <f t="shared" si="136"/>
        <v>253</v>
      </c>
      <c r="F253" s="9" t="s">
        <v>35</v>
      </c>
      <c r="O253" s="23">
        <v>60</v>
      </c>
    </row>
    <row r="254" spans="1:15">
      <c r="E254" s="4">
        <f t="shared" si="136"/>
        <v>254</v>
      </c>
      <c r="F254" s="9" t="s">
        <v>29</v>
      </c>
      <c r="O254" s="23" t="s">
        <v>147</v>
      </c>
    </row>
    <row r="255" spans="1:15">
      <c r="E255" s="4">
        <f t="shared" si="136"/>
        <v>255</v>
      </c>
      <c r="F255" s="9" t="s">
        <v>120</v>
      </c>
      <c r="O255" s="23" t="s">
        <v>146</v>
      </c>
    </row>
    <row r="256" spans="1:15">
      <c r="E256" s="4">
        <f t="shared" si="136"/>
        <v>256</v>
      </c>
      <c r="F256" s="9" t="s">
        <v>115</v>
      </c>
      <c r="G256" s="23" t="b">
        <f t="shared" ref="G256" si="177">MOD(B250,2)=0</f>
        <v>1</v>
      </c>
      <c r="H256" s="9">
        <v>-90</v>
      </c>
      <c r="I256" s="9" t="s">
        <v>238</v>
      </c>
      <c r="J256" s="9">
        <v>-1</v>
      </c>
      <c r="L256" s="9" t="s">
        <v>136</v>
      </c>
      <c r="O256" s="23">
        <f t="shared" ref="O256" si="178">$H$14*IF(G256,$I$14,$J$14)</f>
        <v>-90</v>
      </c>
    </row>
    <row r="257" spans="1:15">
      <c r="E257" s="4">
        <f t="shared" si="136"/>
        <v>257</v>
      </c>
      <c r="F257" s="9" t="s">
        <v>100</v>
      </c>
      <c r="G257" s="23" t="b">
        <f t="shared" ref="G257" si="179">MOD(B250,2)=0</f>
        <v>1</v>
      </c>
      <c r="K257" s="9" t="s">
        <v>138</v>
      </c>
      <c r="O257" s="23" t="str">
        <f t="shared" ref="O257" si="180">CONCATENATE(IF(G257,$G$16,$H$16),",",$I$16+$J$16*(MOD(D250-1,$G$9)+1))</f>
        <v>6,4</v>
      </c>
    </row>
    <row r="258" spans="1:15">
      <c r="E258" s="4"/>
      <c r="G258" s="23" t="s">
        <v>32</v>
      </c>
      <c r="H258" s="9" t="s">
        <v>239</v>
      </c>
      <c r="I258" s="9">
        <v>4.8</v>
      </c>
      <c r="J258" s="9" t="s">
        <v>240</v>
      </c>
    </row>
    <row r="259" spans="1:15">
      <c r="E259" s="4">
        <f t="shared" si="136"/>
        <v>259</v>
      </c>
      <c r="F259" s="9" t="s">
        <v>30</v>
      </c>
      <c r="O259" s="23">
        <v>1.4</v>
      </c>
    </row>
    <row r="260" spans="1:15">
      <c r="E260" s="4">
        <f t="shared" si="136"/>
        <v>260</v>
      </c>
      <c r="F260" s="9" t="s">
        <v>31</v>
      </c>
      <c r="G260" s="23" t="b">
        <f t="shared" ref="G260" si="181">MOD(B250,2)=0</f>
        <v>1</v>
      </c>
      <c r="H260" s="9">
        <v>180</v>
      </c>
      <c r="I260" s="9" t="s">
        <v>238</v>
      </c>
      <c r="J260" s="9">
        <v>0</v>
      </c>
      <c r="L260" s="9" t="s">
        <v>136</v>
      </c>
      <c r="O260" s="23">
        <f t="shared" ref="O260" si="182">IF(G260,$H$18*$I$18,$H$18*$J$18)</f>
        <v>180</v>
      </c>
    </row>
    <row r="261" spans="1:15">
      <c r="E261" s="4">
        <f t="shared" si="136"/>
        <v>261</v>
      </c>
      <c r="F261" s="9" t="s">
        <v>103</v>
      </c>
      <c r="O261" s="23">
        <f t="shared" ref="O261" si="183">O251*10+1</f>
        <v>107121</v>
      </c>
    </row>
    <row r="262" spans="1:15">
      <c r="E262" s="4">
        <f t="shared" si="136"/>
        <v>262</v>
      </c>
      <c r="F262" s="9" t="s">
        <v>145</v>
      </c>
      <c r="O262" s="23">
        <f t="shared" ref="O262" si="184">O251</f>
        <v>10712</v>
      </c>
    </row>
    <row r="263" spans="1:15">
      <c r="E263" s="4">
        <f t="shared" si="136"/>
        <v>263</v>
      </c>
      <c r="F263" s="9" t="s">
        <v>129</v>
      </c>
      <c r="O263" s="23">
        <v>0</v>
      </c>
    </row>
    <row r="264" spans="1:15">
      <c r="E264" s="4">
        <f t="shared" si="136"/>
        <v>264</v>
      </c>
      <c r="F264" s="9" t="s">
        <v>35</v>
      </c>
      <c r="G264" s="23" t="b">
        <f t="shared" ref="G264" si="185">MOD(D250,2)=0</f>
        <v>1</v>
      </c>
      <c r="H264" s="9">
        <v>170</v>
      </c>
      <c r="I264" s="9" t="s">
        <v>241</v>
      </c>
      <c r="J264" s="9">
        <v>0</v>
      </c>
      <c r="O264" s="23">
        <f t="shared" ref="O264" si="186">$H$22+IF(G264,$I$22,$J$22)</f>
        <v>340</v>
      </c>
    </row>
    <row r="265" spans="1:15">
      <c r="E265" s="4">
        <f t="shared" ref="E265:E328" si="187">ROW(E265)</f>
        <v>265</v>
      </c>
      <c r="F265" s="9" t="s">
        <v>30</v>
      </c>
      <c r="O265" s="23">
        <v>0</v>
      </c>
    </row>
    <row r="266" spans="1:15">
      <c r="E266" s="4">
        <f t="shared" si="187"/>
        <v>266</v>
      </c>
      <c r="F266" s="9" t="s">
        <v>115</v>
      </c>
      <c r="L266" s="9" t="s">
        <v>136</v>
      </c>
      <c r="O266" s="23">
        <f t="shared" ref="O266" si="188">O256</f>
        <v>-90</v>
      </c>
    </row>
    <row r="267" spans="1:15">
      <c r="E267" s="4">
        <f t="shared" si="187"/>
        <v>267</v>
      </c>
      <c r="F267" s="9" t="s">
        <v>103</v>
      </c>
      <c r="O267" s="23">
        <f t="shared" ref="O267" si="189">O261+1</f>
        <v>107122</v>
      </c>
    </row>
    <row r="268" spans="1:15">
      <c r="E268" s="4">
        <f t="shared" si="187"/>
        <v>268</v>
      </c>
      <c r="F268" s="9" t="s">
        <v>145</v>
      </c>
      <c r="O268" s="23">
        <f t="shared" ref="O268" si="190">O261</f>
        <v>107121</v>
      </c>
    </row>
    <row r="269" spans="1:15">
      <c r="E269" s="4">
        <f t="shared" si="187"/>
        <v>269</v>
      </c>
      <c r="F269" s="9" t="s">
        <v>129</v>
      </c>
      <c r="O269" s="23">
        <v>0</v>
      </c>
    </row>
    <row r="270" spans="1:15">
      <c r="E270" s="4">
        <f t="shared" si="187"/>
        <v>270</v>
      </c>
      <c r="F270" s="9" t="s">
        <v>30</v>
      </c>
      <c r="O270" s="23">
        <v>3</v>
      </c>
    </row>
    <row r="271" spans="1:15">
      <c r="E271" s="4">
        <f t="shared" si="187"/>
        <v>271</v>
      </c>
      <c r="F271" s="9" t="s">
        <v>115</v>
      </c>
      <c r="L271" s="9" t="s">
        <v>136</v>
      </c>
      <c r="O271" s="23">
        <f t="shared" ref="O271" si="191">O266</f>
        <v>-90</v>
      </c>
    </row>
    <row r="272" spans="1:15">
      <c r="A272" s="22" t="s">
        <v>236</v>
      </c>
      <c r="B272" s="22">
        <f t="shared" ref="B272" si="192">QUOTIENT( D272-1,G273)+1</f>
        <v>2</v>
      </c>
      <c r="C272" s="22">
        <f t="shared" ref="C272" si="193">D272-(B272-1)*G273</f>
        <v>2</v>
      </c>
      <c r="D272" s="22">
        <f>COUNT($D$7:$D271)+1</f>
        <v>13</v>
      </c>
      <c r="E272" s="4"/>
    </row>
    <row r="273" spans="5:15">
      <c r="E273" s="4">
        <f t="shared" si="187"/>
        <v>273</v>
      </c>
      <c r="F273" s="9" t="s">
        <v>95</v>
      </c>
      <c r="G273" s="9">
        <v>11</v>
      </c>
      <c r="H273" s="9" t="s">
        <v>37</v>
      </c>
      <c r="J273" s="9">
        <v>10700</v>
      </c>
      <c r="O273" s="23">
        <f t="shared" ref="O273" si="194">$J$9+D272</f>
        <v>10713</v>
      </c>
    </row>
    <row r="274" spans="5:15">
      <c r="E274" s="4">
        <f t="shared" si="187"/>
        <v>274</v>
      </c>
      <c r="F274" s="9" t="s">
        <v>153</v>
      </c>
      <c r="O274" s="23">
        <v>1450</v>
      </c>
    </row>
    <row r="275" spans="5:15">
      <c r="E275" s="4">
        <f t="shared" si="187"/>
        <v>275</v>
      </c>
      <c r="F275" s="9" t="s">
        <v>35</v>
      </c>
      <c r="O275" s="23">
        <v>60</v>
      </c>
    </row>
    <row r="276" spans="5:15">
      <c r="E276" s="4">
        <f t="shared" si="187"/>
        <v>276</v>
      </c>
      <c r="F276" s="9" t="s">
        <v>29</v>
      </c>
      <c r="O276" s="23" t="s">
        <v>147</v>
      </c>
    </row>
    <row r="277" spans="5:15">
      <c r="E277" s="4">
        <f t="shared" si="187"/>
        <v>277</v>
      </c>
      <c r="F277" s="9" t="s">
        <v>120</v>
      </c>
      <c r="O277" s="23" t="s">
        <v>146</v>
      </c>
    </row>
    <row r="278" spans="5:15">
      <c r="E278" s="4">
        <f t="shared" si="187"/>
        <v>278</v>
      </c>
      <c r="F278" s="9" t="s">
        <v>115</v>
      </c>
      <c r="G278" s="23" t="b">
        <f t="shared" ref="G278" si="195">MOD(B272,2)=0</f>
        <v>1</v>
      </c>
      <c r="H278" s="9">
        <v>-90</v>
      </c>
      <c r="I278" s="9" t="s">
        <v>238</v>
      </c>
      <c r="J278" s="9">
        <v>-1</v>
      </c>
      <c r="L278" s="9" t="s">
        <v>136</v>
      </c>
      <c r="O278" s="23">
        <f t="shared" ref="O278" si="196">$H$14*IF(G278,$I$14,$J$14)</f>
        <v>-90</v>
      </c>
    </row>
    <row r="279" spans="5:15">
      <c r="E279" s="4">
        <f t="shared" si="187"/>
        <v>279</v>
      </c>
      <c r="F279" s="9" t="s">
        <v>100</v>
      </c>
      <c r="G279" s="23" t="b">
        <f t="shared" ref="G279" si="197">MOD(B272,2)=0</f>
        <v>1</v>
      </c>
      <c r="K279" s="9" t="s">
        <v>138</v>
      </c>
      <c r="O279" s="23" t="str">
        <f t="shared" ref="O279" si="198">CONCATENATE(IF(G279,$G$16,$H$16),",",$I$16+$J$16*(MOD(D272-1,$G$9)+1))</f>
        <v>6,3.2</v>
      </c>
    </row>
    <row r="280" spans="5:15">
      <c r="E280" s="4"/>
      <c r="G280" s="23" t="s">
        <v>32</v>
      </c>
      <c r="H280" s="9" t="s">
        <v>239</v>
      </c>
      <c r="I280" s="9">
        <v>4.8</v>
      </c>
      <c r="J280" s="9" t="s">
        <v>240</v>
      </c>
    </row>
    <row r="281" spans="5:15">
      <c r="E281" s="4">
        <f t="shared" si="187"/>
        <v>281</v>
      </c>
      <c r="F281" s="9" t="s">
        <v>30</v>
      </c>
      <c r="O281" s="23">
        <v>1.4</v>
      </c>
    </row>
    <row r="282" spans="5:15">
      <c r="E282" s="4">
        <f t="shared" si="187"/>
        <v>282</v>
      </c>
      <c r="F282" s="9" t="s">
        <v>31</v>
      </c>
      <c r="G282" s="23" t="b">
        <f t="shared" ref="G282" si="199">MOD(B272,2)=0</f>
        <v>1</v>
      </c>
      <c r="H282" s="9">
        <v>180</v>
      </c>
      <c r="I282" s="9" t="s">
        <v>238</v>
      </c>
      <c r="J282" s="9">
        <v>0</v>
      </c>
      <c r="L282" s="9" t="s">
        <v>136</v>
      </c>
      <c r="O282" s="23">
        <f t="shared" ref="O282" si="200">IF(G282,$H$18*$I$18,$H$18*$J$18)</f>
        <v>180</v>
      </c>
    </row>
    <row r="283" spans="5:15">
      <c r="E283" s="4">
        <f t="shared" si="187"/>
        <v>283</v>
      </c>
      <c r="F283" s="9" t="s">
        <v>103</v>
      </c>
      <c r="O283" s="23">
        <f t="shared" ref="O283" si="201">O273*10+1</f>
        <v>107131</v>
      </c>
    </row>
    <row r="284" spans="5:15">
      <c r="E284" s="4">
        <f t="shared" si="187"/>
        <v>284</v>
      </c>
      <c r="F284" s="9" t="s">
        <v>145</v>
      </c>
      <c r="O284" s="23">
        <f t="shared" ref="O284" si="202">O273</f>
        <v>10713</v>
      </c>
    </row>
    <row r="285" spans="5:15">
      <c r="E285" s="4">
        <f t="shared" si="187"/>
        <v>285</v>
      </c>
      <c r="F285" s="9" t="s">
        <v>129</v>
      </c>
      <c r="O285" s="23">
        <v>0</v>
      </c>
    </row>
    <row r="286" spans="5:15">
      <c r="E286" s="4">
        <f t="shared" si="187"/>
        <v>286</v>
      </c>
      <c r="F286" s="9" t="s">
        <v>35</v>
      </c>
      <c r="G286" s="23" t="b">
        <f t="shared" ref="G286" si="203">MOD(D272,2)=0</f>
        <v>0</v>
      </c>
      <c r="H286" s="9">
        <v>170</v>
      </c>
      <c r="I286" s="9" t="s">
        <v>241</v>
      </c>
      <c r="J286" s="9">
        <v>0</v>
      </c>
      <c r="O286" s="23">
        <f t="shared" ref="O286" si="204">$H$22+IF(G286,$I$22,$J$22)</f>
        <v>170</v>
      </c>
    </row>
    <row r="287" spans="5:15">
      <c r="E287" s="4">
        <f t="shared" si="187"/>
        <v>287</v>
      </c>
      <c r="F287" s="9" t="s">
        <v>30</v>
      </c>
      <c r="O287" s="23">
        <v>0</v>
      </c>
    </row>
    <row r="288" spans="5:15">
      <c r="E288" s="4">
        <f t="shared" si="187"/>
        <v>288</v>
      </c>
      <c r="F288" s="9" t="s">
        <v>115</v>
      </c>
      <c r="L288" s="9" t="s">
        <v>136</v>
      </c>
      <c r="O288" s="23">
        <f t="shared" ref="O288" si="205">O278</f>
        <v>-90</v>
      </c>
    </row>
    <row r="289" spans="1:15">
      <c r="E289" s="4">
        <f t="shared" si="187"/>
        <v>289</v>
      </c>
      <c r="F289" s="9" t="s">
        <v>103</v>
      </c>
      <c r="O289" s="23">
        <f t="shared" ref="O289" si="206">O283+1</f>
        <v>107132</v>
      </c>
    </row>
    <row r="290" spans="1:15">
      <c r="E290" s="4">
        <f t="shared" si="187"/>
        <v>290</v>
      </c>
      <c r="F290" s="9" t="s">
        <v>145</v>
      </c>
      <c r="O290" s="23">
        <f t="shared" ref="O290" si="207">O283</f>
        <v>107131</v>
      </c>
    </row>
    <row r="291" spans="1:15">
      <c r="E291" s="4">
        <f t="shared" si="187"/>
        <v>291</v>
      </c>
      <c r="F291" s="9" t="s">
        <v>129</v>
      </c>
      <c r="O291" s="23">
        <v>0</v>
      </c>
    </row>
    <row r="292" spans="1:15">
      <c r="E292" s="4">
        <f t="shared" si="187"/>
        <v>292</v>
      </c>
      <c r="F292" s="9" t="s">
        <v>30</v>
      </c>
      <c r="O292" s="23">
        <v>3</v>
      </c>
    </row>
    <row r="293" spans="1:15">
      <c r="E293" s="4">
        <f t="shared" si="187"/>
        <v>293</v>
      </c>
      <c r="F293" s="9" t="s">
        <v>115</v>
      </c>
      <c r="L293" s="9" t="s">
        <v>136</v>
      </c>
      <c r="O293" s="23">
        <f t="shared" ref="O293" si="208">O288</f>
        <v>-90</v>
      </c>
    </row>
    <row r="294" spans="1:15">
      <c r="A294" s="22" t="s">
        <v>236</v>
      </c>
      <c r="B294" s="22">
        <f t="shared" ref="B294" si="209">QUOTIENT( D294-1,G295)+1</f>
        <v>2</v>
      </c>
      <c r="C294" s="22">
        <f t="shared" ref="C294" si="210">D294-(B294-1)*G295</f>
        <v>3</v>
      </c>
      <c r="D294" s="22">
        <f>COUNT($D$7:$D293)+1</f>
        <v>14</v>
      </c>
      <c r="E294" s="4"/>
    </row>
    <row r="295" spans="1:15">
      <c r="E295" s="4">
        <f t="shared" si="187"/>
        <v>295</v>
      </c>
      <c r="F295" s="9" t="s">
        <v>95</v>
      </c>
      <c r="G295" s="23">
        <v>11</v>
      </c>
      <c r="H295" s="9" t="s">
        <v>37</v>
      </c>
      <c r="J295" s="9">
        <v>10700</v>
      </c>
      <c r="O295" s="23">
        <f t="shared" ref="O295" si="211">$J$9+D294</f>
        <v>10714</v>
      </c>
    </row>
    <row r="296" spans="1:15">
      <c r="E296" s="4">
        <f t="shared" si="187"/>
        <v>296</v>
      </c>
      <c r="F296" s="9" t="s">
        <v>153</v>
      </c>
      <c r="G296" s="9"/>
      <c r="O296" s="23">
        <v>1450</v>
      </c>
    </row>
    <row r="297" spans="1:15">
      <c r="E297" s="4">
        <f t="shared" si="187"/>
        <v>297</v>
      </c>
      <c r="F297" s="9" t="s">
        <v>35</v>
      </c>
      <c r="O297" s="23">
        <v>60</v>
      </c>
    </row>
    <row r="298" spans="1:15">
      <c r="E298" s="4">
        <f t="shared" si="187"/>
        <v>298</v>
      </c>
      <c r="F298" s="9" t="s">
        <v>29</v>
      </c>
      <c r="O298" s="23" t="s">
        <v>147</v>
      </c>
    </row>
    <row r="299" spans="1:15">
      <c r="E299" s="4">
        <f t="shared" si="187"/>
        <v>299</v>
      </c>
      <c r="F299" s="9" t="s">
        <v>120</v>
      </c>
      <c r="O299" s="23" t="s">
        <v>146</v>
      </c>
    </row>
    <row r="300" spans="1:15">
      <c r="E300" s="4">
        <f t="shared" si="187"/>
        <v>300</v>
      </c>
      <c r="F300" s="9" t="s">
        <v>115</v>
      </c>
      <c r="G300" s="23" t="b">
        <f t="shared" ref="G300" si="212">MOD(B294,2)=0</f>
        <v>1</v>
      </c>
      <c r="H300" s="9">
        <v>-90</v>
      </c>
      <c r="I300" s="9" t="s">
        <v>238</v>
      </c>
      <c r="J300" s="9">
        <v>-1</v>
      </c>
      <c r="L300" s="9" t="s">
        <v>136</v>
      </c>
      <c r="O300" s="23">
        <f t="shared" ref="O300" si="213">$H$14*IF(G300,$I$14,$J$14)</f>
        <v>-90</v>
      </c>
    </row>
    <row r="301" spans="1:15">
      <c r="E301" s="4">
        <f t="shared" si="187"/>
        <v>301</v>
      </c>
      <c r="F301" s="9" t="s">
        <v>100</v>
      </c>
      <c r="G301" s="23" t="b">
        <f t="shared" ref="G301" si="214">MOD(B294,2)=0</f>
        <v>1</v>
      </c>
      <c r="K301" s="9" t="s">
        <v>138</v>
      </c>
      <c r="O301" s="23" t="str">
        <f t="shared" ref="O301" si="215">CONCATENATE(IF(G301,$G$16,$H$16),",",$I$16+$J$16*(MOD(D294-1,$G$9)+1))</f>
        <v>6,2.4</v>
      </c>
    </row>
    <row r="302" spans="1:15">
      <c r="E302" s="4"/>
      <c r="G302" s="23" t="s">
        <v>32</v>
      </c>
      <c r="H302" s="9" t="s">
        <v>239</v>
      </c>
      <c r="I302" s="9">
        <v>4.8</v>
      </c>
      <c r="J302" s="9" t="s">
        <v>240</v>
      </c>
    </row>
    <row r="303" spans="1:15">
      <c r="E303" s="4">
        <f t="shared" si="187"/>
        <v>303</v>
      </c>
      <c r="F303" s="9" t="s">
        <v>30</v>
      </c>
      <c r="O303" s="23">
        <v>1.4</v>
      </c>
    </row>
    <row r="304" spans="1:15">
      <c r="E304" s="4">
        <f t="shared" si="187"/>
        <v>304</v>
      </c>
      <c r="F304" s="9" t="s">
        <v>31</v>
      </c>
      <c r="G304" s="23" t="b">
        <f t="shared" ref="G304" si="216">MOD(B294,2)=0</f>
        <v>1</v>
      </c>
      <c r="H304" s="9">
        <v>180</v>
      </c>
      <c r="I304" s="9" t="s">
        <v>238</v>
      </c>
      <c r="J304" s="9">
        <v>0</v>
      </c>
      <c r="L304" s="9" t="s">
        <v>136</v>
      </c>
      <c r="O304" s="23">
        <f t="shared" ref="O304" si="217">IF(G304,$H$18*$I$18,$H$18*$J$18)</f>
        <v>180</v>
      </c>
    </row>
    <row r="305" spans="1:15">
      <c r="E305" s="4">
        <f t="shared" si="187"/>
        <v>305</v>
      </c>
      <c r="F305" s="9" t="s">
        <v>103</v>
      </c>
      <c r="O305" s="23">
        <f t="shared" ref="O305" si="218">O295*10+1</f>
        <v>107141</v>
      </c>
    </row>
    <row r="306" spans="1:15">
      <c r="E306" s="4">
        <f t="shared" si="187"/>
        <v>306</v>
      </c>
      <c r="F306" s="9" t="s">
        <v>145</v>
      </c>
      <c r="O306" s="23">
        <f t="shared" ref="O306" si="219">O295</f>
        <v>10714</v>
      </c>
    </row>
    <row r="307" spans="1:15">
      <c r="E307" s="4">
        <f t="shared" si="187"/>
        <v>307</v>
      </c>
      <c r="F307" s="9" t="s">
        <v>129</v>
      </c>
      <c r="O307" s="23">
        <v>0</v>
      </c>
    </row>
    <row r="308" spans="1:15">
      <c r="E308" s="4">
        <f t="shared" si="187"/>
        <v>308</v>
      </c>
      <c r="F308" s="9" t="s">
        <v>35</v>
      </c>
      <c r="G308" s="23" t="b">
        <f t="shared" ref="G308" si="220">MOD(D294,2)=0</f>
        <v>1</v>
      </c>
      <c r="H308" s="9">
        <v>170</v>
      </c>
      <c r="I308" s="9" t="s">
        <v>241</v>
      </c>
      <c r="J308" s="9">
        <v>0</v>
      </c>
      <c r="O308" s="23">
        <f t="shared" ref="O308" si="221">$H$22+IF(G308,$I$22,$J$22)</f>
        <v>340</v>
      </c>
    </row>
    <row r="309" spans="1:15">
      <c r="E309" s="4">
        <f t="shared" si="187"/>
        <v>309</v>
      </c>
      <c r="F309" s="9" t="s">
        <v>30</v>
      </c>
      <c r="O309" s="23">
        <v>0</v>
      </c>
    </row>
    <row r="310" spans="1:15">
      <c r="E310" s="4">
        <f t="shared" si="187"/>
        <v>310</v>
      </c>
      <c r="F310" s="9" t="s">
        <v>115</v>
      </c>
      <c r="L310" s="9" t="s">
        <v>136</v>
      </c>
      <c r="O310" s="23">
        <f t="shared" ref="O310" si="222">O300</f>
        <v>-90</v>
      </c>
    </row>
    <row r="311" spans="1:15">
      <c r="E311" s="4">
        <f t="shared" si="187"/>
        <v>311</v>
      </c>
      <c r="F311" s="9" t="s">
        <v>103</v>
      </c>
      <c r="O311" s="23">
        <f t="shared" ref="O311" si="223">O305+1</f>
        <v>107142</v>
      </c>
    </row>
    <row r="312" spans="1:15">
      <c r="E312" s="4">
        <f t="shared" si="187"/>
        <v>312</v>
      </c>
      <c r="F312" s="9" t="s">
        <v>145</v>
      </c>
      <c r="O312" s="23">
        <f t="shared" ref="O312" si="224">O305</f>
        <v>107141</v>
      </c>
    </row>
    <row r="313" spans="1:15">
      <c r="E313" s="4">
        <f t="shared" si="187"/>
        <v>313</v>
      </c>
      <c r="F313" s="9" t="s">
        <v>129</v>
      </c>
      <c r="O313" s="23">
        <v>0</v>
      </c>
    </row>
    <row r="314" spans="1:15">
      <c r="E314" s="4">
        <f t="shared" si="187"/>
        <v>314</v>
      </c>
      <c r="F314" s="9" t="s">
        <v>30</v>
      </c>
      <c r="O314" s="23">
        <v>3</v>
      </c>
    </row>
    <row r="315" spans="1:15">
      <c r="E315" s="4">
        <f t="shared" si="187"/>
        <v>315</v>
      </c>
      <c r="F315" s="9" t="s">
        <v>115</v>
      </c>
      <c r="L315" s="9" t="s">
        <v>136</v>
      </c>
      <c r="O315" s="23">
        <f t="shared" ref="O315" si="225">O310</f>
        <v>-90</v>
      </c>
    </row>
    <row r="316" spans="1:15">
      <c r="A316" s="22" t="s">
        <v>236</v>
      </c>
      <c r="B316" s="22">
        <f t="shared" ref="B316" si="226">QUOTIENT( D316-1,G317)+1</f>
        <v>2</v>
      </c>
      <c r="C316" s="22">
        <f t="shared" ref="C316" si="227">D316-(B316-1)*G317</f>
        <v>4</v>
      </c>
      <c r="D316" s="22">
        <f>COUNT($D$7:$D315)+1</f>
        <v>15</v>
      </c>
      <c r="E316" s="4"/>
    </row>
    <row r="317" spans="1:15">
      <c r="E317" s="4">
        <f t="shared" si="187"/>
        <v>317</v>
      </c>
      <c r="F317" s="9" t="s">
        <v>95</v>
      </c>
      <c r="G317" s="23">
        <v>11</v>
      </c>
      <c r="H317" s="9" t="s">
        <v>37</v>
      </c>
      <c r="J317" s="9">
        <v>10700</v>
      </c>
      <c r="O317" s="23">
        <f t="shared" ref="O317" si="228">$J$9+D316</f>
        <v>10715</v>
      </c>
    </row>
    <row r="318" spans="1:15">
      <c r="E318" s="4">
        <f t="shared" si="187"/>
        <v>318</v>
      </c>
      <c r="F318" s="9" t="s">
        <v>153</v>
      </c>
      <c r="O318" s="23">
        <v>1450</v>
      </c>
    </row>
    <row r="319" spans="1:15">
      <c r="E319" s="4">
        <f t="shared" si="187"/>
        <v>319</v>
      </c>
      <c r="F319" s="9" t="s">
        <v>35</v>
      </c>
      <c r="G319" s="9"/>
      <c r="O319" s="23">
        <v>60</v>
      </c>
    </row>
    <row r="320" spans="1:15">
      <c r="E320" s="4">
        <f t="shared" si="187"/>
        <v>320</v>
      </c>
      <c r="F320" s="9" t="s">
        <v>29</v>
      </c>
      <c r="O320" s="23" t="s">
        <v>147</v>
      </c>
    </row>
    <row r="321" spans="5:15">
      <c r="E321" s="4">
        <f t="shared" si="187"/>
        <v>321</v>
      </c>
      <c r="F321" s="9" t="s">
        <v>120</v>
      </c>
      <c r="O321" s="23" t="s">
        <v>146</v>
      </c>
    </row>
    <row r="322" spans="5:15">
      <c r="E322" s="4">
        <f t="shared" si="187"/>
        <v>322</v>
      </c>
      <c r="F322" s="9" t="s">
        <v>115</v>
      </c>
      <c r="G322" s="23" t="b">
        <f t="shared" ref="G322" si="229">MOD(B316,2)=0</f>
        <v>1</v>
      </c>
      <c r="H322" s="9">
        <v>-90</v>
      </c>
      <c r="I322" s="9" t="s">
        <v>238</v>
      </c>
      <c r="J322" s="9">
        <v>-1</v>
      </c>
      <c r="L322" s="9" t="s">
        <v>136</v>
      </c>
      <c r="O322" s="23">
        <f t="shared" ref="O322" si="230">$H$14*IF(G322,$I$14,$J$14)</f>
        <v>-90</v>
      </c>
    </row>
    <row r="323" spans="5:15">
      <c r="E323" s="4">
        <f t="shared" si="187"/>
        <v>323</v>
      </c>
      <c r="F323" s="9" t="s">
        <v>100</v>
      </c>
      <c r="G323" s="23" t="b">
        <f t="shared" ref="G323" si="231">MOD(B316,2)=0</f>
        <v>1</v>
      </c>
      <c r="K323" s="9" t="s">
        <v>138</v>
      </c>
      <c r="O323" s="23" t="str">
        <f t="shared" ref="O323" si="232">CONCATENATE(IF(G323,$G$16,$H$16),",",$I$16+$J$16*(MOD(D316-1,$G$9)+1))</f>
        <v>6,1.6</v>
      </c>
    </row>
    <row r="324" spans="5:15">
      <c r="E324" s="4"/>
      <c r="G324" s="23" t="s">
        <v>32</v>
      </c>
      <c r="H324" s="9" t="s">
        <v>239</v>
      </c>
      <c r="I324" s="9">
        <v>4.8</v>
      </c>
      <c r="J324" s="9" t="s">
        <v>240</v>
      </c>
    </row>
    <row r="325" spans="5:15">
      <c r="E325" s="4">
        <f t="shared" si="187"/>
        <v>325</v>
      </c>
      <c r="F325" s="9" t="s">
        <v>30</v>
      </c>
      <c r="O325" s="23">
        <v>1.4</v>
      </c>
    </row>
    <row r="326" spans="5:15">
      <c r="E326" s="4">
        <f t="shared" si="187"/>
        <v>326</v>
      </c>
      <c r="F326" s="9" t="s">
        <v>31</v>
      </c>
      <c r="G326" s="23" t="b">
        <f t="shared" ref="G326" si="233">MOD(B316,2)=0</f>
        <v>1</v>
      </c>
      <c r="H326" s="9">
        <v>180</v>
      </c>
      <c r="I326" s="9" t="s">
        <v>238</v>
      </c>
      <c r="J326" s="9">
        <v>0</v>
      </c>
      <c r="L326" s="9" t="s">
        <v>136</v>
      </c>
      <c r="O326" s="23">
        <f t="shared" ref="O326" si="234">IF(G326,$H$18*$I$18,$H$18*$J$18)</f>
        <v>180</v>
      </c>
    </row>
    <row r="327" spans="5:15">
      <c r="E327" s="4">
        <f t="shared" si="187"/>
        <v>327</v>
      </c>
      <c r="F327" s="9" t="s">
        <v>103</v>
      </c>
      <c r="O327" s="23">
        <f t="shared" ref="O327" si="235">O317*10+1</f>
        <v>107151</v>
      </c>
    </row>
    <row r="328" spans="5:15">
      <c r="E328" s="4">
        <f t="shared" si="187"/>
        <v>328</v>
      </c>
      <c r="F328" s="9" t="s">
        <v>145</v>
      </c>
      <c r="O328" s="23">
        <f t="shared" ref="O328" si="236">O317</f>
        <v>10715</v>
      </c>
    </row>
    <row r="329" spans="5:15">
      <c r="E329" s="4">
        <f t="shared" ref="E329:E392" si="237">ROW(E329)</f>
        <v>329</v>
      </c>
      <c r="F329" s="9" t="s">
        <v>129</v>
      </c>
      <c r="O329" s="23">
        <v>0</v>
      </c>
    </row>
    <row r="330" spans="5:15">
      <c r="E330" s="4">
        <f t="shared" si="237"/>
        <v>330</v>
      </c>
      <c r="F330" s="9" t="s">
        <v>35</v>
      </c>
      <c r="G330" s="23" t="b">
        <f t="shared" ref="G330" si="238">MOD(D316,2)=0</f>
        <v>0</v>
      </c>
      <c r="H330" s="9">
        <v>170</v>
      </c>
      <c r="I330" s="9" t="s">
        <v>241</v>
      </c>
      <c r="J330" s="9">
        <v>0</v>
      </c>
      <c r="O330" s="23">
        <f t="shared" ref="O330" si="239">$H$22+IF(G330,$I$22,$J$22)</f>
        <v>170</v>
      </c>
    </row>
    <row r="331" spans="5:15">
      <c r="E331" s="4">
        <f t="shared" si="237"/>
        <v>331</v>
      </c>
      <c r="F331" s="9" t="s">
        <v>30</v>
      </c>
      <c r="O331" s="23">
        <v>0</v>
      </c>
    </row>
    <row r="332" spans="5:15">
      <c r="E332" s="4">
        <f t="shared" si="237"/>
        <v>332</v>
      </c>
      <c r="F332" s="9" t="s">
        <v>115</v>
      </c>
      <c r="L332" s="9" t="s">
        <v>136</v>
      </c>
      <c r="O332" s="23">
        <f t="shared" ref="O332" si="240">O322</f>
        <v>-90</v>
      </c>
    </row>
    <row r="333" spans="5:15">
      <c r="E333" s="4">
        <f t="shared" si="237"/>
        <v>333</v>
      </c>
      <c r="F333" s="9" t="s">
        <v>103</v>
      </c>
      <c r="O333" s="23">
        <f t="shared" ref="O333" si="241">O327+1</f>
        <v>107152</v>
      </c>
    </row>
    <row r="334" spans="5:15">
      <c r="E334" s="4">
        <f t="shared" si="237"/>
        <v>334</v>
      </c>
      <c r="F334" s="9" t="s">
        <v>145</v>
      </c>
      <c r="O334" s="23">
        <f t="shared" ref="O334" si="242">O327</f>
        <v>107151</v>
      </c>
    </row>
    <row r="335" spans="5:15">
      <c r="E335" s="4">
        <f t="shared" si="237"/>
        <v>335</v>
      </c>
      <c r="F335" s="9" t="s">
        <v>129</v>
      </c>
      <c r="O335" s="23">
        <v>0</v>
      </c>
    </row>
    <row r="336" spans="5:15">
      <c r="E336" s="4">
        <f t="shared" si="237"/>
        <v>336</v>
      </c>
      <c r="F336" s="9" t="s">
        <v>30</v>
      </c>
      <c r="O336" s="23">
        <v>3</v>
      </c>
    </row>
    <row r="337" spans="1:15">
      <c r="E337" s="4">
        <f t="shared" si="237"/>
        <v>337</v>
      </c>
      <c r="F337" s="9" t="s">
        <v>115</v>
      </c>
      <c r="L337" s="9" t="s">
        <v>136</v>
      </c>
      <c r="O337" s="23">
        <f t="shared" ref="O337" si="243">O332</f>
        <v>-90</v>
      </c>
    </row>
    <row r="338" spans="1:15">
      <c r="A338" s="22" t="s">
        <v>236</v>
      </c>
      <c r="B338" s="22">
        <f t="shared" ref="B338" si="244">QUOTIENT( D338-1,G339)+1</f>
        <v>2</v>
      </c>
      <c r="C338" s="22">
        <f t="shared" ref="C338" si="245">D338-(B338-1)*G339</f>
        <v>5</v>
      </c>
      <c r="D338" s="22">
        <f>COUNT($D$7:$D337)+1</f>
        <v>16</v>
      </c>
      <c r="E338" s="4"/>
    </row>
    <row r="339" spans="1:15">
      <c r="E339" s="4">
        <f t="shared" si="237"/>
        <v>339</v>
      </c>
      <c r="F339" s="9" t="s">
        <v>95</v>
      </c>
      <c r="G339" s="23">
        <v>11</v>
      </c>
      <c r="H339" s="9" t="s">
        <v>37</v>
      </c>
      <c r="J339" s="9">
        <v>10700</v>
      </c>
      <c r="O339" s="23">
        <f t="shared" ref="O339" si="246">$J$9+D338</f>
        <v>10716</v>
      </c>
    </row>
    <row r="340" spans="1:15">
      <c r="E340" s="4">
        <f t="shared" si="237"/>
        <v>340</v>
      </c>
      <c r="F340" s="9" t="s">
        <v>153</v>
      </c>
      <c r="O340" s="23">
        <v>1450</v>
      </c>
    </row>
    <row r="341" spans="1:15">
      <c r="E341" s="4">
        <f t="shared" si="237"/>
        <v>341</v>
      </c>
      <c r="F341" s="9" t="s">
        <v>35</v>
      </c>
      <c r="O341" s="23">
        <v>60</v>
      </c>
    </row>
    <row r="342" spans="1:15">
      <c r="E342" s="4">
        <f t="shared" si="237"/>
        <v>342</v>
      </c>
      <c r="F342" s="9" t="s">
        <v>29</v>
      </c>
      <c r="G342" s="9"/>
      <c r="O342" s="23" t="s">
        <v>147</v>
      </c>
    </row>
    <row r="343" spans="1:15">
      <c r="E343" s="4">
        <f t="shared" si="237"/>
        <v>343</v>
      </c>
      <c r="F343" s="9" t="s">
        <v>120</v>
      </c>
      <c r="O343" s="23" t="s">
        <v>146</v>
      </c>
    </row>
    <row r="344" spans="1:15">
      <c r="E344" s="4">
        <f t="shared" si="237"/>
        <v>344</v>
      </c>
      <c r="F344" s="9" t="s">
        <v>115</v>
      </c>
      <c r="G344" s="23" t="b">
        <f t="shared" ref="G344" si="247">MOD(B338,2)=0</f>
        <v>1</v>
      </c>
      <c r="H344" s="9">
        <v>-90</v>
      </c>
      <c r="I344" s="9" t="s">
        <v>238</v>
      </c>
      <c r="J344" s="9">
        <v>-1</v>
      </c>
      <c r="L344" s="9" t="s">
        <v>136</v>
      </c>
      <c r="O344" s="23">
        <f t="shared" ref="O344" si="248">$H$14*IF(G344,$I$14,$J$14)</f>
        <v>-90</v>
      </c>
    </row>
    <row r="345" spans="1:15">
      <c r="E345" s="4">
        <f t="shared" si="237"/>
        <v>345</v>
      </c>
      <c r="F345" s="9" t="s">
        <v>100</v>
      </c>
      <c r="G345" s="23" t="b">
        <f t="shared" ref="G345" si="249">MOD(B338,2)=0</f>
        <v>1</v>
      </c>
      <c r="K345" s="9" t="s">
        <v>138</v>
      </c>
      <c r="O345" s="23" t="str">
        <f t="shared" ref="O345" si="250">CONCATENATE(IF(G345,$G$16,$H$16),",",$I$16+$J$16*(MOD(D338-1,$G$9)+1))</f>
        <v>6,0.8</v>
      </c>
    </row>
    <row r="346" spans="1:15">
      <c r="E346" s="4"/>
      <c r="G346" s="23" t="s">
        <v>32</v>
      </c>
      <c r="H346" s="9" t="s">
        <v>239</v>
      </c>
      <c r="I346" s="9">
        <v>4.8</v>
      </c>
      <c r="J346" s="9" t="s">
        <v>240</v>
      </c>
    </row>
    <row r="347" spans="1:15">
      <c r="E347" s="4">
        <f t="shared" si="237"/>
        <v>347</v>
      </c>
      <c r="F347" s="9" t="s">
        <v>30</v>
      </c>
      <c r="O347" s="23">
        <v>1.4</v>
      </c>
    </row>
    <row r="348" spans="1:15">
      <c r="E348" s="4">
        <f t="shared" si="237"/>
        <v>348</v>
      </c>
      <c r="F348" s="9" t="s">
        <v>31</v>
      </c>
      <c r="G348" s="23" t="b">
        <f t="shared" ref="G348" si="251">MOD(B338,2)=0</f>
        <v>1</v>
      </c>
      <c r="H348" s="9">
        <v>180</v>
      </c>
      <c r="I348" s="9" t="s">
        <v>238</v>
      </c>
      <c r="J348" s="9">
        <v>0</v>
      </c>
      <c r="L348" s="9" t="s">
        <v>136</v>
      </c>
      <c r="O348" s="23">
        <f t="shared" ref="O348" si="252">IF(G348,$H$18*$I$18,$H$18*$J$18)</f>
        <v>180</v>
      </c>
    </row>
    <row r="349" spans="1:15">
      <c r="E349" s="4">
        <f t="shared" si="237"/>
        <v>349</v>
      </c>
      <c r="F349" s="9" t="s">
        <v>103</v>
      </c>
      <c r="O349" s="23">
        <f t="shared" ref="O349" si="253">O339*10+1</f>
        <v>107161</v>
      </c>
    </row>
    <row r="350" spans="1:15">
      <c r="E350" s="4">
        <f t="shared" si="237"/>
        <v>350</v>
      </c>
      <c r="F350" s="9" t="s">
        <v>145</v>
      </c>
      <c r="O350" s="23">
        <f t="shared" ref="O350" si="254">O339</f>
        <v>10716</v>
      </c>
    </row>
    <row r="351" spans="1:15">
      <c r="E351" s="4">
        <f t="shared" si="237"/>
        <v>351</v>
      </c>
      <c r="F351" s="9" t="s">
        <v>129</v>
      </c>
      <c r="O351" s="23">
        <v>0</v>
      </c>
    </row>
    <row r="352" spans="1:15">
      <c r="E352" s="4">
        <f t="shared" si="237"/>
        <v>352</v>
      </c>
      <c r="F352" s="9" t="s">
        <v>35</v>
      </c>
      <c r="G352" s="23" t="b">
        <f t="shared" ref="G352" si="255">MOD(D338,2)=0</f>
        <v>1</v>
      </c>
      <c r="H352" s="9">
        <v>170</v>
      </c>
      <c r="I352" s="9" t="s">
        <v>241</v>
      </c>
      <c r="J352" s="9">
        <v>0</v>
      </c>
      <c r="O352" s="23">
        <f t="shared" ref="O352" si="256">$H$22+IF(G352,$I$22,$J$22)</f>
        <v>340</v>
      </c>
    </row>
    <row r="353" spans="1:15">
      <c r="E353" s="4">
        <f t="shared" si="237"/>
        <v>353</v>
      </c>
      <c r="F353" s="9" t="s">
        <v>30</v>
      </c>
      <c r="O353" s="23">
        <v>0</v>
      </c>
    </row>
    <row r="354" spans="1:15">
      <c r="E354" s="4">
        <f t="shared" si="237"/>
        <v>354</v>
      </c>
      <c r="F354" s="9" t="s">
        <v>115</v>
      </c>
      <c r="L354" s="9" t="s">
        <v>136</v>
      </c>
      <c r="O354" s="23">
        <f t="shared" ref="O354" si="257">O344</f>
        <v>-90</v>
      </c>
    </row>
    <row r="355" spans="1:15">
      <c r="E355" s="4">
        <f t="shared" si="237"/>
        <v>355</v>
      </c>
      <c r="F355" s="9" t="s">
        <v>103</v>
      </c>
      <c r="O355" s="23">
        <f t="shared" ref="O355" si="258">O349+1</f>
        <v>107162</v>
      </c>
    </row>
    <row r="356" spans="1:15">
      <c r="E356" s="4">
        <f t="shared" si="237"/>
        <v>356</v>
      </c>
      <c r="F356" s="9" t="s">
        <v>145</v>
      </c>
      <c r="O356" s="23">
        <f t="shared" ref="O356" si="259">O349</f>
        <v>107161</v>
      </c>
    </row>
    <row r="357" spans="1:15">
      <c r="E357" s="4">
        <f t="shared" si="237"/>
        <v>357</v>
      </c>
      <c r="F357" s="9" t="s">
        <v>129</v>
      </c>
      <c r="O357" s="23">
        <v>0</v>
      </c>
    </row>
    <row r="358" spans="1:15">
      <c r="E358" s="4">
        <f t="shared" si="237"/>
        <v>358</v>
      </c>
      <c r="F358" s="9" t="s">
        <v>30</v>
      </c>
      <c r="O358" s="23">
        <v>3</v>
      </c>
    </row>
    <row r="359" spans="1:15">
      <c r="E359" s="4">
        <f t="shared" si="237"/>
        <v>359</v>
      </c>
      <c r="F359" s="9" t="s">
        <v>115</v>
      </c>
      <c r="L359" s="9" t="s">
        <v>136</v>
      </c>
      <c r="O359" s="23">
        <f t="shared" ref="O359" si="260">O354</f>
        <v>-90</v>
      </c>
    </row>
    <row r="360" spans="1:15">
      <c r="A360" s="22" t="s">
        <v>236</v>
      </c>
      <c r="B360" s="22">
        <f t="shared" ref="B360" si="261">QUOTIENT( D360-1,G361)+1</f>
        <v>2</v>
      </c>
      <c r="C360" s="22">
        <f t="shared" ref="C360" si="262">D360-(B360-1)*G361</f>
        <v>6</v>
      </c>
      <c r="D360" s="22">
        <f>COUNT($D$7:$D359)+1</f>
        <v>17</v>
      </c>
      <c r="E360" s="4"/>
    </row>
    <row r="361" spans="1:15">
      <c r="E361" s="4">
        <f t="shared" si="237"/>
        <v>361</v>
      </c>
      <c r="F361" s="9" t="s">
        <v>95</v>
      </c>
      <c r="G361" s="23">
        <v>11</v>
      </c>
      <c r="H361" s="9" t="s">
        <v>37</v>
      </c>
      <c r="J361" s="9">
        <v>10700</v>
      </c>
      <c r="O361" s="23">
        <f t="shared" ref="O361" si="263">$J$9+D360</f>
        <v>10717</v>
      </c>
    </row>
    <row r="362" spans="1:15">
      <c r="E362" s="4">
        <f t="shared" si="237"/>
        <v>362</v>
      </c>
      <c r="F362" s="9" t="s">
        <v>153</v>
      </c>
      <c r="O362" s="23">
        <v>1450</v>
      </c>
    </row>
    <row r="363" spans="1:15">
      <c r="E363" s="4">
        <f t="shared" si="237"/>
        <v>363</v>
      </c>
      <c r="F363" s="9" t="s">
        <v>35</v>
      </c>
      <c r="O363" s="23">
        <v>60</v>
      </c>
    </row>
    <row r="364" spans="1:15">
      <c r="E364" s="4">
        <f t="shared" si="237"/>
        <v>364</v>
      </c>
      <c r="F364" s="9" t="s">
        <v>29</v>
      </c>
      <c r="O364" s="23" t="s">
        <v>147</v>
      </c>
    </row>
    <row r="365" spans="1:15">
      <c r="E365" s="4">
        <f t="shared" si="237"/>
        <v>365</v>
      </c>
      <c r="F365" s="9" t="s">
        <v>120</v>
      </c>
      <c r="G365" s="9"/>
      <c r="O365" s="23" t="s">
        <v>146</v>
      </c>
    </row>
    <row r="366" spans="1:15">
      <c r="E366" s="4">
        <f t="shared" si="237"/>
        <v>366</v>
      </c>
      <c r="F366" s="9" t="s">
        <v>115</v>
      </c>
      <c r="G366" s="23" t="b">
        <f t="shared" ref="G366" si="264">MOD(B360,2)=0</f>
        <v>1</v>
      </c>
      <c r="H366" s="9">
        <v>-90</v>
      </c>
      <c r="I366" s="9" t="s">
        <v>238</v>
      </c>
      <c r="J366" s="9">
        <v>-1</v>
      </c>
      <c r="L366" s="9" t="s">
        <v>136</v>
      </c>
      <c r="O366" s="23">
        <f t="shared" ref="O366" si="265">$H$14*IF(G366,$I$14,$J$14)</f>
        <v>-90</v>
      </c>
    </row>
    <row r="367" spans="1:15">
      <c r="E367" s="4">
        <f t="shared" si="237"/>
        <v>367</v>
      </c>
      <c r="F367" s="9" t="s">
        <v>100</v>
      </c>
      <c r="G367" s="23" t="b">
        <f t="shared" ref="G367" si="266">MOD(B360,2)=0</f>
        <v>1</v>
      </c>
      <c r="K367" s="9" t="s">
        <v>138</v>
      </c>
      <c r="O367" s="23" t="str">
        <f t="shared" ref="O367" si="267">CONCATENATE(IF(G367,$G$16,$H$16),",",$I$16+$J$16*(MOD(D360-1,$G$9)+1))</f>
        <v>6,-8.88178419700125E-16</v>
      </c>
    </row>
    <row r="368" spans="1:15">
      <c r="E368" s="4"/>
      <c r="G368" s="23" t="s">
        <v>32</v>
      </c>
      <c r="H368" s="9" t="s">
        <v>239</v>
      </c>
      <c r="I368" s="9">
        <v>4.8</v>
      </c>
      <c r="J368" s="9" t="s">
        <v>240</v>
      </c>
    </row>
    <row r="369" spans="1:15">
      <c r="E369" s="4">
        <f t="shared" si="237"/>
        <v>369</v>
      </c>
      <c r="F369" s="9" t="s">
        <v>30</v>
      </c>
      <c r="O369" s="23">
        <v>1.4</v>
      </c>
    </row>
    <row r="370" spans="1:15">
      <c r="E370" s="4">
        <f t="shared" si="237"/>
        <v>370</v>
      </c>
      <c r="F370" s="9" t="s">
        <v>31</v>
      </c>
      <c r="G370" s="23" t="b">
        <f t="shared" ref="G370" si="268">MOD(B360,2)=0</f>
        <v>1</v>
      </c>
      <c r="H370" s="9">
        <v>180</v>
      </c>
      <c r="I370" s="9" t="s">
        <v>238</v>
      </c>
      <c r="J370" s="9">
        <v>0</v>
      </c>
      <c r="L370" s="9" t="s">
        <v>136</v>
      </c>
      <c r="O370" s="23">
        <f t="shared" ref="O370" si="269">IF(G370,$H$18*$I$18,$H$18*$J$18)</f>
        <v>180</v>
      </c>
    </row>
    <row r="371" spans="1:15">
      <c r="E371" s="4">
        <f t="shared" si="237"/>
        <v>371</v>
      </c>
      <c r="F371" s="9" t="s">
        <v>103</v>
      </c>
      <c r="O371" s="23">
        <f t="shared" ref="O371" si="270">O361*10+1</f>
        <v>107171</v>
      </c>
    </row>
    <row r="372" spans="1:15">
      <c r="E372" s="4">
        <f t="shared" si="237"/>
        <v>372</v>
      </c>
      <c r="F372" s="9" t="s">
        <v>145</v>
      </c>
      <c r="O372" s="23">
        <f t="shared" ref="O372" si="271">O361</f>
        <v>10717</v>
      </c>
    </row>
    <row r="373" spans="1:15">
      <c r="E373" s="4">
        <f t="shared" si="237"/>
        <v>373</v>
      </c>
      <c r="F373" s="9" t="s">
        <v>129</v>
      </c>
      <c r="O373" s="23">
        <v>0</v>
      </c>
    </row>
    <row r="374" spans="1:15">
      <c r="E374" s="4">
        <f t="shared" si="237"/>
        <v>374</v>
      </c>
      <c r="F374" s="9" t="s">
        <v>35</v>
      </c>
      <c r="G374" s="23" t="b">
        <f t="shared" ref="G374" si="272">MOD(D360,2)=0</f>
        <v>0</v>
      </c>
      <c r="H374" s="9">
        <v>170</v>
      </c>
      <c r="I374" s="9" t="s">
        <v>241</v>
      </c>
      <c r="J374" s="9">
        <v>0</v>
      </c>
      <c r="O374" s="23">
        <f t="shared" ref="O374" si="273">$H$22+IF(G374,$I$22,$J$22)</f>
        <v>170</v>
      </c>
    </row>
    <row r="375" spans="1:15">
      <c r="E375" s="4">
        <f t="shared" si="237"/>
        <v>375</v>
      </c>
      <c r="F375" s="9" t="s">
        <v>30</v>
      </c>
      <c r="O375" s="23">
        <v>0</v>
      </c>
    </row>
    <row r="376" spans="1:15">
      <c r="E376" s="4">
        <f t="shared" si="237"/>
        <v>376</v>
      </c>
      <c r="F376" s="9" t="s">
        <v>115</v>
      </c>
      <c r="L376" s="9" t="s">
        <v>136</v>
      </c>
      <c r="O376" s="23">
        <f t="shared" ref="O376" si="274">O366</f>
        <v>-90</v>
      </c>
    </row>
    <row r="377" spans="1:15">
      <c r="E377" s="4">
        <f t="shared" si="237"/>
        <v>377</v>
      </c>
      <c r="F377" s="9" t="s">
        <v>103</v>
      </c>
      <c r="O377" s="23">
        <f t="shared" ref="O377" si="275">O371+1</f>
        <v>107172</v>
      </c>
    </row>
    <row r="378" spans="1:15">
      <c r="E378" s="4">
        <f t="shared" si="237"/>
        <v>378</v>
      </c>
      <c r="F378" s="9" t="s">
        <v>145</v>
      </c>
      <c r="O378" s="23">
        <f t="shared" ref="O378" si="276">O371</f>
        <v>107171</v>
      </c>
    </row>
    <row r="379" spans="1:15">
      <c r="E379" s="4">
        <f t="shared" si="237"/>
        <v>379</v>
      </c>
      <c r="F379" s="9" t="s">
        <v>129</v>
      </c>
      <c r="O379" s="23">
        <v>0</v>
      </c>
    </row>
    <row r="380" spans="1:15">
      <c r="E380" s="4">
        <f t="shared" si="237"/>
        <v>380</v>
      </c>
      <c r="F380" s="9" t="s">
        <v>30</v>
      </c>
      <c r="O380" s="23">
        <v>3</v>
      </c>
    </row>
    <row r="381" spans="1:15">
      <c r="E381" s="4">
        <f t="shared" si="237"/>
        <v>381</v>
      </c>
      <c r="F381" s="9" t="s">
        <v>115</v>
      </c>
      <c r="L381" s="9" t="s">
        <v>136</v>
      </c>
      <c r="O381" s="23">
        <f t="shared" ref="O381" si="277">O376</f>
        <v>-90</v>
      </c>
    </row>
    <row r="382" spans="1:15">
      <c r="A382" s="22" t="s">
        <v>236</v>
      </c>
      <c r="B382" s="22">
        <f t="shared" ref="B382" si="278">QUOTIENT( D382-1,G383)+1</f>
        <v>2</v>
      </c>
      <c r="C382" s="22">
        <f t="shared" ref="C382" si="279">D382-(B382-1)*G383</f>
        <v>7</v>
      </c>
      <c r="D382" s="22">
        <f>COUNT($D$7:$D381)+1</f>
        <v>18</v>
      </c>
      <c r="E382" s="4"/>
    </row>
    <row r="383" spans="1:15">
      <c r="E383" s="4">
        <f t="shared" si="237"/>
        <v>383</v>
      </c>
      <c r="F383" s="9" t="s">
        <v>95</v>
      </c>
      <c r="G383" s="23">
        <v>11</v>
      </c>
      <c r="H383" s="9" t="s">
        <v>37</v>
      </c>
      <c r="J383" s="9">
        <v>10700</v>
      </c>
      <c r="O383" s="23">
        <f t="shared" ref="O383" si="280">$J$9+D382</f>
        <v>10718</v>
      </c>
    </row>
    <row r="384" spans="1:15">
      <c r="E384" s="4">
        <f t="shared" si="237"/>
        <v>384</v>
      </c>
      <c r="F384" s="9" t="s">
        <v>153</v>
      </c>
      <c r="O384" s="23">
        <v>1450</v>
      </c>
    </row>
    <row r="385" spans="5:15">
      <c r="E385" s="4">
        <f t="shared" si="237"/>
        <v>385</v>
      </c>
      <c r="F385" s="9" t="s">
        <v>35</v>
      </c>
      <c r="O385" s="23">
        <v>60</v>
      </c>
    </row>
    <row r="386" spans="5:15">
      <c r="E386" s="4">
        <f t="shared" si="237"/>
        <v>386</v>
      </c>
      <c r="F386" s="9" t="s">
        <v>29</v>
      </c>
      <c r="O386" s="23" t="s">
        <v>147</v>
      </c>
    </row>
    <row r="387" spans="5:15">
      <c r="E387" s="4">
        <f t="shared" si="237"/>
        <v>387</v>
      </c>
      <c r="F387" s="9" t="s">
        <v>120</v>
      </c>
      <c r="O387" s="23" t="s">
        <v>146</v>
      </c>
    </row>
    <row r="388" spans="5:15">
      <c r="E388" s="4">
        <f t="shared" si="237"/>
        <v>388</v>
      </c>
      <c r="F388" s="9" t="s">
        <v>115</v>
      </c>
      <c r="G388" s="9" t="b">
        <f t="shared" ref="G388" si="281">MOD(B382,2)=0</f>
        <v>1</v>
      </c>
      <c r="H388" s="9">
        <v>-90</v>
      </c>
      <c r="I388" s="9" t="s">
        <v>238</v>
      </c>
      <c r="J388" s="9">
        <v>-1</v>
      </c>
      <c r="L388" s="9" t="s">
        <v>136</v>
      </c>
      <c r="O388" s="23">
        <f t="shared" ref="O388" si="282">$H$14*IF(G388,$I$14,$J$14)</f>
        <v>-90</v>
      </c>
    </row>
    <row r="389" spans="5:15">
      <c r="E389" s="4">
        <f t="shared" si="237"/>
        <v>389</v>
      </c>
      <c r="F389" s="9" t="s">
        <v>100</v>
      </c>
      <c r="G389" s="23" t="b">
        <f t="shared" ref="G389" si="283">MOD(B382,2)=0</f>
        <v>1</v>
      </c>
      <c r="K389" s="9" t="s">
        <v>138</v>
      </c>
      <c r="O389" s="23" t="str">
        <f t="shared" ref="O389" si="284">CONCATENATE(IF(G389,$G$16,$H$16),",",$I$16+$J$16*(MOD(D382-1,$G$9)+1))</f>
        <v>6,-0.800000000000001</v>
      </c>
    </row>
    <row r="390" spans="5:15">
      <c r="E390" s="4"/>
      <c r="G390" s="23" t="s">
        <v>32</v>
      </c>
      <c r="H390" s="9" t="s">
        <v>239</v>
      </c>
      <c r="I390" s="9">
        <v>4.8</v>
      </c>
      <c r="J390" s="9" t="s">
        <v>240</v>
      </c>
    </row>
    <row r="391" spans="5:15">
      <c r="E391" s="4">
        <f t="shared" si="237"/>
        <v>391</v>
      </c>
      <c r="F391" s="9" t="s">
        <v>30</v>
      </c>
      <c r="O391" s="23">
        <v>1.4</v>
      </c>
    </row>
    <row r="392" spans="5:15">
      <c r="E392" s="4">
        <f t="shared" si="237"/>
        <v>392</v>
      </c>
      <c r="F392" s="9" t="s">
        <v>31</v>
      </c>
      <c r="G392" s="23" t="b">
        <f t="shared" ref="G392" si="285">MOD(B382,2)=0</f>
        <v>1</v>
      </c>
      <c r="H392" s="9">
        <v>180</v>
      </c>
      <c r="I392" s="9" t="s">
        <v>238</v>
      </c>
      <c r="J392" s="9">
        <v>0</v>
      </c>
      <c r="L392" s="9" t="s">
        <v>136</v>
      </c>
      <c r="O392" s="23">
        <f t="shared" ref="O392" si="286">IF(G392,$H$18*$I$18,$H$18*$J$18)</f>
        <v>180</v>
      </c>
    </row>
    <row r="393" spans="5:15">
      <c r="E393" s="4">
        <f t="shared" ref="E393:E455" si="287">ROW(E393)</f>
        <v>393</v>
      </c>
      <c r="F393" s="9" t="s">
        <v>103</v>
      </c>
      <c r="O393" s="23">
        <f t="shared" ref="O393" si="288">O383*10+1</f>
        <v>107181</v>
      </c>
    </row>
    <row r="394" spans="5:15">
      <c r="E394" s="4">
        <f t="shared" si="287"/>
        <v>394</v>
      </c>
      <c r="F394" s="9" t="s">
        <v>145</v>
      </c>
      <c r="O394" s="23">
        <f t="shared" ref="O394" si="289">O383</f>
        <v>10718</v>
      </c>
    </row>
    <row r="395" spans="5:15">
      <c r="E395" s="4">
        <f t="shared" si="287"/>
        <v>395</v>
      </c>
      <c r="F395" s="9" t="s">
        <v>129</v>
      </c>
      <c r="O395" s="23">
        <v>0</v>
      </c>
    </row>
    <row r="396" spans="5:15">
      <c r="E396" s="4">
        <f t="shared" si="287"/>
        <v>396</v>
      </c>
      <c r="F396" s="9" t="s">
        <v>35</v>
      </c>
      <c r="G396" s="23" t="b">
        <f t="shared" ref="G396" si="290">MOD(D382,2)=0</f>
        <v>1</v>
      </c>
      <c r="H396" s="9">
        <v>170</v>
      </c>
      <c r="I396" s="9" t="s">
        <v>241</v>
      </c>
      <c r="J396" s="9">
        <v>0</v>
      </c>
      <c r="O396" s="23">
        <f t="shared" ref="O396" si="291">$H$22+IF(G396,$I$22,$J$22)</f>
        <v>340</v>
      </c>
    </row>
    <row r="397" spans="5:15">
      <c r="E397" s="4">
        <f t="shared" si="287"/>
        <v>397</v>
      </c>
      <c r="F397" s="9" t="s">
        <v>30</v>
      </c>
      <c r="O397" s="23">
        <v>0</v>
      </c>
    </row>
    <row r="398" spans="5:15">
      <c r="E398" s="4">
        <f t="shared" si="287"/>
        <v>398</v>
      </c>
      <c r="F398" s="9" t="s">
        <v>115</v>
      </c>
      <c r="L398" s="9" t="s">
        <v>136</v>
      </c>
      <c r="O398" s="23">
        <f t="shared" ref="O398" si="292">O388</f>
        <v>-90</v>
      </c>
    </row>
    <row r="399" spans="5:15">
      <c r="E399" s="4">
        <f t="shared" si="287"/>
        <v>399</v>
      </c>
      <c r="F399" s="9" t="s">
        <v>103</v>
      </c>
      <c r="O399" s="23">
        <f t="shared" ref="O399" si="293">O393+1</f>
        <v>107182</v>
      </c>
    </row>
    <row r="400" spans="5:15">
      <c r="E400" s="4">
        <f t="shared" si="287"/>
        <v>400</v>
      </c>
      <c r="F400" s="9" t="s">
        <v>145</v>
      </c>
      <c r="O400" s="23">
        <f t="shared" ref="O400" si="294">O393</f>
        <v>107181</v>
      </c>
    </row>
    <row r="401" spans="1:15">
      <c r="E401" s="4">
        <f t="shared" si="287"/>
        <v>401</v>
      </c>
      <c r="F401" s="9" t="s">
        <v>129</v>
      </c>
      <c r="O401" s="23">
        <v>0</v>
      </c>
    </row>
    <row r="402" spans="1:15">
      <c r="E402" s="4">
        <f t="shared" si="287"/>
        <v>402</v>
      </c>
      <c r="F402" s="9" t="s">
        <v>30</v>
      </c>
      <c r="O402" s="23">
        <v>3</v>
      </c>
    </row>
    <row r="403" spans="1:15">
      <c r="E403" s="4">
        <f t="shared" si="287"/>
        <v>403</v>
      </c>
      <c r="F403" s="9" t="s">
        <v>115</v>
      </c>
      <c r="L403" s="9" t="s">
        <v>136</v>
      </c>
      <c r="O403" s="23">
        <f t="shared" ref="O403" si="295">O398</f>
        <v>-90</v>
      </c>
    </row>
    <row r="404" spans="1:15">
      <c r="A404" s="22" t="s">
        <v>236</v>
      </c>
      <c r="B404" s="22">
        <f t="shared" ref="B404" si="296">QUOTIENT( D404-1,G405)+1</f>
        <v>2</v>
      </c>
      <c r="C404" s="22">
        <f t="shared" ref="C404" si="297">D404-(B404-1)*G405</f>
        <v>8</v>
      </c>
      <c r="D404" s="22">
        <f>COUNT($D$7:$D403)+1</f>
        <v>19</v>
      </c>
      <c r="E404" s="4"/>
    </row>
    <row r="405" spans="1:15">
      <c r="E405" s="4">
        <f t="shared" si="287"/>
        <v>405</v>
      </c>
      <c r="F405" s="9" t="s">
        <v>95</v>
      </c>
      <c r="G405" s="23">
        <v>11</v>
      </c>
      <c r="H405" s="9" t="s">
        <v>37</v>
      </c>
      <c r="J405" s="9">
        <v>10700</v>
      </c>
      <c r="O405" s="23">
        <f t="shared" ref="O405" si="298">$J$9+D404</f>
        <v>10719</v>
      </c>
    </row>
    <row r="406" spans="1:15">
      <c r="E406" s="4">
        <f t="shared" si="287"/>
        <v>406</v>
      </c>
      <c r="F406" s="9" t="s">
        <v>153</v>
      </c>
      <c r="O406" s="23">
        <v>1450</v>
      </c>
    </row>
    <row r="407" spans="1:15">
      <c r="E407" s="4">
        <f t="shared" si="287"/>
        <v>407</v>
      </c>
      <c r="F407" s="9" t="s">
        <v>35</v>
      </c>
      <c r="O407" s="23">
        <v>60</v>
      </c>
    </row>
    <row r="408" spans="1:15">
      <c r="E408" s="4">
        <f t="shared" si="287"/>
        <v>408</v>
      </c>
      <c r="F408" s="9" t="s">
        <v>29</v>
      </c>
      <c r="O408" s="23" t="s">
        <v>147</v>
      </c>
    </row>
    <row r="409" spans="1:15">
      <c r="E409" s="4">
        <f t="shared" si="287"/>
        <v>409</v>
      </c>
      <c r="F409" s="9" t="s">
        <v>120</v>
      </c>
      <c r="O409" s="23" t="s">
        <v>146</v>
      </c>
    </row>
    <row r="410" spans="1:15">
      <c r="E410" s="4">
        <f t="shared" si="287"/>
        <v>410</v>
      </c>
      <c r="F410" s="9" t="s">
        <v>115</v>
      </c>
      <c r="G410" s="23" t="b">
        <f t="shared" ref="G410" si="299">MOD(B404,2)=0</f>
        <v>1</v>
      </c>
      <c r="H410" s="9">
        <v>-90</v>
      </c>
      <c r="I410" s="9" t="s">
        <v>238</v>
      </c>
      <c r="J410" s="9">
        <v>-1</v>
      </c>
      <c r="L410" s="9" t="s">
        <v>136</v>
      </c>
      <c r="O410" s="23">
        <f t="shared" ref="O410" si="300">$H$14*IF(G410,$I$14,$J$14)</f>
        <v>-90</v>
      </c>
    </row>
    <row r="411" spans="1:15">
      <c r="E411" s="4">
        <f t="shared" si="287"/>
        <v>411</v>
      </c>
      <c r="F411" s="9" t="s">
        <v>100</v>
      </c>
      <c r="G411" s="9" t="b">
        <f t="shared" ref="G411" si="301">MOD(B404,2)=0</f>
        <v>1</v>
      </c>
      <c r="K411" s="9" t="s">
        <v>138</v>
      </c>
      <c r="O411" s="23" t="str">
        <f t="shared" ref="O411" si="302">CONCATENATE(IF(G411,$G$16,$H$16),",",$I$16+$J$16*(MOD(D404-1,$G$9)+1))</f>
        <v>6,-1.6</v>
      </c>
    </row>
    <row r="412" spans="1:15">
      <c r="E412" s="4"/>
      <c r="G412" s="23" t="s">
        <v>32</v>
      </c>
      <c r="H412" s="9" t="s">
        <v>239</v>
      </c>
      <c r="I412" s="9">
        <v>4.8</v>
      </c>
      <c r="J412" s="9" t="s">
        <v>240</v>
      </c>
    </row>
    <row r="413" spans="1:15">
      <c r="E413" s="4">
        <f t="shared" si="287"/>
        <v>413</v>
      </c>
      <c r="F413" s="9" t="s">
        <v>30</v>
      </c>
      <c r="O413" s="23">
        <v>1.4</v>
      </c>
    </row>
    <row r="414" spans="1:15">
      <c r="E414" s="4">
        <f t="shared" si="287"/>
        <v>414</v>
      </c>
      <c r="F414" s="9" t="s">
        <v>31</v>
      </c>
      <c r="G414" s="23" t="b">
        <f t="shared" ref="G414" si="303">MOD(B404,2)=0</f>
        <v>1</v>
      </c>
      <c r="H414" s="9">
        <v>180</v>
      </c>
      <c r="I414" s="9" t="s">
        <v>238</v>
      </c>
      <c r="J414" s="9">
        <v>0</v>
      </c>
      <c r="L414" s="9" t="s">
        <v>136</v>
      </c>
      <c r="O414" s="23">
        <f t="shared" ref="O414" si="304">IF(G414,$H$18*$I$18,$H$18*$J$18)</f>
        <v>180</v>
      </c>
    </row>
    <row r="415" spans="1:15">
      <c r="E415" s="4">
        <f t="shared" si="287"/>
        <v>415</v>
      </c>
      <c r="F415" s="9" t="s">
        <v>103</v>
      </c>
      <c r="O415" s="23">
        <f t="shared" ref="O415" si="305">O405*10+1</f>
        <v>107191</v>
      </c>
    </row>
    <row r="416" spans="1:15">
      <c r="E416" s="4">
        <f t="shared" si="287"/>
        <v>416</v>
      </c>
      <c r="F416" s="9" t="s">
        <v>145</v>
      </c>
      <c r="O416" s="23">
        <f t="shared" ref="O416" si="306">O405</f>
        <v>10719</v>
      </c>
    </row>
    <row r="417" spans="1:15">
      <c r="E417" s="4">
        <f t="shared" si="287"/>
        <v>417</v>
      </c>
      <c r="F417" s="9" t="s">
        <v>129</v>
      </c>
      <c r="O417" s="23">
        <v>0</v>
      </c>
    </row>
    <row r="418" spans="1:15">
      <c r="E418" s="4">
        <f t="shared" si="287"/>
        <v>418</v>
      </c>
      <c r="F418" s="9" t="s">
        <v>35</v>
      </c>
      <c r="G418" s="23" t="b">
        <f t="shared" ref="G418" si="307">MOD(D404,2)=0</f>
        <v>0</v>
      </c>
      <c r="H418" s="9">
        <v>170</v>
      </c>
      <c r="I418" s="9" t="s">
        <v>241</v>
      </c>
      <c r="J418" s="9">
        <v>0</v>
      </c>
      <c r="O418" s="23">
        <f t="shared" ref="O418" si="308">$H$22+IF(G418,$I$22,$J$22)</f>
        <v>170</v>
      </c>
    </row>
    <row r="419" spans="1:15">
      <c r="E419" s="4">
        <f t="shared" si="287"/>
        <v>419</v>
      </c>
      <c r="F419" s="9" t="s">
        <v>30</v>
      </c>
      <c r="O419" s="23">
        <v>0</v>
      </c>
    </row>
    <row r="420" spans="1:15">
      <c r="E420" s="4">
        <f t="shared" si="287"/>
        <v>420</v>
      </c>
      <c r="F420" s="9" t="s">
        <v>115</v>
      </c>
      <c r="L420" s="9" t="s">
        <v>136</v>
      </c>
      <c r="O420" s="23">
        <f t="shared" ref="O420" si="309">O410</f>
        <v>-90</v>
      </c>
    </row>
    <row r="421" spans="1:15">
      <c r="E421" s="4">
        <f t="shared" si="287"/>
        <v>421</v>
      </c>
      <c r="F421" s="9" t="s">
        <v>103</v>
      </c>
      <c r="O421" s="23">
        <f t="shared" ref="O421" si="310">O415+1</f>
        <v>107192</v>
      </c>
    </row>
    <row r="422" spans="1:15">
      <c r="E422" s="4">
        <f t="shared" si="287"/>
        <v>422</v>
      </c>
      <c r="F422" s="9" t="s">
        <v>145</v>
      </c>
      <c r="O422" s="23">
        <f t="shared" ref="O422" si="311">O415</f>
        <v>107191</v>
      </c>
    </row>
    <row r="423" spans="1:15">
      <c r="E423" s="4">
        <f t="shared" si="287"/>
        <v>423</v>
      </c>
      <c r="F423" s="9" t="s">
        <v>129</v>
      </c>
      <c r="O423" s="23">
        <v>0</v>
      </c>
    </row>
    <row r="424" spans="1:15">
      <c r="E424" s="4">
        <f t="shared" si="287"/>
        <v>424</v>
      </c>
      <c r="F424" s="9" t="s">
        <v>30</v>
      </c>
      <c r="O424" s="23">
        <v>3</v>
      </c>
    </row>
    <row r="425" spans="1:15">
      <c r="E425" s="4">
        <f t="shared" si="287"/>
        <v>425</v>
      </c>
      <c r="F425" s="9" t="s">
        <v>115</v>
      </c>
      <c r="L425" s="9" t="s">
        <v>136</v>
      </c>
      <c r="O425" s="23">
        <f t="shared" ref="O425" si="312">O420</f>
        <v>-90</v>
      </c>
    </row>
    <row r="426" spans="1:15">
      <c r="A426" s="22" t="s">
        <v>236</v>
      </c>
      <c r="B426" s="22">
        <f t="shared" ref="B426" si="313">QUOTIENT( D426-1,G427)+1</f>
        <v>2</v>
      </c>
      <c r="C426" s="22">
        <f t="shared" ref="C426" si="314">D426-(B426-1)*G427</f>
        <v>9</v>
      </c>
      <c r="D426" s="22">
        <f>COUNT($D$7:$D425)+1</f>
        <v>20</v>
      </c>
      <c r="E426" s="4"/>
    </row>
    <row r="427" spans="1:15">
      <c r="E427" s="4">
        <f t="shared" si="287"/>
        <v>427</v>
      </c>
      <c r="F427" s="9" t="s">
        <v>95</v>
      </c>
      <c r="G427" s="23">
        <v>11</v>
      </c>
      <c r="H427" s="9" t="s">
        <v>37</v>
      </c>
      <c r="J427" s="9">
        <v>10700</v>
      </c>
      <c r="O427" s="23">
        <f t="shared" ref="O427" si="315">$J$9+D426</f>
        <v>10720</v>
      </c>
    </row>
    <row r="428" spans="1:15">
      <c r="E428" s="4">
        <f t="shared" si="287"/>
        <v>428</v>
      </c>
      <c r="F428" s="9" t="s">
        <v>153</v>
      </c>
      <c r="O428" s="23">
        <v>1450</v>
      </c>
    </row>
    <row r="429" spans="1:15">
      <c r="E429" s="4">
        <f t="shared" si="287"/>
        <v>429</v>
      </c>
      <c r="F429" s="9" t="s">
        <v>35</v>
      </c>
      <c r="O429" s="23">
        <v>60</v>
      </c>
    </row>
    <row r="430" spans="1:15">
      <c r="E430" s="4">
        <f t="shared" si="287"/>
        <v>430</v>
      </c>
      <c r="F430" s="9" t="s">
        <v>29</v>
      </c>
      <c r="O430" s="23" t="s">
        <v>147</v>
      </c>
    </row>
    <row r="431" spans="1:15">
      <c r="E431" s="4">
        <f t="shared" si="287"/>
        <v>431</v>
      </c>
      <c r="F431" s="9" t="s">
        <v>120</v>
      </c>
      <c r="O431" s="23" t="s">
        <v>146</v>
      </c>
    </row>
    <row r="432" spans="1:15">
      <c r="E432" s="4">
        <f t="shared" si="287"/>
        <v>432</v>
      </c>
      <c r="F432" s="9" t="s">
        <v>115</v>
      </c>
      <c r="G432" s="23" t="b">
        <f t="shared" ref="G432" si="316">MOD(B426,2)=0</f>
        <v>1</v>
      </c>
      <c r="H432" s="9">
        <v>-90</v>
      </c>
      <c r="I432" s="9" t="s">
        <v>238</v>
      </c>
      <c r="J432" s="9">
        <v>-1</v>
      </c>
      <c r="L432" s="9" t="s">
        <v>136</v>
      </c>
      <c r="O432" s="23">
        <f t="shared" ref="O432" si="317">$H$14*IF(G432,$I$14,$J$14)</f>
        <v>-90</v>
      </c>
    </row>
    <row r="433" spans="1:15">
      <c r="E433" s="4">
        <f t="shared" si="287"/>
        <v>433</v>
      </c>
      <c r="F433" s="9" t="s">
        <v>100</v>
      </c>
      <c r="G433" s="23" t="b">
        <f t="shared" ref="G433" si="318">MOD(B426,2)=0</f>
        <v>1</v>
      </c>
      <c r="K433" s="9" t="s">
        <v>138</v>
      </c>
      <c r="O433" s="23" t="str">
        <f t="shared" ref="O433" si="319">CONCATENATE(IF(G433,$G$16,$H$16),",",$I$16+$J$16*(MOD(D426-1,$G$9)+1))</f>
        <v>6,-2.4</v>
      </c>
    </row>
    <row r="434" spans="1:15">
      <c r="E434" s="4"/>
      <c r="G434" s="9" t="s">
        <v>32</v>
      </c>
      <c r="H434" s="9" t="s">
        <v>239</v>
      </c>
      <c r="I434" s="9">
        <v>4.8</v>
      </c>
      <c r="J434" s="9" t="s">
        <v>240</v>
      </c>
    </row>
    <row r="435" spans="1:15">
      <c r="E435" s="4">
        <f t="shared" si="287"/>
        <v>435</v>
      </c>
      <c r="F435" s="9" t="s">
        <v>30</v>
      </c>
      <c r="O435" s="23">
        <v>1.4</v>
      </c>
    </row>
    <row r="436" spans="1:15">
      <c r="E436" s="4">
        <f t="shared" si="287"/>
        <v>436</v>
      </c>
      <c r="F436" s="9" t="s">
        <v>31</v>
      </c>
      <c r="G436" s="23" t="b">
        <f t="shared" ref="G436" si="320">MOD(B426,2)=0</f>
        <v>1</v>
      </c>
      <c r="H436" s="9">
        <v>180</v>
      </c>
      <c r="I436" s="9" t="s">
        <v>238</v>
      </c>
      <c r="J436" s="9">
        <v>0</v>
      </c>
      <c r="L436" s="9" t="s">
        <v>136</v>
      </c>
      <c r="O436" s="23">
        <f t="shared" ref="O436" si="321">IF(G436,$H$18*$I$18,$H$18*$J$18)</f>
        <v>180</v>
      </c>
    </row>
    <row r="437" spans="1:15">
      <c r="E437" s="4">
        <f t="shared" si="287"/>
        <v>437</v>
      </c>
      <c r="F437" s="9" t="s">
        <v>103</v>
      </c>
      <c r="O437" s="23">
        <f t="shared" ref="O437" si="322">O427*10+1</f>
        <v>107201</v>
      </c>
    </row>
    <row r="438" spans="1:15">
      <c r="E438" s="4">
        <f t="shared" si="287"/>
        <v>438</v>
      </c>
      <c r="F438" s="9" t="s">
        <v>145</v>
      </c>
      <c r="O438" s="23">
        <f t="shared" ref="O438" si="323">O427</f>
        <v>10720</v>
      </c>
    </row>
    <row r="439" spans="1:15">
      <c r="E439" s="4">
        <f t="shared" si="287"/>
        <v>439</v>
      </c>
      <c r="F439" s="9" t="s">
        <v>129</v>
      </c>
      <c r="O439" s="23">
        <v>0</v>
      </c>
    </row>
    <row r="440" spans="1:15">
      <c r="E440" s="4">
        <f t="shared" si="287"/>
        <v>440</v>
      </c>
      <c r="F440" s="9" t="s">
        <v>35</v>
      </c>
      <c r="G440" s="23" t="b">
        <f t="shared" ref="G440" si="324">MOD(D426,2)=0</f>
        <v>1</v>
      </c>
      <c r="H440" s="9">
        <v>170</v>
      </c>
      <c r="I440" s="9" t="s">
        <v>241</v>
      </c>
      <c r="J440" s="9">
        <v>0</v>
      </c>
      <c r="O440" s="23">
        <f t="shared" ref="O440" si="325">$H$22+IF(G440,$I$22,$J$22)</f>
        <v>340</v>
      </c>
    </row>
    <row r="441" spans="1:15">
      <c r="E441" s="4">
        <f t="shared" si="287"/>
        <v>441</v>
      </c>
      <c r="F441" s="9" t="s">
        <v>30</v>
      </c>
      <c r="O441" s="23">
        <v>0</v>
      </c>
    </row>
    <row r="442" spans="1:15">
      <c r="E442" s="4">
        <f t="shared" si="287"/>
        <v>442</v>
      </c>
      <c r="F442" s="9" t="s">
        <v>115</v>
      </c>
      <c r="L442" s="9" t="s">
        <v>136</v>
      </c>
      <c r="O442" s="23">
        <f t="shared" ref="O442" si="326">O432</f>
        <v>-90</v>
      </c>
    </row>
    <row r="443" spans="1:15">
      <c r="E443" s="4">
        <f t="shared" si="287"/>
        <v>443</v>
      </c>
      <c r="F443" s="9" t="s">
        <v>103</v>
      </c>
      <c r="O443" s="23">
        <f t="shared" ref="O443" si="327">O437+1</f>
        <v>107202</v>
      </c>
    </row>
    <row r="444" spans="1:15">
      <c r="E444" s="4">
        <f t="shared" si="287"/>
        <v>444</v>
      </c>
      <c r="F444" s="9" t="s">
        <v>145</v>
      </c>
      <c r="O444" s="23">
        <f t="shared" ref="O444" si="328">O437</f>
        <v>107201</v>
      </c>
    </row>
    <row r="445" spans="1:15">
      <c r="E445" s="4">
        <f t="shared" si="287"/>
        <v>445</v>
      </c>
      <c r="F445" s="9" t="s">
        <v>129</v>
      </c>
      <c r="O445" s="23">
        <v>0</v>
      </c>
    </row>
    <row r="446" spans="1:15">
      <c r="E446" s="4">
        <f t="shared" si="287"/>
        <v>446</v>
      </c>
      <c r="F446" s="9" t="s">
        <v>30</v>
      </c>
      <c r="O446" s="23">
        <v>3</v>
      </c>
    </row>
    <row r="447" spans="1:15">
      <c r="E447" s="4">
        <f t="shared" si="287"/>
        <v>447</v>
      </c>
      <c r="F447" s="9" t="s">
        <v>115</v>
      </c>
      <c r="L447" s="9" t="s">
        <v>136</v>
      </c>
      <c r="O447" s="23">
        <f t="shared" ref="O447" si="329">O442</f>
        <v>-90</v>
      </c>
    </row>
    <row r="448" spans="1:15">
      <c r="A448" s="22" t="s">
        <v>236</v>
      </c>
      <c r="B448" s="22">
        <f t="shared" ref="B448" si="330">QUOTIENT( D448-1,G449)+1</f>
        <v>2</v>
      </c>
      <c r="C448" s="22">
        <f t="shared" ref="C448" si="331">D448-(B448-1)*G449</f>
        <v>10</v>
      </c>
      <c r="D448" s="22">
        <f>COUNT($D$7:$D447)+1</f>
        <v>21</v>
      </c>
      <c r="E448" s="4"/>
    </row>
    <row r="449" spans="5:15">
      <c r="E449" s="4">
        <f t="shared" si="287"/>
        <v>449</v>
      </c>
      <c r="F449" s="9" t="s">
        <v>95</v>
      </c>
      <c r="G449" s="23">
        <v>11</v>
      </c>
      <c r="H449" s="9" t="s">
        <v>37</v>
      </c>
      <c r="J449" s="9">
        <v>10700</v>
      </c>
      <c r="O449" s="23">
        <f t="shared" ref="O449" si="332">$J$9+D448</f>
        <v>10721</v>
      </c>
    </row>
    <row r="450" spans="5:15">
      <c r="E450" s="4">
        <f t="shared" si="287"/>
        <v>450</v>
      </c>
      <c r="F450" s="9" t="s">
        <v>153</v>
      </c>
      <c r="O450" s="23">
        <v>1450</v>
      </c>
    </row>
    <row r="451" spans="5:15">
      <c r="E451" s="4">
        <f t="shared" si="287"/>
        <v>451</v>
      </c>
      <c r="F451" s="9" t="s">
        <v>35</v>
      </c>
      <c r="O451" s="23">
        <v>60</v>
      </c>
    </row>
    <row r="452" spans="5:15">
      <c r="E452" s="4">
        <f t="shared" si="287"/>
        <v>452</v>
      </c>
      <c r="F452" s="9" t="s">
        <v>29</v>
      </c>
      <c r="O452" s="23" t="s">
        <v>147</v>
      </c>
    </row>
    <row r="453" spans="5:15">
      <c r="E453" s="4">
        <f t="shared" si="287"/>
        <v>453</v>
      </c>
      <c r="F453" s="9" t="s">
        <v>120</v>
      </c>
      <c r="O453" s="23" t="s">
        <v>146</v>
      </c>
    </row>
    <row r="454" spans="5:15">
      <c r="E454" s="4">
        <f t="shared" si="287"/>
        <v>454</v>
      </c>
      <c r="F454" s="9" t="s">
        <v>115</v>
      </c>
      <c r="G454" s="23" t="b">
        <f t="shared" ref="G454" si="333">MOD(B448,2)=0</f>
        <v>1</v>
      </c>
      <c r="H454" s="9">
        <v>-90</v>
      </c>
      <c r="I454" s="9" t="s">
        <v>238</v>
      </c>
      <c r="J454" s="9">
        <v>-1</v>
      </c>
      <c r="L454" s="9" t="s">
        <v>136</v>
      </c>
      <c r="O454" s="23">
        <f t="shared" ref="O454" si="334">$H$14*IF(G454,$I$14,$J$14)</f>
        <v>-90</v>
      </c>
    </row>
    <row r="455" spans="5:15">
      <c r="E455" s="4">
        <f t="shared" si="287"/>
        <v>455</v>
      </c>
      <c r="F455" s="9" t="s">
        <v>100</v>
      </c>
      <c r="G455" s="23" t="b">
        <f t="shared" ref="G455" si="335">MOD(B448,2)=0</f>
        <v>1</v>
      </c>
      <c r="K455" s="9" t="s">
        <v>138</v>
      </c>
      <c r="O455" s="23" t="str">
        <f t="shared" ref="O455" si="336">CONCATENATE(IF(G455,$G$16,$H$16),",",$I$16+$J$16*(MOD(D448-1,$G$9)+1))</f>
        <v>6,-3.2</v>
      </c>
    </row>
    <row r="456" spans="5:15">
      <c r="E456" s="4"/>
      <c r="G456" s="23" t="s">
        <v>32</v>
      </c>
      <c r="H456" s="9" t="s">
        <v>239</v>
      </c>
      <c r="I456" s="9">
        <v>4.8</v>
      </c>
      <c r="J456" s="9" t="s">
        <v>240</v>
      </c>
    </row>
    <row r="457" spans="5:15">
      <c r="E457" s="4">
        <f t="shared" ref="E457:E491" si="337">ROW(E457)</f>
        <v>457</v>
      </c>
      <c r="F457" s="9" t="s">
        <v>30</v>
      </c>
      <c r="G457" s="9"/>
      <c r="O457" s="23">
        <v>1.4</v>
      </c>
    </row>
    <row r="458" spans="5:15">
      <c r="E458" s="4">
        <f t="shared" si="337"/>
        <v>458</v>
      </c>
      <c r="F458" s="9" t="s">
        <v>31</v>
      </c>
      <c r="G458" s="23" t="b">
        <f t="shared" ref="G458" si="338">MOD(B448,2)=0</f>
        <v>1</v>
      </c>
      <c r="H458" s="9">
        <v>180</v>
      </c>
      <c r="I458" s="9" t="s">
        <v>238</v>
      </c>
      <c r="J458" s="9">
        <v>0</v>
      </c>
      <c r="L458" s="9" t="s">
        <v>136</v>
      </c>
      <c r="O458" s="23">
        <f t="shared" ref="O458" si="339">IF(G458,$H$18*$I$18,$H$18*$J$18)</f>
        <v>180</v>
      </c>
    </row>
    <row r="459" spans="5:15">
      <c r="E459" s="4">
        <f t="shared" si="337"/>
        <v>459</v>
      </c>
      <c r="F459" s="9" t="s">
        <v>103</v>
      </c>
      <c r="O459" s="23">
        <f t="shared" ref="O459" si="340">O449*10+1</f>
        <v>107211</v>
      </c>
    </row>
    <row r="460" spans="5:15">
      <c r="E460" s="4">
        <f t="shared" si="337"/>
        <v>460</v>
      </c>
      <c r="F460" s="9" t="s">
        <v>145</v>
      </c>
      <c r="O460" s="23">
        <f t="shared" ref="O460" si="341">O449</f>
        <v>10721</v>
      </c>
    </row>
    <row r="461" spans="5:15">
      <c r="E461" s="4">
        <f t="shared" si="337"/>
        <v>461</v>
      </c>
      <c r="F461" s="9" t="s">
        <v>129</v>
      </c>
      <c r="O461" s="23">
        <v>0</v>
      </c>
    </row>
    <row r="462" spans="5:15">
      <c r="E462" s="4">
        <f t="shared" si="337"/>
        <v>462</v>
      </c>
      <c r="F462" s="9" t="s">
        <v>35</v>
      </c>
      <c r="G462" s="23" t="b">
        <f t="shared" ref="G462" si="342">MOD(D448,2)=0</f>
        <v>0</v>
      </c>
      <c r="H462" s="9">
        <v>170</v>
      </c>
      <c r="I462" s="9" t="s">
        <v>241</v>
      </c>
      <c r="J462" s="9">
        <v>0</v>
      </c>
      <c r="O462" s="23">
        <f t="shared" ref="O462" si="343">$H$22+IF(G462,$I$22,$J$22)</f>
        <v>170</v>
      </c>
    </row>
    <row r="463" spans="5:15">
      <c r="E463" s="4">
        <f t="shared" si="337"/>
        <v>463</v>
      </c>
      <c r="F463" s="9" t="s">
        <v>30</v>
      </c>
      <c r="O463" s="23">
        <v>0</v>
      </c>
    </row>
    <row r="464" spans="5:15">
      <c r="E464" s="4">
        <f t="shared" si="337"/>
        <v>464</v>
      </c>
      <c r="F464" s="9" t="s">
        <v>115</v>
      </c>
      <c r="L464" s="9" t="s">
        <v>136</v>
      </c>
      <c r="O464" s="23">
        <f t="shared" ref="O464" si="344">O454</f>
        <v>-90</v>
      </c>
    </row>
    <row r="465" spans="1:15">
      <c r="E465" s="4">
        <f t="shared" si="337"/>
        <v>465</v>
      </c>
      <c r="F465" s="9" t="s">
        <v>103</v>
      </c>
      <c r="O465" s="23">
        <f t="shared" ref="O465" si="345">O459+1</f>
        <v>107212</v>
      </c>
    </row>
    <row r="466" spans="1:15">
      <c r="E466" s="4">
        <f t="shared" si="337"/>
        <v>466</v>
      </c>
      <c r="F466" s="9" t="s">
        <v>145</v>
      </c>
      <c r="O466" s="23">
        <f t="shared" ref="O466" si="346">O459</f>
        <v>107211</v>
      </c>
    </row>
    <row r="467" spans="1:15">
      <c r="E467" s="4">
        <f t="shared" si="337"/>
        <v>467</v>
      </c>
      <c r="F467" s="9" t="s">
        <v>129</v>
      </c>
      <c r="O467" s="23">
        <v>0</v>
      </c>
    </row>
    <row r="468" spans="1:15">
      <c r="E468" s="4">
        <f t="shared" si="337"/>
        <v>468</v>
      </c>
      <c r="F468" s="9" t="s">
        <v>30</v>
      </c>
      <c r="O468" s="23">
        <v>3</v>
      </c>
    </row>
    <row r="469" spans="1:15">
      <c r="E469" s="4">
        <f t="shared" si="337"/>
        <v>469</v>
      </c>
      <c r="F469" s="9" t="s">
        <v>115</v>
      </c>
      <c r="L469" s="9" t="s">
        <v>136</v>
      </c>
      <c r="O469" s="23">
        <f t="shared" ref="O469" si="347">O464</f>
        <v>-90</v>
      </c>
    </row>
    <row r="470" spans="1:15">
      <c r="A470" s="22" t="s">
        <v>236</v>
      </c>
      <c r="B470" s="22">
        <f t="shared" ref="B470" si="348">QUOTIENT( D470-1,G471)+1</f>
        <v>2</v>
      </c>
      <c r="C470" s="22">
        <f t="shared" ref="C470" si="349">D470-(B470-1)*G471</f>
        <v>11</v>
      </c>
      <c r="D470" s="22">
        <f>COUNT($D$7:$D469)+1</f>
        <v>22</v>
      </c>
      <c r="E470" s="4"/>
    </row>
    <row r="471" spans="1:15">
      <c r="E471" s="4">
        <f t="shared" si="337"/>
        <v>471</v>
      </c>
      <c r="F471" s="9" t="s">
        <v>95</v>
      </c>
      <c r="G471" s="23">
        <v>11</v>
      </c>
      <c r="H471" s="9" t="s">
        <v>37</v>
      </c>
      <c r="J471" s="9">
        <v>10700</v>
      </c>
      <c r="O471" s="23">
        <f t="shared" ref="O471" si="350">$J$9+D470</f>
        <v>10722</v>
      </c>
    </row>
    <row r="472" spans="1:15">
      <c r="E472" s="4">
        <f t="shared" si="337"/>
        <v>472</v>
      </c>
      <c r="F472" s="9" t="s">
        <v>153</v>
      </c>
      <c r="O472" s="23">
        <v>1450</v>
      </c>
    </row>
    <row r="473" spans="1:15">
      <c r="E473" s="4">
        <f t="shared" si="337"/>
        <v>473</v>
      </c>
      <c r="F473" s="9" t="s">
        <v>35</v>
      </c>
      <c r="O473" s="23">
        <v>60</v>
      </c>
    </row>
    <row r="474" spans="1:15">
      <c r="E474" s="4">
        <f t="shared" si="337"/>
        <v>474</v>
      </c>
      <c r="F474" s="9" t="s">
        <v>29</v>
      </c>
      <c r="O474" s="23" t="s">
        <v>147</v>
      </c>
    </row>
    <row r="475" spans="1:15">
      <c r="E475" s="4">
        <f t="shared" si="337"/>
        <v>475</v>
      </c>
      <c r="F475" s="9" t="s">
        <v>120</v>
      </c>
      <c r="O475" s="23" t="s">
        <v>146</v>
      </c>
    </row>
    <row r="476" spans="1:15">
      <c r="E476" s="4">
        <f t="shared" si="337"/>
        <v>476</v>
      </c>
      <c r="F476" s="9" t="s">
        <v>115</v>
      </c>
      <c r="G476" s="23" t="b">
        <f t="shared" ref="G476" si="351">MOD(B470,2)=0</f>
        <v>1</v>
      </c>
      <c r="H476" s="9">
        <v>-90</v>
      </c>
      <c r="I476" s="9" t="s">
        <v>238</v>
      </c>
      <c r="J476" s="9">
        <v>-1</v>
      </c>
      <c r="L476" s="9" t="s">
        <v>136</v>
      </c>
      <c r="O476" s="23">
        <f t="shared" ref="O476" si="352">$H$14*IF(G476,$I$14,$J$14)</f>
        <v>-90</v>
      </c>
    </row>
    <row r="477" spans="1:15">
      <c r="E477" s="4">
        <f t="shared" si="337"/>
        <v>477</v>
      </c>
      <c r="F477" s="9" t="s">
        <v>100</v>
      </c>
      <c r="G477" s="23" t="b">
        <f t="shared" ref="G477" si="353">MOD(B470,2)=0</f>
        <v>1</v>
      </c>
      <c r="K477" s="9" t="s">
        <v>138</v>
      </c>
      <c r="O477" s="23" t="str">
        <f t="shared" ref="O477" si="354">CONCATENATE(IF(G477,$G$16,$H$16),",",$I$16+$J$16*(MOD(D470-1,$G$9)+1))</f>
        <v>6,-4</v>
      </c>
    </row>
    <row r="478" spans="1:15">
      <c r="E478" s="4"/>
      <c r="G478" s="23" t="s">
        <v>32</v>
      </c>
      <c r="H478" s="9" t="s">
        <v>239</v>
      </c>
      <c r="I478" s="9">
        <v>4.8</v>
      </c>
      <c r="J478" s="9" t="s">
        <v>240</v>
      </c>
    </row>
    <row r="479" spans="1:15">
      <c r="E479" s="4">
        <f t="shared" si="337"/>
        <v>479</v>
      </c>
      <c r="F479" s="9" t="s">
        <v>30</v>
      </c>
      <c r="O479" s="23">
        <v>1.4</v>
      </c>
    </row>
    <row r="480" spans="1:15">
      <c r="E480" s="4">
        <f t="shared" si="337"/>
        <v>480</v>
      </c>
      <c r="F480" s="9" t="s">
        <v>31</v>
      </c>
      <c r="G480" s="9" t="b">
        <f t="shared" ref="G480" si="355">MOD(B470,2)=0</f>
        <v>1</v>
      </c>
      <c r="H480" s="9">
        <v>180</v>
      </c>
      <c r="I480" s="9" t="s">
        <v>238</v>
      </c>
      <c r="J480" s="9">
        <v>0</v>
      </c>
      <c r="L480" s="9" t="s">
        <v>136</v>
      </c>
      <c r="O480" s="23">
        <f t="shared" ref="O480" si="356">IF(G480,$H$18*$I$18,$H$18*$J$18)</f>
        <v>180</v>
      </c>
    </row>
    <row r="481" spans="5:15">
      <c r="E481" s="4">
        <f t="shared" si="337"/>
        <v>481</v>
      </c>
      <c r="F481" s="9" t="s">
        <v>103</v>
      </c>
      <c r="O481" s="23">
        <f t="shared" ref="O481" si="357">O471*10+1</f>
        <v>107221</v>
      </c>
    </row>
    <row r="482" spans="5:15">
      <c r="E482" s="4">
        <f t="shared" si="337"/>
        <v>482</v>
      </c>
      <c r="F482" s="9" t="s">
        <v>145</v>
      </c>
      <c r="O482" s="23">
        <f t="shared" ref="O482" si="358">O471</f>
        <v>10722</v>
      </c>
    </row>
    <row r="483" spans="5:15">
      <c r="E483" s="4">
        <f t="shared" si="337"/>
        <v>483</v>
      </c>
      <c r="F483" s="9" t="s">
        <v>129</v>
      </c>
      <c r="O483" s="23">
        <v>0</v>
      </c>
    </row>
    <row r="484" spans="5:15">
      <c r="E484" s="4">
        <f t="shared" si="337"/>
        <v>484</v>
      </c>
      <c r="F484" s="9" t="s">
        <v>35</v>
      </c>
      <c r="G484" s="23" t="b">
        <f t="shared" ref="G484" si="359">MOD(D470,2)=0</f>
        <v>1</v>
      </c>
      <c r="H484" s="9">
        <v>170</v>
      </c>
      <c r="I484" s="9" t="s">
        <v>241</v>
      </c>
      <c r="J484" s="9">
        <v>0</v>
      </c>
      <c r="O484" s="23">
        <f t="shared" ref="O484" si="360">$H$22+IF(G484,$I$22,$J$22)</f>
        <v>340</v>
      </c>
    </row>
    <row r="485" spans="5:15">
      <c r="E485" s="4">
        <f t="shared" si="337"/>
        <v>485</v>
      </c>
      <c r="F485" s="9" t="s">
        <v>30</v>
      </c>
      <c r="O485" s="23">
        <v>0</v>
      </c>
    </row>
    <row r="486" spans="5:15">
      <c r="E486" s="4">
        <f t="shared" si="337"/>
        <v>486</v>
      </c>
      <c r="F486" s="9" t="s">
        <v>115</v>
      </c>
      <c r="L486" s="9" t="s">
        <v>136</v>
      </c>
      <c r="O486" s="23">
        <f t="shared" ref="O486" si="361">O476</f>
        <v>-90</v>
      </c>
    </row>
    <row r="487" spans="5:15">
      <c r="E487" s="4">
        <f t="shared" si="337"/>
        <v>487</v>
      </c>
      <c r="F487" s="9" t="s">
        <v>103</v>
      </c>
      <c r="O487" s="23">
        <f t="shared" ref="O487" si="362">O481+1</f>
        <v>107222</v>
      </c>
    </row>
    <row r="488" spans="5:15">
      <c r="E488" s="4">
        <f t="shared" si="337"/>
        <v>488</v>
      </c>
      <c r="F488" s="9" t="s">
        <v>145</v>
      </c>
      <c r="O488" s="23">
        <f t="shared" ref="O488" si="363">O481</f>
        <v>107221</v>
      </c>
    </row>
    <row r="489" spans="5:15">
      <c r="E489" s="4">
        <f t="shared" si="337"/>
        <v>489</v>
      </c>
      <c r="F489" s="9" t="s">
        <v>129</v>
      </c>
      <c r="O489" s="23">
        <v>0</v>
      </c>
    </row>
    <row r="490" spans="5:15">
      <c r="E490" s="4">
        <f t="shared" si="337"/>
        <v>490</v>
      </c>
      <c r="F490" s="9" t="s">
        <v>30</v>
      </c>
      <c r="O490" s="23">
        <v>3</v>
      </c>
    </row>
    <row r="491" spans="5:15">
      <c r="E491" s="4">
        <f t="shared" si="337"/>
        <v>491</v>
      </c>
      <c r="F491" s="9" t="s">
        <v>115</v>
      </c>
      <c r="L491" s="9" t="s">
        <v>136</v>
      </c>
      <c r="O491" s="23">
        <f t="shared" ref="O491" si="364">O486</f>
        <v>-90</v>
      </c>
    </row>
    <row r="492" spans="5:15">
      <c r="E492" s="4"/>
    </row>
    <row r="493" spans="5:15">
      <c r="E493" s="4"/>
    </row>
    <row r="494" spans="5:15">
      <c r="E494" s="4"/>
    </row>
    <row r="495" spans="5:15">
      <c r="E495" s="4"/>
    </row>
    <row r="496" spans="5:15">
      <c r="E496" s="4"/>
    </row>
    <row r="497" spans="5:7">
      <c r="E497" s="4"/>
    </row>
    <row r="498" spans="5:7">
      <c r="E498" s="4"/>
    </row>
    <row r="499" spans="5:7">
      <c r="E499" s="4"/>
    </row>
    <row r="500" spans="5:7">
      <c r="E500" s="4"/>
    </row>
    <row r="501" spans="5:7">
      <c r="E501" s="4"/>
    </row>
    <row r="502" spans="5:7">
      <c r="E502" s="4"/>
    </row>
    <row r="503" spans="5:7">
      <c r="E503" s="4"/>
      <c r="G503" s="9"/>
    </row>
    <row r="504" spans="5:7">
      <c r="E504" s="4"/>
    </row>
    <row r="505" spans="5:7">
      <c r="E505" s="4"/>
    </row>
    <row r="506" spans="5:7">
      <c r="E506" s="4"/>
    </row>
    <row r="507" spans="5:7">
      <c r="E507" s="4"/>
    </row>
    <row r="508" spans="5:7">
      <c r="E508" s="4"/>
    </row>
    <row r="509" spans="5:7">
      <c r="E509" s="4"/>
    </row>
    <row r="510" spans="5:7">
      <c r="E510" s="4"/>
    </row>
    <row r="511" spans="5:7">
      <c r="E511" s="4"/>
    </row>
    <row r="512" spans="5:7">
      <c r="E512" s="4"/>
    </row>
  </sheetData>
  <phoneticPr fontId="2" type="noConversion"/>
  <conditionalFormatting sqref="N1">
    <cfRule type="duplicateValues" dxfId="65" priority="600"/>
  </conditionalFormatting>
  <conditionalFormatting sqref="P1:BF1">
    <cfRule type="duplicateValues" dxfId="64" priority="599"/>
  </conditionalFormatting>
  <conditionalFormatting sqref="BG1:XFD1 E1:M1">
    <cfRule type="duplicateValues" dxfId="63" priority="679"/>
  </conditionalFormatting>
  <conditionalFormatting sqref="G16 I18 F1:F1048576">
    <cfRule type="cellIs" dxfId="62" priority="172" operator="equal">
      <formula>"行動ID"</formula>
    </cfRule>
    <cfRule type="cellIs" dxfId="61" priority="180" operator="equal">
      <formula>"ID"</formula>
    </cfRule>
    <cfRule type="cellIs" dxfId="60" priority="595" operator="equal">
      <formula>"行動序號"</formula>
    </cfRule>
  </conditionalFormatting>
  <conditionalFormatting sqref="I1:J1">
    <cfRule type="duplicateValues" dxfId="59" priority="178"/>
  </conditionalFormatting>
  <conditionalFormatting sqref="G16 I18 F1:F1048576">
    <cfRule type="cellIs" dxfId="58" priority="42" operator="equal">
      <formula>"行動ID"</formula>
    </cfRule>
  </conditionalFormatting>
  <conditionalFormatting sqref="F1 F8 F31 F54 F77 F100 F123 F146 F169 F192 F215 F238 F261 F284 F307 F330 F353 F376 F399 F422 F445 F468 F491">
    <cfRule type="cellIs" dxfId="57" priority="38" operator="equal">
      <formula>"行動ID"</formula>
    </cfRule>
  </conditionalFormatting>
  <conditionalFormatting sqref="F15:F18 F38:F40 F61:F63 F84:F86 F107:F109 F130:F132 F153:F155 F176:F178 F199:F201 F222:F224 F245:F247 F268:F270 F291:F293 F314:F316 F337:F339 F360:F362 F383:F385 F406:F408 F429:F431 F452:F454 F475:F477 F498:F500">
    <cfRule type="cellIs" dxfId="56" priority="31" operator="equal">
      <formula>"行動ID"</formula>
    </cfRule>
  </conditionalFormatting>
  <conditionalFormatting sqref="F13 F36 F59 F82 F105 F128 F151 F174 F197 F220 F243 F266 F289 F312 F335 F358 F381 F404 F427 F450 F473 F496">
    <cfRule type="cellIs" dxfId="55" priority="19" operator="equal">
      <formula>"行動ID"</formula>
    </cfRule>
  </conditionalFormatting>
  <conditionalFormatting sqref="I14">
    <cfRule type="cellIs" dxfId="54" priority="16" operator="equal">
      <formula>"行動ID"</formula>
    </cfRule>
  </conditionalFormatting>
  <conditionalFormatting sqref="F14 F37 F60 F83 F106 F129 F152 F175 F198 F221 F244 F267 F290 F313 F336 F359 F382 F405 F428 F451 F474 F497">
    <cfRule type="cellIs" dxfId="53" priority="15" operator="equal">
      <formula>"行動ID"</formula>
    </cfRule>
  </conditionalFormatting>
  <conditionalFormatting sqref="F14 F37 F60 F83 F106 F129 F152 F175 F198 F221 F244 F267 F290 F313 F336 F359 F382 F405 F428 F451 F474 F497">
    <cfRule type="cellIs" dxfId="52" priority="14" operator="equal">
      <formula>"行動ID"</formula>
    </cfRule>
  </conditionalFormatting>
  <conditionalFormatting sqref="F23 F45 F68 F91 F114 F137 F160 F183 F206 F229 F252 F275 F298 F321 F344 F367 F390 F413 F436 F459 F482 F505">
    <cfRule type="cellIs" dxfId="51" priority="9" operator="equal">
      <formula>"行動ID"</formula>
    </cfRule>
  </conditionalFormatting>
  <conditionalFormatting sqref="F24 F46 F69 F92 F115 F138 F161 F184 F207 F230 F253 F276 F299 F322 F345 F368 F391 F414 F437 F460 F483 F506">
    <cfRule type="cellIs" dxfId="50" priority="8" operator="equal">
      <formula>"行動ID"</formula>
    </cfRule>
  </conditionalFormatting>
  <conditionalFormatting sqref="F24 F46 F69 F92 F115 F138 F161 F184 F207 F230 F253 F276 F299 F322 F345 F368 F391 F414 F437 F460 F483 F506">
    <cfRule type="cellIs" dxfId="49" priority="7" operator="equal">
      <formula>"行動ID"</formula>
    </cfRule>
  </conditionalFormatting>
  <conditionalFormatting sqref="F28 F51 F74 F97 F120 F143 F166 F189 F212 F235 F258 F281 F304 F327 F350 F373 F396 F419 F442 F465 F488 F511">
    <cfRule type="cellIs" dxfId="48" priority="6" operator="equal">
      <formula>"行動ID"</formula>
    </cfRule>
  </conditionalFormatting>
  <conditionalFormatting sqref="F29 F52 F75 F98 F121 F144 F167 F190 F213 F236 F259 F282 F305 F328 F351 F374 F397 F420 F443 F466 F489 F512">
    <cfRule type="cellIs" dxfId="47" priority="5" operator="equal">
      <formula>"行動ID"</formula>
    </cfRule>
  </conditionalFormatting>
  <conditionalFormatting sqref="F29 F52 F75 F98 F121 F144 F167 F190 F213 F236 F259 F282 F305 F328 F351 F374 F397 F420 F443 F466 F489 F512">
    <cfRule type="cellIs" dxfId="46" priority="4" operator="equal">
      <formula>"行動ID"</formula>
    </cfRule>
  </conditionalFormatting>
  <conditionalFormatting sqref="H14 H22 O1:O1048576">
    <cfRule type="expression" dxfId="45" priority="3">
      <formula>OR(#REF!="行動序號",#REF!="ID")</formula>
    </cfRule>
  </conditionalFormatting>
  <conditionalFormatting sqref="J9 H14 H18 H22 O1:O1048576">
    <cfRule type="expression" dxfId="44" priority="2">
      <formula>_xlfn.ISFORMULA(H1)</formula>
    </cfRule>
  </conditionalFormatting>
  <conditionalFormatting sqref="H14 H22 O1:O1048576">
    <cfRule type="expression" dxfId="43" priority="1">
      <formula>#REF!="行動ID"</formula>
    </cfRule>
  </conditionalFormatting>
  <conditionalFormatting sqref="J9">
    <cfRule type="expression" dxfId="42" priority="912">
      <formula>OR(#REF!="行動序號",#REF!="ID")</formula>
    </cfRule>
  </conditionalFormatting>
  <conditionalFormatting sqref="J9">
    <cfRule type="expression" dxfId="41" priority="916">
      <formula>#REF!="行動ID"</formula>
    </cfRule>
  </conditionalFormatting>
  <conditionalFormatting sqref="H18">
    <cfRule type="expression" dxfId="40" priority="929">
      <formula>OR(#REF!="行動序號",#REF!="ID")</formula>
    </cfRule>
  </conditionalFormatting>
  <conditionalFormatting sqref="H18">
    <cfRule type="expression" dxfId="39" priority="933">
      <formula>#REF!="行動ID"</formula>
    </cfRule>
  </conditionalFormatting>
  <pageMargins left="0.75" right="0.75" top="1" bottom="1" header="0.5" footer="0.5"/>
  <pageSetup paperSize="9" orientation="portrait" horizontalDpi="200" verticalDpi="200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B7FB5F-CF14-4122-94AA-52D7BE280DAB}">
  <sheetPr codeName="AliasSheet"/>
  <dimension ref="A1:E84"/>
  <sheetViews>
    <sheetView workbookViewId="0">
      <selection activeCell="F12" sqref="F12"/>
    </sheetView>
  </sheetViews>
  <sheetFormatPr defaultRowHeight="16.5"/>
  <cols>
    <col min="1" max="1" width="9" style="9"/>
    <col min="2" max="2" width="13.25" style="9" bestFit="1" customWidth="1"/>
    <col min="3" max="3" width="13.875" style="9" bestFit="1" customWidth="1"/>
    <col min="4" max="4" width="13.875" style="9" customWidth="1"/>
    <col min="5" max="5" width="13" bestFit="1" customWidth="1"/>
  </cols>
  <sheetData>
    <row r="1" spans="1:5" s="6" customFormat="1" ht="19.5">
      <c r="A1" s="17" t="s">
        <v>50</v>
      </c>
      <c r="B1" s="17" t="s">
        <v>27</v>
      </c>
      <c r="C1" s="17" t="s">
        <v>143</v>
      </c>
      <c r="D1" s="17" t="s">
        <v>142</v>
      </c>
      <c r="E1" s="6" t="s">
        <v>36</v>
      </c>
    </row>
    <row r="2" spans="1:5">
      <c r="A2" s="9" t="s">
        <v>52</v>
      </c>
      <c r="B2" s="9" t="s">
        <v>28</v>
      </c>
      <c r="C2" s="9" t="s">
        <v>143</v>
      </c>
      <c r="D2" s="9" t="s">
        <v>141</v>
      </c>
      <c r="E2" s="9" t="s">
        <v>36</v>
      </c>
    </row>
    <row r="56" spans="1:4">
      <c r="A56" s="14"/>
      <c r="B56" s="14"/>
      <c r="C56" s="14"/>
      <c r="D56" s="14"/>
    </row>
    <row r="63" spans="1:4">
      <c r="A63" s="14"/>
      <c r="B63" s="14"/>
      <c r="C63" s="14"/>
      <c r="D63" s="14"/>
    </row>
    <row r="73" spans="1:4">
      <c r="A73" s="14"/>
      <c r="B73" s="14"/>
      <c r="C73" s="14"/>
      <c r="D73" s="14"/>
    </row>
    <row r="84" spans="1:4">
      <c r="A84" s="13"/>
      <c r="B84" s="13"/>
      <c r="C84" s="13"/>
      <c r="D84" s="13"/>
    </row>
  </sheetData>
  <phoneticPr fontId="2" type="noConversion"/>
  <conditionalFormatting sqref="E1:XFD1">
    <cfRule type="duplicateValues" dxfId="38" priority="1"/>
  </conditionalFormatting>
  <conditionalFormatting sqref="A1:D1">
    <cfRule type="duplicateValues" dxfId="37" priority="2"/>
  </conditionalFormatting>
  <dataValidations count="1">
    <dataValidation type="list" allowBlank="1" showInputMessage="1" showErrorMessage="1" sqref="B2" xr:uid="{CF6F4CB4-468E-43C2-BD3B-2AE821C3BDA0}">
      <formula1>_OPTION_</formula1>
    </dataValidation>
  </dataValidations>
  <pageMargins left="0.75" right="0.75" top="1" bottom="1" header="0.5" footer="0.5"/>
  <pageSetup paperSize="9" orientation="portrait" horizontalDpi="200" verticalDpi="200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9C44EB-3567-46E2-A1BF-77638DAB1CBE}">
  <sheetPr codeName="DefineSheet"/>
  <dimension ref="A1:L116"/>
  <sheetViews>
    <sheetView topLeftCell="A94" workbookViewId="0">
      <selection activeCell="B116" sqref="B116"/>
    </sheetView>
  </sheetViews>
  <sheetFormatPr defaultRowHeight="16.5"/>
  <cols>
    <col min="1" max="1" width="19.75" style="7" bestFit="1" customWidth="1"/>
    <col min="2" max="2" width="20.625" style="7" customWidth="1"/>
    <col min="3" max="3" width="24.625" style="7" bestFit="1" customWidth="1"/>
    <col min="4" max="4" width="9" style="7"/>
    <col min="6" max="16384" width="9" style="7"/>
  </cols>
  <sheetData>
    <row r="1" spans="1:12" s="6" customFormat="1">
      <c r="A1" s="6" t="s">
        <v>1</v>
      </c>
      <c r="B1" s="6" t="s">
        <v>18</v>
      </c>
      <c r="C1" s="6" t="s">
        <v>17</v>
      </c>
      <c r="E1" s="5"/>
      <c r="L1" s="7"/>
    </row>
    <row r="3" spans="1:12">
      <c r="A3" s="7" t="s">
        <v>27</v>
      </c>
      <c r="B3" t="s">
        <v>154</v>
      </c>
      <c r="C3" s="7" t="s">
        <v>21</v>
      </c>
      <c r="E3" t="str">
        <f t="shared" ref="E3:E88" si="0">B3&amp;","</f>
        <v>ID,</v>
      </c>
      <c r="H3"/>
      <c r="J3"/>
    </row>
    <row r="4" spans="1:12">
      <c r="A4" s="7" t="s">
        <v>27</v>
      </c>
      <c r="B4" s="7" t="s">
        <v>103</v>
      </c>
      <c r="C4" s="7" t="s">
        <v>37</v>
      </c>
      <c r="E4" t="str">
        <f t="shared" si="0"/>
        <v>行動ID,</v>
      </c>
      <c r="H4"/>
    </row>
    <row r="5" spans="1:12">
      <c r="A5" s="7" t="s">
        <v>27</v>
      </c>
      <c r="B5" s="7" t="s">
        <v>101</v>
      </c>
      <c r="C5" s="7" t="s">
        <v>38</v>
      </c>
      <c r="E5" t="str">
        <f t="shared" si="0"/>
        <v>玩家,</v>
      </c>
      <c r="H5"/>
    </row>
    <row r="6" spans="1:12">
      <c r="A6" s="7" t="s">
        <v>27</v>
      </c>
      <c r="B6" s="7" t="s">
        <v>104</v>
      </c>
      <c r="C6" s="7" t="s">
        <v>22</v>
      </c>
      <c r="E6" t="str">
        <f t="shared" si="0"/>
        <v>玩家子彈,</v>
      </c>
      <c r="H6"/>
    </row>
    <row r="7" spans="1:12">
      <c r="A7" s="7" t="s">
        <v>27</v>
      </c>
      <c r="B7" s="7" t="s">
        <v>49</v>
      </c>
      <c r="C7" s="7" t="s">
        <v>23</v>
      </c>
      <c r="E7" t="str">
        <f t="shared" si="0"/>
        <v>BOSS,</v>
      </c>
      <c r="H7"/>
      <c r="I7" s="10"/>
    </row>
    <row r="8" spans="1:12">
      <c r="A8" s="7" t="s">
        <v>27</v>
      </c>
      <c r="B8" s="7" t="s">
        <v>155</v>
      </c>
      <c r="C8" s="7" t="s">
        <v>32</v>
      </c>
      <c r="E8" t="str">
        <f t="shared" si="0"/>
        <v>復位,</v>
      </c>
      <c r="H8"/>
      <c r="I8" s="11"/>
    </row>
    <row r="9" spans="1:12">
      <c r="A9" s="7" t="s">
        <v>27</v>
      </c>
      <c r="B9" s="7" t="s">
        <v>112</v>
      </c>
      <c r="C9" s="7" t="s">
        <v>39</v>
      </c>
      <c r="E9" t="str">
        <f t="shared" si="0"/>
        <v>BOSSDEAD,</v>
      </c>
      <c r="H9"/>
      <c r="I9" s="11"/>
    </row>
    <row r="10" spans="1:12">
      <c r="A10" s="7" t="s">
        <v>27</v>
      </c>
      <c r="B10" s="7" t="s">
        <v>242</v>
      </c>
      <c r="C10" s="7" t="s">
        <v>33</v>
      </c>
      <c r="E10" t="str">
        <f t="shared" si="0"/>
        <v>BOSSLEAVE,</v>
      </c>
      <c r="H10"/>
      <c r="I10" s="11"/>
    </row>
    <row r="11" spans="1:12">
      <c r="A11" s="7" t="s">
        <v>27</v>
      </c>
      <c r="B11" s="7" t="s">
        <v>156</v>
      </c>
      <c r="C11" s="7" t="s">
        <v>40</v>
      </c>
      <c r="E11" t="str">
        <f t="shared" si="0"/>
        <v>Power,</v>
      </c>
      <c r="H11"/>
      <c r="I11" s="11"/>
    </row>
    <row r="12" spans="1:12">
      <c r="A12" s="7" t="s">
        <v>27</v>
      </c>
      <c r="B12" s="7" t="s">
        <v>45</v>
      </c>
      <c r="C12" s="7" t="s">
        <v>34</v>
      </c>
      <c r="E12" t="str">
        <f t="shared" si="0"/>
        <v>符卡,</v>
      </c>
      <c r="H12"/>
      <c r="I12" s="11"/>
    </row>
    <row r="13" spans="1:12">
      <c r="A13" s="7" t="s">
        <v>27</v>
      </c>
      <c r="B13" s="7" t="s">
        <v>105</v>
      </c>
      <c r="C13" s="7" t="s">
        <v>41</v>
      </c>
      <c r="E13" t="str">
        <f t="shared" si="0"/>
        <v>標題,</v>
      </c>
      <c r="H13"/>
      <c r="I13" s="11"/>
    </row>
    <row r="14" spans="1:12">
      <c r="A14" s="7" t="s">
        <v>27</v>
      </c>
      <c r="B14" s="7" t="s">
        <v>106</v>
      </c>
      <c r="C14" s="7" t="s">
        <v>42</v>
      </c>
      <c r="E14" t="str">
        <f t="shared" si="0"/>
        <v>對話,</v>
      </c>
      <c r="H14"/>
    </row>
    <row r="15" spans="1:12">
      <c r="A15" s="7" t="s">
        <v>27</v>
      </c>
      <c r="B15" s="7" t="s">
        <v>132</v>
      </c>
      <c r="C15" s="7" t="s">
        <v>43</v>
      </c>
      <c r="E15" t="str">
        <f t="shared" si="0"/>
        <v>播放音樂,</v>
      </c>
      <c r="H15"/>
    </row>
    <row r="16" spans="1:12">
      <c r="A16" s="7" t="s">
        <v>27</v>
      </c>
      <c r="B16" s="7" t="s">
        <v>133</v>
      </c>
      <c r="C16" s="7" t="s">
        <v>44</v>
      </c>
      <c r="E16" t="str">
        <f t="shared" si="0"/>
        <v>關卡結束,</v>
      </c>
      <c r="H16"/>
    </row>
    <row r="17" spans="1:8">
      <c r="A17" s="7" t="s">
        <v>27</v>
      </c>
      <c r="B17" s="7" t="s">
        <v>157</v>
      </c>
      <c r="C17" s="7" t="s">
        <v>243</v>
      </c>
      <c r="E17" t="str">
        <f t="shared" si="0"/>
        <v>下一關,</v>
      </c>
      <c r="H17"/>
    </row>
    <row r="18" spans="1:8">
      <c r="H18"/>
    </row>
    <row r="19" spans="1:8">
      <c r="H19"/>
    </row>
    <row r="20" spans="1:8">
      <c r="A20" s="7" t="s">
        <v>27</v>
      </c>
      <c r="B20" s="7" t="s">
        <v>145</v>
      </c>
      <c r="C20" s="7" t="s">
        <v>158</v>
      </c>
      <c r="E20" t="str">
        <f t="shared" si="0"/>
        <v>啟動依ID,</v>
      </c>
      <c r="H20"/>
    </row>
    <row r="21" spans="1:8">
      <c r="A21" s="7" t="s">
        <v>27</v>
      </c>
      <c r="B21" s="7" t="s">
        <v>153</v>
      </c>
      <c r="C21" s="7" t="s">
        <v>159</v>
      </c>
      <c r="E21" t="str">
        <f t="shared" si="0"/>
        <v>啟動依遊戲時間,</v>
      </c>
      <c r="H21"/>
    </row>
    <row r="22" spans="1:8">
      <c r="A22" s="7" t="s">
        <v>27</v>
      </c>
      <c r="B22" s="7" t="s">
        <v>128</v>
      </c>
      <c r="C22" s="7" t="s">
        <v>160</v>
      </c>
      <c r="E22" t="str">
        <f t="shared" si="0"/>
        <v>啟動依開始時間後,</v>
      </c>
      <c r="H22"/>
    </row>
    <row r="23" spans="1:8">
      <c r="A23" s="7" t="s">
        <v>27</v>
      </c>
      <c r="B23" s="7" t="s">
        <v>129</v>
      </c>
      <c r="C23" s="7" t="s">
        <v>161</v>
      </c>
      <c r="E23" t="str">
        <f t="shared" si="0"/>
        <v>啟動依結束時間前,</v>
      </c>
      <c r="H23"/>
    </row>
    <row r="24" spans="1:8">
      <c r="A24" s="7" t="s">
        <v>27</v>
      </c>
      <c r="B24" s="7" t="s">
        <v>130</v>
      </c>
      <c r="C24" s="7" t="s">
        <v>162</v>
      </c>
      <c r="E24" t="str">
        <f t="shared" si="0"/>
        <v>啟動依位置,</v>
      </c>
      <c r="H24"/>
    </row>
    <row r="25" spans="1:8">
      <c r="A25" s="7" t="s">
        <v>27</v>
      </c>
      <c r="B25" s="7" t="s">
        <v>131</v>
      </c>
      <c r="C25" s="7" t="s">
        <v>163</v>
      </c>
      <c r="E25" t="str">
        <f t="shared" si="0"/>
        <v>啟動依位置距離,</v>
      </c>
      <c r="H25"/>
    </row>
    <row r="26" spans="1:8">
      <c r="A26" s="7" t="s">
        <v>27</v>
      </c>
      <c r="B26" s="7" t="s">
        <v>164</v>
      </c>
      <c r="C26" s="7" t="s">
        <v>165</v>
      </c>
      <c r="E26" t="str">
        <f t="shared" si="0"/>
        <v>啟動依玩家死亡,</v>
      </c>
      <c r="H26"/>
    </row>
    <row r="27" spans="1:8">
      <c r="A27" s="7" t="s">
        <v>27</v>
      </c>
      <c r="B27" s="7" t="s">
        <v>166</v>
      </c>
      <c r="C27" s="7" t="s">
        <v>167</v>
      </c>
      <c r="E27" t="str">
        <f t="shared" si="0"/>
        <v>啟動位置是活動,</v>
      </c>
      <c r="H27"/>
    </row>
    <row r="28" spans="1:8">
      <c r="H28"/>
    </row>
    <row r="29" spans="1:8">
      <c r="H29"/>
    </row>
    <row r="30" spans="1:8">
      <c r="A30" s="7" t="s">
        <v>27</v>
      </c>
      <c r="B30" s="7" t="s">
        <v>29</v>
      </c>
      <c r="C30" s="7" t="s">
        <v>168</v>
      </c>
      <c r="E30" t="str">
        <f t="shared" si="0"/>
        <v>物件,</v>
      </c>
      <c r="H30"/>
    </row>
    <row r="31" spans="1:8">
      <c r="A31" s="7" t="s">
        <v>27</v>
      </c>
      <c r="B31" s="7" t="s">
        <v>120</v>
      </c>
      <c r="C31" s="7" t="s">
        <v>169</v>
      </c>
      <c r="E31" t="str">
        <f t="shared" si="0"/>
        <v>Sprite,</v>
      </c>
      <c r="H31"/>
    </row>
    <row r="32" spans="1:8">
      <c r="A32" s="7" t="s">
        <v>27</v>
      </c>
      <c r="B32" s="7" t="s">
        <v>102</v>
      </c>
      <c r="C32" s="7" t="s">
        <v>170</v>
      </c>
      <c r="E32" t="str">
        <f t="shared" si="0"/>
        <v>動畫,</v>
      </c>
      <c r="H32"/>
    </row>
    <row r="33" spans="1:8">
      <c r="A33" s="7" t="s">
        <v>27</v>
      </c>
      <c r="B33" s="7" t="s">
        <v>108</v>
      </c>
      <c r="C33" s="7" t="s">
        <v>171</v>
      </c>
      <c r="E33" t="str">
        <f t="shared" si="0"/>
        <v>Name,</v>
      </c>
      <c r="F33" s="4"/>
      <c r="H33"/>
    </row>
    <row r="34" spans="1:8">
      <c r="A34" s="7" t="s">
        <v>27</v>
      </c>
      <c r="B34" s="7" t="s">
        <v>107</v>
      </c>
      <c r="C34" s="7" t="s">
        <v>172</v>
      </c>
      <c r="E34" t="str">
        <f t="shared" si="0"/>
        <v>傷害,</v>
      </c>
      <c r="F34" s="4"/>
      <c r="H34"/>
    </row>
    <row r="35" spans="1:8">
      <c r="A35" s="7" t="s">
        <v>27</v>
      </c>
      <c r="B35" s="7" t="s">
        <v>47</v>
      </c>
      <c r="C35" s="7" t="s">
        <v>173</v>
      </c>
      <c r="E35" t="str">
        <f t="shared" si="0"/>
        <v>HP,</v>
      </c>
      <c r="F35" s="4"/>
      <c r="H35"/>
    </row>
    <row r="36" spans="1:8">
      <c r="A36" s="7" t="s">
        <v>27</v>
      </c>
      <c r="B36" s="7" t="s">
        <v>174</v>
      </c>
      <c r="C36" s="7" t="s">
        <v>175</v>
      </c>
      <c r="E36" t="str">
        <f t="shared" si="0"/>
        <v>Power掉落,</v>
      </c>
      <c r="F36" s="4"/>
      <c r="H36"/>
    </row>
    <row r="37" spans="1:8">
      <c r="A37" s="7" t="s">
        <v>27</v>
      </c>
      <c r="B37" s="7" t="s">
        <v>176</v>
      </c>
      <c r="C37" s="7" t="s">
        <v>177</v>
      </c>
      <c r="E37" t="str">
        <f t="shared" si="0"/>
        <v>加ID,</v>
      </c>
      <c r="F37" s="4"/>
      <c r="H37"/>
    </row>
    <row r="38" spans="1:8">
      <c r="F38" s="4"/>
      <c r="H38"/>
    </row>
    <row r="39" spans="1:8">
      <c r="F39" s="4"/>
      <c r="H39"/>
    </row>
    <row r="40" spans="1:8">
      <c r="A40" s="7" t="s">
        <v>27</v>
      </c>
      <c r="B40" s="7" t="s">
        <v>35</v>
      </c>
      <c r="C40" s="7" t="s">
        <v>178</v>
      </c>
      <c r="E40" t="str">
        <f t="shared" si="0"/>
        <v>行動時間,</v>
      </c>
      <c r="F40" s="4"/>
      <c r="H40"/>
    </row>
    <row r="41" spans="1:8">
      <c r="A41" s="7" t="s">
        <v>27</v>
      </c>
      <c r="B41" s="7" t="s">
        <v>99</v>
      </c>
      <c r="C41" s="7" t="s">
        <v>179</v>
      </c>
      <c r="E41" t="str">
        <f t="shared" si="0"/>
        <v>回收時間,</v>
      </c>
      <c r="H41"/>
    </row>
    <row r="42" spans="1:8">
      <c r="A42" s="7" t="s">
        <v>27</v>
      </c>
      <c r="B42" s="7" t="s">
        <v>109</v>
      </c>
      <c r="C42" s="7" t="s">
        <v>180</v>
      </c>
      <c r="E42" t="str">
        <f t="shared" si="0"/>
        <v>死亡時間,</v>
      </c>
      <c r="H42"/>
    </row>
    <row r="43" spans="1:8">
      <c r="A43" s="7" t="s">
        <v>27</v>
      </c>
      <c r="B43" s="7" t="s">
        <v>234</v>
      </c>
      <c r="C43" s="7" t="s">
        <v>235</v>
      </c>
      <c r="E43" t="str">
        <f t="shared" si="0"/>
        <v>符卡時間,</v>
      </c>
      <c r="H43"/>
    </row>
    <row r="44" spans="1:8">
      <c r="B44" s="26"/>
      <c r="H44"/>
    </row>
    <row r="45" spans="1:8">
      <c r="H45"/>
    </row>
    <row r="46" spans="1:8">
      <c r="A46" s="7" t="s">
        <v>27</v>
      </c>
      <c r="B46" s="7" t="s">
        <v>100</v>
      </c>
      <c r="C46" s="7" t="s">
        <v>181</v>
      </c>
      <c r="E46" t="str">
        <f t="shared" si="0"/>
        <v>移位置,</v>
      </c>
      <c r="H46"/>
    </row>
    <row r="47" spans="1:8">
      <c r="A47" s="7" t="s">
        <v>27</v>
      </c>
      <c r="B47" s="7" t="s">
        <v>118</v>
      </c>
      <c r="C47" s="7" t="s">
        <v>182</v>
      </c>
      <c r="E47" t="str">
        <f t="shared" si="0"/>
        <v>相對位置,</v>
      </c>
      <c r="H47"/>
    </row>
    <row r="48" spans="1:8">
      <c r="A48" s="7" t="s">
        <v>27</v>
      </c>
      <c r="B48" s="7" t="s">
        <v>135</v>
      </c>
      <c r="C48" s="7" t="s">
        <v>183</v>
      </c>
      <c r="E48" t="str">
        <f t="shared" si="0"/>
        <v>位置參數,</v>
      </c>
      <c r="H48"/>
    </row>
    <row r="49" spans="1:8">
      <c r="A49" s="7" t="s">
        <v>27</v>
      </c>
      <c r="B49" s="7" t="s">
        <v>184</v>
      </c>
      <c r="C49" s="7" t="s">
        <v>185</v>
      </c>
      <c r="E49" t="str">
        <f t="shared" si="0"/>
        <v>加位置,</v>
      </c>
      <c r="H49"/>
    </row>
    <row r="50" spans="1:8">
      <c r="A50" s="7" t="s">
        <v>27</v>
      </c>
      <c r="B50" s="7" t="s">
        <v>249</v>
      </c>
      <c r="C50" s="7" t="s">
        <v>250</v>
      </c>
      <c r="E50" t="str">
        <f t="shared" si="0"/>
        <v>記錄位置,</v>
      </c>
      <c r="H50"/>
    </row>
    <row r="51" spans="1:8">
      <c r="A51" s="7" t="s">
        <v>27</v>
      </c>
      <c r="B51" s="7" t="s">
        <v>251</v>
      </c>
      <c r="C51" s="7" t="s">
        <v>252</v>
      </c>
      <c r="E51" t="str">
        <f t="shared" si="0"/>
        <v>記錄位置序號,</v>
      </c>
      <c r="H51"/>
    </row>
    <row r="52" spans="1:8">
      <c r="H52"/>
    </row>
    <row r="53" spans="1:8">
      <c r="H53"/>
    </row>
    <row r="54" spans="1:8">
      <c r="A54" s="7" t="s">
        <v>27</v>
      </c>
      <c r="B54" s="7" t="s">
        <v>31</v>
      </c>
      <c r="C54" s="7" t="s">
        <v>186</v>
      </c>
      <c r="E54" t="str">
        <f t="shared" si="0"/>
        <v>移動角度,</v>
      </c>
      <c r="H54"/>
    </row>
    <row r="55" spans="1:8">
      <c r="A55" s="7" t="s">
        <v>27</v>
      </c>
      <c r="B55" s="7" t="s">
        <v>113</v>
      </c>
      <c r="C55" s="7" t="s">
        <v>187</v>
      </c>
      <c r="E55" t="str">
        <f t="shared" si="0"/>
        <v>加移動角度,</v>
      </c>
      <c r="F55" s="9"/>
      <c r="H55"/>
    </row>
    <row r="56" spans="1:8">
      <c r="A56" s="7" t="s">
        <v>27</v>
      </c>
      <c r="B56" s="7" t="s">
        <v>114</v>
      </c>
      <c r="C56" s="7" t="s">
        <v>188</v>
      </c>
      <c r="E56" t="str">
        <f t="shared" si="0"/>
        <v>旋轉角度,</v>
      </c>
      <c r="F56" s="9"/>
      <c r="H56"/>
    </row>
    <row r="57" spans="1:8">
      <c r="A57" s="7" t="s">
        <v>27</v>
      </c>
      <c r="B57" s="7" t="s">
        <v>115</v>
      </c>
      <c r="C57" s="7" t="s">
        <v>189</v>
      </c>
      <c r="E57" t="str">
        <f t="shared" si="0"/>
        <v>加旋轉角度,</v>
      </c>
      <c r="F57" s="9"/>
      <c r="H57"/>
    </row>
    <row r="58" spans="1:8">
      <c r="A58" s="7" t="s">
        <v>27</v>
      </c>
      <c r="B58" s="7" t="s">
        <v>134</v>
      </c>
      <c r="C58" s="7" t="s">
        <v>190</v>
      </c>
      <c r="E58" t="str">
        <f t="shared" si="0"/>
        <v>角度參數,</v>
      </c>
      <c r="F58" s="9"/>
      <c r="H58"/>
    </row>
    <row r="59" spans="1:8">
      <c r="A59" s="7" t="s">
        <v>27</v>
      </c>
      <c r="B59" s="7" t="s">
        <v>191</v>
      </c>
      <c r="C59" s="7" t="s">
        <v>192</v>
      </c>
      <c r="E59" t="str">
        <f t="shared" si="0"/>
        <v>加角度,</v>
      </c>
      <c r="F59" s="9"/>
      <c r="H59"/>
    </row>
    <row r="60" spans="1:8">
      <c r="A60" s="7" t="s">
        <v>27</v>
      </c>
      <c r="B60" s="7" t="s">
        <v>116</v>
      </c>
      <c r="C60" s="7" t="s">
        <v>193</v>
      </c>
      <c r="E60" t="str">
        <f t="shared" si="0"/>
        <v>旋轉是移動角度,</v>
      </c>
      <c r="H60"/>
    </row>
    <row r="61" spans="1:8">
      <c r="A61" s="7" t="s">
        <v>27</v>
      </c>
      <c r="B61" s="27" t="s">
        <v>244</v>
      </c>
      <c r="C61" s="7" t="s">
        <v>245</v>
      </c>
      <c r="E61" t="str">
        <f t="shared" si="0"/>
        <v>子旋轉角度,</v>
      </c>
      <c r="H61"/>
    </row>
    <row r="62" spans="1:8">
      <c r="A62" s="7" t="s">
        <v>27</v>
      </c>
      <c r="B62" s="27" t="s">
        <v>246</v>
      </c>
      <c r="C62" s="7" t="s">
        <v>247</v>
      </c>
      <c r="E62" t="str">
        <f t="shared" si="0"/>
        <v>子加旋轉角度,</v>
      </c>
      <c r="H62"/>
    </row>
    <row r="63" spans="1:8">
      <c r="A63" s="7" t="s">
        <v>27</v>
      </c>
      <c r="B63" s="7" t="s">
        <v>253</v>
      </c>
      <c r="C63" s="7" t="s">
        <v>254</v>
      </c>
      <c r="E63" t="str">
        <f t="shared" si="0"/>
        <v>記錄角度,</v>
      </c>
      <c r="H63"/>
    </row>
    <row r="64" spans="1:8">
      <c r="A64" s="7" t="s">
        <v>27</v>
      </c>
      <c r="B64" s="7" t="s">
        <v>256</v>
      </c>
      <c r="C64" s="7" t="s">
        <v>255</v>
      </c>
      <c r="E64" t="str">
        <f t="shared" si="0"/>
        <v>記錄角度ID,</v>
      </c>
      <c r="H64"/>
    </row>
    <row r="65" spans="1:11">
      <c r="B65" s="27"/>
      <c r="H65"/>
    </row>
    <row r="66" spans="1:11">
      <c r="H66"/>
    </row>
    <row r="67" spans="1:11">
      <c r="A67" s="7" t="s">
        <v>27</v>
      </c>
      <c r="B67" s="7" t="s">
        <v>30</v>
      </c>
      <c r="C67" s="7" t="s">
        <v>194</v>
      </c>
      <c r="E67" t="str">
        <f t="shared" si="0"/>
        <v>速度,</v>
      </c>
      <c r="H67"/>
    </row>
    <row r="68" spans="1:11">
      <c r="A68" s="7" t="s">
        <v>27</v>
      </c>
      <c r="B68" s="7" t="s">
        <v>117</v>
      </c>
      <c r="C68" s="7" t="s">
        <v>195</v>
      </c>
      <c r="E68" t="str">
        <f t="shared" si="0"/>
        <v>加速度,</v>
      </c>
      <c r="H68"/>
    </row>
    <row r="69" spans="1:11">
      <c r="A69" s="7" t="s">
        <v>27</v>
      </c>
      <c r="B69" s="7" t="s">
        <v>110</v>
      </c>
      <c r="C69" s="7" t="s">
        <v>196</v>
      </c>
      <c r="E69" t="str">
        <f t="shared" si="0"/>
        <v>最小速度,</v>
      </c>
      <c r="H69"/>
    </row>
    <row r="70" spans="1:11">
      <c r="A70" s="7" t="s">
        <v>27</v>
      </c>
      <c r="B70" s="7" t="s">
        <v>111</v>
      </c>
      <c r="C70" s="7" t="s">
        <v>197</v>
      </c>
      <c r="E70" t="str">
        <f t="shared" si="0"/>
        <v>最大速度,</v>
      </c>
      <c r="H70"/>
    </row>
    <row r="71" spans="1:11">
      <c r="H71"/>
    </row>
    <row r="72" spans="1:11">
      <c r="H72"/>
    </row>
    <row r="73" spans="1:11">
      <c r="A73" s="7" t="s">
        <v>27</v>
      </c>
      <c r="B73" s="7" t="s">
        <v>198</v>
      </c>
      <c r="C73" s="7" t="s">
        <v>199</v>
      </c>
      <c r="E73" t="str">
        <f t="shared" si="0"/>
        <v>是界內,</v>
      </c>
      <c r="H73"/>
    </row>
    <row r="74" spans="1:11">
      <c r="A74" s="7" t="s">
        <v>27</v>
      </c>
      <c r="B74" s="7" t="s">
        <v>48</v>
      </c>
      <c r="C74" s="7" t="s">
        <v>200</v>
      </c>
      <c r="E74" t="str">
        <f t="shared" si="0"/>
        <v>無敵,</v>
      </c>
      <c r="H74"/>
    </row>
    <row r="75" spans="1:11">
      <c r="A75" s="7" t="s">
        <v>27</v>
      </c>
      <c r="B75" s="7" t="s">
        <v>119</v>
      </c>
      <c r="C75" s="7" t="s">
        <v>201</v>
      </c>
      <c r="E75" t="str">
        <f t="shared" si="0"/>
        <v>貫穿,</v>
      </c>
      <c r="H75"/>
    </row>
    <row r="76" spans="1:11">
      <c r="A76" s="7" t="s">
        <v>27</v>
      </c>
      <c r="B76" s="7" t="s">
        <v>127</v>
      </c>
      <c r="C76" s="7" t="s">
        <v>202</v>
      </c>
      <c r="E76" t="str">
        <f t="shared" si="0"/>
        <v>回收距離,</v>
      </c>
      <c r="H76"/>
    </row>
    <row r="77" spans="1:11">
      <c r="A77" s="7" t="s">
        <v>27</v>
      </c>
      <c r="B77" s="7" t="s">
        <v>203</v>
      </c>
      <c r="C77" s="7" t="s">
        <v>204</v>
      </c>
      <c r="E77" t="str">
        <f t="shared" si="0"/>
        <v>出生動畫速率,</v>
      </c>
      <c r="H77"/>
    </row>
    <row r="78" spans="1:11">
      <c r="A78" s="7" t="s">
        <v>27</v>
      </c>
      <c r="B78" s="7" t="s">
        <v>205</v>
      </c>
      <c r="C78" s="7" t="s">
        <v>206</v>
      </c>
      <c r="E78" t="str">
        <f t="shared" si="0"/>
        <v>出生動畫時間,</v>
      </c>
      <c r="H78"/>
    </row>
    <row r="79" spans="1:11">
      <c r="A79" s="7" t="s">
        <v>27</v>
      </c>
      <c r="B79" s="7" t="s">
        <v>207</v>
      </c>
      <c r="C79" s="7" t="s">
        <v>208</v>
      </c>
      <c r="E79" t="str">
        <f t="shared" si="0"/>
        <v>出生動畫開始,</v>
      </c>
      <c r="H79"/>
    </row>
    <row r="80" spans="1:11">
      <c r="A80" s="7" t="s">
        <v>27</v>
      </c>
      <c r="B80" s="7" t="s">
        <v>209</v>
      </c>
      <c r="C80" s="7" t="s">
        <v>210</v>
      </c>
      <c r="E80" t="str">
        <f t="shared" si="0"/>
        <v>行動ID結束,</v>
      </c>
      <c r="H80"/>
      <c r="K80" s="4"/>
    </row>
    <row r="81" spans="1:11">
      <c r="H81"/>
      <c r="K81" s="4"/>
    </row>
    <row r="82" spans="1:11">
      <c r="H82"/>
      <c r="K82" s="4"/>
    </row>
    <row r="83" spans="1:11">
      <c r="A83" s="7" t="s">
        <v>27</v>
      </c>
      <c r="B83" s="7" t="s">
        <v>121</v>
      </c>
      <c r="C83" s="7" t="s">
        <v>211</v>
      </c>
      <c r="E83" t="str">
        <f t="shared" si="0"/>
        <v>時位時間,</v>
      </c>
      <c r="H83"/>
      <c r="K83" s="4"/>
    </row>
    <row r="84" spans="1:11">
      <c r="A84" s="7" t="s">
        <v>27</v>
      </c>
      <c r="B84" s="7" t="s">
        <v>122</v>
      </c>
      <c r="C84" s="7" t="s">
        <v>212</v>
      </c>
      <c r="E84" t="str">
        <f t="shared" si="0"/>
        <v>時位位置,</v>
      </c>
      <c r="H84"/>
      <c r="K84" s="4"/>
    </row>
    <row r="85" spans="1:11">
      <c r="A85" s="7" t="s">
        <v>27</v>
      </c>
      <c r="B85" s="7" t="s">
        <v>123</v>
      </c>
      <c r="C85" s="7" t="s">
        <v>213</v>
      </c>
      <c r="E85" t="str">
        <f t="shared" si="0"/>
        <v>時位變速點,</v>
      </c>
      <c r="H85"/>
      <c r="K85" s="9"/>
    </row>
    <row r="86" spans="1:11">
      <c r="A86" s="7" t="s">
        <v>27</v>
      </c>
      <c r="B86" s="7" t="s">
        <v>124</v>
      </c>
      <c r="C86" s="7" t="s">
        <v>214</v>
      </c>
      <c r="E86" t="str">
        <f t="shared" si="0"/>
        <v>時位開始速度,</v>
      </c>
      <c r="H86"/>
      <c r="K86" s="9"/>
    </row>
    <row r="87" spans="1:11">
      <c r="A87" s="7" t="s">
        <v>27</v>
      </c>
      <c r="B87" s="7" t="s">
        <v>125</v>
      </c>
      <c r="C87" s="7" t="s">
        <v>215</v>
      </c>
      <c r="E87" t="str">
        <f t="shared" si="0"/>
        <v>時位結束速度,</v>
      </c>
      <c r="H87"/>
      <c r="K87" s="9"/>
    </row>
    <row r="88" spans="1:11">
      <c r="A88" s="7" t="s">
        <v>27</v>
      </c>
      <c r="B88" s="7" t="s">
        <v>126</v>
      </c>
      <c r="C88" s="7" t="s">
        <v>216</v>
      </c>
      <c r="E88" t="str">
        <f t="shared" si="0"/>
        <v>時位移動角度,</v>
      </c>
      <c r="H88"/>
    </row>
    <row r="89" spans="1:11">
      <c r="H89"/>
    </row>
    <row r="90" spans="1:11">
      <c r="H90"/>
    </row>
    <row r="91" spans="1:11">
      <c r="A91" s="7" t="s">
        <v>27</v>
      </c>
      <c r="B91" s="7" t="s">
        <v>217</v>
      </c>
      <c r="C91" s="7" t="s">
        <v>218</v>
      </c>
      <c r="E91" t="str">
        <f t="shared" ref="E91:E95" si="1">B91&amp;","</f>
        <v>玩家遊戲時間,</v>
      </c>
      <c r="H91"/>
    </row>
    <row r="92" spans="1:11">
      <c r="A92" s="7" t="s">
        <v>27</v>
      </c>
      <c r="B92" s="7" t="s">
        <v>219</v>
      </c>
      <c r="C92" s="7" t="s">
        <v>220</v>
      </c>
      <c r="E92" t="str">
        <f t="shared" si="1"/>
        <v>玩家子彈間隔,</v>
      </c>
      <c r="H92"/>
    </row>
    <row r="93" spans="1:11">
      <c r="A93" s="7" t="s">
        <v>27</v>
      </c>
      <c r="B93" s="7" t="s">
        <v>221</v>
      </c>
      <c r="C93" s="7" t="s">
        <v>222</v>
      </c>
      <c r="E93" t="str">
        <f t="shared" si="1"/>
        <v>玩家Power需求,</v>
      </c>
      <c r="H93"/>
    </row>
    <row r="94" spans="1:11">
      <c r="A94" s="7" t="s">
        <v>27</v>
      </c>
      <c r="B94" s="7" t="s">
        <v>223</v>
      </c>
      <c r="C94" s="7" t="s">
        <v>224</v>
      </c>
      <c r="E94" t="str">
        <f t="shared" si="1"/>
        <v>玩家Shift,</v>
      </c>
      <c r="H94"/>
    </row>
    <row r="95" spans="1:11">
      <c r="A95" s="7" t="s">
        <v>27</v>
      </c>
      <c r="B95" s="7" t="s">
        <v>225</v>
      </c>
      <c r="C95" s="7" t="s">
        <v>226</v>
      </c>
      <c r="E95" t="str">
        <f t="shared" si="1"/>
        <v>玩家子彈延遲,</v>
      </c>
      <c r="H95"/>
    </row>
    <row r="96" spans="1:11">
      <c r="H96"/>
    </row>
    <row r="97" spans="1:12">
      <c r="H97"/>
    </row>
    <row r="98" spans="1:12">
      <c r="H98"/>
    </row>
    <row r="99" spans="1:12">
      <c r="H99"/>
    </row>
    <row r="100" spans="1:12">
      <c r="H100"/>
    </row>
    <row r="101" spans="1:12">
      <c r="H101"/>
    </row>
    <row r="102" spans="1:12">
      <c r="H102"/>
    </row>
    <row r="103" spans="1:12">
      <c r="A103" s="7" t="s">
        <v>142</v>
      </c>
      <c r="B103" s="7" t="s">
        <v>138</v>
      </c>
      <c r="C103" s="7" t="s">
        <v>21</v>
      </c>
      <c r="H103"/>
    </row>
    <row r="104" spans="1:12" customFormat="1">
      <c r="A104" s="7" t="s">
        <v>142</v>
      </c>
      <c r="B104" t="s">
        <v>139</v>
      </c>
      <c r="C104" s="7" t="s">
        <v>25</v>
      </c>
      <c r="D104" s="7"/>
      <c r="L104" s="7"/>
    </row>
    <row r="105" spans="1:12" customFormat="1">
      <c r="A105" s="7" t="s">
        <v>142</v>
      </c>
      <c r="B105" t="s">
        <v>140</v>
      </c>
      <c r="C105" s="7" t="s">
        <v>26</v>
      </c>
      <c r="D105" s="7"/>
      <c r="L105" s="7"/>
    </row>
    <row r="106" spans="1:12" customFormat="1">
      <c r="A106" s="7" t="s">
        <v>142</v>
      </c>
      <c r="B106" t="s">
        <v>227</v>
      </c>
      <c r="C106" s="7" t="s">
        <v>98</v>
      </c>
      <c r="D106" s="7"/>
      <c r="L106" s="7"/>
    </row>
    <row r="107" spans="1:12" customFormat="1">
      <c r="A107" s="7" t="s">
        <v>142</v>
      </c>
      <c r="B107" t="s">
        <v>228</v>
      </c>
      <c r="C107" s="7" t="s">
        <v>23</v>
      </c>
      <c r="D107" s="7"/>
      <c r="L107" s="7"/>
    </row>
    <row r="108" spans="1:12" customFormat="1">
      <c r="A108" s="7" t="s">
        <v>142</v>
      </c>
      <c r="B108" t="s">
        <v>229</v>
      </c>
      <c r="C108" s="7" t="s">
        <v>24</v>
      </c>
      <c r="D108" s="7"/>
      <c r="L108" s="7"/>
    </row>
    <row r="109" spans="1:12" customFormat="1">
      <c r="A109" s="7"/>
      <c r="C109" s="7"/>
      <c r="D109" s="7"/>
      <c r="L109" s="7"/>
    </row>
    <row r="110" spans="1:12" customFormat="1">
      <c r="A110" s="7"/>
      <c r="C110" s="7"/>
      <c r="D110" s="7"/>
      <c r="L110" s="7"/>
    </row>
    <row r="111" spans="1:12" customFormat="1">
      <c r="A111" s="7" t="s">
        <v>143</v>
      </c>
      <c r="B111" t="s">
        <v>136</v>
      </c>
      <c r="C111" s="7" t="s">
        <v>21</v>
      </c>
      <c r="D111" s="4"/>
      <c r="L111" s="7"/>
    </row>
    <row r="112" spans="1:12" customFormat="1">
      <c r="A112" s="7" t="s">
        <v>143</v>
      </c>
      <c r="B112" t="s">
        <v>137</v>
      </c>
      <c r="C112" s="7" t="s">
        <v>37</v>
      </c>
      <c r="D112" s="7"/>
      <c r="L112" s="7"/>
    </row>
    <row r="113" spans="1:12" customFormat="1">
      <c r="A113" s="7" t="s">
        <v>143</v>
      </c>
      <c r="B113" t="s">
        <v>144</v>
      </c>
      <c r="C113" s="7" t="s">
        <v>38</v>
      </c>
      <c r="D113" s="7"/>
      <c r="L113" s="7"/>
    </row>
    <row r="114" spans="1:12" customFormat="1">
      <c r="A114" s="7" t="s">
        <v>143</v>
      </c>
      <c r="B114" t="s">
        <v>230</v>
      </c>
      <c r="C114" s="7" t="s">
        <v>22</v>
      </c>
      <c r="D114" s="7"/>
      <c r="L114" s="7"/>
    </row>
    <row r="115" spans="1:12">
      <c r="A115" s="7" t="s">
        <v>143</v>
      </c>
      <c r="B115" s="7" t="s">
        <v>231</v>
      </c>
      <c r="C115" s="7" t="s">
        <v>23</v>
      </c>
      <c r="H115"/>
    </row>
    <row r="116" spans="1:12">
      <c r="A116" s="7" t="s">
        <v>143</v>
      </c>
      <c r="B116" s="7" t="s">
        <v>257</v>
      </c>
      <c r="C116" s="7" t="s">
        <v>24</v>
      </c>
      <c r="H116"/>
    </row>
  </sheetData>
  <phoneticPr fontId="2" type="noConversion"/>
  <conditionalFormatting sqref="K85:K87">
    <cfRule type="cellIs" dxfId="36" priority="1" operator="equal">
      <formula>"行動序號"</formula>
    </cfRule>
  </conditionalFormatting>
  <pageMargins left="0.7" right="0.7" top="0.75" bottom="0.75" header="0.3" footer="0.3"/>
  <pageSetup paperSize="9" orientation="portrait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FE4285-1A42-4D15-924B-1140968F4404}">
  <sheetPr codeName="OptionSheet"/>
  <dimension ref="A1:J112"/>
  <sheetViews>
    <sheetView topLeftCell="A40" zoomScale="115" zoomScaleNormal="115" workbookViewId="0">
      <selection activeCell="A52" sqref="A52"/>
    </sheetView>
  </sheetViews>
  <sheetFormatPr defaultRowHeight="16.5"/>
  <cols>
    <col min="1" max="1" width="20.5" style="20" bestFit="1" customWidth="1"/>
    <col min="2" max="2" width="18.375" style="4" customWidth="1"/>
    <col min="3" max="3" width="16.5" style="4" customWidth="1"/>
    <col min="4" max="4" width="20.875" style="4" bestFit="1" customWidth="1"/>
    <col min="5" max="5" width="20.875" style="4" customWidth="1"/>
    <col min="6" max="6" width="20.875" style="4" bestFit="1" customWidth="1"/>
    <col min="7" max="7" width="13.875" style="4" bestFit="1" customWidth="1"/>
    <col min="8" max="10" width="18.625" style="4" bestFit="1" customWidth="1"/>
    <col min="11" max="16384" width="9" style="4"/>
  </cols>
  <sheetData>
    <row r="1" spans="1:10" s="5" customFormat="1" ht="19.5">
      <c r="A1" s="17" t="s">
        <v>27</v>
      </c>
      <c r="B1" s="6" t="s">
        <v>142</v>
      </c>
      <c r="C1" s="6" t="s">
        <v>143</v>
      </c>
      <c r="D1" s="8"/>
      <c r="E1" s="8"/>
      <c r="F1" s="8"/>
      <c r="G1" s="6"/>
      <c r="H1" s="8"/>
      <c r="I1" s="8"/>
      <c r="J1" s="8"/>
    </row>
    <row r="2" spans="1:10" ht="85.5">
      <c r="B2" s="20" t="s">
        <v>138</v>
      </c>
      <c r="C2" s="20" t="s">
        <v>136</v>
      </c>
      <c r="D2" s="20"/>
      <c r="G2" s="24" t="s">
        <v>232</v>
      </c>
    </row>
    <row r="3" spans="1:10">
      <c r="A3" s="20" t="s">
        <v>95</v>
      </c>
      <c r="B3" s="20" t="s">
        <v>139</v>
      </c>
      <c r="C3" s="20" t="s">
        <v>137</v>
      </c>
      <c r="D3" s="20"/>
      <c r="G3" s="9"/>
    </row>
    <row r="4" spans="1:10">
      <c r="A4" s="20" t="s">
        <v>103</v>
      </c>
      <c r="B4" s="20" t="s">
        <v>140</v>
      </c>
      <c r="C4" s="20" t="s">
        <v>233</v>
      </c>
      <c r="D4" s="20"/>
      <c r="G4" s="9"/>
      <c r="H4" s="18"/>
    </row>
    <row r="5" spans="1:10" ht="17.25" customHeight="1">
      <c r="A5" s="20" t="s">
        <v>101</v>
      </c>
      <c r="B5" s="20" t="s">
        <v>227</v>
      </c>
      <c r="C5" s="20" t="s">
        <v>230</v>
      </c>
      <c r="D5" s="20"/>
      <c r="G5" s="9"/>
    </row>
    <row r="6" spans="1:10">
      <c r="A6" s="20" t="s">
        <v>104</v>
      </c>
      <c r="B6" s="20" t="s">
        <v>228</v>
      </c>
      <c r="C6" s="20" t="s">
        <v>231</v>
      </c>
      <c r="D6" s="20"/>
      <c r="G6" s="9"/>
    </row>
    <row r="7" spans="1:10">
      <c r="A7" s="20" t="s">
        <v>49</v>
      </c>
      <c r="B7" s="20" t="s">
        <v>229</v>
      </c>
      <c r="C7" s="26" t="s">
        <v>257</v>
      </c>
      <c r="D7" s="20"/>
      <c r="G7" s="9"/>
    </row>
    <row r="8" spans="1:10">
      <c r="A8" s="20" t="s">
        <v>155</v>
      </c>
      <c r="B8" s="26"/>
      <c r="C8" s="20"/>
      <c r="D8" s="20"/>
      <c r="G8" s="9"/>
    </row>
    <row r="9" spans="1:10">
      <c r="A9" s="20" t="s">
        <v>112</v>
      </c>
      <c r="B9" s="20"/>
      <c r="C9" s="20"/>
      <c r="D9" s="20"/>
      <c r="G9" s="9"/>
    </row>
    <row r="10" spans="1:10">
      <c r="A10" s="20" t="s">
        <v>242</v>
      </c>
      <c r="B10" s="20"/>
      <c r="C10" s="20"/>
      <c r="D10" s="20"/>
      <c r="G10" s="9"/>
    </row>
    <row r="11" spans="1:10">
      <c r="A11" s="20" t="s">
        <v>156</v>
      </c>
      <c r="G11" s="9"/>
    </row>
    <row r="12" spans="1:10">
      <c r="A12" s="20" t="s">
        <v>45</v>
      </c>
      <c r="G12" s="9"/>
    </row>
    <row r="13" spans="1:10">
      <c r="A13" s="20" t="s">
        <v>105</v>
      </c>
      <c r="G13" s="9"/>
    </row>
    <row r="14" spans="1:10">
      <c r="A14" s="20" t="s">
        <v>106</v>
      </c>
      <c r="C14" s="9"/>
      <c r="G14" s="9"/>
    </row>
    <row r="15" spans="1:10">
      <c r="A15" s="20" t="s">
        <v>132</v>
      </c>
      <c r="G15" s="9"/>
    </row>
    <row r="16" spans="1:10">
      <c r="A16" s="20" t="s">
        <v>133</v>
      </c>
      <c r="C16"/>
      <c r="G16" s="9"/>
    </row>
    <row r="17" spans="1:7">
      <c r="A17" s="20" t="s">
        <v>157</v>
      </c>
      <c r="C17"/>
      <c r="G17" s="9"/>
    </row>
    <row r="18" spans="1:7">
      <c r="C18"/>
      <c r="G18" s="9"/>
    </row>
    <row r="19" spans="1:7">
      <c r="C19"/>
      <c r="G19" s="9"/>
    </row>
    <row r="20" spans="1:7">
      <c r="A20" s="20" t="s">
        <v>145</v>
      </c>
      <c r="C20"/>
      <c r="G20" s="9"/>
    </row>
    <row r="21" spans="1:7">
      <c r="A21" s="20" t="s">
        <v>153</v>
      </c>
      <c r="C21"/>
      <c r="G21" s="9"/>
    </row>
    <row r="22" spans="1:7">
      <c r="A22" s="20" t="s">
        <v>128</v>
      </c>
      <c r="C22"/>
      <c r="G22" s="9"/>
    </row>
    <row r="23" spans="1:7">
      <c r="A23" s="20" t="s">
        <v>129</v>
      </c>
      <c r="C23"/>
      <c r="G23" s="9"/>
    </row>
    <row r="24" spans="1:7">
      <c r="A24" s="20" t="s">
        <v>130</v>
      </c>
      <c r="C24"/>
      <c r="G24" s="9"/>
    </row>
    <row r="25" spans="1:7" s="9" customFormat="1">
      <c r="A25" s="20" t="s">
        <v>131</v>
      </c>
      <c r="C25"/>
      <c r="F25" s="4"/>
    </row>
    <row r="26" spans="1:7">
      <c r="A26" s="20" t="s">
        <v>164</v>
      </c>
      <c r="C26"/>
      <c r="G26" s="9"/>
    </row>
    <row r="27" spans="1:7">
      <c r="A27" s="20" t="s">
        <v>166</v>
      </c>
      <c r="B27" s="9"/>
      <c r="C27"/>
      <c r="G27" s="9"/>
    </row>
    <row r="28" spans="1:7">
      <c r="C28"/>
      <c r="G28" s="9"/>
    </row>
    <row r="29" spans="1:7">
      <c r="C29"/>
      <c r="G29" s="9"/>
    </row>
    <row r="30" spans="1:7">
      <c r="A30" s="20" t="s">
        <v>29</v>
      </c>
      <c r="C30"/>
      <c r="G30" s="9"/>
    </row>
    <row r="31" spans="1:7">
      <c r="A31" s="20" t="s">
        <v>120</v>
      </c>
      <c r="C31"/>
      <c r="G31" s="9"/>
    </row>
    <row r="32" spans="1:7">
      <c r="A32" s="20" t="s">
        <v>102</v>
      </c>
      <c r="C32"/>
      <c r="G32" s="9"/>
    </row>
    <row r="33" spans="1:7">
      <c r="A33" s="20" t="s">
        <v>108</v>
      </c>
      <c r="C33"/>
      <c r="G33" s="9"/>
    </row>
    <row r="34" spans="1:7">
      <c r="A34" s="20" t="s">
        <v>107</v>
      </c>
      <c r="C34"/>
      <c r="G34" s="9"/>
    </row>
    <row r="35" spans="1:7">
      <c r="A35" s="20" t="s">
        <v>47</v>
      </c>
      <c r="C35"/>
      <c r="G35" s="9"/>
    </row>
    <row r="36" spans="1:7">
      <c r="A36" s="20" t="s">
        <v>174</v>
      </c>
      <c r="C36"/>
    </row>
    <row r="37" spans="1:7">
      <c r="A37" s="20" t="s">
        <v>176</v>
      </c>
      <c r="C37"/>
      <c r="G37" s="9"/>
    </row>
    <row r="38" spans="1:7">
      <c r="C38"/>
      <c r="G38" s="9"/>
    </row>
    <row r="39" spans="1:7">
      <c r="C39"/>
      <c r="G39" s="9"/>
    </row>
    <row r="40" spans="1:7">
      <c r="A40" s="20" t="s">
        <v>35</v>
      </c>
      <c r="C40"/>
      <c r="G40" s="9"/>
    </row>
    <row r="41" spans="1:7">
      <c r="A41" s="20" t="s">
        <v>99</v>
      </c>
      <c r="C41"/>
      <c r="G41" s="9"/>
    </row>
    <row r="42" spans="1:7">
      <c r="A42" s="20" t="s">
        <v>109</v>
      </c>
      <c r="C42"/>
      <c r="G42" s="9"/>
    </row>
    <row r="43" spans="1:7">
      <c r="A43" s="26" t="s">
        <v>234</v>
      </c>
      <c r="C43"/>
      <c r="G43" s="9"/>
    </row>
    <row r="44" spans="1:7">
      <c r="C44"/>
      <c r="G44" s="9"/>
    </row>
    <row r="45" spans="1:7">
      <c r="C45"/>
      <c r="G45" s="9"/>
    </row>
    <row r="46" spans="1:7">
      <c r="A46" s="20" t="s">
        <v>100</v>
      </c>
      <c r="C46"/>
      <c r="G46" s="9"/>
    </row>
    <row r="47" spans="1:7">
      <c r="A47" s="20" t="s">
        <v>118</v>
      </c>
      <c r="C47"/>
      <c r="G47" s="9"/>
    </row>
    <row r="48" spans="1:7">
      <c r="A48" s="20" t="s">
        <v>135</v>
      </c>
      <c r="C48"/>
      <c r="G48" s="9"/>
    </row>
    <row r="49" spans="1:8">
      <c r="A49" s="20" t="s">
        <v>184</v>
      </c>
      <c r="C49"/>
      <c r="G49" s="9"/>
    </row>
    <row r="50" spans="1:8">
      <c r="A50" s="27" t="s">
        <v>253</v>
      </c>
      <c r="C50"/>
      <c r="G50" s="9"/>
    </row>
    <row r="51" spans="1:8">
      <c r="A51" s="27" t="s">
        <v>258</v>
      </c>
      <c r="C51"/>
      <c r="G51" s="9"/>
    </row>
    <row r="52" spans="1:8">
      <c r="A52" s="27"/>
      <c r="C52"/>
      <c r="G52" s="9"/>
    </row>
    <row r="53" spans="1:8">
      <c r="C53"/>
      <c r="G53" s="9"/>
    </row>
    <row r="54" spans="1:8">
      <c r="A54" s="20" t="s">
        <v>31</v>
      </c>
      <c r="C54"/>
      <c r="G54" s="9"/>
      <c r="H54" s="10"/>
    </row>
    <row r="55" spans="1:8">
      <c r="A55" s="20" t="s">
        <v>113</v>
      </c>
      <c r="C55"/>
      <c r="G55" s="9"/>
      <c r="H55" s="11"/>
    </row>
    <row r="56" spans="1:8">
      <c r="A56" s="20" t="s">
        <v>114</v>
      </c>
      <c r="C56"/>
      <c r="G56" s="9"/>
      <c r="H56" s="11"/>
    </row>
    <row r="57" spans="1:8">
      <c r="A57" s="28" t="s">
        <v>248</v>
      </c>
      <c r="C57"/>
      <c r="G57" s="9"/>
    </row>
    <row r="58" spans="1:8">
      <c r="A58" s="20" t="s">
        <v>134</v>
      </c>
      <c r="G58" s="9"/>
    </row>
    <row r="59" spans="1:8">
      <c r="A59" s="20" t="s">
        <v>191</v>
      </c>
      <c r="G59" s="9"/>
    </row>
    <row r="60" spans="1:8">
      <c r="A60" s="20" t="s">
        <v>116</v>
      </c>
      <c r="G60" s="9"/>
    </row>
    <row r="61" spans="1:8">
      <c r="A61" s="27" t="s">
        <v>244</v>
      </c>
      <c r="G61" s="9"/>
    </row>
    <row r="62" spans="1:8">
      <c r="A62" s="27" t="s">
        <v>246</v>
      </c>
      <c r="G62" s="9"/>
    </row>
    <row r="63" spans="1:8">
      <c r="A63" s="27" t="s">
        <v>253</v>
      </c>
      <c r="G63" s="9"/>
    </row>
    <row r="64" spans="1:8">
      <c r="A64" s="27" t="s">
        <v>256</v>
      </c>
      <c r="G64" s="9"/>
    </row>
    <row r="65" spans="1:7">
      <c r="A65" s="27"/>
      <c r="G65" s="9"/>
    </row>
    <row r="66" spans="1:7">
      <c r="G66" s="9"/>
    </row>
    <row r="67" spans="1:7">
      <c r="A67" s="20" t="s">
        <v>30</v>
      </c>
      <c r="G67" s="9"/>
    </row>
    <row r="68" spans="1:7">
      <c r="A68" s="20" t="s">
        <v>117</v>
      </c>
      <c r="C68"/>
      <c r="G68" s="9"/>
    </row>
    <row r="69" spans="1:7">
      <c r="A69" s="20" t="s">
        <v>110</v>
      </c>
      <c r="C69"/>
      <c r="G69" s="9"/>
    </row>
    <row r="70" spans="1:7">
      <c r="A70" s="20" t="s">
        <v>111</v>
      </c>
      <c r="G70" s="9"/>
    </row>
    <row r="71" spans="1:7">
      <c r="G71" s="9"/>
    </row>
    <row r="72" spans="1:7">
      <c r="G72" s="9"/>
    </row>
    <row r="73" spans="1:7">
      <c r="A73" s="20" t="s">
        <v>198</v>
      </c>
    </row>
    <row r="74" spans="1:7">
      <c r="A74" s="20" t="s">
        <v>48</v>
      </c>
    </row>
    <row r="75" spans="1:7">
      <c r="A75" s="20" t="s">
        <v>119</v>
      </c>
    </row>
    <row r="76" spans="1:7">
      <c r="A76" s="20" t="s">
        <v>127</v>
      </c>
      <c r="G76" s="9"/>
    </row>
    <row r="77" spans="1:7">
      <c r="A77" s="20" t="s">
        <v>203</v>
      </c>
      <c r="G77" s="9"/>
    </row>
    <row r="78" spans="1:7">
      <c r="A78" s="20" t="s">
        <v>205</v>
      </c>
      <c r="G78" s="9"/>
    </row>
    <row r="79" spans="1:7">
      <c r="A79" s="20" t="s">
        <v>207</v>
      </c>
    </row>
    <row r="80" spans="1:7">
      <c r="A80" s="20" t="s">
        <v>209</v>
      </c>
    </row>
    <row r="83" spans="1:1">
      <c r="A83" s="20" t="s">
        <v>121</v>
      </c>
    </row>
    <row r="84" spans="1:1">
      <c r="A84" s="20" t="s">
        <v>122</v>
      </c>
    </row>
    <row r="85" spans="1:1">
      <c r="A85" s="20" t="s">
        <v>123</v>
      </c>
    </row>
    <row r="86" spans="1:1">
      <c r="A86" s="20" t="s">
        <v>124</v>
      </c>
    </row>
    <row r="87" spans="1:1">
      <c r="A87" s="20" t="s">
        <v>125</v>
      </c>
    </row>
    <row r="88" spans="1:1">
      <c r="A88" s="20" t="s">
        <v>126</v>
      </c>
    </row>
    <row r="91" spans="1:1">
      <c r="A91" s="20" t="s">
        <v>217</v>
      </c>
    </row>
    <row r="92" spans="1:1">
      <c r="A92" s="20" t="s">
        <v>219</v>
      </c>
    </row>
    <row r="93" spans="1:1">
      <c r="A93" s="20" t="s">
        <v>221</v>
      </c>
    </row>
    <row r="94" spans="1:1">
      <c r="A94" s="20" t="s">
        <v>223</v>
      </c>
    </row>
    <row r="95" spans="1:1">
      <c r="A95" s="20" t="s">
        <v>225</v>
      </c>
    </row>
    <row r="112" spans="2:2">
      <c r="B112" s="9"/>
    </row>
  </sheetData>
  <phoneticPr fontId="2" type="noConversion"/>
  <conditionalFormatting sqref="D1:F1">
    <cfRule type="duplicateValues" dxfId="35" priority="32"/>
  </conditionalFormatting>
  <conditionalFormatting sqref="G1">
    <cfRule type="duplicateValues" dxfId="34" priority="31"/>
  </conditionalFormatting>
  <conditionalFormatting sqref="H1:J1">
    <cfRule type="duplicateValues" dxfId="33" priority="30"/>
  </conditionalFormatting>
  <conditionalFormatting sqref="F1">
    <cfRule type="duplicateValues" dxfId="32" priority="29"/>
  </conditionalFormatting>
  <conditionalFormatting sqref="D1:E1">
    <cfRule type="duplicateValues" dxfId="31" priority="28"/>
  </conditionalFormatting>
  <conditionalFormatting sqref="G28">
    <cfRule type="cellIs" dxfId="30" priority="27" operator="equal">
      <formula>"行動序號"</formula>
    </cfRule>
  </conditionalFormatting>
  <conditionalFormatting sqref="G29">
    <cfRule type="cellIs" dxfId="29" priority="26" operator="equal">
      <formula>"行動序號"</formula>
    </cfRule>
  </conditionalFormatting>
  <conditionalFormatting sqref="G46">
    <cfRule type="cellIs" dxfId="28" priority="25" operator="equal">
      <formula>"行動序號"</formula>
    </cfRule>
  </conditionalFormatting>
  <conditionalFormatting sqref="G47">
    <cfRule type="cellIs" dxfId="27" priority="24" operator="equal">
      <formula>"行動序號"</formula>
    </cfRule>
  </conditionalFormatting>
  <conditionalFormatting sqref="G30:G31">
    <cfRule type="cellIs" dxfId="26" priority="23" operator="equal">
      <formula>"行動序號"</formula>
    </cfRule>
  </conditionalFormatting>
  <conditionalFormatting sqref="G32">
    <cfRule type="cellIs" dxfId="25" priority="22" operator="equal">
      <formula>"行動序號"</formula>
    </cfRule>
  </conditionalFormatting>
  <conditionalFormatting sqref="G58:G59">
    <cfRule type="cellIs" dxfId="24" priority="21" operator="equal">
      <formula>"行動序號"</formula>
    </cfRule>
  </conditionalFormatting>
  <conditionalFormatting sqref="G54:G57">
    <cfRule type="cellIs" dxfId="23" priority="20" operator="equal">
      <formula>"行動序號"</formula>
    </cfRule>
  </conditionalFormatting>
  <conditionalFormatting sqref="G17">
    <cfRule type="cellIs" dxfId="22" priority="19" operator="equal">
      <formula>"行動序號"</formula>
    </cfRule>
  </conditionalFormatting>
  <conditionalFormatting sqref="G60:G65">
    <cfRule type="cellIs" dxfId="21" priority="18" operator="equal">
      <formula>"行動序號"</formula>
    </cfRule>
  </conditionalFormatting>
  <conditionalFormatting sqref="G66:G67">
    <cfRule type="cellIs" dxfId="20" priority="17" operator="equal">
      <formula>"行動序號"</formula>
    </cfRule>
  </conditionalFormatting>
  <conditionalFormatting sqref="G76:G78">
    <cfRule type="cellIs" dxfId="19" priority="16" operator="equal">
      <formula>"行動序號"</formula>
    </cfRule>
  </conditionalFormatting>
  <conditionalFormatting sqref="A99">
    <cfRule type="cellIs" dxfId="18" priority="15" operator="equal">
      <formula>"行動序號"</formula>
    </cfRule>
  </conditionalFormatting>
  <conditionalFormatting sqref="A100">
    <cfRule type="cellIs" dxfId="17" priority="14" operator="equal">
      <formula>"行動序號"</formula>
    </cfRule>
  </conditionalFormatting>
  <conditionalFormatting sqref="A117">
    <cfRule type="cellIs" dxfId="16" priority="13" operator="equal">
      <formula>"行動序號"</formula>
    </cfRule>
  </conditionalFormatting>
  <conditionalFormatting sqref="A118">
    <cfRule type="cellIs" dxfId="15" priority="12" operator="equal">
      <formula>"行動序號"</formula>
    </cfRule>
  </conditionalFormatting>
  <conditionalFormatting sqref="A101:A102">
    <cfRule type="cellIs" dxfId="14" priority="11" operator="equal">
      <formula>"行動序號"</formula>
    </cfRule>
  </conditionalFormatting>
  <conditionalFormatting sqref="A103">
    <cfRule type="cellIs" dxfId="13" priority="10" operator="equal">
      <formula>"行動序號"</formula>
    </cfRule>
  </conditionalFormatting>
  <conditionalFormatting sqref="A127:A128">
    <cfRule type="cellIs" dxfId="12" priority="9" operator="equal">
      <formula>"行動序號"</formula>
    </cfRule>
  </conditionalFormatting>
  <conditionalFormatting sqref="A123:A126">
    <cfRule type="cellIs" dxfId="11" priority="8" operator="equal">
      <formula>"行動序號"</formula>
    </cfRule>
  </conditionalFormatting>
  <conditionalFormatting sqref="A129:A130">
    <cfRule type="cellIs" dxfId="10" priority="7" operator="equal">
      <formula>"行動序號"</formula>
    </cfRule>
  </conditionalFormatting>
  <conditionalFormatting sqref="A131:A132">
    <cfRule type="cellIs" dxfId="9" priority="6" operator="equal">
      <formula>"行動序號"</formula>
    </cfRule>
  </conditionalFormatting>
  <conditionalFormatting sqref="A141:A143">
    <cfRule type="cellIs" dxfId="8" priority="5" operator="equal">
      <formula>"行動序號"</formula>
    </cfRule>
  </conditionalFormatting>
  <conditionalFormatting sqref="A112:A1048576 A86:A87 A89:A95 A99:A110">
    <cfRule type="duplicateValues" dxfId="7" priority="4"/>
  </conditionalFormatting>
  <conditionalFormatting sqref="A111">
    <cfRule type="duplicateValues" dxfId="6" priority="3"/>
  </conditionalFormatting>
  <conditionalFormatting sqref="A72:A73">
    <cfRule type="cellIs" dxfId="5" priority="2" operator="equal">
      <formula>"行動序號"</formula>
    </cfRule>
  </conditionalFormatting>
  <conditionalFormatting sqref="A96:A97">
    <cfRule type="cellIs" dxfId="4" priority="1" operator="equal">
      <formula>"行動序號"</formula>
    </cfRule>
  </conditionalFormatting>
  <conditionalFormatting sqref="A1">
    <cfRule type="duplicateValues" dxfId="3" priority="33"/>
  </conditionalFormatting>
  <conditionalFormatting sqref="B112">
    <cfRule type="duplicateValues" dxfId="2" priority="34"/>
  </conditionalFormatting>
  <conditionalFormatting sqref="A99:A1048576 A86:A87 A89:A95">
    <cfRule type="duplicateValues" dxfId="1" priority="35"/>
  </conditionalFormatting>
  <conditionalFormatting sqref="A98">
    <cfRule type="duplicateValues" dxfId="0" priority="36"/>
  </conditionalFormatting>
  <dataValidations count="1">
    <dataValidation type="list" allowBlank="1" showInputMessage="1" showErrorMessage="1" sqref="A99 D25:E25 J25:XFD25 G50:G52 G28 A121 B25 B27" xr:uid="{B4C620D3-8838-4B98-8204-A1113C9B408F}">
      <formula1>_OPTION_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E23CE6-7DD1-4FB0-B34C-940F334BFF93}">
  <sheetPr codeName="ParamTitleSheet"/>
  <dimension ref="A1:C15"/>
  <sheetViews>
    <sheetView workbookViewId="0">
      <selection activeCell="G19" sqref="G19"/>
    </sheetView>
  </sheetViews>
  <sheetFormatPr defaultRowHeight="16.5"/>
  <cols>
    <col min="1" max="2" width="18.375" bestFit="1" customWidth="1"/>
    <col min="3" max="3" width="27.25" bestFit="1" customWidth="1"/>
    <col min="4" max="4" width="16.125" bestFit="1" customWidth="1"/>
    <col min="5" max="5" width="11.625" bestFit="1" customWidth="1"/>
  </cols>
  <sheetData>
    <row r="1" spans="1:3" s="5" customFormat="1">
      <c r="A1" s="5" t="s">
        <v>1</v>
      </c>
      <c r="B1" s="5" t="s">
        <v>2</v>
      </c>
      <c r="C1" s="5" t="s">
        <v>3</v>
      </c>
    </row>
    <row r="2" spans="1:3">
      <c r="B2" s="4"/>
    </row>
    <row r="3" spans="1:3">
      <c r="B3" s="4"/>
    </row>
    <row r="4" spans="1:3">
      <c r="B4" s="4"/>
    </row>
    <row r="5" spans="1:3">
      <c r="B5" s="4"/>
    </row>
    <row r="6" spans="1:3">
      <c r="B6" s="4"/>
    </row>
    <row r="7" spans="1:3">
      <c r="B7" s="4"/>
    </row>
    <row r="8" spans="1:3">
      <c r="B8" s="4"/>
    </row>
    <row r="9" spans="1:3">
      <c r="B9" s="4"/>
    </row>
    <row r="10" spans="1:3">
      <c r="B10" s="4"/>
    </row>
    <row r="11" spans="1:3">
      <c r="B11" s="4"/>
    </row>
    <row r="12" spans="1:3">
      <c r="B12" s="4"/>
    </row>
    <row r="13" spans="1:3">
      <c r="B13" s="4"/>
    </row>
    <row r="14" spans="1:3">
      <c r="B14" s="4"/>
    </row>
    <row r="15" spans="1:3">
      <c r="B15" s="4"/>
    </row>
  </sheetData>
  <phoneticPr fontId="2" type="noConversion"/>
  <pageMargins left="0.75" right="0.75" top="1" bottom="1" header="0.5" footer="0.5"/>
  <pageSetup orientation="portrait" horizontalDpi="200" verticalDpi="200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553180-FEE7-4A86-B61D-4AB18B236F67}">
  <sheetPr codeName="OutputSheet"/>
  <dimension ref="A1:A2"/>
  <sheetViews>
    <sheetView workbookViewId="0">
      <selection activeCell="G19" sqref="G19"/>
    </sheetView>
  </sheetViews>
  <sheetFormatPr defaultRowHeight="16.5"/>
  <cols>
    <col min="1" max="1" width="64.625" customWidth="1"/>
  </cols>
  <sheetData>
    <row r="1" spans="1:1">
      <c r="A1" s="1" t="s">
        <v>11</v>
      </c>
    </row>
    <row r="2" spans="1:1">
      <c r="A2" t="s">
        <v>20</v>
      </c>
    </row>
  </sheetData>
  <phoneticPr fontId="2" type="noConversion"/>
  <pageMargins left="0.75" right="0.75" top="1" bottom="1" header="0.5" footer="0.5"/>
  <pageSetup paperSize="9" orientation="portrait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9DC7C7-0E0F-4E94-98D7-3ED5F4C3432C}">
  <sheetPr codeName="HelpSheet"/>
  <dimension ref="A1:A15"/>
  <sheetViews>
    <sheetView tabSelected="1" topLeftCell="A4" workbookViewId="0">
      <selection activeCell="G19" sqref="G19"/>
    </sheetView>
  </sheetViews>
  <sheetFormatPr defaultRowHeight="16.5"/>
  <cols>
    <col min="1" max="1" width="146.25" customWidth="1"/>
  </cols>
  <sheetData>
    <row r="1" spans="1:1" ht="66">
      <c r="A1" s="3" t="s">
        <v>4</v>
      </c>
    </row>
    <row r="2" spans="1:1" ht="99">
      <c r="A2" s="3" t="s">
        <v>6</v>
      </c>
    </row>
    <row r="3" spans="1:1" ht="49.5">
      <c r="A3" s="3" t="s">
        <v>5</v>
      </c>
    </row>
    <row r="4" spans="1:1" ht="82.5">
      <c r="A4" s="3" t="s">
        <v>14</v>
      </c>
    </row>
    <row r="5" spans="1:1" ht="82.5">
      <c r="A5" s="3" t="s">
        <v>7</v>
      </c>
    </row>
    <row r="6" spans="1:1" ht="66">
      <c r="A6" s="3" t="s">
        <v>12</v>
      </c>
    </row>
    <row r="7" spans="1:1">
      <c r="A7" s="2"/>
    </row>
    <row r="8" spans="1:1">
      <c r="A8" t="s">
        <v>0</v>
      </c>
    </row>
    <row r="9" spans="1:1">
      <c r="A9" t="s">
        <v>16</v>
      </c>
    </row>
    <row r="10" spans="1:1">
      <c r="A10" s="2" t="s">
        <v>8</v>
      </c>
    </row>
    <row r="11" spans="1:1" ht="82.5">
      <c r="A11" s="2" t="s">
        <v>19</v>
      </c>
    </row>
    <row r="12" spans="1:1">
      <c r="A12" s="2" t="s">
        <v>15</v>
      </c>
    </row>
    <row r="13" spans="1:1" ht="82.5">
      <c r="A13" s="2" t="s">
        <v>13</v>
      </c>
    </row>
    <row r="14" spans="1:1">
      <c r="A14" s="2" t="s">
        <v>10</v>
      </c>
    </row>
    <row r="15" spans="1:1">
      <c r="A15" t="s">
        <v>9</v>
      </c>
    </row>
  </sheetData>
  <phoneticPr fontId="2" type="noConversion"/>
  <pageMargins left="0.75" right="0.75" top="1" bottom="1" header="0.5" footer="0.5"/>
  <pageSetup paperSize="9"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7</vt:i4>
      </vt:variant>
      <vt:variant>
        <vt:lpstr>具名範圍</vt:lpstr>
      </vt:variant>
      <vt:variant>
        <vt:i4>1</vt:i4>
      </vt:variant>
    </vt:vector>
  </HeadingPairs>
  <TitlesOfParts>
    <vt:vector size="8" baseType="lpstr">
      <vt:lpstr>stage7_3a</vt:lpstr>
      <vt:lpstr>#ALIAS</vt:lpstr>
      <vt:lpstr>#DEFINE</vt:lpstr>
      <vt:lpstr>#OPTION</vt:lpstr>
      <vt:lpstr>#PARAM</vt:lpstr>
      <vt:lpstr>#OUTPUT</vt:lpstr>
      <vt:lpstr>#使用說明</vt:lpstr>
      <vt:lpstr>'#OPTION'!_OPTION_</vt:lpstr>
    </vt:vector>
  </TitlesOfParts>
  <Company>CMT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WORK00</dc:creator>
  <cp:lastModifiedBy>霆豫 韓</cp:lastModifiedBy>
  <dcterms:created xsi:type="dcterms:W3CDTF">2015-05-05T13:05:01Z</dcterms:created>
  <dcterms:modified xsi:type="dcterms:W3CDTF">2025-04-16T06:38:25Z</dcterms:modified>
</cp:coreProperties>
</file>