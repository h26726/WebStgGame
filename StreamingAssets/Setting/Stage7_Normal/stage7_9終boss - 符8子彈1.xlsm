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48C49D60-4459-4076-96A8-750C7E805AB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8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'#OPTION'!$B$2:$B$7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2" i="1" l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D57" i="1"/>
  <c r="B57" i="1" s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44" i="1"/>
  <c r="E43" i="1"/>
  <c r="E42" i="1"/>
  <c r="E41" i="1"/>
  <c r="E40" i="1"/>
  <c r="E39" i="1"/>
  <c r="E38" i="1"/>
  <c r="E37" i="1"/>
  <c r="E36" i="1"/>
  <c r="E35" i="1"/>
  <c r="D34" i="1"/>
  <c r="M35" i="1" s="1"/>
  <c r="B34" i="1"/>
  <c r="E29" i="1"/>
  <c r="E32" i="1"/>
  <c r="E31" i="1"/>
  <c r="E30" i="1"/>
  <c r="M66" i="1" l="1"/>
  <c r="M69" i="1"/>
  <c r="C57" i="1"/>
  <c r="D73" i="1"/>
  <c r="M58" i="1"/>
  <c r="M74" i="1"/>
  <c r="D89" i="1"/>
  <c r="M42" i="1"/>
  <c r="M41" i="1"/>
  <c r="C34" i="1"/>
  <c r="M44" i="1" s="1"/>
  <c r="A56" i="1"/>
  <c r="B73" i="1" l="1"/>
  <c r="M59" i="1"/>
  <c r="M62" i="1"/>
  <c r="H64" i="1"/>
  <c r="M64" i="1" s="1"/>
  <c r="M90" i="1"/>
  <c r="B89" i="1"/>
  <c r="C89" i="1" s="1"/>
  <c r="D105" i="1"/>
  <c r="E33" i="1"/>
  <c r="M85" i="1" l="1"/>
  <c r="M82" i="1"/>
  <c r="C73" i="1"/>
  <c r="H96" i="1"/>
  <c r="M96" i="1" s="1"/>
  <c r="M91" i="1"/>
  <c r="M94" i="1"/>
  <c r="B105" i="1"/>
  <c r="C105" i="1" s="1"/>
  <c r="M106" i="1"/>
  <c r="D121" i="1"/>
  <c r="M101" i="1"/>
  <c r="M98" i="1"/>
  <c r="E28" i="1"/>
  <c r="E27" i="1"/>
  <c r="E26" i="1"/>
  <c r="E25" i="1"/>
  <c r="E24" i="1"/>
  <c r="D23" i="1"/>
  <c r="A22" i="1"/>
  <c r="M78" i="1" l="1"/>
  <c r="H80" i="1"/>
  <c r="M80" i="1" s="1"/>
  <c r="M75" i="1"/>
  <c r="B121" i="1"/>
  <c r="M122" i="1"/>
  <c r="H112" i="1"/>
  <c r="M112" i="1" s="1"/>
  <c r="M107" i="1"/>
  <c r="M110" i="1"/>
  <c r="D153" i="1"/>
  <c r="D137" i="1"/>
  <c r="M114" i="1"/>
  <c r="M117" i="1"/>
  <c r="M24" i="1"/>
  <c r="B23" i="1"/>
  <c r="D169" i="1" l="1"/>
  <c r="M130" i="1"/>
  <c r="M133" i="1"/>
  <c r="M154" i="1"/>
  <c r="B153" i="1"/>
  <c r="C153" i="1"/>
  <c r="B137" i="1"/>
  <c r="M138" i="1"/>
  <c r="C121" i="1"/>
  <c r="M30" i="1"/>
  <c r="M31" i="1"/>
  <c r="C23" i="1"/>
  <c r="M33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46" i="1" l="1"/>
  <c r="M149" i="1"/>
  <c r="M158" i="1"/>
  <c r="M155" i="1"/>
  <c r="H160" i="1"/>
  <c r="M160" i="1" s="1"/>
  <c r="M170" i="1"/>
  <c r="B169" i="1"/>
  <c r="D185" i="1"/>
  <c r="M123" i="1"/>
  <c r="M126" i="1"/>
  <c r="H128" i="1"/>
  <c r="M128" i="1" s="1"/>
  <c r="C137" i="1"/>
  <c r="M165" i="1"/>
  <c r="M162" i="1"/>
  <c r="M181" i="1" l="1"/>
  <c r="M178" i="1"/>
  <c r="B185" i="1"/>
  <c r="M186" i="1"/>
  <c r="D201" i="1"/>
  <c r="C169" i="1"/>
  <c r="M142" i="1"/>
  <c r="H144" i="1"/>
  <c r="M144" i="1" s="1"/>
  <c r="M139" i="1"/>
  <c r="B201" i="1" l="1"/>
  <c r="M202" i="1"/>
  <c r="D217" i="1"/>
  <c r="M197" i="1"/>
  <c r="M194" i="1"/>
  <c r="C185" i="1"/>
  <c r="M174" i="1"/>
  <c r="H176" i="1"/>
  <c r="M176" i="1" s="1"/>
  <c r="M171" i="1"/>
  <c r="B217" i="1" l="1"/>
  <c r="M218" i="1"/>
  <c r="C217" i="1"/>
  <c r="D233" i="1"/>
  <c r="M210" i="1"/>
  <c r="M213" i="1"/>
  <c r="H192" i="1"/>
  <c r="M192" i="1" s="1"/>
  <c r="M187" i="1"/>
  <c r="M190" i="1"/>
  <c r="C201" i="1"/>
  <c r="M234" i="1" l="1"/>
  <c r="B233" i="1"/>
  <c r="C233" i="1" s="1"/>
  <c r="D249" i="1"/>
  <c r="H208" i="1"/>
  <c r="M208" i="1" s="1"/>
  <c r="M203" i="1"/>
  <c r="M206" i="1"/>
  <c r="H224" i="1"/>
  <c r="M224" i="1" s="1"/>
  <c r="M219" i="1"/>
  <c r="M222" i="1"/>
  <c r="M226" i="1"/>
  <c r="M229" i="1"/>
  <c r="M235" i="1" l="1"/>
  <c r="M238" i="1"/>
  <c r="H240" i="1"/>
  <c r="M240" i="1" s="1"/>
  <c r="M250" i="1"/>
  <c r="B249" i="1"/>
  <c r="C249" i="1" s="1"/>
  <c r="D265" i="1"/>
  <c r="M242" i="1"/>
  <c r="M245" i="1"/>
  <c r="M254" i="1" l="1"/>
  <c r="M251" i="1"/>
  <c r="H256" i="1"/>
  <c r="M256" i="1" s="1"/>
  <c r="M261" i="1"/>
  <c r="M258" i="1"/>
  <c r="M266" i="1"/>
  <c r="B265" i="1"/>
  <c r="C265" i="1" s="1"/>
  <c r="D281" i="1"/>
  <c r="M270" i="1" l="1"/>
  <c r="H272" i="1"/>
  <c r="M272" i="1" s="1"/>
  <c r="M267" i="1"/>
  <c r="B281" i="1"/>
  <c r="M282" i="1"/>
  <c r="D297" i="1"/>
  <c r="M277" i="1"/>
  <c r="M274" i="1"/>
  <c r="M293" i="1" l="1"/>
  <c r="M290" i="1"/>
  <c r="C281" i="1"/>
  <c r="B297" i="1"/>
  <c r="M298" i="1"/>
  <c r="D313" i="1"/>
  <c r="M306" i="1" l="1"/>
  <c r="M309" i="1"/>
  <c r="C297" i="1"/>
  <c r="H288" i="1"/>
  <c r="M288" i="1" s="1"/>
  <c r="M283" i="1"/>
  <c r="M286" i="1"/>
  <c r="B313" i="1"/>
  <c r="M314" i="1"/>
  <c r="D329" i="1"/>
  <c r="M330" i="1" l="1"/>
  <c r="B329" i="1"/>
  <c r="D345" i="1"/>
  <c r="H304" i="1"/>
  <c r="M304" i="1" s="1"/>
  <c r="M299" i="1"/>
  <c r="M302" i="1"/>
  <c r="M322" i="1"/>
  <c r="M325" i="1"/>
  <c r="C313" i="1"/>
  <c r="M346" i="1" l="1"/>
  <c r="B345" i="1"/>
  <c r="C345" i="1" s="1"/>
  <c r="D361" i="1"/>
  <c r="M338" i="1"/>
  <c r="M341" i="1"/>
  <c r="M315" i="1"/>
  <c r="M318" i="1"/>
  <c r="H320" i="1"/>
  <c r="M320" i="1" s="1"/>
  <c r="C329" i="1"/>
  <c r="M350" i="1" l="1"/>
  <c r="M347" i="1"/>
  <c r="H352" i="1"/>
  <c r="M352" i="1" s="1"/>
  <c r="M331" i="1"/>
  <c r="M334" i="1"/>
  <c r="H336" i="1"/>
  <c r="M336" i="1" s="1"/>
  <c r="M362" i="1"/>
  <c r="B361" i="1"/>
  <c r="D377" i="1"/>
  <c r="M354" i="1"/>
  <c r="M357" i="1"/>
  <c r="M373" i="1" l="1"/>
  <c r="M370" i="1"/>
  <c r="B377" i="1"/>
  <c r="M378" i="1"/>
  <c r="D393" i="1"/>
  <c r="C361" i="1"/>
  <c r="B393" i="1" l="1"/>
  <c r="C393" i="1" s="1"/>
  <c r="M394" i="1"/>
  <c r="D409" i="1"/>
  <c r="M389" i="1"/>
  <c r="M386" i="1"/>
  <c r="C377" i="1"/>
  <c r="M366" i="1"/>
  <c r="H368" i="1"/>
  <c r="M368" i="1" s="1"/>
  <c r="M363" i="1"/>
  <c r="B409" i="1" l="1"/>
  <c r="M410" i="1"/>
  <c r="D425" i="1"/>
  <c r="M402" i="1"/>
  <c r="M405" i="1"/>
  <c r="H384" i="1"/>
  <c r="M384" i="1" s="1"/>
  <c r="M379" i="1"/>
  <c r="M382" i="1"/>
  <c r="H400" i="1"/>
  <c r="M400" i="1" s="1"/>
  <c r="M395" i="1"/>
  <c r="M398" i="1"/>
  <c r="B425" i="1" l="1"/>
  <c r="M426" i="1"/>
  <c r="C425" i="1"/>
  <c r="D441" i="1"/>
  <c r="M418" i="1"/>
  <c r="M421" i="1"/>
  <c r="C409" i="1"/>
  <c r="M427" i="1" l="1"/>
  <c r="M430" i="1"/>
  <c r="H432" i="1"/>
  <c r="M432" i="1" s="1"/>
  <c r="M442" i="1"/>
  <c r="B441" i="1"/>
  <c r="D457" i="1"/>
  <c r="H416" i="1"/>
  <c r="M416" i="1" s="1"/>
  <c r="M411" i="1"/>
  <c r="M414" i="1"/>
  <c r="M434" i="1"/>
  <c r="M437" i="1"/>
  <c r="M450" i="1" l="1"/>
  <c r="M453" i="1"/>
  <c r="C441" i="1"/>
  <c r="M458" i="1"/>
  <c r="C457" i="1"/>
  <c r="B457" i="1"/>
  <c r="D473" i="1"/>
  <c r="M469" i="1" l="1"/>
  <c r="M466" i="1"/>
  <c r="M446" i="1"/>
  <c r="M443" i="1"/>
  <c r="H448" i="1"/>
  <c r="M448" i="1" s="1"/>
  <c r="M462" i="1"/>
  <c r="H464" i="1"/>
  <c r="M464" i="1" s="1"/>
  <c r="M459" i="1"/>
  <c r="B473" i="1"/>
  <c r="M474" i="1"/>
  <c r="D489" i="1"/>
  <c r="B489" i="1" l="1"/>
  <c r="M490" i="1"/>
  <c r="D505" i="1"/>
  <c r="M485" i="1"/>
  <c r="M482" i="1"/>
  <c r="C473" i="1"/>
  <c r="M498" i="1" l="1"/>
  <c r="M501" i="1"/>
  <c r="B505" i="1"/>
  <c r="M506" i="1"/>
  <c r="D521" i="1"/>
  <c r="H480" i="1"/>
  <c r="M480" i="1" s="1"/>
  <c r="M475" i="1"/>
  <c r="M478" i="1"/>
  <c r="C489" i="1"/>
  <c r="B521" i="1" l="1"/>
  <c r="M522" i="1"/>
  <c r="C521" i="1"/>
  <c r="D537" i="1"/>
  <c r="H496" i="1"/>
  <c r="M496" i="1" s="1"/>
  <c r="M491" i="1"/>
  <c r="M494" i="1"/>
  <c r="M514" i="1"/>
  <c r="M517" i="1"/>
  <c r="C505" i="1"/>
  <c r="H512" i="1" l="1"/>
  <c r="M512" i="1" s="1"/>
  <c r="M507" i="1"/>
  <c r="M510" i="1"/>
  <c r="M523" i="1"/>
  <c r="M526" i="1"/>
  <c r="H528" i="1"/>
  <c r="M528" i="1" s="1"/>
  <c r="M538" i="1"/>
  <c r="B537" i="1"/>
  <c r="C537" i="1" s="1"/>
  <c r="D553" i="1"/>
  <c r="M530" i="1"/>
  <c r="M533" i="1"/>
  <c r="M542" i="1" l="1"/>
  <c r="M539" i="1"/>
  <c r="H544" i="1"/>
  <c r="M544" i="1" s="1"/>
  <c r="M554" i="1"/>
  <c r="B553" i="1"/>
  <c r="D569" i="1"/>
  <c r="M546" i="1"/>
  <c r="M549" i="1"/>
  <c r="M565" i="1" l="1"/>
  <c r="M562" i="1"/>
  <c r="C553" i="1"/>
  <c r="B569" i="1"/>
  <c r="M570" i="1"/>
  <c r="D585" i="1"/>
  <c r="M581" i="1" l="1"/>
  <c r="M578" i="1"/>
  <c r="C569" i="1"/>
  <c r="M558" i="1"/>
  <c r="H560" i="1"/>
  <c r="M560" i="1" s="1"/>
  <c r="M555" i="1"/>
  <c r="B585" i="1"/>
  <c r="C585" i="1" s="1"/>
  <c r="M586" i="1"/>
  <c r="D601" i="1"/>
  <c r="B601" i="1" l="1"/>
  <c r="M602" i="1"/>
  <c r="D617" i="1"/>
  <c r="H576" i="1"/>
  <c r="M576" i="1" s="1"/>
  <c r="M571" i="1"/>
  <c r="M574" i="1"/>
  <c r="M594" i="1"/>
  <c r="M597" i="1"/>
  <c r="H592" i="1"/>
  <c r="M592" i="1" s="1"/>
  <c r="M587" i="1"/>
  <c r="M590" i="1"/>
  <c r="B617" i="1" l="1"/>
  <c r="M618" i="1"/>
  <c r="C617" i="1"/>
  <c r="D633" i="1"/>
  <c r="M610" i="1"/>
  <c r="M613" i="1"/>
  <c r="C601" i="1"/>
  <c r="M619" i="1" l="1"/>
  <c r="M622" i="1"/>
  <c r="H624" i="1"/>
  <c r="M624" i="1" s="1"/>
  <c r="M634" i="1"/>
  <c r="B633" i="1"/>
  <c r="C633" i="1" s="1"/>
  <c r="D649" i="1"/>
  <c r="H608" i="1"/>
  <c r="M608" i="1" s="1"/>
  <c r="M603" i="1"/>
  <c r="M606" i="1"/>
  <c r="M626" i="1"/>
  <c r="M629" i="1"/>
  <c r="M638" i="1" l="1"/>
  <c r="M635" i="1"/>
  <c r="H640" i="1"/>
  <c r="M640" i="1" s="1"/>
  <c r="M642" i="1"/>
  <c r="M645" i="1"/>
  <c r="M650" i="1"/>
  <c r="B649" i="1"/>
  <c r="D665" i="1"/>
  <c r="M661" i="1" l="1"/>
  <c r="M658" i="1"/>
  <c r="B665" i="1"/>
  <c r="C665" i="1" s="1"/>
  <c r="M666" i="1"/>
  <c r="D681" i="1"/>
  <c r="C649" i="1"/>
  <c r="H672" i="1" l="1"/>
  <c r="M672" i="1" s="1"/>
  <c r="M667" i="1"/>
  <c r="M670" i="1"/>
  <c r="B681" i="1"/>
  <c r="M682" i="1"/>
  <c r="D697" i="1"/>
  <c r="M677" i="1"/>
  <c r="M674" i="1"/>
  <c r="M654" i="1"/>
  <c r="H656" i="1"/>
  <c r="M656" i="1" s="1"/>
  <c r="M651" i="1"/>
  <c r="M690" i="1" l="1"/>
  <c r="M693" i="1"/>
  <c r="C681" i="1"/>
  <c r="B697" i="1"/>
  <c r="M698" i="1"/>
  <c r="D713" i="1"/>
  <c r="H688" i="1" l="1"/>
  <c r="M688" i="1" s="1"/>
  <c r="M683" i="1"/>
  <c r="M686" i="1"/>
  <c r="M706" i="1"/>
  <c r="M709" i="1"/>
  <c r="C697" i="1"/>
  <c r="B713" i="1"/>
  <c r="M714" i="1"/>
  <c r="C713" i="1"/>
  <c r="M715" i="1" l="1"/>
  <c r="M718" i="1"/>
  <c r="H720" i="1"/>
  <c r="M720" i="1" s="1"/>
  <c r="H704" i="1"/>
  <c r="M704" i="1" s="1"/>
  <c r="M699" i="1"/>
  <c r="M702" i="1"/>
  <c r="M722" i="1"/>
  <c r="M725" i="1"/>
</calcChain>
</file>

<file path=xl/sharedStrings.xml><?xml version="1.0" encoding="utf-8"?>
<sst xmlns="http://schemas.openxmlformats.org/spreadsheetml/2006/main" count="1518" uniqueCount="257">
  <si>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</si>
  <si>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</si>
  <si>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</si>
  <si>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</si>
  <si>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</si>
  <si>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</si>
  <si>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</si>
  <si>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</si>
  <si>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</si>
  <si>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</si>
  <si>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</si>
  <si>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</si>
  <si>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</si>
  <si>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</si>
  <si>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</si>
  <si>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</si>
  <si>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</si>
  <si>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</si>
  <si>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</si>
  <si>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</si>
  <si>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</si>
  <si>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</si>
  <si>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</si>
  <si>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</si>
  <si>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</si>
  <si>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</si>
  <si>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</si>
  <si>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</si>
  <si>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</si>
  <si>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</si>
  <si>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</si>
  <si>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</si>
  <si>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</si>
  <si>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</si>
  <si>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</si>
  <si>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</si>
  <si>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</si>
  <si>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</si>
  <si>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</si>
  <si>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</si>
  <si>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</si>
  <si>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</si>
  <si>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</si>
  <si>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</si>
  <si>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</si>
  <si>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</si>
  <si>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</si>
  <si>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</si>
  <si>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</si>
  <si>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</si>
  <si>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</si>
  <si>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</si>
  <si>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</si>
  <si>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</si>
  <si>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</si>
  <si>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</si>
  <si>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</si>
  <si>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</si>
  <si>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</si>
  <si>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</si>
  <si>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</si>
  <si>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</si>
  <si>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</si>
  <si>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</si>
  <si>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</si>
  <si>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</si>
  <si>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</si>
  <si>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</si>
  <si>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</si>
  <si>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</si>
  <si>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</si>
  <si>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</si>
  <si>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</si>
  <si>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</si>
  <si>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</si>
  <si>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</si>
  <si>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</si>
  <si>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</si>
  <si>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</si>
  <si>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</si>
  <si>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</si>
  <si>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</si>
  <si>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</si>
  <si>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</si>
  <si>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</si>
  <si>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</si>
  <si>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</si>
  <si>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</si>
  <si>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</si>
  <si>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</si>
  <si>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</si>
  <si>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</si>
  <si>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</si>
  <si>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</si>
  <si>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</si>
  <si>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</si>
  <si>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</si>
  <si>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</si>
  <si>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</si>
  <si>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</si>
  <si>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</si>
  <si>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</si>
  <si>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</si>
  <si>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</si>
  <si>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</si>
  <si>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</si>
  <si>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</si>
  <si>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</si>
  <si>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</si>
  <si>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</si>
  <si>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</si>
  <si>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</si>
  <si>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</si>
  <si>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</si>
  <si>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</si>
  <si>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</si>
  <si>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</si>
  <si>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</si>
  <si>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</si>
  <si>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</si>
  <si>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</si>
  <si>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</si>
  <si>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</si>
  <si>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</si>
  <si>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</si>
  <si>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</si>
  <si>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</si>
  <si>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</si>
  <si>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</si>
  <si>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</si>
  <si>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</si>
  <si>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</si>
  <si>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</si>
  <si>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</si>
  <si>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</si>
  <si>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</si>
  <si>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</si>
  <si>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</si>
  <si>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</si>
  <si>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</si>
  <si>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</si>
  <si>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</si>
  <si>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</si>
  <si>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</si>
  <si>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</si>
  <si>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</si>
  <si>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</si>
  <si>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</si>
  <si>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</si>
  <si>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</si>
  <si>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</si>
  <si>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</si>
  <si>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</si>
  <si>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</si>
  <si>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</si>
  <si>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</si>
  <si>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</si>
  <si>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</si>
  <si>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</si>
  <si>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</si>
  <si>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</si>
  <si>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</si>
  <si>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</si>
  <si>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</si>
  <si>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</si>
  <si>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</si>
  <si>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</si>
  <si>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</si>
  <si>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</si>
  <si>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</si>
  <si>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</si>
  <si>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</si>
  <si>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</si>
  <si>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</si>
  <si>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</si>
  <si>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</si>
  <si>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</si>
  <si>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</si>
  <si>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</si>
  <si>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</si>
  <si>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</si>
  <si>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</si>
  <si>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</si>
  <si>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</si>
  <si>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</si>
  <si>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</si>
  <si>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</si>
  <si>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</si>
  <si>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</si>
  <si>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</si>
  <si>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</si>
  <si>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</si>
  <si>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</si>
  <si>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</si>
  <si>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</si>
  <si>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</si>
  <si>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</si>
  <si>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</si>
  <si>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</si>
  <si>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</si>
  <si>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</si>
  <si>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</si>
  <si>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</si>
  <si>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</si>
  <si>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</si>
  <si>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</si>
  <si>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</si>
  <si>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</si>
  <si>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</si>
  <si>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</si>
  <si>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</si>
  <si>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</si>
  <si>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</si>
  <si>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</si>
  <si>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</si>
  <si>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</si>
  <si>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</si>
  <si>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</si>
  <si>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</si>
  <si>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</si>
  <si>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</si>
  <si>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</si>
  <si>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</si>
  <si>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</si>
  <si>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</si>
  <si>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</si>
  <si>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</si>
  <si>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</si>
  <si>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</si>
  <si>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</si>
  <si>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</si>
  <si>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</si>
  <si>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</si>
  <si>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</si>
  <si>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</si>
  <si>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</si>
  <si>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</si>
  <si>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</si>
  <si>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</si>
  <si>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</si>
  <si>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</si>
  <si>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</si>
  <si>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</si>
  <si>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</si>
  <si>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</si>
  <si>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</si>
  <si>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</si>
  <si>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</si>
  <si>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Empty</t>
    <phoneticPr fontId="2" type="noConversion"/>
  </si>
  <si>
    <t>子加旋轉角度</t>
  </si>
  <si>
    <t>Empty</t>
  </si>
  <si>
    <t>EnemyShot5</t>
  </si>
  <si>
    <t>Shot5_red</t>
  </si>
  <si>
    <t>20</t>
    <phoneticPr fontId="2" type="noConversion"/>
  </si>
  <si>
    <t>-20</t>
    <phoneticPr fontId="2" type="noConversion"/>
  </si>
  <si>
    <t>20</t>
  </si>
  <si>
    <t>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</si>
</sst>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728"/>
  <sheetViews>
    <sheetView tabSelected="1" zoomScale="115" zoomScaleNormal="115" workbookViewId="0">
      <pane ySplit="1" topLeftCell="A53" activePane="bottomLeft" state="frozen"/>
      <selection pane="bottomLeft" activeCell="K57" sqref="K57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22" spans="1:60">
      <c r="A22" s="21">
        <f>G24*H24</f>
        <v>2</v>
      </c>
      <c r="B22" s="9"/>
      <c r="C22" s="9"/>
      <c r="D22" s="9"/>
      <c r="R22" s="12"/>
      <c r="S22" s="9"/>
      <c r="U22" s="12"/>
      <c r="X22" s="15"/>
      <c r="AE22" s="16"/>
      <c r="BH22" s="9"/>
    </row>
    <row r="23" spans="1:60">
      <c r="A23" s="9" t="s">
        <v>228</v>
      </c>
      <c r="B23" s="21">
        <f>QUOTIENT( D23-1,G24)+1</f>
        <v>1</v>
      </c>
      <c r="C23" s="21">
        <f>D23-(B23-1)*G24</f>
        <v>1</v>
      </c>
      <c r="D23" s="21">
        <f>COUNT($D$14:$D22)+1</f>
        <v>1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>ROW(E24)</f>
        <v>24</v>
      </c>
      <c r="F24" s="9" t="s">
        <v>93</v>
      </c>
      <c r="G24" s="21">
        <v>2</v>
      </c>
      <c r="H24" s="21">
        <v>1</v>
      </c>
      <c r="J24" s="21">
        <v>17400</v>
      </c>
      <c r="M24" s="21">
        <f>J24+D23</f>
        <v>17401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ref="E25:E32" si="0">ROW(E25)</f>
        <v>25</v>
      </c>
      <c r="F25" s="9" t="s">
        <v>143</v>
      </c>
      <c r="M25" s="21">
        <v>17310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128</v>
      </c>
      <c r="M26" s="27">
        <v>0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96</v>
      </c>
      <c r="M27" s="21" t="s">
        <v>248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99</v>
      </c>
      <c r="G28" s="26"/>
      <c r="H28" s="28"/>
      <c r="I28" s="27"/>
      <c r="J28" s="27"/>
      <c r="K28" s="9" t="s">
        <v>138</v>
      </c>
      <c r="M28" s="27">
        <v>5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35</v>
      </c>
      <c r="G29" s="26"/>
      <c r="H29" s="28"/>
      <c r="I29" s="27"/>
      <c r="J29" s="27"/>
      <c r="M29" s="21">
        <v>120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>ROW(E30)</f>
        <v>30</v>
      </c>
      <c r="F30" s="9" t="s">
        <v>102</v>
      </c>
      <c r="J30" s="21"/>
      <c r="M30" s="21">
        <f>M24*10+1</f>
        <v>174011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0"/>
        <v>31</v>
      </c>
      <c r="F31" s="9" t="s">
        <v>143</v>
      </c>
      <c r="M31" s="21">
        <f>M24</f>
        <v>17401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0"/>
        <v>32</v>
      </c>
      <c r="F32" s="9" t="s">
        <v>128</v>
      </c>
      <c r="M32" s="27">
        <v>0</v>
      </c>
      <c r="R32" s="12"/>
      <c r="S32" s="9"/>
      <c r="U32" s="12"/>
      <c r="X32" s="15"/>
      <c r="AE32" s="16"/>
      <c r="BH32" s="9"/>
    </row>
    <row r="33" spans="1:60">
      <c r="A33" s="9"/>
      <c r="B33" s="9"/>
      <c r="E33" s="21">
        <f>ROW(E33)</f>
        <v>33</v>
      </c>
      <c r="F33" s="9" t="s">
        <v>249</v>
      </c>
      <c r="G33" s="9" t="s">
        <v>253</v>
      </c>
      <c r="H33" s="9" t="s">
        <v>254</v>
      </c>
      <c r="I33" s="9"/>
      <c r="L33" s="9" t="s">
        <v>135</v>
      </c>
      <c r="M33" s="27" t="str">
        <f>IF(C23=1,G33,H33)</f>
        <v>20</v>
      </c>
      <c r="R33" s="12"/>
      <c r="S33" s="9"/>
      <c r="U33" s="12"/>
      <c r="X33" s="15"/>
      <c r="AE33" s="16"/>
      <c r="BH33" s="9"/>
    </row>
    <row r="34" spans="1:60">
      <c r="A34" s="9" t="s">
        <v>228</v>
      </c>
      <c r="B34" s="9">
        <f t="shared" ref="B34" si="1">QUOTIENT( D34-1,G35)+1</f>
        <v>1</v>
      </c>
      <c r="C34" s="21">
        <f t="shared" ref="C34" si="2">D34-(B34-1)*G35</f>
        <v>2</v>
      </c>
      <c r="D34" s="21">
        <f>COUNT($D$14:$D33)+1</f>
        <v>2</v>
      </c>
      <c r="G34" s="9"/>
      <c r="H34" s="9"/>
      <c r="I34" s="9"/>
      <c r="M34" s="27"/>
      <c r="R34" s="12"/>
      <c r="S34" s="9"/>
      <c r="U34" s="12"/>
      <c r="X34" s="15"/>
      <c r="AE34" s="16"/>
      <c r="BH34" s="9"/>
    </row>
    <row r="35" spans="1:60">
      <c r="E35" s="21">
        <f t="shared" ref="E35:E44" si="3">ROW(E35)</f>
        <v>35</v>
      </c>
      <c r="F35" s="9" t="s">
        <v>93</v>
      </c>
      <c r="G35" s="21">
        <v>2</v>
      </c>
      <c r="H35" s="21">
        <v>1</v>
      </c>
      <c r="J35" s="9">
        <v>17400</v>
      </c>
      <c r="M35" s="21">
        <f t="shared" ref="M35" si="4">J35+D34</f>
        <v>17402</v>
      </c>
    </row>
    <row r="36" spans="1:60">
      <c r="E36" s="21">
        <f t="shared" si="3"/>
        <v>36</v>
      </c>
      <c r="F36" s="9" t="s">
        <v>143</v>
      </c>
      <c r="M36" s="21">
        <v>17310</v>
      </c>
    </row>
    <row r="37" spans="1:60">
      <c r="E37" s="21">
        <f t="shared" si="3"/>
        <v>37</v>
      </c>
      <c r="F37" s="9" t="s">
        <v>128</v>
      </c>
      <c r="M37" s="21">
        <v>0</v>
      </c>
    </row>
    <row r="38" spans="1:60">
      <c r="E38" s="21">
        <f t="shared" si="3"/>
        <v>38</v>
      </c>
      <c r="F38" s="9" t="s">
        <v>29</v>
      </c>
      <c r="M38" s="21" t="s">
        <v>250</v>
      </c>
    </row>
    <row r="39" spans="1:60">
      <c r="E39" s="21">
        <f t="shared" si="3"/>
        <v>39</v>
      </c>
      <c r="F39" s="9" t="s">
        <v>99</v>
      </c>
      <c r="K39" s="9" t="s">
        <v>138</v>
      </c>
      <c r="M39" s="21">
        <v>5</v>
      </c>
    </row>
    <row r="40" spans="1:60">
      <c r="E40" s="21">
        <f t="shared" si="3"/>
        <v>40</v>
      </c>
      <c r="F40" s="9" t="s">
        <v>35</v>
      </c>
      <c r="M40" s="21">
        <v>120</v>
      </c>
    </row>
    <row r="41" spans="1:60">
      <c r="E41" s="21">
        <f t="shared" si="3"/>
        <v>41</v>
      </c>
      <c r="F41" s="9" t="s">
        <v>102</v>
      </c>
      <c r="G41" s="9"/>
      <c r="H41" s="9"/>
      <c r="M41" s="21">
        <f t="shared" ref="M41" si="5">M35*10+1</f>
        <v>174021</v>
      </c>
    </row>
    <row r="42" spans="1:60">
      <c r="E42" s="21">
        <f t="shared" si="3"/>
        <v>42</v>
      </c>
      <c r="F42" s="9" t="s">
        <v>143</v>
      </c>
      <c r="M42" s="21">
        <f t="shared" ref="M42" si="6">M35</f>
        <v>17402</v>
      </c>
    </row>
    <row r="43" spans="1:60">
      <c r="E43" s="21">
        <f t="shared" si="3"/>
        <v>43</v>
      </c>
      <c r="F43" s="9" t="s">
        <v>128</v>
      </c>
      <c r="M43" s="21">
        <v>0</v>
      </c>
    </row>
    <row r="44" spans="1:60">
      <c r="E44" s="21">
        <f t="shared" si="3"/>
        <v>44</v>
      </c>
      <c r="F44" s="9" t="s">
        <v>249</v>
      </c>
      <c r="G44" s="21" t="s">
        <v>255</v>
      </c>
      <c r="H44" s="21" t="s">
        <v>256</v>
      </c>
      <c r="L44" s="9" t="s">
        <v>135</v>
      </c>
      <c r="M44" s="21" t="str">
        <f t="shared" ref="M44" si="7">IF(C34=1,G44,H44)</f>
        <v>-20</v>
      </c>
    </row>
    <row r="56" spans="1:60">
      <c r="A56" s="21">
        <f>G58*H58</f>
        <v>42</v>
      </c>
      <c r="B56" s="9"/>
      <c r="C56" s="9"/>
      <c r="D56" s="9"/>
      <c r="R56" s="12"/>
      <c r="S56" s="9"/>
      <c r="U56" s="12"/>
      <c r="X56" s="15"/>
      <c r="AE56" s="16"/>
      <c r="BH56" s="9"/>
    </row>
    <row r="57" spans="1:60">
      <c r="A57" s="21" t="s">
        <v>228</v>
      </c>
      <c r="B57" s="21">
        <f t="shared" ref="B57:B72" si="8">QUOTIENT( D57-1,G58)+1</f>
        <v>1</v>
      </c>
      <c r="C57" s="21">
        <f t="shared" ref="C57" si="9">D57-(B57-1)*G58</f>
        <v>1</v>
      </c>
      <c r="D57" s="21">
        <f>COUNT($D$56:$D56)+1</f>
        <v>1</v>
      </c>
      <c r="R57" s="12"/>
      <c r="S57" s="9"/>
      <c r="U57" s="12"/>
      <c r="X57" s="15"/>
      <c r="AE57" s="16"/>
      <c r="BH57" s="9"/>
    </row>
    <row r="58" spans="1:60">
      <c r="E58" s="21">
        <f t="shared" ref="E58:E72" si="10">ROW(E58)</f>
        <v>58</v>
      </c>
      <c r="F58" s="9" t="s">
        <v>93</v>
      </c>
      <c r="G58" s="21">
        <v>21</v>
      </c>
      <c r="H58" s="21">
        <v>2</v>
      </c>
      <c r="J58" s="9">
        <v>17500</v>
      </c>
      <c r="M58" s="21">
        <f t="shared" ref="M58:M72" si="11">J58+D57</f>
        <v>17501</v>
      </c>
      <c r="R58" s="12"/>
      <c r="S58" s="9"/>
      <c r="U58" s="12"/>
      <c r="X58" s="15"/>
      <c r="AE58" s="16"/>
      <c r="BH58" s="9"/>
    </row>
    <row r="59" spans="1:60">
      <c r="E59" s="21">
        <f t="shared" si="10"/>
        <v>59</v>
      </c>
      <c r="F59" s="9" t="s">
        <v>143</v>
      </c>
      <c r="G59" s="21">
        <v>17401</v>
      </c>
      <c r="H59" s="21">
        <v>17402</v>
      </c>
      <c r="I59" s="21">
        <v>99999</v>
      </c>
      <c r="M59" s="21">
        <f t="shared" ref="M59" si="12">IF(C57=(G58-1)/2+1,I59,IF(MOD(C57,2)=1,G59,H59))</f>
        <v>17401</v>
      </c>
      <c r="R59" s="12"/>
      <c r="S59" s="9"/>
      <c r="U59" s="12"/>
      <c r="X59" s="15"/>
      <c r="AE59" s="16"/>
      <c r="BH59" s="9"/>
    </row>
    <row r="60" spans="1:60">
      <c r="E60" s="21">
        <f t="shared" si="10"/>
        <v>60</v>
      </c>
      <c r="F60" s="9" t="s">
        <v>127</v>
      </c>
      <c r="M60" s="21">
        <v>0</v>
      </c>
      <c r="R60" s="12"/>
      <c r="S60" s="9"/>
      <c r="U60" s="12"/>
      <c r="X60" s="15"/>
      <c r="AE60" s="16"/>
      <c r="BH60" s="9"/>
    </row>
    <row r="61" spans="1:60">
      <c r="E61" s="21">
        <f t="shared" si="10"/>
        <v>61</v>
      </c>
      <c r="F61" s="9" t="s">
        <v>29</v>
      </c>
      <c r="M61" s="21" t="s">
        <v>251</v>
      </c>
      <c r="R61" s="12"/>
      <c r="S61" s="9"/>
      <c r="U61" s="12"/>
      <c r="X61" s="15"/>
      <c r="AE61" s="16"/>
      <c r="BH61" s="9"/>
    </row>
    <row r="62" spans="1:60">
      <c r="E62" s="21">
        <f t="shared" si="10"/>
        <v>62</v>
      </c>
      <c r="F62" s="9" t="s">
        <v>119</v>
      </c>
      <c r="G62" s="21" t="s">
        <v>252</v>
      </c>
      <c r="H62" s="21" t="s">
        <v>252</v>
      </c>
      <c r="M62" s="21" t="str">
        <f t="shared" ref="M62" si="13">IF(MOD(C57,2)=1,G62,H62)</f>
        <v>Shot5_red</v>
      </c>
      <c r="R62" s="12"/>
      <c r="S62" s="9"/>
      <c r="U62" s="12"/>
      <c r="X62" s="15"/>
      <c r="AE62" s="16"/>
      <c r="BH62" s="9"/>
    </row>
    <row r="63" spans="1:60">
      <c r="E63" s="21">
        <f t="shared" si="10"/>
        <v>63</v>
      </c>
      <c r="F63" s="9" t="s">
        <v>99</v>
      </c>
      <c r="K63" s="9" t="s">
        <v>138</v>
      </c>
      <c r="M63" s="21">
        <v>5</v>
      </c>
      <c r="R63" s="12"/>
      <c r="S63" s="9"/>
      <c r="U63" s="12"/>
      <c r="X63" s="15"/>
      <c r="AE63" s="16"/>
      <c r="BH63" s="9"/>
    </row>
    <row r="64" spans="1:60">
      <c r="E64" s="21">
        <f t="shared" si="10"/>
        <v>64</v>
      </c>
      <c r="F64" s="9" t="s">
        <v>176</v>
      </c>
      <c r="G64" s="21">
        <v>13.2</v>
      </c>
      <c r="H64" s="21">
        <f t="shared" ref="H64" si="14">G64/(G58-1)*(C57-1)-G64/2</f>
        <v>-6.6</v>
      </c>
      <c r="K64" s="9" t="s">
        <v>219</v>
      </c>
      <c r="M64" s="28">
        <f t="shared" ref="M64:M72" si="15">H64</f>
        <v>-6.6</v>
      </c>
      <c r="R64" s="12"/>
      <c r="S64" s="9"/>
      <c r="U64" s="12"/>
      <c r="X64" s="15"/>
      <c r="AE64" s="16"/>
      <c r="BH64" s="9"/>
    </row>
    <row r="65" spans="1:60">
      <c r="E65" s="21">
        <f t="shared" si="10"/>
        <v>65</v>
      </c>
      <c r="F65" s="9" t="s">
        <v>134</v>
      </c>
      <c r="K65" s="9" t="s">
        <v>220</v>
      </c>
      <c r="R65" s="12"/>
      <c r="S65" s="9"/>
      <c r="U65" s="12"/>
      <c r="X65" s="15"/>
      <c r="AE65" s="16"/>
      <c r="BH65" s="9"/>
    </row>
    <row r="66" spans="1:60">
      <c r="E66" s="21">
        <f t="shared" si="10"/>
        <v>66</v>
      </c>
      <c r="F66" s="9" t="s">
        <v>183</v>
      </c>
      <c r="G66" s="21">
        <v>45</v>
      </c>
      <c r="H66" s="21">
        <v>135</v>
      </c>
      <c r="L66" s="9" t="s">
        <v>135</v>
      </c>
      <c r="M66" s="21">
        <f t="shared" ref="M66" si="16">IF(B57=1,G66,H66)</f>
        <v>45</v>
      </c>
      <c r="R66" s="12"/>
      <c r="S66" s="9"/>
      <c r="U66" s="12"/>
      <c r="X66" s="15"/>
      <c r="AE66" s="16"/>
      <c r="BH66" s="9"/>
    </row>
    <row r="67" spans="1:60">
      <c r="E67" s="21">
        <f t="shared" si="10"/>
        <v>67</v>
      </c>
      <c r="F67" s="9" t="s">
        <v>117</v>
      </c>
      <c r="K67" s="9" t="s">
        <v>138</v>
      </c>
      <c r="M67" s="21">
        <v>2</v>
      </c>
      <c r="R67" s="12"/>
      <c r="S67" s="9"/>
      <c r="U67" s="12"/>
      <c r="X67" s="15"/>
      <c r="AE67" s="16"/>
      <c r="BH67" s="9"/>
    </row>
    <row r="68" spans="1:60">
      <c r="E68" s="21">
        <f t="shared" si="10"/>
        <v>68</v>
      </c>
      <c r="F68" s="9" t="s">
        <v>118</v>
      </c>
      <c r="M68" s="21" t="b">
        <v>1</v>
      </c>
      <c r="R68" s="12"/>
      <c r="S68" s="9"/>
      <c r="U68" s="12"/>
      <c r="X68" s="15"/>
      <c r="AE68" s="16"/>
      <c r="BH68" s="9"/>
    </row>
    <row r="69" spans="1:60">
      <c r="E69" s="21">
        <f t="shared" si="10"/>
        <v>69</v>
      </c>
      <c r="F69" s="9" t="s">
        <v>114</v>
      </c>
      <c r="G69" s="21">
        <v>90</v>
      </c>
      <c r="H69" s="21">
        <v>-90</v>
      </c>
      <c r="L69" s="9" t="s">
        <v>135</v>
      </c>
      <c r="M69" s="21">
        <f t="shared" ref="M69" si="17">IF(B57=1,G69,H69)</f>
        <v>90</v>
      </c>
      <c r="R69" s="12"/>
      <c r="S69" s="9"/>
      <c r="U69" s="12"/>
      <c r="X69" s="15"/>
      <c r="AE69" s="16"/>
      <c r="BH69" s="9"/>
    </row>
    <row r="70" spans="1:60">
      <c r="E70" s="21">
        <f t="shared" si="10"/>
        <v>70</v>
      </c>
      <c r="F70" s="9" t="s">
        <v>126</v>
      </c>
      <c r="M70" s="21">
        <v>10000</v>
      </c>
      <c r="R70" s="12"/>
      <c r="S70" s="9"/>
      <c r="U70" s="12"/>
      <c r="X70" s="15"/>
      <c r="AE70" s="16"/>
      <c r="BH70" s="9"/>
    </row>
    <row r="71" spans="1:60">
      <c r="E71" s="21">
        <f t="shared" si="10"/>
        <v>71</v>
      </c>
      <c r="F71" s="9" t="s">
        <v>195</v>
      </c>
      <c r="M71" s="21">
        <v>0.25</v>
      </c>
      <c r="R71" s="12"/>
      <c r="S71" s="9"/>
      <c r="U71" s="12"/>
      <c r="X71" s="15"/>
      <c r="AE71" s="16"/>
      <c r="BH71" s="9"/>
    </row>
    <row r="72" spans="1:60">
      <c r="E72" s="21">
        <f t="shared" si="10"/>
        <v>72</v>
      </c>
      <c r="F72" s="9" t="s">
        <v>197</v>
      </c>
      <c r="M72" s="21">
        <v>40</v>
      </c>
      <c r="R72" s="12"/>
      <c r="S72" s="9"/>
      <c r="U72" s="12"/>
      <c r="X72" s="15"/>
      <c r="AE72" s="16"/>
      <c r="BH72" s="9"/>
    </row>
    <row r="73" spans="1:60">
      <c r="A73" s="21" t="s">
        <v>228</v>
      </c>
      <c r="B73" s="21">
        <f t="shared" ref="B73:B136" si="18">QUOTIENT( D73-1,G74)+1</f>
        <v>1</v>
      </c>
      <c r="C73" s="21">
        <f t="shared" ref="C73" si="19">D73-(B73-1)*G74</f>
        <v>2</v>
      </c>
      <c r="D73" s="21">
        <f>COUNT($D$56:$D72)+1</f>
        <v>2</v>
      </c>
    </row>
    <row r="74" spans="1:60">
      <c r="E74" s="21">
        <f t="shared" ref="E74:E137" si="20">ROW(E74)</f>
        <v>74</v>
      </c>
      <c r="F74" s="9" t="s">
        <v>93</v>
      </c>
      <c r="G74" s="21">
        <v>21</v>
      </c>
      <c r="H74" s="21">
        <v>2</v>
      </c>
      <c r="J74" s="9">
        <v>17500</v>
      </c>
      <c r="M74" s="21">
        <f t="shared" ref="M74:M137" si="21">J74+D73</f>
        <v>17502</v>
      </c>
    </row>
    <row r="75" spans="1:60">
      <c r="E75" s="21">
        <f t="shared" si="20"/>
        <v>75</v>
      </c>
      <c r="F75" s="9" t="s">
        <v>143</v>
      </c>
      <c r="G75" s="21">
        <v>17401</v>
      </c>
      <c r="H75" s="21">
        <v>17402</v>
      </c>
      <c r="I75" s="21">
        <v>99999</v>
      </c>
      <c r="M75" s="21">
        <f t="shared" ref="M75" si="22">IF(C73=(G74-1)/2+1,I75,IF(MOD(C73,2)=1,G75,H75))</f>
        <v>17402</v>
      </c>
    </row>
    <row r="76" spans="1:60">
      <c r="E76" s="21">
        <f t="shared" si="20"/>
        <v>76</v>
      </c>
      <c r="F76" s="9" t="s">
        <v>127</v>
      </c>
      <c r="M76" s="21">
        <v>0</v>
      </c>
    </row>
    <row r="77" spans="1:60">
      <c r="E77" s="21">
        <f t="shared" si="20"/>
        <v>77</v>
      </c>
      <c r="F77" s="9" t="s">
        <v>29</v>
      </c>
      <c r="M77" s="21" t="s">
        <v>251</v>
      </c>
    </row>
    <row r="78" spans="1:60">
      <c r="E78" s="21">
        <f t="shared" si="20"/>
        <v>78</v>
      </c>
      <c r="F78" s="9" t="s">
        <v>119</v>
      </c>
      <c r="G78" s="21" t="s">
        <v>252</v>
      </c>
      <c r="H78" s="21" t="s">
        <v>252</v>
      </c>
      <c r="M78" s="21" t="str">
        <f t="shared" ref="M78" si="23">IF(MOD(C73,2)=1,G78,H78)</f>
        <v>Shot5_red</v>
      </c>
    </row>
    <row r="79" spans="1:60">
      <c r="E79" s="21">
        <f t="shared" si="20"/>
        <v>79</v>
      </c>
      <c r="F79" s="9" t="s">
        <v>99</v>
      </c>
      <c r="K79" s="9" t="s">
        <v>138</v>
      </c>
      <c r="M79" s="21">
        <v>5</v>
      </c>
    </row>
    <row r="80" spans="1:60">
      <c r="E80" s="21">
        <f t="shared" si="20"/>
        <v>80</v>
      </c>
      <c r="F80" s="9" t="s">
        <v>176</v>
      </c>
      <c r="G80" s="21">
        <v>13.2</v>
      </c>
      <c r="H80" s="21">
        <f t="shared" ref="H80" si="24">G80/(G74-1)*(C73-1)-G80/2</f>
        <v>-5.9399999999999995</v>
      </c>
      <c r="K80" s="9" t="s">
        <v>219</v>
      </c>
      <c r="M80" s="28">
        <f t="shared" ref="M80:M143" si="25">H80</f>
        <v>-5.9399999999999995</v>
      </c>
    </row>
    <row r="81" spans="1:13">
      <c r="E81" s="21">
        <f t="shared" si="20"/>
        <v>81</v>
      </c>
      <c r="F81" s="9" t="s">
        <v>134</v>
      </c>
      <c r="K81" s="9" t="s">
        <v>220</v>
      </c>
    </row>
    <row r="82" spans="1:13">
      <c r="E82" s="21">
        <f t="shared" si="20"/>
        <v>82</v>
      </c>
      <c r="F82" s="9" t="s">
        <v>183</v>
      </c>
      <c r="G82" s="21">
        <v>45</v>
      </c>
      <c r="H82" s="21">
        <v>135</v>
      </c>
      <c r="L82" s="9" t="s">
        <v>135</v>
      </c>
      <c r="M82" s="21">
        <f t="shared" ref="M82" si="26">IF(B73=1,G82,H82)</f>
        <v>45</v>
      </c>
    </row>
    <row r="83" spans="1:13">
      <c r="E83" s="21">
        <f t="shared" si="20"/>
        <v>83</v>
      </c>
      <c r="F83" s="9" t="s">
        <v>117</v>
      </c>
      <c r="K83" s="9" t="s">
        <v>138</v>
      </c>
      <c r="M83" s="21">
        <v>2</v>
      </c>
    </row>
    <row r="84" spans="1:13">
      <c r="E84" s="21">
        <f t="shared" si="20"/>
        <v>84</v>
      </c>
      <c r="F84" s="9" t="s">
        <v>118</v>
      </c>
      <c r="M84" s="21" t="b">
        <v>1</v>
      </c>
    </row>
    <row r="85" spans="1:13">
      <c r="E85" s="21">
        <f t="shared" si="20"/>
        <v>85</v>
      </c>
      <c r="F85" s="9" t="s">
        <v>114</v>
      </c>
      <c r="G85" s="21">
        <v>90</v>
      </c>
      <c r="H85" s="21">
        <v>-90</v>
      </c>
      <c r="L85" s="9" t="s">
        <v>135</v>
      </c>
      <c r="M85" s="21">
        <f t="shared" ref="M85" si="27">IF(B73=1,G85,H85)</f>
        <v>90</v>
      </c>
    </row>
    <row r="86" spans="1:13">
      <c r="E86" s="21">
        <f t="shared" si="20"/>
        <v>86</v>
      </c>
      <c r="F86" s="9" t="s">
        <v>126</v>
      </c>
      <c r="M86" s="21">
        <v>10000</v>
      </c>
    </row>
    <row r="87" spans="1:13">
      <c r="E87" s="21">
        <f t="shared" si="20"/>
        <v>87</v>
      </c>
      <c r="F87" s="9" t="s">
        <v>195</v>
      </c>
      <c r="M87" s="21">
        <v>0.25</v>
      </c>
    </row>
    <row r="88" spans="1:13">
      <c r="E88" s="21">
        <f t="shared" si="20"/>
        <v>88</v>
      </c>
      <c r="F88" s="9" t="s">
        <v>197</v>
      </c>
      <c r="M88" s="21">
        <v>40</v>
      </c>
    </row>
    <row r="89" spans="1:13">
      <c r="A89" s="21" t="s">
        <v>228</v>
      </c>
      <c r="B89" s="21">
        <f t="shared" ref="B89:B152" si="28">QUOTIENT( D89-1,G90)+1</f>
        <v>1</v>
      </c>
      <c r="C89" s="21">
        <f t="shared" ref="C89" si="29">D89-(B89-1)*G90</f>
        <v>3</v>
      </c>
      <c r="D89" s="21">
        <f>COUNT($D$56:$D88)+1</f>
        <v>3</v>
      </c>
    </row>
    <row r="90" spans="1:13">
      <c r="E90" s="21">
        <f t="shared" ref="E90:E153" si="30">ROW(E90)</f>
        <v>90</v>
      </c>
      <c r="F90" s="9" t="s">
        <v>93</v>
      </c>
      <c r="G90" s="21">
        <v>21</v>
      </c>
      <c r="H90" s="21">
        <v>2</v>
      </c>
      <c r="J90" s="9">
        <v>17500</v>
      </c>
      <c r="M90" s="21">
        <f t="shared" ref="M90:M153" si="31">J90+D89</f>
        <v>17503</v>
      </c>
    </row>
    <row r="91" spans="1:13">
      <c r="E91" s="21">
        <f t="shared" si="20"/>
        <v>91</v>
      </c>
      <c r="F91" s="9" t="s">
        <v>143</v>
      </c>
      <c r="G91" s="21">
        <v>17401</v>
      </c>
      <c r="H91" s="21">
        <v>17402</v>
      </c>
      <c r="I91" s="21">
        <v>99999</v>
      </c>
      <c r="M91" s="21">
        <f t="shared" ref="M91" si="32">IF(C89=(G90-1)/2+1,I91,IF(MOD(C89,2)=1,G91,H91))</f>
        <v>17401</v>
      </c>
    </row>
    <row r="92" spans="1:13">
      <c r="E92" s="21">
        <f t="shared" si="20"/>
        <v>92</v>
      </c>
      <c r="F92" s="9" t="s">
        <v>127</v>
      </c>
      <c r="M92" s="21">
        <v>0</v>
      </c>
    </row>
    <row r="93" spans="1:13">
      <c r="E93" s="21">
        <f t="shared" si="20"/>
        <v>93</v>
      </c>
      <c r="F93" s="9" t="s">
        <v>29</v>
      </c>
      <c r="M93" s="21" t="s">
        <v>251</v>
      </c>
    </row>
    <row r="94" spans="1:13">
      <c r="E94" s="21">
        <f t="shared" si="20"/>
        <v>94</v>
      </c>
      <c r="F94" s="9" t="s">
        <v>119</v>
      </c>
      <c r="G94" s="21" t="s">
        <v>252</v>
      </c>
      <c r="H94" s="21" t="s">
        <v>252</v>
      </c>
      <c r="M94" s="21" t="str">
        <f t="shared" ref="M94" si="33">IF(MOD(C89,2)=1,G94,H94)</f>
        <v>Shot5_red</v>
      </c>
    </row>
    <row r="95" spans="1:13">
      <c r="E95" s="21">
        <f t="shared" si="20"/>
        <v>95</v>
      </c>
      <c r="F95" s="9" t="s">
        <v>99</v>
      </c>
      <c r="K95" s="9" t="s">
        <v>138</v>
      </c>
      <c r="M95" s="21">
        <v>5</v>
      </c>
    </row>
    <row r="96" spans="1:13">
      <c r="E96" s="21">
        <f t="shared" si="20"/>
        <v>96</v>
      </c>
      <c r="F96" s="9" t="s">
        <v>176</v>
      </c>
      <c r="G96" s="21">
        <v>13.2</v>
      </c>
      <c r="H96" s="21">
        <f t="shared" ref="H96" si="34">G96/(G90-1)*(C89-1)-G96/2</f>
        <v>-5.2799999999999994</v>
      </c>
      <c r="K96" s="9" t="s">
        <v>219</v>
      </c>
      <c r="M96" s="21">
        <f t="shared" ref="M96:M159" si="35">H96</f>
        <v>-5.2799999999999994</v>
      </c>
    </row>
    <row r="97" spans="1:13">
      <c r="E97" s="21">
        <f t="shared" si="20"/>
        <v>97</v>
      </c>
      <c r="F97" s="9" t="s">
        <v>134</v>
      </c>
      <c r="K97" s="9" t="s">
        <v>220</v>
      </c>
    </row>
    <row r="98" spans="1:13">
      <c r="E98" s="21">
        <f t="shared" si="20"/>
        <v>98</v>
      </c>
      <c r="F98" s="9" t="s">
        <v>183</v>
      </c>
      <c r="G98" s="21">
        <v>45</v>
      </c>
      <c r="H98" s="21">
        <v>135</v>
      </c>
      <c r="L98" s="9" t="s">
        <v>135</v>
      </c>
      <c r="M98" s="21">
        <f t="shared" ref="M98" si="36">IF(B89=1,G98,H98)</f>
        <v>45</v>
      </c>
    </row>
    <row r="99" spans="1:13">
      <c r="E99" s="21">
        <f t="shared" si="20"/>
        <v>99</v>
      </c>
      <c r="F99" s="9" t="s">
        <v>117</v>
      </c>
      <c r="K99" s="9" t="s">
        <v>138</v>
      </c>
      <c r="M99" s="21">
        <v>2</v>
      </c>
    </row>
    <row r="100" spans="1:13">
      <c r="E100" s="21">
        <f t="shared" si="20"/>
        <v>100</v>
      </c>
      <c r="F100" s="9" t="s">
        <v>118</v>
      </c>
      <c r="M100" s="21" t="b">
        <v>1</v>
      </c>
    </row>
    <row r="101" spans="1:13">
      <c r="E101" s="21">
        <f t="shared" si="20"/>
        <v>101</v>
      </c>
      <c r="F101" s="9" t="s">
        <v>114</v>
      </c>
      <c r="G101" s="21">
        <v>90</v>
      </c>
      <c r="H101" s="21">
        <v>-90</v>
      </c>
      <c r="L101" s="9" t="s">
        <v>135</v>
      </c>
      <c r="M101" s="21">
        <f t="shared" ref="M101" si="37">IF(B89=1,G101,H101)</f>
        <v>90</v>
      </c>
    </row>
    <row r="102" spans="1:13">
      <c r="E102" s="21">
        <f t="shared" si="20"/>
        <v>102</v>
      </c>
      <c r="F102" s="9" t="s">
        <v>126</v>
      </c>
      <c r="M102" s="21">
        <v>10000</v>
      </c>
    </row>
    <row r="103" spans="1:13">
      <c r="E103" s="21">
        <f t="shared" si="20"/>
        <v>103</v>
      </c>
      <c r="F103" s="9" t="s">
        <v>195</v>
      </c>
      <c r="M103" s="21">
        <v>0.25</v>
      </c>
    </row>
    <row r="104" spans="1:13">
      <c r="E104" s="21">
        <f t="shared" si="20"/>
        <v>104</v>
      </c>
      <c r="F104" s="9" t="s">
        <v>197</v>
      </c>
      <c r="M104" s="21">
        <v>40</v>
      </c>
    </row>
    <row r="105" spans="1:13">
      <c r="A105" s="21" t="s">
        <v>228</v>
      </c>
      <c r="B105" s="21">
        <f t="shared" ref="B105:B168" si="38">QUOTIENT( D105-1,G106)+1</f>
        <v>1</v>
      </c>
      <c r="C105" s="21">
        <f t="shared" ref="C105" si="39">D105-(B105-1)*G106</f>
        <v>4</v>
      </c>
      <c r="D105" s="21">
        <f>COUNT($D$56:$D104)+1</f>
        <v>4</v>
      </c>
    </row>
    <row r="106" spans="1:13">
      <c r="E106" s="21">
        <f t="shared" ref="E106:E169" si="40">ROW(E106)</f>
        <v>106</v>
      </c>
      <c r="F106" s="9" t="s">
        <v>93</v>
      </c>
      <c r="G106" s="21">
        <v>21</v>
      </c>
      <c r="H106" s="21">
        <v>2</v>
      </c>
      <c r="J106" s="9">
        <v>17500</v>
      </c>
      <c r="M106" s="21">
        <f t="shared" ref="M106:M169" si="41">J106+D105</f>
        <v>17504</v>
      </c>
    </row>
    <row r="107" spans="1:13">
      <c r="E107" s="21">
        <f t="shared" si="20"/>
        <v>107</v>
      </c>
      <c r="F107" s="9" t="s">
        <v>143</v>
      </c>
      <c r="G107" s="21">
        <v>17401</v>
      </c>
      <c r="H107" s="21">
        <v>17402</v>
      </c>
      <c r="I107" s="21">
        <v>99999</v>
      </c>
      <c r="M107" s="21">
        <f t="shared" ref="M107" si="42">IF(C105=(G106-1)/2+1,I107,IF(MOD(C105,2)=1,G107,H107))</f>
        <v>17402</v>
      </c>
    </row>
    <row r="108" spans="1:13">
      <c r="E108" s="21">
        <f t="shared" si="20"/>
        <v>108</v>
      </c>
      <c r="F108" s="9" t="s">
        <v>127</v>
      </c>
      <c r="M108" s="21">
        <v>0</v>
      </c>
    </row>
    <row r="109" spans="1:13">
      <c r="E109" s="21">
        <f t="shared" si="20"/>
        <v>109</v>
      </c>
      <c r="F109" s="9" t="s">
        <v>29</v>
      </c>
      <c r="M109" s="21" t="s">
        <v>251</v>
      </c>
    </row>
    <row r="110" spans="1:13">
      <c r="E110" s="21">
        <f t="shared" si="20"/>
        <v>110</v>
      </c>
      <c r="F110" s="9" t="s">
        <v>119</v>
      </c>
      <c r="G110" s="21" t="s">
        <v>252</v>
      </c>
      <c r="H110" s="21" t="s">
        <v>252</v>
      </c>
      <c r="M110" s="21" t="str">
        <f t="shared" ref="M110" si="43">IF(MOD(C105,2)=1,G110,H110)</f>
        <v>Shot5_red</v>
      </c>
    </row>
    <row r="111" spans="1:13">
      <c r="E111" s="21">
        <f t="shared" si="20"/>
        <v>111</v>
      </c>
      <c r="F111" s="9" t="s">
        <v>99</v>
      </c>
      <c r="K111" s="9" t="s">
        <v>138</v>
      </c>
      <c r="M111" s="21">
        <v>5</v>
      </c>
    </row>
    <row r="112" spans="1:13">
      <c r="E112" s="21">
        <f t="shared" si="20"/>
        <v>112</v>
      </c>
      <c r="F112" s="9" t="s">
        <v>176</v>
      </c>
      <c r="G112" s="21">
        <v>13.2</v>
      </c>
      <c r="H112" s="21">
        <f t="shared" ref="H112" si="44">G112/(G106-1)*(C105-1)-G112/2</f>
        <v>-4.62</v>
      </c>
      <c r="K112" s="9" t="s">
        <v>219</v>
      </c>
      <c r="M112" s="21">
        <f t="shared" ref="M112:M175" si="45">H112</f>
        <v>-4.62</v>
      </c>
    </row>
    <row r="113" spans="1:13">
      <c r="E113" s="21">
        <f t="shared" si="20"/>
        <v>113</v>
      </c>
      <c r="F113" s="9" t="s">
        <v>134</v>
      </c>
      <c r="K113" s="9" t="s">
        <v>220</v>
      </c>
    </row>
    <row r="114" spans="1:13">
      <c r="E114" s="21">
        <f t="shared" si="20"/>
        <v>114</v>
      </c>
      <c r="F114" s="9" t="s">
        <v>183</v>
      </c>
      <c r="G114" s="21">
        <v>45</v>
      </c>
      <c r="H114" s="21">
        <v>135</v>
      </c>
      <c r="L114" s="9" t="s">
        <v>135</v>
      </c>
      <c r="M114" s="21">
        <f t="shared" ref="M114" si="46">IF(B105=1,G114,H114)</f>
        <v>45</v>
      </c>
    </row>
    <row r="115" spans="1:13">
      <c r="E115" s="21">
        <f t="shared" si="20"/>
        <v>115</v>
      </c>
      <c r="F115" s="9" t="s">
        <v>117</v>
      </c>
      <c r="K115" s="9" t="s">
        <v>138</v>
      </c>
      <c r="M115" s="21">
        <v>2</v>
      </c>
    </row>
    <row r="116" spans="1:13">
      <c r="E116" s="21">
        <f t="shared" si="20"/>
        <v>116</v>
      </c>
      <c r="F116" s="9" t="s">
        <v>118</v>
      </c>
      <c r="M116" s="21" t="b">
        <v>1</v>
      </c>
    </row>
    <row r="117" spans="1:13">
      <c r="E117" s="21">
        <f t="shared" si="20"/>
        <v>117</v>
      </c>
      <c r="F117" s="9" t="s">
        <v>114</v>
      </c>
      <c r="G117" s="21">
        <v>90</v>
      </c>
      <c r="H117" s="21">
        <v>-90</v>
      </c>
      <c r="L117" s="9" t="s">
        <v>135</v>
      </c>
      <c r="M117" s="21">
        <f t="shared" ref="M117" si="47">IF(B105=1,G117,H117)</f>
        <v>90</v>
      </c>
    </row>
    <row r="118" spans="1:13">
      <c r="E118" s="21">
        <f t="shared" si="20"/>
        <v>118</v>
      </c>
      <c r="F118" s="9" t="s">
        <v>126</v>
      </c>
      <c r="M118" s="21">
        <v>10000</v>
      </c>
    </row>
    <row r="119" spans="1:13">
      <c r="E119" s="21">
        <f t="shared" si="20"/>
        <v>119</v>
      </c>
      <c r="F119" s="9" t="s">
        <v>195</v>
      </c>
      <c r="M119" s="21">
        <v>0.25</v>
      </c>
    </row>
    <row r="120" spans="1:13">
      <c r="E120" s="21">
        <f t="shared" si="20"/>
        <v>120</v>
      </c>
      <c r="F120" s="9" t="s">
        <v>197</v>
      </c>
      <c r="M120" s="21">
        <v>40</v>
      </c>
    </row>
    <row r="121" spans="1:13">
      <c r="A121" s="21" t="s">
        <v>228</v>
      </c>
      <c r="B121" s="21">
        <f t="shared" ref="B121:B184" si="48">QUOTIENT( D121-1,G122)+1</f>
        <v>1</v>
      </c>
      <c r="C121" s="21">
        <f t="shared" ref="C121" si="49">D121-(B121-1)*G122</f>
        <v>5</v>
      </c>
      <c r="D121" s="21">
        <f>COUNT($D$56:$D120)+1</f>
        <v>5</v>
      </c>
    </row>
    <row r="122" spans="1:13">
      <c r="E122" s="21">
        <f t="shared" ref="E122:E185" si="50">ROW(E122)</f>
        <v>122</v>
      </c>
      <c r="F122" s="9" t="s">
        <v>93</v>
      </c>
      <c r="G122" s="21">
        <v>21</v>
      </c>
      <c r="H122" s="21">
        <v>2</v>
      </c>
      <c r="J122" s="9">
        <v>17500</v>
      </c>
      <c r="M122" s="21">
        <f t="shared" ref="M122:M185" si="51">J122+D121</f>
        <v>17505</v>
      </c>
    </row>
    <row r="123" spans="1:13">
      <c r="E123" s="21">
        <f t="shared" si="20"/>
        <v>123</v>
      </c>
      <c r="F123" s="9" t="s">
        <v>143</v>
      </c>
      <c r="G123" s="21">
        <v>17401</v>
      </c>
      <c r="H123" s="21">
        <v>17402</v>
      </c>
      <c r="I123" s="21">
        <v>99999</v>
      </c>
      <c r="M123" s="21">
        <f t="shared" ref="M123" si="52">IF(C121=(G122-1)/2+1,I123,IF(MOD(C121,2)=1,G123,H123))</f>
        <v>17401</v>
      </c>
    </row>
    <row r="124" spans="1:13">
      <c r="E124" s="21">
        <f t="shared" si="20"/>
        <v>124</v>
      </c>
      <c r="F124" s="9" t="s">
        <v>127</v>
      </c>
      <c r="M124" s="21">
        <v>0</v>
      </c>
    </row>
    <row r="125" spans="1:13">
      <c r="E125" s="21">
        <f t="shared" si="20"/>
        <v>125</v>
      </c>
      <c r="F125" s="9" t="s">
        <v>29</v>
      </c>
      <c r="M125" s="21" t="s">
        <v>251</v>
      </c>
    </row>
    <row r="126" spans="1:13">
      <c r="E126" s="21">
        <f t="shared" si="20"/>
        <v>126</v>
      </c>
      <c r="F126" s="9" t="s">
        <v>119</v>
      </c>
      <c r="G126" s="21" t="s">
        <v>252</v>
      </c>
      <c r="H126" s="21" t="s">
        <v>252</v>
      </c>
      <c r="M126" s="21" t="str">
        <f t="shared" ref="M126" si="53">IF(MOD(C121,2)=1,G126,H126)</f>
        <v>Shot5_red</v>
      </c>
    </row>
    <row r="127" spans="1:13">
      <c r="E127" s="21">
        <f t="shared" si="20"/>
        <v>127</v>
      </c>
      <c r="F127" s="9" t="s">
        <v>99</v>
      </c>
      <c r="K127" s="9" t="s">
        <v>138</v>
      </c>
      <c r="M127" s="21">
        <v>5</v>
      </c>
    </row>
    <row r="128" spans="1:13">
      <c r="E128" s="21">
        <f t="shared" si="20"/>
        <v>128</v>
      </c>
      <c r="F128" s="9" t="s">
        <v>176</v>
      </c>
      <c r="G128" s="21">
        <v>13.2</v>
      </c>
      <c r="H128" s="21">
        <f t="shared" ref="H128" si="54">G128/(G122-1)*(C121-1)-G128/2</f>
        <v>-3.96</v>
      </c>
      <c r="K128" s="9" t="s">
        <v>219</v>
      </c>
      <c r="M128" s="21">
        <f t="shared" ref="M128:M191" si="55">H128</f>
        <v>-3.96</v>
      </c>
    </row>
    <row r="129" spans="1:13">
      <c r="E129" s="21">
        <f t="shared" si="20"/>
        <v>129</v>
      </c>
      <c r="F129" s="9" t="s">
        <v>134</v>
      </c>
      <c r="K129" s="9" t="s">
        <v>220</v>
      </c>
    </row>
    <row r="130" spans="1:13">
      <c r="E130" s="21">
        <f t="shared" si="20"/>
        <v>130</v>
      </c>
      <c r="F130" s="9" t="s">
        <v>183</v>
      </c>
      <c r="G130" s="21">
        <v>45</v>
      </c>
      <c r="H130" s="21">
        <v>135</v>
      </c>
      <c r="L130" s="9" t="s">
        <v>135</v>
      </c>
      <c r="M130" s="21">
        <f t="shared" ref="M130" si="56">IF(B121=1,G130,H130)</f>
        <v>45</v>
      </c>
    </row>
    <row r="131" spans="1:13">
      <c r="E131" s="21">
        <f t="shared" si="20"/>
        <v>131</v>
      </c>
      <c r="F131" s="9" t="s">
        <v>117</v>
      </c>
      <c r="K131" s="9" t="s">
        <v>138</v>
      </c>
      <c r="M131" s="21">
        <v>2</v>
      </c>
    </row>
    <row r="132" spans="1:13">
      <c r="E132" s="21">
        <f t="shared" si="20"/>
        <v>132</v>
      </c>
      <c r="F132" s="9" t="s">
        <v>118</v>
      </c>
      <c r="M132" s="21" t="b">
        <v>1</v>
      </c>
    </row>
    <row r="133" spans="1:13">
      <c r="E133" s="21">
        <f t="shared" si="20"/>
        <v>133</v>
      </c>
      <c r="F133" s="9" t="s">
        <v>114</v>
      </c>
      <c r="G133" s="21">
        <v>90</v>
      </c>
      <c r="H133" s="21">
        <v>-90</v>
      </c>
      <c r="L133" s="9" t="s">
        <v>135</v>
      </c>
      <c r="M133" s="21">
        <f t="shared" ref="M133" si="57">IF(B121=1,G133,H133)</f>
        <v>90</v>
      </c>
    </row>
    <row r="134" spans="1:13">
      <c r="E134" s="21">
        <f t="shared" si="20"/>
        <v>134</v>
      </c>
      <c r="F134" s="9" t="s">
        <v>126</v>
      </c>
      <c r="M134" s="21">
        <v>10000</v>
      </c>
    </row>
    <row r="135" spans="1:13">
      <c r="E135" s="21">
        <f t="shared" si="20"/>
        <v>135</v>
      </c>
      <c r="F135" s="9" t="s">
        <v>195</v>
      </c>
      <c r="M135" s="21">
        <v>0.25</v>
      </c>
    </row>
    <row r="136" spans="1:13">
      <c r="E136" s="21">
        <f t="shared" si="20"/>
        <v>136</v>
      </c>
      <c r="F136" s="9" t="s">
        <v>197</v>
      </c>
      <c r="M136" s="21">
        <v>40</v>
      </c>
    </row>
    <row r="137" spans="1:13">
      <c r="A137" s="21" t="s">
        <v>228</v>
      </c>
      <c r="B137" s="21">
        <f t="shared" ref="B137:B200" si="58">QUOTIENT( D137-1,G138)+1</f>
        <v>1</v>
      </c>
      <c r="C137" s="21">
        <f t="shared" ref="C137" si="59">D137-(B137-1)*G138</f>
        <v>6</v>
      </c>
      <c r="D137" s="21">
        <f>COUNT($D$56:$D136)+1</f>
        <v>6</v>
      </c>
    </row>
    <row r="138" spans="1:13">
      <c r="E138" s="21">
        <f t="shared" ref="E138:E201" si="60">ROW(E138)</f>
        <v>138</v>
      </c>
      <c r="F138" s="9" t="s">
        <v>93</v>
      </c>
      <c r="G138" s="21">
        <v>21</v>
      </c>
      <c r="H138" s="21">
        <v>2</v>
      </c>
      <c r="J138" s="9">
        <v>17500</v>
      </c>
      <c r="M138" s="21">
        <f t="shared" ref="M138:M201" si="61">J138+D137</f>
        <v>17506</v>
      </c>
    </row>
    <row r="139" spans="1:13">
      <c r="E139" s="21">
        <f t="shared" si="60"/>
        <v>139</v>
      </c>
      <c r="F139" s="9" t="s">
        <v>143</v>
      </c>
      <c r="G139" s="21">
        <v>17401</v>
      </c>
      <c r="H139" s="21">
        <v>17402</v>
      </c>
      <c r="I139" s="21">
        <v>99999</v>
      </c>
      <c r="M139" s="21">
        <f t="shared" ref="M139" si="62">IF(C137=(G138-1)/2+1,I139,IF(MOD(C137,2)=1,G139,H139))</f>
        <v>17402</v>
      </c>
    </row>
    <row r="140" spans="1:13">
      <c r="E140" s="21">
        <f t="shared" si="60"/>
        <v>140</v>
      </c>
      <c r="F140" s="9" t="s">
        <v>127</v>
      </c>
      <c r="M140" s="21">
        <v>0</v>
      </c>
    </row>
    <row r="141" spans="1:13">
      <c r="E141" s="21">
        <f t="shared" si="60"/>
        <v>141</v>
      </c>
      <c r="F141" s="9" t="s">
        <v>29</v>
      </c>
      <c r="M141" s="21" t="s">
        <v>251</v>
      </c>
    </row>
    <row r="142" spans="1:13">
      <c r="E142" s="21">
        <f t="shared" si="60"/>
        <v>142</v>
      </c>
      <c r="F142" s="9" t="s">
        <v>119</v>
      </c>
      <c r="G142" s="21" t="s">
        <v>252</v>
      </c>
      <c r="H142" s="21" t="s">
        <v>252</v>
      </c>
      <c r="M142" s="21" t="str">
        <f t="shared" ref="M142" si="63">IF(MOD(C137,2)=1,G142,H142)</f>
        <v>Shot5_red</v>
      </c>
    </row>
    <row r="143" spans="1:13">
      <c r="E143" s="21">
        <f t="shared" si="60"/>
        <v>143</v>
      </c>
      <c r="F143" s="9" t="s">
        <v>99</v>
      </c>
      <c r="K143" s="9" t="s">
        <v>138</v>
      </c>
      <c r="M143" s="21">
        <v>5</v>
      </c>
    </row>
    <row r="144" spans="1:13">
      <c r="E144" s="21">
        <f t="shared" si="60"/>
        <v>144</v>
      </c>
      <c r="F144" s="9" t="s">
        <v>176</v>
      </c>
      <c r="G144" s="21">
        <v>13.2</v>
      </c>
      <c r="H144" s="21">
        <f t="shared" ref="H144" si="64">G144/(G138-1)*(C137-1)-G144/2</f>
        <v>-3.3</v>
      </c>
      <c r="K144" s="9" t="s">
        <v>219</v>
      </c>
      <c r="M144" s="21">
        <f t="shared" ref="M144:M207" si="65">H144</f>
        <v>-3.3</v>
      </c>
    </row>
    <row r="145" spans="1:13">
      <c r="E145" s="21">
        <f t="shared" si="60"/>
        <v>145</v>
      </c>
      <c r="F145" s="9" t="s">
        <v>134</v>
      </c>
      <c r="K145" s="9" t="s">
        <v>220</v>
      </c>
    </row>
    <row r="146" spans="1:13">
      <c r="E146" s="21">
        <f t="shared" si="60"/>
        <v>146</v>
      </c>
      <c r="F146" s="9" t="s">
        <v>183</v>
      </c>
      <c r="G146" s="21">
        <v>45</v>
      </c>
      <c r="H146" s="21">
        <v>135</v>
      </c>
      <c r="L146" s="9" t="s">
        <v>135</v>
      </c>
      <c r="M146" s="21">
        <f t="shared" ref="M146" si="66">IF(B137=1,G146,H146)</f>
        <v>45</v>
      </c>
    </row>
    <row r="147" spans="1:13">
      <c r="E147" s="21">
        <f t="shared" si="60"/>
        <v>147</v>
      </c>
      <c r="F147" s="9" t="s">
        <v>117</v>
      </c>
      <c r="K147" s="9" t="s">
        <v>138</v>
      </c>
      <c r="M147" s="21">
        <v>2</v>
      </c>
    </row>
    <row r="148" spans="1:13">
      <c r="E148" s="21">
        <f t="shared" si="60"/>
        <v>148</v>
      </c>
      <c r="F148" s="9" t="s">
        <v>118</v>
      </c>
      <c r="M148" s="21" t="b">
        <v>1</v>
      </c>
    </row>
    <row r="149" spans="1:13">
      <c r="E149" s="21">
        <f t="shared" si="60"/>
        <v>149</v>
      </c>
      <c r="F149" s="9" t="s">
        <v>114</v>
      </c>
      <c r="G149" s="21">
        <v>90</v>
      </c>
      <c r="H149" s="21">
        <v>-90</v>
      </c>
      <c r="L149" s="9" t="s">
        <v>135</v>
      </c>
      <c r="M149" s="21">
        <f t="shared" ref="M149" si="67">IF(B137=1,G149,H149)</f>
        <v>90</v>
      </c>
    </row>
    <row r="150" spans="1:13">
      <c r="E150" s="21">
        <f t="shared" si="60"/>
        <v>150</v>
      </c>
      <c r="F150" s="9" t="s">
        <v>126</v>
      </c>
      <c r="M150" s="21">
        <v>10000</v>
      </c>
    </row>
    <row r="151" spans="1:13">
      <c r="E151" s="21">
        <f t="shared" si="60"/>
        <v>151</v>
      </c>
      <c r="F151" s="9" t="s">
        <v>195</v>
      </c>
      <c r="M151" s="21">
        <v>0.25</v>
      </c>
    </row>
    <row r="152" spans="1:13">
      <c r="E152" s="21">
        <f t="shared" si="60"/>
        <v>152</v>
      </c>
      <c r="F152" s="9" t="s">
        <v>197</v>
      </c>
      <c r="M152" s="21">
        <v>40</v>
      </c>
    </row>
    <row r="153" spans="1:13">
      <c r="A153" s="21" t="s">
        <v>228</v>
      </c>
      <c r="B153" s="21">
        <f t="shared" ref="B153:B216" si="68">QUOTIENT( D153-1,G154)+1</f>
        <v>1</v>
      </c>
      <c r="C153" s="21">
        <f t="shared" ref="C153" si="69">D153-(B153-1)*G154</f>
        <v>7</v>
      </c>
      <c r="D153" s="21">
        <f>COUNT($D$56:$D152)+1</f>
        <v>7</v>
      </c>
    </row>
    <row r="154" spans="1:13">
      <c r="E154" s="21">
        <f t="shared" ref="E154:E217" si="70">ROW(E154)</f>
        <v>154</v>
      </c>
      <c r="F154" s="9" t="s">
        <v>93</v>
      </c>
      <c r="G154" s="21">
        <v>21</v>
      </c>
      <c r="H154" s="21">
        <v>2</v>
      </c>
      <c r="J154" s="9">
        <v>17500</v>
      </c>
      <c r="M154" s="21">
        <f t="shared" ref="M154:M217" si="71">J154+D153</f>
        <v>17507</v>
      </c>
    </row>
    <row r="155" spans="1:13">
      <c r="E155" s="21">
        <f t="shared" si="60"/>
        <v>155</v>
      </c>
      <c r="F155" s="9" t="s">
        <v>143</v>
      </c>
      <c r="G155" s="21">
        <v>17401</v>
      </c>
      <c r="H155" s="21">
        <v>17402</v>
      </c>
      <c r="I155" s="21">
        <v>99999</v>
      </c>
      <c r="M155" s="21">
        <f t="shared" ref="M155" si="72">IF(C153=(G154-1)/2+1,I155,IF(MOD(C153,2)=1,G155,H155))</f>
        <v>17401</v>
      </c>
    </row>
    <row r="156" spans="1:13">
      <c r="E156" s="21">
        <f t="shared" si="60"/>
        <v>156</v>
      </c>
      <c r="F156" s="9" t="s">
        <v>127</v>
      </c>
      <c r="M156" s="21">
        <v>0</v>
      </c>
    </row>
    <row r="157" spans="1:13">
      <c r="E157" s="21">
        <f t="shared" si="60"/>
        <v>157</v>
      </c>
      <c r="F157" s="9" t="s">
        <v>29</v>
      </c>
      <c r="M157" s="21" t="s">
        <v>251</v>
      </c>
    </row>
    <row r="158" spans="1:13">
      <c r="E158" s="21">
        <f t="shared" si="60"/>
        <v>158</v>
      </c>
      <c r="F158" s="9" t="s">
        <v>119</v>
      </c>
      <c r="G158" s="21" t="s">
        <v>252</v>
      </c>
      <c r="H158" s="21" t="s">
        <v>252</v>
      </c>
      <c r="M158" s="21" t="str">
        <f t="shared" ref="M158" si="73">IF(MOD(C153,2)=1,G158,H158)</f>
        <v>Shot5_red</v>
      </c>
    </row>
    <row r="159" spans="1:13">
      <c r="E159" s="21">
        <f t="shared" si="60"/>
        <v>159</v>
      </c>
      <c r="F159" s="9" t="s">
        <v>99</v>
      </c>
      <c r="K159" s="9" t="s">
        <v>138</v>
      </c>
      <c r="M159" s="21">
        <v>5</v>
      </c>
    </row>
    <row r="160" spans="1:13">
      <c r="E160" s="21">
        <f t="shared" si="60"/>
        <v>160</v>
      </c>
      <c r="F160" s="9" t="s">
        <v>176</v>
      </c>
      <c r="G160" s="21">
        <v>13.2</v>
      </c>
      <c r="H160" s="21">
        <f t="shared" ref="H160" si="74">G160/(G154-1)*(C153-1)-G160/2</f>
        <v>-2.64</v>
      </c>
      <c r="K160" s="9" t="s">
        <v>219</v>
      </c>
      <c r="M160" s="21">
        <f t="shared" ref="M160:M223" si="75">H160</f>
        <v>-2.64</v>
      </c>
    </row>
    <row r="161" spans="1:13">
      <c r="E161" s="21">
        <f t="shared" si="60"/>
        <v>161</v>
      </c>
      <c r="F161" s="9" t="s">
        <v>134</v>
      </c>
      <c r="K161" s="9" t="s">
        <v>220</v>
      </c>
    </row>
    <row r="162" spans="1:13">
      <c r="E162" s="21">
        <f t="shared" si="60"/>
        <v>162</v>
      </c>
      <c r="F162" s="9" t="s">
        <v>183</v>
      </c>
      <c r="G162" s="21">
        <v>45</v>
      </c>
      <c r="H162" s="21">
        <v>135</v>
      </c>
      <c r="L162" s="9" t="s">
        <v>135</v>
      </c>
      <c r="M162" s="21">
        <f t="shared" ref="M162" si="76">IF(B153=1,G162,H162)</f>
        <v>45</v>
      </c>
    </row>
    <row r="163" spans="1:13">
      <c r="E163" s="21">
        <f t="shared" si="60"/>
        <v>163</v>
      </c>
      <c r="F163" s="9" t="s">
        <v>117</v>
      </c>
      <c r="K163" s="9" t="s">
        <v>138</v>
      </c>
      <c r="M163" s="21">
        <v>2</v>
      </c>
    </row>
    <row r="164" spans="1:13">
      <c r="E164" s="21">
        <f t="shared" si="60"/>
        <v>164</v>
      </c>
      <c r="F164" s="9" t="s">
        <v>118</v>
      </c>
      <c r="M164" s="21" t="b">
        <v>1</v>
      </c>
    </row>
    <row r="165" spans="1:13">
      <c r="E165" s="21">
        <f t="shared" si="60"/>
        <v>165</v>
      </c>
      <c r="F165" s="9" t="s">
        <v>114</v>
      </c>
      <c r="G165" s="21">
        <v>90</v>
      </c>
      <c r="H165" s="21">
        <v>-90</v>
      </c>
      <c r="L165" s="9" t="s">
        <v>135</v>
      </c>
      <c r="M165" s="21">
        <f t="shared" ref="M165" si="77">IF(B153=1,G165,H165)</f>
        <v>90</v>
      </c>
    </row>
    <row r="166" spans="1:13">
      <c r="E166" s="21">
        <f t="shared" si="60"/>
        <v>166</v>
      </c>
      <c r="F166" s="9" t="s">
        <v>126</v>
      </c>
      <c r="M166" s="21">
        <v>10000</v>
      </c>
    </row>
    <row r="167" spans="1:13">
      <c r="E167" s="21">
        <f t="shared" si="60"/>
        <v>167</v>
      </c>
      <c r="F167" s="9" t="s">
        <v>195</v>
      </c>
      <c r="M167" s="21">
        <v>0.25</v>
      </c>
    </row>
    <row r="168" spans="1:13">
      <c r="E168" s="21">
        <f t="shared" si="60"/>
        <v>168</v>
      </c>
      <c r="F168" s="9" t="s">
        <v>197</v>
      </c>
      <c r="M168" s="21">
        <v>40</v>
      </c>
    </row>
    <row r="169" spans="1:13">
      <c r="A169" s="21" t="s">
        <v>228</v>
      </c>
      <c r="B169" s="21">
        <f t="shared" ref="B169:B232" si="78">QUOTIENT( D169-1,G170)+1</f>
        <v>1</v>
      </c>
      <c r="C169" s="21">
        <f t="shared" ref="C169" si="79">D169-(B169-1)*G170</f>
        <v>8</v>
      </c>
      <c r="D169" s="21">
        <f>COUNT($D$56:$D168)+1</f>
        <v>8</v>
      </c>
    </row>
    <row r="170" spans="1:13">
      <c r="E170" s="21">
        <f t="shared" ref="E170:E233" si="80">ROW(E170)</f>
        <v>170</v>
      </c>
      <c r="F170" s="9" t="s">
        <v>93</v>
      </c>
      <c r="G170" s="21">
        <v>21</v>
      </c>
      <c r="H170" s="21">
        <v>2</v>
      </c>
      <c r="J170" s="9">
        <v>17500</v>
      </c>
      <c r="M170" s="21">
        <f t="shared" ref="M170:M233" si="81">J170+D169</f>
        <v>17508</v>
      </c>
    </row>
    <row r="171" spans="1:13">
      <c r="E171" s="21">
        <f t="shared" si="60"/>
        <v>171</v>
      </c>
      <c r="F171" s="9" t="s">
        <v>143</v>
      </c>
      <c r="G171" s="21">
        <v>17401</v>
      </c>
      <c r="H171" s="21">
        <v>17402</v>
      </c>
      <c r="I171" s="21">
        <v>99999</v>
      </c>
      <c r="M171" s="21">
        <f t="shared" ref="M171" si="82">IF(C169=(G170-1)/2+1,I171,IF(MOD(C169,2)=1,G171,H171))</f>
        <v>17402</v>
      </c>
    </row>
    <row r="172" spans="1:13">
      <c r="E172" s="21">
        <f t="shared" si="60"/>
        <v>172</v>
      </c>
      <c r="F172" s="9" t="s">
        <v>127</v>
      </c>
      <c r="M172" s="21">
        <v>0</v>
      </c>
    </row>
    <row r="173" spans="1:13">
      <c r="E173" s="21">
        <f t="shared" si="60"/>
        <v>173</v>
      </c>
      <c r="F173" s="9" t="s">
        <v>29</v>
      </c>
      <c r="M173" s="21" t="s">
        <v>251</v>
      </c>
    </row>
    <row r="174" spans="1:13">
      <c r="E174" s="21">
        <f t="shared" si="60"/>
        <v>174</v>
      </c>
      <c r="F174" s="9" t="s">
        <v>119</v>
      </c>
      <c r="G174" s="21" t="s">
        <v>252</v>
      </c>
      <c r="H174" s="21" t="s">
        <v>252</v>
      </c>
      <c r="M174" s="21" t="str">
        <f t="shared" ref="M174" si="83">IF(MOD(C169,2)=1,G174,H174)</f>
        <v>Shot5_red</v>
      </c>
    </row>
    <row r="175" spans="1:13">
      <c r="E175" s="21">
        <f t="shared" si="60"/>
        <v>175</v>
      </c>
      <c r="F175" s="9" t="s">
        <v>99</v>
      </c>
      <c r="K175" s="9" t="s">
        <v>138</v>
      </c>
      <c r="M175" s="21">
        <v>5</v>
      </c>
    </row>
    <row r="176" spans="1:13">
      <c r="E176" s="21">
        <f t="shared" si="60"/>
        <v>176</v>
      </c>
      <c r="F176" s="9" t="s">
        <v>176</v>
      </c>
      <c r="G176" s="21">
        <v>13.2</v>
      </c>
      <c r="H176" s="21">
        <f t="shared" ref="H176" si="84">G176/(G170-1)*(C169-1)-G176/2</f>
        <v>-1.9800000000000004</v>
      </c>
      <c r="K176" s="9" t="s">
        <v>219</v>
      </c>
      <c r="M176" s="21">
        <f t="shared" ref="M176:M239" si="85">H176</f>
        <v>-1.9800000000000004</v>
      </c>
    </row>
    <row r="177" spans="1:13">
      <c r="E177" s="21">
        <f t="shared" si="60"/>
        <v>177</v>
      </c>
      <c r="F177" s="9" t="s">
        <v>134</v>
      </c>
      <c r="K177" s="9" t="s">
        <v>220</v>
      </c>
    </row>
    <row r="178" spans="1:13">
      <c r="E178" s="21">
        <f t="shared" si="60"/>
        <v>178</v>
      </c>
      <c r="F178" s="9" t="s">
        <v>183</v>
      </c>
      <c r="G178" s="21">
        <v>45</v>
      </c>
      <c r="H178" s="21">
        <v>135</v>
      </c>
      <c r="L178" s="9" t="s">
        <v>135</v>
      </c>
      <c r="M178" s="21">
        <f t="shared" ref="M178" si="86">IF(B169=1,G178,H178)</f>
        <v>45</v>
      </c>
    </row>
    <row r="179" spans="1:13">
      <c r="E179" s="21">
        <f t="shared" si="60"/>
        <v>179</v>
      </c>
      <c r="F179" s="9" t="s">
        <v>117</v>
      </c>
      <c r="K179" s="9" t="s">
        <v>138</v>
      </c>
      <c r="M179" s="21">
        <v>2</v>
      </c>
    </row>
    <row r="180" spans="1:13">
      <c r="E180" s="21">
        <f t="shared" si="60"/>
        <v>180</v>
      </c>
      <c r="F180" s="9" t="s">
        <v>118</v>
      </c>
      <c r="M180" s="21" t="b">
        <v>1</v>
      </c>
    </row>
    <row r="181" spans="1:13">
      <c r="E181" s="21">
        <f t="shared" si="60"/>
        <v>181</v>
      </c>
      <c r="F181" s="9" t="s">
        <v>114</v>
      </c>
      <c r="G181" s="21">
        <v>90</v>
      </c>
      <c r="H181" s="21">
        <v>-90</v>
      </c>
      <c r="L181" s="9" t="s">
        <v>135</v>
      </c>
      <c r="M181" s="21">
        <f t="shared" ref="M181" si="87">IF(B169=1,G181,H181)</f>
        <v>90</v>
      </c>
    </row>
    <row r="182" spans="1:13">
      <c r="E182" s="21">
        <f t="shared" si="60"/>
        <v>182</v>
      </c>
      <c r="F182" s="9" t="s">
        <v>126</v>
      </c>
      <c r="M182" s="21">
        <v>10000</v>
      </c>
    </row>
    <row r="183" spans="1:13">
      <c r="E183" s="21">
        <f t="shared" si="60"/>
        <v>183</v>
      </c>
      <c r="F183" s="9" t="s">
        <v>195</v>
      </c>
      <c r="M183" s="21">
        <v>0.25</v>
      </c>
    </row>
    <row r="184" spans="1:13">
      <c r="E184" s="21">
        <f t="shared" si="60"/>
        <v>184</v>
      </c>
      <c r="F184" s="9" t="s">
        <v>197</v>
      </c>
      <c r="M184" s="21">
        <v>40</v>
      </c>
    </row>
    <row r="185" spans="1:13">
      <c r="A185" s="21" t="s">
        <v>228</v>
      </c>
      <c r="B185" s="21">
        <f t="shared" ref="B185:B248" si="88">QUOTIENT( D185-1,G186)+1</f>
        <v>1</v>
      </c>
      <c r="C185" s="21">
        <f t="shared" ref="C185" si="89">D185-(B185-1)*G186</f>
        <v>9</v>
      </c>
      <c r="D185" s="21">
        <f>COUNT($D$56:$D184)+1</f>
        <v>9</v>
      </c>
    </row>
    <row r="186" spans="1:13">
      <c r="E186" s="21">
        <f t="shared" ref="E186:E249" si="90">ROW(E186)</f>
        <v>186</v>
      </c>
      <c r="F186" s="9" t="s">
        <v>93</v>
      </c>
      <c r="G186" s="21">
        <v>21</v>
      </c>
      <c r="H186" s="21">
        <v>2</v>
      </c>
      <c r="J186" s="9">
        <v>17500</v>
      </c>
      <c r="M186" s="21">
        <f t="shared" ref="M186:M249" si="91">J186+D185</f>
        <v>17509</v>
      </c>
    </row>
    <row r="187" spans="1:13">
      <c r="E187" s="21">
        <f t="shared" si="60"/>
        <v>187</v>
      </c>
      <c r="F187" s="9" t="s">
        <v>143</v>
      </c>
      <c r="G187" s="21">
        <v>17401</v>
      </c>
      <c r="H187" s="21">
        <v>17402</v>
      </c>
      <c r="I187" s="21">
        <v>99999</v>
      </c>
      <c r="M187" s="21">
        <f t="shared" ref="M187" si="92">IF(C185=(G186-1)/2+1,I187,IF(MOD(C185,2)=1,G187,H187))</f>
        <v>17401</v>
      </c>
    </row>
    <row r="188" spans="1:13">
      <c r="E188" s="21">
        <f t="shared" si="60"/>
        <v>188</v>
      </c>
      <c r="F188" s="9" t="s">
        <v>127</v>
      </c>
      <c r="M188" s="21">
        <v>0</v>
      </c>
    </row>
    <row r="189" spans="1:13">
      <c r="E189" s="21">
        <f t="shared" si="60"/>
        <v>189</v>
      </c>
      <c r="F189" s="9" t="s">
        <v>29</v>
      </c>
      <c r="M189" s="21" t="s">
        <v>251</v>
      </c>
    </row>
    <row r="190" spans="1:13">
      <c r="E190" s="21">
        <f t="shared" si="60"/>
        <v>190</v>
      </c>
      <c r="F190" s="9" t="s">
        <v>119</v>
      </c>
      <c r="G190" s="21" t="s">
        <v>252</v>
      </c>
      <c r="H190" s="21" t="s">
        <v>252</v>
      </c>
      <c r="M190" s="21" t="str">
        <f t="shared" ref="M190" si="93">IF(MOD(C185,2)=1,G190,H190)</f>
        <v>Shot5_red</v>
      </c>
    </row>
    <row r="191" spans="1:13">
      <c r="E191" s="21">
        <f t="shared" si="60"/>
        <v>191</v>
      </c>
      <c r="F191" s="9" t="s">
        <v>99</v>
      </c>
      <c r="K191" s="9" t="s">
        <v>138</v>
      </c>
      <c r="M191" s="21">
        <v>5</v>
      </c>
    </row>
    <row r="192" spans="1:13">
      <c r="E192" s="21">
        <f t="shared" si="60"/>
        <v>192</v>
      </c>
      <c r="F192" s="9" t="s">
        <v>176</v>
      </c>
      <c r="G192" s="21">
        <v>13.2</v>
      </c>
      <c r="H192" s="21">
        <f t="shared" ref="H192" si="94">G192/(G186-1)*(C185-1)-G192/2</f>
        <v>-1.3200000000000003</v>
      </c>
      <c r="K192" s="9" t="s">
        <v>219</v>
      </c>
      <c r="M192" s="21">
        <f t="shared" ref="M192:M255" si="95">H192</f>
        <v>-1.3200000000000003</v>
      </c>
    </row>
    <row r="193" spans="1:13">
      <c r="E193" s="21">
        <f t="shared" si="60"/>
        <v>193</v>
      </c>
      <c r="F193" s="9" t="s">
        <v>134</v>
      </c>
      <c r="K193" s="9" t="s">
        <v>220</v>
      </c>
    </row>
    <row r="194" spans="1:13">
      <c r="E194" s="21">
        <f t="shared" si="60"/>
        <v>194</v>
      </c>
      <c r="F194" s="9" t="s">
        <v>183</v>
      </c>
      <c r="G194" s="21">
        <v>45</v>
      </c>
      <c r="H194" s="21">
        <v>135</v>
      </c>
      <c r="L194" s="9" t="s">
        <v>135</v>
      </c>
      <c r="M194" s="21">
        <f t="shared" ref="M194" si="96">IF(B185=1,G194,H194)</f>
        <v>45</v>
      </c>
    </row>
    <row r="195" spans="1:13">
      <c r="E195" s="21">
        <f t="shared" si="60"/>
        <v>195</v>
      </c>
      <c r="F195" s="9" t="s">
        <v>117</v>
      </c>
      <c r="K195" s="9" t="s">
        <v>138</v>
      </c>
      <c r="M195" s="21">
        <v>2</v>
      </c>
    </row>
    <row r="196" spans="1:13">
      <c r="E196" s="21">
        <f t="shared" si="60"/>
        <v>196</v>
      </c>
      <c r="F196" s="9" t="s">
        <v>118</v>
      </c>
      <c r="M196" s="21" t="b">
        <v>1</v>
      </c>
    </row>
    <row r="197" spans="1:13">
      <c r="E197" s="21">
        <f t="shared" si="60"/>
        <v>197</v>
      </c>
      <c r="F197" s="9" t="s">
        <v>114</v>
      </c>
      <c r="G197" s="21">
        <v>90</v>
      </c>
      <c r="H197" s="21">
        <v>-90</v>
      </c>
      <c r="L197" s="9" t="s">
        <v>135</v>
      </c>
      <c r="M197" s="21">
        <f t="shared" ref="M197" si="97">IF(B185=1,G197,H197)</f>
        <v>90</v>
      </c>
    </row>
    <row r="198" spans="1:13">
      <c r="E198" s="21">
        <f t="shared" si="60"/>
        <v>198</v>
      </c>
      <c r="F198" s="9" t="s">
        <v>126</v>
      </c>
      <c r="M198" s="21">
        <v>10000</v>
      </c>
    </row>
    <row r="199" spans="1:13">
      <c r="E199" s="21">
        <f t="shared" si="60"/>
        <v>199</v>
      </c>
      <c r="F199" s="9" t="s">
        <v>195</v>
      </c>
      <c r="M199" s="21">
        <v>0.25</v>
      </c>
    </row>
    <row r="200" spans="1:13">
      <c r="E200" s="21">
        <f t="shared" si="60"/>
        <v>200</v>
      </c>
      <c r="F200" s="9" t="s">
        <v>197</v>
      </c>
      <c r="M200" s="21">
        <v>40</v>
      </c>
    </row>
    <row r="201" spans="1:13">
      <c r="A201" s="21" t="s">
        <v>228</v>
      </c>
      <c r="B201" s="21">
        <f t="shared" ref="B201:B264" si="98">QUOTIENT( D201-1,G202)+1</f>
        <v>1</v>
      </c>
      <c r="C201" s="21">
        <f t="shared" ref="C201" si="99">D201-(B201-1)*G202</f>
        <v>10</v>
      </c>
      <c r="D201" s="21">
        <f>COUNT($D$56:$D200)+1</f>
        <v>10</v>
      </c>
    </row>
    <row r="202" spans="1:13">
      <c r="E202" s="21">
        <f t="shared" ref="E202:E265" si="100">ROW(E202)</f>
        <v>202</v>
      </c>
      <c r="F202" s="9" t="s">
        <v>93</v>
      </c>
      <c r="G202" s="21">
        <v>21</v>
      </c>
      <c r="H202" s="21">
        <v>2</v>
      </c>
      <c r="J202" s="9">
        <v>17500</v>
      </c>
      <c r="M202" s="21">
        <f t="shared" ref="M202:M265" si="101">J202+D201</f>
        <v>17510</v>
      </c>
    </row>
    <row r="203" spans="1:13">
      <c r="E203" s="21">
        <f t="shared" si="100"/>
        <v>203</v>
      </c>
      <c r="F203" s="9" t="s">
        <v>143</v>
      </c>
      <c r="G203" s="21">
        <v>17401</v>
      </c>
      <c r="H203" s="21">
        <v>17402</v>
      </c>
      <c r="I203" s="21">
        <v>99999</v>
      </c>
      <c r="M203" s="21">
        <f t="shared" ref="M203" si="102">IF(C201=(G202-1)/2+1,I203,IF(MOD(C201,2)=1,G203,H203))</f>
        <v>17402</v>
      </c>
    </row>
    <row r="204" spans="1:13">
      <c r="E204" s="21">
        <f t="shared" si="100"/>
        <v>204</v>
      </c>
      <c r="F204" s="9" t="s">
        <v>127</v>
      </c>
      <c r="M204" s="21">
        <v>0</v>
      </c>
    </row>
    <row r="205" spans="1:13">
      <c r="E205" s="21">
        <f t="shared" si="100"/>
        <v>205</v>
      </c>
      <c r="F205" s="9" t="s">
        <v>29</v>
      </c>
      <c r="M205" s="21" t="s">
        <v>251</v>
      </c>
    </row>
    <row r="206" spans="1:13">
      <c r="E206" s="21">
        <f t="shared" si="100"/>
        <v>206</v>
      </c>
      <c r="F206" s="9" t="s">
        <v>119</v>
      </c>
      <c r="G206" s="21" t="s">
        <v>252</v>
      </c>
      <c r="H206" s="21" t="s">
        <v>252</v>
      </c>
      <c r="M206" s="21" t="str">
        <f t="shared" ref="M206" si="103">IF(MOD(C201,2)=1,G206,H206)</f>
        <v>Shot5_red</v>
      </c>
    </row>
    <row r="207" spans="1:13">
      <c r="E207" s="21">
        <f t="shared" si="100"/>
        <v>207</v>
      </c>
      <c r="F207" s="9" t="s">
        <v>99</v>
      </c>
      <c r="K207" s="9" t="s">
        <v>138</v>
      </c>
      <c r="M207" s="21">
        <v>5</v>
      </c>
    </row>
    <row r="208" spans="1:13">
      <c r="E208" s="21">
        <f t="shared" si="100"/>
        <v>208</v>
      </c>
      <c r="F208" s="9" t="s">
        <v>176</v>
      </c>
      <c r="G208" s="21">
        <v>13.2</v>
      </c>
      <c r="H208" s="21">
        <f t="shared" ref="H208" si="104">G208/(G202-1)*(C201-1)-G208/2</f>
        <v>-0.66000000000000014</v>
      </c>
      <c r="K208" s="9" t="s">
        <v>219</v>
      </c>
      <c r="M208" s="21">
        <f t="shared" ref="M208:M271" si="105">H208</f>
        <v>-0.66000000000000014</v>
      </c>
    </row>
    <row r="209" spans="1:13">
      <c r="E209" s="21">
        <f t="shared" si="100"/>
        <v>209</v>
      </c>
      <c r="F209" s="9" t="s">
        <v>134</v>
      </c>
      <c r="K209" s="9" t="s">
        <v>220</v>
      </c>
    </row>
    <row r="210" spans="1:13">
      <c r="E210" s="21">
        <f t="shared" si="100"/>
        <v>210</v>
      </c>
      <c r="F210" s="9" t="s">
        <v>183</v>
      </c>
      <c r="G210" s="21">
        <v>45</v>
      </c>
      <c r="H210" s="21">
        <v>135</v>
      </c>
      <c r="L210" s="9" t="s">
        <v>135</v>
      </c>
      <c r="M210" s="21">
        <f t="shared" ref="M210" si="106">IF(B201=1,G210,H210)</f>
        <v>45</v>
      </c>
    </row>
    <row r="211" spans="1:13">
      <c r="E211" s="21">
        <f t="shared" si="100"/>
        <v>211</v>
      </c>
      <c r="F211" s="9" t="s">
        <v>117</v>
      </c>
      <c r="K211" s="9" t="s">
        <v>138</v>
      </c>
      <c r="M211" s="21">
        <v>2</v>
      </c>
    </row>
    <row r="212" spans="1:13">
      <c r="E212" s="21">
        <f t="shared" si="100"/>
        <v>212</v>
      </c>
      <c r="F212" s="9" t="s">
        <v>118</v>
      </c>
      <c r="M212" s="21" t="b">
        <v>1</v>
      </c>
    </row>
    <row r="213" spans="1:13">
      <c r="E213" s="21">
        <f t="shared" si="100"/>
        <v>213</v>
      </c>
      <c r="F213" s="9" t="s">
        <v>114</v>
      </c>
      <c r="G213" s="21">
        <v>90</v>
      </c>
      <c r="H213" s="21">
        <v>-90</v>
      </c>
      <c r="L213" s="9" t="s">
        <v>135</v>
      </c>
      <c r="M213" s="21">
        <f t="shared" ref="M213" si="107">IF(B201=1,G213,H213)</f>
        <v>90</v>
      </c>
    </row>
    <row r="214" spans="1:13">
      <c r="E214" s="21">
        <f t="shared" si="100"/>
        <v>214</v>
      </c>
      <c r="F214" s="9" t="s">
        <v>126</v>
      </c>
      <c r="M214" s="21">
        <v>10000</v>
      </c>
    </row>
    <row r="215" spans="1:13">
      <c r="E215" s="21">
        <f t="shared" si="100"/>
        <v>215</v>
      </c>
      <c r="F215" s="9" t="s">
        <v>195</v>
      </c>
      <c r="M215" s="21">
        <v>0.25</v>
      </c>
    </row>
    <row r="216" spans="1:13">
      <c r="E216" s="21">
        <f t="shared" si="100"/>
        <v>216</v>
      </c>
      <c r="F216" s="9" t="s">
        <v>197</v>
      </c>
      <c r="M216" s="21">
        <v>40</v>
      </c>
    </row>
    <row r="217" spans="1:13">
      <c r="A217" s="21" t="s">
        <v>228</v>
      </c>
      <c r="B217" s="21">
        <f t="shared" ref="B217:B280" si="108">QUOTIENT( D217-1,G218)+1</f>
        <v>1</v>
      </c>
      <c r="C217" s="21">
        <f t="shared" ref="C217" si="109">D217-(B217-1)*G218</f>
        <v>11</v>
      </c>
      <c r="D217" s="21">
        <f>COUNT($D$56:$D216)+1</f>
        <v>11</v>
      </c>
    </row>
    <row r="218" spans="1:13">
      <c r="E218" s="21">
        <f t="shared" ref="E218:E281" si="110">ROW(E218)</f>
        <v>218</v>
      </c>
      <c r="F218" s="9" t="s">
        <v>93</v>
      </c>
      <c r="G218" s="21">
        <v>21</v>
      </c>
      <c r="H218" s="21">
        <v>2</v>
      </c>
      <c r="J218" s="9">
        <v>17500</v>
      </c>
      <c r="M218" s="21">
        <f t="shared" ref="M218:M281" si="111">J218+D217</f>
        <v>17511</v>
      </c>
    </row>
    <row r="219" spans="1:13">
      <c r="E219" s="21">
        <f t="shared" si="100"/>
        <v>219</v>
      </c>
      <c r="F219" s="9" t="s">
        <v>143</v>
      </c>
      <c r="G219" s="21">
        <v>17401</v>
      </c>
      <c r="H219" s="21">
        <v>17402</v>
      </c>
      <c r="I219" s="21">
        <v>99999</v>
      </c>
      <c r="M219" s="21">
        <f t="shared" ref="M219" si="112">IF(C217=(G218-1)/2+1,I219,IF(MOD(C217,2)=1,G219,H219))</f>
        <v>99999</v>
      </c>
    </row>
    <row r="220" spans="1:13">
      <c r="E220" s="21">
        <f t="shared" si="100"/>
        <v>220</v>
      </c>
      <c r="F220" s="9" t="s">
        <v>127</v>
      </c>
      <c r="M220" s="21">
        <v>0</v>
      </c>
    </row>
    <row r="221" spans="1:13">
      <c r="E221" s="21">
        <f t="shared" si="100"/>
        <v>221</v>
      </c>
      <c r="F221" s="9" t="s">
        <v>29</v>
      </c>
      <c r="M221" s="21" t="s">
        <v>251</v>
      </c>
    </row>
    <row r="222" spans="1:13">
      <c r="E222" s="21">
        <f t="shared" si="100"/>
        <v>222</v>
      </c>
      <c r="F222" s="9" t="s">
        <v>119</v>
      </c>
      <c r="G222" s="21" t="s">
        <v>252</v>
      </c>
      <c r="H222" s="21" t="s">
        <v>252</v>
      </c>
      <c r="M222" s="21" t="str">
        <f t="shared" ref="M222" si="113">IF(MOD(C217,2)=1,G222,H222)</f>
        <v>Shot5_red</v>
      </c>
    </row>
    <row r="223" spans="1:13">
      <c r="E223" s="21">
        <f t="shared" si="100"/>
        <v>223</v>
      </c>
      <c r="F223" s="9" t="s">
        <v>99</v>
      </c>
      <c r="K223" s="9" t="s">
        <v>138</v>
      </c>
      <c r="M223" s="21">
        <v>5</v>
      </c>
    </row>
    <row r="224" spans="1:13">
      <c r="E224" s="21">
        <f t="shared" si="100"/>
        <v>224</v>
      </c>
      <c r="F224" s="9" t="s">
        <v>176</v>
      </c>
      <c r="G224" s="21">
        <v>13.2</v>
      </c>
      <c r="H224" s="21">
        <f t="shared" ref="H224" si="114">G224/(G218-1)*(C217-1)-G224/2</f>
        <v>0</v>
      </c>
      <c r="K224" s="9" t="s">
        <v>219</v>
      </c>
      <c r="M224" s="21">
        <f t="shared" ref="M224:M287" si="115">H224</f>
        <v>0</v>
      </c>
    </row>
    <row r="225" spans="1:13">
      <c r="E225" s="21">
        <f t="shared" si="100"/>
        <v>225</v>
      </c>
      <c r="F225" s="9" t="s">
        <v>134</v>
      </c>
      <c r="K225" s="9" t="s">
        <v>220</v>
      </c>
    </row>
    <row r="226" spans="1:13">
      <c r="E226" s="21">
        <f t="shared" si="100"/>
        <v>226</v>
      </c>
      <c r="F226" s="9" t="s">
        <v>183</v>
      </c>
      <c r="G226" s="21">
        <v>45</v>
      </c>
      <c r="H226" s="21">
        <v>135</v>
      </c>
      <c r="L226" s="9" t="s">
        <v>135</v>
      </c>
      <c r="M226" s="21">
        <f t="shared" ref="M226" si="116">IF(B217=1,G226,H226)</f>
        <v>45</v>
      </c>
    </row>
    <row r="227" spans="1:13">
      <c r="E227" s="21">
        <f t="shared" si="100"/>
        <v>227</v>
      </c>
      <c r="F227" s="9" t="s">
        <v>117</v>
      </c>
      <c r="K227" s="9" t="s">
        <v>138</v>
      </c>
      <c r="M227" s="21">
        <v>2</v>
      </c>
    </row>
    <row r="228" spans="1:13">
      <c r="E228" s="21">
        <f t="shared" si="100"/>
        <v>228</v>
      </c>
      <c r="F228" s="9" t="s">
        <v>118</v>
      </c>
      <c r="M228" s="21" t="b">
        <v>1</v>
      </c>
    </row>
    <row r="229" spans="1:13">
      <c r="E229" s="21">
        <f t="shared" si="100"/>
        <v>229</v>
      </c>
      <c r="F229" s="9" t="s">
        <v>114</v>
      </c>
      <c r="G229" s="21">
        <v>90</v>
      </c>
      <c r="H229" s="21">
        <v>-90</v>
      </c>
      <c r="L229" s="9" t="s">
        <v>135</v>
      </c>
      <c r="M229" s="21">
        <f t="shared" ref="M229" si="117">IF(B217=1,G229,H229)</f>
        <v>90</v>
      </c>
    </row>
    <row r="230" spans="1:13">
      <c r="E230" s="21">
        <f t="shared" si="100"/>
        <v>230</v>
      </c>
      <c r="F230" s="9" t="s">
        <v>126</v>
      </c>
      <c r="M230" s="21">
        <v>10000</v>
      </c>
    </row>
    <row r="231" spans="1:13">
      <c r="E231" s="21">
        <f t="shared" si="100"/>
        <v>231</v>
      </c>
      <c r="F231" s="9" t="s">
        <v>195</v>
      </c>
      <c r="M231" s="21">
        <v>0.25</v>
      </c>
    </row>
    <row r="232" spans="1:13">
      <c r="E232" s="21">
        <f t="shared" si="100"/>
        <v>232</v>
      </c>
      <c r="F232" s="9" t="s">
        <v>197</v>
      </c>
      <c r="M232" s="21">
        <v>40</v>
      </c>
    </row>
    <row r="233" spans="1:13">
      <c r="A233" s="21" t="s">
        <v>228</v>
      </c>
      <c r="B233" s="21">
        <f t="shared" ref="B233:B296" si="118">QUOTIENT( D233-1,G234)+1</f>
        <v>1</v>
      </c>
      <c r="C233" s="21">
        <f t="shared" ref="C233" si="119">D233-(B233-1)*G234</f>
        <v>12</v>
      </c>
      <c r="D233" s="21">
        <f>COUNT($D$56:$D232)+1</f>
        <v>12</v>
      </c>
    </row>
    <row r="234" spans="1:13">
      <c r="E234" s="21">
        <f t="shared" ref="E234:E297" si="120">ROW(E234)</f>
        <v>234</v>
      </c>
      <c r="F234" s="9" t="s">
        <v>93</v>
      </c>
      <c r="G234" s="21">
        <v>21</v>
      </c>
      <c r="H234" s="21">
        <v>2</v>
      </c>
      <c r="J234" s="9">
        <v>17500</v>
      </c>
      <c r="M234" s="21">
        <f t="shared" ref="M234:M297" si="121">J234+D233</f>
        <v>17512</v>
      </c>
    </row>
    <row r="235" spans="1:13">
      <c r="E235" s="21">
        <f t="shared" si="100"/>
        <v>235</v>
      </c>
      <c r="F235" s="9" t="s">
        <v>143</v>
      </c>
      <c r="G235" s="21">
        <v>17401</v>
      </c>
      <c r="H235" s="21">
        <v>17402</v>
      </c>
      <c r="I235" s="21">
        <v>99999</v>
      </c>
      <c r="M235" s="21">
        <f t="shared" ref="M235" si="122">IF(C233=(G234-1)/2+1,I235,IF(MOD(C233,2)=1,G235,H235))</f>
        <v>17402</v>
      </c>
    </row>
    <row r="236" spans="1:13">
      <c r="E236" s="21">
        <f t="shared" si="100"/>
        <v>236</v>
      </c>
      <c r="F236" s="9" t="s">
        <v>127</v>
      </c>
      <c r="M236" s="21">
        <v>0</v>
      </c>
    </row>
    <row r="237" spans="1:13">
      <c r="E237" s="21">
        <f t="shared" si="100"/>
        <v>237</v>
      </c>
      <c r="F237" s="9" t="s">
        <v>29</v>
      </c>
      <c r="M237" s="21" t="s">
        <v>251</v>
      </c>
    </row>
    <row r="238" spans="1:13">
      <c r="E238" s="21">
        <f t="shared" si="100"/>
        <v>238</v>
      </c>
      <c r="F238" s="9" t="s">
        <v>119</v>
      </c>
      <c r="G238" s="21" t="s">
        <v>252</v>
      </c>
      <c r="H238" s="21" t="s">
        <v>252</v>
      </c>
      <c r="M238" s="21" t="str">
        <f t="shared" ref="M238" si="123">IF(MOD(C233,2)=1,G238,H238)</f>
        <v>Shot5_red</v>
      </c>
    </row>
    <row r="239" spans="1:13">
      <c r="E239" s="21">
        <f t="shared" si="100"/>
        <v>239</v>
      </c>
      <c r="F239" s="9" t="s">
        <v>99</v>
      </c>
      <c r="K239" s="9" t="s">
        <v>138</v>
      </c>
      <c r="M239" s="21">
        <v>5</v>
      </c>
    </row>
    <row r="240" spans="1:13">
      <c r="E240" s="21">
        <f t="shared" si="100"/>
        <v>240</v>
      </c>
      <c r="F240" s="9" t="s">
        <v>176</v>
      </c>
      <c r="G240" s="21">
        <v>13.2</v>
      </c>
      <c r="H240" s="21">
        <f t="shared" ref="H240" si="124">G240/(G234-1)*(C233-1)-G240/2</f>
        <v>0.65999999999999925</v>
      </c>
      <c r="K240" s="9" t="s">
        <v>219</v>
      </c>
      <c r="M240" s="21">
        <f t="shared" ref="M240:M303" si="125">H240</f>
        <v>0.65999999999999925</v>
      </c>
    </row>
    <row r="241" spans="1:13">
      <c r="E241" s="21">
        <f t="shared" si="100"/>
        <v>241</v>
      </c>
      <c r="F241" s="9" t="s">
        <v>134</v>
      </c>
      <c r="K241" s="9" t="s">
        <v>220</v>
      </c>
    </row>
    <row r="242" spans="1:13">
      <c r="E242" s="21">
        <f t="shared" si="100"/>
        <v>242</v>
      </c>
      <c r="F242" s="9" t="s">
        <v>183</v>
      </c>
      <c r="G242" s="21">
        <v>45</v>
      </c>
      <c r="H242" s="21">
        <v>135</v>
      </c>
      <c r="L242" s="9" t="s">
        <v>135</v>
      </c>
      <c r="M242" s="21">
        <f t="shared" ref="M242" si="126">IF(B233=1,G242,H242)</f>
        <v>45</v>
      </c>
    </row>
    <row r="243" spans="1:13">
      <c r="E243" s="21">
        <f t="shared" si="100"/>
        <v>243</v>
      </c>
      <c r="F243" s="9" t="s">
        <v>117</v>
      </c>
      <c r="K243" s="9" t="s">
        <v>138</v>
      </c>
      <c r="M243" s="21">
        <v>2</v>
      </c>
    </row>
    <row r="244" spans="1:13">
      <c r="E244" s="21">
        <f t="shared" si="100"/>
        <v>244</v>
      </c>
      <c r="F244" s="9" t="s">
        <v>118</v>
      </c>
      <c r="M244" s="21" t="b">
        <v>1</v>
      </c>
    </row>
    <row r="245" spans="1:13">
      <c r="E245" s="21">
        <f t="shared" si="100"/>
        <v>245</v>
      </c>
      <c r="F245" s="9" t="s">
        <v>114</v>
      </c>
      <c r="G245" s="21">
        <v>90</v>
      </c>
      <c r="H245" s="21">
        <v>-90</v>
      </c>
      <c r="L245" s="9" t="s">
        <v>135</v>
      </c>
      <c r="M245" s="21">
        <f t="shared" ref="M245" si="127">IF(B233=1,G245,H245)</f>
        <v>90</v>
      </c>
    </row>
    <row r="246" spans="1:13">
      <c r="E246" s="21">
        <f t="shared" si="100"/>
        <v>246</v>
      </c>
      <c r="F246" s="9" t="s">
        <v>126</v>
      </c>
      <c r="M246" s="21">
        <v>10000</v>
      </c>
    </row>
    <row r="247" spans="1:13">
      <c r="E247" s="21">
        <f t="shared" si="100"/>
        <v>247</v>
      </c>
      <c r="F247" s="9" t="s">
        <v>195</v>
      </c>
      <c r="M247" s="21">
        <v>0.25</v>
      </c>
    </row>
    <row r="248" spans="1:13">
      <c r="E248" s="21">
        <f t="shared" si="100"/>
        <v>248</v>
      </c>
      <c r="F248" s="9" t="s">
        <v>197</v>
      </c>
      <c r="M248" s="21">
        <v>40</v>
      </c>
    </row>
    <row r="249" spans="1:13">
      <c r="A249" s="21" t="s">
        <v>228</v>
      </c>
      <c r="B249" s="21">
        <f t="shared" ref="B249:B312" si="128">QUOTIENT( D249-1,G250)+1</f>
        <v>1</v>
      </c>
      <c r="C249" s="21">
        <f t="shared" ref="C249" si="129">D249-(B249-1)*G250</f>
        <v>13</v>
      </c>
      <c r="D249" s="21">
        <f>COUNT($D$56:$D248)+1</f>
        <v>13</v>
      </c>
    </row>
    <row r="250" spans="1:13">
      <c r="E250" s="21">
        <f t="shared" ref="E250:E313" si="130">ROW(E250)</f>
        <v>250</v>
      </c>
      <c r="F250" s="9" t="s">
        <v>93</v>
      </c>
      <c r="G250" s="21">
        <v>21</v>
      </c>
      <c r="H250" s="21">
        <v>2</v>
      </c>
      <c r="J250" s="9">
        <v>17500</v>
      </c>
      <c r="M250" s="21">
        <f t="shared" ref="M250:M313" si="131">J250+D249</f>
        <v>17513</v>
      </c>
    </row>
    <row r="251" spans="1:13">
      <c r="E251" s="21">
        <f t="shared" si="100"/>
        <v>251</v>
      </c>
      <c r="F251" s="9" t="s">
        <v>143</v>
      </c>
      <c r="G251" s="21">
        <v>17401</v>
      </c>
      <c r="H251" s="21">
        <v>17402</v>
      </c>
      <c r="I251" s="21">
        <v>99999</v>
      </c>
      <c r="M251" s="21">
        <f t="shared" ref="M251" si="132">IF(C249=(G250-1)/2+1,I251,IF(MOD(C249,2)=1,G251,H251))</f>
        <v>17401</v>
      </c>
    </row>
    <row r="252" spans="1:13">
      <c r="E252" s="21">
        <f t="shared" si="100"/>
        <v>252</v>
      </c>
      <c r="F252" s="9" t="s">
        <v>127</v>
      </c>
      <c r="M252" s="21">
        <v>0</v>
      </c>
    </row>
    <row r="253" spans="1:13">
      <c r="E253" s="21">
        <f t="shared" si="100"/>
        <v>253</v>
      </c>
      <c r="F253" s="9" t="s">
        <v>29</v>
      </c>
      <c r="M253" s="21" t="s">
        <v>251</v>
      </c>
    </row>
    <row r="254" spans="1:13">
      <c r="E254" s="21">
        <f t="shared" si="100"/>
        <v>254</v>
      </c>
      <c r="F254" s="9" t="s">
        <v>119</v>
      </c>
      <c r="G254" s="21" t="s">
        <v>252</v>
      </c>
      <c r="H254" s="21" t="s">
        <v>252</v>
      </c>
      <c r="M254" s="21" t="str">
        <f t="shared" ref="M254" si="133">IF(MOD(C249,2)=1,G254,H254)</f>
        <v>Shot5_red</v>
      </c>
    </row>
    <row r="255" spans="1:13">
      <c r="E255" s="21">
        <f t="shared" si="100"/>
        <v>255</v>
      </c>
      <c r="F255" s="9" t="s">
        <v>99</v>
      </c>
      <c r="K255" s="9" t="s">
        <v>138</v>
      </c>
      <c r="M255" s="21">
        <v>5</v>
      </c>
    </row>
    <row r="256" spans="1:13">
      <c r="E256" s="21">
        <f t="shared" si="100"/>
        <v>256</v>
      </c>
      <c r="F256" s="9" t="s">
        <v>176</v>
      </c>
      <c r="G256" s="21">
        <v>13.2</v>
      </c>
      <c r="H256" s="21">
        <f t="shared" ref="H256" si="134">G256/(G250-1)*(C249-1)-G256/2</f>
        <v>1.3199999999999994</v>
      </c>
      <c r="K256" s="9" t="s">
        <v>219</v>
      </c>
      <c r="M256" s="21">
        <f t="shared" ref="M256:M319" si="135">H256</f>
        <v>1.3199999999999994</v>
      </c>
    </row>
    <row r="257" spans="1:13">
      <c r="E257" s="21">
        <f t="shared" si="100"/>
        <v>257</v>
      </c>
      <c r="F257" s="9" t="s">
        <v>134</v>
      </c>
      <c r="K257" s="9" t="s">
        <v>220</v>
      </c>
    </row>
    <row r="258" spans="1:13">
      <c r="E258" s="21">
        <f t="shared" si="100"/>
        <v>258</v>
      </c>
      <c r="F258" s="9" t="s">
        <v>183</v>
      </c>
      <c r="G258" s="21">
        <v>45</v>
      </c>
      <c r="H258" s="21">
        <v>135</v>
      </c>
      <c r="L258" s="9" t="s">
        <v>135</v>
      </c>
      <c r="M258" s="21">
        <f t="shared" ref="M258" si="136">IF(B249=1,G258,H258)</f>
        <v>45</v>
      </c>
    </row>
    <row r="259" spans="1:13">
      <c r="E259" s="21">
        <f t="shared" si="100"/>
        <v>259</v>
      </c>
      <c r="F259" s="9" t="s">
        <v>117</v>
      </c>
      <c r="K259" s="9" t="s">
        <v>138</v>
      </c>
      <c r="M259" s="21">
        <v>2</v>
      </c>
    </row>
    <row r="260" spans="1:13">
      <c r="E260" s="21">
        <f t="shared" si="100"/>
        <v>260</v>
      </c>
      <c r="F260" s="9" t="s">
        <v>118</v>
      </c>
      <c r="M260" s="21" t="b">
        <v>1</v>
      </c>
    </row>
    <row r="261" spans="1:13">
      <c r="E261" s="21">
        <f t="shared" si="100"/>
        <v>261</v>
      </c>
      <c r="F261" s="9" t="s">
        <v>114</v>
      </c>
      <c r="G261" s="21">
        <v>90</v>
      </c>
      <c r="H261" s="21">
        <v>-90</v>
      </c>
      <c r="L261" s="9" t="s">
        <v>135</v>
      </c>
      <c r="M261" s="21">
        <f t="shared" ref="M261" si="137">IF(B249=1,G261,H261)</f>
        <v>90</v>
      </c>
    </row>
    <row r="262" spans="1:13">
      <c r="E262" s="21">
        <f t="shared" si="100"/>
        <v>262</v>
      </c>
      <c r="F262" s="9" t="s">
        <v>126</v>
      </c>
      <c r="M262" s="21">
        <v>10000</v>
      </c>
    </row>
    <row r="263" spans="1:13">
      <c r="E263" s="21">
        <f t="shared" si="100"/>
        <v>263</v>
      </c>
      <c r="F263" s="9" t="s">
        <v>195</v>
      </c>
      <c r="M263" s="21">
        <v>0.25</v>
      </c>
    </row>
    <row r="264" spans="1:13">
      <c r="E264" s="21">
        <f t="shared" si="100"/>
        <v>264</v>
      </c>
      <c r="F264" s="9" t="s">
        <v>197</v>
      </c>
      <c r="M264" s="21">
        <v>40</v>
      </c>
    </row>
    <row r="265" spans="1:13">
      <c r="A265" s="21" t="s">
        <v>228</v>
      </c>
      <c r="B265" s="21">
        <f t="shared" ref="B265:B328" si="138">QUOTIENT( D265-1,G266)+1</f>
        <v>1</v>
      </c>
      <c r="C265" s="21">
        <f t="shared" ref="C265" si="139">D265-(B265-1)*G266</f>
        <v>14</v>
      </c>
      <c r="D265" s="21">
        <f>COUNT($D$56:$D264)+1</f>
        <v>14</v>
      </c>
    </row>
    <row r="266" spans="1:13">
      <c r="E266" s="21">
        <f t="shared" ref="E266:E329" si="140">ROW(E266)</f>
        <v>266</v>
      </c>
      <c r="F266" s="9" t="s">
        <v>93</v>
      </c>
      <c r="G266" s="21">
        <v>21</v>
      </c>
      <c r="H266" s="21">
        <v>2</v>
      </c>
      <c r="J266" s="9">
        <v>17500</v>
      </c>
      <c r="M266" s="21">
        <f t="shared" ref="M266:M329" si="141">J266+D265</f>
        <v>17514</v>
      </c>
    </row>
    <row r="267" spans="1:13">
      <c r="E267" s="21">
        <f t="shared" si="140"/>
        <v>267</v>
      </c>
      <c r="F267" s="9" t="s">
        <v>143</v>
      </c>
      <c r="G267" s="21">
        <v>17401</v>
      </c>
      <c r="H267" s="21">
        <v>17402</v>
      </c>
      <c r="I267" s="21">
        <v>99999</v>
      </c>
      <c r="M267" s="21">
        <f t="shared" ref="M267" si="142">IF(C265=(G266-1)/2+1,I267,IF(MOD(C265,2)=1,G267,H267))</f>
        <v>17402</v>
      </c>
    </row>
    <row r="268" spans="1:13">
      <c r="E268" s="21">
        <f t="shared" si="140"/>
        <v>268</v>
      </c>
      <c r="F268" s="9" t="s">
        <v>127</v>
      </c>
      <c r="M268" s="21">
        <v>0</v>
      </c>
    </row>
    <row r="269" spans="1:13">
      <c r="E269" s="21">
        <f t="shared" si="140"/>
        <v>269</v>
      </c>
      <c r="F269" s="9" t="s">
        <v>29</v>
      </c>
      <c r="M269" s="21" t="s">
        <v>251</v>
      </c>
    </row>
    <row r="270" spans="1:13">
      <c r="E270" s="21">
        <f t="shared" si="140"/>
        <v>270</v>
      </c>
      <c r="F270" s="9" t="s">
        <v>119</v>
      </c>
      <c r="G270" s="21" t="s">
        <v>252</v>
      </c>
      <c r="H270" s="21" t="s">
        <v>252</v>
      </c>
      <c r="M270" s="21" t="str">
        <f t="shared" ref="M270" si="143">IF(MOD(C265,2)=1,G270,H270)</f>
        <v>Shot5_red</v>
      </c>
    </row>
    <row r="271" spans="1:13">
      <c r="E271" s="21">
        <f t="shared" si="140"/>
        <v>271</v>
      </c>
      <c r="F271" s="9" t="s">
        <v>99</v>
      </c>
      <c r="K271" s="9" t="s">
        <v>138</v>
      </c>
      <c r="M271" s="21">
        <v>5</v>
      </c>
    </row>
    <row r="272" spans="1:13">
      <c r="E272" s="21">
        <f t="shared" si="140"/>
        <v>272</v>
      </c>
      <c r="F272" s="9" t="s">
        <v>176</v>
      </c>
      <c r="G272" s="21">
        <v>13.2</v>
      </c>
      <c r="H272" s="21">
        <f t="shared" ref="H272" si="144">G272/(G266-1)*(C265-1)-G272/2</f>
        <v>1.9799999999999986</v>
      </c>
      <c r="K272" s="9" t="s">
        <v>219</v>
      </c>
      <c r="M272" s="21">
        <f t="shared" ref="M272:M335" si="145">H272</f>
        <v>1.9799999999999986</v>
      </c>
    </row>
    <row r="273" spans="1:13">
      <c r="E273" s="21">
        <f t="shared" si="140"/>
        <v>273</v>
      </c>
      <c r="F273" s="9" t="s">
        <v>134</v>
      </c>
      <c r="K273" s="9" t="s">
        <v>220</v>
      </c>
    </row>
    <row r="274" spans="1:13">
      <c r="E274" s="21">
        <f t="shared" si="140"/>
        <v>274</v>
      </c>
      <c r="F274" s="9" t="s">
        <v>183</v>
      </c>
      <c r="G274" s="21">
        <v>45</v>
      </c>
      <c r="H274" s="21">
        <v>135</v>
      </c>
      <c r="L274" s="9" t="s">
        <v>135</v>
      </c>
      <c r="M274" s="21">
        <f t="shared" ref="M274" si="146">IF(B265=1,G274,H274)</f>
        <v>45</v>
      </c>
    </row>
    <row r="275" spans="1:13">
      <c r="E275" s="21">
        <f t="shared" si="140"/>
        <v>275</v>
      </c>
      <c r="F275" s="9" t="s">
        <v>117</v>
      </c>
      <c r="K275" s="9" t="s">
        <v>138</v>
      </c>
      <c r="M275" s="21">
        <v>2</v>
      </c>
    </row>
    <row r="276" spans="1:13">
      <c r="E276" s="21">
        <f t="shared" si="140"/>
        <v>276</v>
      </c>
      <c r="F276" s="9" t="s">
        <v>118</v>
      </c>
      <c r="M276" s="21" t="b">
        <v>1</v>
      </c>
    </row>
    <row r="277" spans="1:13">
      <c r="E277" s="21">
        <f t="shared" si="140"/>
        <v>277</v>
      </c>
      <c r="F277" s="9" t="s">
        <v>114</v>
      </c>
      <c r="G277" s="21">
        <v>90</v>
      </c>
      <c r="H277" s="21">
        <v>-90</v>
      </c>
      <c r="L277" s="9" t="s">
        <v>135</v>
      </c>
      <c r="M277" s="21">
        <f t="shared" ref="M277" si="147">IF(B265=1,G277,H277)</f>
        <v>90</v>
      </c>
    </row>
    <row r="278" spans="1:13">
      <c r="E278" s="21">
        <f t="shared" si="140"/>
        <v>278</v>
      </c>
      <c r="F278" s="9" t="s">
        <v>126</v>
      </c>
      <c r="M278" s="21">
        <v>10000</v>
      </c>
    </row>
    <row r="279" spans="1:13">
      <c r="E279" s="21">
        <f t="shared" si="140"/>
        <v>279</v>
      </c>
      <c r="F279" s="9" t="s">
        <v>195</v>
      </c>
      <c r="M279" s="21">
        <v>0.25</v>
      </c>
    </row>
    <row r="280" spans="1:13">
      <c r="E280" s="21">
        <f t="shared" si="140"/>
        <v>280</v>
      </c>
      <c r="F280" s="9" t="s">
        <v>197</v>
      </c>
      <c r="M280" s="21">
        <v>40</v>
      </c>
    </row>
    <row r="281" spans="1:13">
      <c r="A281" s="21" t="s">
        <v>228</v>
      </c>
      <c r="B281" s="21">
        <f t="shared" ref="B281:B344" si="148">QUOTIENT( D281-1,G282)+1</f>
        <v>1</v>
      </c>
      <c r="C281" s="21">
        <f t="shared" ref="C281" si="149">D281-(B281-1)*G282</f>
        <v>15</v>
      </c>
      <c r="D281" s="21">
        <f>COUNT($D$56:$D280)+1</f>
        <v>15</v>
      </c>
    </row>
    <row r="282" spans="1:13">
      <c r="E282" s="21">
        <f t="shared" ref="E282:E345" si="150">ROW(E282)</f>
        <v>282</v>
      </c>
      <c r="F282" s="9" t="s">
        <v>93</v>
      </c>
      <c r="G282" s="21">
        <v>21</v>
      </c>
      <c r="H282" s="21">
        <v>2</v>
      </c>
      <c r="J282" s="9">
        <v>17500</v>
      </c>
      <c r="M282" s="21">
        <f t="shared" ref="M282:M345" si="151">J282+D281</f>
        <v>17515</v>
      </c>
    </row>
    <row r="283" spans="1:13">
      <c r="E283" s="21">
        <f t="shared" si="140"/>
        <v>283</v>
      </c>
      <c r="F283" s="9" t="s">
        <v>143</v>
      </c>
      <c r="G283" s="21">
        <v>17401</v>
      </c>
      <c r="H283" s="21">
        <v>17402</v>
      </c>
      <c r="I283" s="21">
        <v>99999</v>
      </c>
      <c r="M283" s="21">
        <f t="shared" ref="M283" si="152">IF(C281=(G282-1)/2+1,I283,IF(MOD(C281,2)=1,G283,H283))</f>
        <v>17401</v>
      </c>
    </row>
    <row r="284" spans="1:13">
      <c r="E284" s="21">
        <f t="shared" si="140"/>
        <v>284</v>
      </c>
      <c r="F284" s="9" t="s">
        <v>127</v>
      </c>
      <c r="M284" s="21">
        <v>0</v>
      </c>
    </row>
    <row r="285" spans="1:13">
      <c r="E285" s="21">
        <f t="shared" si="140"/>
        <v>285</v>
      </c>
      <c r="F285" s="9" t="s">
        <v>29</v>
      </c>
      <c r="M285" s="21" t="s">
        <v>251</v>
      </c>
    </row>
    <row r="286" spans="1:13">
      <c r="E286" s="21">
        <f t="shared" si="140"/>
        <v>286</v>
      </c>
      <c r="F286" s="9" t="s">
        <v>119</v>
      </c>
      <c r="G286" s="21" t="s">
        <v>252</v>
      </c>
      <c r="H286" s="21" t="s">
        <v>252</v>
      </c>
      <c r="M286" s="21" t="str">
        <f t="shared" ref="M286" si="153">IF(MOD(C281,2)=1,G286,H286)</f>
        <v>Shot5_red</v>
      </c>
    </row>
    <row r="287" spans="1:13">
      <c r="E287" s="21">
        <f t="shared" si="140"/>
        <v>287</v>
      </c>
      <c r="F287" s="9" t="s">
        <v>99</v>
      </c>
      <c r="K287" s="9" t="s">
        <v>138</v>
      </c>
      <c r="M287" s="21">
        <v>5</v>
      </c>
    </row>
    <row r="288" spans="1:13">
      <c r="E288" s="21">
        <f t="shared" si="140"/>
        <v>288</v>
      </c>
      <c r="F288" s="9" t="s">
        <v>176</v>
      </c>
      <c r="G288" s="21">
        <v>13.2</v>
      </c>
      <c r="H288" s="21">
        <f t="shared" ref="H288" si="154">G288/(G282-1)*(C281-1)-G288/2</f>
        <v>2.6399999999999988</v>
      </c>
      <c r="K288" s="9" t="s">
        <v>219</v>
      </c>
      <c r="M288" s="21">
        <f t="shared" ref="M288:M351" si="155">H288</f>
        <v>2.6399999999999988</v>
      </c>
    </row>
    <row r="289" spans="1:13">
      <c r="E289" s="21">
        <f t="shared" si="140"/>
        <v>289</v>
      </c>
      <c r="F289" s="9" t="s">
        <v>134</v>
      </c>
      <c r="K289" s="9" t="s">
        <v>220</v>
      </c>
    </row>
    <row r="290" spans="1:13">
      <c r="E290" s="21">
        <f t="shared" si="140"/>
        <v>290</v>
      </c>
      <c r="F290" s="9" t="s">
        <v>183</v>
      </c>
      <c r="G290" s="21">
        <v>45</v>
      </c>
      <c r="H290" s="21">
        <v>135</v>
      </c>
      <c r="L290" s="9" t="s">
        <v>135</v>
      </c>
      <c r="M290" s="21">
        <f t="shared" ref="M290" si="156">IF(B281=1,G290,H290)</f>
        <v>45</v>
      </c>
    </row>
    <row r="291" spans="1:13">
      <c r="E291" s="21">
        <f t="shared" si="140"/>
        <v>291</v>
      </c>
      <c r="F291" s="9" t="s">
        <v>117</v>
      </c>
      <c r="K291" s="9" t="s">
        <v>138</v>
      </c>
      <c r="M291" s="21">
        <v>2</v>
      </c>
    </row>
    <row r="292" spans="1:13">
      <c r="E292" s="21">
        <f t="shared" si="140"/>
        <v>292</v>
      </c>
      <c r="F292" s="9" t="s">
        <v>118</v>
      </c>
      <c r="M292" s="21" t="b">
        <v>1</v>
      </c>
    </row>
    <row r="293" spans="1:13">
      <c r="E293" s="21">
        <f t="shared" si="140"/>
        <v>293</v>
      </c>
      <c r="F293" s="9" t="s">
        <v>114</v>
      </c>
      <c r="G293" s="21">
        <v>90</v>
      </c>
      <c r="H293" s="21">
        <v>-90</v>
      </c>
      <c r="L293" s="9" t="s">
        <v>135</v>
      </c>
      <c r="M293" s="21">
        <f t="shared" ref="M293" si="157">IF(B281=1,G293,H293)</f>
        <v>90</v>
      </c>
    </row>
    <row r="294" spans="1:13">
      <c r="E294" s="21">
        <f t="shared" si="140"/>
        <v>294</v>
      </c>
      <c r="F294" s="9" t="s">
        <v>126</v>
      </c>
      <c r="M294" s="21">
        <v>10000</v>
      </c>
    </row>
    <row r="295" spans="1:13">
      <c r="E295" s="21">
        <f t="shared" si="140"/>
        <v>295</v>
      </c>
      <c r="F295" s="9" t="s">
        <v>195</v>
      </c>
      <c r="M295" s="21">
        <v>0.25</v>
      </c>
    </row>
    <row r="296" spans="1:13">
      <c r="E296" s="21">
        <f t="shared" si="140"/>
        <v>296</v>
      </c>
      <c r="F296" s="9" t="s">
        <v>197</v>
      </c>
      <c r="M296" s="21">
        <v>40</v>
      </c>
    </row>
    <row r="297" spans="1:13">
      <c r="A297" s="21" t="s">
        <v>228</v>
      </c>
      <c r="B297" s="21">
        <f t="shared" ref="B297:B360" si="158">QUOTIENT( D297-1,G298)+1</f>
        <v>1</v>
      </c>
      <c r="C297" s="21">
        <f t="shared" ref="C297" si="159">D297-(B297-1)*G298</f>
        <v>16</v>
      </c>
      <c r="D297" s="21">
        <f>COUNT($D$56:$D296)+1</f>
        <v>16</v>
      </c>
    </row>
    <row r="298" spans="1:13">
      <c r="E298" s="21">
        <f t="shared" ref="E298:E361" si="160">ROW(E298)</f>
        <v>298</v>
      </c>
      <c r="F298" s="9" t="s">
        <v>93</v>
      </c>
      <c r="G298" s="21">
        <v>21</v>
      </c>
      <c r="H298" s="21">
        <v>2</v>
      </c>
      <c r="J298" s="9">
        <v>17500</v>
      </c>
      <c r="M298" s="21">
        <f t="shared" ref="M298:M361" si="161">J298+D297</f>
        <v>17516</v>
      </c>
    </row>
    <row r="299" spans="1:13">
      <c r="E299" s="21">
        <f t="shared" si="140"/>
        <v>299</v>
      </c>
      <c r="F299" s="9" t="s">
        <v>143</v>
      </c>
      <c r="G299" s="21">
        <v>17401</v>
      </c>
      <c r="H299" s="21">
        <v>17402</v>
      </c>
      <c r="I299" s="21">
        <v>99999</v>
      </c>
      <c r="M299" s="21">
        <f t="shared" ref="M299" si="162">IF(C297=(G298-1)/2+1,I299,IF(MOD(C297,2)=1,G299,H299))</f>
        <v>17402</v>
      </c>
    </row>
    <row r="300" spans="1:13">
      <c r="E300" s="21">
        <f t="shared" si="140"/>
        <v>300</v>
      </c>
      <c r="F300" s="9" t="s">
        <v>127</v>
      </c>
      <c r="M300" s="21">
        <v>0</v>
      </c>
    </row>
    <row r="301" spans="1:13">
      <c r="E301" s="21">
        <f t="shared" si="140"/>
        <v>301</v>
      </c>
      <c r="F301" s="9" t="s">
        <v>29</v>
      </c>
      <c r="M301" s="21" t="s">
        <v>251</v>
      </c>
    </row>
    <row r="302" spans="1:13">
      <c r="E302" s="21">
        <f t="shared" si="140"/>
        <v>302</v>
      </c>
      <c r="F302" s="9" t="s">
        <v>119</v>
      </c>
      <c r="G302" s="21" t="s">
        <v>252</v>
      </c>
      <c r="H302" s="21" t="s">
        <v>252</v>
      </c>
      <c r="M302" s="21" t="str">
        <f t="shared" ref="M302" si="163">IF(MOD(C297,2)=1,G302,H302)</f>
        <v>Shot5_red</v>
      </c>
    </row>
    <row r="303" spans="1:13">
      <c r="E303" s="21">
        <f t="shared" si="140"/>
        <v>303</v>
      </c>
      <c r="F303" s="9" t="s">
        <v>99</v>
      </c>
      <c r="K303" s="9" t="s">
        <v>138</v>
      </c>
      <c r="M303" s="21">
        <v>5</v>
      </c>
    </row>
    <row r="304" spans="1:13">
      <c r="E304" s="21">
        <f t="shared" si="140"/>
        <v>304</v>
      </c>
      <c r="F304" s="9" t="s">
        <v>176</v>
      </c>
      <c r="G304" s="21">
        <v>13.2</v>
      </c>
      <c r="H304" s="21">
        <f t="shared" ref="H304" si="164">G304/(G298-1)*(C297-1)-G304/2</f>
        <v>3.2999999999999989</v>
      </c>
      <c r="K304" s="9" t="s">
        <v>219</v>
      </c>
      <c r="M304" s="21">
        <f t="shared" ref="M304:M367" si="165">H304</f>
        <v>3.2999999999999989</v>
      </c>
    </row>
    <row r="305" spans="1:13">
      <c r="E305" s="21">
        <f t="shared" si="140"/>
        <v>305</v>
      </c>
      <c r="F305" s="9" t="s">
        <v>134</v>
      </c>
      <c r="K305" s="9" t="s">
        <v>220</v>
      </c>
    </row>
    <row r="306" spans="1:13">
      <c r="E306" s="21">
        <f t="shared" si="140"/>
        <v>306</v>
      </c>
      <c r="F306" s="9" t="s">
        <v>183</v>
      </c>
      <c r="G306" s="21">
        <v>45</v>
      </c>
      <c r="H306" s="21">
        <v>135</v>
      </c>
      <c r="L306" s="9" t="s">
        <v>135</v>
      </c>
      <c r="M306" s="21">
        <f t="shared" ref="M306" si="166">IF(B297=1,G306,H306)</f>
        <v>45</v>
      </c>
    </row>
    <row r="307" spans="1:13">
      <c r="E307" s="21">
        <f t="shared" si="140"/>
        <v>307</v>
      </c>
      <c r="F307" s="9" t="s">
        <v>117</v>
      </c>
      <c r="K307" s="9" t="s">
        <v>138</v>
      </c>
      <c r="M307" s="21">
        <v>2</v>
      </c>
    </row>
    <row r="308" spans="1:13">
      <c r="E308" s="21">
        <f t="shared" si="140"/>
        <v>308</v>
      </c>
      <c r="F308" s="9" t="s">
        <v>118</v>
      </c>
      <c r="M308" s="21" t="b">
        <v>1</v>
      </c>
    </row>
    <row r="309" spans="1:13">
      <c r="E309" s="21">
        <f t="shared" si="140"/>
        <v>309</v>
      </c>
      <c r="F309" s="9" t="s">
        <v>114</v>
      </c>
      <c r="G309" s="21">
        <v>90</v>
      </c>
      <c r="H309" s="21">
        <v>-90</v>
      </c>
      <c r="L309" s="9" t="s">
        <v>135</v>
      </c>
      <c r="M309" s="21">
        <f t="shared" ref="M309" si="167">IF(B297=1,G309,H309)</f>
        <v>90</v>
      </c>
    </row>
    <row r="310" spans="1:13">
      <c r="E310" s="21">
        <f t="shared" si="140"/>
        <v>310</v>
      </c>
      <c r="F310" s="9" t="s">
        <v>126</v>
      </c>
      <c r="M310" s="21">
        <v>10000</v>
      </c>
    </row>
    <row r="311" spans="1:13">
      <c r="E311" s="21">
        <f t="shared" si="140"/>
        <v>311</v>
      </c>
      <c r="F311" s="9" t="s">
        <v>195</v>
      </c>
      <c r="M311" s="21">
        <v>0.25</v>
      </c>
    </row>
    <row r="312" spans="1:13">
      <c r="E312" s="21">
        <f t="shared" si="140"/>
        <v>312</v>
      </c>
      <c r="F312" s="9" t="s">
        <v>197</v>
      </c>
      <c r="M312" s="21">
        <v>40</v>
      </c>
    </row>
    <row r="313" spans="1:13">
      <c r="A313" s="21" t="s">
        <v>228</v>
      </c>
      <c r="B313" s="21">
        <f t="shared" ref="B313:B376" si="168">QUOTIENT( D313-1,G314)+1</f>
        <v>1</v>
      </c>
      <c r="C313" s="21">
        <f t="shared" ref="C313" si="169">D313-(B313-1)*G314</f>
        <v>17</v>
      </c>
      <c r="D313" s="21">
        <f>COUNT($D$56:$D312)+1</f>
        <v>17</v>
      </c>
    </row>
    <row r="314" spans="1:13">
      <c r="E314" s="21">
        <f t="shared" ref="E314:E377" si="170">ROW(E314)</f>
        <v>314</v>
      </c>
      <c r="F314" s="9" t="s">
        <v>93</v>
      </c>
      <c r="G314" s="21">
        <v>21</v>
      </c>
      <c r="H314" s="21">
        <v>2</v>
      </c>
      <c r="J314" s="9">
        <v>17500</v>
      </c>
      <c r="M314" s="21">
        <f t="shared" ref="M314:M377" si="171">J314+D313</f>
        <v>17517</v>
      </c>
    </row>
    <row r="315" spans="1:13">
      <c r="E315" s="21">
        <f t="shared" si="140"/>
        <v>315</v>
      </c>
      <c r="F315" s="9" t="s">
        <v>143</v>
      </c>
      <c r="G315" s="21">
        <v>17401</v>
      </c>
      <c r="H315" s="21">
        <v>17402</v>
      </c>
      <c r="I315" s="21">
        <v>99999</v>
      </c>
      <c r="M315" s="21">
        <f t="shared" ref="M315" si="172">IF(C313=(G314-1)/2+1,I315,IF(MOD(C313,2)=1,G315,H315))</f>
        <v>17401</v>
      </c>
    </row>
    <row r="316" spans="1:13">
      <c r="E316" s="21">
        <f t="shared" si="140"/>
        <v>316</v>
      </c>
      <c r="F316" s="9" t="s">
        <v>127</v>
      </c>
      <c r="M316" s="21">
        <v>0</v>
      </c>
    </row>
    <row r="317" spans="1:13">
      <c r="E317" s="21">
        <f t="shared" si="140"/>
        <v>317</v>
      </c>
      <c r="F317" s="9" t="s">
        <v>29</v>
      </c>
      <c r="M317" s="21" t="s">
        <v>251</v>
      </c>
    </row>
    <row r="318" spans="1:13">
      <c r="E318" s="21">
        <f t="shared" si="140"/>
        <v>318</v>
      </c>
      <c r="F318" s="9" t="s">
        <v>119</v>
      </c>
      <c r="G318" s="21" t="s">
        <v>252</v>
      </c>
      <c r="H318" s="21" t="s">
        <v>252</v>
      </c>
      <c r="M318" s="21" t="str">
        <f t="shared" ref="M318" si="173">IF(MOD(C313,2)=1,G318,H318)</f>
        <v>Shot5_red</v>
      </c>
    </row>
    <row r="319" spans="1:13">
      <c r="E319" s="21">
        <f t="shared" si="140"/>
        <v>319</v>
      </c>
      <c r="F319" s="9" t="s">
        <v>99</v>
      </c>
      <c r="K319" s="9" t="s">
        <v>138</v>
      </c>
      <c r="M319" s="21">
        <v>5</v>
      </c>
    </row>
    <row r="320" spans="1:13">
      <c r="E320" s="21">
        <f t="shared" si="140"/>
        <v>320</v>
      </c>
      <c r="F320" s="9" t="s">
        <v>176</v>
      </c>
      <c r="G320" s="21">
        <v>13.2</v>
      </c>
      <c r="H320" s="21">
        <f t="shared" ref="H320" si="174">G320/(G314-1)*(C313-1)-G320/2</f>
        <v>3.9599999999999991</v>
      </c>
      <c r="K320" s="9" t="s">
        <v>219</v>
      </c>
      <c r="M320" s="21">
        <f t="shared" ref="M320:M383" si="175">H320</f>
        <v>3.9599999999999991</v>
      </c>
    </row>
    <row r="321" spans="1:13">
      <c r="E321" s="21">
        <f t="shared" si="140"/>
        <v>321</v>
      </c>
      <c r="F321" s="9" t="s">
        <v>134</v>
      </c>
      <c r="K321" s="9" t="s">
        <v>220</v>
      </c>
    </row>
    <row r="322" spans="1:13">
      <c r="E322" s="21">
        <f t="shared" si="140"/>
        <v>322</v>
      </c>
      <c r="F322" s="9" t="s">
        <v>183</v>
      </c>
      <c r="G322" s="21">
        <v>45</v>
      </c>
      <c r="H322" s="21">
        <v>135</v>
      </c>
      <c r="L322" s="9" t="s">
        <v>135</v>
      </c>
      <c r="M322" s="21">
        <f t="shared" ref="M322" si="176">IF(B313=1,G322,H322)</f>
        <v>45</v>
      </c>
    </row>
    <row r="323" spans="1:13">
      <c r="E323" s="21">
        <f t="shared" si="140"/>
        <v>323</v>
      </c>
      <c r="F323" s="9" t="s">
        <v>117</v>
      </c>
      <c r="K323" s="9" t="s">
        <v>138</v>
      </c>
      <c r="M323" s="21">
        <v>2</v>
      </c>
    </row>
    <row r="324" spans="1:13">
      <c r="E324" s="21">
        <f t="shared" si="140"/>
        <v>324</v>
      </c>
      <c r="F324" s="9" t="s">
        <v>118</v>
      </c>
      <c r="M324" s="21" t="b">
        <v>1</v>
      </c>
    </row>
    <row r="325" spans="1:13">
      <c r="E325" s="21">
        <f t="shared" si="140"/>
        <v>325</v>
      </c>
      <c r="F325" s="9" t="s">
        <v>114</v>
      </c>
      <c r="G325" s="21">
        <v>90</v>
      </c>
      <c r="H325" s="21">
        <v>-90</v>
      </c>
      <c r="L325" s="9" t="s">
        <v>135</v>
      </c>
      <c r="M325" s="21">
        <f t="shared" ref="M325" si="177">IF(B313=1,G325,H325)</f>
        <v>90</v>
      </c>
    </row>
    <row r="326" spans="1:13">
      <c r="E326" s="21">
        <f t="shared" si="140"/>
        <v>326</v>
      </c>
      <c r="F326" s="9" t="s">
        <v>126</v>
      </c>
      <c r="M326" s="21">
        <v>10000</v>
      </c>
    </row>
    <row r="327" spans="1:13">
      <c r="E327" s="21">
        <f t="shared" si="140"/>
        <v>327</v>
      </c>
      <c r="F327" s="9" t="s">
        <v>195</v>
      </c>
      <c r="M327" s="21">
        <v>0.25</v>
      </c>
    </row>
    <row r="328" spans="1:13">
      <c r="E328" s="21">
        <f t="shared" si="140"/>
        <v>328</v>
      </c>
      <c r="F328" s="9" t="s">
        <v>197</v>
      </c>
      <c r="M328" s="21">
        <v>40</v>
      </c>
    </row>
    <row r="329" spans="1:13">
      <c r="A329" s="21" t="s">
        <v>228</v>
      </c>
      <c r="B329" s="21">
        <f t="shared" ref="B329:B392" si="178">QUOTIENT( D329-1,G330)+1</f>
        <v>1</v>
      </c>
      <c r="C329" s="21">
        <f t="shared" ref="C329" si="179">D329-(B329-1)*G330</f>
        <v>18</v>
      </c>
      <c r="D329" s="21">
        <f>COUNT($D$56:$D328)+1</f>
        <v>18</v>
      </c>
    </row>
    <row r="330" spans="1:13">
      <c r="E330" s="21">
        <f t="shared" ref="E330:E393" si="180">ROW(E330)</f>
        <v>330</v>
      </c>
      <c r="F330" s="9" t="s">
        <v>93</v>
      </c>
      <c r="G330" s="21">
        <v>21</v>
      </c>
      <c r="H330" s="21">
        <v>2</v>
      </c>
      <c r="J330" s="9">
        <v>17500</v>
      </c>
      <c r="M330" s="21">
        <f t="shared" ref="M330:M393" si="181">J330+D329</f>
        <v>17518</v>
      </c>
    </row>
    <row r="331" spans="1:13">
      <c r="E331" s="21">
        <f t="shared" si="180"/>
        <v>331</v>
      </c>
      <c r="F331" s="9" t="s">
        <v>143</v>
      </c>
      <c r="G331" s="21">
        <v>17401</v>
      </c>
      <c r="H331" s="21">
        <v>17402</v>
      </c>
      <c r="I331" s="21">
        <v>99999</v>
      </c>
      <c r="M331" s="21">
        <f t="shared" ref="M331" si="182">IF(C329=(G330-1)/2+1,I331,IF(MOD(C329,2)=1,G331,H331))</f>
        <v>17402</v>
      </c>
    </row>
    <row r="332" spans="1:13">
      <c r="E332" s="21">
        <f t="shared" si="180"/>
        <v>332</v>
      </c>
      <c r="F332" s="9" t="s">
        <v>127</v>
      </c>
      <c r="M332" s="21">
        <v>0</v>
      </c>
    </row>
    <row r="333" spans="1:13">
      <c r="E333" s="21">
        <f t="shared" si="180"/>
        <v>333</v>
      </c>
      <c r="F333" s="9" t="s">
        <v>29</v>
      </c>
      <c r="M333" s="21" t="s">
        <v>251</v>
      </c>
    </row>
    <row r="334" spans="1:13">
      <c r="E334" s="21">
        <f t="shared" si="180"/>
        <v>334</v>
      </c>
      <c r="F334" s="9" t="s">
        <v>119</v>
      </c>
      <c r="G334" s="21" t="s">
        <v>252</v>
      </c>
      <c r="H334" s="21" t="s">
        <v>252</v>
      </c>
      <c r="M334" s="21" t="str">
        <f t="shared" ref="M334" si="183">IF(MOD(C329,2)=1,G334,H334)</f>
        <v>Shot5_red</v>
      </c>
    </row>
    <row r="335" spans="1:13">
      <c r="E335" s="21">
        <f t="shared" si="180"/>
        <v>335</v>
      </c>
      <c r="F335" s="9" t="s">
        <v>99</v>
      </c>
      <c r="K335" s="9" t="s">
        <v>138</v>
      </c>
      <c r="M335" s="21">
        <v>5</v>
      </c>
    </row>
    <row r="336" spans="1:13">
      <c r="E336" s="21">
        <f t="shared" si="180"/>
        <v>336</v>
      </c>
      <c r="F336" s="9" t="s">
        <v>176</v>
      </c>
      <c r="G336" s="21">
        <v>13.2</v>
      </c>
      <c r="H336" s="21">
        <f t="shared" ref="H336" si="184">G336/(G330-1)*(C329-1)-G336/2</f>
        <v>4.6199999999999992</v>
      </c>
      <c r="K336" s="9" t="s">
        <v>219</v>
      </c>
      <c r="M336" s="21">
        <f t="shared" ref="M336:M399" si="185">H336</f>
        <v>4.6199999999999992</v>
      </c>
    </row>
    <row r="337" spans="1:13">
      <c r="E337" s="21">
        <f t="shared" si="180"/>
        <v>337</v>
      </c>
      <c r="F337" s="9" t="s">
        <v>134</v>
      </c>
      <c r="K337" s="9" t="s">
        <v>220</v>
      </c>
    </row>
    <row r="338" spans="1:13">
      <c r="E338" s="21">
        <f t="shared" si="180"/>
        <v>338</v>
      </c>
      <c r="F338" s="9" t="s">
        <v>183</v>
      </c>
      <c r="G338" s="21">
        <v>45</v>
      </c>
      <c r="H338" s="21">
        <v>135</v>
      </c>
      <c r="L338" s="9" t="s">
        <v>135</v>
      </c>
      <c r="M338" s="21">
        <f t="shared" ref="M338" si="186">IF(B329=1,G338,H338)</f>
        <v>45</v>
      </c>
    </row>
    <row r="339" spans="1:13">
      <c r="E339" s="21">
        <f t="shared" si="180"/>
        <v>339</v>
      </c>
      <c r="F339" s="9" t="s">
        <v>117</v>
      </c>
      <c r="K339" s="9" t="s">
        <v>138</v>
      </c>
      <c r="M339" s="21">
        <v>2</v>
      </c>
    </row>
    <row r="340" spans="1:13">
      <c r="E340" s="21">
        <f t="shared" si="180"/>
        <v>340</v>
      </c>
      <c r="F340" s="9" t="s">
        <v>118</v>
      </c>
      <c r="M340" s="21" t="b">
        <v>1</v>
      </c>
    </row>
    <row r="341" spans="1:13">
      <c r="E341" s="21">
        <f t="shared" si="180"/>
        <v>341</v>
      </c>
      <c r="F341" s="9" t="s">
        <v>114</v>
      </c>
      <c r="G341" s="21">
        <v>90</v>
      </c>
      <c r="H341" s="21">
        <v>-90</v>
      </c>
      <c r="L341" s="9" t="s">
        <v>135</v>
      </c>
      <c r="M341" s="21">
        <f t="shared" ref="M341" si="187">IF(B329=1,G341,H341)</f>
        <v>90</v>
      </c>
    </row>
    <row r="342" spans="1:13">
      <c r="E342" s="21">
        <f t="shared" si="180"/>
        <v>342</v>
      </c>
      <c r="F342" s="9" t="s">
        <v>126</v>
      </c>
      <c r="M342" s="21">
        <v>10000</v>
      </c>
    </row>
    <row r="343" spans="1:13">
      <c r="E343" s="21">
        <f t="shared" si="180"/>
        <v>343</v>
      </c>
      <c r="F343" s="9" t="s">
        <v>195</v>
      </c>
      <c r="M343" s="21">
        <v>0.25</v>
      </c>
    </row>
    <row r="344" spans="1:13">
      <c r="E344" s="21">
        <f t="shared" si="180"/>
        <v>344</v>
      </c>
      <c r="F344" s="9" t="s">
        <v>197</v>
      </c>
      <c r="M344" s="21">
        <v>40</v>
      </c>
    </row>
    <row r="345" spans="1:13">
      <c r="A345" s="21" t="s">
        <v>228</v>
      </c>
      <c r="B345" s="21">
        <f t="shared" ref="B345:B408" si="188">QUOTIENT( D345-1,G346)+1</f>
        <v>1</v>
      </c>
      <c r="C345" s="21">
        <f t="shared" ref="C345" si="189">D345-(B345-1)*G346</f>
        <v>19</v>
      </c>
      <c r="D345" s="21">
        <f>COUNT($D$56:$D344)+1</f>
        <v>19</v>
      </c>
    </row>
    <row r="346" spans="1:13">
      <c r="E346" s="21">
        <f t="shared" ref="E346:E409" si="190">ROW(E346)</f>
        <v>346</v>
      </c>
      <c r="F346" s="9" t="s">
        <v>93</v>
      </c>
      <c r="G346" s="21">
        <v>21</v>
      </c>
      <c r="H346" s="21">
        <v>2</v>
      </c>
      <c r="J346" s="9">
        <v>17500</v>
      </c>
      <c r="M346" s="21">
        <f t="shared" ref="M346:M409" si="191">J346+D345</f>
        <v>17519</v>
      </c>
    </row>
    <row r="347" spans="1:13">
      <c r="E347" s="21">
        <f t="shared" si="180"/>
        <v>347</v>
      </c>
      <c r="F347" s="9" t="s">
        <v>143</v>
      </c>
      <c r="G347" s="21">
        <v>17401</v>
      </c>
      <c r="H347" s="21">
        <v>17402</v>
      </c>
      <c r="I347" s="21">
        <v>99999</v>
      </c>
      <c r="M347" s="21">
        <f t="shared" ref="M347" si="192">IF(C345=(G346-1)/2+1,I347,IF(MOD(C345,2)=1,G347,H347))</f>
        <v>17401</v>
      </c>
    </row>
    <row r="348" spans="1:13">
      <c r="E348" s="21">
        <f t="shared" si="180"/>
        <v>348</v>
      </c>
      <c r="F348" s="9" t="s">
        <v>127</v>
      </c>
      <c r="M348" s="21">
        <v>0</v>
      </c>
    </row>
    <row r="349" spans="1:13">
      <c r="E349" s="21">
        <f t="shared" si="180"/>
        <v>349</v>
      </c>
      <c r="F349" s="9" t="s">
        <v>29</v>
      </c>
      <c r="M349" s="21" t="s">
        <v>251</v>
      </c>
    </row>
    <row r="350" spans="1:13">
      <c r="E350" s="21">
        <f t="shared" si="180"/>
        <v>350</v>
      </c>
      <c r="F350" s="9" t="s">
        <v>119</v>
      </c>
      <c r="G350" s="21" t="s">
        <v>252</v>
      </c>
      <c r="H350" s="21" t="s">
        <v>252</v>
      </c>
      <c r="M350" s="21" t="str">
        <f t="shared" ref="M350" si="193">IF(MOD(C345,2)=1,G350,H350)</f>
        <v>Shot5_red</v>
      </c>
    </row>
    <row r="351" spans="1:13">
      <c r="E351" s="21">
        <f t="shared" si="180"/>
        <v>351</v>
      </c>
      <c r="F351" s="9" t="s">
        <v>99</v>
      </c>
      <c r="K351" s="9" t="s">
        <v>138</v>
      </c>
      <c r="M351" s="21">
        <v>5</v>
      </c>
    </row>
    <row r="352" spans="1:13">
      <c r="E352" s="21">
        <f t="shared" si="180"/>
        <v>352</v>
      </c>
      <c r="F352" s="9" t="s">
        <v>176</v>
      </c>
      <c r="G352" s="21">
        <v>13.2</v>
      </c>
      <c r="H352" s="21">
        <f t="shared" ref="H352" si="194">G352/(G346-1)*(C345-1)-G352/2</f>
        <v>5.2799999999999994</v>
      </c>
      <c r="K352" s="9" t="s">
        <v>219</v>
      </c>
      <c r="M352" s="21">
        <f t="shared" ref="M352:M415" si="195">H352</f>
        <v>5.2799999999999994</v>
      </c>
    </row>
    <row r="353" spans="1:13">
      <c r="E353" s="21">
        <f t="shared" si="180"/>
        <v>353</v>
      </c>
      <c r="F353" s="9" t="s">
        <v>134</v>
      </c>
      <c r="K353" s="9" t="s">
        <v>220</v>
      </c>
    </row>
    <row r="354" spans="1:13">
      <c r="E354" s="21">
        <f t="shared" si="180"/>
        <v>354</v>
      </c>
      <c r="F354" s="9" t="s">
        <v>183</v>
      </c>
      <c r="G354" s="21">
        <v>45</v>
      </c>
      <c r="H354" s="21">
        <v>135</v>
      </c>
      <c r="L354" s="9" t="s">
        <v>135</v>
      </c>
      <c r="M354" s="21">
        <f t="shared" ref="M354" si="196">IF(B345=1,G354,H354)</f>
        <v>45</v>
      </c>
    </row>
    <row r="355" spans="1:13">
      <c r="E355" s="21">
        <f t="shared" si="180"/>
        <v>355</v>
      </c>
      <c r="F355" s="9" t="s">
        <v>117</v>
      </c>
      <c r="K355" s="9" t="s">
        <v>138</v>
      </c>
      <c r="M355" s="21">
        <v>2</v>
      </c>
    </row>
    <row r="356" spans="1:13">
      <c r="E356" s="21">
        <f t="shared" si="180"/>
        <v>356</v>
      </c>
      <c r="F356" s="9" t="s">
        <v>118</v>
      </c>
      <c r="M356" s="21" t="b">
        <v>1</v>
      </c>
    </row>
    <row r="357" spans="1:13">
      <c r="E357" s="21">
        <f t="shared" si="180"/>
        <v>357</v>
      </c>
      <c r="F357" s="9" t="s">
        <v>114</v>
      </c>
      <c r="G357" s="21">
        <v>90</v>
      </c>
      <c r="H357" s="21">
        <v>-90</v>
      </c>
      <c r="L357" s="9" t="s">
        <v>135</v>
      </c>
      <c r="M357" s="21">
        <f t="shared" ref="M357" si="197">IF(B345=1,G357,H357)</f>
        <v>90</v>
      </c>
    </row>
    <row r="358" spans="1:13">
      <c r="E358" s="21">
        <f t="shared" si="180"/>
        <v>358</v>
      </c>
      <c r="F358" s="9" t="s">
        <v>126</v>
      </c>
      <c r="M358" s="21">
        <v>10000</v>
      </c>
    </row>
    <row r="359" spans="1:13">
      <c r="E359" s="21">
        <f t="shared" si="180"/>
        <v>359</v>
      </c>
      <c r="F359" s="9" t="s">
        <v>195</v>
      </c>
      <c r="M359" s="21">
        <v>0.25</v>
      </c>
    </row>
    <row r="360" spans="1:13">
      <c r="E360" s="21">
        <f t="shared" si="180"/>
        <v>360</v>
      </c>
      <c r="F360" s="9" t="s">
        <v>197</v>
      </c>
      <c r="M360" s="21">
        <v>40</v>
      </c>
    </row>
    <row r="361" spans="1:13">
      <c r="A361" s="21" t="s">
        <v>228</v>
      </c>
      <c r="B361" s="21">
        <f t="shared" ref="B361:B424" si="198">QUOTIENT( D361-1,G362)+1</f>
        <v>1</v>
      </c>
      <c r="C361" s="21">
        <f t="shared" ref="C361" si="199">D361-(B361-1)*G362</f>
        <v>20</v>
      </c>
      <c r="D361" s="21">
        <f>COUNT($D$56:$D360)+1</f>
        <v>20</v>
      </c>
    </row>
    <row r="362" spans="1:13">
      <c r="E362" s="21">
        <f t="shared" ref="E362:E425" si="200">ROW(E362)</f>
        <v>362</v>
      </c>
      <c r="F362" s="9" t="s">
        <v>93</v>
      </c>
      <c r="G362" s="21">
        <v>21</v>
      </c>
      <c r="H362" s="21">
        <v>2</v>
      </c>
      <c r="J362" s="9">
        <v>17500</v>
      </c>
      <c r="M362" s="21">
        <f t="shared" ref="M362:M425" si="201">J362+D361</f>
        <v>17520</v>
      </c>
    </row>
    <row r="363" spans="1:13">
      <c r="E363" s="21">
        <f t="shared" si="180"/>
        <v>363</v>
      </c>
      <c r="F363" s="9" t="s">
        <v>143</v>
      </c>
      <c r="G363" s="21">
        <v>17401</v>
      </c>
      <c r="H363" s="21">
        <v>17402</v>
      </c>
      <c r="I363" s="21">
        <v>99999</v>
      </c>
      <c r="M363" s="21">
        <f t="shared" ref="M363" si="202">IF(C361=(G362-1)/2+1,I363,IF(MOD(C361,2)=1,G363,H363))</f>
        <v>17402</v>
      </c>
    </row>
    <row r="364" spans="1:13">
      <c r="E364" s="21">
        <f t="shared" si="180"/>
        <v>364</v>
      </c>
      <c r="F364" s="9" t="s">
        <v>127</v>
      </c>
      <c r="M364" s="21">
        <v>0</v>
      </c>
    </row>
    <row r="365" spans="1:13">
      <c r="E365" s="21">
        <f t="shared" si="180"/>
        <v>365</v>
      </c>
      <c r="F365" s="9" t="s">
        <v>29</v>
      </c>
      <c r="M365" s="21" t="s">
        <v>251</v>
      </c>
    </row>
    <row r="366" spans="1:13">
      <c r="E366" s="21">
        <f t="shared" si="180"/>
        <v>366</v>
      </c>
      <c r="F366" s="9" t="s">
        <v>119</v>
      </c>
      <c r="G366" s="21" t="s">
        <v>252</v>
      </c>
      <c r="H366" s="21" t="s">
        <v>252</v>
      </c>
      <c r="M366" s="21" t="str">
        <f t="shared" ref="M366" si="203">IF(MOD(C361,2)=1,G366,H366)</f>
        <v>Shot5_red</v>
      </c>
    </row>
    <row r="367" spans="1:13">
      <c r="E367" s="21">
        <f t="shared" si="180"/>
        <v>367</v>
      </c>
      <c r="F367" s="9" t="s">
        <v>99</v>
      </c>
      <c r="K367" s="9" t="s">
        <v>138</v>
      </c>
      <c r="M367" s="21">
        <v>5</v>
      </c>
    </row>
    <row r="368" spans="1:13">
      <c r="E368" s="21">
        <f t="shared" si="180"/>
        <v>368</v>
      </c>
      <c r="F368" s="9" t="s">
        <v>176</v>
      </c>
      <c r="G368" s="21">
        <v>13.2</v>
      </c>
      <c r="H368" s="21">
        <f t="shared" ref="H368" si="204">G368/(G362-1)*(C361-1)-G368/2</f>
        <v>5.9399999999999995</v>
      </c>
      <c r="K368" s="9" t="s">
        <v>219</v>
      </c>
      <c r="M368" s="21">
        <f t="shared" ref="M368:M431" si="205">H368</f>
        <v>5.9399999999999995</v>
      </c>
    </row>
    <row r="369" spans="1:13">
      <c r="E369" s="21">
        <f t="shared" si="180"/>
        <v>369</v>
      </c>
      <c r="F369" s="9" t="s">
        <v>134</v>
      </c>
      <c r="K369" s="9" t="s">
        <v>220</v>
      </c>
    </row>
    <row r="370" spans="1:13">
      <c r="E370" s="21">
        <f t="shared" si="180"/>
        <v>370</v>
      </c>
      <c r="F370" s="9" t="s">
        <v>183</v>
      </c>
      <c r="G370" s="21">
        <v>45</v>
      </c>
      <c r="H370" s="21">
        <v>135</v>
      </c>
      <c r="L370" s="9" t="s">
        <v>135</v>
      </c>
      <c r="M370" s="21">
        <f t="shared" ref="M370" si="206">IF(B361=1,G370,H370)</f>
        <v>45</v>
      </c>
    </row>
    <row r="371" spans="1:13">
      <c r="E371" s="21">
        <f t="shared" si="180"/>
        <v>371</v>
      </c>
      <c r="F371" s="9" t="s">
        <v>117</v>
      </c>
      <c r="K371" s="9" t="s">
        <v>138</v>
      </c>
      <c r="M371" s="21">
        <v>2</v>
      </c>
    </row>
    <row r="372" spans="1:13">
      <c r="E372" s="21">
        <f t="shared" si="180"/>
        <v>372</v>
      </c>
      <c r="F372" s="9" t="s">
        <v>118</v>
      </c>
      <c r="M372" s="21" t="b">
        <v>1</v>
      </c>
    </row>
    <row r="373" spans="1:13">
      <c r="E373" s="21">
        <f t="shared" si="180"/>
        <v>373</v>
      </c>
      <c r="F373" s="9" t="s">
        <v>114</v>
      </c>
      <c r="G373" s="21">
        <v>90</v>
      </c>
      <c r="H373" s="21">
        <v>-90</v>
      </c>
      <c r="L373" s="9" t="s">
        <v>135</v>
      </c>
      <c r="M373" s="21">
        <f t="shared" ref="M373" si="207">IF(B361=1,G373,H373)</f>
        <v>90</v>
      </c>
    </row>
    <row r="374" spans="1:13">
      <c r="E374" s="21">
        <f t="shared" si="180"/>
        <v>374</v>
      </c>
      <c r="F374" s="9" t="s">
        <v>126</v>
      </c>
      <c r="M374" s="21">
        <v>10000</v>
      </c>
    </row>
    <row r="375" spans="1:13">
      <c r="E375" s="21">
        <f t="shared" si="180"/>
        <v>375</v>
      </c>
      <c r="F375" s="9" t="s">
        <v>195</v>
      </c>
      <c r="M375" s="21">
        <v>0.25</v>
      </c>
    </row>
    <row r="376" spans="1:13">
      <c r="E376" s="21">
        <f t="shared" si="180"/>
        <v>376</v>
      </c>
      <c r="F376" s="9" t="s">
        <v>197</v>
      </c>
      <c r="M376" s="21">
        <v>40</v>
      </c>
    </row>
    <row r="377" spans="1:13">
      <c r="A377" s="21" t="s">
        <v>228</v>
      </c>
      <c r="B377" s="21">
        <f t="shared" ref="B377:B440" si="208">QUOTIENT( D377-1,G378)+1</f>
        <v>1</v>
      </c>
      <c r="C377" s="21">
        <f t="shared" ref="C377" si="209">D377-(B377-1)*G378</f>
        <v>21</v>
      </c>
      <c r="D377" s="21">
        <f>COUNT($D$56:$D376)+1</f>
        <v>21</v>
      </c>
    </row>
    <row r="378" spans="1:13">
      <c r="E378" s="21">
        <f t="shared" ref="E378:E441" si="210">ROW(E378)</f>
        <v>378</v>
      </c>
      <c r="F378" s="9" t="s">
        <v>93</v>
      </c>
      <c r="G378" s="21">
        <v>21</v>
      </c>
      <c r="H378" s="21">
        <v>2</v>
      </c>
      <c r="J378" s="9">
        <v>17500</v>
      </c>
      <c r="M378" s="21">
        <f t="shared" ref="M378:M441" si="211">J378+D377</f>
        <v>17521</v>
      </c>
    </row>
    <row r="379" spans="1:13">
      <c r="E379" s="21">
        <f t="shared" si="180"/>
        <v>379</v>
      </c>
      <c r="F379" s="9" t="s">
        <v>143</v>
      </c>
      <c r="G379" s="21">
        <v>17401</v>
      </c>
      <c r="H379" s="21">
        <v>17402</v>
      </c>
      <c r="I379" s="21">
        <v>99999</v>
      </c>
      <c r="M379" s="21">
        <f t="shared" ref="M379" si="212">IF(C377=(G378-1)/2+1,I379,IF(MOD(C377,2)=1,G379,H379))</f>
        <v>17401</v>
      </c>
    </row>
    <row r="380" spans="1:13">
      <c r="E380" s="21">
        <f t="shared" si="180"/>
        <v>380</v>
      </c>
      <c r="F380" s="9" t="s">
        <v>127</v>
      </c>
      <c r="M380" s="21">
        <v>0</v>
      </c>
    </row>
    <row r="381" spans="1:13">
      <c r="E381" s="21">
        <f t="shared" si="180"/>
        <v>381</v>
      </c>
      <c r="F381" s="9" t="s">
        <v>29</v>
      </c>
      <c r="M381" s="21" t="s">
        <v>251</v>
      </c>
    </row>
    <row r="382" spans="1:13">
      <c r="E382" s="21">
        <f t="shared" si="180"/>
        <v>382</v>
      </c>
      <c r="F382" s="9" t="s">
        <v>119</v>
      </c>
      <c r="G382" s="21" t="s">
        <v>252</v>
      </c>
      <c r="H382" s="21" t="s">
        <v>252</v>
      </c>
      <c r="M382" s="21" t="str">
        <f t="shared" ref="M382" si="213">IF(MOD(C377,2)=1,G382,H382)</f>
        <v>Shot5_red</v>
      </c>
    </row>
    <row r="383" spans="1:13">
      <c r="E383" s="21">
        <f t="shared" si="180"/>
        <v>383</v>
      </c>
      <c r="F383" s="9" t="s">
        <v>99</v>
      </c>
      <c r="K383" s="9" t="s">
        <v>138</v>
      </c>
      <c r="M383" s="21">
        <v>5</v>
      </c>
    </row>
    <row r="384" spans="1:13">
      <c r="E384" s="21">
        <f t="shared" si="180"/>
        <v>384</v>
      </c>
      <c r="F384" s="9" t="s">
        <v>176</v>
      </c>
      <c r="G384" s="21">
        <v>13.2</v>
      </c>
      <c r="H384" s="21">
        <f t="shared" ref="H384" si="214">G384/(G378-1)*(C377-1)-G384/2</f>
        <v>6.6</v>
      </c>
      <c r="K384" s="9" t="s">
        <v>219</v>
      </c>
      <c r="M384" s="21">
        <f t="shared" ref="M384:M447" si="215">H384</f>
        <v>6.6</v>
      </c>
    </row>
    <row r="385" spans="1:13">
      <c r="E385" s="21">
        <f t="shared" si="180"/>
        <v>385</v>
      </c>
      <c r="F385" s="9" t="s">
        <v>134</v>
      </c>
      <c r="K385" s="9" t="s">
        <v>220</v>
      </c>
    </row>
    <row r="386" spans="1:13">
      <c r="E386" s="21">
        <f t="shared" si="180"/>
        <v>386</v>
      </c>
      <c r="F386" s="9" t="s">
        <v>183</v>
      </c>
      <c r="G386" s="21">
        <v>45</v>
      </c>
      <c r="H386" s="21">
        <v>135</v>
      </c>
      <c r="L386" s="9" t="s">
        <v>135</v>
      </c>
      <c r="M386" s="21">
        <f t="shared" ref="M386" si="216">IF(B377=1,G386,H386)</f>
        <v>45</v>
      </c>
    </row>
    <row r="387" spans="1:13">
      <c r="E387" s="21">
        <f t="shared" si="180"/>
        <v>387</v>
      </c>
      <c r="F387" s="9" t="s">
        <v>117</v>
      </c>
      <c r="K387" s="9" t="s">
        <v>138</v>
      </c>
      <c r="M387" s="21">
        <v>2</v>
      </c>
    </row>
    <row r="388" spans="1:13">
      <c r="E388" s="21">
        <f t="shared" si="180"/>
        <v>388</v>
      </c>
      <c r="F388" s="9" t="s">
        <v>118</v>
      </c>
      <c r="M388" s="21" t="b">
        <v>1</v>
      </c>
    </row>
    <row r="389" spans="1:13">
      <c r="E389" s="21">
        <f t="shared" si="180"/>
        <v>389</v>
      </c>
      <c r="F389" s="9" t="s">
        <v>114</v>
      </c>
      <c r="G389" s="21">
        <v>90</v>
      </c>
      <c r="H389" s="21">
        <v>-90</v>
      </c>
      <c r="L389" s="9" t="s">
        <v>135</v>
      </c>
      <c r="M389" s="21">
        <f t="shared" ref="M389" si="217">IF(B377=1,G389,H389)</f>
        <v>90</v>
      </c>
    </row>
    <row r="390" spans="1:13">
      <c r="E390" s="21">
        <f t="shared" si="180"/>
        <v>390</v>
      </c>
      <c r="F390" s="9" t="s">
        <v>126</v>
      </c>
      <c r="M390" s="21">
        <v>10000</v>
      </c>
    </row>
    <row r="391" spans="1:13">
      <c r="E391" s="21">
        <f t="shared" si="180"/>
        <v>391</v>
      </c>
      <c r="F391" s="9" t="s">
        <v>195</v>
      </c>
      <c r="M391" s="21">
        <v>0.25</v>
      </c>
    </row>
    <row r="392" spans="1:13">
      <c r="E392" s="21">
        <f t="shared" si="180"/>
        <v>392</v>
      </c>
      <c r="F392" s="9" t="s">
        <v>197</v>
      </c>
      <c r="M392" s="21">
        <v>40</v>
      </c>
    </row>
    <row r="393" spans="1:13">
      <c r="A393" s="21" t="s">
        <v>228</v>
      </c>
      <c r="B393" s="21">
        <f t="shared" ref="B393:B456" si="218">QUOTIENT( D393-1,G394)+1</f>
        <v>2</v>
      </c>
      <c r="C393" s="21">
        <f t="shared" ref="C393" si="219">D393-(B393-1)*G394</f>
        <v>1</v>
      </c>
      <c r="D393" s="21">
        <f>COUNT($D$56:$D392)+1</f>
        <v>22</v>
      </c>
    </row>
    <row r="394" spans="1:13">
      <c r="E394" s="21">
        <f t="shared" ref="E394:E457" si="220">ROW(E394)</f>
        <v>394</v>
      </c>
      <c r="F394" s="9" t="s">
        <v>93</v>
      </c>
      <c r="G394" s="21">
        <v>21</v>
      </c>
      <c r="H394" s="21">
        <v>2</v>
      </c>
      <c r="J394" s="9">
        <v>17500</v>
      </c>
      <c r="M394" s="21">
        <f t="shared" ref="M394:M457" si="221">J394+D393</f>
        <v>17522</v>
      </c>
    </row>
    <row r="395" spans="1:13">
      <c r="E395" s="21">
        <f t="shared" si="220"/>
        <v>395</v>
      </c>
      <c r="F395" s="9" t="s">
        <v>143</v>
      </c>
      <c r="G395" s="21">
        <v>17401</v>
      </c>
      <c r="H395" s="21">
        <v>17402</v>
      </c>
      <c r="I395" s="21">
        <v>99999</v>
      </c>
      <c r="M395" s="21">
        <f t="shared" ref="M395" si="222">IF(C393=(G394-1)/2+1,I395,IF(MOD(C393,2)=1,G395,H395))</f>
        <v>17401</v>
      </c>
    </row>
    <row r="396" spans="1:13">
      <c r="E396" s="21">
        <f t="shared" si="220"/>
        <v>396</v>
      </c>
      <c r="F396" s="9" t="s">
        <v>127</v>
      </c>
      <c r="M396" s="21">
        <v>0</v>
      </c>
    </row>
    <row r="397" spans="1:13">
      <c r="E397" s="21">
        <f t="shared" si="220"/>
        <v>397</v>
      </c>
      <c r="F397" s="9" t="s">
        <v>29</v>
      </c>
      <c r="M397" s="21" t="s">
        <v>251</v>
      </c>
    </row>
    <row r="398" spans="1:13">
      <c r="E398" s="21">
        <f t="shared" si="220"/>
        <v>398</v>
      </c>
      <c r="F398" s="9" t="s">
        <v>119</v>
      </c>
      <c r="G398" s="21" t="s">
        <v>252</v>
      </c>
      <c r="H398" s="21" t="s">
        <v>252</v>
      </c>
      <c r="M398" s="21" t="str">
        <f t="shared" ref="M398" si="223">IF(MOD(C393,2)=1,G398,H398)</f>
        <v>Shot5_red</v>
      </c>
    </row>
    <row r="399" spans="1:13">
      <c r="E399" s="21">
        <f t="shared" si="220"/>
        <v>399</v>
      </c>
      <c r="F399" s="9" t="s">
        <v>99</v>
      </c>
      <c r="K399" s="9" t="s">
        <v>138</v>
      </c>
      <c r="M399" s="21">
        <v>5</v>
      </c>
    </row>
    <row r="400" spans="1:13">
      <c r="E400" s="21">
        <f t="shared" si="220"/>
        <v>400</v>
      </c>
      <c r="F400" s="9" t="s">
        <v>176</v>
      </c>
      <c r="G400" s="21">
        <v>13.2</v>
      </c>
      <c r="H400" s="21">
        <f t="shared" ref="H400" si="224">G400/(G394-1)*(C393-1)-G400/2</f>
        <v>-6.6</v>
      </c>
      <c r="K400" s="9" t="s">
        <v>219</v>
      </c>
      <c r="M400" s="21">
        <f t="shared" ref="M400:M463" si="225">H400</f>
        <v>-6.6</v>
      </c>
    </row>
    <row r="401" spans="1:13">
      <c r="E401" s="21">
        <f t="shared" si="220"/>
        <v>401</v>
      </c>
      <c r="F401" s="9" t="s">
        <v>134</v>
      </c>
      <c r="K401" s="9" t="s">
        <v>220</v>
      </c>
    </row>
    <row r="402" spans="1:13">
      <c r="E402" s="21">
        <f t="shared" si="220"/>
        <v>402</v>
      </c>
      <c r="F402" s="9" t="s">
        <v>183</v>
      </c>
      <c r="G402" s="21">
        <v>45</v>
      </c>
      <c r="H402" s="21">
        <v>135</v>
      </c>
      <c r="L402" s="9" t="s">
        <v>135</v>
      </c>
      <c r="M402" s="21">
        <f t="shared" ref="M402" si="226">IF(B393=1,G402,H402)</f>
        <v>135</v>
      </c>
    </row>
    <row r="403" spans="1:13">
      <c r="E403" s="21">
        <f t="shared" si="220"/>
        <v>403</v>
      </c>
      <c r="F403" s="9" t="s">
        <v>117</v>
      </c>
      <c r="K403" s="9" t="s">
        <v>138</v>
      </c>
      <c r="M403" s="21">
        <v>2</v>
      </c>
    </row>
    <row r="404" spans="1:13">
      <c r="E404" s="21">
        <f t="shared" si="220"/>
        <v>404</v>
      </c>
      <c r="F404" s="9" t="s">
        <v>118</v>
      </c>
      <c r="M404" s="21" t="b">
        <v>1</v>
      </c>
    </row>
    <row r="405" spans="1:13">
      <c r="E405" s="21">
        <f t="shared" si="220"/>
        <v>405</v>
      </c>
      <c r="F405" s="9" t="s">
        <v>114</v>
      </c>
      <c r="G405" s="21">
        <v>90</v>
      </c>
      <c r="H405" s="21">
        <v>-90</v>
      </c>
      <c r="L405" s="9" t="s">
        <v>135</v>
      </c>
      <c r="M405" s="21">
        <f t="shared" ref="M405" si="227">IF(B393=1,G405,H405)</f>
        <v>-90</v>
      </c>
    </row>
    <row r="406" spans="1:13">
      <c r="E406" s="21">
        <f t="shared" si="220"/>
        <v>406</v>
      </c>
      <c r="F406" s="9" t="s">
        <v>126</v>
      </c>
      <c r="M406" s="21">
        <v>10000</v>
      </c>
    </row>
    <row r="407" spans="1:13">
      <c r="E407" s="21">
        <f t="shared" si="220"/>
        <v>407</v>
      </c>
      <c r="F407" s="9" t="s">
        <v>195</v>
      </c>
      <c r="M407" s="21">
        <v>0.25</v>
      </c>
    </row>
    <row r="408" spans="1:13">
      <c r="E408" s="21">
        <f t="shared" si="220"/>
        <v>408</v>
      </c>
      <c r="F408" s="9" t="s">
        <v>197</v>
      </c>
      <c r="M408" s="21">
        <v>40</v>
      </c>
    </row>
    <row r="409" spans="1:13">
      <c r="A409" s="21" t="s">
        <v>228</v>
      </c>
      <c r="B409" s="21">
        <f t="shared" ref="B409:B472" si="228">QUOTIENT( D409-1,G410)+1</f>
        <v>2</v>
      </c>
      <c r="C409" s="21">
        <f t="shared" ref="C409" si="229">D409-(B409-1)*G410</f>
        <v>2</v>
      </c>
      <c r="D409" s="21">
        <f>COUNT($D$56:$D408)+1</f>
        <v>23</v>
      </c>
    </row>
    <row r="410" spans="1:13">
      <c r="E410" s="21">
        <f t="shared" ref="E410:E473" si="230">ROW(E410)</f>
        <v>410</v>
      </c>
      <c r="F410" s="9" t="s">
        <v>93</v>
      </c>
      <c r="G410" s="21">
        <v>21</v>
      </c>
      <c r="H410" s="21">
        <v>2</v>
      </c>
      <c r="J410" s="9">
        <v>17500</v>
      </c>
      <c r="M410" s="21">
        <f t="shared" ref="M410:M473" si="231">J410+D409</f>
        <v>17523</v>
      </c>
    </row>
    <row r="411" spans="1:13">
      <c r="E411" s="21">
        <f t="shared" si="220"/>
        <v>411</v>
      </c>
      <c r="F411" s="9" t="s">
        <v>143</v>
      </c>
      <c r="G411" s="21">
        <v>17401</v>
      </c>
      <c r="H411" s="21">
        <v>17402</v>
      </c>
      <c r="I411" s="21">
        <v>99999</v>
      </c>
      <c r="M411" s="21">
        <f t="shared" ref="M411" si="232">IF(C409=(G410-1)/2+1,I411,IF(MOD(C409,2)=1,G411,H411))</f>
        <v>17402</v>
      </c>
    </row>
    <row r="412" spans="1:13">
      <c r="E412" s="21">
        <f t="shared" si="220"/>
        <v>412</v>
      </c>
      <c r="F412" s="9" t="s">
        <v>127</v>
      </c>
      <c r="M412" s="21">
        <v>0</v>
      </c>
    </row>
    <row r="413" spans="1:13">
      <c r="E413" s="21">
        <f t="shared" si="220"/>
        <v>413</v>
      </c>
      <c r="F413" s="9" t="s">
        <v>29</v>
      </c>
      <c r="M413" s="21" t="s">
        <v>251</v>
      </c>
    </row>
    <row r="414" spans="1:13">
      <c r="E414" s="21">
        <f t="shared" si="220"/>
        <v>414</v>
      </c>
      <c r="F414" s="9" t="s">
        <v>119</v>
      </c>
      <c r="G414" s="21" t="s">
        <v>252</v>
      </c>
      <c r="H414" s="21" t="s">
        <v>252</v>
      </c>
      <c r="M414" s="21" t="str">
        <f t="shared" ref="M414" si="233">IF(MOD(C409,2)=1,G414,H414)</f>
        <v>Shot5_red</v>
      </c>
    </row>
    <row r="415" spans="1:13">
      <c r="E415" s="21">
        <f t="shared" si="220"/>
        <v>415</v>
      </c>
      <c r="F415" s="9" t="s">
        <v>99</v>
      </c>
      <c r="K415" s="9" t="s">
        <v>138</v>
      </c>
      <c r="M415" s="21">
        <v>5</v>
      </c>
    </row>
    <row r="416" spans="1:13">
      <c r="E416" s="21">
        <f t="shared" si="220"/>
        <v>416</v>
      </c>
      <c r="F416" s="9" t="s">
        <v>176</v>
      </c>
      <c r="G416" s="21">
        <v>13.2</v>
      </c>
      <c r="H416" s="21">
        <f t="shared" ref="H416" si="234">G416/(G410-1)*(C409-1)-G416/2</f>
        <v>-5.9399999999999995</v>
      </c>
      <c r="K416" s="9" t="s">
        <v>219</v>
      </c>
      <c r="M416" s="21">
        <f t="shared" ref="M416:M479" si="235">H416</f>
        <v>-5.9399999999999995</v>
      </c>
    </row>
    <row r="417" spans="1:13">
      <c r="E417" s="21">
        <f t="shared" si="220"/>
        <v>417</v>
      </c>
      <c r="F417" s="9" t="s">
        <v>134</v>
      </c>
      <c r="K417" s="9" t="s">
        <v>220</v>
      </c>
    </row>
    <row r="418" spans="1:13">
      <c r="E418" s="21">
        <f t="shared" si="220"/>
        <v>418</v>
      </c>
      <c r="F418" s="9" t="s">
        <v>183</v>
      </c>
      <c r="G418" s="21">
        <v>45</v>
      </c>
      <c r="H418" s="21">
        <v>135</v>
      </c>
      <c r="L418" s="9" t="s">
        <v>135</v>
      </c>
      <c r="M418" s="21">
        <f t="shared" ref="M418" si="236">IF(B409=1,G418,H418)</f>
        <v>135</v>
      </c>
    </row>
    <row r="419" spans="1:13">
      <c r="E419" s="21">
        <f t="shared" si="220"/>
        <v>419</v>
      </c>
      <c r="F419" s="9" t="s">
        <v>117</v>
      </c>
      <c r="K419" s="9" t="s">
        <v>138</v>
      </c>
      <c r="M419" s="21">
        <v>2</v>
      </c>
    </row>
    <row r="420" spans="1:13">
      <c r="E420" s="21">
        <f t="shared" si="220"/>
        <v>420</v>
      </c>
      <c r="F420" s="9" t="s">
        <v>118</v>
      </c>
      <c r="M420" s="21" t="b">
        <v>1</v>
      </c>
    </row>
    <row r="421" spans="1:13">
      <c r="E421" s="21">
        <f t="shared" si="220"/>
        <v>421</v>
      </c>
      <c r="F421" s="9" t="s">
        <v>114</v>
      </c>
      <c r="G421" s="21">
        <v>90</v>
      </c>
      <c r="H421" s="21">
        <v>-90</v>
      </c>
      <c r="L421" s="9" t="s">
        <v>135</v>
      </c>
      <c r="M421" s="21">
        <f t="shared" ref="M421" si="237">IF(B409=1,G421,H421)</f>
        <v>-90</v>
      </c>
    </row>
    <row r="422" spans="1:13">
      <c r="E422" s="21">
        <f t="shared" si="220"/>
        <v>422</v>
      </c>
      <c r="F422" s="9" t="s">
        <v>126</v>
      </c>
      <c r="M422" s="21">
        <v>10000</v>
      </c>
    </row>
    <row r="423" spans="1:13">
      <c r="E423" s="21">
        <f t="shared" si="220"/>
        <v>423</v>
      </c>
      <c r="F423" s="9" t="s">
        <v>195</v>
      </c>
      <c r="M423" s="21">
        <v>0.25</v>
      </c>
    </row>
    <row r="424" spans="1:13">
      <c r="E424" s="21">
        <f t="shared" si="220"/>
        <v>424</v>
      </c>
      <c r="F424" s="9" t="s">
        <v>197</v>
      </c>
      <c r="M424" s="21">
        <v>40</v>
      </c>
    </row>
    <row r="425" spans="1:13">
      <c r="A425" s="21" t="s">
        <v>228</v>
      </c>
      <c r="B425" s="21">
        <f t="shared" ref="B425:B488" si="238">QUOTIENT( D425-1,G426)+1</f>
        <v>2</v>
      </c>
      <c r="C425" s="21">
        <f t="shared" ref="C425" si="239">D425-(B425-1)*G426</f>
        <v>3</v>
      </c>
      <c r="D425" s="21">
        <f>COUNT($D$56:$D424)+1</f>
        <v>24</v>
      </c>
    </row>
    <row r="426" spans="1:13">
      <c r="E426" s="21">
        <f t="shared" ref="E426:E489" si="240">ROW(E426)</f>
        <v>426</v>
      </c>
      <c r="F426" s="9" t="s">
        <v>93</v>
      </c>
      <c r="G426" s="21">
        <v>21</v>
      </c>
      <c r="H426" s="21">
        <v>2</v>
      </c>
      <c r="J426" s="9">
        <v>17500</v>
      </c>
      <c r="M426" s="21">
        <f t="shared" ref="M426:M489" si="241">J426+D425</f>
        <v>17524</v>
      </c>
    </row>
    <row r="427" spans="1:13">
      <c r="E427" s="21">
        <f t="shared" si="220"/>
        <v>427</v>
      </c>
      <c r="F427" s="9" t="s">
        <v>143</v>
      </c>
      <c r="G427" s="21">
        <v>17401</v>
      </c>
      <c r="H427" s="21">
        <v>17402</v>
      </c>
      <c r="I427" s="21">
        <v>99999</v>
      </c>
      <c r="M427" s="21">
        <f t="shared" ref="M427" si="242">IF(C425=(G426-1)/2+1,I427,IF(MOD(C425,2)=1,G427,H427))</f>
        <v>17401</v>
      </c>
    </row>
    <row r="428" spans="1:13">
      <c r="E428" s="21">
        <f t="shared" si="220"/>
        <v>428</v>
      </c>
      <c r="F428" s="9" t="s">
        <v>127</v>
      </c>
      <c r="M428" s="21">
        <v>0</v>
      </c>
    </row>
    <row r="429" spans="1:13">
      <c r="E429" s="21">
        <f t="shared" si="220"/>
        <v>429</v>
      </c>
      <c r="F429" s="9" t="s">
        <v>29</v>
      </c>
      <c r="M429" s="21" t="s">
        <v>251</v>
      </c>
    </row>
    <row r="430" spans="1:13">
      <c r="E430" s="21">
        <f t="shared" si="220"/>
        <v>430</v>
      </c>
      <c r="F430" s="9" t="s">
        <v>119</v>
      </c>
      <c r="G430" s="21" t="s">
        <v>252</v>
      </c>
      <c r="H430" s="21" t="s">
        <v>252</v>
      </c>
      <c r="M430" s="21" t="str">
        <f t="shared" ref="M430" si="243">IF(MOD(C425,2)=1,G430,H430)</f>
        <v>Shot5_red</v>
      </c>
    </row>
    <row r="431" spans="1:13">
      <c r="E431" s="21">
        <f t="shared" si="220"/>
        <v>431</v>
      </c>
      <c r="F431" s="9" t="s">
        <v>99</v>
      </c>
      <c r="K431" s="9" t="s">
        <v>138</v>
      </c>
      <c r="M431" s="21">
        <v>5</v>
      </c>
    </row>
    <row r="432" spans="1:13">
      <c r="E432" s="21">
        <f t="shared" si="220"/>
        <v>432</v>
      </c>
      <c r="F432" s="9" t="s">
        <v>176</v>
      </c>
      <c r="G432" s="21">
        <v>13.2</v>
      </c>
      <c r="H432" s="21">
        <f t="shared" ref="H432" si="244">G432/(G426-1)*(C425-1)-G432/2</f>
        <v>-5.2799999999999994</v>
      </c>
      <c r="K432" s="9" t="s">
        <v>219</v>
      </c>
      <c r="M432" s="21">
        <f t="shared" ref="M432:M495" si="245">H432</f>
        <v>-5.2799999999999994</v>
      </c>
    </row>
    <row r="433" spans="1:13">
      <c r="E433" s="21">
        <f t="shared" si="220"/>
        <v>433</v>
      </c>
      <c r="F433" s="9" t="s">
        <v>134</v>
      </c>
      <c r="K433" s="9" t="s">
        <v>220</v>
      </c>
    </row>
    <row r="434" spans="1:13">
      <c r="E434" s="21">
        <f t="shared" si="220"/>
        <v>434</v>
      </c>
      <c r="F434" s="9" t="s">
        <v>183</v>
      </c>
      <c r="G434" s="21">
        <v>45</v>
      </c>
      <c r="H434" s="21">
        <v>135</v>
      </c>
      <c r="L434" s="9" t="s">
        <v>135</v>
      </c>
      <c r="M434" s="21">
        <f t="shared" ref="M434" si="246">IF(B425=1,G434,H434)</f>
        <v>135</v>
      </c>
    </row>
    <row r="435" spans="1:13">
      <c r="E435" s="21">
        <f t="shared" si="220"/>
        <v>435</v>
      </c>
      <c r="F435" s="9" t="s">
        <v>117</v>
      </c>
      <c r="K435" s="9" t="s">
        <v>138</v>
      </c>
      <c r="M435" s="21">
        <v>2</v>
      </c>
    </row>
    <row r="436" spans="1:13">
      <c r="E436" s="21">
        <f t="shared" si="220"/>
        <v>436</v>
      </c>
      <c r="F436" s="9" t="s">
        <v>118</v>
      </c>
      <c r="M436" s="21" t="b">
        <v>1</v>
      </c>
    </row>
    <row r="437" spans="1:13">
      <c r="E437" s="21">
        <f t="shared" si="220"/>
        <v>437</v>
      </c>
      <c r="F437" s="9" t="s">
        <v>114</v>
      </c>
      <c r="G437" s="21">
        <v>90</v>
      </c>
      <c r="H437" s="21">
        <v>-90</v>
      </c>
      <c r="L437" s="9" t="s">
        <v>135</v>
      </c>
      <c r="M437" s="21">
        <f t="shared" ref="M437" si="247">IF(B425=1,G437,H437)</f>
        <v>-90</v>
      </c>
    </row>
    <row r="438" spans="1:13">
      <c r="E438" s="21">
        <f t="shared" si="220"/>
        <v>438</v>
      </c>
      <c r="F438" s="9" t="s">
        <v>126</v>
      </c>
      <c r="M438" s="21">
        <v>10000</v>
      </c>
    </row>
    <row r="439" spans="1:13">
      <c r="E439" s="21">
        <f t="shared" si="220"/>
        <v>439</v>
      </c>
      <c r="F439" s="9" t="s">
        <v>195</v>
      </c>
      <c r="M439" s="21">
        <v>0.25</v>
      </c>
    </row>
    <row r="440" spans="1:13">
      <c r="E440" s="21">
        <f t="shared" si="220"/>
        <v>440</v>
      </c>
      <c r="F440" s="9" t="s">
        <v>197</v>
      </c>
      <c r="M440" s="21">
        <v>40</v>
      </c>
    </row>
    <row r="441" spans="1:13">
      <c r="A441" s="21" t="s">
        <v>228</v>
      </c>
      <c r="B441" s="21">
        <f t="shared" ref="B441:B504" si="248">QUOTIENT( D441-1,G442)+1</f>
        <v>2</v>
      </c>
      <c r="C441" s="21">
        <f t="shared" ref="C441" si="249">D441-(B441-1)*G442</f>
        <v>4</v>
      </c>
      <c r="D441" s="21">
        <f>COUNT($D$56:$D440)+1</f>
        <v>25</v>
      </c>
    </row>
    <row r="442" spans="1:13">
      <c r="E442" s="21">
        <f t="shared" ref="E442:E505" si="250">ROW(E442)</f>
        <v>442</v>
      </c>
      <c r="F442" s="9" t="s">
        <v>93</v>
      </c>
      <c r="G442" s="21">
        <v>21</v>
      </c>
      <c r="H442" s="21">
        <v>2</v>
      </c>
      <c r="J442" s="9">
        <v>17500</v>
      </c>
      <c r="M442" s="21">
        <f t="shared" ref="M442:M505" si="251">J442+D441</f>
        <v>17525</v>
      </c>
    </row>
    <row r="443" spans="1:13">
      <c r="E443" s="21">
        <f t="shared" si="220"/>
        <v>443</v>
      </c>
      <c r="F443" s="9" t="s">
        <v>143</v>
      </c>
      <c r="G443" s="21">
        <v>17401</v>
      </c>
      <c r="H443" s="21">
        <v>17402</v>
      </c>
      <c r="I443" s="21">
        <v>99999</v>
      </c>
      <c r="M443" s="21">
        <f t="shared" ref="M443" si="252">IF(C441=(G442-1)/2+1,I443,IF(MOD(C441,2)=1,G443,H443))</f>
        <v>17402</v>
      </c>
    </row>
    <row r="444" spans="1:13">
      <c r="E444" s="21">
        <f t="shared" si="220"/>
        <v>444</v>
      </c>
      <c r="F444" s="9" t="s">
        <v>127</v>
      </c>
      <c r="M444" s="21">
        <v>0</v>
      </c>
    </row>
    <row r="445" spans="1:13">
      <c r="E445" s="21">
        <f t="shared" si="220"/>
        <v>445</v>
      </c>
      <c r="F445" s="9" t="s">
        <v>29</v>
      </c>
      <c r="M445" s="21" t="s">
        <v>251</v>
      </c>
    </row>
    <row r="446" spans="1:13">
      <c r="E446" s="21">
        <f t="shared" si="220"/>
        <v>446</v>
      </c>
      <c r="F446" s="9" t="s">
        <v>119</v>
      </c>
      <c r="G446" s="21" t="s">
        <v>252</v>
      </c>
      <c r="H446" s="21" t="s">
        <v>252</v>
      </c>
      <c r="M446" s="21" t="str">
        <f t="shared" ref="M446" si="253">IF(MOD(C441,2)=1,G446,H446)</f>
        <v>Shot5_red</v>
      </c>
    </row>
    <row r="447" spans="1:13">
      <c r="E447" s="21">
        <f t="shared" si="220"/>
        <v>447</v>
      </c>
      <c r="F447" s="9" t="s">
        <v>99</v>
      </c>
      <c r="K447" s="9" t="s">
        <v>138</v>
      </c>
      <c r="M447" s="21">
        <v>5</v>
      </c>
    </row>
    <row r="448" spans="1:13">
      <c r="E448" s="21">
        <f t="shared" si="220"/>
        <v>448</v>
      </c>
      <c r="F448" s="9" t="s">
        <v>176</v>
      </c>
      <c r="G448" s="21">
        <v>13.2</v>
      </c>
      <c r="H448" s="21">
        <f t="shared" ref="H448" si="254">G448/(G442-1)*(C441-1)-G448/2</f>
        <v>-4.62</v>
      </c>
      <c r="K448" s="9" t="s">
        <v>219</v>
      </c>
      <c r="M448" s="21">
        <f t="shared" ref="M448:M511" si="255">H448</f>
        <v>-4.62</v>
      </c>
    </row>
    <row r="449" spans="1:13">
      <c r="E449" s="21">
        <f t="shared" si="220"/>
        <v>449</v>
      </c>
      <c r="F449" s="9" t="s">
        <v>134</v>
      </c>
      <c r="K449" s="9" t="s">
        <v>220</v>
      </c>
    </row>
    <row r="450" spans="1:13">
      <c r="E450" s="21">
        <f t="shared" si="220"/>
        <v>450</v>
      </c>
      <c r="F450" s="9" t="s">
        <v>183</v>
      </c>
      <c r="G450" s="21">
        <v>45</v>
      </c>
      <c r="H450" s="21">
        <v>135</v>
      </c>
      <c r="L450" s="9" t="s">
        <v>135</v>
      </c>
      <c r="M450" s="21">
        <f t="shared" ref="M450" si="256">IF(B441=1,G450,H450)</f>
        <v>135</v>
      </c>
    </row>
    <row r="451" spans="1:13">
      <c r="E451" s="21">
        <f t="shared" si="220"/>
        <v>451</v>
      </c>
      <c r="F451" s="9" t="s">
        <v>117</v>
      </c>
      <c r="K451" s="9" t="s">
        <v>138</v>
      </c>
      <c r="M451" s="21">
        <v>2</v>
      </c>
    </row>
    <row r="452" spans="1:13">
      <c r="E452" s="21">
        <f t="shared" si="220"/>
        <v>452</v>
      </c>
      <c r="F452" s="9" t="s">
        <v>118</v>
      </c>
      <c r="M452" s="21" t="b">
        <v>1</v>
      </c>
    </row>
    <row r="453" spans="1:13">
      <c r="E453" s="21">
        <f t="shared" si="220"/>
        <v>453</v>
      </c>
      <c r="F453" s="9" t="s">
        <v>114</v>
      </c>
      <c r="G453" s="21">
        <v>90</v>
      </c>
      <c r="H453" s="21">
        <v>-90</v>
      </c>
      <c r="L453" s="9" t="s">
        <v>135</v>
      </c>
      <c r="M453" s="21">
        <f t="shared" ref="M453" si="257">IF(B441=1,G453,H453)</f>
        <v>-90</v>
      </c>
    </row>
    <row r="454" spans="1:13">
      <c r="E454" s="21">
        <f t="shared" si="220"/>
        <v>454</v>
      </c>
      <c r="F454" s="9" t="s">
        <v>126</v>
      </c>
      <c r="M454" s="21">
        <v>10000</v>
      </c>
    </row>
    <row r="455" spans="1:13">
      <c r="E455" s="21">
        <f t="shared" si="220"/>
        <v>455</v>
      </c>
      <c r="F455" s="9" t="s">
        <v>195</v>
      </c>
      <c r="M455" s="21">
        <v>0.25</v>
      </c>
    </row>
    <row r="456" spans="1:13">
      <c r="E456" s="21">
        <f t="shared" si="220"/>
        <v>456</v>
      </c>
      <c r="F456" s="9" t="s">
        <v>197</v>
      </c>
      <c r="M456" s="21">
        <v>40</v>
      </c>
    </row>
    <row r="457" spans="1:13">
      <c r="A457" s="21" t="s">
        <v>228</v>
      </c>
      <c r="B457" s="21">
        <f t="shared" ref="B457:B520" si="258">QUOTIENT( D457-1,G458)+1</f>
        <v>2</v>
      </c>
      <c r="C457" s="21">
        <f t="shared" ref="C457" si="259">D457-(B457-1)*G458</f>
        <v>5</v>
      </c>
      <c r="D457" s="21">
        <f>COUNT($D$56:$D456)+1</f>
        <v>26</v>
      </c>
    </row>
    <row r="458" spans="1:13">
      <c r="E458" s="21">
        <f t="shared" ref="E458:E521" si="260">ROW(E458)</f>
        <v>458</v>
      </c>
      <c r="F458" s="9" t="s">
        <v>93</v>
      </c>
      <c r="G458" s="21">
        <v>21</v>
      </c>
      <c r="H458" s="21">
        <v>2</v>
      </c>
      <c r="J458" s="9">
        <v>17500</v>
      </c>
      <c r="M458" s="21">
        <f t="shared" ref="M458:M521" si="261">J458+D457</f>
        <v>17526</v>
      </c>
    </row>
    <row r="459" spans="1:13">
      <c r="E459" s="21">
        <f t="shared" si="260"/>
        <v>459</v>
      </c>
      <c r="F459" s="9" t="s">
        <v>143</v>
      </c>
      <c r="G459" s="21">
        <v>17401</v>
      </c>
      <c r="H459" s="21">
        <v>17402</v>
      </c>
      <c r="I459" s="21">
        <v>99999</v>
      </c>
      <c r="M459" s="21">
        <f t="shared" ref="M459" si="262">IF(C457=(G458-1)/2+1,I459,IF(MOD(C457,2)=1,G459,H459))</f>
        <v>17401</v>
      </c>
    </row>
    <row r="460" spans="1:13">
      <c r="E460" s="21">
        <f t="shared" si="260"/>
        <v>460</v>
      </c>
      <c r="F460" s="9" t="s">
        <v>127</v>
      </c>
      <c r="M460" s="21">
        <v>0</v>
      </c>
    </row>
    <row r="461" spans="1:13">
      <c r="E461" s="21">
        <f t="shared" si="260"/>
        <v>461</v>
      </c>
      <c r="F461" s="9" t="s">
        <v>29</v>
      </c>
      <c r="M461" s="21" t="s">
        <v>251</v>
      </c>
    </row>
    <row r="462" spans="1:13">
      <c r="E462" s="21">
        <f t="shared" si="260"/>
        <v>462</v>
      </c>
      <c r="F462" s="9" t="s">
        <v>119</v>
      </c>
      <c r="G462" s="21" t="s">
        <v>252</v>
      </c>
      <c r="H462" s="21" t="s">
        <v>252</v>
      </c>
      <c r="M462" s="21" t="str">
        <f t="shared" ref="M462" si="263">IF(MOD(C457,2)=1,G462,H462)</f>
        <v>Shot5_red</v>
      </c>
    </row>
    <row r="463" spans="1:13">
      <c r="E463" s="21">
        <f t="shared" si="260"/>
        <v>463</v>
      </c>
      <c r="F463" s="9" t="s">
        <v>99</v>
      </c>
      <c r="K463" s="9" t="s">
        <v>138</v>
      </c>
      <c r="M463" s="21">
        <v>5</v>
      </c>
    </row>
    <row r="464" spans="1:13">
      <c r="E464" s="21">
        <f t="shared" si="260"/>
        <v>464</v>
      </c>
      <c r="F464" s="9" t="s">
        <v>176</v>
      </c>
      <c r="G464" s="21">
        <v>13.2</v>
      </c>
      <c r="H464" s="21">
        <f t="shared" ref="H464" si="264">G464/(G458-1)*(C457-1)-G464/2</f>
        <v>-3.96</v>
      </c>
      <c r="K464" s="9" t="s">
        <v>219</v>
      </c>
      <c r="M464" s="21">
        <f t="shared" ref="M464:M527" si="265">H464</f>
        <v>-3.96</v>
      </c>
    </row>
    <row r="465" spans="1:13">
      <c r="E465" s="21">
        <f t="shared" si="260"/>
        <v>465</v>
      </c>
      <c r="F465" s="9" t="s">
        <v>134</v>
      </c>
      <c r="K465" s="9" t="s">
        <v>220</v>
      </c>
    </row>
    <row r="466" spans="1:13">
      <c r="E466" s="21">
        <f t="shared" si="260"/>
        <v>466</v>
      </c>
      <c r="F466" s="9" t="s">
        <v>183</v>
      </c>
      <c r="G466" s="21">
        <v>45</v>
      </c>
      <c r="H466" s="21">
        <v>135</v>
      </c>
      <c r="L466" s="9" t="s">
        <v>135</v>
      </c>
      <c r="M466" s="21">
        <f t="shared" ref="M466" si="266">IF(B457=1,G466,H466)</f>
        <v>135</v>
      </c>
    </row>
    <row r="467" spans="1:13">
      <c r="E467" s="21">
        <f t="shared" si="260"/>
        <v>467</v>
      </c>
      <c r="F467" s="9" t="s">
        <v>117</v>
      </c>
      <c r="K467" s="9" t="s">
        <v>138</v>
      </c>
      <c r="M467" s="21">
        <v>2</v>
      </c>
    </row>
    <row r="468" spans="1:13">
      <c r="E468" s="21">
        <f t="shared" si="260"/>
        <v>468</v>
      </c>
      <c r="F468" s="9" t="s">
        <v>118</v>
      </c>
      <c r="M468" s="21" t="b">
        <v>1</v>
      </c>
    </row>
    <row r="469" spans="1:13">
      <c r="E469" s="21">
        <f t="shared" si="260"/>
        <v>469</v>
      </c>
      <c r="F469" s="9" t="s">
        <v>114</v>
      </c>
      <c r="G469" s="21">
        <v>90</v>
      </c>
      <c r="H469" s="21">
        <v>-90</v>
      </c>
      <c r="L469" s="9" t="s">
        <v>135</v>
      </c>
      <c r="M469" s="21">
        <f t="shared" ref="M469" si="267">IF(B457=1,G469,H469)</f>
        <v>-90</v>
      </c>
    </row>
    <row r="470" spans="1:13">
      <c r="E470" s="21">
        <f t="shared" si="260"/>
        <v>470</v>
      </c>
      <c r="F470" s="9" t="s">
        <v>126</v>
      </c>
      <c r="M470" s="21">
        <v>10000</v>
      </c>
    </row>
    <row r="471" spans="1:13">
      <c r="E471" s="21">
        <f t="shared" si="260"/>
        <v>471</v>
      </c>
      <c r="F471" s="9" t="s">
        <v>195</v>
      </c>
      <c r="M471" s="21">
        <v>0.25</v>
      </c>
    </row>
    <row r="472" spans="1:13">
      <c r="E472" s="21">
        <f t="shared" si="260"/>
        <v>472</v>
      </c>
      <c r="F472" s="9" t="s">
        <v>197</v>
      </c>
      <c r="M472" s="21">
        <v>40</v>
      </c>
    </row>
    <row r="473" spans="1:13">
      <c r="A473" s="21" t="s">
        <v>228</v>
      </c>
      <c r="B473" s="21">
        <f t="shared" ref="B473:B536" si="268">QUOTIENT( D473-1,G474)+1</f>
        <v>2</v>
      </c>
      <c r="C473" s="21">
        <f t="shared" ref="C473" si="269">D473-(B473-1)*G474</f>
        <v>6</v>
      </c>
      <c r="D473" s="21">
        <f>COUNT($D$56:$D472)+1</f>
        <v>27</v>
      </c>
    </row>
    <row r="474" spans="1:13">
      <c r="E474" s="21">
        <f t="shared" ref="E474:E537" si="270">ROW(E474)</f>
        <v>474</v>
      </c>
      <c r="F474" s="9" t="s">
        <v>93</v>
      </c>
      <c r="G474" s="21">
        <v>21</v>
      </c>
      <c r="H474" s="21">
        <v>2</v>
      </c>
      <c r="J474" s="9">
        <v>17500</v>
      </c>
      <c r="M474" s="21">
        <f t="shared" ref="M474:M537" si="271">J474+D473</f>
        <v>17527</v>
      </c>
    </row>
    <row r="475" spans="1:13">
      <c r="E475" s="21">
        <f t="shared" si="260"/>
        <v>475</v>
      </c>
      <c r="F475" s="9" t="s">
        <v>143</v>
      </c>
      <c r="G475" s="21">
        <v>17401</v>
      </c>
      <c r="H475" s="21">
        <v>17402</v>
      </c>
      <c r="I475" s="21">
        <v>99999</v>
      </c>
      <c r="M475" s="21">
        <f t="shared" ref="M475" si="272">IF(C473=(G474-1)/2+1,I475,IF(MOD(C473,2)=1,G475,H475))</f>
        <v>17402</v>
      </c>
    </row>
    <row r="476" spans="1:13">
      <c r="E476" s="21">
        <f t="shared" si="260"/>
        <v>476</v>
      </c>
      <c r="F476" s="9" t="s">
        <v>127</v>
      </c>
      <c r="M476" s="21">
        <v>0</v>
      </c>
    </row>
    <row r="477" spans="1:13">
      <c r="E477" s="21">
        <f t="shared" si="260"/>
        <v>477</v>
      </c>
      <c r="F477" s="9" t="s">
        <v>29</v>
      </c>
      <c r="M477" s="21" t="s">
        <v>251</v>
      </c>
    </row>
    <row r="478" spans="1:13">
      <c r="E478" s="21">
        <f t="shared" si="260"/>
        <v>478</v>
      </c>
      <c r="F478" s="9" t="s">
        <v>119</v>
      </c>
      <c r="G478" s="21" t="s">
        <v>252</v>
      </c>
      <c r="H478" s="21" t="s">
        <v>252</v>
      </c>
      <c r="M478" s="21" t="str">
        <f t="shared" ref="M478" si="273">IF(MOD(C473,2)=1,G478,H478)</f>
        <v>Shot5_red</v>
      </c>
    </row>
    <row r="479" spans="1:13">
      <c r="E479" s="21">
        <f t="shared" si="260"/>
        <v>479</v>
      </c>
      <c r="F479" s="9" t="s">
        <v>99</v>
      </c>
      <c r="K479" s="9" t="s">
        <v>138</v>
      </c>
      <c r="M479" s="21">
        <v>5</v>
      </c>
    </row>
    <row r="480" spans="1:13">
      <c r="E480" s="21">
        <f t="shared" si="260"/>
        <v>480</v>
      </c>
      <c r="F480" s="9" t="s">
        <v>176</v>
      </c>
      <c r="G480" s="21">
        <v>13.2</v>
      </c>
      <c r="H480" s="21">
        <f t="shared" ref="H480" si="274">G480/(G474-1)*(C473-1)-G480/2</f>
        <v>-3.3</v>
      </c>
      <c r="K480" s="9" t="s">
        <v>219</v>
      </c>
      <c r="M480" s="21">
        <f t="shared" ref="M480:M543" si="275">H480</f>
        <v>-3.3</v>
      </c>
    </row>
    <row r="481" spans="1:13">
      <c r="E481" s="21">
        <f t="shared" si="260"/>
        <v>481</v>
      </c>
      <c r="F481" s="9" t="s">
        <v>134</v>
      </c>
      <c r="K481" s="9" t="s">
        <v>220</v>
      </c>
    </row>
    <row r="482" spans="1:13">
      <c r="E482" s="21">
        <f t="shared" si="260"/>
        <v>482</v>
      </c>
      <c r="F482" s="9" t="s">
        <v>183</v>
      </c>
      <c r="G482" s="21">
        <v>45</v>
      </c>
      <c r="H482" s="21">
        <v>135</v>
      </c>
      <c r="L482" s="9" t="s">
        <v>135</v>
      </c>
      <c r="M482" s="21">
        <f t="shared" ref="M482" si="276">IF(B473=1,G482,H482)</f>
        <v>135</v>
      </c>
    </row>
    <row r="483" spans="1:13">
      <c r="E483" s="21">
        <f t="shared" si="260"/>
        <v>483</v>
      </c>
      <c r="F483" s="9" t="s">
        <v>117</v>
      </c>
      <c r="K483" s="9" t="s">
        <v>138</v>
      </c>
      <c r="M483" s="21">
        <v>2</v>
      </c>
    </row>
    <row r="484" spans="1:13">
      <c r="E484" s="21">
        <f t="shared" si="260"/>
        <v>484</v>
      </c>
      <c r="F484" s="9" t="s">
        <v>118</v>
      </c>
      <c r="M484" s="21" t="b">
        <v>1</v>
      </c>
    </row>
    <row r="485" spans="1:13">
      <c r="E485" s="21">
        <f t="shared" si="260"/>
        <v>485</v>
      </c>
      <c r="F485" s="9" t="s">
        <v>114</v>
      </c>
      <c r="G485" s="21">
        <v>90</v>
      </c>
      <c r="H485" s="21">
        <v>-90</v>
      </c>
      <c r="L485" s="9" t="s">
        <v>135</v>
      </c>
      <c r="M485" s="21">
        <f t="shared" ref="M485" si="277">IF(B473=1,G485,H485)</f>
        <v>-90</v>
      </c>
    </row>
    <row r="486" spans="1:13">
      <c r="E486" s="21">
        <f t="shared" si="260"/>
        <v>486</v>
      </c>
      <c r="F486" s="9" t="s">
        <v>126</v>
      </c>
      <c r="M486" s="21">
        <v>10000</v>
      </c>
    </row>
    <row r="487" spans="1:13">
      <c r="E487" s="21">
        <f t="shared" si="260"/>
        <v>487</v>
      </c>
      <c r="F487" s="9" t="s">
        <v>195</v>
      </c>
      <c r="M487" s="21">
        <v>0.25</v>
      </c>
    </row>
    <row r="488" spans="1:13">
      <c r="E488" s="21">
        <f t="shared" si="260"/>
        <v>488</v>
      </c>
      <c r="F488" s="9" t="s">
        <v>197</v>
      </c>
      <c r="M488" s="21">
        <v>40</v>
      </c>
    </row>
    <row r="489" spans="1:13">
      <c r="A489" s="21" t="s">
        <v>228</v>
      </c>
      <c r="B489" s="21">
        <f t="shared" ref="B489:B552" si="278">QUOTIENT( D489-1,G490)+1</f>
        <v>2</v>
      </c>
      <c r="C489" s="21">
        <f t="shared" ref="C489" si="279">D489-(B489-1)*G490</f>
        <v>7</v>
      </c>
      <c r="D489" s="21">
        <f>COUNT($D$56:$D488)+1</f>
        <v>28</v>
      </c>
    </row>
    <row r="490" spans="1:13">
      <c r="E490" s="21">
        <f t="shared" ref="E490:E553" si="280">ROW(E490)</f>
        <v>490</v>
      </c>
      <c r="F490" s="9" t="s">
        <v>93</v>
      </c>
      <c r="G490" s="21">
        <v>21</v>
      </c>
      <c r="H490" s="21">
        <v>2</v>
      </c>
      <c r="J490" s="9">
        <v>17500</v>
      </c>
      <c r="M490" s="21">
        <f t="shared" ref="M490:M553" si="281">J490+D489</f>
        <v>17528</v>
      </c>
    </row>
    <row r="491" spans="1:13">
      <c r="E491" s="21">
        <f t="shared" si="260"/>
        <v>491</v>
      </c>
      <c r="F491" s="9" t="s">
        <v>143</v>
      </c>
      <c r="G491" s="21">
        <v>17401</v>
      </c>
      <c r="H491" s="21">
        <v>17402</v>
      </c>
      <c r="I491" s="21">
        <v>99999</v>
      </c>
      <c r="M491" s="21">
        <f t="shared" ref="M491" si="282">IF(C489=(G490-1)/2+1,I491,IF(MOD(C489,2)=1,G491,H491))</f>
        <v>17401</v>
      </c>
    </row>
    <row r="492" spans="1:13">
      <c r="E492" s="21">
        <f t="shared" si="260"/>
        <v>492</v>
      </c>
      <c r="F492" s="9" t="s">
        <v>127</v>
      </c>
      <c r="M492" s="21">
        <v>0</v>
      </c>
    </row>
    <row r="493" spans="1:13">
      <c r="E493" s="21">
        <f t="shared" si="260"/>
        <v>493</v>
      </c>
      <c r="F493" s="9" t="s">
        <v>29</v>
      </c>
      <c r="M493" s="21" t="s">
        <v>251</v>
      </c>
    </row>
    <row r="494" spans="1:13">
      <c r="E494" s="21">
        <f t="shared" si="260"/>
        <v>494</v>
      </c>
      <c r="F494" s="9" t="s">
        <v>119</v>
      </c>
      <c r="G494" s="21" t="s">
        <v>252</v>
      </c>
      <c r="H494" s="21" t="s">
        <v>252</v>
      </c>
      <c r="M494" s="21" t="str">
        <f t="shared" ref="M494" si="283">IF(MOD(C489,2)=1,G494,H494)</f>
        <v>Shot5_red</v>
      </c>
    </row>
    <row r="495" spans="1:13">
      <c r="E495" s="21">
        <f t="shared" si="260"/>
        <v>495</v>
      </c>
      <c r="F495" s="9" t="s">
        <v>99</v>
      </c>
      <c r="K495" s="9" t="s">
        <v>138</v>
      </c>
      <c r="M495" s="21">
        <v>5</v>
      </c>
    </row>
    <row r="496" spans="1:13">
      <c r="E496" s="21">
        <f t="shared" si="260"/>
        <v>496</v>
      </c>
      <c r="F496" s="9" t="s">
        <v>176</v>
      </c>
      <c r="G496" s="21">
        <v>13.2</v>
      </c>
      <c r="H496" s="21">
        <f t="shared" ref="H496" si="284">G496/(G490-1)*(C489-1)-G496/2</f>
        <v>-2.64</v>
      </c>
      <c r="K496" s="9" t="s">
        <v>219</v>
      </c>
      <c r="M496" s="21">
        <f t="shared" ref="M496:M559" si="285">H496</f>
        <v>-2.64</v>
      </c>
    </row>
    <row r="497" spans="1:13">
      <c r="E497" s="21">
        <f t="shared" si="260"/>
        <v>497</v>
      </c>
      <c r="F497" s="9" t="s">
        <v>134</v>
      </c>
      <c r="K497" s="9" t="s">
        <v>220</v>
      </c>
    </row>
    <row r="498" spans="1:13">
      <c r="E498" s="21">
        <f t="shared" si="260"/>
        <v>498</v>
      </c>
      <c r="F498" s="9" t="s">
        <v>183</v>
      </c>
      <c r="G498" s="21">
        <v>45</v>
      </c>
      <c r="H498" s="21">
        <v>135</v>
      </c>
      <c r="L498" s="9" t="s">
        <v>135</v>
      </c>
      <c r="M498" s="21">
        <f t="shared" ref="M498" si="286">IF(B489=1,G498,H498)</f>
        <v>135</v>
      </c>
    </row>
    <row r="499" spans="1:13">
      <c r="E499" s="21">
        <f t="shared" si="260"/>
        <v>499</v>
      </c>
      <c r="F499" s="9" t="s">
        <v>117</v>
      </c>
      <c r="K499" s="9" t="s">
        <v>138</v>
      </c>
      <c r="M499" s="21">
        <v>2</v>
      </c>
    </row>
    <row r="500" spans="1:13">
      <c r="E500" s="21">
        <f t="shared" si="260"/>
        <v>500</v>
      </c>
      <c r="F500" s="9" t="s">
        <v>118</v>
      </c>
      <c r="M500" s="21" t="b">
        <v>1</v>
      </c>
    </row>
    <row r="501" spans="1:13">
      <c r="E501" s="21">
        <f t="shared" si="260"/>
        <v>501</v>
      </c>
      <c r="F501" s="9" t="s">
        <v>114</v>
      </c>
      <c r="G501" s="21">
        <v>90</v>
      </c>
      <c r="H501" s="21">
        <v>-90</v>
      </c>
      <c r="L501" s="9" t="s">
        <v>135</v>
      </c>
      <c r="M501" s="21">
        <f t="shared" ref="M501" si="287">IF(B489=1,G501,H501)</f>
        <v>-90</v>
      </c>
    </row>
    <row r="502" spans="1:13">
      <c r="E502" s="21">
        <f t="shared" si="260"/>
        <v>502</v>
      </c>
      <c r="F502" s="9" t="s">
        <v>126</v>
      </c>
      <c r="M502" s="21">
        <v>10000</v>
      </c>
    </row>
    <row r="503" spans="1:13">
      <c r="E503" s="21">
        <f t="shared" si="260"/>
        <v>503</v>
      </c>
      <c r="F503" s="9" t="s">
        <v>195</v>
      </c>
      <c r="M503" s="21">
        <v>0.25</v>
      </c>
    </row>
    <row r="504" spans="1:13">
      <c r="E504" s="21">
        <f t="shared" si="260"/>
        <v>504</v>
      </c>
      <c r="F504" s="9" t="s">
        <v>197</v>
      </c>
      <c r="M504" s="21">
        <v>40</v>
      </c>
    </row>
    <row r="505" spans="1:13">
      <c r="A505" s="21" t="s">
        <v>228</v>
      </c>
      <c r="B505" s="21">
        <f t="shared" ref="B505:B568" si="288">QUOTIENT( D505-1,G506)+1</f>
        <v>2</v>
      </c>
      <c r="C505" s="21">
        <f t="shared" ref="C505" si="289">D505-(B505-1)*G506</f>
        <v>8</v>
      </c>
      <c r="D505" s="21">
        <f>COUNT($D$56:$D504)+1</f>
        <v>29</v>
      </c>
    </row>
    <row r="506" spans="1:13">
      <c r="E506" s="21">
        <f t="shared" ref="E506:E569" si="290">ROW(E506)</f>
        <v>506</v>
      </c>
      <c r="F506" s="9" t="s">
        <v>93</v>
      </c>
      <c r="G506" s="21">
        <v>21</v>
      </c>
      <c r="H506" s="21">
        <v>2</v>
      </c>
      <c r="J506" s="9">
        <v>17500</v>
      </c>
      <c r="M506" s="21">
        <f t="shared" ref="M506:M569" si="291">J506+D505</f>
        <v>17529</v>
      </c>
    </row>
    <row r="507" spans="1:13">
      <c r="E507" s="21">
        <f t="shared" si="260"/>
        <v>507</v>
      </c>
      <c r="F507" s="9" t="s">
        <v>143</v>
      </c>
      <c r="G507" s="21">
        <v>17401</v>
      </c>
      <c r="H507" s="21">
        <v>17402</v>
      </c>
      <c r="I507" s="21">
        <v>99999</v>
      </c>
      <c r="M507" s="21">
        <f t="shared" ref="M507" si="292">IF(C505=(G506-1)/2+1,I507,IF(MOD(C505,2)=1,G507,H507))</f>
        <v>17402</v>
      </c>
    </row>
    <row r="508" spans="1:13">
      <c r="E508" s="21">
        <f t="shared" si="260"/>
        <v>508</v>
      </c>
      <c r="F508" s="9" t="s">
        <v>127</v>
      </c>
      <c r="M508" s="21">
        <v>0</v>
      </c>
    </row>
    <row r="509" spans="1:13">
      <c r="E509" s="21">
        <f t="shared" si="260"/>
        <v>509</v>
      </c>
      <c r="F509" s="9" t="s">
        <v>29</v>
      </c>
      <c r="M509" s="21" t="s">
        <v>251</v>
      </c>
    </row>
    <row r="510" spans="1:13">
      <c r="E510" s="21">
        <f t="shared" si="260"/>
        <v>510</v>
      </c>
      <c r="F510" s="9" t="s">
        <v>119</v>
      </c>
      <c r="G510" s="21" t="s">
        <v>252</v>
      </c>
      <c r="H510" s="21" t="s">
        <v>252</v>
      </c>
      <c r="M510" s="21" t="str">
        <f t="shared" ref="M510" si="293">IF(MOD(C505,2)=1,G510,H510)</f>
        <v>Shot5_red</v>
      </c>
    </row>
    <row r="511" spans="1:13">
      <c r="E511" s="21">
        <f t="shared" si="260"/>
        <v>511</v>
      </c>
      <c r="F511" s="9" t="s">
        <v>99</v>
      </c>
      <c r="K511" s="9" t="s">
        <v>138</v>
      </c>
      <c r="M511" s="21">
        <v>5</v>
      </c>
    </row>
    <row r="512" spans="1:13">
      <c r="E512" s="21">
        <f t="shared" si="260"/>
        <v>512</v>
      </c>
      <c r="F512" s="9" t="s">
        <v>176</v>
      </c>
      <c r="G512" s="21">
        <v>13.2</v>
      </c>
      <c r="H512" s="21">
        <f t="shared" ref="H512" si="294">G512/(G506-1)*(C505-1)-G512/2</f>
        <v>-1.9800000000000004</v>
      </c>
      <c r="K512" s="9" t="s">
        <v>219</v>
      </c>
      <c r="M512" s="21">
        <f t="shared" ref="M512:M575" si="295">H512</f>
        <v>-1.9800000000000004</v>
      </c>
    </row>
    <row r="513" spans="1:13">
      <c r="E513" s="21">
        <f t="shared" si="260"/>
        <v>513</v>
      </c>
      <c r="F513" s="9" t="s">
        <v>134</v>
      </c>
      <c r="K513" s="9" t="s">
        <v>220</v>
      </c>
    </row>
    <row r="514" spans="1:13">
      <c r="E514" s="21">
        <f t="shared" si="260"/>
        <v>514</v>
      </c>
      <c r="F514" s="9" t="s">
        <v>183</v>
      </c>
      <c r="G514" s="21">
        <v>45</v>
      </c>
      <c r="H514" s="21">
        <v>135</v>
      </c>
      <c r="L514" s="9" t="s">
        <v>135</v>
      </c>
      <c r="M514" s="21">
        <f t="shared" ref="M514" si="296">IF(B505=1,G514,H514)</f>
        <v>135</v>
      </c>
    </row>
    <row r="515" spans="1:13">
      <c r="E515" s="21">
        <f t="shared" si="260"/>
        <v>515</v>
      </c>
      <c r="F515" s="9" t="s">
        <v>117</v>
      </c>
      <c r="K515" s="9" t="s">
        <v>138</v>
      </c>
      <c r="M515" s="21">
        <v>2</v>
      </c>
    </row>
    <row r="516" spans="1:13">
      <c r="E516" s="21">
        <f t="shared" si="260"/>
        <v>516</v>
      </c>
      <c r="F516" s="9" t="s">
        <v>118</v>
      </c>
      <c r="M516" s="21" t="b">
        <v>1</v>
      </c>
    </row>
    <row r="517" spans="1:13">
      <c r="E517" s="21">
        <f t="shared" si="260"/>
        <v>517</v>
      </c>
      <c r="F517" s="9" t="s">
        <v>114</v>
      </c>
      <c r="G517" s="21">
        <v>90</v>
      </c>
      <c r="H517" s="21">
        <v>-90</v>
      </c>
      <c r="L517" s="9" t="s">
        <v>135</v>
      </c>
      <c r="M517" s="21">
        <f t="shared" ref="M517" si="297">IF(B505=1,G517,H517)</f>
        <v>-90</v>
      </c>
    </row>
    <row r="518" spans="1:13">
      <c r="E518" s="21">
        <f t="shared" si="260"/>
        <v>518</v>
      </c>
      <c r="F518" s="9" t="s">
        <v>126</v>
      </c>
      <c r="M518" s="21">
        <v>10000</v>
      </c>
    </row>
    <row r="519" spans="1:13">
      <c r="E519" s="21">
        <f t="shared" si="260"/>
        <v>519</v>
      </c>
      <c r="F519" s="9" t="s">
        <v>195</v>
      </c>
      <c r="M519" s="21">
        <v>0.25</v>
      </c>
    </row>
    <row r="520" spans="1:13">
      <c r="E520" s="21">
        <f t="shared" si="260"/>
        <v>520</v>
      </c>
      <c r="F520" s="9" t="s">
        <v>197</v>
      </c>
      <c r="M520" s="21">
        <v>40</v>
      </c>
    </row>
    <row r="521" spans="1:13">
      <c r="A521" s="21" t="s">
        <v>228</v>
      </c>
      <c r="B521" s="21">
        <f t="shared" ref="B521:B584" si="298">QUOTIENT( D521-1,G522)+1</f>
        <v>2</v>
      </c>
      <c r="C521" s="21">
        <f t="shared" ref="C521" si="299">D521-(B521-1)*G522</f>
        <v>9</v>
      </c>
      <c r="D521" s="21">
        <f>COUNT($D$56:$D520)+1</f>
        <v>30</v>
      </c>
    </row>
    <row r="522" spans="1:13">
      <c r="E522" s="21">
        <f t="shared" ref="E522:E585" si="300">ROW(E522)</f>
        <v>522</v>
      </c>
      <c r="F522" s="9" t="s">
        <v>93</v>
      </c>
      <c r="G522" s="21">
        <v>21</v>
      </c>
      <c r="H522" s="21">
        <v>2</v>
      </c>
      <c r="J522" s="9">
        <v>17500</v>
      </c>
      <c r="M522" s="21">
        <f t="shared" ref="M522:M585" si="301">J522+D521</f>
        <v>17530</v>
      </c>
    </row>
    <row r="523" spans="1:13">
      <c r="E523" s="21">
        <f t="shared" si="300"/>
        <v>523</v>
      </c>
      <c r="F523" s="9" t="s">
        <v>143</v>
      </c>
      <c r="G523" s="21">
        <v>17401</v>
      </c>
      <c r="H523" s="21">
        <v>17402</v>
      </c>
      <c r="I523" s="21">
        <v>99999</v>
      </c>
      <c r="M523" s="21">
        <f t="shared" ref="M523" si="302">IF(C521=(G522-1)/2+1,I523,IF(MOD(C521,2)=1,G523,H523))</f>
        <v>17401</v>
      </c>
    </row>
    <row r="524" spans="1:13">
      <c r="E524" s="21">
        <f t="shared" si="300"/>
        <v>524</v>
      </c>
      <c r="F524" s="9" t="s">
        <v>127</v>
      </c>
      <c r="M524" s="21">
        <v>0</v>
      </c>
    </row>
    <row r="525" spans="1:13">
      <c r="E525" s="21">
        <f t="shared" si="300"/>
        <v>525</v>
      </c>
      <c r="F525" s="9" t="s">
        <v>29</v>
      </c>
      <c r="M525" s="21" t="s">
        <v>251</v>
      </c>
    </row>
    <row r="526" spans="1:13">
      <c r="E526" s="21">
        <f t="shared" si="300"/>
        <v>526</v>
      </c>
      <c r="F526" s="9" t="s">
        <v>119</v>
      </c>
      <c r="G526" s="21" t="s">
        <v>252</v>
      </c>
      <c r="H526" s="21" t="s">
        <v>252</v>
      </c>
      <c r="M526" s="21" t="str">
        <f t="shared" ref="M526" si="303">IF(MOD(C521,2)=1,G526,H526)</f>
        <v>Shot5_red</v>
      </c>
    </row>
    <row r="527" spans="1:13">
      <c r="E527" s="21">
        <f t="shared" si="300"/>
        <v>527</v>
      </c>
      <c r="F527" s="9" t="s">
        <v>99</v>
      </c>
      <c r="K527" s="9" t="s">
        <v>138</v>
      </c>
      <c r="M527" s="21">
        <v>5</v>
      </c>
    </row>
    <row r="528" spans="1:13">
      <c r="E528" s="21">
        <f t="shared" si="300"/>
        <v>528</v>
      </c>
      <c r="F528" s="9" t="s">
        <v>176</v>
      </c>
      <c r="G528" s="21">
        <v>13.2</v>
      </c>
      <c r="H528" s="21">
        <f t="shared" ref="H528" si="304">G528/(G522-1)*(C521-1)-G528/2</f>
        <v>-1.3200000000000003</v>
      </c>
      <c r="K528" s="9" t="s">
        <v>219</v>
      </c>
      <c r="M528" s="21">
        <f t="shared" ref="M528:M591" si="305">H528</f>
        <v>-1.3200000000000003</v>
      </c>
    </row>
    <row r="529" spans="1:13">
      <c r="E529" s="21">
        <f t="shared" si="300"/>
        <v>529</v>
      </c>
      <c r="F529" s="9" t="s">
        <v>134</v>
      </c>
      <c r="K529" s="9" t="s">
        <v>220</v>
      </c>
    </row>
    <row r="530" spans="1:13">
      <c r="E530" s="21">
        <f t="shared" si="300"/>
        <v>530</v>
      </c>
      <c r="F530" s="9" t="s">
        <v>183</v>
      </c>
      <c r="G530" s="21">
        <v>45</v>
      </c>
      <c r="H530" s="21">
        <v>135</v>
      </c>
      <c r="L530" s="9" t="s">
        <v>135</v>
      </c>
      <c r="M530" s="21">
        <f t="shared" ref="M530" si="306">IF(B521=1,G530,H530)</f>
        <v>135</v>
      </c>
    </row>
    <row r="531" spans="1:13">
      <c r="E531" s="21">
        <f t="shared" si="300"/>
        <v>531</v>
      </c>
      <c r="F531" s="9" t="s">
        <v>117</v>
      </c>
      <c r="K531" s="9" t="s">
        <v>138</v>
      </c>
      <c r="M531" s="21">
        <v>2</v>
      </c>
    </row>
    <row r="532" spans="1:13">
      <c r="E532" s="21">
        <f t="shared" si="300"/>
        <v>532</v>
      </c>
      <c r="F532" s="9" t="s">
        <v>118</v>
      </c>
      <c r="M532" s="21" t="b">
        <v>1</v>
      </c>
    </row>
    <row r="533" spans="1:13">
      <c r="E533" s="21">
        <f t="shared" si="300"/>
        <v>533</v>
      </c>
      <c r="F533" s="9" t="s">
        <v>114</v>
      </c>
      <c r="G533" s="21">
        <v>90</v>
      </c>
      <c r="H533" s="21">
        <v>-90</v>
      </c>
      <c r="L533" s="9" t="s">
        <v>135</v>
      </c>
      <c r="M533" s="21">
        <f t="shared" ref="M533" si="307">IF(B521=1,G533,H533)</f>
        <v>-90</v>
      </c>
    </row>
    <row r="534" spans="1:13">
      <c r="E534" s="21">
        <f t="shared" si="300"/>
        <v>534</v>
      </c>
      <c r="F534" s="9" t="s">
        <v>126</v>
      </c>
      <c r="M534" s="21">
        <v>10000</v>
      </c>
    </row>
    <row r="535" spans="1:13">
      <c r="E535" s="21">
        <f t="shared" si="300"/>
        <v>535</v>
      </c>
      <c r="F535" s="9" t="s">
        <v>195</v>
      </c>
      <c r="M535" s="21">
        <v>0.25</v>
      </c>
    </row>
    <row r="536" spans="1:13">
      <c r="E536" s="21">
        <f t="shared" si="300"/>
        <v>536</v>
      </c>
      <c r="F536" s="9" t="s">
        <v>197</v>
      </c>
      <c r="M536" s="21">
        <v>40</v>
      </c>
    </row>
    <row r="537" spans="1:13">
      <c r="A537" s="21" t="s">
        <v>228</v>
      </c>
      <c r="B537" s="21">
        <f t="shared" ref="B537:B568" si="308">QUOTIENT( D537-1,G538)+1</f>
        <v>2</v>
      </c>
      <c r="C537" s="21">
        <f t="shared" ref="C537" si="309">D537-(B537-1)*G538</f>
        <v>10</v>
      </c>
      <c r="D537" s="21">
        <f>COUNT($D$56:$D536)+1</f>
        <v>31</v>
      </c>
    </row>
    <row r="538" spans="1:13">
      <c r="E538" s="21">
        <f t="shared" ref="E538:E569" si="310">ROW(E538)</f>
        <v>538</v>
      </c>
      <c r="F538" s="9" t="s">
        <v>93</v>
      </c>
      <c r="G538" s="21">
        <v>21</v>
      </c>
      <c r="H538" s="21">
        <v>2</v>
      </c>
      <c r="J538" s="9">
        <v>17500</v>
      </c>
      <c r="M538" s="21">
        <f t="shared" ref="M538:M569" si="311">J538+D537</f>
        <v>17531</v>
      </c>
    </row>
    <row r="539" spans="1:13">
      <c r="E539" s="21">
        <f t="shared" si="300"/>
        <v>539</v>
      </c>
      <c r="F539" s="9" t="s">
        <v>143</v>
      </c>
      <c r="G539" s="21">
        <v>17401</v>
      </c>
      <c r="H539" s="21">
        <v>17402</v>
      </c>
      <c r="I539" s="21">
        <v>99999</v>
      </c>
      <c r="M539" s="21">
        <f t="shared" ref="M539" si="312">IF(C537=(G538-1)/2+1,I539,IF(MOD(C537,2)=1,G539,H539))</f>
        <v>17402</v>
      </c>
    </row>
    <row r="540" spans="1:13">
      <c r="E540" s="21">
        <f t="shared" si="300"/>
        <v>540</v>
      </c>
      <c r="F540" s="9" t="s">
        <v>127</v>
      </c>
      <c r="M540" s="21">
        <v>0</v>
      </c>
    </row>
    <row r="541" spans="1:13">
      <c r="E541" s="21">
        <f t="shared" si="300"/>
        <v>541</v>
      </c>
      <c r="F541" s="9" t="s">
        <v>29</v>
      </c>
      <c r="M541" s="21" t="s">
        <v>251</v>
      </c>
    </row>
    <row r="542" spans="1:13">
      <c r="E542" s="21">
        <f t="shared" si="300"/>
        <v>542</v>
      </c>
      <c r="F542" s="9" t="s">
        <v>119</v>
      </c>
      <c r="G542" s="21" t="s">
        <v>252</v>
      </c>
      <c r="H542" s="21" t="s">
        <v>252</v>
      </c>
      <c r="M542" s="21" t="str">
        <f t="shared" ref="M542" si="313">IF(MOD(C537,2)=1,G542,H542)</f>
        <v>Shot5_red</v>
      </c>
    </row>
    <row r="543" spans="1:13">
      <c r="E543" s="21">
        <f t="shared" si="300"/>
        <v>543</v>
      </c>
      <c r="F543" s="9" t="s">
        <v>99</v>
      </c>
      <c r="K543" s="9" t="s">
        <v>138</v>
      </c>
      <c r="M543" s="21">
        <v>5</v>
      </c>
    </row>
    <row r="544" spans="1:13">
      <c r="E544" s="21">
        <f t="shared" si="300"/>
        <v>544</v>
      </c>
      <c r="F544" s="9" t="s">
        <v>176</v>
      </c>
      <c r="G544" s="21">
        <v>13.2</v>
      </c>
      <c r="H544" s="21">
        <f t="shared" ref="H544" si="314">G544/(G538-1)*(C537-1)-G544/2</f>
        <v>-0.66000000000000014</v>
      </c>
      <c r="K544" s="9" t="s">
        <v>219</v>
      </c>
      <c r="M544" s="21">
        <f t="shared" ref="M544:M575" si="315">H544</f>
        <v>-0.66000000000000014</v>
      </c>
    </row>
    <row r="545" spans="1:13">
      <c r="E545" s="21">
        <f t="shared" si="300"/>
        <v>545</v>
      </c>
      <c r="F545" s="9" t="s">
        <v>134</v>
      </c>
      <c r="K545" s="9" t="s">
        <v>220</v>
      </c>
    </row>
    <row r="546" spans="1:13">
      <c r="E546" s="21">
        <f t="shared" si="300"/>
        <v>546</v>
      </c>
      <c r="F546" s="9" t="s">
        <v>183</v>
      </c>
      <c r="G546" s="21">
        <v>45</v>
      </c>
      <c r="H546" s="21">
        <v>135</v>
      </c>
      <c r="L546" s="9" t="s">
        <v>135</v>
      </c>
      <c r="M546" s="21">
        <f t="shared" ref="M546" si="316">IF(B537=1,G546,H546)</f>
        <v>135</v>
      </c>
    </row>
    <row r="547" spans="1:13">
      <c r="E547" s="21">
        <f t="shared" si="300"/>
        <v>547</v>
      </c>
      <c r="F547" s="9" t="s">
        <v>117</v>
      </c>
      <c r="K547" s="9" t="s">
        <v>138</v>
      </c>
      <c r="M547" s="21">
        <v>2</v>
      </c>
    </row>
    <row r="548" spans="1:13">
      <c r="E548" s="21">
        <f t="shared" si="300"/>
        <v>548</v>
      </c>
      <c r="F548" s="9" t="s">
        <v>118</v>
      </c>
      <c r="M548" s="21" t="b">
        <v>1</v>
      </c>
    </row>
    <row r="549" spans="1:13">
      <c r="E549" s="21">
        <f t="shared" si="300"/>
        <v>549</v>
      </c>
      <c r="F549" s="9" t="s">
        <v>114</v>
      </c>
      <c r="G549" s="21">
        <v>90</v>
      </c>
      <c r="H549" s="21">
        <v>-90</v>
      </c>
      <c r="L549" s="9" t="s">
        <v>135</v>
      </c>
      <c r="M549" s="21">
        <f t="shared" ref="M549" si="317">IF(B537=1,G549,H549)</f>
        <v>-90</v>
      </c>
    </row>
    <row r="550" spans="1:13">
      <c r="E550" s="21">
        <f t="shared" si="300"/>
        <v>550</v>
      </c>
      <c r="F550" s="9" t="s">
        <v>126</v>
      </c>
      <c r="M550" s="21">
        <v>10000</v>
      </c>
    </row>
    <row r="551" spans="1:13">
      <c r="E551" s="21">
        <f t="shared" si="300"/>
        <v>551</v>
      </c>
      <c r="F551" s="9" t="s">
        <v>195</v>
      </c>
      <c r="M551" s="21">
        <v>0.25</v>
      </c>
    </row>
    <row r="552" spans="1:13">
      <c r="E552" s="21">
        <f t="shared" si="300"/>
        <v>552</v>
      </c>
      <c r="F552" s="9" t="s">
        <v>197</v>
      </c>
      <c r="M552" s="21">
        <v>40</v>
      </c>
    </row>
    <row r="553" spans="1:13">
      <c r="A553" s="21" t="s">
        <v>228</v>
      </c>
      <c r="B553" s="21">
        <f t="shared" ref="B553:B584" si="318">QUOTIENT( D553-1,G554)+1</f>
        <v>2</v>
      </c>
      <c r="C553" s="21">
        <f t="shared" ref="C553" si="319">D553-(B553-1)*G554</f>
        <v>11</v>
      </c>
      <c r="D553" s="21">
        <f>COUNT($D$56:$D552)+1</f>
        <v>32</v>
      </c>
    </row>
    <row r="554" spans="1:13">
      <c r="E554" s="21">
        <f t="shared" ref="E554:E585" si="320">ROW(E554)</f>
        <v>554</v>
      </c>
      <c r="F554" s="9" t="s">
        <v>93</v>
      </c>
      <c r="G554" s="21">
        <v>21</v>
      </c>
      <c r="H554" s="21">
        <v>2</v>
      </c>
      <c r="J554" s="9">
        <v>17500</v>
      </c>
      <c r="M554" s="21">
        <f t="shared" ref="M554:M585" si="321">J554+D553</f>
        <v>17532</v>
      </c>
    </row>
    <row r="555" spans="1:13">
      <c r="E555" s="21">
        <f t="shared" si="300"/>
        <v>555</v>
      </c>
      <c r="F555" s="9" t="s">
        <v>143</v>
      </c>
      <c r="G555" s="21">
        <v>17401</v>
      </c>
      <c r="H555" s="21">
        <v>17402</v>
      </c>
      <c r="I555" s="21">
        <v>99999</v>
      </c>
      <c r="M555" s="21">
        <f t="shared" ref="M555" si="322">IF(C553=(G554-1)/2+1,I555,IF(MOD(C553,2)=1,G555,H555))</f>
        <v>99999</v>
      </c>
    </row>
    <row r="556" spans="1:13">
      <c r="E556" s="21">
        <f t="shared" si="300"/>
        <v>556</v>
      </c>
      <c r="F556" s="9" t="s">
        <v>127</v>
      </c>
      <c r="M556" s="21">
        <v>0</v>
      </c>
    </row>
    <row r="557" spans="1:13">
      <c r="E557" s="21">
        <f t="shared" si="300"/>
        <v>557</v>
      </c>
      <c r="F557" s="9" t="s">
        <v>29</v>
      </c>
      <c r="M557" s="21" t="s">
        <v>251</v>
      </c>
    </row>
    <row r="558" spans="1:13">
      <c r="E558" s="21">
        <f t="shared" si="300"/>
        <v>558</v>
      </c>
      <c r="F558" s="9" t="s">
        <v>119</v>
      </c>
      <c r="G558" s="21" t="s">
        <v>252</v>
      </c>
      <c r="H558" s="21" t="s">
        <v>252</v>
      </c>
      <c r="M558" s="21" t="str">
        <f t="shared" ref="M558" si="323">IF(MOD(C553,2)=1,G558,H558)</f>
        <v>Shot5_red</v>
      </c>
    </row>
    <row r="559" spans="1:13">
      <c r="E559" s="21">
        <f t="shared" si="300"/>
        <v>559</v>
      </c>
      <c r="F559" s="9" t="s">
        <v>99</v>
      </c>
      <c r="K559" s="9" t="s">
        <v>138</v>
      </c>
      <c r="M559" s="21">
        <v>5</v>
      </c>
    </row>
    <row r="560" spans="1:13">
      <c r="E560" s="21">
        <f t="shared" si="300"/>
        <v>560</v>
      </c>
      <c r="F560" s="9" t="s">
        <v>176</v>
      </c>
      <c r="G560" s="21">
        <v>13.2</v>
      </c>
      <c r="H560" s="21">
        <f t="shared" ref="H560" si="324">G560/(G554-1)*(C553-1)-G560/2</f>
        <v>0</v>
      </c>
      <c r="K560" s="9" t="s">
        <v>219</v>
      </c>
      <c r="M560" s="21">
        <f t="shared" ref="M560:M591" si="325">H560</f>
        <v>0</v>
      </c>
    </row>
    <row r="561" spans="1:13">
      <c r="E561" s="21">
        <f t="shared" si="300"/>
        <v>561</v>
      </c>
      <c r="F561" s="9" t="s">
        <v>134</v>
      </c>
      <c r="K561" s="9" t="s">
        <v>220</v>
      </c>
    </row>
    <row r="562" spans="1:13">
      <c r="E562" s="21">
        <f t="shared" si="300"/>
        <v>562</v>
      </c>
      <c r="F562" s="9" t="s">
        <v>183</v>
      </c>
      <c r="G562" s="21">
        <v>45</v>
      </c>
      <c r="H562" s="21">
        <v>135</v>
      </c>
      <c r="L562" s="9" t="s">
        <v>135</v>
      </c>
      <c r="M562" s="21">
        <f t="shared" ref="M562" si="326">IF(B553=1,G562,H562)</f>
        <v>135</v>
      </c>
    </row>
    <row r="563" spans="1:13">
      <c r="E563" s="21">
        <f t="shared" si="300"/>
        <v>563</v>
      </c>
      <c r="F563" s="9" t="s">
        <v>117</v>
      </c>
      <c r="K563" s="9" t="s">
        <v>138</v>
      </c>
      <c r="M563" s="21">
        <v>2</v>
      </c>
    </row>
    <row r="564" spans="1:13">
      <c r="E564" s="21">
        <f t="shared" si="300"/>
        <v>564</v>
      </c>
      <c r="F564" s="9" t="s">
        <v>118</v>
      </c>
      <c r="M564" s="21" t="b">
        <v>1</v>
      </c>
    </row>
    <row r="565" spans="1:13">
      <c r="E565" s="21">
        <f t="shared" si="300"/>
        <v>565</v>
      </c>
      <c r="F565" s="9" t="s">
        <v>114</v>
      </c>
      <c r="G565" s="21">
        <v>90</v>
      </c>
      <c r="H565" s="21">
        <v>-90</v>
      </c>
      <c r="L565" s="9" t="s">
        <v>135</v>
      </c>
      <c r="M565" s="21">
        <f t="shared" ref="M565" si="327">IF(B553=1,G565,H565)</f>
        <v>-90</v>
      </c>
    </row>
    <row r="566" spans="1:13">
      <c r="E566" s="21">
        <f t="shared" si="300"/>
        <v>566</v>
      </c>
      <c r="F566" s="9" t="s">
        <v>126</v>
      </c>
      <c r="M566" s="21">
        <v>10000</v>
      </c>
    </row>
    <row r="567" spans="1:13">
      <c r="E567" s="21">
        <f t="shared" si="300"/>
        <v>567</v>
      </c>
      <c r="F567" s="9" t="s">
        <v>195</v>
      </c>
      <c r="M567" s="21">
        <v>0.25</v>
      </c>
    </row>
    <row r="568" spans="1:13">
      <c r="E568" s="21">
        <f t="shared" si="300"/>
        <v>568</v>
      </c>
      <c r="F568" s="9" t="s">
        <v>197</v>
      </c>
      <c r="M568" s="21">
        <v>40</v>
      </c>
    </row>
    <row r="569" spans="1:13">
      <c r="A569" s="21" t="s">
        <v>228</v>
      </c>
      <c r="B569" s="21">
        <f t="shared" ref="B569:B600" si="328">QUOTIENT( D569-1,G570)+1</f>
        <v>2</v>
      </c>
      <c r="C569" s="21">
        <f t="shared" ref="C569" si="329">D569-(B569-1)*G570</f>
        <v>12</v>
      </c>
      <c r="D569" s="21">
        <f>COUNT($D$56:$D568)+1</f>
        <v>33</v>
      </c>
    </row>
    <row r="570" spans="1:13">
      <c r="E570" s="21">
        <f t="shared" ref="E570:E601" si="330">ROW(E570)</f>
        <v>570</v>
      </c>
      <c r="F570" s="9" t="s">
        <v>93</v>
      </c>
      <c r="G570" s="21">
        <v>21</v>
      </c>
      <c r="H570" s="21">
        <v>2</v>
      </c>
      <c r="J570" s="9">
        <v>17500</v>
      </c>
      <c r="M570" s="21">
        <f t="shared" ref="M570:M601" si="331">J570+D569</f>
        <v>17533</v>
      </c>
    </row>
    <row r="571" spans="1:13">
      <c r="E571" s="21">
        <f t="shared" si="300"/>
        <v>571</v>
      </c>
      <c r="F571" s="9" t="s">
        <v>143</v>
      </c>
      <c r="G571" s="21">
        <v>17401</v>
      </c>
      <c r="H571" s="21">
        <v>17402</v>
      </c>
      <c r="I571" s="21">
        <v>99999</v>
      </c>
      <c r="M571" s="21">
        <f t="shared" ref="M571" si="332">IF(C569=(G570-1)/2+1,I571,IF(MOD(C569,2)=1,G571,H571))</f>
        <v>17402</v>
      </c>
    </row>
    <row r="572" spans="1:13">
      <c r="E572" s="21">
        <f t="shared" si="300"/>
        <v>572</v>
      </c>
      <c r="F572" s="9" t="s">
        <v>127</v>
      </c>
      <c r="M572" s="21">
        <v>0</v>
      </c>
    </row>
    <row r="573" spans="1:13">
      <c r="E573" s="21">
        <f t="shared" si="300"/>
        <v>573</v>
      </c>
      <c r="F573" s="9" t="s">
        <v>29</v>
      </c>
      <c r="M573" s="21" t="s">
        <v>251</v>
      </c>
    </row>
    <row r="574" spans="1:13">
      <c r="E574" s="21">
        <f t="shared" si="300"/>
        <v>574</v>
      </c>
      <c r="F574" s="9" t="s">
        <v>119</v>
      </c>
      <c r="G574" s="21" t="s">
        <v>252</v>
      </c>
      <c r="H574" s="21" t="s">
        <v>252</v>
      </c>
      <c r="M574" s="21" t="str">
        <f t="shared" ref="M574" si="333">IF(MOD(C569,2)=1,G574,H574)</f>
        <v>Shot5_red</v>
      </c>
    </row>
    <row r="575" spans="1:13">
      <c r="E575" s="21">
        <f t="shared" si="300"/>
        <v>575</v>
      </c>
      <c r="F575" s="9" t="s">
        <v>99</v>
      </c>
      <c r="K575" s="9" t="s">
        <v>138</v>
      </c>
      <c r="M575" s="21">
        <v>5</v>
      </c>
    </row>
    <row r="576" spans="1:13">
      <c r="E576" s="21">
        <f t="shared" si="300"/>
        <v>576</v>
      </c>
      <c r="F576" s="9" t="s">
        <v>176</v>
      </c>
      <c r="G576" s="21">
        <v>13.2</v>
      </c>
      <c r="H576" s="21">
        <f t="shared" ref="H576" si="334">G576/(G570-1)*(C569-1)-G576/2</f>
        <v>0.65999999999999925</v>
      </c>
      <c r="K576" s="9" t="s">
        <v>219</v>
      </c>
      <c r="M576" s="21">
        <f t="shared" ref="M576:M607" si="335">H576</f>
        <v>0.65999999999999925</v>
      </c>
    </row>
    <row r="577" spans="1:13">
      <c r="E577" s="21">
        <f t="shared" si="300"/>
        <v>577</v>
      </c>
      <c r="F577" s="9" t="s">
        <v>134</v>
      </c>
      <c r="K577" s="9" t="s">
        <v>220</v>
      </c>
    </row>
    <row r="578" spans="1:13">
      <c r="E578" s="21">
        <f t="shared" si="300"/>
        <v>578</v>
      </c>
      <c r="F578" s="9" t="s">
        <v>183</v>
      </c>
      <c r="G578" s="21">
        <v>45</v>
      </c>
      <c r="H578" s="21">
        <v>135</v>
      </c>
      <c r="L578" s="9" t="s">
        <v>135</v>
      </c>
      <c r="M578" s="21">
        <f t="shared" ref="M578" si="336">IF(B569=1,G578,H578)</f>
        <v>135</v>
      </c>
    </row>
    <row r="579" spans="1:13">
      <c r="E579" s="21">
        <f t="shared" si="300"/>
        <v>579</v>
      </c>
      <c r="F579" s="9" t="s">
        <v>117</v>
      </c>
      <c r="K579" s="9" t="s">
        <v>138</v>
      </c>
      <c r="M579" s="21">
        <v>2</v>
      </c>
    </row>
    <row r="580" spans="1:13">
      <c r="E580" s="21">
        <f t="shared" si="300"/>
        <v>580</v>
      </c>
      <c r="F580" s="9" t="s">
        <v>118</v>
      </c>
      <c r="M580" s="21" t="b">
        <v>1</v>
      </c>
    </row>
    <row r="581" spans="1:13">
      <c r="E581" s="21">
        <f t="shared" si="300"/>
        <v>581</v>
      </c>
      <c r="F581" s="9" t="s">
        <v>114</v>
      </c>
      <c r="G581" s="21">
        <v>90</v>
      </c>
      <c r="H581" s="21">
        <v>-90</v>
      </c>
      <c r="L581" s="9" t="s">
        <v>135</v>
      </c>
      <c r="M581" s="21">
        <f t="shared" ref="M581" si="337">IF(B569=1,G581,H581)</f>
        <v>-90</v>
      </c>
    </row>
    <row r="582" spans="1:13">
      <c r="E582" s="21">
        <f t="shared" si="300"/>
        <v>582</v>
      </c>
      <c r="F582" s="9" t="s">
        <v>126</v>
      </c>
      <c r="M582" s="21">
        <v>10000</v>
      </c>
    </row>
    <row r="583" spans="1:13">
      <c r="E583" s="21">
        <f t="shared" si="300"/>
        <v>583</v>
      </c>
      <c r="F583" s="9" t="s">
        <v>195</v>
      </c>
      <c r="M583" s="21">
        <v>0.25</v>
      </c>
    </row>
    <row r="584" spans="1:13">
      <c r="E584" s="21">
        <f t="shared" si="300"/>
        <v>584</v>
      </c>
      <c r="F584" s="9" t="s">
        <v>197</v>
      </c>
      <c r="M584" s="21">
        <v>40</v>
      </c>
    </row>
    <row r="585" spans="1:13">
      <c r="A585" s="21" t="s">
        <v>228</v>
      </c>
      <c r="B585" s="21">
        <f t="shared" ref="B585:B616" si="338">QUOTIENT( D585-1,G586)+1</f>
        <v>2</v>
      </c>
      <c r="C585" s="21">
        <f t="shared" ref="C585" si="339">D585-(B585-1)*G586</f>
        <v>13</v>
      </c>
      <c r="D585" s="21">
        <f>COUNT($D$56:$D584)+1</f>
        <v>34</v>
      </c>
    </row>
    <row r="586" spans="1:13">
      <c r="E586" s="21">
        <f t="shared" ref="E586:E648" si="340">ROW(E586)</f>
        <v>586</v>
      </c>
      <c r="F586" s="9" t="s">
        <v>93</v>
      </c>
      <c r="G586" s="21">
        <v>21</v>
      </c>
      <c r="H586" s="21">
        <v>2</v>
      </c>
      <c r="J586" s="9">
        <v>17500</v>
      </c>
      <c r="M586" s="21">
        <f t="shared" ref="M586:M617" si="341">J586+D585</f>
        <v>17534</v>
      </c>
    </row>
    <row r="587" spans="1:13">
      <c r="E587" s="21">
        <f t="shared" si="340"/>
        <v>587</v>
      </c>
      <c r="F587" s="9" t="s">
        <v>143</v>
      </c>
      <c r="G587" s="21">
        <v>17401</v>
      </c>
      <c r="H587" s="21">
        <v>17402</v>
      </c>
      <c r="I587" s="21">
        <v>99999</v>
      </c>
      <c r="M587" s="21">
        <f t="shared" ref="M587" si="342">IF(C585=(G586-1)/2+1,I587,IF(MOD(C585,2)=1,G587,H587))</f>
        <v>17401</v>
      </c>
    </row>
    <row r="588" spans="1:13">
      <c r="E588" s="21">
        <f t="shared" si="340"/>
        <v>588</v>
      </c>
      <c r="F588" s="9" t="s">
        <v>127</v>
      </c>
      <c r="M588" s="21">
        <v>0</v>
      </c>
    </row>
    <row r="589" spans="1:13">
      <c r="E589" s="21">
        <f t="shared" si="340"/>
        <v>589</v>
      </c>
      <c r="F589" s="9" t="s">
        <v>29</v>
      </c>
      <c r="M589" s="21" t="s">
        <v>251</v>
      </c>
    </row>
    <row r="590" spans="1:13">
      <c r="E590" s="21">
        <f t="shared" si="340"/>
        <v>590</v>
      </c>
      <c r="F590" s="9" t="s">
        <v>119</v>
      </c>
      <c r="G590" s="21" t="s">
        <v>252</v>
      </c>
      <c r="H590" s="21" t="s">
        <v>252</v>
      </c>
      <c r="M590" s="21" t="str">
        <f t="shared" ref="M590" si="343">IF(MOD(C585,2)=1,G590,H590)</f>
        <v>Shot5_red</v>
      </c>
    </row>
    <row r="591" spans="1:13">
      <c r="E591" s="21">
        <f t="shared" si="340"/>
        <v>591</v>
      </c>
      <c r="F591" s="9" t="s">
        <v>99</v>
      </c>
      <c r="K591" s="9" t="s">
        <v>138</v>
      </c>
      <c r="M591" s="21">
        <v>5</v>
      </c>
    </row>
    <row r="592" spans="1:13">
      <c r="E592" s="21">
        <f t="shared" si="340"/>
        <v>592</v>
      </c>
      <c r="F592" s="9" t="s">
        <v>176</v>
      </c>
      <c r="G592" s="21">
        <v>13.2</v>
      </c>
      <c r="H592" s="21">
        <f t="shared" ref="H592" si="344">G592/(G586-1)*(C585-1)-G592/2</f>
        <v>1.3199999999999994</v>
      </c>
      <c r="K592" s="9" t="s">
        <v>219</v>
      </c>
      <c r="M592" s="21">
        <f t="shared" ref="M592:M623" si="345">H592</f>
        <v>1.3199999999999994</v>
      </c>
    </row>
    <row r="593" spans="1:13">
      <c r="E593" s="21">
        <f t="shared" si="340"/>
        <v>593</v>
      </c>
      <c r="F593" s="9" t="s">
        <v>134</v>
      </c>
      <c r="K593" s="9" t="s">
        <v>220</v>
      </c>
    </row>
    <row r="594" spans="1:13">
      <c r="E594" s="21">
        <f t="shared" si="340"/>
        <v>594</v>
      </c>
      <c r="F594" s="9" t="s">
        <v>183</v>
      </c>
      <c r="G594" s="21">
        <v>45</v>
      </c>
      <c r="H594" s="21">
        <v>135</v>
      </c>
      <c r="L594" s="9" t="s">
        <v>135</v>
      </c>
      <c r="M594" s="21">
        <f t="shared" ref="M594" si="346">IF(B585=1,G594,H594)</f>
        <v>135</v>
      </c>
    </row>
    <row r="595" spans="1:13">
      <c r="E595" s="21">
        <f t="shared" si="340"/>
        <v>595</v>
      </c>
      <c r="F595" s="9" t="s">
        <v>117</v>
      </c>
      <c r="K595" s="9" t="s">
        <v>138</v>
      </c>
      <c r="M595" s="21">
        <v>2</v>
      </c>
    </row>
    <row r="596" spans="1:13">
      <c r="E596" s="21">
        <f t="shared" si="340"/>
        <v>596</v>
      </c>
      <c r="F596" s="9" t="s">
        <v>118</v>
      </c>
      <c r="M596" s="21" t="b">
        <v>1</v>
      </c>
    </row>
    <row r="597" spans="1:13">
      <c r="E597" s="21">
        <f t="shared" si="340"/>
        <v>597</v>
      </c>
      <c r="F597" s="9" t="s">
        <v>114</v>
      </c>
      <c r="G597" s="21">
        <v>90</v>
      </c>
      <c r="H597" s="21">
        <v>-90</v>
      </c>
      <c r="L597" s="9" t="s">
        <v>135</v>
      </c>
      <c r="M597" s="21">
        <f t="shared" ref="M597" si="347">IF(B585=1,G597,H597)</f>
        <v>-90</v>
      </c>
    </row>
    <row r="598" spans="1:13">
      <c r="E598" s="21">
        <f t="shared" si="340"/>
        <v>598</v>
      </c>
      <c r="F598" s="9" t="s">
        <v>126</v>
      </c>
      <c r="M598" s="21">
        <v>10000</v>
      </c>
    </row>
    <row r="599" spans="1:13">
      <c r="E599" s="21">
        <f t="shared" si="340"/>
        <v>599</v>
      </c>
      <c r="F599" s="9" t="s">
        <v>195</v>
      </c>
      <c r="M599" s="21">
        <v>0.25</v>
      </c>
    </row>
    <row r="600" spans="1:13">
      <c r="E600" s="21">
        <f t="shared" si="340"/>
        <v>600</v>
      </c>
      <c r="F600" s="9" t="s">
        <v>197</v>
      </c>
      <c r="M600" s="21">
        <v>40</v>
      </c>
    </row>
    <row r="601" spans="1:13">
      <c r="A601" s="21" t="s">
        <v>228</v>
      </c>
      <c r="B601" s="21">
        <f t="shared" ref="B601:B632" si="348">QUOTIENT( D601-1,G602)+1</f>
        <v>2</v>
      </c>
      <c r="C601" s="21">
        <f t="shared" ref="C601" si="349">D601-(B601-1)*G602</f>
        <v>14</v>
      </c>
      <c r="D601" s="21">
        <f>COUNT($D$56:$D600)+1</f>
        <v>35</v>
      </c>
    </row>
    <row r="602" spans="1:13">
      <c r="E602" s="21">
        <f t="shared" ref="E602:E633" si="350">ROW(E602)</f>
        <v>602</v>
      </c>
      <c r="F602" s="9" t="s">
        <v>93</v>
      </c>
      <c r="G602" s="21">
        <v>21</v>
      </c>
      <c r="H602" s="21">
        <v>2</v>
      </c>
      <c r="J602" s="9">
        <v>17500</v>
      </c>
      <c r="M602" s="21">
        <f t="shared" ref="M602:M633" si="351">J602+D601</f>
        <v>17535</v>
      </c>
    </row>
    <row r="603" spans="1:13">
      <c r="E603" s="21">
        <f t="shared" si="340"/>
        <v>603</v>
      </c>
      <c r="F603" s="9" t="s">
        <v>143</v>
      </c>
      <c r="G603" s="21">
        <v>17401</v>
      </c>
      <c r="H603" s="21">
        <v>17402</v>
      </c>
      <c r="I603" s="21">
        <v>99999</v>
      </c>
      <c r="M603" s="21">
        <f t="shared" ref="M603" si="352">IF(C601=(G602-1)/2+1,I603,IF(MOD(C601,2)=1,G603,H603))</f>
        <v>17402</v>
      </c>
    </row>
    <row r="604" spans="1:13">
      <c r="E604" s="21">
        <f t="shared" si="340"/>
        <v>604</v>
      </c>
      <c r="F604" s="9" t="s">
        <v>127</v>
      </c>
      <c r="M604" s="21">
        <v>0</v>
      </c>
    </row>
    <row r="605" spans="1:13">
      <c r="E605" s="21">
        <f t="shared" si="340"/>
        <v>605</v>
      </c>
      <c r="F605" s="9" t="s">
        <v>29</v>
      </c>
      <c r="M605" s="21" t="s">
        <v>251</v>
      </c>
    </row>
    <row r="606" spans="1:13">
      <c r="E606" s="21">
        <f t="shared" si="340"/>
        <v>606</v>
      </c>
      <c r="F606" s="9" t="s">
        <v>119</v>
      </c>
      <c r="G606" s="21" t="s">
        <v>252</v>
      </c>
      <c r="H606" s="21" t="s">
        <v>252</v>
      </c>
      <c r="M606" s="21" t="str">
        <f t="shared" ref="M606" si="353">IF(MOD(C601,2)=1,G606,H606)</f>
        <v>Shot5_red</v>
      </c>
    </row>
    <row r="607" spans="1:13">
      <c r="E607" s="21">
        <f t="shared" si="340"/>
        <v>607</v>
      </c>
      <c r="F607" s="9" t="s">
        <v>99</v>
      </c>
      <c r="K607" s="9" t="s">
        <v>138</v>
      </c>
      <c r="M607" s="21">
        <v>5</v>
      </c>
    </row>
    <row r="608" spans="1:13">
      <c r="E608" s="21">
        <f t="shared" si="340"/>
        <v>608</v>
      </c>
      <c r="F608" s="9" t="s">
        <v>176</v>
      </c>
      <c r="G608" s="21">
        <v>13.2</v>
      </c>
      <c r="H608" s="21">
        <f t="shared" ref="H608" si="354">G608/(G602-1)*(C601-1)-G608/2</f>
        <v>1.9799999999999986</v>
      </c>
      <c r="K608" s="9" t="s">
        <v>219</v>
      </c>
      <c r="M608" s="21">
        <f t="shared" ref="M608:M639" si="355">H608</f>
        <v>1.9799999999999986</v>
      </c>
    </row>
    <row r="609" spans="1:13">
      <c r="E609" s="21">
        <f t="shared" si="340"/>
        <v>609</v>
      </c>
      <c r="F609" s="9" t="s">
        <v>134</v>
      </c>
      <c r="K609" s="9" t="s">
        <v>220</v>
      </c>
    </row>
    <row r="610" spans="1:13">
      <c r="E610" s="21">
        <f t="shared" si="340"/>
        <v>610</v>
      </c>
      <c r="F610" s="9" t="s">
        <v>183</v>
      </c>
      <c r="G610" s="21">
        <v>45</v>
      </c>
      <c r="H610" s="21">
        <v>135</v>
      </c>
      <c r="L610" s="9" t="s">
        <v>135</v>
      </c>
      <c r="M610" s="21">
        <f t="shared" ref="M610" si="356">IF(B601=1,G610,H610)</f>
        <v>135</v>
      </c>
    </row>
    <row r="611" spans="1:13">
      <c r="E611" s="21">
        <f t="shared" si="340"/>
        <v>611</v>
      </c>
      <c r="F611" s="9" t="s">
        <v>117</v>
      </c>
      <c r="K611" s="9" t="s">
        <v>138</v>
      </c>
      <c r="M611" s="21">
        <v>2</v>
      </c>
    </row>
    <row r="612" spans="1:13">
      <c r="E612" s="21">
        <f t="shared" si="340"/>
        <v>612</v>
      </c>
      <c r="F612" s="9" t="s">
        <v>118</v>
      </c>
      <c r="M612" s="21" t="b">
        <v>1</v>
      </c>
    </row>
    <row r="613" spans="1:13">
      <c r="E613" s="21">
        <f t="shared" si="340"/>
        <v>613</v>
      </c>
      <c r="F613" s="9" t="s">
        <v>114</v>
      </c>
      <c r="G613" s="21">
        <v>90</v>
      </c>
      <c r="H613" s="21">
        <v>-90</v>
      </c>
      <c r="L613" s="9" t="s">
        <v>135</v>
      </c>
      <c r="M613" s="21">
        <f t="shared" ref="M613" si="357">IF(B601=1,G613,H613)</f>
        <v>-90</v>
      </c>
    </row>
    <row r="614" spans="1:13">
      <c r="E614" s="21">
        <f t="shared" si="340"/>
        <v>614</v>
      </c>
      <c r="F614" s="9" t="s">
        <v>126</v>
      </c>
      <c r="M614" s="21">
        <v>10000</v>
      </c>
    </row>
    <row r="615" spans="1:13">
      <c r="E615" s="21">
        <f t="shared" si="340"/>
        <v>615</v>
      </c>
      <c r="F615" s="9" t="s">
        <v>195</v>
      </c>
      <c r="M615" s="21">
        <v>0.25</v>
      </c>
    </row>
    <row r="616" spans="1:13">
      <c r="E616" s="21">
        <f t="shared" si="340"/>
        <v>616</v>
      </c>
      <c r="F616" s="9" t="s">
        <v>197</v>
      </c>
      <c r="M616" s="21">
        <v>40</v>
      </c>
    </row>
    <row r="617" spans="1:13">
      <c r="A617" s="21" t="s">
        <v>228</v>
      </c>
      <c r="B617" s="21">
        <f t="shared" ref="B617:B648" si="358">QUOTIENT( D617-1,G618)+1</f>
        <v>2</v>
      </c>
      <c r="C617" s="21">
        <f t="shared" ref="C617" si="359">D617-(B617-1)*G618</f>
        <v>15</v>
      </c>
      <c r="D617" s="21">
        <f>COUNT($D$56:$D616)+1</f>
        <v>36</v>
      </c>
    </row>
    <row r="618" spans="1:13">
      <c r="E618" s="21">
        <f t="shared" ref="E618:E649" si="360">ROW(E618)</f>
        <v>618</v>
      </c>
      <c r="F618" s="9" t="s">
        <v>93</v>
      </c>
      <c r="G618" s="21">
        <v>21</v>
      </c>
      <c r="H618" s="21">
        <v>2</v>
      </c>
      <c r="J618" s="9">
        <v>17500</v>
      </c>
      <c r="M618" s="21">
        <f t="shared" ref="M618:M649" si="361">J618+D617</f>
        <v>17536</v>
      </c>
    </row>
    <row r="619" spans="1:13">
      <c r="E619" s="21">
        <f t="shared" si="340"/>
        <v>619</v>
      </c>
      <c r="F619" s="9" t="s">
        <v>143</v>
      </c>
      <c r="G619" s="21">
        <v>17401</v>
      </c>
      <c r="H619" s="21">
        <v>17402</v>
      </c>
      <c r="I619" s="21">
        <v>99999</v>
      </c>
      <c r="M619" s="21">
        <f t="shared" ref="M619" si="362">IF(C617=(G618-1)/2+1,I619,IF(MOD(C617,2)=1,G619,H619))</f>
        <v>17401</v>
      </c>
    </row>
    <row r="620" spans="1:13">
      <c r="E620" s="21">
        <f t="shared" si="340"/>
        <v>620</v>
      </c>
      <c r="F620" s="9" t="s">
        <v>127</v>
      </c>
      <c r="M620" s="21">
        <v>0</v>
      </c>
    </row>
    <row r="621" spans="1:13">
      <c r="E621" s="21">
        <f t="shared" si="340"/>
        <v>621</v>
      </c>
      <c r="F621" s="9" t="s">
        <v>29</v>
      </c>
      <c r="M621" s="21" t="s">
        <v>251</v>
      </c>
    </row>
    <row r="622" spans="1:13">
      <c r="E622" s="21">
        <f t="shared" si="340"/>
        <v>622</v>
      </c>
      <c r="F622" s="9" t="s">
        <v>119</v>
      </c>
      <c r="G622" s="21" t="s">
        <v>252</v>
      </c>
      <c r="H622" s="21" t="s">
        <v>252</v>
      </c>
      <c r="M622" s="21" t="str">
        <f t="shared" ref="M622" si="363">IF(MOD(C617,2)=1,G622,H622)</f>
        <v>Shot5_red</v>
      </c>
    </row>
    <row r="623" spans="1:13">
      <c r="E623" s="21">
        <f t="shared" si="340"/>
        <v>623</v>
      </c>
      <c r="F623" s="9" t="s">
        <v>99</v>
      </c>
      <c r="K623" s="9" t="s">
        <v>138</v>
      </c>
      <c r="M623" s="21">
        <v>5</v>
      </c>
    </row>
    <row r="624" spans="1:13">
      <c r="E624" s="21">
        <f t="shared" si="340"/>
        <v>624</v>
      </c>
      <c r="F624" s="9" t="s">
        <v>176</v>
      </c>
      <c r="G624" s="21">
        <v>13.2</v>
      </c>
      <c r="H624" s="21">
        <f t="shared" ref="H624" si="364">G624/(G618-1)*(C617-1)-G624/2</f>
        <v>2.6399999999999988</v>
      </c>
      <c r="K624" s="9" t="s">
        <v>219</v>
      </c>
      <c r="M624" s="21">
        <f t="shared" ref="M624:M655" si="365">H624</f>
        <v>2.6399999999999988</v>
      </c>
    </row>
    <row r="625" spans="1:13">
      <c r="E625" s="21">
        <f t="shared" si="340"/>
        <v>625</v>
      </c>
      <c r="F625" s="9" t="s">
        <v>134</v>
      </c>
      <c r="K625" s="9" t="s">
        <v>220</v>
      </c>
    </row>
    <row r="626" spans="1:13">
      <c r="E626" s="21">
        <f t="shared" si="340"/>
        <v>626</v>
      </c>
      <c r="F626" s="9" t="s">
        <v>183</v>
      </c>
      <c r="G626" s="21">
        <v>45</v>
      </c>
      <c r="H626" s="21">
        <v>135</v>
      </c>
      <c r="L626" s="9" t="s">
        <v>135</v>
      </c>
      <c r="M626" s="21">
        <f t="shared" ref="M626" si="366">IF(B617=1,G626,H626)</f>
        <v>135</v>
      </c>
    </row>
    <row r="627" spans="1:13">
      <c r="E627" s="21">
        <f t="shared" si="340"/>
        <v>627</v>
      </c>
      <c r="F627" s="9" t="s">
        <v>117</v>
      </c>
      <c r="K627" s="9" t="s">
        <v>138</v>
      </c>
      <c r="M627" s="21">
        <v>2</v>
      </c>
    </row>
    <row r="628" spans="1:13">
      <c r="E628" s="21">
        <f t="shared" si="340"/>
        <v>628</v>
      </c>
      <c r="F628" s="9" t="s">
        <v>118</v>
      </c>
      <c r="M628" s="21" t="b">
        <v>1</v>
      </c>
    </row>
    <row r="629" spans="1:13">
      <c r="E629" s="21">
        <f t="shared" si="340"/>
        <v>629</v>
      </c>
      <c r="F629" s="9" t="s">
        <v>114</v>
      </c>
      <c r="G629" s="21">
        <v>90</v>
      </c>
      <c r="H629" s="21">
        <v>-90</v>
      </c>
      <c r="L629" s="9" t="s">
        <v>135</v>
      </c>
      <c r="M629" s="21">
        <f t="shared" ref="M629" si="367">IF(B617=1,G629,H629)</f>
        <v>-90</v>
      </c>
    </row>
    <row r="630" spans="1:13">
      <c r="E630" s="21">
        <f t="shared" si="340"/>
        <v>630</v>
      </c>
      <c r="F630" s="9" t="s">
        <v>126</v>
      </c>
      <c r="M630" s="21">
        <v>10000</v>
      </c>
    </row>
    <row r="631" spans="1:13">
      <c r="E631" s="21">
        <f t="shared" si="340"/>
        <v>631</v>
      </c>
      <c r="F631" s="9" t="s">
        <v>195</v>
      </c>
      <c r="M631" s="21">
        <v>0.25</v>
      </c>
    </row>
    <row r="632" spans="1:13">
      <c r="E632" s="21">
        <f t="shared" si="340"/>
        <v>632</v>
      </c>
      <c r="F632" s="9" t="s">
        <v>197</v>
      </c>
      <c r="M632" s="21">
        <v>40</v>
      </c>
    </row>
    <row r="633" spans="1:13">
      <c r="A633" s="21" t="s">
        <v>228</v>
      </c>
      <c r="B633" s="21">
        <f t="shared" ref="B633:B664" si="368">QUOTIENT( D633-1,G634)+1</f>
        <v>2</v>
      </c>
      <c r="C633" s="21">
        <f t="shared" ref="C633" si="369">D633-(B633-1)*G634</f>
        <v>16</v>
      </c>
      <c r="D633" s="21">
        <f>COUNT($D$56:$D632)+1</f>
        <v>37</v>
      </c>
    </row>
    <row r="634" spans="1:13">
      <c r="E634" s="21">
        <f t="shared" ref="E634:E665" si="370">ROW(E634)</f>
        <v>634</v>
      </c>
      <c r="F634" s="9" t="s">
        <v>93</v>
      </c>
      <c r="G634" s="21">
        <v>21</v>
      </c>
      <c r="H634" s="21">
        <v>2</v>
      </c>
      <c r="J634" s="9">
        <v>17500</v>
      </c>
      <c r="M634" s="21">
        <f t="shared" ref="M634:M665" si="371">J634+D633</f>
        <v>17537</v>
      </c>
    </row>
    <row r="635" spans="1:13">
      <c r="E635" s="21">
        <f t="shared" si="340"/>
        <v>635</v>
      </c>
      <c r="F635" s="9" t="s">
        <v>143</v>
      </c>
      <c r="G635" s="21">
        <v>17401</v>
      </c>
      <c r="H635" s="21">
        <v>17402</v>
      </c>
      <c r="I635" s="21">
        <v>99999</v>
      </c>
      <c r="M635" s="21">
        <f t="shared" ref="M635" si="372">IF(C633=(G634-1)/2+1,I635,IF(MOD(C633,2)=1,G635,H635))</f>
        <v>17402</v>
      </c>
    </row>
    <row r="636" spans="1:13">
      <c r="E636" s="21">
        <f t="shared" si="340"/>
        <v>636</v>
      </c>
      <c r="F636" s="9" t="s">
        <v>127</v>
      </c>
      <c r="M636" s="21">
        <v>0</v>
      </c>
    </row>
    <row r="637" spans="1:13">
      <c r="E637" s="21">
        <f t="shared" si="340"/>
        <v>637</v>
      </c>
      <c r="F637" s="9" t="s">
        <v>29</v>
      </c>
      <c r="M637" s="21" t="s">
        <v>251</v>
      </c>
    </row>
    <row r="638" spans="1:13">
      <c r="E638" s="21">
        <f t="shared" si="340"/>
        <v>638</v>
      </c>
      <c r="F638" s="9" t="s">
        <v>119</v>
      </c>
      <c r="G638" s="21" t="s">
        <v>252</v>
      </c>
      <c r="H638" s="21" t="s">
        <v>252</v>
      </c>
      <c r="M638" s="21" t="str">
        <f t="shared" ref="M638" si="373">IF(MOD(C633,2)=1,G638,H638)</f>
        <v>Shot5_red</v>
      </c>
    </row>
    <row r="639" spans="1:13">
      <c r="E639" s="21">
        <f t="shared" si="340"/>
        <v>639</v>
      </c>
      <c r="F639" s="9" t="s">
        <v>99</v>
      </c>
      <c r="K639" s="9" t="s">
        <v>138</v>
      </c>
      <c r="M639" s="21">
        <v>5</v>
      </c>
    </row>
    <row r="640" spans="1:13">
      <c r="E640" s="21">
        <f t="shared" si="340"/>
        <v>640</v>
      </c>
      <c r="F640" s="9" t="s">
        <v>176</v>
      </c>
      <c r="G640" s="21">
        <v>13.2</v>
      </c>
      <c r="H640" s="21">
        <f t="shared" ref="H640" si="374">G640/(G634-1)*(C633-1)-G640/2</f>
        <v>3.2999999999999989</v>
      </c>
      <c r="K640" s="9" t="s">
        <v>219</v>
      </c>
      <c r="M640" s="21">
        <f t="shared" ref="M640:M671" si="375">H640</f>
        <v>3.2999999999999989</v>
      </c>
    </row>
    <row r="641" spans="1:13">
      <c r="E641" s="21">
        <f t="shared" si="340"/>
        <v>641</v>
      </c>
      <c r="F641" s="9" t="s">
        <v>134</v>
      </c>
      <c r="K641" s="9" t="s">
        <v>220</v>
      </c>
    </row>
    <row r="642" spans="1:13">
      <c r="E642" s="21">
        <f t="shared" si="340"/>
        <v>642</v>
      </c>
      <c r="F642" s="9" t="s">
        <v>183</v>
      </c>
      <c r="G642" s="21">
        <v>45</v>
      </c>
      <c r="H642" s="21">
        <v>135</v>
      </c>
      <c r="L642" s="9" t="s">
        <v>135</v>
      </c>
      <c r="M642" s="21">
        <f t="shared" ref="M642" si="376">IF(B633=1,G642,H642)</f>
        <v>135</v>
      </c>
    </row>
    <row r="643" spans="1:13">
      <c r="E643" s="21">
        <f t="shared" si="340"/>
        <v>643</v>
      </c>
      <c r="F643" s="9" t="s">
        <v>117</v>
      </c>
      <c r="K643" s="9" t="s">
        <v>138</v>
      </c>
      <c r="M643" s="21">
        <v>2</v>
      </c>
    </row>
    <row r="644" spans="1:13">
      <c r="E644" s="21">
        <f t="shared" si="340"/>
        <v>644</v>
      </c>
      <c r="F644" s="9" t="s">
        <v>118</v>
      </c>
      <c r="M644" s="21" t="b">
        <v>1</v>
      </c>
    </row>
    <row r="645" spans="1:13">
      <c r="E645" s="21">
        <f t="shared" si="340"/>
        <v>645</v>
      </c>
      <c r="F645" s="9" t="s">
        <v>114</v>
      </c>
      <c r="G645" s="21">
        <v>90</v>
      </c>
      <c r="H645" s="21">
        <v>-90</v>
      </c>
      <c r="L645" s="9" t="s">
        <v>135</v>
      </c>
      <c r="M645" s="21">
        <f t="shared" ref="M645" si="377">IF(B633=1,G645,H645)</f>
        <v>-90</v>
      </c>
    </row>
    <row r="646" spans="1:13">
      <c r="E646" s="21">
        <f t="shared" si="340"/>
        <v>646</v>
      </c>
      <c r="F646" s="9" t="s">
        <v>126</v>
      </c>
      <c r="M646" s="21">
        <v>10000</v>
      </c>
    </row>
    <row r="647" spans="1:13">
      <c r="E647" s="21">
        <f t="shared" si="340"/>
        <v>647</v>
      </c>
      <c r="F647" s="9" t="s">
        <v>195</v>
      </c>
      <c r="M647" s="21">
        <v>0.25</v>
      </c>
    </row>
    <row r="648" spans="1:13">
      <c r="E648" s="21">
        <f t="shared" si="340"/>
        <v>648</v>
      </c>
      <c r="F648" s="9" t="s">
        <v>197</v>
      </c>
      <c r="M648" s="21">
        <v>40</v>
      </c>
    </row>
    <row r="649" spans="1:13">
      <c r="A649" s="21" t="s">
        <v>228</v>
      </c>
      <c r="B649" s="21">
        <f t="shared" ref="B649:B680" si="378">QUOTIENT( D649-1,G650)+1</f>
        <v>2</v>
      </c>
      <c r="C649" s="21">
        <f t="shared" ref="C649" si="379">D649-(B649-1)*G650</f>
        <v>17</v>
      </c>
      <c r="D649" s="21">
        <f>COUNT($D$56:$D648)+1</f>
        <v>38</v>
      </c>
    </row>
    <row r="650" spans="1:13">
      <c r="E650" s="21">
        <f t="shared" ref="E650:E712" si="380">ROW(E650)</f>
        <v>650</v>
      </c>
      <c r="F650" s="9" t="s">
        <v>93</v>
      </c>
      <c r="G650" s="21">
        <v>21</v>
      </c>
      <c r="H650" s="21">
        <v>2</v>
      </c>
      <c r="J650" s="9">
        <v>17500</v>
      </c>
      <c r="M650" s="21">
        <f t="shared" ref="M650:M681" si="381">J650+D649</f>
        <v>17538</v>
      </c>
    </row>
    <row r="651" spans="1:13">
      <c r="E651" s="21">
        <f t="shared" si="380"/>
        <v>651</v>
      </c>
      <c r="F651" s="9" t="s">
        <v>143</v>
      </c>
      <c r="G651" s="21">
        <v>17401</v>
      </c>
      <c r="H651" s="21">
        <v>17402</v>
      </c>
      <c r="I651" s="21">
        <v>99999</v>
      </c>
      <c r="M651" s="21">
        <f t="shared" ref="M651" si="382">IF(C649=(G650-1)/2+1,I651,IF(MOD(C649,2)=1,G651,H651))</f>
        <v>17401</v>
      </c>
    </row>
    <row r="652" spans="1:13">
      <c r="E652" s="21">
        <f t="shared" si="380"/>
        <v>652</v>
      </c>
      <c r="F652" s="9" t="s">
        <v>127</v>
      </c>
      <c r="M652" s="21">
        <v>0</v>
      </c>
    </row>
    <row r="653" spans="1:13">
      <c r="E653" s="21">
        <f t="shared" si="380"/>
        <v>653</v>
      </c>
      <c r="F653" s="9" t="s">
        <v>29</v>
      </c>
      <c r="M653" s="21" t="s">
        <v>251</v>
      </c>
    </row>
    <row r="654" spans="1:13">
      <c r="E654" s="21">
        <f t="shared" si="380"/>
        <v>654</v>
      </c>
      <c r="F654" s="9" t="s">
        <v>119</v>
      </c>
      <c r="G654" s="21" t="s">
        <v>252</v>
      </c>
      <c r="H654" s="21" t="s">
        <v>252</v>
      </c>
      <c r="M654" s="21" t="str">
        <f t="shared" ref="M654" si="383">IF(MOD(C649,2)=1,G654,H654)</f>
        <v>Shot5_red</v>
      </c>
    </row>
    <row r="655" spans="1:13">
      <c r="E655" s="21">
        <f t="shared" si="380"/>
        <v>655</v>
      </c>
      <c r="F655" s="9" t="s">
        <v>99</v>
      </c>
      <c r="K655" s="9" t="s">
        <v>138</v>
      </c>
      <c r="M655" s="21">
        <v>5</v>
      </c>
    </row>
    <row r="656" spans="1:13">
      <c r="E656" s="21">
        <f t="shared" si="380"/>
        <v>656</v>
      </c>
      <c r="F656" s="9" t="s">
        <v>176</v>
      </c>
      <c r="G656" s="21">
        <v>13.2</v>
      </c>
      <c r="H656" s="21">
        <f t="shared" ref="H656" si="384">G656/(G650-1)*(C649-1)-G656/2</f>
        <v>3.9599999999999991</v>
      </c>
      <c r="K656" s="9" t="s">
        <v>219</v>
      </c>
      <c r="M656" s="21">
        <f t="shared" ref="M656:M687" si="385">H656</f>
        <v>3.9599999999999991</v>
      </c>
    </row>
    <row r="657" spans="1:13">
      <c r="E657" s="21">
        <f t="shared" si="380"/>
        <v>657</v>
      </c>
      <c r="F657" s="9" t="s">
        <v>134</v>
      </c>
      <c r="K657" s="9" t="s">
        <v>220</v>
      </c>
    </row>
    <row r="658" spans="1:13">
      <c r="E658" s="21">
        <f t="shared" si="380"/>
        <v>658</v>
      </c>
      <c r="F658" s="9" t="s">
        <v>183</v>
      </c>
      <c r="G658" s="21">
        <v>45</v>
      </c>
      <c r="H658" s="21">
        <v>135</v>
      </c>
      <c r="L658" s="9" t="s">
        <v>135</v>
      </c>
      <c r="M658" s="21">
        <f t="shared" ref="M658" si="386">IF(B649=1,G658,H658)</f>
        <v>135</v>
      </c>
    </row>
    <row r="659" spans="1:13">
      <c r="E659" s="21">
        <f t="shared" si="380"/>
        <v>659</v>
      </c>
      <c r="F659" s="9" t="s">
        <v>117</v>
      </c>
      <c r="K659" s="9" t="s">
        <v>138</v>
      </c>
      <c r="M659" s="21">
        <v>2</v>
      </c>
    </row>
    <row r="660" spans="1:13">
      <c r="E660" s="21">
        <f t="shared" si="380"/>
        <v>660</v>
      </c>
      <c r="F660" s="9" t="s">
        <v>118</v>
      </c>
      <c r="M660" s="21" t="b">
        <v>1</v>
      </c>
    </row>
    <row r="661" spans="1:13">
      <c r="E661" s="21">
        <f t="shared" si="380"/>
        <v>661</v>
      </c>
      <c r="F661" s="9" t="s">
        <v>114</v>
      </c>
      <c r="G661" s="21">
        <v>90</v>
      </c>
      <c r="H661" s="21">
        <v>-90</v>
      </c>
      <c r="L661" s="9" t="s">
        <v>135</v>
      </c>
      <c r="M661" s="21">
        <f t="shared" ref="M661" si="387">IF(B649=1,G661,H661)</f>
        <v>-90</v>
      </c>
    </row>
    <row r="662" spans="1:13">
      <c r="E662" s="21">
        <f t="shared" si="380"/>
        <v>662</v>
      </c>
      <c r="F662" s="9" t="s">
        <v>126</v>
      </c>
      <c r="M662" s="21">
        <v>10000</v>
      </c>
    </row>
    <row r="663" spans="1:13">
      <c r="E663" s="21">
        <f t="shared" si="380"/>
        <v>663</v>
      </c>
      <c r="F663" s="9" t="s">
        <v>195</v>
      </c>
      <c r="M663" s="21">
        <v>0.25</v>
      </c>
    </row>
    <row r="664" spans="1:13">
      <c r="E664" s="21">
        <f t="shared" si="380"/>
        <v>664</v>
      </c>
      <c r="F664" s="9" t="s">
        <v>197</v>
      </c>
      <c r="M664" s="21">
        <v>40</v>
      </c>
    </row>
    <row r="665" spans="1:13">
      <c r="A665" s="21" t="s">
        <v>228</v>
      </c>
      <c r="B665" s="21">
        <f t="shared" ref="B665:B696" si="388">QUOTIENT( D665-1,G666)+1</f>
        <v>2</v>
      </c>
      <c r="C665" s="21">
        <f t="shared" ref="C665" si="389">D665-(B665-1)*G666</f>
        <v>18</v>
      </c>
      <c r="D665" s="21">
        <f>COUNT($D$56:$D664)+1</f>
        <v>39</v>
      </c>
    </row>
    <row r="666" spans="1:13">
      <c r="E666" s="21">
        <f t="shared" ref="E666:E697" si="390">ROW(E666)</f>
        <v>666</v>
      </c>
      <c r="F666" s="9" t="s">
        <v>93</v>
      </c>
      <c r="G666" s="21">
        <v>21</v>
      </c>
      <c r="H666" s="21">
        <v>2</v>
      </c>
      <c r="J666" s="9">
        <v>17500</v>
      </c>
      <c r="M666" s="21">
        <f t="shared" ref="M666:M697" si="391">J666+D665</f>
        <v>17539</v>
      </c>
    </row>
    <row r="667" spans="1:13">
      <c r="E667" s="21">
        <f t="shared" si="380"/>
        <v>667</v>
      </c>
      <c r="F667" s="9" t="s">
        <v>143</v>
      </c>
      <c r="G667" s="21">
        <v>17401</v>
      </c>
      <c r="H667" s="21">
        <v>17402</v>
      </c>
      <c r="I667" s="21">
        <v>99999</v>
      </c>
      <c r="M667" s="21">
        <f t="shared" ref="M667" si="392">IF(C665=(G666-1)/2+1,I667,IF(MOD(C665,2)=1,G667,H667))</f>
        <v>17402</v>
      </c>
    </row>
    <row r="668" spans="1:13">
      <c r="E668" s="21">
        <f t="shared" si="380"/>
        <v>668</v>
      </c>
      <c r="F668" s="9" t="s">
        <v>127</v>
      </c>
      <c r="M668" s="21">
        <v>0</v>
      </c>
    </row>
    <row r="669" spans="1:13">
      <c r="E669" s="21">
        <f t="shared" si="380"/>
        <v>669</v>
      </c>
      <c r="F669" s="9" t="s">
        <v>29</v>
      </c>
      <c r="M669" s="21" t="s">
        <v>251</v>
      </c>
    </row>
    <row r="670" spans="1:13">
      <c r="E670" s="21">
        <f t="shared" si="380"/>
        <v>670</v>
      </c>
      <c r="F670" s="9" t="s">
        <v>119</v>
      </c>
      <c r="G670" s="21" t="s">
        <v>252</v>
      </c>
      <c r="H670" s="21" t="s">
        <v>252</v>
      </c>
      <c r="M670" s="21" t="str">
        <f t="shared" ref="M670" si="393">IF(MOD(C665,2)=1,G670,H670)</f>
        <v>Shot5_red</v>
      </c>
    </row>
    <row r="671" spans="1:13">
      <c r="E671" s="21">
        <f t="shared" si="380"/>
        <v>671</v>
      </c>
      <c r="F671" s="9" t="s">
        <v>99</v>
      </c>
      <c r="K671" s="9" t="s">
        <v>138</v>
      </c>
      <c r="M671" s="21">
        <v>5</v>
      </c>
    </row>
    <row r="672" spans="1:13">
      <c r="E672" s="21">
        <f t="shared" si="380"/>
        <v>672</v>
      </c>
      <c r="F672" s="9" t="s">
        <v>176</v>
      </c>
      <c r="G672" s="21">
        <v>13.2</v>
      </c>
      <c r="H672" s="21">
        <f t="shared" ref="H672" si="394">G672/(G666-1)*(C665-1)-G672/2</f>
        <v>4.6199999999999992</v>
      </c>
      <c r="K672" s="9" t="s">
        <v>219</v>
      </c>
      <c r="M672" s="21">
        <f t="shared" ref="M672:M703" si="395">H672</f>
        <v>4.6199999999999992</v>
      </c>
    </row>
    <row r="673" spans="1:13">
      <c r="E673" s="21">
        <f t="shared" si="380"/>
        <v>673</v>
      </c>
      <c r="F673" s="9" t="s">
        <v>134</v>
      </c>
      <c r="K673" s="9" t="s">
        <v>220</v>
      </c>
    </row>
    <row r="674" spans="1:13">
      <c r="E674" s="21">
        <f t="shared" si="380"/>
        <v>674</v>
      </c>
      <c r="F674" s="9" t="s">
        <v>183</v>
      </c>
      <c r="G674" s="21">
        <v>45</v>
      </c>
      <c r="H674" s="21">
        <v>135</v>
      </c>
      <c r="L674" s="9" t="s">
        <v>135</v>
      </c>
      <c r="M674" s="21">
        <f t="shared" ref="M674" si="396">IF(B665=1,G674,H674)</f>
        <v>135</v>
      </c>
    </row>
    <row r="675" spans="1:13">
      <c r="E675" s="21">
        <f t="shared" si="380"/>
        <v>675</v>
      </c>
      <c r="F675" s="9" t="s">
        <v>117</v>
      </c>
      <c r="K675" s="9" t="s">
        <v>138</v>
      </c>
      <c r="M675" s="21">
        <v>2</v>
      </c>
    </row>
    <row r="676" spans="1:13">
      <c r="E676" s="21">
        <f t="shared" si="380"/>
        <v>676</v>
      </c>
      <c r="F676" s="9" t="s">
        <v>118</v>
      </c>
      <c r="M676" s="21" t="b">
        <v>1</v>
      </c>
    </row>
    <row r="677" spans="1:13">
      <c r="E677" s="21">
        <f t="shared" si="380"/>
        <v>677</v>
      </c>
      <c r="F677" s="9" t="s">
        <v>114</v>
      </c>
      <c r="G677" s="21">
        <v>90</v>
      </c>
      <c r="H677" s="21">
        <v>-90</v>
      </c>
      <c r="L677" s="9" t="s">
        <v>135</v>
      </c>
      <c r="M677" s="21">
        <f t="shared" ref="M677" si="397">IF(B665=1,G677,H677)</f>
        <v>-90</v>
      </c>
    </row>
    <row r="678" spans="1:13">
      <c r="E678" s="21">
        <f t="shared" si="380"/>
        <v>678</v>
      </c>
      <c r="F678" s="9" t="s">
        <v>126</v>
      </c>
      <c r="M678" s="21">
        <v>10000</v>
      </c>
    </row>
    <row r="679" spans="1:13">
      <c r="E679" s="21">
        <f t="shared" si="380"/>
        <v>679</v>
      </c>
      <c r="F679" s="9" t="s">
        <v>195</v>
      </c>
      <c r="M679" s="21">
        <v>0.25</v>
      </c>
    </row>
    <row r="680" spans="1:13">
      <c r="E680" s="21">
        <f t="shared" si="380"/>
        <v>680</v>
      </c>
      <c r="F680" s="9" t="s">
        <v>197</v>
      </c>
      <c r="M680" s="21">
        <v>40</v>
      </c>
    </row>
    <row r="681" spans="1:13">
      <c r="A681" s="21" t="s">
        <v>228</v>
      </c>
      <c r="B681" s="21">
        <f t="shared" ref="B681:B728" si="398">QUOTIENT( D681-1,G682)+1</f>
        <v>2</v>
      </c>
      <c r="C681" s="21">
        <f t="shared" ref="C681" si="399">D681-(B681-1)*G682</f>
        <v>19</v>
      </c>
      <c r="D681" s="21">
        <f>COUNT($D$56:$D680)+1</f>
        <v>40</v>
      </c>
    </row>
    <row r="682" spans="1:13">
      <c r="E682" s="21">
        <f t="shared" ref="E682:E728" si="400">ROW(E682)</f>
        <v>682</v>
      </c>
      <c r="F682" s="9" t="s">
        <v>93</v>
      </c>
      <c r="G682" s="21">
        <v>21</v>
      </c>
      <c r="H682" s="21">
        <v>2</v>
      </c>
      <c r="J682" s="9">
        <v>17500</v>
      </c>
      <c r="M682" s="21">
        <f t="shared" ref="M682:M728" si="401">J682+D681</f>
        <v>17540</v>
      </c>
    </row>
    <row r="683" spans="1:13">
      <c r="E683" s="21">
        <f t="shared" si="380"/>
        <v>683</v>
      </c>
      <c r="F683" s="9" t="s">
        <v>143</v>
      </c>
      <c r="G683" s="21">
        <v>17401</v>
      </c>
      <c r="H683" s="21">
        <v>17402</v>
      </c>
      <c r="I683" s="21">
        <v>99999</v>
      </c>
      <c r="M683" s="21">
        <f t="shared" ref="M683" si="402">IF(C681=(G682-1)/2+1,I683,IF(MOD(C681,2)=1,G683,H683))</f>
        <v>17401</v>
      </c>
    </row>
    <row r="684" spans="1:13">
      <c r="E684" s="21">
        <f t="shared" si="380"/>
        <v>684</v>
      </c>
      <c r="F684" s="9" t="s">
        <v>127</v>
      </c>
      <c r="M684" s="21">
        <v>0</v>
      </c>
    </row>
    <row r="685" spans="1:13">
      <c r="E685" s="21">
        <f t="shared" si="380"/>
        <v>685</v>
      </c>
      <c r="F685" s="9" t="s">
        <v>29</v>
      </c>
      <c r="M685" s="21" t="s">
        <v>251</v>
      </c>
    </row>
    <row r="686" spans="1:13">
      <c r="E686" s="21">
        <f t="shared" si="380"/>
        <v>686</v>
      </c>
      <c r="F686" s="9" t="s">
        <v>119</v>
      </c>
      <c r="G686" s="21" t="s">
        <v>252</v>
      </c>
      <c r="H686" s="21" t="s">
        <v>252</v>
      </c>
      <c r="M686" s="21" t="str">
        <f t="shared" ref="M686" si="403">IF(MOD(C681,2)=1,G686,H686)</f>
        <v>Shot5_red</v>
      </c>
    </row>
    <row r="687" spans="1:13">
      <c r="E687" s="21">
        <f t="shared" si="380"/>
        <v>687</v>
      </c>
      <c r="F687" s="9" t="s">
        <v>99</v>
      </c>
      <c r="K687" s="9" t="s">
        <v>138</v>
      </c>
      <c r="M687" s="21">
        <v>5</v>
      </c>
    </row>
    <row r="688" spans="1:13">
      <c r="E688" s="21">
        <f t="shared" si="380"/>
        <v>688</v>
      </c>
      <c r="F688" s="9" t="s">
        <v>176</v>
      </c>
      <c r="G688" s="21">
        <v>13.2</v>
      </c>
      <c r="H688" s="21">
        <f t="shared" ref="H688" si="404">G688/(G682-1)*(C681-1)-G688/2</f>
        <v>5.2799999999999994</v>
      </c>
      <c r="K688" s="9" t="s">
        <v>219</v>
      </c>
      <c r="M688" s="21">
        <f t="shared" ref="M688:M728" si="405">H688</f>
        <v>5.2799999999999994</v>
      </c>
    </row>
    <row r="689" spans="1:13">
      <c r="E689" s="21">
        <f t="shared" si="380"/>
        <v>689</v>
      </c>
      <c r="F689" s="9" t="s">
        <v>134</v>
      </c>
      <c r="K689" s="9" t="s">
        <v>220</v>
      </c>
    </row>
    <row r="690" spans="1:13">
      <c r="E690" s="21">
        <f t="shared" si="380"/>
        <v>690</v>
      </c>
      <c r="F690" s="9" t="s">
        <v>183</v>
      </c>
      <c r="G690" s="21">
        <v>45</v>
      </c>
      <c r="H690" s="21">
        <v>135</v>
      </c>
      <c r="L690" s="9" t="s">
        <v>135</v>
      </c>
      <c r="M690" s="21">
        <f t="shared" ref="M690" si="406">IF(B681=1,G690,H690)</f>
        <v>135</v>
      </c>
    </row>
    <row r="691" spans="1:13">
      <c r="E691" s="21">
        <f t="shared" si="380"/>
        <v>691</v>
      </c>
      <c r="F691" s="9" t="s">
        <v>117</v>
      </c>
      <c r="K691" s="9" t="s">
        <v>138</v>
      </c>
      <c r="M691" s="21">
        <v>2</v>
      </c>
    </row>
    <row r="692" spans="1:13">
      <c r="E692" s="21">
        <f t="shared" si="380"/>
        <v>692</v>
      </c>
      <c r="F692" s="9" t="s">
        <v>118</v>
      </c>
      <c r="M692" s="21" t="b">
        <v>1</v>
      </c>
    </row>
    <row r="693" spans="1:13">
      <c r="E693" s="21">
        <f t="shared" si="380"/>
        <v>693</v>
      </c>
      <c r="F693" s="9" t="s">
        <v>114</v>
      </c>
      <c r="G693" s="21">
        <v>90</v>
      </c>
      <c r="H693" s="21">
        <v>-90</v>
      </c>
      <c r="L693" s="9" t="s">
        <v>135</v>
      </c>
      <c r="M693" s="21">
        <f t="shared" ref="M693" si="407">IF(B681=1,G693,H693)</f>
        <v>-90</v>
      </c>
    </row>
    <row r="694" spans="1:13">
      <c r="E694" s="21">
        <f t="shared" si="380"/>
        <v>694</v>
      </c>
      <c r="F694" s="9" t="s">
        <v>126</v>
      </c>
      <c r="M694" s="21">
        <v>10000</v>
      </c>
    </row>
    <row r="695" spans="1:13">
      <c r="E695" s="21">
        <f t="shared" si="380"/>
        <v>695</v>
      </c>
      <c r="F695" s="9" t="s">
        <v>195</v>
      </c>
      <c r="M695" s="21">
        <v>0.25</v>
      </c>
    </row>
    <row r="696" spans="1:13">
      <c r="E696" s="21">
        <f t="shared" si="380"/>
        <v>696</v>
      </c>
      <c r="F696" s="9" t="s">
        <v>197</v>
      </c>
      <c r="M696" s="21">
        <v>40</v>
      </c>
    </row>
    <row r="697" spans="1:13">
      <c r="A697" s="21" t="s">
        <v>228</v>
      </c>
      <c r="B697" s="21">
        <f t="shared" ref="B697:B728" si="408">QUOTIENT( D697-1,G698)+1</f>
        <v>2</v>
      </c>
      <c r="C697" s="21">
        <f t="shared" ref="C697" si="409">D697-(B697-1)*G698</f>
        <v>20</v>
      </c>
      <c r="D697" s="21">
        <f>COUNT($D$56:$D696)+1</f>
        <v>41</v>
      </c>
    </row>
    <row r="698" spans="1:13">
      <c r="E698" s="21">
        <f t="shared" ref="E698:E728" si="410">ROW(E698)</f>
        <v>698</v>
      </c>
      <c r="F698" s="9" t="s">
        <v>93</v>
      </c>
      <c r="G698" s="21">
        <v>21</v>
      </c>
      <c r="H698" s="21">
        <v>2</v>
      </c>
      <c r="J698" s="9">
        <v>17500</v>
      </c>
      <c r="M698" s="21">
        <f t="shared" ref="M698:M728" si="411">J698+D697</f>
        <v>17541</v>
      </c>
    </row>
    <row r="699" spans="1:13">
      <c r="E699" s="21">
        <f t="shared" si="380"/>
        <v>699</v>
      </c>
      <c r="F699" s="9" t="s">
        <v>143</v>
      </c>
      <c r="G699" s="21">
        <v>17401</v>
      </c>
      <c r="H699" s="21">
        <v>17402</v>
      </c>
      <c r="I699" s="21">
        <v>99999</v>
      </c>
      <c r="M699" s="21">
        <f t="shared" ref="M699" si="412">IF(C697=(G698-1)/2+1,I699,IF(MOD(C697,2)=1,G699,H699))</f>
        <v>17402</v>
      </c>
    </row>
    <row r="700" spans="1:13">
      <c r="E700" s="21">
        <f t="shared" si="380"/>
        <v>700</v>
      </c>
      <c r="F700" s="9" t="s">
        <v>127</v>
      </c>
      <c r="M700" s="21">
        <v>0</v>
      </c>
    </row>
    <row r="701" spans="1:13">
      <c r="E701" s="21">
        <f t="shared" si="380"/>
        <v>701</v>
      </c>
      <c r="F701" s="9" t="s">
        <v>29</v>
      </c>
      <c r="M701" s="21" t="s">
        <v>251</v>
      </c>
    </row>
    <row r="702" spans="1:13">
      <c r="E702" s="21">
        <f t="shared" si="380"/>
        <v>702</v>
      </c>
      <c r="F702" s="9" t="s">
        <v>119</v>
      </c>
      <c r="G702" s="21" t="s">
        <v>252</v>
      </c>
      <c r="H702" s="21" t="s">
        <v>252</v>
      </c>
      <c r="M702" s="21" t="str">
        <f t="shared" ref="M702" si="413">IF(MOD(C697,2)=1,G702,H702)</f>
        <v>Shot5_red</v>
      </c>
    </row>
    <row r="703" spans="1:13">
      <c r="E703" s="21">
        <f t="shared" si="380"/>
        <v>703</v>
      </c>
      <c r="F703" s="9" t="s">
        <v>99</v>
      </c>
      <c r="K703" s="9" t="s">
        <v>138</v>
      </c>
      <c r="M703" s="21">
        <v>5</v>
      </c>
    </row>
    <row r="704" spans="1:13">
      <c r="E704" s="21">
        <f t="shared" si="380"/>
        <v>704</v>
      </c>
      <c r="F704" s="9" t="s">
        <v>176</v>
      </c>
      <c r="G704" s="21">
        <v>13.2</v>
      </c>
      <c r="H704" s="21">
        <f t="shared" ref="H704" si="414">G704/(G698-1)*(C697-1)-G704/2</f>
        <v>5.9399999999999995</v>
      </c>
      <c r="K704" s="9" t="s">
        <v>219</v>
      </c>
      <c r="M704" s="21">
        <f t="shared" ref="M704:M728" si="415">H704</f>
        <v>5.9399999999999995</v>
      </c>
    </row>
    <row r="705" spans="1:13">
      <c r="E705" s="21">
        <f t="shared" si="380"/>
        <v>705</v>
      </c>
      <c r="F705" s="9" t="s">
        <v>134</v>
      </c>
      <c r="K705" s="9" t="s">
        <v>220</v>
      </c>
    </row>
    <row r="706" spans="1:13">
      <c r="E706" s="21">
        <f t="shared" si="380"/>
        <v>706</v>
      </c>
      <c r="F706" s="9" t="s">
        <v>183</v>
      </c>
      <c r="G706" s="21">
        <v>45</v>
      </c>
      <c r="H706" s="21">
        <v>135</v>
      </c>
      <c r="L706" s="9" t="s">
        <v>135</v>
      </c>
      <c r="M706" s="21">
        <f t="shared" ref="M706" si="416">IF(B697=1,G706,H706)</f>
        <v>135</v>
      </c>
    </row>
    <row r="707" spans="1:13">
      <c r="E707" s="21">
        <f t="shared" si="380"/>
        <v>707</v>
      </c>
      <c r="F707" s="9" t="s">
        <v>117</v>
      </c>
      <c r="K707" s="9" t="s">
        <v>138</v>
      </c>
      <c r="M707" s="21">
        <v>2</v>
      </c>
    </row>
    <row r="708" spans="1:13">
      <c r="E708" s="21">
        <f t="shared" si="380"/>
        <v>708</v>
      </c>
      <c r="F708" s="9" t="s">
        <v>118</v>
      </c>
      <c r="M708" s="21" t="b">
        <v>1</v>
      </c>
    </row>
    <row r="709" spans="1:13">
      <c r="E709" s="21">
        <f t="shared" si="380"/>
        <v>709</v>
      </c>
      <c r="F709" s="9" t="s">
        <v>114</v>
      </c>
      <c r="G709" s="21">
        <v>90</v>
      </c>
      <c r="H709" s="21">
        <v>-90</v>
      </c>
      <c r="L709" s="9" t="s">
        <v>135</v>
      </c>
      <c r="M709" s="21">
        <f t="shared" ref="M709" si="417">IF(B697=1,G709,H709)</f>
        <v>-90</v>
      </c>
    </row>
    <row r="710" spans="1:13">
      <c r="E710" s="21">
        <f t="shared" si="380"/>
        <v>710</v>
      </c>
      <c r="F710" s="9" t="s">
        <v>126</v>
      </c>
      <c r="M710" s="21">
        <v>10000</v>
      </c>
    </row>
    <row r="711" spans="1:13">
      <c r="E711" s="21">
        <f t="shared" si="380"/>
        <v>711</v>
      </c>
      <c r="F711" s="9" t="s">
        <v>195</v>
      </c>
      <c r="M711" s="21">
        <v>0.25</v>
      </c>
    </row>
    <row r="712" spans="1:13">
      <c r="E712" s="21">
        <f t="shared" si="380"/>
        <v>712</v>
      </c>
      <c r="F712" s="9" t="s">
        <v>197</v>
      </c>
      <c r="M712" s="21">
        <v>40</v>
      </c>
    </row>
    <row r="713" spans="1:13">
      <c r="A713" s="21" t="s">
        <v>228</v>
      </c>
      <c r="B713" s="21">
        <f t="shared" ref="B713:B728" si="418">QUOTIENT( D713-1,G714)+1</f>
        <v>2</v>
      </c>
      <c r="C713" s="21">
        <f t="shared" ref="C713" si="419">D713-(B713-1)*G714</f>
        <v>21</v>
      </c>
      <c r="D713" s="21">
        <f>COUNT($D$56:$D712)+1</f>
        <v>42</v>
      </c>
    </row>
    <row r="714" spans="1:13">
      <c r="E714" s="21">
        <f t="shared" ref="E714:E728" si="420">ROW(E714)</f>
        <v>714</v>
      </c>
      <c r="F714" s="9" t="s">
        <v>93</v>
      </c>
      <c r="G714" s="21">
        <v>21</v>
      </c>
      <c r="H714" s="21">
        <v>2</v>
      </c>
      <c r="J714" s="9">
        <v>17500</v>
      </c>
      <c r="M714" s="21">
        <f t="shared" ref="M714:M728" si="421">J714+D713</f>
        <v>17542</v>
      </c>
    </row>
    <row r="715" spans="1:13">
      <c r="E715" s="21">
        <f t="shared" si="420"/>
        <v>715</v>
      </c>
      <c r="F715" s="9" t="s">
        <v>143</v>
      </c>
      <c r="G715" s="21">
        <v>17401</v>
      </c>
      <c r="H715" s="21">
        <v>17402</v>
      </c>
      <c r="I715" s="21">
        <v>99999</v>
      </c>
      <c r="M715" s="21">
        <f t="shared" ref="M715" si="422">IF(C713=(G714-1)/2+1,I715,IF(MOD(C713,2)=1,G715,H715))</f>
        <v>17401</v>
      </c>
    </row>
    <row r="716" spans="1:13">
      <c r="E716" s="21">
        <f t="shared" si="420"/>
        <v>716</v>
      </c>
      <c r="F716" s="9" t="s">
        <v>127</v>
      </c>
      <c r="M716" s="21">
        <v>0</v>
      </c>
    </row>
    <row r="717" spans="1:13">
      <c r="E717" s="21">
        <f t="shared" si="420"/>
        <v>717</v>
      </c>
      <c r="F717" s="9" t="s">
        <v>29</v>
      </c>
      <c r="M717" s="21" t="s">
        <v>251</v>
      </c>
    </row>
    <row r="718" spans="1:13">
      <c r="E718" s="21">
        <f t="shared" si="420"/>
        <v>718</v>
      </c>
      <c r="F718" s="9" t="s">
        <v>119</v>
      </c>
      <c r="G718" s="21" t="s">
        <v>252</v>
      </c>
      <c r="H718" s="21" t="s">
        <v>252</v>
      </c>
      <c r="M718" s="21" t="str">
        <f t="shared" ref="M718" si="423">IF(MOD(C713,2)=1,G718,H718)</f>
        <v>Shot5_red</v>
      </c>
    </row>
    <row r="719" spans="1:13">
      <c r="E719" s="21">
        <f t="shared" si="420"/>
        <v>719</v>
      </c>
      <c r="F719" s="9" t="s">
        <v>99</v>
      </c>
      <c r="K719" s="9" t="s">
        <v>138</v>
      </c>
      <c r="M719" s="21">
        <v>5</v>
      </c>
    </row>
    <row r="720" spans="1:13">
      <c r="E720" s="21">
        <f t="shared" si="420"/>
        <v>720</v>
      </c>
      <c r="F720" s="9" t="s">
        <v>176</v>
      </c>
      <c r="G720" s="21">
        <v>13.2</v>
      </c>
      <c r="H720" s="21">
        <f t="shared" ref="H720" si="424">G720/(G714-1)*(C713-1)-G720/2</f>
        <v>6.6</v>
      </c>
      <c r="K720" s="9" t="s">
        <v>219</v>
      </c>
      <c r="M720" s="21">
        <f t="shared" ref="M720:M728" si="425">H720</f>
        <v>6.6</v>
      </c>
    </row>
    <row r="721" spans="5:13">
      <c r="E721" s="21">
        <f t="shared" si="420"/>
        <v>721</v>
      </c>
      <c r="F721" s="9" t="s">
        <v>134</v>
      </c>
      <c r="K721" s="9" t="s">
        <v>220</v>
      </c>
    </row>
    <row r="722" spans="5:13">
      <c r="E722" s="21">
        <f t="shared" si="420"/>
        <v>722</v>
      </c>
      <c r="F722" s="9" t="s">
        <v>183</v>
      </c>
      <c r="G722" s="21">
        <v>45</v>
      </c>
      <c r="H722" s="21">
        <v>135</v>
      </c>
      <c r="L722" s="9" t="s">
        <v>135</v>
      </c>
      <c r="M722" s="21">
        <f t="shared" ref="M722" si="426">IF(B713=1,G722,H722)</f>
        <v>135</v>
      </c>
    </row>
    <row r="723" spans="5:13">
      <c r="E723" s="21">
        <f t="shared" si="420"/>
        <v>723</v>
      </c>
      <c r="F723" s="9" t="s">
        <v>117</v>
      </c>
      <c r="K723" s="9" t="s">
        <v>138</v>
      </c>
      <c r="M723" s="21">
        <v>2</v>
      </c>
    </row>
    <row r="724" spans="5:13">
      <c r="E724" s="21">
        <f t="shared" si="420"/>
        <v>724</v>
      </c>
      <c r="F724" s="9" t="s">
        <v>118</v>
      </c>
      <c r="M724" s="21" t="b">
        <v>1</v>
      </c>
    </row>
    <row r="725" spans="5:13">
      <c r="E725" s="21">
        <f t="shared" si="420"/>
        <v>725</v>
      </c>
      <c r="F725" s="9" t="s">
        <v>114</v>
      </c>
      <c r="G725" s="21">
        <v>90</v>
      </c>
      <c r="H725" s="21">
        <v>-90</v>
      </c>
      <c r="L725" s="9" t="s">
        <v>135</v>
      </c>
      <c r="M725" s="21">
        <f t="shared" ref="M725" si="427">IF(B713=1,G725,H725)</f>
        <v>-90</v>
      </c>
    </row>
    <row r="726" spans="5:13">
      <c r="E726" s="21">
        <f t="shared" si="420"/>
        <v>726</v>
      </c>
      <c r="F726" s="9" t="s">
        <v>126</v>
      </c>
      <c r="M726" s="21">
        <v>10000</v>
      </c>
    </row>
    <row r="727" spans="5:13">
      <c r="E727" s="21">
        <f t="shared" si="420"/>
        <v>727</v>
      </c>
      <c r="F727" s="9" t="s">
        <v>195</v>
      </c>
      <c r="M727" s="21">
        <v>0.25</v>
      </c>
    </row>
    <row r="728" spans="5:13">
      <c r="E728" s="21">
        <f t="shared" si="420"/>
        <v>728</v>
      </c>
      <c r="F728" s="9" t="s">
        <v>197</v>
      </c>
      <c r="M728" s="21">
        <v>40</v>
      </c>
    </row>
  </sheetData>
  <phoneticPr fontId="2" type="noConversion"/>
  <conditionalFormatting sqref="BE1:XFD1 E1:I1">
    <cfRule type="duplicateValues" dxfId="60" priority="1879"/>
  </conditionalFormatting>
  <conditionalFormatting sqref="F1:F10 F13">
    <cfRule type="cellIs" dxfId="59" priority="1380" operator="equal">
      <formula>"ID"</formula>
    </cfRule>
    <cfRule type="cellIs" dxfId="58" priority="1795" operator="equal">
      <formula>"行動序號"</formula>
    </cfRule>
  </conditionalFormatting>
  <conditionalFormatting sqref="J1">
    <cfRule type="duplicateValues" dxfId="57" priority="1378"/>
  </conditionalFormatting>
  <conditionalFormatting sqref="K1:L1">
    <cfRule type="duplicateValues" dxfId="56" priority="1375"/>
  </conditionalFormatting>
  <conditionalFormatting sqref="M1:M18 M22:M1048576">
    <cfRule type="expression" dxfId="55" priority="990">
      <formula>_xlfn.ISFORMULA(M1)</formula>
    </cfRule>
  </conditionalFormatting>
  <conditionalFormatting sqref="N1:BD1">
    <cfRule type="duplicateValues" dxfId="54" priority="1895"/>
  </conditionalFormatting>
  <conditionalFormatting sqref="F14 F11:F12">
    <cfRule type="cellIs" dxfId="53" priority="100" operator="equal">
      <formula>"ID"</formula>
    </cfRule>
    <cfRule type="cellIs" dxfId="52" priority="101" operator="equal">
      <formula>"行動序號"</formula>
    </cfRule>
  </conditionalFormatting>
  <conditionalFormatting sqref="J24">
    <cfRule type="expression" dxfId="51" priority="98">
      <formula>_xlfn.ISFORMULA(J24)</formula>
    </cfRule>
  </conditionalFormatting>
  <conditionalFormatting sqref="F1:F18 F22:F1048576">
    <cfRule type="cellIs" dxfId="50" priority="93" operator="equal">
      <formula>"ID"</formula>
    </cfRule>
    <cfRule type="cellIs" dxfId="49" priority="94" operator="equal">
      <formula>"行動ID"</formula>
    </cfRule>
  </conditionalFormatting>
  <conditionalFormatting sqref="J24">
    <cfRule type="expression" dxfId="48" priority="103">
      <formula>OR($F22="行動序號",$F22="ID")</formula>
    </cfRule>
  </conditionalFormatting>
  <conditionalFormatting sqref="J24">
    <cfRule type="expression" dxfId="47" priority="104">
      <formula>$F22="行動ID"</formula>
    </cfRule>
  </conditionalFormatting>
  <conditionalFormatting sqref="M1:M18 M22:M1048576">
    <cfRule type="expression" dxfId="46" priority="54">
      <formula>AND(_xlfn.ISFORMULA(M1),OR($F1="行動ID", $F1="ID"))</formula>
    </cfRule>
    <cfRule type="expression" dxfId="45" priority="56">
      <formula>OR($F1="行動ID", $F1="ID")</formula>
    </cfRule>
  </conditionalFormatting>
  <conditionalFormatting sqref="J30">
    <cfRule type="expression" dxfId="41" priority="1">
      <formula>_xlfn.ISFORMULA(J30)</formula>
    </cfRule>
  </conditionalFormatting>
  <conditionalFormatting sqref="J30">
    <cfRule type="expression" dxfId="40" priority="2">
      <formula>OR($F28="行動序號",$F28="ID")</formula>
    </cfRule>
  </conditionalFormatting>
  <conditionalFormatting sqref="J30">
    <cfRule type="expression" dxfId="39" priority="3">
      <formula>$F28="行動ID"</formula>
    </cfRule>
  </conditionalFormatting>
  <dataValidations count="1">
    <dataValidation type="list" allowBlank="1" showInputMessage="1" showErrorMessage="1" sqref="K8 L5:L6 F10 K4 L14:L15 K15 L21 L56 K57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stage7_card8shot1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2025-04-22T08:11:31Z</dcterms:modified>
</cp:coreProperties>
</file>