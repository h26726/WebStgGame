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71282F23-BCC5-4422-B809-21D0C3B2DF2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7shot5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9" i="1" l="1"/>
  <c r="E138" i="1"/>
  <c r="E137" i="1"/>
  <c r="E136" i="1"/>
  <c r="E135" i="1"/>
  <c r="E134" i="1"/>
  <c r="E133" i="1"/>
  <c r="E132" i="1"/>
  <c r="E131" i="1"/>
  <c r="E130" i="1"/>
  <c r="E129" i="1"/>
  <c r="E127" i="1"/>
  <c r="E126" i="1"/>
  <c r="E125" i="1"/>
  <c r="E124" i="1"/>
  <c r="E123" i="1"/>
  <c r="E122" i="1"/>
  <c r="E121" i="1"/>
  <c r="E120" i="1"/>
  <c r="E119" i="1"/>
  <c r="E118" i="1"/>
  <c r="E117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1" i="1"/>
  <c r="E90" i="1"/>
  <c r="E89" i="1"/>
  <c r="E88" i="1"/>
  <c r="E87" i="1"/>
  <c r="E86" i="1"/>
  <c r="E85" i="1"/>
  <c r="E84" i="1"/>
  <c r="E83" i="1"/>
  <c r="E82" i="1"/>
  <c r="E81" i="1"/>
  <c r="E79" i="1"/>
  <c r="E78" i="1"/>
  <c r="E77" i="1"/>
  <c r="E76" i="1"/>
  <c r="E75" i="1"/>
  <c r="E74" i="1"/>
  <c r="E73" i="1"/>
  <c r="E72" i="1"/>
  <c r="E71" i="1"/>
  <c r="E70" i="1"/>
  <c r="E69" i="1"/>
  <c r="E67" i="1"/>
  <c r="E66" i="1"/>
  <c r="E65" i="1"/>
  <c r="E64" i="1"/>
  <c r="E63" i="1"/>
  <c r="E62" i="1"/>
  <c r="E61" i="1"/>
  <c r="E60" i="1"/>
  <c r="E59" i="1"/>
  <c r="E58" i="1"/>
  <c r="E57" i="1"/>
  <c r="E55" i="1"/>
  <c r="E54" i="1"/>
  <c r="E53" i="1"/>
  <c r="E52" i="1"/>
  <c r="E51" i="1"/>
  <c r="E50" i="1"/>
  <c r="E49" i="1"/>
  <c r="E48" i="1"/>
  <c r="E47" i="1"/>
  <c r="E46" i="1"/>
  <c r="E45" i="1"/>
  <c r="E43" i="1"/>
  <c r="E42" i="1"/>
  <c r="E41" i="1"/>
  <c r="E40" i="1"/>
  <c r="E39" i="1"/>
  <c r="E38" i="1"/>
  <c r="E37" i="1"/>
  <c r="E36" i="1"/>
  <c r="E35" i="1"/>
  <c r="E34" i="1"/>
  <c r="E33" i="1"/>
  <c r="D32" i="1"/>
  <c r="B32" i="1" l="1"/>
  <c r="C32" i="1" s="1"/>
  <c r="M40" i="1" s="1"/>
  <c r="D44" i="1"/>
  <c r="M33" i="1"/>
  <c r="D56" i="1"/>
  <c r="E25" i="1"/>
  <c r="B56" i="1" l="1"/>
  <c r="C56" i="1" s="1"/>
  <c r="M64" i="1" s="1"/>
  <c r="M57" i="1"/>
  <c r="C44" i="1"/>
  <c r="M52" i="1" s="1"/>
  <c r="B44" i="1"/>
  <c r="D68" i="1"/>
  <c r="D80" i="1" s="1"/>
  <c r="M45" i="1"/>
  <c r="E31" i="1"/>
  <c r="E30" i="1"/>
  <c r="E29" i="1"/>
  <c r="E28" i="1"/>
  <c r="E27" i="1"/>
  <c r="B80" i="1" l="1"/>
  <c r="C80" i="1" s="1"/>
  <c r="M88" i="1" s="1"/>
  <c r="M81" i="1"/>
  <c r="M69" i="1"/>
  <c r="B68" i="1"/>
  <c r="C68" i="1" s="1"/>
  <c r="M76" i="1" s="1"/>
  <c r="D92" i="1"/>
  <c r="E26" i="1"/>
  <c r="E24" i="1"/>
  <c r="E23" i="1"/>
  <c r="E22" i="1"/>
  <c r="E21" i="1"/>
  <c r="D20" i="1"/>
  <c r="A19" i="1"/>
  <c r="B92" i="1" l="1"/>
  <c r="C92" i="1" s="1"/>
  <c r="M100" i="1" s="1"/>
  <c r="M93" i="1"/>
  <c r="D104" i="1"/>
  <c r="M21" i="1"/>
  <c r="B20" i="1"/>
  <c r="M105" i="1" l="1"/>
  <c r="B104" i="1"/>
  <c r="C104" i="1" s="1"/>
  <c r="M112" i="1" s="1"/>
  <c r="D116" i="1"/>
  <c r="C20" i="1"/>
  <c r="M28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116" i="1" l="1"/>
  <c r="C116" i="1" s="1"/>
  <c r="M124" i="1" s="1"/>
  <c r="M117" i="1"/>
  <c r="D128" i="1"/>
  <c r="B128" i="1" l="1"/>
  <c r="C128" i="1" s="1"/>
  <c r="M136" i="1" s="1"/>
  <c r="M129" i="1"/>
</calcChain>
</file>

<file path=xl/sharedStrings.xml><?xml version="1.0" encoding="utf-8"?>
<sst xmlns="http://schemas.openxmlformats.org/spreadsheetml/2006/main" count="616" uniqueCount="253">
  <si>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</si>
  <si>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</si>
  <si>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</si>
  <si>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</si>
  <si>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</si>
  <si>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</si>
  <si>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</si>
  <si>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</si>
  <si>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</si>
  <si>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</si>
  <si>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</si>
  <si>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</si>
  <si>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</si>
  <si>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</si>
  <si>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</si>
  <si>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</si>
  <si>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</si>
  <si>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</si>
  <si>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</si>
  <si>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</si>
  <si>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</si>
  <si>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</si>
  <si>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</si>
  <si>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</si>
  <si>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</si>
  <si>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</si>
  <si>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</si>
  <si>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</si>
  <si>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</si>
  <si>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</si>
  <si>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</si>
  <si>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</si>
  <si>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</si>
  <si>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</si>
  <si>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</si>
  <si>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</si>
  <si>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</si>
  <si>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</si>
  <si>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</si>
  <si>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</si>
  <si>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</si>
  <si>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</si>
  <si>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</si>
  <si>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</si>
  <si>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</si>
  <si>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</si>
  <si>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</si>
  <si>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</si>
  <si>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</si>
  <si>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</si>
  <si>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</si>
  <si>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</si>
  <si>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</si>
  <si>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</si>
  <si>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</si>
  <si>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</si>
  <si>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</si>
  <si>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</si>
  <si>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</si>
  <si>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</si>
  <si>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</si>
  <si>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</si>
  <si>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</si>
  <si>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</si>
  <si>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</si>
  <si>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</si>
  <si>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</si>
  <si>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</si>
  <si>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</si>
  <si>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</si>
  <si>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</si>
  <si>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</si>
  <si>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</si>
  <si>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</si>
  <si>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</si>
  <si>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</si>
  <si>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</si>
  <si>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</si>
  <si>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</si>
  <si>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</si>
  <si>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</si>
  <si>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</si>
  <si>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</si>
  <si>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</si>
  <si>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</si>
  <si>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</si>
  <si>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</si>
  <si>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</si>
  <si>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</si>
  <si>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</si>
  <si>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</si>
  <si>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</si>
  <si>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</si>
  <si>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</si>
  <si>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</si>
  <si>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</si>
  <si>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</si>
  <si>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</si>
  <si>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</si>
  <si>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</si>
  <si>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</si>
  <si>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</si>
  <si>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</si>
  <si>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</si>
  <si>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</si>
  <si>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</si>
  <si>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</si>
  <si>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</si>
  <si>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</si>
  <si>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</si>
  <si>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</si>
  <si>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</si>
  <si>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</si>
  <si>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</si>
  <si>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</si>
  <si>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</si>
  <si>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</si>
  <si>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</si>
  <si>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</si>
  <si>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</si>
  <si>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</si>
  <si>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</si>
  <si>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</si>
  <si>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</si>
  <si>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</si>
  <si>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</si>
  <si>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</si>
  <si>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</si>
  <si>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</si>
  <si>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</si>
  <si>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</si>
  <si>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</si>
  <si>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</si>
  <si>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</si>
  <si>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</si>
  <si>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</si>
  <si>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</si>
  <si>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</si>
  <si>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</si>
  <si>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</si>
  <si>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</si>
  <si>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</si>
  <si>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</si>
  <si>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</si>
  <si>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</si>
  <si>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</si>
  <si>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</si>
  <si>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</si>
  <si>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</si>
  <si>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</si>
  <si>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</si>
  <si>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</si>
  <si>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</si>
  <si>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</si>
  <si>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</si>
  <si>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</si>
  <si>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</si>
  <si>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</si>
  <si>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</si>
  <si>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</si>
  <si>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</si>
  <si>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</si>
  <si>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</si>
  <si>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</si>
  <si>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</si>
  <si>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</si>
  <si>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</si>
  <si>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</si>
  <si>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</si>
  <si>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</si>
  <si>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</si>
  <si>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</si>
  <si>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</si>
  <si>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</si>
  <si>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</si>
  <si>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</si>
  <si>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</si>
  <si>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</si>
  <si>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</si>
  <si>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</si>
  <si>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</si>
  <si>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</si>
  <si>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</si>
  <si>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</si>
  <si>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</si>
  <si>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</si>
  <si>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</si>
  <si>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</si>
  <si>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</si>
  <si>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</si>
  <si>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</si>
  <si>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</si>
  <si>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</si>
  <si>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</si>
  <si>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</si>
  <si>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</si>
  <si>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</si>
  <si>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</si>
  <si>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</si>
  <si>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</si>
  <si>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</si>
  <si>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</si>
  <si>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</si>
  <si>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</si>
  <si>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</si>
  <si>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</si>
  <si>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</si>
  <si>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</si>
  <si>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</si>
  <si>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</si>
  <si>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</si>
  <si>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</si>
  <si>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</si>
  <si>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</si>
  <si>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</si>
  <si>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</si>
  <si>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</si>
  <si>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</si>
  <si>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</si>
  <si>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</si>
  <si>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</si>
  <si>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</si>
  <si>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</si>
  <si>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</si>
  <si>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</si>
  <si>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</si>
  <si>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</si>
  <si>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</si>
  <si>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</si>
  <si>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</si>
  <si>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</si>
  <si>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</si>
  <si>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</si>
  <si>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</si>
  <si>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</si>
  <si>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</si>
  <si>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</si>
  <si>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</si>
  <si>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</si>
  <si>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</si>
  <si>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</si>
  <si>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</si>
  <si>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</si>
  <si>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</si>
  <si>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</si>
  <si>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</si>
  <si>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</si>
  <si>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</si>
  <si>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360</t>
  </si>
  <si>
    <t>360</t>
    <phoneticPr fontId="2" type="noConversion"/>
  </si>
  <si>
    <t>EnemyShot3</t>
  </si>
  <si>
    <t>EnemyShot3</t>
    <phoneticPr fontId="2" type="noConversion"/>
  </si>
  <si>
    <t>Shot3_purple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</si>
</sst>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39"/>
  <sheetViews>
    <sheetView tabSelected="1" zoomScale="115" zoomScaleNormal="115" workbookViewId="0">
      <pane ySplit="1" topLeftCell="A17" activePane="bottomLeft" state="frozen"/>
      <selection pane="bottomLeft" activeCell="M24" sqref="M24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19" spans="1:60">
      <c r="A19" s="21">
        <f>G21*H21</f>
        <v>10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228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10</v>
      </c>
      <c r="H21" s="21">
        <v>1</v>
      </c>
      <c r="J21" s="21">
        <v>16900</v>
      </c>
      <c r="M21" s="21">
        <f>J21+D20</f>
        <v>16901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31" si="0">ROW(E22)</f>
        <v>22</v>
      </c>
      <c r="F22" s="9" t="s">
        <v>143</v>
      </c>
      <c r="M22" s="21">
        <v>16800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127</v>
      </c>
      <c r="M23" s="27">
        <v>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96</v>
      </c>
      <c r="M24" s="21" t="s">
        <v>251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119</v>
      </c>
      <c r="M25" s="21" t="s">
        <v>252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99</v>
      </c>
      <c r="G26" s="26"/>
      <c r="H26" s="28"/>
      <c r="I26" s="27"/>
      <c r="J26" s="27"/>
      <c r="K26" s="9" t="s">
        <v>138</v>
      </c>
      <c r="M26" s="27">
        <v>2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117</v>
      </c>
      <c r="G27" s="26"/>
      <c r="H27" s="28"/>
      <c r="I27" s="27"/>
      <c r="J27" s="27"/>
      <c r="K27" s="9" t="s">
        <v>138</v>
      </c>
      <c r="M27" s="27">
        <v>2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31</v>
      </c>
      <c r="G28" s="9" t="s">
        <v>249</v>
      </c>
      <c r="H28" s="9"/>
      <c r="I28" s="9"/>
      <c r="L28" s="9" t="s">
        <v>135</v>
      </c>
      <c r="M28" s="27">
        <f>G28/G21*C20</f>
        <v>36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30</v>
      </c>
      <c r="G29" s="26"/>
      <c r="H29" s="28"/>
      <c r="I29" s="27"/>
      <c r="J29" s="27"/>
      <c r="M29" s="27">
        <v>0.15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 t="shared" si="0"/>
        <v>30</v>
      </c>
      <c r="F30" s="9" t="s">
        <v>195</v>
      </c>
      <c r="G30" s="26"/>
      <c r="H30" s="28"/>
      <c r="I30" s="27"/>
      <c r="J30" s="27"/>
      <c r="M30" s="27">
        <v>0.5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0"/>
        <v>31</v>
      </c>
      <c r="F31" s="9" t="s">
        <v>197</v>
      </c>
      <c r="G31" s="26"/>
      <c r="H31" s="28"/>
      <c r="I31" s="27"/>
      <c r="J31" s="27"/>
      <c r="M31" s="27">
        <v>40</v>
      </c>
      <c r="R31" s="12"/>
      <c r="S31" s="9"/>
      <c r="U31" s="12"/>
      <c r="X31" s="15"/>
      <c r="AE31" s="16"/>
      <c r="BH31" s="9"/>
    </row>
    <row r="32" spans="1:60">
      <c r="A32" s="21" t="s">
        <v>228</v>
      </c>
      <c r="B32" s="21">
        <f t="shared" ref="B32:B63" si="1">QUOTIENT( D32-1,G33)+1</f>
        <v>1</v>
      </c>
      <c r="C32" s="21">
        <f t="shared" ref="C32" si="2">D32-(B32-1)*G33</f>
        <v>2</v>
      </c>
      <c r="D32" s="21">
        <f>COUNT($D$14:$D31)+1</f>
        <v>2</v>
      </c>
    </row>
    <row r="33" spans="1:13">
      <c r="E33" s="21">
        <f t="shared" ref="E33:E96" si="3">ROW(E33)</f>
        <v>33</v>
      </c>
      <c r="F33" s="9" t="s">
        <v>93</v>
      </c>
      <c r="G33" s="21">
        <v>10</v>
      </c>
      <c r="H33" s="21">
        <v>1</v>
      </c>
      <c r="J33" s="21">
        <v>16900</v>
      </c>
      <c r="M33" s="21">
        <f t="shared" ref="M33:M64" si="4">J33+D32</f>
        <v>16902</v>
      </c>
    </row>
    <row r="34" spans="1:13">
      <c r="E34" s="21">
        <f t="shared" si="3"/>
        <v>34</v>
      </c>
      <c r="F34" s="9" t="s">
        <v>143</v>
      </c>
      <c r="M34" s="21">
        <v>16800</v>
      </c>
    </row>
    <row r="35" spans="1:13">
      <c r="E35" s="21">
        <f t="shared" si="3"/>
        <v>35</v>
      </c>
      <c r="F35" s="9" t="s">
        <v>127</v>
      </c>
      <c r="M35" s="21">
        <v>0</v>
      </c>
    </row>
    <row r="36" spans="1:13">
      <c r="E36" s="21">
        <f t="shared" si="3"/>
        <v>36</v>
      </c>
      <c r="F36" s="9" t="s">
        <v>29</v>
      </c>
      <c r="M36" s="21" t="s">
        <v>250</v>
      </c>
    </row>
    <row r="37" spans="1:13">
      <c r="E37" s="21">
        <f t="shared" si="3"/>
        <v>37</v>
      </c>
      <c r="F37" s="9" t="s">
        <v>119</v>
      </c>
      <c r="M37" s="21" t="s">
        <v>252</v>
      </c>
    </row>
    <row r="38" spans="1:13">
      <c r="E38" s="21">
        <f t="shared" si="3"/>
        <v>38</v>
      </c>
      <c r="F38" s="9" t="s">
        <v>99</v>
      </c>
      <c r="K38" s="9" t="s">
        <v>138</v>
      </c>
      <c r="M38" s="21">
        <v>2</v>
      </c>
    </row>
    <row r="39" spans="1:13">
      <c r="E39" s="21">
        <f t="shared" si="3"/>
        <v>39</v>
      </c>
      <c r="F39" s="9" t="s">
        <v>117</v>
      </c>
      <c r="K39" s="9" t="s">
        <v>138</v>
      </c>
      <c r="M39" s="21">
        <v>2</v>
      </c>
    </row>
    <row r="40" spans="1:13">
      <c r="E40" s="21">
        <f t="shared" si="3"/>
        <v>40</v>
      </c>
      <c r="F40" s="9" t="s">
        <v>31</v>
      </c>
      <c r="G40" s="21" t="s">
        <v>248</v>
      </c>
      <c r="L40" s="9" t="s">
        <v>135</v>
      </c>
      <c r="M40" s="21">
        <f t="shared" ref="M40" si="5">G40/G33*C32</f>
        <v>72</v>
      </c>
    </row>
    <row r="41" spans="1:13">
      <c r="E41" s="21">
        <f t="shared" si="3"/>
        <v>41</v>
      </c>
      <c r="F41" s="9" t="s">
        <v>30</v>
      </c>
      <c r="M41" s="21">
        <v>0.15</v>
      </c>
    </row>
    <row r="42" spans="1:13">
      <c r="E42" s="21">
        <f t="shared" si="3"/>
        <v>42</v>
      </c>
      <c r="F42" s="9" t="s">
        <v>195</v>
      </c>
      <c r="M42" s="21">
        <v>0.5</v>
      </c>
    </row>
    <row r="43" spans="1:13">
      <c r="E43" s="21">
        <f t="shared" si="3"/>
        <v>43</v>
      </c>
      <c r="F43" s="9" t="s">
        <v>197</v>
      </c>
      <c r="M43" s="21">
        <v>40</v>
      </c>
    </row>
    <row r="44" spans="1:13">
      <c r="A44" s="21" t="s">
        <v>228</v>
      </c>
      <c r="B44" s="21">
        <f t="shared" ref="B44:B75" si="6">QUOTIENT( D44-1,G45)+1</f>
        <v>1</v>
      </c>
      <c r="C44" s="21">
        <f t="shared" ref="C44" si="7">D44-(B44-1)*G45</f>
        <v>3</v>
      </c>
      <c r="D44" s="21">
        <f>COUNT($D$14:$D43)+1</f>
        <v>3</v>
      </c>
    </row>
    <row r="45" spans="1:13">
      <c r="E45" s="21">
        <f t="shared" ref="E45:E76" si="8">ROW(E45)</f>
        <v>45</v>
      </c>
      <c r="F45" s="9" t="s">
        <v>93</v>
      </c>
      <c r="G45" s="21">
        <v>10</v>
      </c>
      <c r="H45" s="21">
        <v>1</v>
      </c>
      <c r="J45" s="9">
        <v>16900</v>
      </c>
      <c r="M45" s="21">
        <f t="shared" ref="M45:M76" si="9">J45+D44</f>
        <v>16903</v>
      </c>
    </row>
    <row r="46" spans="1:13">
      <c r="E46" s="21">
        <f t="shared" si="3"/>
        <v>46</v>
      </c>
      <c r="F46" s="9" t="s">
        <v>143</v>
      </c>
      <c r="M46" s="21">
        <v>16800</v>
      </c>
    </row>
    <row r="47" spans="1:13">
      <c r="E47" s="21">
        <f t="shared" si="3"/>
        <v>47</v>
      </c>
      <c r="F47" s="9" t="s">
        <v>127</v>
      </c>
      <c r="M47" s="21">
        <v>0</v>
      </c>
    </row>
    <row r="48" spans="1:13">
      <c r="E48" s="21">
        <f t="shared" si="3"/>
        <v>48</v>
      </c>
      <c r="F48" s="9" t="s">
        <v>29</v>
      </c>
      <c r="M48" s="21" t="s">
        <v>250</v>
      </c>
    </row>
    <row r="49" spans="1:13">
      <c r="E49" s="21">
        <f t="shared" si="3"/>
        <v>49</v>
      </c>
      <c r="F49" s="9" t="s">
        <v>119</v>
      </c>
      <c r="M49" s="21" t="s">
        <v>252</v>
      </c>
    </row>
    <row r="50" spans="1:13">
      <c r="E50" s="21">
        <f t="shared" si="3"/>
        <v>50</v>
      </c>
      <c r="F50" s="9" t="s">
        <v>99</v>
      </c>
      <c r="K50" s="9" t="s">
        <v>138</v>
      </c>
      <c r="M50" s="21">
        <v>2</v>
      </c>
    </row>
    <row r="51" spans="1:13">
      <c r="E51" s="21">
        <f t="shared" si="3"/>
        <v>51</v>
      </c>
      <c r="F51" s="9" t="s">
        <v>117</v>
      </c>
      <c r="K51" s="9" t="s">
        <v>138</v>
      </c>
      <c r="M51" s="21">
        <v>2</v>
      </c>
    </row>
    <row r="52" spans="1:13">
      <c r="E52" s="21">
        <f t="shared" si="3"/>
        <v>52</v>
      </c>
      <c r="F52" s="9" t="s">
        <v>31</v>
      </c>
      <c r="G52" s="21" t="s">
        <v>248</v>
      </c>
      <c r="L52" s="9" t="s">
        <v>135</v>
      </c>
      <c r="M52" s="21">
        <f t="shared" ref="M52" si="10">G52/G45*C44</f>
        <v>108</v>
      </c>
    </row>
    <row r="53" spans="1:13">
      <c r="E53" s="21">
        <f t="shared" si="3"/>
        <v>53</v>
      </c>
      <c r="F53" s="9" t="s">
        <v>30</v>
      </c>
      <c r="M53" s="21">
        <v>0.15</v>
      </c>
    </row>
    <row r="54" spans="1:13">
      <c r="E54" s="21">
        <f t="shared" si="3"/>
        <v>54</v>
      </c>
      <c r="F54" s="9" t="s">
        <v>195</v>
      </c>
      <c r="M54" s="21">
        <v>0.5</v>
      </c>
    </row>
    <row r="55" spans="1:13">
      <c r="E55" s="21">
        <f t="shared" si="3"/>
        <v>55</v>
      </c>
      <c r="F55" s="9" t="s">
        <v>197</v>
      </c>
      <c r="M55" s="21">
        <v>40</v>
      </c>
    </row>
    <row r="56" spans="1:13">
      <c r="A56" s="21" t="s">
        <v>228</v>
      </c>
      <c r="B56" s="21">
        <f t="shared" ref="B56:B87" si="11">QUOTIENT( D56-1,G57)+1</f>
        <v>1</v>
      </c>
      <c r="C56" s="21">
        <f t="shared" ref="C56" si="12">D56-(B56-1)*G57</f>
        <v>4</v>
      </c>
      <c r="D56" s="21">
        <f>COUNT($D$14:$D55)+1</f>
        <v>4</v>
      </c>
    </row>
    <row r="57" spans="1:13">
      <c r="E57" s="21">
        <f t="shared" ref="E57:E88" si="13">ROW(E57)</f>
        <v>57</v>
      </c>
      <c r="F57" s="9" t="s">
        <v>93</v>
      </c>
      <c r="G57" s="21">
        <v>10</v>
      </c>
      <c r="H57" s="21">
        <v>1</v>
      </c>
      <c r="J57" s="9">
        <v>16900</v>
      </c>
      <c r="M57" s="21">
        <f t="shared" ref="M57:M88" si="14">J57+D56</f>
        <v>16904</v>
      </c>
    </row>
    <row r="58" spans="1:13">
      <c r="E58" s="21">
        <f t="shared" si="3"/>
        <v>58</v>
      </c>
      <c r="F58" s="9" t="s">
        <v>143</v>
      </c>
      <c r="M58" s="21">
        <v>16800</v>
      </c>
    </row>
    <row r="59" spans="1:13">
      <c r="E59" s="21">
        <f t="shared" si="3"/>
        <v>59</v>
      </c>
      <c r="F59" s="9" t="s">
        <v>127</v>
      </c>
      <c r="M59" s="21">
        <v>0</v>
      </c>
    </row>
    <row r="60" spans="1:13">
      <c r="E60" s="21">
        <f t="shared" si="3"/>
        <v>60</v>
      </c>
      <c r="F60" s="9" t="s">
        <v>29</v>
      </c>
      <c r="M60" s="21" t="s">
        <v>250</v>
      </c>
    </row>
    <row r="61" spans="1:13">
      <c r="E61" s="21">
        <f t="shared" si="3"/>
        <v>61</v>
      </c>
      <c r="F61" s="9" t="s">
        <v>119</v>
      </c>
      <c r="M61" s="21" t="s">
        <v>252</v>
      </c>
    </row>
    <row r="62" spans="1:13">
      <c r="E62" s="21">
        <f t="shared" si="3"/>
        <v>62</v>
      </c>
      <c r="F62" s="9" t="s">
        <v>99</v>
      </c>
      <c r="K62" s="9" t="s">
        <v>138</v>
      </c>
      <c r="M62" s="21">
        <v>2</v>
      </c>
    </row>
    <row r="63" spans="1:13">
      <c r="E63" s="21">
        <f t="shared" si="3"/>
        <v>63</v>
      </c>
      <c r="F63" s="9" t="s">
        <v>117</v>
      </c>
      <c r="K63" s="9" t="s">
        <v>138</v>
      </c>
      <c r="M63" s="21">
        <v>2</v>
      </c>
    </row>
    <row r="64" spans="1:13">
      <c r="E64" s="21">
        <f t="shared" si="3"/>
        <v>64</v>
      </c>
      <c r="F64" s="9" t="s">
        <v>31</v>
      </c>
      <c r="G64" s="21" t="s">
        <v>248</v>
      </c>
      <c r="L64" s="9" t="s">
        <v>135</v>
      </c>
      <c r="M64" s="21">
        <f t="shared" ref="M64" si="15">G64/G57*C56</f>
        <v>144</v>
      </c>
    </row>
    <row r="65" spans="1:13">
      <c r="E65" s="21">
        <f t="shared" si="3"/>
        <v>65</v>
      </c>
      <c r="F65" s="9" t="s">
        <v>30</v>
      </c>
      <c r="M65" s="21">
        <v>0.15</v>
      </c>
    </row>
    <row r="66" spans="1:13">
      <c r="E66" s="21">
        <f t="shared" si="3"/>
        <v>66</v>
      </c>
      <c r="F66" s="9" t="s">
        <v>195</v>
      </c>
      <c r="M66" s="21">
        <v>0.5</v>
      </c>
    </row>
    <row r="67" spans="1:13">
      <c r="E67" s="21">
        <f t="shared" si="3"/>
        <v>67</v>
      </c>
      <c r="F67" s="9" t="s">
        <v>197</v>
      </c>
      <c r="M67" s="21">
        <v>40</v>
      </c>
    </row>
    <row r="68" spans="1:13">
      <c r="A68" s="21" t="s">
        <v>228</v>
      </c>
      <c r="B68" s="21">
        <f t="shared" ref="B68:B99" si="16">QUOTIENT( D68-1,G69)+1</f>
        <v>1</v>
      </c>
      <c r="C68" s="21">
        <f t="shared" ref="C68" si="17">D68-(B68-1)*G69</f>
        <v>5</v>
      </c>
      <c r="D68" s="21">
        <f>COUNT($D$14:$D67)+1</f>
        <v>5</v>
      </c>
    </row>
    <row r="69" spans="1:13">
      <c r="E69" s="21">
        <f t="shared" ref="E69:E100" si="18">ROW(E69)</f>
        <v>69</v>
      </c>
      <c r="F69" s="9" t="s">
        <v>93</v>
      </c>
      <c r="G69" s="21">
        <v>10</v>
      </c>
      <c r="H69" s="21">
        <v>1</v>
      </c>
      <c r="J69" s="9">
        <v>16900</v>
      </c>
      <c r="M69" s="21">
        <f t="shared" ref="M69:M100" si="19">J69+D68</f>
        <v>16905</v>
      </c>
    </row>
    <row r="70" spans="1:13">
      <c r="E70" s="21">
        <f t="shared" si="3"/>
        <v>70</v>
      </c>
      <c r="F70" s="9" t="s">
        <v>143</v>
      </c>
      <c r="M70" s="21">
        <v>16800</v>
      </c>
    </row>
    <row r="71" spans="1:13">
      <c r="E71" s="21">
        <f t="shared" si="3"/>
        <v>71</v>
      </c>
      <c r="F71" s="9" t="s">
        <v>127</v>
      </c>
      <c r="M71" s="21">
        <v>0</v>
      </c>
    </row>
    <row r="72" spans="1:13">
      <c r="E72" s="21">
        <f t="shared" si="3"/>
        <v>72</v>
      </c>
      <c r="F72" s="9" t="s">
        <v>29</v>
      </c>
      <c r="M72" s="21" t="s">
        <v>250</v>
      </c>
    </row>
    <row r="73" spans="1:13">
      <c r="E73" s="21">
        <f t="shared" si="3"/>
        <v>73</v>
      </c>
      <c r="F73" s="9" t="s">
        <v>119</v>
      </c>
      <c r="M73" s="21" t="s">
        <v>252</v>
      </c>
    </row>
    <row r="74" spans="1:13">
      <c r="E74" s="21">
        <f t="shared" si="3"/>
        <v>74</v>
      </c>
      <c r="F74" s="9" t="s">
        <v>99</v>
      </c>
      <c r="K74" s="9" t="s">
        <v>138</v>
      </c>
      <c r="M74" s="21">
        <v>2</v>
      </c>
    </row>
    <row r="75" spans="1:13">
      <c r="E75" s="21">
        <f t="shared" si="3"/>
        <v>75</v>
      </c>
      <c r="F75" s="9" t="s">
        <v>117</v>
      </c>
      <c r="K75" s="9" t="s">
        <v>138</v>
      </c>
      <c r="M75" s="21">
        <v>2</v>
      </c>
    </row>
    <row r="76" spans="1:13">
      <c r="E76" s="21">
        <f t="shared" si="3"/>
        <v>76</v>
      </c>
      <c r="F76" s="9" t="s">
        <v>31</v>
      </c>
      <c r="G76" s="21" t="s">
        <v>248</v>
      </c>
      <c r="L76" s="9" t="s">
        <v>135</v>
      </c>
      <c r="M76" s="21">
        <f t="shared" ref="M76" si="20">G76/G69*C68</f>
        <v>180</v>
      </c>
    </row>
    <row r="77" spans="1:13">
      <c r="E77" s="21">
        <f t="shared" si="3"/>
        <v>77</v>
      </c>
      <c r="F77" s="9" t="s">
        <v>30</v>
      </c>
      <c r="M77" s="21">
        <v>0.15</v>
      </c>
    </row>
    <row r="78" spans="1:13">
      <c r="E78" s="21">
        <f t="shared" si="3"/>
        <v>78</v>
      </c>
      <c r="F78" s="9" t="s">
        <v>195</v>
      </c>
      <c r="M78" s="21">
        <v>0.5</v>
      </c>
    </row>
    <row r="79" spans="1:13">
      <c r="E79" s="21">
        <f t="shared" si="3"/>
        <v>79</v>
      </c>
      <c r="F79" s="9" t="s">
        <v>197</v>
      </c>
      <c r="M79" s="21">
        <v>40</v>
      </c>
    </row>
    <row r="80" spans="1:13">
      <c r="A80" s="21" t="s">
        <v>228</v>
      </c>
      <c r="B80" s="21">
        <f t="shared" ref="B80:B111" si="21">QUOTIENT( D80-1,G81)+1</f>
        <v>1</v>
      </c>
      <c r="C80" s="21">
        <f t="shared" ref="C80" si="22">D80-(B80-1)*G81</f>
        <v>6</v>
      </c>
      <c r="D80" s="21">
        <f>COUNT($D$14:$D79)+1</f>
        <v>6</v>
      </c>
    </row>
    <row r="81" spans="1:13">
      <c r="E81" s="21">
        <f t="shared" ref="E81:E112" si="23">ROW(E81)</f>
        <v>81</v>
      </c>
      <c r="F81" s="9" t="s">
        <v>93</v>
      </c>
      <c r="G81" s="21">
        <v>10</v>
      </c>
      <c r="H81" s="21">
        <v>1</v>
      </c>
      <c r="J81" s="9">
        <v>16900</v>
      </c>
      <c r="M81" s="21">
        <f t="shared" ref="M81:M112" si="24">J81+D80</f>
        <v>16906</v>
      </c>
    </row>
    <row r="82" spans="1:13">
      <c r="E82" s="21">
        <f t="shared" si="3"/>
        <v>82</v>
      </c>
      <c r="F82" s="9" t="s">
        <v>143</v>
      </c>
      <c r="M82" s="21">
        <v>16800</v>
      </c>
    </row>
    <row r="83" spans="1:13">
      <c r="E83" s="21">
        <f t="shared" si="3"/>
        <v>83</v>
      </c>
      <c r="F83" s="9" t="s">
        <v>127</v>
      </c>
      <c r="M83" s="21">
        <v>0</v>
      </c>
    </row>
    <row r="84" spans="1:13">
      <c r="E84" s="21">
        <f t="shared" si="3"/>
        <v>84</v>
      </c>
      <c r="F84" s="9" t="s">
        <v>29</v>
      </c>
      <c r="M84" s="21" t="s">
        <v>250</v>
      </c>
    </row>
    <row r="85" spans="1:13">
      <c r="E85" s="21">
        <f t="shared" si="3"/>
        <v>85</v>
      </c>
      <c r="F85" s="9" t="s">
        <v>119</v>
      </c>
      <c r="M85" s="21" t="s">
        <v>252</v>
      </c>
    </row>
    <row r="86" spans="1:13">
      <c r="E86" s="21">
        <f t="shared" si="3"/>
        <v>86</v>
      </c>
      <c r="F86" s="9" t="s">
        <v>99</v>
      </c>
      <c r="K86" s="9" t="s">
        <v>138</v>
      </c>
      <c r="M86" s="21">
        <v>2</v>
      </c>
    </row>
    <row r="87" spans="1:13">
      <c r="E87" s="21">
        <f t="shared" si="3"/>
        <v>87</v>
      </c>
      <c r="F87" s="9" t="s">
        <v>117</v>
      </c>
      <c r="K87" s="9" t="s">
        <v>138</v>
      </c>
      <c r="M87" s="21">
        <v>2</v>
      </c>
    </row>
    <row r="88" spans="1:13">
      <c r="E88" s="21">
        <f t="shared" si="3"/>
        <v>88</v>
      </c>
      <c r="F88" s="9" t="s">
        <v>31</v>
      </c>
      <c r="G88" s="21" t="s">
        <v>248</v>
      </c>
      <c r="L88" s="9" t="s">
        <v>135</v>
      </c>
      <c r="M88" s="21">
        <f t="shared" ref="M88" si="25">G88/G81*C80</f>
        <v>216</v>
      </c>
    </row>
    <row r="89" spans="1:13">
      <c r="E89" s="21">
        <f t="shared" si="3"/>
        <v>89</v>
      </c>
      <c r="F89" s="9" t="s">
        <v>30</v>
      </c>
      <c r="M89" s="21">
        <v>0.15</v>
      </c>
    </row>
    <row r="90" spans="1:13">
      <c r="E90" s="21">
        <f t="shared" si="3"/>
        <v>90</v>
      </c>
      <c r="F90" s="9" t="s">
        <v>195</v>
      </c>
      <c r="M90" s="21">
        <v>0.5</v>
      </c>
    </row>
    <row r="91" spans="1:13">
      <c r="E91" s="21">
        <f t="shared" si="3"/>
        <v>91</v>
      </c>
      <c r="F91" s="9" t="s">
        <v>197</v>
      </c>
      <c r="M91" s="21">
        <v>40</v>
      </c>
    </row>
    <row r="92" spans="1:13">
      <c r="A92" s="21" t="s">
        <v>228</v>
      </c>
      <c r="B92" s="21">
        <f t="shared" ref="B92:B139" si="26">QUOTIENT( D92-1,G93)+1</f>
        <v>1</v>
      </c>
      <c r="C92" s="21">
        <f t="shared" ref="C92" si="27">D92-(B92-1)*G93</f>
        <v>7</v>
      </c>
      <c r="D92" s="21">
        <f>COUNT($D$14:$D91)+1</f>
        <v>7</v>
      </c>
    </row>
    <row r="93" spans="1:13">
      <c r="E93" s="21">
        <f t="shared" ref="E93:E139" si="28">ROW(E93)</f>
        <v>93</v>
      </c>
      <c r="F93" s="9" t="s">
        <v>93</v>
      </c>
      <c r="G93" s="21">
        <v>10</v>
      </c>
      <c r="H93" s="21">
        <v>1</v>
      </c>
      <c r="J93" s="9">
        <v>16900</v>
      </c>
      <c r="M93" s="21">
        <f t="shared" ref="M93:M139" si="29">J93+D92</f>
        <v>16907</v>
      </c>
    </row>
    <row r="94" spans="1:13">
      <c r="E94" s="21">
        <f t="shared" si="3"/>
        <v>94</v>
      </c>
      <c r="F94" s="9" t="s">
        <v>143</v>
      </c>
      <c r="M94" s="21">
        <v>16800</v>
      </c>
    </row>
    <row r="95" spans="1:13">
      <c r="E95" s="21">
        <f t="shared" si="3"/>
        <v>95</v>
      </c>
      <c r="F95" s="9" t="s">
        <v>127</v>
      </c>
      <c r="M95" s="21">
        <v>0</v>
      </c>
    </row>
    <row r="96" spans="1:13">
      <c r="E96" s="21">
        <f t="shared" si="3"/>
        <v>96</v>
      </c>
      <c r="F96" s="9" t="s">
        <v>29</v>
      </c>
      <c r="M96" s="21" t="s">
        <v>250</v>
      </c>
    </row>
    <row r="97" spans="1:13">
      <c r="E97" s="21">
        <f t="shared" ref="E97:E139" si="30">ROW(E97)</f>
        <v>97</v>
      </c>
      <c r="F97" s="9" t="s">
        <v>119</v>
      </c>
      <c r="M97" s="21" t="s">
        <v>252</v>
      </c>
    </row>
    <row r="98" spans="1:13">
      <c r="E98" s="21">
        <f t="shared" si="30"/>
        <v>98</v>
      </c>
      <c r="F98" s="9" t="s">
        <v>99</v>
      </c>
      <c r="K98" s="9" t="s">
        <v>138</v>
      </c>
      <c r="M98" s="21">
        <v>2</v>
      </c>
    </row>
    <row r="99" spans="1:13">
      <c r="E99" s="21">
        <f t="shared" si="30"/>
        <v>99</v>
      </c>
      <c r="F99" s="9" t="s">
        <v>117</v>
      </c>
      <c r="K99" s="9" t="s">
        <v>138</v>
      </c>
      <c r="M99" s="21">
        <v>2</v>
      </c>
    </row>
    <row r="100" spans="1:13">
      <c r="E100" s="21">
        <f t="shared" si="30"/>
        <v>100</v>
      </c>
      <c r="F100" s="9" t="s">
        <v>31</v>
      </c>
      <c r="G100" s="21" t="s">
        <v>248</v>
      </c>
      <c r="L100" s="9" t="s">
        <v>135</v>
      </c>
      <c r="M100" s="21">
        <f t="shared" ref="M100" si="31">G100/G93*C92</f>
        <v>252</v>
      </c>
    </row>
    <row r="101" spans="1:13">
      <c r="E101" s="21">
        <f t="shared" si="30"/>
        <v>101</v>
      </c>
      <c r="F101" s="9" t="s">
        <v>30</v>
      </c>
      <c r="M101" s="21">
        <v>0.15</v>
      </c>
    </row>
    <row r="102" spans="1:13">
      <c r="E102" s="21">
        <f t="shared" si="30"/>
        <v>102</v>
      </c>
      <c r="F102" s="9" t="s">
        <v>195</v>
      </c>
      <c r="M102" s="21">
        <v>0.5</v>
      </c>
    </row>
    <row r="103" spans="1:13">
      <c r="E103" s="21">
        <f t="shared" si="30"/>
        <v>103</v>
      </c>
      <c r="F103" s="9" t="s">
        <v>197</v>
      </c>
      <c r="M103" s="21">
        <v>40</v>
      </c>
    </row>
    <row r="104" spans="1:13">
      <c r="A104" s="21" t="s">
        <v>228</v>
      </c>
      <c r="B104" s="21">
        <f t="shared" ref="B104:B139" si="32">QUOTIENT( D104-1,G105)+1</f>
        <v>1</v>
      </c>
      <c r="C104" s="21">
        <f t="shared" ref="C104" si="33">D104-(B104-1)*G105</f>
        <v>8</v>
      </c>
      <c r="D104" s="21">
        <f>COUNT($D$14:$D103)+1</f>
        <v>8</v>
      </c>
    </row>
    <row r="105" spans="1:13">
      <c r="E105" s="21">
        <f t="shared" ref="E105:E139" si="34">ROW(E105)</f>
        <v>105</v>
      </c>
      <c r="F105" s="9" t="s">
        <v>93</v>
      </c>
      <c r="G105" s="21">
        <v>10</v>
      </c>
      <c r="H105" s="21">
        <v>1</v>
      </c>
      <c r="J105" s="9">
        <v>16900</v>
      </c>
      <c r="M105" s="21">
        <f t="shared" ref="M105:M139" si="35">J105+D104</f>
        <v>16908</v>
      </c>
    </row>
    <row r="106" spans="1:13">
      <c r="E106" s="21">
        <f t="shared" si="30"/>
        <v>106</v>
      </c>
      <c r="F106" s="9" t="s">
        <v>143</v>
      </c>
      <c r="M106" s="21">
        <v>16800</v>
      </c>
    </row>
    <row r="107" spans="1:13">
      <c r="E107" s="21">
        <f t="shared" si="30"/>
        <v>107</v>
      </c>
      <c r="F107" s="9" t="s">
        <v>127</v>
      </c>
      <c r="M107" s="21">
        <v>0</v>
      </c>
    </row>
    <row r="108" spans="1:13">
      <c r="E108" s="21">
        <f t="shared" si="30"/>
        <v>108</v>
      </c>
      <c r="F108" s="9" t="s">
        <v>29</v>
      </c>
      <c r="M108" s="21" t="s">
        <v>250</v>
      </c>
    </row>
    <row r="109" spans="1:13">
      <c r="E109" s="21">
        <f t="shared" si="30"/>
        <v>109</v>
      </c>
      <c r="F109" s="9" t="s">
        <v>119</v>
      </c>
      <c r="M109" s="21" t="s">
        <v>252</v>
      </c>
    </row>
    <row r="110" spans="1:13">
      <c r="E110" s="21">
        <f t="shared" si="30"/>
        <v>110</v>
      </c>
      <c r="F110" s="9" t="s">
        <v>99</v>
      </c>
      <c r="K110" s="9" t="s">
        <v>138</v>
      </c>
      <c r="M110" s="21">
        <v>2</v>
      </c>
    </row>
    <row r="111" spans="1:13">
      <c r="E111" s="21">
        <f t="shared" si="30"/>
        <v>111</v>
      </c>
      <c r="F111" s="9" t="s">
        <v>117</v>
      </c>
      <c r="K111" s="9" t="s">
        <v>138</v>
      </c>
      <c r="M111" s="21">
        <v>2</v>
      </c>
    </row>
    <row r="112" spans="1:13">
      <c r="E112" s="21">
        <f t="shared" si="30"/>
        <v>112</v>
      </c>
      <c r="F112" s="9" t="s">
        <v>31</v>
      </c>
      <c r="G112" s="21" t="s">
        <v>248</v>
      </c>
      <c r="L112" s="9" t="s">
        <v>135</v>
      </c>
      <c r="M112" s="21">
        <f t="shared" ref="M112" si="36">G112/G105*C104</f>
        <v>288</v>
      </c>
    </row>
    <row r="113" spans="1:13">
      <c r="E113" s="21">
        <f t="shared" si="30"/>
        <v>113</v>
      </c>
      <c r="F113" s="9" t="s">
        <v>30</v>
      </c>
      <c r="M113" s="21">
        <v>0.15</v>
      </c>
    </row>
    <row r="114" spans="1:13">
      <c r="E114" s="21">
        <f t="shared" si="30"/>
        <v>114</v>
      </c>
      <c r="F114" s="9" t="s">
        <v>195</v>
      </c>
      <c r="M114" s="21">
        <v>0.5</v>
      </c>
    </row>
    <row r="115" spans="1:13">
      <c r="E115" s="21">
        <f t="shared" si="30"/>
        <v>115</v>
      </c>
      <c r="F115" s="9" t="s">
        <v>197</v>
      </c>
      <c r="M115" s="21">
        <v>40</v>
      </c>
    </row>
    <row r="116" spans="1:13">
      <c r="A116" s="21" t="s">
        <v>228</v>
      </c>
      <c r="B116" s="21">
        <f t="shared" ref="B116:B139" si="37">QUOTIENT( D116-1,G117)+1</f>
        <v>1</v>
      </c>
      <c r="C116" s="21">
        <f t="shared" ref="C116" si="38">D116-(B116-1)*G117</f>
        <v>9</v>
      </c>
      <c r="D116" s="21">
        <f>COUNT($D$14:$D115)+1</f>
        <v>9</v>
      </c>
    </row>
    <row r="117" spans="1:13">
      <c r="E117" s="21">
        <f t="shared" ref="E117:E139" si="39">ROW(E117)</f>
        <v>117</v>
      </c>
      <c r="F117" s="9" t="s">
        <v>93</v>
      </c>
      <c r="G117" s="21">
        <v>10</v>
      </c>
      <c r="H117" s="21">
        <v>1</v>
      </c>
      <c r="J117" s="9">
        <v>16900</v>
      </c>
      <c r="M117" s="21">
        <f t="shared" ref="M117:M139" si="40">J117+D116</f>
        <v>16909</v>
      </c>
    </row>
    <row r="118" spans="1:13">
      <c r="E118" s="21">
        <f t="shared" si="30"/>
        <v>118</v>
      </c>
      <c r="F118" s="9" t="s">
        <v>143</v>
      </c>
      <c r="M118" s="21">
        <v>16800</v>
      </c>
    </row>
    <row r="119" spans="1:13">
      <c r="E119" s="21">
        <f t="shared" si="30"/>
        <v>119</v>
      </c>
      <c r="F119" s="9" t="s">
        <v>127</v>
      </c>
      <c r="M119" s="21">
        <v>0</v>
      </c>
    </row>
    <row r="120" spans="1:13">
      <c r="E120" s="21">
        <f t="shared" si="30"/>
        <v>120</v>
      </c>
      <c r="F120" s="9" t="s">
        <v>29</v>
      </c>
      <c r="M120" s="21" t="s">
        <v>250</v>
      </c>
    </row>
    <row r="121" spans="1:13">
      <c r="E121" s="21">
        <f t="shared" si="30"/>
        <v>121</v>
      </c>
      <c r="F121" s="9" t="s">
        <v>119</v>
      </c>
      <c r="M121" s="21" t="s">
        <v>252</v>
      </c>
    </row>
    <row r="122" spans="1:13">
      <c r="E122" s="21">
        <f t="shared" si="30"/>
        <v>122</v>
      </c>
      <c r="F122" s="9" t="s">
        <v>99</v>
      </c>
      <c r="K122" s="9" t="s">
        <v>138</v>
      </c>
      <c r="M122" s="21">
        <v>2</v>
      </c>
    </row>
    <row r="123" spans="1:13">
      <c r="E123" s="21">
        <f t="shared" si="30"/>
        <v>123</v>
      </c>
      <c r="F123" s="9" t="s">
        <v>117</v>
      </c>
      <c r="K123" s="9" t="s">
        <v>138</v>
      </c>
      <c r="M123" s="21">
        <v>2</v>
      </c>
    </row>
    <row r="124" spans="1:13">
      <c r="E124" s="21">
        <f t="shared" si="30"/>
        <v>124</v>
      </c>
      <c r="F124" s="9" t="s">
        <v>31</v>
      </c>
      <c r="G124" s="21" t="s">
        <v>248</v>
      </c>
      <c r="L124" s="9" t="s">
        <v>135</v>
      </c>
      <c r="M124" s="21">
        <f t="shared" ref="M124" si="41">G124/G117*C116</f>
        <v>324</v>
      </c>
    </row>
    <row r="125" spans="1:13">
      <c r="E125" s="21">
        <f t="shared" si="30"/>
        <v>125</v>
      </c>
      <c r="F125" s="9" t="s">
        <v>30</v>
      </c>
      <c r="M125" s="21">
        <v>0.15</v>
      </c>
    </row>
    <row r="126" spans="1:13">
      <c r="E126" s="21">
        <f t="shared" si="30"/>
        <v>126</v>
      </c>
      <c r="F126" s="9" t="s">
        <v>195</v>
      </c>
      <c r="M126" s="21">
        <v>0.5</v>
      </c>
    </row>
    <row r="127" spans="1:13">
      <c r="E127" s="21">
        <f t="shared" si="30"/>
        <v>127</v>
      </c>
      <c r="F127" s="9" t="s">
        <v>197</v>
      </c>
      <c r="M127" s="21">
        <v>40</v>
      </c>
    </row>
    <row r="128" spans="1:13">
      <c r="A128" s="21" t="s">
        <v>228</v>
      </c>
      <c r="B128" s="21">
        <f t="shared" ref="B128:B139" si="42">QUOTIENT( D128-1,G129)+1</f>
        <v>1</v>
      </c>
      <c r="C128" s="21">
        <f t="shared" ref="C128" si="43">D128-(B128-1)*G129</f>
        <v>10</v>
      </c>
      <c r="D128" s="21">
        <f>COUNT($D$14:$D127)+1</f>
        <v>10</v>
      </c>
    </row>
    <row r="129" spans="5:13">
      <c r="E129" s="21">
        <f t="shared" ref="E129:E139" si="44">ROW(E129)</f>
        <v>129</v>
      </c>
      <c r="F129" s="9" t="s">
        <v>93</v>
      </c>
      <c r="G129" s="21">
        <v>10</v>
      </c>
      <c r="H129" s="21">
        <v>1</v>
      </c>
      <c r="J129" s="9">
        <v>16900</v>
      </c>
      <c r="M129" s="21">
        <f t="shared" ref="M129:M139" si="45">J129+D128</f>
        <v>16910</v>
      </c>
    </row>
    <row r="130" spans="5:13">
      <c r="E130" s="21">
        <f t="shared" si="30"/>
        <v>130</v>
      </c>
      <c r="F130" s="9" t="s">
        <v>143</v>
      </c>
      <c r="M130" s="21">
        <v>16800</v>
      </c>
    </row>
    <row r="131" spans="5:13">
      <c r="E131" s="21">
        <f t="shared" si="30"/>
        <v>131</v>
      </c>
      <c r="F131" s="9" t="s">
        <v>127</v>
      </c>
      <c r="M131" s="21">
        <v>0</v>
      </c>
    </row>
    <row r="132" spans="5:13">
      <c r="E132" s="21">
        <f t="shared" si="30"/>
        <v>132</v>
      </c>
      <c r="F132" s="9" t="s">
        <v>29</v>
      </c>
      <c r="M132" s="21" t="s">
        <v>250</v>
      </c>
    </row>
    <row r="133" spans="5:13">
      <c r="E133" s="21">
        <f t="shared" si="30"/>
        <v>133</v>
      </c>
      <c r="F133" s="9" t="s">
        <v>119</v>
      </c>
      <c r="M133" s="21" t="s">
        <v>252</v>
      </c>
    </row>
    <row r="134" spans="5:13">
      <c r="E134" s="21">
        <f t="shared" si="30"/>
        <v>134</v>
      </c>
      <c r="F134" s="9" t="s">
        <v>99</v>
      </c>
      <c r="K134" s="9" t="s">
        <v>138</v>
      </c>
      <c r="M134" s="21">
        <v>2</v>
      </c>
    </row>
    <row r="135" spans="5:13">
      <c r="E135" s="21">
        <f t="shared" si="30"/>
        <v>135</v>
      </c>
      <c r="F135" s="9" t="s">
        <v>117</v>
      </c>
      <c r="K135" s="9" t="s">
        <v>138</v>
      </c>
      <c r="M135" s="21">
        <v>2</v>
      </c>
    </row>
    <row r="136" spans="5:13">
      <c r="E136" s="21">
        <f t="shared" si="30"/>
        <v>136</v>
      </c>
      <c r="F136" s="9" t="s">
        <v>31</v>
      </c>
      <c r="G136" s="21" t="s">
        <v>248</v>
      </c>
      <c r="L136" s="9" t="s">
        <v>135</v>
      </c>
      <c r="M136" s="21">
        <f t="shared" ref="M136" si="46">G136/G129*C128</f>
        <v>360</v>
      </c>
    </row>
    <row r="137" spans="5:13">
      <c r="E137" s="21">
        <f t="shared" si="30"/>
        <v>137</v>
      </c>
      <c r="F137" s="9" t="s">
        <v>30</v>
      </c>
      <c r="M137" s="21">
        <v>0.15</v>
      </c>
    </row>
    <row r="138" spans="5:13">
      <c r="E138" s="21">
        <f t="shared" si="30"/>
        <v>138</v>
      </c>
      <c r="F138" s="9" t="s">
        <v>195</v>
      </c>
      <c r="M138" s="21">
        <v>0.5</v>
      </c>
    </row>
    <row r="139" spans="5:13">
      <c r="E139" s="21">
        <f t="shared" si="30"/>
        <v>139</v>
      </c>
      <c r="F139" s="9" t="s">
        <v>197</v>
      </c>
      <c r="M139" s="21">
        <v>40</v>
      </c>
    </row>
  </sheetData>
  <phoneticPr fontId="2" type="noConversion"/>
  <conditionalFormatting sqref="BE1:XFD1 E1:I1">
    <cfRule type="duplicateValues" dxfId="57" priority="1862"/>
  </conditionalFormatting>
  <conditionalFormatting sqref="F1:F10 F13">
    <cfRule type="cellIs" dxfId="56" priority="1363" operator="equal">
      <formula>"ID"</formula>
    </cfRule>
    <cfRule type="cellIs" dxfId="55" priority="1778" operator="equal">
      <formula>"行動序號"</formula>
    </cfRule>
  </conditionalFormatting>
  <conditionalFormatting sqref="J1">
    <cfRule type="duplicateValues" dxfId="54" priority="1361"/>
  </conditionalFormatting>
  <conditionalFormatting sqref="K1:L1">
    <cfRule type="duplicateValues" dxfId="53" priority="1358"/>
  </conditionalFormatting>
  <conditionalFormatting sqref="M1:M1048576">
    <cfRule type="expression" dxfId="52" priority="973">
      <formula>_xlfn.ISFORMULA(M1)</formula>
    </cfRule>
  </conditionalFormatting>
  <conditionalFormatting sqref="N1:BD1">
    <cfRule type="duplicateValues" dxfId="51" priority="1878"/>
  </conditionalFormatting>
  <conditionalFormatting sqref="F14 F11:F12">
    <cfRule type="cellIs" dxfId="50" priority="83" operator="equal">
      <formula>"ID"</formula>
    </cfRule>
    <cfRule type="cellIs" dxfId="49" priority="84" operator="equal">
      <formula>"行動序號"</formula>
    </cfRule>
  </conditionalFormatting>
  <conditionalFormatting sqref="J21">
    <cfRule type="expression" dxfId="48" priority="81">
      <formula>_xlfn.ISFORMULA(J21)</formula>
    </cfRule>
  </conditionalFormatting>
  <conditionalFormatting sqref="F1:F1048576">
    <cfRule type="cellIs" dxfId="47" priority="76" operator="equal">
      <formula>"ID"</formula>
    </cfRule>
    <cfRule type="cellIs" dxfId="46" priority="77" operator="equal">
      <formula>"行動ID"</formula>
    </cfRule>
  </conditionalFormatting>
  <conditionalFormatting sqref="J21">
    <cfRule type="expression" dxfId="45" priority="86">
      <formula>OR($F19="行動序號",$F19="ID")</formula>
    </cfRule>
  </conditionalFormatting>
  <conditionalFormatting sqref="J21">
    <cfRule type="expression" dxfId="44" priority="87">
      <formula>$F19="行動ID"</formula>
    </cfRule>
  </conditionalFormatting>
  <conditionalFormatting sqref="M1:M1048576">
    <cfRule type="expression" dxfId="43" priority="37">
      <formula>AND(_xlfn.ISFORMULA(M1),OR($F1="行動ID", $F1="ID"))</formula>
    </cfRule>
    <cfRule type="expression" dxfId="42" priority="39">
      <formula>OR($F1="行動ID", $F1="ID")</formula>
    </cfRule>
  </conditionalFormatting>
  <conditionalFormatting sqref="J33">
    <cfRule type="expression" dxfId="41" priority="1">
      <formula>_xlfn.ISFORMULA(J33)</formula>
    </cfRule>
  </conditionalFormatting>
  <conditionalFormatting sqref="J33">
    <cfRule type="expression" dxfId="40" priority="2">
      <formula>OR(#REF!="行動序號",#REF!="ID")</formula>
    </cfRule>
  </conditionalFormatting>
  <conditionalFormatting sqref="J33">
    <cfRule type="expression" dxfId="39" priority="3">
      <formula>#REF!="行動ID"</formula>
    </cfRule>
  </conditionalFormatting>
  <dataValidations count="1">
    <dataValidation type="list" allowBlank="1" showInputMessage="1" showErrorMessage="1" sqref="K8 L5:L6 F10 K4 L14:L17 K15:K16 L2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stage7_card7shot5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2025-04-21T08:34:29Z</dcterms:modified>
</cp:coreProperties>
</file>