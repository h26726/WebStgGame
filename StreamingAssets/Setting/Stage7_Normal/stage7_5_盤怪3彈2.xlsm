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FFD72CC2-35C9-4D6E-90FE-6CC9D6310597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5b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596" i="1" l="1"/>
  <c r="E595" i="1"/>
  <c r="E594" i="1"/>
  <c r="E593" i="1"/>
  <c r="E592" i="1"/>
  <c r="E591" i="1"/>
  <c r="E590" i="1"/>
  <c r="E589" i="1"/>
  <c r="E588" i="1"/>
  <c r="E587" i="1"/>
  <c r="E586" i="1"/>
  <c r="E584" i="1"/>
  <c r="E583" i="1"/>
  <c r="E582" i="1"/>
  <c r="E581" i="1"/>
  <c r="E580" i="1"/>
  <c r="E579" i="1"/>
  <c r="E578" i="1"/>
  <c r="E577" i="1"/>
  <c r="E576" i="1"/>
  <c r="E575" i="1"/>
  <c r="E574" i="1"/>
  <c r="E572" i="1"/>
  <c r="E571" i="1"/>
  <c r="E570" i="1"/>
  <c r="E569" i="1"/>
  <c r="E568" i="1"/>
  <c r="E567" i="1"/>
  <c r="E566" i="1"/>
  <c r="E565" i="1"/>
  <c r="E564" i="1"/>
  <c r="E563" i="1"/>
  <c r="E562" i="1"/>
  <c r="E560" i="1"/>
  <c r="E559" i="1"/>
  <c r="E558" i="1"/>
  <c r="E557" i="1"/>
  <c r="E556" i="1"/>
  <c r="E555" i="1"/>
  <c r="E554" i="1"/>
  <c r="E553" i="1"/>
  <c r="E552" i="1"/>
  <c r="E551" i="1"/>
  <c r="E550" i="1"/>
  <c r="E548" i="1"/>
  <c r="E547" i="1"/>
  <c r="E546" i="1"/>
  <c r="E545" i="1"/>
  <c r="E544" i="1"/>
  <c r="E543" i="1"/>
  <c r="E542" i="1"/>
  <c r="E541" i="1"/>
  <c r="E540" i="1"/>
  <c r="E539" i="1"/>
  <c r="E538" i="1"/>
  <c r="E536" i="1"/>
  <c r="E535" i="1"/>
  <c r="E534" i="1"/>
  <c r="E533" i="1"/>
  <c r="E532" i="1"/>
  <c r="E531" i="1"/>
  <c r="E530" i="1"/>
  <c r="E529" i="1"/>
  <c r="E528" i="1"/>
  <c r="E527" i="1"/>
  <c r="E526" i="1"/>
  <c r="E524" i="1"/>
  <c r="E523" i="1"/>
  <c r="E522" i="1"/>
  <c r="E521" i="1"/>
  <c r="E520" i="1"/>
  <c r="E519" i="1"/>
  <c r="E518" i="1"/>
  <c r="E517" i="1"/>
  <c r="E516" i="1"/>
  <c r="E515" i="1"/>
  <c r="E514" i="1"/>
  <c r="E512" i="1"/>
  <c r="E511" i="1"/>
  <c r="E510" i="1"/>
  <c r="E509" i="1"/>
  <c r="E508" i="1"/>
  <c r="E507" i="1"/>
  <c r="E506" i="1"/>
  <c r="E505" i="1"/>
  <c r="E504" i="1"/>
  <c r="E503" i="1"/>
  <c r="E502" i="1"/>
  <c r="E500" i="1"/>
  <c r="E499" i="1"/>
  <c r="E498" i="1"/>
  <c r="E497" i="1"/>
  <c r="E496" i="1"/>
  <c r="E495" i="1"/>
  <c r="E494" i="1"/>
  <c r="E493" i="1"/>
  <c r="E492" i="1"/>
  <c r="E491" i="1"/>
  <c r="E490" i="1"/>
  <c r="E488" i="1"/>
  <c r="E487" i="1"/>
  <c r="E486" i="1"/>
  <c r="E485" i="1"/>
  <c r="E484" i="1"/>
  <c r="E483" i="1"/>
  <c r="E482" i="1"/>
  <c r="E481" i="1"/>
  <c r="E480" i="1"/>
  <c r="E479" i="1"/>
  <c r="E478" i="1"/>
  <c r="E476" i="1"/>
  <c r="E475" i="1"/>
  <c r="E474" i="1"/>
  <c r="E473" i="1"/>
  <c r="E472" i="1"/>
  <c r="E471" i="1"/>
  <c r="E470" i="1"/>
  <c r="E469" i="1"/>
  <c r="E468" i="1"/>
  <c r="E467" i="1"/>
  <c r="E466" i="1"/>
  <c r="E464" i="1"/>
  <c r="E463" i="1"/>
  <c r="E462" i="1"/>
  <c r="E461" i="1"/>
  <c r="E460" i="1"/>
  <c r="E459" i="1"/>
  <c r="E458" i="1"/>
  <c r="E457" i="1"/>
  <c r="E456" i="1"/>
  <c r="E455" i="1"/>
  <c r="E454" i="1"/>
  <c r="E452" i="1"/>
  <c r="E451" i="1"/>
  <c r="E450" i="1"/>
  <c r="E449" i="1"/>
  <c r="E448" i="1"/>
  <c r="E447" i="1"/>
  <c r="E446" i="1"/>
  <c r="E445" i="1"/>
  <c r="E444" i="1"/>
  <c r="E443" i="1"/>
  <c r="E442" i="1"/>
  <c r="E440" i="1"/>
  <c r="E439" i="1"/>
  <c r="E438" i="1"/>
  <c r="E437" i="1"/>
  <c r="E436" i="1"/>
  <c r="E435" i="1"/>
  <c r="E434" i="1"/>
  <c r="E433" i="1"/>
  <c r="E432" i="1"/>
  <c r="E431" i="1"/>
  <c r="E430" i="1"/>
  <c r="E428" i="1"/>
  <c r="E427" i="1"/>
  <c r="E426" i="1"/>
  <c r="E425" i="1"/>
  <c r="E424" i="1"/>
  <c r="E423" i="1"/>
  <c r="E422" i="1"/>
  <c r="E421" i="1"/>
  <c r="E420" i="1"/>
  <c r="E419" i="1"/>
  <c r="E418" i="1"/>
  <c r="E416" i="1"/>
  <c r="E415" i="1"/>
  <c r="E414" i="1"/>
  <c r="E413" i="1"/>
  <c r="E412" i="1"/>
  <c r="E411" i="1"/>
  <c r="E410" i="1"/>
  <c r="E409" i="1"/>
  <c r="E408" i="1"/>
  <c r="E407" i="1"/>
  <c r="E406" i="1"/>
  <c r="E404" i="1"/>
  <c r="E403" i="1"/>
  <c r="E402" i="1"/>
  <c r="E401" i="1"/>
  <c r="E400" i="1"/>
  <c r="E399" i="1"/>
  <c r="E398" i="1"/>
  <c r="E397" i="1"/>
  <c r="E396" i="1"/>
  <c r="E395" i="1"/>
  <c r="E394" i="1"/>
  <c r="E392" i="1"/>
  <c r="E391" i="1"/>
  <c r="E390" i="1"/>
  <c r="E389" i="1"/>
  <c r="E388" i="1"/>
  <c r="E387" i="1"/>
  <c r="E386" i="1"/>
  <c r="E385" i="1"/>
  <c r="E384" i="1"/>
  <c r="E383" i="1"/>
  <c r="E382" i="1"/>
  <c r="E380" i="1"/>
  <c r="E379" i="1"/>
  <c r="E378" i="1"/>
  <c r="E377" i="1"/>
  <c r="E376" i="1"/>
  <c r="E375" i="1"/>
  <c r="E374" i="1"/>
  <c r="E373" i="1"/>
  <c r="E372" i="1"/>
  <c r="E371" i="1"/>
  <c r="E370" i="1"/>
  <c r="E368" i="1"/>
  <c r="E367" i="1"/>
  <c r="E366" i="1"/>
  <c r="E365" i="1"/>
  <c r="E364" i="1"/>
  <c r="E363" i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8" i="1"/>
  <c r="E347" i="1"/>
  <c r="E346" i="1"/>
  <c r="E344" i="1"/>
  <c r="E343" i="1"/>
  <c r="E342" i="1"/>
  <c r="E341" i="1"/>
  <c r="E340" i="1"/>
  <c r="E339" i="1"/>
  <c r="E338" i="1"/>
  <c r="E337" i="1"/>
  <c r="E336" i="1"/>
  <c r="E335" i="1"/>
  <c r="E334" i="1"/>
  <c r="E332" i="1"/>
  <c r="E331" i="1"/>
  <c r="E330" i="1"/>
  <c r="E329" i="1"/>
  <c r="E328" i="1"/>
  <c r="E327" i="1"/>
  <c r="E326" i="1"/>
  <c r="E325" i="1"/>
  <c r="E324" i="1"/>
  <c r="E323" i="1"/>
  <c r="E322" i="1"/>
  <c r="E320" i="1"/>
  <c r="E319" i="1"/>
  <c r="E318" i="1"/>
  <c r="E317" i="1"/>
  <c r="E316" i="1"/>
  <c r="E315" i="1"/>
  <c r="E314" i="1"/>
  <c r="E313" i="1"/>
  <c r="E312" i="1"/>
  <c r="E311" i="1"/>
  <c r="E310" i="1"/>
  <c r="E308" i="1"/>
  <c r="E307" i="1"/>
  <c r="E306" i="1"/>
  <c r="E305" i="1"/>
  <c r="E304" i="1"/>
  <c r="E303" i="1"/>
  <c r="E302" i="1"/>
  <c r="E301" i="1"/>
  <c r="E300" i="1"/>
  <c r="E299" i="1"/>
  <c r="E298" i="1"/>
  <c r="E296" i="1"/>
  <c r="E295" i="1"/>
  <c r="E294" i="1"/>
  <c r="E293" i="1"/>
  <c r="E292" i="1"/>
  <c r="E291" i="1"/>
  <c r="E290" i="1"/>
  <c r="E289" i="1"/>
  <c r="E288" i="1"/>
  <c r="E287" i="1"/>
  <c r="E286" i="1"/>
  <c r="E284" i="1"/>
  <c r="E283" i="1"/>
  <c r="E282" i="1"/>
  <c r="E281" i="1"/>
  <c r="E280" i="1"/>
  <c r="E279" i="1"/>
  <c r="E278" i="1"/>
  <c r="E277" i="1"/>
  <c r="E276" i="1"/>
  <c r="E275" i="1"/>
  <c r="E274" i="1"/>
  <c r="E272" i="1"/>
  <c r="E271" i="1"/>
  <c r="E270" i="1"/>
  <c r="E269" i="1"/>
  <c r="E268" i="1"/>
  <c r="E267" i="1"/>
  <c r="E266" i="1"/>
  <c r="E265" i="1"/>
  <c r="E264" i="1"/>
  <c r="E263" i="1"/>
  <c r="E262" i="1"/>
  <c r="E260" i="1"/>
  <c r="E259" i="1"/>
  <c r="E258" i="1"/>
  <c r="E257" i="1"/>
  <c r="E256" i="1"/>
  <c r="E255" i="1"/>
  <c r="E254" i="1"/>
  <c r="E253" i="1"/>
  <c r="E252" i="1"/>
  <c r="E251" i="1"/>
  <c r="E250" i="1"/>
  <c r="E248" i="1"/>
  <c r="E247" i="1"/>
  <c r="E246" i="1"/>
  <c r="E245" i="1"/>
  <c r="E244" i="1"/>
  <c r="E243" i="1"/>
  <c r="E242" i="1"/>
  <c r="E241" i="1"/>
  <c r="E240" i="1"/>
  <c r="E239" i="1"/>
  <c r="E238" i="1"/>
  <c r="E236" i="1"/>
  <c r="E235" i="1"/>
  <c r="E234" i="1"/>
  <c r="E233" i="1"/>
  <c r="E232" i="1"/>
  <c r="E231" i="1"/>
  <c r="E230" i="1"/>
  <c r="E229" i="1"/>
  <c r="E228" i="1"/>
  <c r="E227" i="1"/>
  <c r="E226" i="1"/>
  <c r="E224" i="1"/>
  <c r="E223" i="1"/>
  <c r="E222" i="1"/>
  <c r="E221" i="1"/>
  <c r="E220" i="1"/>
  <c r="E219" i="1"/>
  <c r="E218" i="1"/>
  <c r="E217" i="1"/>
  <c r="E216" i="1"/>
  <c r="E215" i="1"/>
  <c r="E214" i="1"/>
  <c r="E212" i="1"/>
  <c r="E211" i="1"/>
  <c r="E210" i="1"/>
  <c r="E209" i="1"/>
  <c r="E208" i="1"/>
  <c r="E207" i="1"/>
  <c r="E206" i="1"/>
  <c r="E205" i="1"/>
  <c r="E204" i="1"/>
  <c r="E203" i="1"/>
  <c r="E202" i="1"/>
  <c r="E200" i="1"/>
  <c r="E199" i="1"/>
  <c r="E198" i="1"/>
  <c r="E197" i="1"/>
  <c r="E196" i="1"/>
  <c r="E195" i="1"/>
  <c r="E194" i="1"/>
  <c r="E193" i="1"/>
  <c r="E192" i="1"/>
  <c r="E191" i="1"/>
  <c r="E190" i="1"/>
  <c r="E188" i="1"/>
  <c r="E187" i="1"/>
  <c r="E186" i="1"/>
  <c r="E185" i="1"/>
  <c r="E184" i="1"/>
  <c r="E183" i="1"/>
  <c r="E182" i="1"/>
  <c r="E181" i="1"/>
  <c r="E180" i="1"/>
  <c r="E179" i="1"/>
  <c r="E178" i="1"/>
  <c r="E176" i="1"/>
  <c r="E175" i="1"/>
  <c r="E174" i="1"/>
  <c r="E173" i="1"/>
  <c r="E172" i="1"/>
  <c r="E171" i="1"/>
  <c r="E170" i="1"/>
  <c r="E169" i="1"/>
  <c r="E168" i="1"/>
  <c r="E167" i="1"/>
  <c r="E166" i="1"/>
  <c r="E164" i="1"/>
  <c r="E163" i="1"/>
  <c r="E162" i="1"/>
  <c r="E161" i="1"/>
  <c r="E160" i="1"/>
  <c r="E159" i="1"/>
  <c r="E158" i="1"/>
  <c r="E157" i="1"/>
  <c r="E156" i="1"/>
  <c r="E155" i="1"/>
  <c r="E154" i="1"/>
  <c r="E152" i="1"/>
  <c r="E151" i="1"/>
  <c r="E150" i="1"/>
  <c r="E149" i="1"/>
  <c r="E148" i="1"/>
  <c r="E147" i="1"/>
  <c r="E146" i="1"/>
  <c r="E145" i="1"/>
  <c r="E144" i="1"/>
  <c r="E143" i="1"/>
  <c r="E142" i="1"/>
  <c r="E140" i="1"/>
  <c r="E139" i="1"/>
  <c r="E138" i="1"/>
  <c r="E137" i="1"/>
  <c r="E136" i="1"/>
  <c r="E135" i="1"/>
  <c r="E134" i="1"/>
  <c r="E133" i="1"/>
  <c r="E132" i="1"/>
  <c r="E131" i="1"/>
  <c r="E130" i="1"/>
  <c r="E128" i="1"/>
  <c r="E127" i="1"/>
  <c r="E126" i="1"/>
  <c r="E125" i="1"/>
  <c r="E124" i="1"/>
  <c r="E123" i="1"/>
  <c r="E122" i="1"/>
  <c r="E121" i="1"/>
  <c r="E120" i="1"/>
  <c r="E119" i="1"/>
  <c r="E118" i="1"/>
  <c r="E116" i="1"/>
  <c r="E115" i="1"/>
  <c r="E114" i="1"/>
  <c r="E113" i="1"/>
  <c r="E112" i="1"/>
  <c r="E111" i="1"/>
  <c r="E110" i="1"/>
  <c r="E109" i="1"/>
  <c r="E108" i="1"/>
  <c r="E107" i="1"/>
  <c r="E106" i="1"/>
  <c r="E104" i="1"/>
  <c r="E103" i="1"/>
  <c r="E102" i="1"/>
  <c r="E101" i="1"/>
  <c r="E100" i="1"/>
  <c r="E99" i="1"/>
  <c r="E98" i="1"/>
  <c r="E97" i="1"/>
  <c r="E96" i="1"/>
  <c r="E95" i="1"/>
  <c r="E94" i="1"/>
  <c r="E92" i="1"/>
  <c r="E91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3" i="1"/>
  <c r="E72" i="1"/>
  <c r="E71" i="1"/>
  <c r="E70" i="1"/>
  <c r="E68" i="1"/>
  <c r="E67" i="1"/>
  <c r="E66" i="1"/>
  <c r="E65" i="1"/>
  <c r="E64" i="1"/>
  <c r="E63" i="1"/>
  <c r="E62" i="1"/>
  <c r="E61" i="1"/>
  <c r="E60" i="1"/>
  <c r="E59" i="1"/>
  <c r="E58" i="1"/>
  <c r="E56" i="1"/>
  <c r="E55" i="1"/>
  <c r="E54" i="1"/>
  <c r="E53" i="1"/>
  <c r="E52" i="1"/>
  <c r="E51" i="1"/>
  <c r="E50" i="1"/>
  <c r="E49" i="1"/>
  <c r="E48" i="1"/>
  <c r="E47" i="1"/>
  <c r="E46" i="1"/>
  <c r="E44" i="1"/>
  <c r="E43" i="1"/>
  <c r="E42" i="1"/>
  <c r="E41" i="1"/>
  <c r="E40" i="1"/>
  <c r="E39" i="1"/>
  <c r="E38" i="1"/>
  <c r="E37" i="1"/>
  <c r="E36" i="1"/>
  <c r="E35" i="1"/>
  <c r="E34" i="1"/>
  <c r="D33" i="1"/>
  <c r="E32" i="1"/>
  <c r="E31" i="1"/>
  <c r="E30" i="1"/>
  <c r="E29" i="1"/>
  <c r="E28" i="1"/>
  <c r="E27" i="1"/>
  <c r="E26" i="1"/>
  <c r="E25" i="1"/>
  <c r="M24" i="1"/>
  <c r="E24" i="1"/>
  <c r="E23" i="1"/>
  <c r="E22" i="1"/>
  <c r="D21" i="1"/>
  <c r="M34" i="1" l="1"/>
  <c r="M32" i="1"/>
  <c r="B33" i="1"/>
  <c r="B21" i="1"/>
  <c r="C21" i="1" s="1"/>
  <c r="C33" i="1"/>
  <c r="M36" i="1"/>
  <c r="D45" i="1"/>
  <c r="M44" i="1"/>
  <c r="M22" i="1"/>
  <c r="D69" i="1"/>
  <c r="D57" i="1"/>
  <c r="D9" i="1"/>
  <c r="B9" i="1" s="1"/>
  <c r="C9" i="1" s="1"/>
  <c r="A8" i="1"/>
  <c r="M72" i="1" l="1"/>
  <c r="M80" i="1"/>
  <c r="M70" i="1"/>
  <c r="B69" i="1"/>
  <c r="C69" i="1" s="1"/>
  <c r="D81" i="1"/>
  <c r="C57" i="1"/>
  <c r="B57" i="1"/>
  <c r="M68" i="1"/>
  <c r="M60" i="1"/>
  <c r="M58" i="1"/>
  <c r="M56" i="1"/>
  <c r="M46" i="1"/>
  <c r="M48" i="1"/>
  <c r="C45" i="1"/>
  <c r="B45" i="1"/>
  <c r="M20" i="1"/>
  <c r="M10" i="1"/>
  <c r="M12" i="1"/>
  <c r="M92" i="1" l="1"/>
  <c r="M82" i="1"/>
  <c r="B81" i="1"/>
  <c r="C81" i="1" s="1"/>
  <c r="M84" i="1"/>
  <c r="D93" i="1"/>
  <c r="E11" i="1"/>
  <c r="E12" i="1"/>
  <c r="E13" i="1"/>
  <c r="E14" i="1"/>
  <c r="E15" i="1"/>
  <c r="E16" i="1"/>
  <c r="E17" i="1"/>
  <c r="E18" i="1"/>
  <c r="E19" i="1"/>
  <c r="E20" i="1"/>
  <c r="E10" i="1"/>
  <c r="M104" i="1" l="1"/>
  <c r="C93" i="1"/>
  <c r="M94" i="1"/>
  <c r="M96" i="1"/>
  <c r="B93" i="1"/>
  <c r="D105" i="1"/>
  <c r="M116" i="1" l="1"/>
  <c r="M106" i="1"/>
  <c r="M108" i="1"/>
  <c r="C105" i="1"/>
  <c r="B105" i="1"/>
  <c r="D117" i="1"/>
  <c r="D129" i="1" l="1"/>
  <c r="M120" i="1"/>
  <c r="B117" i="1"/>
  <c r="C117" i="1" s="1"/>
  <c r="M118" i="1"/>
  <c r="M128" i="1"/>
  <c r="M132" i="1" l="1"/>
  <c r="M130" i="1"/>
  <c r="B129" i="1"/>
  <c r="C129" i="1" s="1"/>
  <c r="M140" i="1"/>
  <c r="D141" i="1"/>
  <c r="M144" i="1" l="1"/>
  <c r="B141" i="1"/>
  <c r="C141" i="1" s="1"/>
  <c r="M152" i="1"/>
  <c r="M142" i="1"/>
  <c r="D153" i="1"/>
  <c r="M164" i="1" l="1"/>
  <c r="M154" i="1"/>
  <c r="M156" i="1"/>
  <c r="B153" i="1"/>
  <c r="C153" i="1" s="1"/>
  <c r="D165" i="1"/>
  <c r="M166" i="1" l="1"/>
  <c r="B165" i="1"/>
  <c r="C165" i="1" s="1"/>
  <c r="M176" i="1"/>
  <c r="M168" i="1"/>
  <c r="D177" i="1"/>
  <c r="B177" i="1" l="1"/>
  <c r="M188" i="1"/>
  <c r="M178" i="1"/>
  <c r="M180" i="1"/>
  <c r="C177" i="1"/>
  <c r="D189" i="1"/>
  <c r="M192" i="1" l="1"/>
  <c r="B189" i="1"/>
  <c r="C189" i="1" s="1"/>
  <c r="M200" i="1"/>
  <c r="M190" i="1"/>
  <c r="D201" i="1"/>
  <c r="M204" i="1" l="1"/>
  <c r="M202" i="1"/>
  <c r="B201" i="1"/>
  <c r="C201" i="1" s="1"/>
  <c r="M212" i="1"/>
  <c r="D213" i="1"/>
  <c r="M216" i="1" l="1"/>
  <c r="B213" i="1"/>
  <c r="C213" i="1" s="1"/>
  <c r="M224" i="1"/>
  <c r="M214" i="1"/>
  <c r="D225" i="1"/>
  <c r="M236" i="1" l="1"/>
  <c r="M226" i="1"/>
  <c r="B225" i="1"/>
  <c r="C225" i="1" s="1"/>
  <c r="M228" i="1"/>
  <c r="D237" i="1"/>
  <c r="M248" i="1" l="1"/>
  <c r="M240" i="1"/>
  <c r="B237" i="1"/>
  <c r="C237" i="1" s="1"/>
  <c r="M238" i="1"/>
  <c r="D249" i="1"/>
  <c r="B249" i="1" l="1"/>
  <c r="M260" i="1"/>
  <c r="M250" i="1"/>
  <c r="M252" i="1"/>
  <c r="C249" i="1"/>
  <c r="D261" i="1"/>
  <c r="M264" i="1" l="1"/>
  <c r="B261" i="1"/>
  <c r="C261" i="1" s="1"/>
  <c r="M272" i="1"/>
  <c r="M262" i="1"/>
  <c r="D273" i="1"/>
  <c r="M276" i="1" l="1"/>
  <c r="B273" i="1"/>
  <c r="C273" i="1" s="1"/>
  <c r="M274" i="1"/>
  <c r="M284" i="1"/>
  <c r="D285" i="1"/>
  <c r="M288" i="1" l="1"/>
  <c r="B285" i="1"/>
  <c r="C285" i="1" s="1"/>
  <c r="M296" i="1"/>
  <c r="M286" i="1"/>
  <c r="D297" i="1"/>
  <c r="M308" i="1" l="1"/>
  <c r="M298" i="1"/>
  <c r="B297" i="1"/>
  <c r="M300" i="1"/>
  <c r="C297" i="1"/>
  <c r="D309" i="1"/>
  <c r="M310" i="1" l="1"/>
  <c r="M320" i="1"/>
  <c r="M312" i="1"/>
  <c r="B309" i="1"/>
  <c r="C309" i="1" s="1"/>
  <c r="D321" i="1"/>
  <c r="B321" i="1" l="1"/>
  <c r="M332" i="1"/>
  <c r="M322" i="1"/>
  <c r="M324" i="1"/>
  <c r="C321" i="1"/>
  <c r="D333" i="1"/>
  <c r="M336" i="1" l="1"/>
  <c r="B333" i="1"/>
  <c r="C333" i="1" s="1"/>
  <c r="M344" i="1"/>
  <c r="M334" i="1"/>
  <c r="D345" i="1"/>
  <c r="M346" i="1" l="1"/>
  <c r="M348" i="1"/>
  <c r="M356" i="1"/>
  <c r="B345" i="1"/>
  <c r="C345" i="1" s="1"/>
  <c r="D357" i="1"/>
  <c r="M360" i="1" l="1"/>
  <c r="B357" i="1"/>
  <c r="C357" i="1" s="1"/>
  <c r="M368" i="1"/>
  <c r="M358" i="1"/>
  <c r="D369" i="1"/>
  <c r="M380" i="1" l="1"/>
  <c r="M370" i="1"/>
  <c r="B369" i="1"/>
  <c r="C369" i="1" s="1"/>
  <c r="M372" i="1"/>
  <c r="D381" i="1"/>
  <c r="M392" i="1" l="1"/>
  <c r="M382" i="1"/>
  <c r="B381" i="1"/>
  <c r="C381" i="1" s="1"/>
  <c r="M384" i="1"/>
  <c r="D393" i="1"/>
  <c r="B393" i="1" l="1"/>
  <c r="M404" i="1"/>
  <c r="M394" i="1"/>
  <c r="M396" i="1"/>
  <c r="C393" i="1"/>
  <c r="D405" i="1"/>
  <c r="M408" i="1" l="1"/>
  <c r="B405" i="1"/>
  <c r="C405" i="1" s="1"/>
  <c r="M416" i="1"/>
  <c r="M406" i="1"/>
  <c r="D417" i="1"/>
  <c r="M420" i="1" l="1"/>
  <c r="B417" i="1"/>
  <c r="C417" i="1" s="1"/>
  <c r="M428" i="1"/>
  <c r="M418" i="1"/>
  <c r="D429" i="1"/>
  <c r="M432" i="1" l="1"/>
  <c r="B429" i="1"/>
  <c r="C429" i="1" s="1"/>
  <c r="M440" i="1"/>
  <c r="M430" i="1"/>
  <c r="D441" i="1"/>
  <c r="M452" i="1" l="1"/>
  <c r="M442" i="1"/>
  <c r="B441" i="1"/>
  <c r="M444" i="1"/>
  <c r="C441" i="1"/>
  <c r="D453" i="1"/>
  <c r="M464" i="1" l="1"/>
  <c r="M454" i="1"/>
  <c r="B453" i="1"/>
  <c r="C453" i="1" s="1"/>
  <c r="M456" i="1"/>
  <c r="D465" i="1"/>
  <c r="B465" i="1" l="1"/>
  <c r="M476" i="1"/>
  <c r="M466" i="1"/>
  <c r="M468" i="1"/>
  <c r="C465" i="1"/>
  <c r="D477" i="1"/>
  <c r="M480" i="1" l="1"/>
  <c r="B477" i="1"/>
  <c r="C477" i="1" s="1"/>
  <c r="M488" i="1"/>
  <c r="M478" i="1"/>
  <c r="D489" i="1"/>
  <c r="M500" i="1" l="1"/>
  <c r="M492" i="1"/>
  <c r="B489" i="1"/>
  <c r="C489" i="1" s="1"/>
  <c r="M490" i="1"/>
  <c r="D501" i="1"/>
  <c r="M504" i="1" l="1"/>
  <c r="B501" i="1"/>
  <c r="C501" i="1" s="1"/>
  <c r="M512" i="1"/>
  <c r="M502" i="1"/>
  <c r="D513" i="1"/>
  <c r="M524" i="1" l="1"/>
  <c r="M514" i="1"/>
  <c r="M516" i="1"/>
  <c r="B513" i="1"/>
  <c r="C513" i="1" s="1"/>
  <c r="D525" i="1"/>
  <c r="M536" i="1" l="1"/>
  <c r="M526" i="1"/>
  <c r="M528" i="1"/>
  <c r="B525" i="1"/>
  <c r="C525" i="1" s="1"/>
  <c r="D537" i="1"/>
  <c r="B537" i="1" l="1"/>
  <c r="M548" i="1"/>
  <c r="M538" i="1"/>
  <c r="M540" i="1"/>
  <c r="C537" i="1"/>
  <c r="D549" i="1"/>
  <c r="M552" i="1" l="1"/>
  <c r="B549" i="1"/>
  <c r="C549" i="1" s="1"/>
  <c r="M560" i="1"/>
  <c r="M550" i="1"/>
  <c r="D561" i="1"/>
  <c r="M572" i="1" l="1"/>
  <c r="M564" i="1"/>
  <c r="M562" i="1"/>
  <c r="B561" i="1"/>
  <c r="C561" i="1" s="1"/>
  <c r="D573" i="1"/>
  <c r="M576" i="1" l="1"/>
  <c r="B573" i="1"/>
  <c r="C573" i="1" s="1"/>
  <c r="M584" i="1"/>
  <c r="M574" i="1"/>
  <c r="D585" i="1"/>
  <c r="M596" i="1" l="1"/>
  <c r="M586" i="1"/>
  <c r="B585" i="1"/>
  <c r="C585" i="1" s="1"/>
  <c r="M588" i="1"/>
</calcChain>
</file>

<file path=xl/sharedStrings.xml><?xml version="1.0" encoding="utf-8"?>
<sst xmlns="http://schemas.openxmlformats.org/spreadsheetml/2006/main" count="1510" uniqueCount="252">
  <si>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</si>
  <si>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</si>
  <si>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</si>
  <si>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</si>
  <si>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</si>
  <si>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</si>
  <si>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</si>
  <si>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</si>
  <si>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</si>
  <si>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</si>
  <si>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</si>
  <si>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</si>
  <si>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</si>
  <si>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</si>
  <si>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</si>
  <si>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</si>
  <si>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</si>
  <si>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</si>
  <si>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</si>
  <si>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</si>
  <si>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</si>
  <si>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</si>
  <si>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</si>
  <si>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</si>
  <si>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</si>
  <si>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</si>
  <si>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</si>
  <si>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</si>
  <si>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</si>
  <si>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</si>
  <si>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</si>
  <si>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</si>
  <si>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</si>
  <si>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</si>
  <si>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</si>
  <si>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</si>
  <si>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</si>
  <si>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</si>
  <si>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</si>
  <si>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</si>
  <si>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</si>
  <si>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</si>
  <si>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</si>
  <si>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</si>
  <si>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</si>
  <si>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</si>
  <si>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</si>
  <si>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</si>
  <si>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</si>
  <si>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</si>
  <si>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</si>
  <si>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</si>
  <si>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</si>
  <si>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</si>
  <si>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</si>
  <si>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</si>
  <si>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</si>
  <si>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</si>
  <si>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</si>
  <si>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</si>
  <si>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</si>
  <si>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</si>
  <si>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</si>
  <si>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</si>
  <si>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</si>
  <si>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</si>
  <si>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</si>
  <si>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</si>
  <si>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</si>
  <si>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</si>
  <si>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</si>
  <si>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</si>
  <si>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</si>
  <si>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</si>
  <si>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</si>
  <si>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</si>
  <si>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</si>
  <si>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</si>
  <si>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</si>
  <si>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</si>
  <si>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</si>
  <si>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</si>
  <si>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</si>
  <si>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</si>
  <si>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</si>
  <si>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</si>
  <si>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</si>
  <si>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</si>
  <si>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</si>
  <si>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</si>
  <si>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</si>
  <si>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</si>
  <si>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</si>
  <si>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</si>
  <si>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</si>
  <si>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</si>
  <si>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</si>
  <si>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</si>
  <si>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</si>
  <si>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</si>
  <si>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</si>
  <si>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</si>
  <si>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</si>
  <si>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</si>
  <si>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</si>
  <si>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</si>
  <si>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</si>
  <si>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</si>
  <si>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</si>
  <si>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</si>
  <si>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</si>
  <si>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</si>
  <si>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</si>
  <si>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</si>
  <si>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</si>
  <si>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</si>
  <si>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</si>
  <si>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</si>
  <si>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</si>
  <si>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</si>
  <si>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</si>
  <si>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</si>
  <si>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</si>
  <si>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</si>
  <si>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</si>
  <si>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</si>
  <si>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</si>
  <si>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</si>
  <si>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</si>
  <si>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</si>
  <si>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</si>
  <si>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</si>
  <si>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</si>
  <si>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</si>
  <si>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</si>
  <si>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</si>
  <si>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</si>
  <si>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</si>
  <si>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</si>
  <si>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</si>
  <si>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</si>
  <si>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</si>
  <si>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</si>
  <si>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加角度</t>
  </si>
  <si>
    <t>啟動依ID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</si>
  <si>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</si>
  <si>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</si>
  <si>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</si>
  <si>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</si>
  <si>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</si>
  <si>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</si>
  <si>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</si>
  <si>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</si>
  <si>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</si>
  <si>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</si>
  <si>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</si>
  <si>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</si>
  <si>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</si>
  <si>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</si>
  <si>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</si>
  <si>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</si>
  <si>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</si>
  <si>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</si>
  <si>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</si>
  <si>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</si>
  <si>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</si>
  <si>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</si>
  <si>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</si>
  <si>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</si>
  <si>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</si>
  <si>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</si>
  <si>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</si>
  <si>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</si>
  <si>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</si>
  <si>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</si>
  <si>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</si>
  <si>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</si>
  <si>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</si>
  <si>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</si>
  <si>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</si>
  <si>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</si>
  <si>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</si>
  <si>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</si>
  <si>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</si>
  <si>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</si>
  <si>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</si>
  <si>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</si>
  <si>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</si>
  <si>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</si>
  <si>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</si>
  <si>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</si>
  <si>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</si>
  <si>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</si>
  <si>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</si>
  <si>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</si>
  <si>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</si>
  <si>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</si>
  <si>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</si>
  <si>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</si>
  <si>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</si>
  <si>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</si>
  <si>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</si>
  <si>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</si>
  <si>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</si>
  <si>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</si>
  <si>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</si>
  <si>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</si>
  <si>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</si>
  <si>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</si>
  <si>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</si>
  <si>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</si>
  <si>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</si>
  <si>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</si>
  <si>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</si>
  <si>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</si>
  <si>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</si>
  <si>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</si>
  <si>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</si>
  <si>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</si>
  <si>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</si>
  <si>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</si>
  <si>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</si>
  <si>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</si>
  <si>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</si>
  <si>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</si>
  <si>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</si>
  <si>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</si>
  <si>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</si>
  <si>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7</t>
    <phoneticPr fontId="2" type="noConversion"/>
  </si>
  <si>
    <t>-1</t>
  </si>
  <si>
    <t>-1</t>
    <phoneticPr fontId="2" type="noConversion"/>
  </si>
  <si>
    <t>EnemyShot2</t>
  </si>
  <si>
    <t>Shot2_purple</t>
  </si>
  <si>
    <t>1,3</t>
  </si>
  <si>
    <t>15</t>
  </si>
  <si>
    <t>15</t>
    <phoneticPr fontId="2" type="noConversion"/>
  </si>
  <si>
    <t>BOSSLEAVE</t>
    <phoneticPr fontId="2" type="noConversion"/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</si>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</sst>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644"/>
  <sheetViews>
    <sheetView zoomScale="115" zoomScaleNormal="115" workbookViewId="0">
      <pane ySplit="1" topLeftCell="A5" activePane="bottomLeft" state="frozen"/>
      <selection pane="bottomLeft" activeCell="K7" sqref="K7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7" width="10.375" style="9" customWidth="1"/>
    <col min="8" max="9" width="7.375" style="9" customWidth="1"/>
    <col min="10" max="10" width="9" style="9"/>
    <col min="11" max="11" width="16" style="9" customWidth="1"/>
    <col min="12" max="12" width="22.375" style="9" customWidth="1"/>
    <col min="13" max="13" width="24.375" style="23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1"/>
      <c r="B1" s="21"/>
      <c r="C1" s="21"/>
      <c r="D1" s="21"/>
      <c r="E1" s="17" t="s">
        <v>49</v>
      </c>
      <c r="F1" s="19" t="s">
        <v>27</v>
      </c>
      <c r="G1" s="19"/>
      <c r="K1" s="17" t="s">
        <v>140</v>
      </c>
      <c r="L1" s="17" t="s">
        <v>141</v>
      </c>
      <c r="M1" s="23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56">
      <c r="E2" s="4"/>
    </row>
    <row r="3" spans="1:56">
      <c r="E3" s="4"/>
    </row>
    <row r="4" spans="1:56">
      <c r="E4" s="4"/>
    </row>
    <row r="5" spans="1:56">
      <c r="E5" s="4"/>
    </row>
    <row r="6" spans="1:56">
      <c r="E6" s="4"/>
    </row>
    <row r="7" spans="1:56">
      <c r="E7" s="4"/>
    </row>
    <row r="8" spans="1:56">
      <c r="A8" s="23">
        <f>G10*H10</f>
        <v>49</v>
      </c>
      <c r="B8" s="9"/>
      <c r="C8" s="9"/>
      <c r="D8" s="9"/>
      <c r="E8" s="4"/>
    </row>
    <row r="9" spans="1:56">
      <c r="A9" s="9" t="s">
        <v>227</v>
      </c>
      <c r="B9" s="23">
        <f>QUOTIENT( D9-1,G10)+1</f>
        <v>1</v>
      </c>
      <c r="C9" s="23">
        <f>D9-(B9-1)*G10</f>
        <v>1</v>
      </c>
      <c r="D9" s="23">
        <f>COUNT($D8:$D$8)+1</f>
        <v>1</v>
      </c>
      <c r="E9" s="4"/>
    </row>
    <row r="10" spans="1:56">
      <c r="E10" s="4">
        <f t="shared" ref="E10:E73" si="0">ROW(E10)</f>
        <v>10</v>
      </c>
      <c r="F10" s="9" t="s">
        <v>93</v>
      </c>
      <c r="G10" s="9" t="s">
        <v>228</v>
      </c>
      <c r="H10" s="9" t="s">
        <v>228</v>
      </c>
      <c r="J10" s="23">
        <v>11200</v>
      </c>
      <c r="M10" s="23">
        <f>$J$10+D9</f>
        <v>11201</v>
      </c>
    </row>
    <row r="11" spans="1:56">
      <c r="E11" s="4">
        <f t="shared" si="0"/>
        <v>11</v>
      </c>
      <c r="F11" s="9" t="s">
        <v>144</v>
      </c>
      <c r="M11" s="23">
        <v>104020</v>
      </c>
    </row>
    <row r="12" spans="1:56">
      <c r="E12" s="4">
        <f t="shared" si="0"/>
        <v>12</v>
      </c>
      <c r="F12" s="9" t="s">
        <v>126</v>
      </c>
      <c r="G12" s="23">
        <v>10</v>
      </c>
      <c r="I12" s="23">
        <v>11</v>
      </c>
      <c r="J12" s="9" t="s">
        <v>230</v>
      </c>
      <c r="M12" s="23">
        <f>G12*D9+$I$12+D9*J12</f>
        <v>20</v>
      </c>
    </row>
    <row r="13" spans="1:56">
      <c r="E13" s="4">
        <f t="shared" si="0"/>
        <v>13</v>
      </c>
      <c r="F13" s="9" t="s">
        <v>35</v>
      </c>
      <c r="M13" s="23">
        <v>1000</v>
      </c>
    </row>
    <row r="14" spans="1:56">
      <c r="E14" s="4">
        <f t="shared" si="0"/>
        <v>14</v>
      </c>
      <c r="F14" s="9" t="s">
        <v>29</v>
      </c>
      <c r="M14" s="23" t="s">
        <v>231</v>
      </c>
    </row>
    <row r="15" spans="1:56">
      <c r="E15" s="4">
        <f t="shared" si="0"/>
        <v>15</v>
      </c>
      <c r="F15" s="9" t="s">
        <v>118</v>
      </c>
      <c r="M15" s="23" t="s">
        <v>232</v>
      </c>
    </row>
    <row r="16" spans="1:56">
      <c r="E16" s="4">
        <f t="shared" si="0"/>
        <v>16</v>
      </c>
      <c r="F16" s="9" t="s">
        <v>114</v>
      </c>
      <c r="M16" s="23" t="b">
        <v>1</v>
      </c>
    </row>
    <row r="17" spans="1:13">
      <c r="E17" s="4">
        <f t="shared" si="0"/>
        <v>17</v>
      </c>
      <c r="F17" s="9" t="s">
        <v>98</v>
      </c>
      <c r="K17" s="9" t="s">
        <v>137</v>
      </c>
      <c r="M17" s="23">
        <v>2</v>
      </c>
    </row>
    <row r="18" spans="1:13">
      <c r="E18" s="4">
        <f t="shared" si="0"/>
        <v>18</v>
      </c>
      <c r="F18" s="9" t="s">
        <v>30</v>
      </c>
      <c r="M18" s="23">
        <v>4.07</v>
      </c>
    </row>
    <row r="19" spans="1:13">
      <c r="E19" s="4">
        <f t="shared" si="0"/>
        <v>19</v>
      </c>
      <c r="F19" s="9" t="s">
        <v>31</v>
      </c>
      <c r="G19" s="23"/>
      <c r="I19" s="23"/>
      <c r="L19" s="9" t="s">
        <v>135</v>
      </c>
      <c r="M19" s="23" t="s">
        <v>233</v>
      </c>
    </row>
    <row r="20" spans="1:13">
      <c r="E20" s="4">
        <f t="shared" si="0"/>
        <v>20</v>
      </c>
      <c r="F20" s="9" t="s">
        <v>143</v>
      </c>
      <c r="G20" s="23">
        <v>45</v>
      </c>
      <c r="H20" s="23">
        <v>-45</v>
      </c>
      <c r="I20" s="23">
        <v>-15</v>
      </c>
      <c r="J20" s="9" t="s">
        <v>235</v>
      </c>
      <c r="L20" s="9" t="s">
        <v>134</v>
      </c>
      <c r="M20" s="23">
        <f>IF(MOD(QUOTIENT(D9-1,$G$10),2)=0,$G$20+$I$20*MOD(D9-1,$G$10),$H$20+$J$20*MOD(D9-1,$G$10))</f>
        <v>45</v>
      </c>
    </row>
    <row r="21" spans="1:13">
      <c r="A21" s="22" t="s">
        <v>227</v>
      </c>
      <c r="B21" s="22">
        <f t="shared" ref="B21" si="1">QUOTIENT( D21-1,G22)+1</f>
        <v>1</v>
      </c>
      <c r="C21" s="22">
        <f t="shared" ref="C21" si="2">D21-(B21-1)*G22</f>
        <v>2</v>
      </c>
      <c r="D21" s="22">
        <f>COUNT($D$8:$D20)+1</f>
        <v>2</v>
      </c>
      <c r="E21" s="4"/>
    </row>
    <row r="22" spans="1:13">
      <c r="E22" s="4">
        <f t="shared" si="0"/>
        <v>22</v>
      </c>
      <c r="F22" s="9" t="s">
        <v>93</v>
      </c>
      <c r="G22" s="9" t="s">
        <v>39</v>
      </c>
      <c r="H22" s="9" t="s">
        <v>39</v>
      </c>
      <c r="J22" s="9">
        <v>11200</v>
      </c>
      <c r="M22" s="23">
        <f t="shared" ref="M22" si="3">$J$10+D21</f>
        <v>11202</v>
      </c>
    </row>
    <row r="23" spans="1:13">
      <c r="E23" s="4">
        <f t="shared" si="0"/>
        <v>23</v>
      </c>
      <c r="F23" s="9" t="s">
        <v>144</v>
      </c>
      <c r="M23" s="23">
        <v>104020</v>
      </c>
    </row>
    <row r="24" spans="1:13">
      <c r="E24" s="4">
        <f t="shared" si="0"/>
        <v>24</v>
      </c>
      <c r="F24" s="9" t="s">
        <v>126</v>
      </c>
      <c r="G24" s="9">
        <v>10</v>
      </c>
      <c r="I24" s="9">
        <v>11</v>
      </c>
      <c r="J24" s="9" t="s">
        <v>229</v>
      </c>
      <c r="M24" s="23">
        <f t="shared" ref="M24" si="4">G24*D21+$I$12+D21*J24</f>
        <v>29</v>
      </c>
    </row>
    <row r="25" spans="1:13">
      <c r="E25" s="4">
        <f t="shared" si="0"/>
        <v>25</v>
      </c>
      <c r="F25" s="9" t="s">
        <v>35</v>
      </c>
      <c r="M25" s="23">
        <v>1000</v>
      </c>
    </row>
    <row r="26" spans="1:13">
      <c r="E26" s="4">
        <f t="shared" si="0"/>
        <v>26</v>
      </c>
      <c r="F26" s="9" t="s">
        <v>29</v>
      </c>
      <c r="M26" s="23" t="s">
        <v>231</v>
      </c>
    </row>
    <row r="27" spans="1:13">
      <c r="E27" s="4">
        <f t="shared" si="0"/>
        <v>27</v>
      </c>
      <c r="F27" s="9" t="s">
        <v>118</v>
      </c>
      <c r="M27" s="23" t="s">
        <v>232</v>
      </c>
    </row>
    <row r="28" spans="1:13">
      <c r="E28" s="4">
        <f t="shared" si="0"/>
        <v>28</v>
      </c>
      <c r="F28" s="9" t="s">
        <v>114</v>
      </c>
      <c r="M28" s="23" t="b">
        <v>1</v>
      </c>
    </row>
    <row r="29" spans="1:13">
      <c r="E29" s="4">
        <f t="shared" si="0"/>
        <v>29</v>
      </c>
      <c r="F29" s="9" t="s">
        <v>98</v>
      </c>
      <c r="K29" s="9" t="s">
        <v>137</v>
      </c>
      <c r="M29" s="23">
        <v>2</v>
      </c>
    </row>
    <row r="30" spans="1:13">
      <c r="E30" s="4">
        <f t="shared" si="0"/>
        <v>30</v>
      </c>
      <c r="F30" s="9" t="s">
        <v>30</v>
      </c>
      <c r="M30" s="23">
        <v>4.07</v>
      </c>
    </row>
    <row r="31" spans="1:13">
      <c r="E31" s="4">
        <f t="shared" si="0"/>
        <v>31</v>
      </c>
      <c r="F31" s="9" t="s">
        <v>31</v>
      </c>
      <c r="L31" s="9" t="s">
        <v>135</v>
      </c>
      <c r="M31" s="23" t="s">
        <v>233</v>
      </c>
    </row>
    <row r="32" spans="1:13">
      <c r="E32" s="4">
        <f t="shared" si="0"/>
        <v>32</v>
      </c>
      <c r="F32" s="9" t="s">
        <v>143</v>
      </c>
      <c r="G32" s="9">
        <v>45</v>
      </c>
      <c r="H32" s="9">
        <v>-45</v>
      </c>
      <c r="I32" s="9">
        <v>-15</v>
      </c>
      <c r="J32" s="9" t="s">
        <v>234</v>
      </c>
      <c r="L32" s="9" t="s">
        <v>134</v>
      </c>
      <c r="M32" s="23">
        <f t="shared" ref="M32" si="5">IF(MOD(QUOTIENT(D21-1,$G$10),2)=0,$G$20+$I$20*MOD(D21-1,$G$10),$H$20+$J$20*MOD(D21-1,$G$10))</f>
        <v>30</v>
      </c>
    </row>
    <row r="33" spans="1:13">
      <c r="A33" s="22" t="s">
        <v>227</v>
      </c>
      <c r="B33" s="22">
        <f t="shared" ref="B33" si="6">QUOTIENT( D33-1,G34)+1</f>
        <v>1</v>
      </c>
      <c r="C33" s="22">
        <f t="shared" ref="C33" si="7">D33-(B33-1)*G34</f>
        <v>3</v>
      </c>
      <c r="D33" s="22">
        <f>COUNT($D$8:$D32)+1</f>
        <v>3</v>
      </c>
      <c r="E33" s="4"/>
    </row>
    <row r="34" spans="1:13">
      <c r="E34" s="4">
        <f t="shared" si="0"/>
        <v>34</v>
      </c>
      <c r="F34" s="9" t="s">
        <v>93</v>
      </c>
      <c r="G34" s="9" t="s">
        <v>39</v>
      </c>
      <c r="H34" s="9" t="s">
        <v>39</v>
      </c>
      <c r="J34" s="9">
        <v>11200</v>
      </c>
      <c r="M34" s="23">
        <f t="shared" ref="M34" si="8">$J$10+D33</f>
        <v>11203</v>
      </c>
    </row>
    <row r="35" spans="1:13">
      <c r="E35" s="4">
        <f t="shared" si="0"/>
        <v>35</v>
      </c>
      <c r="F35" s="9" t="s">
        <v>144</v>
      </c>
      <c r="M35" s="23">
        <v>104020</v>
      </c>
    </row>
    <row r="36" spans="1:13">
      <c r="E36" s="4">
        <f t="shared" si="0"/>
        <v>36</v>
      </c>
      <c r="F36" s="9" t="s">
        <v>126</v>
      </c>
      <c r="G36" s="9">
        <v>10</v>
      </c>
      <c r="I36" s="9">
        <v>11</v>
      </c>
      <c r="J36" s="9" t="s">
        <v>229</v>
      </c>
      <c r="M36" s="23">
        <f t="shared" ref="M36" si="9">G36*D33+$I$12+D33*J36</f>
        <v>38</v>
      </c>
    </row>
    <row r="37" spans="1:13">
      <c r="E37" s="4">
        <f t="shared" si="0"/>
        <v>37</v>
      </c>
      <c r="F37" s="9" t="s">
        <v>35</v>
      </c>
      <c r="M37" s="23">
        <v>1000</v>
      </c>
    </row>
    <row r="38" spans="1:13">
      <c r="E38" s="4">
        <f t="shared" si="0"/>
        <v>38</v>
      </c>
      <c r="F38" s="9" t="s">
        <v>29</v>
      </c>
      <c r="M38" s="23" t="s">
        <v>231</v>
      </c>
    </row>
    <row r="39" spans="1:13">
      <c r="E39" s="4">
        <f t="shared" si="0"/>
        <v>39</v>
      </c>
      <c r="F39" s="9" t="s">
        <v>118</v>
      </c>
      <c r="M39" s="23" t="s">
        <v>232</v>
      </c>
    </row>
    <row r="40" spans="1:13">
      <c r="E40" s="4">
        <f t="shared" si="0"/>
        <v>40</v>
      </c>
      <c r="F40" s="9" t="s">
        <v>114</v>
      </c>
      <c r="M40" s="23" t="b">
        <v>1</v>
      </c>
    </row>
    <row r="41" spans="1:13">
      <c r="E41" s="4">
        <f t="shared" si="0"/>
        <v>41</v>
      </c>
      <c r="F41" s="9" t="s">
        <v>98</v>
      </c>
      <c r="K41" s="9" t="s">
        <v>137</v>
      </c>
      <c r="M41" s="23">
        <v>2</v>
      </c>
    </row>
    <row r="42" spans="1:13">
      <c r="E42" s="4">
        <f t="shared" si="0"/>
        <v>42</v>
      </c>
      <c r="F42" s="9" t="s">
        <v>30</v>
      </c>
      <c r="M42" s="23">
        <v>4.07</v>
      </c>
    </row>
    <row r="43" spans="1:13">
      <c r="E43" s="4">
        <f t="shared" si="0"/>
        <v>43</v>
      </c>
      <c r="F43" s="9" t="s">
        <v>31</v>
      </c>
      <c r="L43" s="9" t="s">
        <v>135</v>
      </c>
      <c r="M43" s="23" t="s">
        <v>233</v>
      </c>
    </row>
    <row r="44" spans="1:13">
      <c r="E44" s="4">
        <f t="shared" si="0"/>
        <v>44</v>
      </c>
      <c r="F44" s="9" t="s">
        <v>143</v>
      </c>
      <c r="G44" s="9">
        <v>45</v>
      </c>
      <c r="H44" s="9">
        <v>-45</v>
      </c>
      <c r="I44" s="9">
        <v>-15</v>
      </c>
      <c r="J44" s="9" t="s">
        <v>234</v>
      </c>
      <c r="L44" s="9" t="s">
        <v>134</v>
      </c>
      <c r="M44" s="23">
        <f t="shared" ref="M44" si="10">IF(MOD(QUOTIENT(D33-1,$G$10),2)=0,$G$20+$I$20*MOD(D33-1,$G$10),$H$20+$J$20*MOD(D33-1,$G$10))</f>
        <v>15</v>
      </c>
    </row>
    <row r="45" spans="1:13">
      <c r="A45" s="22" t="s">
        <v>227</v>
      </c>
      <c r="B45" s="22">
        <f t="shared" ref="B45" si="11">QUOTIENT( D45-1,G46)+1</f>
        <v>1</v>
      </c>
      <c r="C45" s="22">
        <f t="shared" ref="C45" si="12">D45-(B45-1)*G46</f>
        <v>4</v>
      </c>
      <c r="D45" s="22">
        <f>COUNT($D$8:$D44)+1</f>
        <v>4</v>
      </c>
      <c r="E45" s="4"/>
    </row>
    <row r="46" spans="1:13">
      <c r="E46" s="4">
        <f t="shared" si="0"/>
        <v>46</v>
      </c>
      <c r="F46" s="9" t="s">
        <v>93</v>
      </c>
      <c r="G46" s="9" t="s">
        <v>39</v>
      </c>
      <c r="H46" s="9" t="s">
        <v>39</v>
      </c>
      <c r="J46" s="9">
        <v>11200</v>
      </c>
      <c r="M46" s="23">
        <f t="shared" ref="M46" si="13">$J$10+D45</f>
        <v>11204</v>
      </c>
    </row>
    <row r="47" spans="1:13">
      <c r="E47" s="4">
        <f t="shared" si="0"/>
        <v>47</v>
      </c>
      <c r="F47" s="9" t="s">
        <v>144</v>
      </c>
      <c r="M47" s="23">
        <v>104020</v>
      </c>
    </row>
    <row r="48" spans="1:13">
      <c r="E48" s="4">
        <f t="shared" si="0"/>
        <v>48</v>
      </c>
      <c r="F48" s="9" t="s">
        <v>126</v>
      </c>
      <c r="G48" s="9">
        <v>10</v>
      </c>
      <c r="I48" s="9">
        <v>11</v>
      </c>
      <c r="J48" s="9" t="s">
        <v>229</v>
      </c>
      <c r="M48" s="23">
        <f t="shared" ref="M48" si="14">G48*D45+$I$12+D45*J48</f>
        <v>47</v>
      </c>
    </row>
    <row r="49" spans="1:13">
      <c r="E49" s="4">
        <f t="shared" si="0"/>
        <v>49</v>
      </c>
      <c r="F49" s="9" t="s">
        <v>35</v>
      </c>
      <c r="M49" s="23">
        <v>1000</v>
      </c>
    </row>
    <row r="50" spans="1:13">
      <c r="E50" s="4">
        <f t="shared" si="0"/>
        <v>50</v>
      </c>
      <c r="F50" s="9" t="s">
        <v>29</v>
      </c>
      <c r="M50" s="23" t="s">
        <v>231</v>
      </c>
    </row>
    <row r="51" spans="1:13">
      <c r="E51" s="4">
        <f t="shared" si="0"/>
        <v>51</v>
      </c>
      <c r="F51" s="9" t="s">
        <v>118</v>
      </c>
      <c r="M51" s="23" t="s">
        <v>232</v>
      </c>
    </row>
    <row r="52" spans="1:13">
      <c r="E52" s="4">
        <f t="shared" si="0"/>
        <v>52</v>
      </c>
      <c r="F52" s="9" t="s">
        <v>114</v>
      </c>
      <c r="M52" s="23" t="b">
        <v>1</v>
      </c>
    </row>
    <row r="53" spans="1:13">
      <c r="E53" s="4">
        <f t="shared" si="0"/>
        <v>53</v>
      </c>
      <c r="F53" s="9" t="s">
        <v>98</v>
      </c>
      <c r="K53" s="9" t="s">
        <v>137</v>
      </c>
      <c r="M53" s="23">
        <v>2</v>
      </c>
    </row>
    <row r="54" spans="1:13">
      <c r="E54" s="4">
        <f t="shared" si="0"/>
        <v>54</v>
      </c>
      <c r="F54" s="9" t="s">
        <v>30</v>
      </c>
      <c r="M54" s="23">
        <v>4.07</v>
      </c>
    </row>
    <row r="55" spans="1:13">
      <c r="E55" s="4">
        <f t="shared" si="0"/>
        <v>55</v>
      </c>
      <c r="F55" s="9" t="s">
        <v>31</v>
      </c>
      <c r="L55" s="9" t="s">
        <v>135</v>
      </c>
      <c r="M55" s="23" t="s">
        <v>233</v>
      </c>
    </row>
    <row r="56" spans="1:13">
      <c r="E56" s="4">
        <f t="shared" si="0"/>
        <v>56</v>
      </c>
      <c r="F56" s="9" t="s">
        <v>143</v>
      </c>
      <c r="G56" s="9">
        <v>45</v>
      </c>
      <c r="H56" s="9">
        <v>-45</v>
      </c>
      <c r="I56" s="9">
        <v>-15</v>
      </c>
      <c r="J56" s="9" t="s">
        <v>234</v>
      </c>
      <c r="L56" s="9" t="s">
        <v>134</v>
      </c>
      <c r="M56" s="23">
        <f t="shared" ref="M56" si="15">IF(MOD(QUOTIENT(D45-1,$G$10),2)=0,$G$20+$I$20*MOD(D45-1,$G$10),$H$20+$J$20*MOD(D45-1,$G$10))</f>
        <v>0</v>
      </c>
    </row>
    <row r="57" spans="1:13">
      <c r="A57" s="22" t="s">
        <v>227</v>
      </c>
      <c r="B57" s="22">
        <f t="shared" ref="B57" si="16">QUOTIENT( D57-1,G58)+1</f>
        <v>1</v>
      </c>
      <c r="C57" s="22">
        <f t="shared" ref="C57" si="17">D57-(B57-1)*G58</f>
        <v>5</v>
      </c>
      <c r="D57" s="22">
        <f>COUNT($D$8:$D56)+1</f>
        <v>5</v>
      </c>
      <c r="E57" s="4"/>
    </row>
    <row r="58" spans="1:13">
      <c r="E58" s="4">
        <f t="shared" si="0"/>
        <v>58</v>
      </c>
      <c r="F58" s="9" t="s">
        <v>93</v>
      </c>
      <c r="G58" s="9" t="s">
        <v>39</v>
      </c>
      <c r="H58" s="9" t="s">
        <v>39</v>
      </c>
      <c r="J58" s="9">
        <v>11200</v>
      </c>
      <c r="M58" s="23">
        <f t="shared" ref="M58" si="18">$J$10+D57</f>
        <v>11205</v>
      </c>
    </row>
    <row r="59" spans="1:13">
      <c r="E59" s="4">
        <f t="shared" si="0"/>
        <v>59</v>
      </c>
      <c r="F59" s="9" t="s">
        <v>144</v>
      </c>
      <c r="M59" s="23">
        <v>104020</v>
      </c>
    </row>
    <row r="60" spans="1:13">
      <c r="E60" s="4">
        <f t="shared" si="0"/>
        <v>60</v>
      </c>
      <c r="F60" s="9" t="s">
        <v>126</v>
      </c>
      <c r="G60" s="9">
        <v>10</v>
      </c>
      <c r="I60" s="9">
        <v>11</v>
      </c>
      <c r="J60" s="9" t="s">
        <v>229</v>
      </c>
      <c r="M60" s="23">
        <f t="shared" ref="M60" si="19">G60*D57+$I$12+D57*J60</f>
        <v>56</v>
      </c>
    </row>
    <row r="61" spans="1:13">
      <c r="E61" s="4">
        <f t="shared" si="0"/>
        <v>61</v>
      </c>
      <c r="F61" s="9" t="s">
        <v>35</v>
      </c>
      <c r="M61" s="23">
        <v>1000</v>
      </c>
    </row>
    <row r="62" spans="1:13">
      <c r="E62" s="4">
        <f t="shared" si="0"/>
        <v>62</v>
      </c>
      <c r="F62" s="9" t="s">
        <v>29</v>
      </c>
      <c r="M62" s="23" t="s">
        <v>231</v>
      </c>
    </row>
    <row r="63" spans="1:13">
      <c r="E63" s="4">
        <f t="shared" si="0"/>
        <v>63</v>
      </c>
      <c r="F63" s="9" t="s">
        <v>118</v>
      </c>
      <c r="M63" s="23" t="s">
        <v>232</v>
      </c>
    </row>
    <row r="64" spans="1:13">
      <c r="E64" s="4">
        <f t="shared" si="0"/>
        <v>64</v>
      </c>
      <c r="F64" s="9" t="s">
        <v>114</v>
      </c>
      <c r="M64" s="23" t="b">
        <v>1</v>
      </c>
    </row>
    <row r="65" spans="1:13">
      <c r="E65" s="4">
        <f t="shared" si="0"/>
        <v>65</v>
      </c>
      <c r="F65" s="9" t="s">
        <v>98</v>
      </c>
      <c r="K65" s="9" t="s">
        <v>137</v>
      </c>
      <c r="M65" s="23">
        <v>2</v>
      </c>
    </row>
    <row r="66" spans="1:13">
      <c r="E66" s="4">
        <f t="shared" si="0"/>
        <v>66</v>
      </c>
      <c r="F66" s="9" t="s">
        <v>30</v>
      </c>
      <c r="M66" s="23">
        <v>4.07</v>
      </c>
    </row>
    <row r="67" spans="1:13">
      <c r="E67" s="4">
        <f t="shared" si="0"/>
        <v>67</v>
      </c>
      <c r="F67" s="9" t="s">
        <v>31</v>
      </c>
      <c r="L67" s="9" t="s">
        <v>135</v>
      </c>
      <c r="M67" s="23" t="s">
        <v>233</v>
      </c>
    </row>
    <row r="68" spans="1:13">
      <c r="E68" s="4">
        <f t="shared" si="0"/>
        <v>68</v>
      </c>
      <c r="F68" s="9" t="s">
        <v>143</v>
      </c>
      <c r="G68" s="9">
        <v>45</v>
      </c>
      <c r="H68" s="9">
        <v>-45</v>
      </c>
      <c r="I68" s="9">
        <v>-15</v>
      </c>
      <c r="J68" s="9" t="s">
        <v>234</v>
      </c>
      <c r="L68" s="9" t="s">
        <v>134</v>
      </c>
      <c r="M68" s="23">
        <f t="shared" ref="M68" si="20">IF(MOD(QUOTIENT(D57-1,$G$10),2)=0,$G$20+$I$20*MOD(D57-1,$G$10),$H$20+$J$20*MOD(D57-1,$G$10))</f>
        <v>-15</v>
      </c>
    </row>
    <row r="69" spans="1:13">
      <c r="A69" s="22" t="s">
        <v>227</v>
      </c>
      <c r="B69" s="22">
        <f t="shared" ref="B69" si="21">QUOTIENT( D69-1,G70)+1</f>
        <v>1</v>
      </c>
      <c r="C69" s="22">
        <f t="shared" ref="C69" si="22">D69-(B69-1)*G70</f>
        <v>6</v>
      </c>
      <c r="D69" s="22">
        <f>COUNT($D$8:$D68)+1</f>
        <v>6</v>
      </c>
      <c r="E69" s="4"/>
    </row>
    <row r="70" spans="1:13">
      <c r="E70" s="4">
        <f t="shared" si="0"/>
        <v>70</v>
      </c>
      <c r="F70" s="9" t="s">
        <v>93</v>
      </c>
      <c r="G70" s="9" t="s">
        <v>39</v>
      </c>
      <c r="H70" s="9" t="s">
        <v>39</v>
      </c>
      <c r="J70" s="9">
        <v>11200</v>
      </c>
      <c r="M70" s="23">
        <f t="shared" ref="M70" si="23">$J$10+D69</f>
        <v>11206</v>
      </c>
    </row>
    <row r="71" spans="1:13">
      <c r="E71" s="4">
        <f t="shared" si="0"/>
        <v>71</v>
      </c>
      <c r="F71" s="9" t="s">
        <v>144</v>
      </c>
      <c r="M71" s="23">
        <v>104020</v>
      </c>
    </row>
    <row r="72" spans="1:13">
      <c r="E72" s="4">
        <f t="shared" si="0"/>
        <v>72</v>
      </c>
      <c r="F72" s="9" t="s">
        <v>126</v>
      </c>
      <c r="G72" s="9">
        <v>10</v>
      </c>
      <c r="I72" s="9">
        <v>11</v>
      </c>
      <c r="J72" s="9" t="s">
        <v>229</v>
      </c>
      <c r="M72" s="23">
        <f t="shared" ref="M72" si="24">G72*D69+$I$12+D69*J72</f>
        <v>65</v>
      </c>
    </row>
    <row r="73" spans="1:13">
      <c r="E73" s="4">
        <f t="shared" si="0"/>
        <v>73</v>
      </c>
      <c r="F73" s="9" t="s">
        <v>35</v>
      </c>
      <c r="M73" s="23">
        <v>1000</v>
      </c>
    </row>
    <row r="74" spans="1:13">
      <c r="E74" s="4">
        <f t="shared" ref="E74:E137" si="25">ROW(E74)</f>
        <v>74</v>
      </c>
      <c r="F74" s="9" t="s">
        <v>29</v>
      </c>
      <c r="M74" s="23" t="s">
        <v>231</v>
      </c>
    </row>
    <row r="75" spans="1:13">
      <c r="E75" s="4">
        <f t="shared" si="25"/>
        <v>75</v>
      </c>
      <c r="F75" s="9" t="s">
        <v>118</v>
      </c>
      <c r="M75" s="23" t="s">
        <v>232</v>
      </c>
    </row>
    <row r="76" spans="1:13">
      <c r="E76" s="4">
        <f t="shared" si="25"/>
        <v>76</v>
      </c>
      <c r="F76" s="9" t="s">
        <v>114</v>
      </c>
      <c r="M76" s="23" t="b">
        <v>1</v>
      </c>
    </row>
    <row r="77" spans="1:13">
      <c r="E77" s="4">
        <f t="shared" si="25"/>
        <v>77</v>
      </c>
      <c r="F77" s="9" t="s">
        <v>98</v>
      </c>
      <c r="K77" s="9" t="s">
        <v>137</v>
      </c>
      <c r="M77" s="23">
        <v>2</v>
      </c>
    </row>
    <row r="78" spans="1:13">
      <c r="E78" s="4">
        <f t="shared" si="25"/>
        <v>78</v>
      </c>
      <c r="F78" s="9" t="s">
        <v>30</v>
      </c>
      <c r="M78" s="23">
        <v>4.07</v>
      </c>
    </row>
    <row r="79" spans="1:13">
      <c r="E79" s="4">
        <f t="shared" si="25"/>
        <v>79</v>
      </c>
      <c r="F79" s="9" t="s">
        <v>31</v>
      </c>
      <c r="L79" s="9" t="s">
        <v>135</v>
      </c>
      <c r="M79" s="23" t="s">
        <v>233</v>
      </c>
    </row>
    <row r="80" spans="1:13">
      <c r="E80" s="4">
        <f t="shared" si="25"/>
        <v>80</v>
      </c>
      <c r="F80" s="9" t="s">
        <v>143</v>
      </c>
      <c r="G80" s="9">
        <v>45</v>
      </c>
      <c r="H80" s="9">
        <v>-45</v>
      </c>
      <c r="I80" s="9">
        <v>-15</v>
      </c>
      <c r="J80" s="9" t="s">
        <v>234</v>
      </c>
      <c r="L80" s="9" t="s">
        <v>134</v>
      </c>
      <c r="M80" s="23">
        <f t="shared" ref="M80" si="26">IF(MOD(QUOTIENT(D69-1,$G$10),2)=0,$G$20+$I$20*MOD(D69-1,$G$10),$H$20+$J$20*MOD(D69-1,$G$10))</f>
        <v>-30</v>
      </c>
    </row>
    <row r="81" spans="1:13">
      <c r="A81" s="22" t="s">
        <v>227</v>
      </c>
      <c r="B81" s="22">
        <f t="shared" ref="B81" si="27">QUOTIENT( D81-1,G82)+1</f>
        <v>1</v>
      </c>
      <c r="C81" s="22">
        <f t="shared" ref="C81" si="28">D81-(B81-1)*G82</f>
        <v>7</v>
      </c>
      <c r="D81" s="22">
        <f>COUNT($D$8:$D80)+1</f>
        <v>7</v>
      </c>
      <c r="E81" s="4"/>
    </row>
    <row r="82" spans="1:13">
      <c r="E82" s="4">
        <f t="shared" si="25"/>
        <v>82</v>
      </c>
      <c r="F82" s="9" t="s">
        <v>93</v>
      </c>
      <c r="G82" s="9" t="s">
        <v>39</v>
      </c>
      <c r="H82" s="9" t="s">
        <v>39</v>
      </c>
      <c r="J82" s="9">
        <v>11200</v>
      </c>
      <c r="M82" s="23">
        <f t="shared" ref="M82" si="29">$J$10+D81</f>
        <v>11207</v>
      </c>
    </row>
    <row r="83" spans="1:13">
      <c r="E83" s="4">
        <f t="shared" si="25"/>
        <v>83</v>
      </c>
      <c r="F83" s="9" t="s">
        <v>144</v>
      </c>
      <c r="M83" s="23">
        <v>104020</v>
      </c>
    </row>
    <row r="84" spans="1:13">
      <c r="E84" s="4">
        <f t="shared" si="25"/>
        <v>84</v>
      </c>
      <c r="F84" s="9" t="s">
        <v>126</v>
      </c>
      <c r="G84" s="9">
        <v>10</v>
      </c>
      <c r="I84" s="9">
        <v>11</v>
      </c>
      <c r="J84" s="9" t="s">
        <v>229</v>
      </c>
      <c r="M84" s="23">
        <f t="shared" ref="M84" si="30">G84*D81+$I$12+D81*J84</f>
        <v>74</v>
      </c>
    </row>
    <row r="85" spans="1:13">
      <c r="E85" s="4">
        <f t="shared" si="25"/>
        <v>85</v>
      </c>
      <c r="F85" s="9" t="s">
        <v>35</v>
      </c>
      <c r="M85" s="23">
        <v>1000</v>
      </c>
    </row>
    <row r="86" spans="1:13">
      <c r="E86" s="4">
        <f t="shared" si="25"/>
        <v>86</v>
      </c>
      <c r="F86" s="9" t="s">
        <v>29</v>
      </c>
      <c r="M86" s="23" t="s">
        <v>231</v>
      </c>
    </row>
    <row r="87" spans="1:13">
      <c r="E87" s="4">
        <f t="shared" si="25"/>
        <v>87</v>
      </c>
      <c r="F87" s="9" t="s">
        <v>118</v>
      </c>
      <c r="M87" s="23" t="s">
        <v>232</v>
      </c>
    </row>
    <row r="88" spans="1:13">
      <c r="E88" s="4">
        <f t="shared" si="25"/>
        <v>88</v>
      </c>
      <c r="F88" s="9" t="s">
        <v>114</v>
      </c>
      <c r="M88" s="23" t="b">
        <v>1</v>
      </c>
    </row>
    <row r="89" spans="1:13">
      <c r="E89" s="4">
        <f t="shared" si="25"/>
        <v>89</v>
      </c>
      <c r="F89" s="9" t="s">
        <v>98</v>
      </c>
      <c r="K89" s="9" t="s">
        <v>137</v>
      </c>
      <c r="M89" s="23">
        <v>2</v>
      </c>
    </row>
    <row r="90" spans="1:13">
      <c r="E90" s="4">
        <f t="shared" si="25"/>
        <v>90</v>
      </c>
      <c r="F90" s="9" t="s">
        <v>30</v>
      </c>
      <c r="M90" s="23">
        <v>4.07</v>
      </c>
    </row>
    <row r="91" spans="1:13">
      <c r="E91" s="4">
        <f t="shared" si="25"/>
        <v>91</v>
      </c>
      <c r="F91" s="9" t="s">
        <v>31</v>
      </c>
      <c r="L91" s="9" t="s">
        <v>135</v>
      </c>
      <c r="M91" s="23" t="s">
        <v>233</v>
      </c>
    </row>
    <row r="92" spans="1:13">
      <c r="E92" s="4">
        <f t="shared" si="25"/>
        <v>92</v>
      </c>
      <c r="F92" s="9" t="s">
        <v>143</v>
      </c>
      <c r="G92" s="9">
        <v>45</v>
      </c>
      <c r="H92" s="9">
        <v>-45</v>
      </c>
      <c r="I92" s="9">
        <v>-15</v>
      </c>
      <c r="J92" s="9" t="s">
        <v>234</v>
      </c>
      <c r="L92" s="9" t="s">
        <v>134</v>
      </c>
      <c r="M92" s="23">
        <f t="shared" ref="M92" si="31">IF(MOD(QUOTIENT(D81-1,$G$10),2)=0,$G$20+$I$20*MOD(D81-1,$G$10),$H$20+$J$20*MOD(D81-1,$G$10))</f>
        <v>-45</v>
      </c>
    </row>
    <row r="93" spans="1:13">
      <c r="A93" s="22" t="s">
        <v>227</v>
      </c>
      <c r="B93" s="22">
        <f t="shared" ref="B93" si="32">QUOTIENT( D93-1,G94)+1</f>
        <v>2</v>
      </c>
      <c r="C93" s="22">
        <f t="shared" ref="C93" si="33">D93-(B93-1)*G94</f>
        <v>1</v>
      </c>
      <c r="D93" s="22">
        <f>COUNT($D$8:$D92)+1</f>
        <v>8</v>
      </c>
      <c r="E93" s="4"/>
    </row>
    <row r="94" spans="1:13">
      <c r="E94" s="4">
        <f t="shared" si="25"/>
        <v>94</v>
      </c>
      <c r="F94" s="9" t="s">
        <v>93</v>
      </c>
      <c r="G94" s="9" t="s">
        <v>39</v>
      </c>
      <c r="H94" s="9" t="s">
        <v>39</v>
      </c>
      <c r="J94" s="9">
        <v>11200</v>
      </c>
      <c r="M94" s="23">
        <f t="shared" ref="M94" si="34">$J$10+D93</f>
        <v>11208</v>
      </c>
    </row>
    <row r="95" spans="1:13">
      <c r="E95" s="4">
        <f t="shared" si="25"/>
        <v>95</v>
      </c>
      <c r="F95" s="9" t="s">
        <v>144</v>
      </c>
      <c r="M95" s="23">
        <v>104020</v>
      </c>
    </row>
    <row r="96" spans="1:13">
      <c r="E96" s="4">
        <f t="shared" si="25"/>
        <v>96</v>
      </c>
      <c r="F96" s="9" t="s">
        <v>126</v>
      </c>
      <c r="G96" s="9">
        <v>10</v>
      </c>
      <c r="I96" s="9">
        <v>11</v>
      </c>
      <c r="J96" s="9" t="s">
        <v>229</v>
      </c>
      <c r="M96" s="23">
        <f t="shared" ref="M96" si="35">G96*D93+$I$12+D93*J96</f>
        <v>83</v>
      </c>
    </row>
    <row r="97" spans="1:13">
      <c r="E97" s="4">
        <f t="shared" si="25"/>
        <v>97</v>
      </c>
      <c r="F97" s="9" t="s">
        <v>35</v>
      </c>
      <c r="M97" s="23">
        <v>1000</v>
      </c>
    </row>
    <row r="98" spans="1:13">
      <c r="E98" s="4">
        <f t="shared" si="25"/>
        <v>98</v>
      </c>
      <c r="F98" s="9" t="s">
        <v>29</v>
      </c>
      <c r="M98" s="23" t="s">
        <v>231</v>
      </c>
    </row>
    <row r="99" spans="1:13">
      <c r="E99" s="4">
        <f t="shared" si="25"/>
        <v>99</v>
      </c>
      <c r="F99" s="9" t="s">
        <v>118</v>
      </c>
      <c r="M99" s="23" t="s">
        <v>232</v>
      </c>
    </row>
    <row r="100" spans="1:13">
      <c r="E100" s="4">
        <f t="shared" si="25"/>
        <v>100</v>
      </c>
      <c r="F100" s="9" t="s">
        <v>114</v>
      </c>
      <c r="M100" s="23" t="b">
        <v>1</v>
      </c>
    </row>
    <row r="101" spans="1:13">
      <c r="E101" s="4">
        <f t="shared" si="25"/>
        <v>101</v>
      </c>
      <c r="F101" s="9" t="s">
        <v>98</v>
      </c>
      <c r="K101" s="9" t="s">
        <v>137</v>
      </c>
      <c r="M101" s="23">
        <v>2</v>
      </c>
    </row>
    <row r="102" spans="1:13">
      <c r="E102" s="4">
        <f t="shared" si="25"/>
        <v>102</v>
      </c>
      <c r="F102" s="9" t="s">
        <v>30</v>
      </c>
      <c r="M102" s="23">
        <v>4.07</v>
      </c>
    </row>
    <row r="103" spans="1:13">
      <c r="E103" s="4">
        <f t="shared" si="25"/>
        <v>103</v>
      </c>
      <c r="F103" s="9" t="s">
        <v>31</v>
      </c>
      <c r="L103" s="9" t="s">
        <v>135</v>
      </c>
      <c r="M103" s="23" t="s">
        <v>233</v>
      </c>
    </row>
    <row r="104" spans="1:13">
      <c r="E104" s="4">
        <f t="shared" si="25"/>
        <v>104</v>
      </c>
      <c r="F104" s="9" t="s">
        <v>143</v>
      </c>
      <c r="G104" s="9">
        <v>45</v>
      </c>
      <c r="H104" s="9">
        <v>-45</v>
      </c>
      <c r="I104" s="9">
        <v>-15</v>
      </c>
      <c r="J104" s="9" t="s">
        <v>234</v>
      </c>
      <c r="L104" s="9" t="s">
        <v>134</v>
      </c>
      <c r="M104" s="23">
        <f t="shared" ref="M104" si="36">IF(MOD(QUOTIENT(D93-1,$G$10),2)=0,$G$20+$I$20*MOD(D93-1,$G$10),$H$20+$J$20*MOD(D93-1,$G$10))</f>
        <v>-45</v>
      </c>
    </row>
    <row r="105" spans="1:13">
      <c r="A105" s="22" t="s">
        <v>227</v>
      </c>
      <c r="B105" s="22">
        <f t="shared" ref="B105" si="37">QUOTIENT( D105-1,G106)+1</f>
        <v>2</v>
      </c>
      <c r="C105" s="22">
        <f t="shared" ref="C105" si="38">D105-(B105-1)*G106</f>
        <v>2</v>
      </c>
      <c r="D105" s="22">
        <f>COUNT($D$8:$D104)+1</f>
        <v>9</v>
      </c>
      <c r="E105" s="4"/>
    </row>
    <row r="106" spans="1:13">
      <c r="E106" s="4">
        <f t="shared" si="25"/>
        <v>106</v>
      </c>
      <c r="F106" s="9" t="s">
        <v>93</v>
      </c>
      <c r="G106" s="9" t="s">
        <v>39</v>
      </c>
      <c r="H106" s="9" t="s">
        <v>39</v>
      </c>
      <c r="J106" s="9">
        <v>11200</v>
      </c>
      <c r="M106" s="23">
        <f t="shared" ref="M106" si="39">$J$10+D105</f>
        <v>11209</v>
      </c>
    </row>
    <row r="107" spans="1:13">
      <c r="E107" s="4">
        <f t="shared" si="25"/>
        <v>107</v>
      </c>
      <c r="F107" s="9" t="s">
        <v>144</v>
      </c>
      <c r="M107" s="23">
        <v>104020</v>
      </c>
    </row>
    <row r="108" spans="1:13">
      <c r="E108" s="4">
        <f t="shared" si="25"/>
        <v>108</v>
      </c>
      <c r="F108" s="9" t="s">
        <v>126</v>
      </c>
      <c r="G108" s="9">
        <v>10</v>
      </c>
      <c r="I108" s="9">
        <v>11</v>
      </c>
      <c r="J108" s="9" t="s">
        <v>229</v>
      </c>
      <c r="M108" s="23">
        <f t="shared" ref="M108" si="40">G108*D105+$I$12+D105*J108</f>
        <v>92</v>
      </c>
    </row>
    <row r="109" spans="1:13">
      <c r="E109" s="4">
        <f t="shared" si="25"/>
        <v>109</v>
      </c>
      <c r="F109" s="9" t="s">
        <v>35</v>
      </c>
      <c r="M109" s="23">
        <v>1000</v>
      </c>
    </row>
    <row r="110" spans="1:13">
      <c r="E110" s="4">
        <f t="shared" si="25"/>
        <v>110</v>
      </c>
      <c r="F110" s="9" t="s">
        <v>29</v>
      </c>
      <c r="M110" s="23" t="s">
        <v>231</v>
      </c>
    </row>
    <row r="111" spans="1:13">
      <c r="E111" s="4">
        <f t="shared" si="25"/>
        <v>111</v>
      </c>
      <c r="F111" s="9" t="s">
        <v>118</v>
      </c>
      <c r="M111" s="23" t="s">
        <v>232</v>
      </c>
    </row>
    <row r="112" spans="1:13">
      <c r="E112" s="4">
        <f t="shared" si="25"/>
        <v>112</v>
      </c>
      <c r="F112" s="9" t="s">
        <v>114</v>
      </c>
      <c r="M112" s="23" t="b">
        <v>1</v>
      </c>
    </row>
    <row r="113" spans="1:13">
      <c r="E113" s="4">
        <f t="shared" si="25"/>
        <v>113</v>
      </c>
      <c r="F113" s="9" t="s">
        <v>98</v>
      </c>
      <c r="K113" s="9" t="s">
        <v>137</v>
      </c>
      <c r="M113" s="23">
        <v>2</v>
      </c>
    </row>
    <row r="114" spans="1:13">
      <c r="E114" s="4">
        <f t="shared" si="25"/>
        <v>114</v>
      </c>
      <c r="F114" s="9" t="s">
        <v>30</v>
      </c>
      <c r="M114" s="23">
        <v>4.07</v>
      </c>
    </row>
    <row r="115" spans="1:13">
      <c r="E115" s="4">
        <f t="shared" si="25"/>
        <v>115</v>
      </c>
      <c r="F115" s="9" t="s">
        <v>31</v>
      </c>
      <c r="L115" s="9" t="s">
        <v>135</v>
      </c>
      <c r="M115" s="23" t="s">
        <v>233</v>
      </c>
    </row>
    <row r="116" spans="1:13">
      <c r="E116" s="4">
        <f t="shared" si="25"/>
        <v>116</v>
      </c>
      <c r="F116" s="9" t="s">
        <v>143</v>
      </c>
      <c r="G116" s="9">
        <v>45</v>
      </c>
      <c r="H116" s="9">
        <v>-45</v>
      </c>
      <c r="I116" s="9">
        <v>-15</v>
      </c>
      <c r="J116" s="9" t="s">
        <v>234</v>
      </c>
      <c r="L116" s="9" t="s">
        <v>134</v>
      </c>
      <c r="M116" s="23">
        <f t="shared" ref="M116" si="41">IF(MOD(QUOTIENT(D105-1,$G$10),2)=0,$G$20+$I$20*MOD(D105-1,$G$10),$H$20+$J$20*MOD(D105-1,$G$10))</f>
        <v>-30</v>
      </c>
    </row>
    <row r="117" spans="1:13">
      <c r="A117" s="22" t="s">
        <v>227</v>
      </c>
      <c r="B117" s="22">
        <f t="shared" ref="B117" si="42">QUOTIENT( D117-1,G118)+1</f>
        <v>2</v>
      </c>
      <c r="C117" s="22">
        <f t="shared" ref="C117" si="43">D117-(B117-1)*G118</f>
        <v>3</v>
      </c>
      <c r="D117" s="22">
        <f>COUNT($D$8:$D116)+1</f>
        <v>10</v>
      </c>
      <c r="E117" s="4"/>
    </row>
    <row r="118" spans="1:13">
      <c r="E118" s="4">
        <f t="shared" si="25"/>
        <v>118</v>
      </c>
      <c r="F118" s="9" t="s">
        <v>93</v>
      </c>
      <c r="G118" s="9" t="s">
        <v>39</v>
      </c>
      <c r="H118" s="9" t="s">
        <v>39</v>
      </c>
      <c r="J118" s="9">
        <v>11200</v>
      </c>
      <c r="M118" s="23">
        <f t="shared" ref="M118" si="44">$J$10+D117</f>
        <v>11210</v>
      </c>
    </row>
    <row r="119" spans="1:13">
      <c r="E119" s="4">
        <f t="shared" si="25"/>
        <v>119</v>
      </c>
      <c r="F119" s="9" t="s">
        <v>144</v>
      </c>
      <c r="M119" s="23">
        <v>104020</v>
      </c>
    </row>
    <row r="120" spans="1:13">
      <c r="E120" s="4">
        <f t="shared" si="25"/>
        <v>120</v>
      </c>
      <c r="F120" s="9" t="s">
        <v>126</v>
      </c>
      <c r="G120" s="9">
        <v>10</v>
      </c>
      <c r="I120" s="9">
        <v>11</v>
      </c>
      <c r="J120" s="9" t="s">
        <v>229</v>
      </c>
      <c r="M120" s="23">
        <f t="shared" ref="M120" si="45">G120*D117+$I$12+D117*J120</f>
        <v>101</v>
      </c>
    </row>
    <row r="121" spans="1:13">
      <c r="E121" s="4">
        <f t="shared" si="25"/>
        <v>121</v>
      </c>
      <c r="F121" s="9" t="s">
        <v>35</v>
      </c>
      <c r="M121" s="23">
        <v>1000</v>
      </c>
    </row>
    <row r="122" spans="1:13">
      <c r="E122" s="4">
        <f t="shared" si="25"/>
        <v>122</v>
      </c>
      <c r="F122" s="9" t="s">
        <v>29</v>
      </c>
      <c r="M122" s="23" t="s">
        <v>231</v>
      </c>
    </row>
    <row r="123" spans="1:13">
      <c r="E123" s="4">
        <f t="shared" si="25"/>
        <v>123</v>
      </c>
      <c r="F123" s="9" t="s">
        <v>118</v>
      </c>
      <c r="M123" s="23" t="s">
        <v>232</v>
      </c>
    </row>
    <row r="124" spans="1:13">
      <c r="E124" s="4">
        <f t="shared" si="25"/>
        <v>124</v>
      </c>
      <c r="F124" s="9" t="s">
        <v>114</v>
      </c>
      <c r="M124" s="23" t="b">
        <v>1</v>
      </c>
    </row>
    <row r="125" spans="1:13">
      <c r="E125" s="4">
        <f t="shared" si="25"/>
        <v>125</v>
      </c>
      <c r="F125" s="9" t="s">
        <v>98</v>
      </c>
      <c r="K125" s="9" t="s">
        <v>137</v>
      </c>
      <c r="M125" s="23">
        <v>2</v>
      </c>
    </row>
    <row r="126" spans="1:13">
      <c r="E126" s="4">
        <f t="shared" si="25"/>
        <v>126</v>
      </c>
      <c r="F126" s="9" t="s">
        <v>30</v>
      </c>
      <c r="M126" s="23">
        <v>4.07</v>
      </c>
    </row>
    <row r="127" spans="1:13">
      <c r="E127" s="4">
        <f t="shared" si="25"/>
        <v>127</v>
      </c>
      <c r="F127" s="9" t="s">
        <v>31</v>
      </c>
      <c r="L127" s="9" t="s">
        <v>135</v>
      </c>
      <c r="M127" s="23" t="s">
        <v>233</v>
      </c>
    </row>
    <row r="128" spans="1:13">
      <c r="E128" s="4">
        <f t="shared" si="25"/>
        <v>128</v>
      </c>
      <c r="F128" s="9" t="s">
        <v>143</v>
      </c>
      <c r="G128" s="9">
        <v>45</v>
      </c>
      <c r="H128" s="9">
        <v>-45</v>
      </c>
      <c r="I128" s="9">
        <v>-15</v>
      </c>
      <c r="J128" s="9" t="s">
        <v>234</v>
      </c>
      <c r="L128" s="9" t="s">
        <v>134</v>
      </c>
      <c r="M128" s="23">
        <f t="shared" ref="M128" si="46">IF(MOD(QUOTIENT(D117-1,$G$10),2)=0,$G$20+$I$20*MOD(D117-1,$G$10),$H$20+$J$20*MOD(D117-1,$G$10))</f>
        <v>-15</v>
      </c>
    </row>
    <row r="129" spans="1:13">
      <c r="A129" s="22" t="s">
        <v>227</v>
      </c>
      <c r="B129" s="22">
        <f t="shared" ref="B129" si="47">QUOTIENT( D129-1,G130)+1</f>
        <v>2</v>
      </c>
      <c r="C129" s="22">
        <f t="shared" ref="C129" si="48">D129-(B129-1)*G130</f>
        <v>4</v>
      </c>
      <c r="D129" s="22">
        <f>COUNT($D$8:$D128)+1</f>
        <v>11</v>
      </c>
      <c r="E129" s="4"/>
    </row>
    <row r="130" spans="1:13">
      <c r="E130" s="4">
        <f t="shared" si="25"/>
        <v>130</v>
      </c>
      <c r="F130" s="9" t="s">
        <v>93</v>
      </c>
      <c r="G130" s="9" t="s">
        <v>39</v>
      </c>
      <c r="H130" s="9" t="s">
        <v>39</v>
      </c>
      <c r="J130" s="9">
        <v>11200</v>
      </c>
      <c r="M130" s="23">
        <f t="shared" ref="M130" si="49">$J$10+D129</f>
        <v>11211</v>
      </c>
    </row>
    <row r="131" spans="1:13">
      <c r="E131" s="4">
        <f t="shared" si="25"/>
        <v>131</v>
      </c>
      <c r="F131" s="9" t="s">
        <v>144</v>
      </c>
      <c r="M131" s="23">
        <v>104020</v>
      </c>
    </row>
    <row r="132" spans="1:13">
      <c r="E132" s="4">
        <f t="shared" si="25"/>
        <v>132</v>
      </c>
      <c r="F132" s="9" t="s">
        <v>126</v>
      </c>
      <c r="G132" s="9">
        <v>10</v>
      </c>
      <c r="I132" s="9">
        <v>11</v>
      </c>
      <c r="J132" s="9" t="s">
        <v>229</v>
      </c>
      <c r="M132" s="23">
        <f t="shared" ref="M132" si="50">G132*D129+$I$12+D129*J132</f>
        <v>110</v>
      </c>
    </row>
    <row r="133" spans="1:13">
      <c r="E133" s="4">
        <f t="shared" si="25"/>
        <v>133</v>
      </c>
      <c r="F133" s="9" t="s">
        <v>35</v>
      </c>
      <c r="M133" s="23">
        <v>1000</v>
      </c>
    </row>
    <row r="134" spans="1:13">
      <c r="E134" s="4">
        <f t="shared" si="25"/>
        <v>134</v>
      </c>
      <c r="F134" s="9" t="s">
        <v>29</v>
      </c>
      <c r="M134" s="23" t="s">
        <v>231</v>
      </c>
    </row>
    <row r="135" spans="1:13">
      <c r="E135" s="4">
        <f t="shared" si="25"/>
        <v>135</v>
      </c>
      <c r="F135" s="9" t="s">
        <v>118</v>
      </c>
      <c r="M135" s="23" t="s">
        <v>232</v>
      </c>
    </row>
    <row r="136" spans="1:13">
      <c r="E136" s="4">
        <f t="shared" si="25"/>
        <v>136</v>
      </c>
      <c r="F136" s="9" t="s">
        <v>114</v>
      </c>
      <c r="M136" s="23" t="b">
        <v>1</v>
      </c>
    </row>
    <row r="137" spans="1:13">
      <c r="E137" s="4">
        <f t="shared" si="25"/>
        <v>137</v>
      </c>
      <c r="F137" s="9" t="s">
        <v>98</v>
      </c>
      <c r="K137" s="9" t="s">
        <v>137</v>
      </c>
      <c r="M137" s="23">
        <v>2</v>
      </c>
    </row>
    <row r="138" spans="1:13">
      <c r="E138" s="4">
        <f t="shared" ref="E138:E200" si="51">ROW(E138)</f>
        <v>138</v>
      </c>
      <c r="F138" s="9" t="s">
        <v>30</v>
      </c>
      <c r="M138" s="23">
        <v>4.07</v>
      </c>
    </row>
    <row r="139" spans="1:13">
      <c r="E139" s="4">
        <f t="shared" si="51"/>
        <v>139</v>
      </c>
      <c r="F139" s="9" t="s">
        <v>31</v>
      </c>
      <c r="L139" s="9" t="s">
        <v>135</v>
      </c>
      <c r="M139" s="23" t="s">
        <v>233</v>
      </c>
    </row>
    <row r="140" spans="1:13">
      <c r="E140" s="4">
        <f t="shared" si="51"/>
        <v>140</v>
      </c>
      <c r="F140" s="9" t="s">
        <v>143</v>
      </c>
      <c r="G140" s="9">
        <v>45</v>
      </c>
      <c r="H140" s="9">
        <v>-45</v>
      </c>
      <c r="I140" s="9">
        <v>-15</v>
      </c>
      <c r="J140" s="9" t="s">
        <v>234</v>
      </c>
      <c r="L140" s="9" t="s">
        <v>134</v>
      </c>
      <c r="M140" s="23">
        <f t="shared" ref="M140" si="52">IF(MOD(QUOTIENT(D129-1,$G$10),2)=0,$G$20+$I$20*MOD(D129-1,$G$10),$H$20+$J$20*MOD(D129-1,$G$10))</f>
        <v>0</v>
      </c>
    </row>
    <row r="141" spans="1:13">
      <c r="A141" s="22" t="s">
        <v>227</v>
      </c>
      <c r="B141" s="22">
        <f t="shared" ref="B141" si="53">QUOTIENT( D141-1,G142)+1</f>
        <v>2</v>
      </c>
      <c r="C141" s="22">
        <f t="shared" ref="C141" si="54">D141-(B141-1)*G142</f>
        <v>5</v>
      </c>
      <c r="D141" s="22">
        <f>COUNT($D$8:$D140)+1</f>
        <v>12</v>
      </c>
      <c r="E141" s="4"/>
    </row>
    <row r="142" spans="1:13">
      <c r="E142" s="4">
        <f t="shared" si="51"/>
        <v>142</v>
      </c>
      <c r="F142" s="9" t="s">
        <v>93</v>
      </c>
      <c r="G142" s="9" t="s">
        <v>39</v>
      </c>
      <c r="H142" s="9" t="s">
        <v>39</v>
      </c>
      <c r="J142" s="9">
        <v>11200</v>
      </c>
      <c r="M142" s="23">
        <f t="shared" ref="M142" si="55">$J$10+D141</f>
        <v>11212</v>
      </c>
    </row>
    <row r="143" spans="1:13">
      <c r="E143" s="4">
        <f t="shared" si="51"/>
        <v>143</v>
      </c>
      <c r="F143" s="9" t="s">
        <v>144</v>
      </c>
      <c r="M143" s="23">
        <v>104020</v>
      </c>
    </row>
    <row r="144" spans="1:13">
      <c r="E144" s="4">
        <f t="shared" si="51"/>
        <v>144</v>
      </c>
      <c r="F144" s="9" t="s">
        <v>126</v>
      </c>
      <c r="G144" s="9">
        <v>10</v>
      </c>
      <c r="I144" s="9">
        <v>11</v>
      </c>
      <c r="J144" s="9" t="s">
        <v>229</v>
      </c>
      <c r="M144" s="23">
        <f t="shared" ref="M144" si="56">G144*D141+$I$12+D141*J144</f>
        <v>119</v>
      </c>
    </row>
    <row r="145" spans="1:13">
      <c r="E145" s="4">
        <f t="shared" si="51"/>
        <v>145</v>
      </c>
      <c r="F145" s="9" t="s">
        <v>35</v>
      </c>
      <c r="M145" s="23">
        <v>1000</v>
      </c>
    </row>
    <row r="146" spans="1:13">
      <c r="E146" s="4">
        <f t="shared" si="51"/>
        <v>146</v>
      </c>
      <c r="F146" s="9" t="s">
        <v>29</v>
      </c>
      <c r="M146" s="23" t="s">
        <v>231</v>
      </c>
    </row>
    <row r="147" spans="1:13">
      <c r="E147" s="4">
        <f t="shared" si="51"/>
        <v>147</v>
      </c>
      <c r="F147" s="9" t="s">
        <v>118</v>
      </c>
      <c r="M147" s="23" t="s">
        <v>232</v>
      </c>
    </row>
    <row r="148" spans="1:13">
      <c r="E148" s="4">
        <f t="shared" si="51"/>
        <v>148</v>
      </c>
      <c r="F148" s="9" t="s">
        <v>114</v>
      </c>
      <c r="M148" s="23" t="b">
        <v>1</v>
      </c>
    </row>
    <row r="149" spans="1:13">
      <c r="E149" s="4">
        <f t="shared" si="51"/>
        <v>149</v>
      </c>
      <c r="F149" s="9" t="s">
        <v>98</v>
      </c>
      <c r="K149" s="9" t="s">
        <v>137</v>
      </c>
      <c r="M149" s="23">
        <v>2</v>
      </c>
    </row>
    <row r="150" spans="1:13">
      <c r="E150" s="4">
        <f t="shared" si="51"/>
        <v>150</v>
      </c>
      <c r="F150" s="9" t="s">
        <v>30</v>
      </c>
      <c r="M150" s="23">
        <v>4.07</v>
      </c>
    </row>
    <row r="151" spans="1:13">
      <c r="E151" s="4">
        <f t="shared" si="51"/>
        <v>151</v>
      </c>
      <c r="F151" s="9" t="s">
        <v>31</v>
      </c>
      <c r="L151" s="9" t="s">
        <v>135</v>
      </c>
      <c r="M151" s="23" t="s">
        <v>233</v>
      </c>
    </row>
    <row r="152" spans="1:13">
      <c r="E152" s="4">
        <f t="shared" si="51"/>
        <v>152</v>
      </c>
      <c r="F152" s="9" t="s">
        <v>143</v>
      </c>
      <c r="G152" s="9">
        <v>45</v>
      </c>
      <c r="H152" s="9">
        <v>-45</v>
      </c>
      <c r="I152" s="9">
        <v>-15</v>
      </c>
      <c r="J152" s="9" t="s">
        <v>234</v>
      </c>
      <c r="L152" s="9" t="s">
        <v>134</v>
      </c>
      <c r="M152" s="23">
        <f t="shared" ref="M152" si="57">IF(MOD(QUOTIENT(D141-1,$G$10),2)=0,$G$20+$I$20*MOD(D141-1,$G$10),$H$20+$J$20*MOD(D141-1,$G$10))</f>
        <v>15</v>
      </c>
    </row>
    <row r="153" spans="1:13">
      <c r="A153" s="22" t="s">
        <v>227</v>
      </c>
      <c r="B153" s="22">
        <f t="shared" ref="B153" si="58">QUOTIENT( D153-1,G154)+1</f>
        <v>2</v>
      </c>
      <c r="C153" s="22">
        <f t="shared" ref="C153" si="59">D153-(B153-1)*G154</f>
        <v>6</v>
      </c>
      <c r="D153" s="22">
        <f>COUNT($D$8:$D152)+1</f>
        <v>13</v>
      </c>
      <c r="E153" s="4"/>
    </row>
    <row r="154" spans="1:13">
      <c r="E154" s="4">
        <f t="shared" si="51"/>
        <v>154</v>
      </c>
      <c r="F154" s="9" t="s">
        <v>93</v>
      </c>
      <c r="G154" s="9" t="s">
        <v>39</v>
      </c>
      <c r="H154" s="9" t="s">
        <v>39</v>
      </c>
      <c r="J154" s="9">
        <v>11200</v>
      </c>
      <c r="M154" s="23">
        <f t="shared" ref="M154" si="60">$J$10+D153</f>
        <v>11213</v>
      </c>
    </row>
    <row r="155" spans="1:13">
      <c r="E155" s="4">
        <f t="shared" si="51"/>
        <v>155</v>
      </c>
      <c r="F155" s="9" t="s">
        <v>144</v>
      </c>
      <c r="M155" s="23">
        <v>104020</v>
      </c>
    </row>
    <row r="156" spans="1:13">
      <c r="E156" s="4">
        <f t="shared" si="51"/>
        <v>156</v>
      </c>
      <c r="F156" s="9" t="s">
        <v>126</v>
      </c>
      <c r="G156" s="9">
        <v>10</v>
      </c>
      <c r="I156" s="9">
        <v>11</v>
      </c>
      <c r="J156" s="9" t="s">
        <v>229</v>
      </c>
      <c r="M156" s="23">
        <f t="shared" ref="M156" si="61">G156*D153+$I$12+D153*J156</f>
        <v>128</v>
      </c>
    </row>
    <row r="157" spans="1:13">
      <c r="E157" s="4">
        <f t="shared" si="51"/>
        <v>157</v>
      </c>
      <c r="F157" s="9" t="s">
        <v>35</v>
      </c>
      <c r="M157" s="23">
        <v>1000</v>
      </c>
    </row>
    <row r="158" spans="1:13">
      <c r="E158" s="4">
        <f t="shared" si="51"/>
        <v>158</v>
      </c>
      <c r="F158" s="9" t="s">
        <v>29</v>
      </c>
      <c r="M158" s="23" t="s">
        <v>231</v>
      </c>
    </row>
    <row r="159" spans="1:13">
      <c r="E159" s="4">
        <f t="shared" si="51"/>
        <v>159</v>
      </c>
      <c r="F159" s="9" t="s">
        <v>118</v>
      </c>
      <c r="M159" s="23" t="s">
        <v>232</v>
      </c>
    </row>
    <row r="160" spans="1:13">
      <c r="E160" s="4">
        <f t="shared" si="51"/>
        <v>160</v>
      </c>
      <c r="F160" s="9" t="s">
        <v>114</v>
      </c>
      <c r="M160" s="23" t="b">
        <v>1</v>
      </c>
    </row>
    <row r="161" spans="1:13">
      <c r="E161" s="4">
        <f t="shared" si="51"/>
        <v>161</v>
      </c>
      <c r="F161" s="9" t="s">
        <v>98</v>
      </c>
      <c r="K161" s="9" t="s">
        <v>137</v>
      </c>
      <c r="M161" s="23">
        <v>2</v>
      </c>
    </row>
    <row r="162" spans="1:13">
      <c r="E162" s="4">
        <f t="shared" si="51"/>
        <v>162</v>
      </c>
      <c r="F162" s="9" t="s">
        <v>30</v>
      </c>
      <c r="M162" s="23">
        <v>4.07</v>
      </c>
    </row>
    <row r="163" spans="1:13">
      <c r="E163" s="4">
        <f t="shared" si="51"/>
        <v>163</v>
      </c>
      <c r="F163" s="9" t="s">
        <v>31</v>
      </c>
      <c r="L163" s="9" t="s">
        <v>135</v>
      </c>
      <c r="M163" s="23" t="s">
        <v>233</v>
      </c>
    </row>
    <row r="164" spans="1:13">
      <c r="E164" s="4">
        <f t="shared" si="51"/>
        <v>164</v>
      </c>
      <c r="F164" s="9" t="s">
        <v>143</v>
      </c>
      <c r="G164" s="9">
        <v>45</v>
      </c>
      <c r="H164" s="9">
        <v>-45</v>
      </c>
      <c r="I164" s="9">
        <v>-15</v>
      </c>
      <c r="J164" s="9" t="s">
        <v>234</v>
      </c>
      <c r="L164" s="9" t="s">
        <v>134</v>
      </c>
      <c r="M164" s="23">
        <f t="shared" ref="M164" si="62">IF(MOD(QUOTIENT(D153-1,$G$10),2)=0,$G$20+$I$20*MOD(D153-1,$G$10),$H$20+$J$20*MOD(D153-1,$G$10))</f>
        <v>30</v>
      </c>
    </row>
    <row r="165" spans="1:13">
      <c r="A165" s="22" t="s">
        <v>227</v>
      </c>
      <c r="B165" s="22">
        <f t="shared" ref="B165" si="63">QUOTIENT( D165-1,G166)+1</f>
        <v>2</v>
      </c>
      <c r="C165" s="22">
        <f t="shared" ref="C165" si="64">D165-(B165-1)*G166</f>
        <v>7</v>
      </c>
      <c r="D165" s="22">
        <f>COUNT($D$8:$D164)+1</f>
        <v>14</v>
      </c>
      <c r="E165" s="4"/>
    </row>
    <row r="166" spans="1:13">
      <c r="E166" s="4">
        <f t="shared" si="51"/>
        <v>166</v>
      </c>
      <c r="F166" s="9" t="s">
        <v>93</v>
      </c>
      <c r="G166" s="9" t="s">
        <v>39</v>
      </c>
      <c r="H166" s="9" t="s">
        <v>39</v>
      </c>
      <c r="J166" s="9">
        <v>11200</v>
      </c>
      <c r="M166" s="23">
        <f t="shared" ref="M166" si="65">$J$10+D165</f>
        <v>11214</v>
      </c>
    </row>
    <row r="167" spans="1:13">
      <c r="E167" s="4">
        <f t="shared" si="51"/>
        <v>167</v>
      </c>
      <c r="F167" s="9" t="s">
        <v>144</v>
      </c>
      <c r="M167" s="23">
        <v>104020</v>
      </c>
    </row>
    <row r="168" spans="1:13">
      <c r="E168" s="4">
        <f t="shared" si="51"/>
        <v>168</v>
      </c>
      <c r="F168" s="9" t="s">
        <v>126</v>
      </c>
      <c r="G168" s="9">
        <v>10</v>
      </c>
      <c r="I168" s="9">
        <v>11</v>
      </c>
      <c r="J168" s="9" t="s">
        <v>229</v>
      </c>
      <c r="M168" s="23">
        <f t="shared" ref="M168" si="66">G168*D165+$I$12+D165*J168</f>
        <v>137</v>
      </c>
    </row>
    <row r="169" spans="1:13">
      <c r="E169" s="4">
        <f t="shared" si="51"/>
        <v>169</v>
      </c>
      <c r="F169" s="9" t="s">
        <v>35</v>
      </c>
      <c r="M169" s="23">
        <v>1000</v>
      </c>
    </row>
    <row r="170" spans="1:13">
      <c r="E170" s="4">
        <f t="shared" si="51"/>
        <v>170</v>
      </c>
      <c r="F170" s="9" t="s">
        <v>29</v>
      </c>
      <c r="M170" s="23" t="s">
        <v>231</v>
      </c>
    </row>
    <row r="171" spans="1:13">
      <c r="E171" s="4">
        <f t="shared" si="51"/>
        <v>171</v>
      </c>
      <c r="F171" s="9" t="s">
        <v>118</v>
      </c>
      <c r="M171" s="23" t="s">
        <v>232</v>
      </c>
    </row>
    <row r="172" spans="1:13">
      <c r="E172" s="4">
        <f t="shared" si="51"/>
        <v>172</v>
      </c>
      <c r="F172" s="9" t="s">
        <v>114</v>
      </c>
      <c r="M172" s="23" t="b">
        <v>1</v>
      </c>
    </row>
    <row r="173" spans="1:13">
      <c r="E173" s="4">
        <f t="shared" si="51"/>
        <v>173</v>
      </c>
      <c r="F173" s="9" t="s">
        <v>98</v>
      </c>
      <c r="K173" s="9" t="s">
        <v>137</v>
      </c>
      <c r="M173" s="23">
        <v>2</v>
      </c>
    </row>
    <row r="174" spans="1:13">
      <c r="E174" s="4">
        <f t="shared" si="51"/>
        <v>174</v>
      </c>
      <c r="F174" s="9" t="s">
        <v>30</v>
      </c>
      <c r="M174" s="23">
        <v>4.07</v>
      </c>
    </row>
    <row r="175" spans="1:13">
      <c r="E175" s="4">
        <f t="shared" si="51"/>
        <v>175</v>
      </c>
      <c r="F175" s="9" t="s">
        <v>31</v>
      </c>
      <c r="L175" s="9" t="s">
        <v>135</v>
      </c>
      <c r="M175" s="23" t="s">
        <v>233</v>
      </c>
    </row>
    <row r="176" spans="1:13">
      <c r="E176" s="4">
        <f t="shared" si="51"/>
        <v>176</v>
      </c>
      <c r="F176" s="9" t="s">
        <v>143</v>
      </c>
      <c r="G176" s="9">
        <v>45</v>
      </c>
      <c r="H176" s="9">
        <v>-45</v>
      </c>
      <c r="I176" s="9">
        <v>-15</v>
      </c>
      <c r="J176" s="9" t="s">
        <v>234</v>
      </c>
      <c r="L176" s="9" t="s">
        <v>134</v>
      </c>
      <c r="M176" s="23">
        <f t="shared" ref="M176" si="67">IF(MOD(QUOTIENT(D165-1,$G$10),2)=0,$G$20+$I$20*MOD(D165-1,$G$10),$H$20+$J$20*MOD(D165-1,$G$10))</f>
        <v>45</v>
      </c>
    </row>
    <row r="177" spans="1:13">
      <c r="A177" s="22" t="s">
        <v>227</v>
      </c>
      <c r="B177" s="22">
        <f t="shared" ref="B177" si="68">QUOTIENT( D177-1,G178)+1</f>
        <v>3</v>
      </c>
      <c r="C177" s="22">
        <f t="shared" ref="C177" si="69">D177-(B177-1)*G178</f>
        <v>1</v>
      </c>
      <c r="D177" s="22">
        <f>COUNT($D$8:$D176)+1</f>
        <v>15</v>
      </c>
      <c r="E177" s="4"/>
    </row>
    <row r="178" spans="1:13">
      <c r="E178" s="4">
        <f t="shared" si="51"/>
        <v>178</v>
      </c>
      <c r="F178" s="9" t="s">
        <v>93</v>
      </c>
      <c r="G178" s="9" t="s">
        <v>39</v>
      </c>
      <c r="H178" s="9" t="s">
        <v>39</v>
      </c>
      <c r="J178" s="9">
        <v>11200</v>
      </c>
      <c r="M178" s="23">
        <f t="shared" ref="M178" si="70">$J$10+D177</f>
        <v>11215</v>
      </c>
    </row>
    <row r="179" spans="1:13">
      <c r="E179" s="4">
        <f t="shared" si="51"/>
        <v>179</v>
      </c>
      <c r="F179" s="9" t="s">
        <v>144</v>
      </c>
      <c r="M179" s="23">
        <v>104020</v>
      </c>
    </row>
    <row r="180" spans="1:13">
      <c r="E180" s="4">
        <f t="shared" si="51"/>
        <v>180</v>
      </c>
      <c r="F180" s="9" t="s">
        <v>126</v>
      </c>
      <c r="G180" s="9">
        <v>10</v>
      </c>
      <c r="I180" s="9">
        <v>11</v>
      </c>
      <c r="J180" s="9" t="s">
        <v>229</v>
      </c>
      <c r="M180" s="23">
        <f t="shared" ref="M180" si="71">G180*D177+$I$12+D177*J180</f>
        <v>146</v>
      </c>
    </row>
    <row r="181" spans="1:13">
      <c r="E181" s="4">
        <f t="shared" si="51"/>
        <v>181</v>
      </c>
      <c r="F181" s="9" t="s">
        <v>35</v>
      </c>
      <c r="M181" s="23">
        <v>1000</v>
      </c>
    </row>
    <row r="182" spans="1:13">
      <c r="E182" s="4">
        <f t="shared" si="51"/>
        <v>182</v>
      </c>
      <c r="F182" s="9" t="s">
        <v>29</v>
      </c>
      <c r="M182" s="23" t="s">
        <v>231</v>
      </c>
    </row>
    <row r="183" spans="1:13">
      <c r="E183" s="4">
        <f t="shared" si="51"/>
        <v>183</v>
      </c>
      <c r="F183" s="9" t="s">
        <v>118</v>
      </c>
      <c r="M183" s="23" t="s">
        <v>232</v>
      </c>
    </row>
    <row r="184" spans="1:13">
      <c r="E184" s="4">
        <f t="shared" si="51"/>
        <v>184</v>
      </c>
      <c r="F184" s="9" t="s">
        <v>114</v>
      </c>
      <c r="M184" s="23" t="b">
        <v>1</v>
      </c>
    </row>
    <row r="185" spans="1:13">
      <c r="E185" s="4">
        <f t="shared" si="51"/>
        <v>185</v>
      </c>
      <c r="F185" s="9" t="s">
        <v>98</v>
      </c>
      <c r="K185" s="9" t="s">
        <v>137</v>
      </c>
      <c r="M185" s="23">
        <v>2</v>
      </c>
    </row>
    <row r="186" spans="1:13">
      <c r="E186" s="4">
        <f t="shared" si="51"/>
        <v>186</v>
      </c>
      <c r="F186" s="9" t="s">
        <v>30</v>
      </c>
      <c r="M186" s="23">
        <v>4.07</v>
      </c>
    </row>
    <row r="187" spans="1:13">
      <c r="E187" s="4">
        <f t="shared" si="51"/>
        <v>187</v>
      </c>
      <c r="F187" s="9" t="s">
        <v>31</v>
      </c>
      <c r="L187" s="9" t="s">
        <v>135</v>
      </c>
      <c r="M187" s="23" t="s">
        <v>233</v>
      </c>
    </row>
    <row r="188" spans="1:13">
      <c r="E188" s="4">
        <f t="shared" si="51"/>
        <v>188</v>
      </c>
      <c r="F188" s="9" t="s">
        <v>143</v>
      </c>
      <c r="G188" s="9">
        <v>45</v>
      </c>
      <c r="H188" s="9">
        <v>-45</v>
      </c>
      <c r="I188" s="9">
        <v>-15</v>
      </c>
      <c r="J188" s="9" t="s">
        <v>234</v>
      </c>
      <c r="L188" s="9" t="s">
        <v>134</v>
      </c>
      <c r="M188" s="23">
        <f t="shared" ref="M188" si="72">IF(MOD(QUOTIENT(D177-1,$G$10),2)=0,$G$20+$I$20*MOD(D177-1,$G$10),$H$20+$J$20*MOD(D177-1,$G$10))</f>
        <v>45</v>
      </c>
    </row>
    <row r="189" spans="1:13">
      <c r="A189" s="22" t="s">
        <v>227</v>
      </c>
      <c r="B189" s="22">
        <f t="shared" ref="B189" si="73">QUOTIENT( D189-1,G190)+1</f>
        <v>3</v>
      </c>
      <c r="C189" s="22">
        <f t="shared" ref="C189" si="74">D189-(B189-1)*G190</f>
        <v>2</v>
      </c>
      <c r="D189" s="22">
        <f>COUNT($D$8:$D188)+1</f>
        <v>16</v>
      </c>
      <c r="E189" s="4"/>
    </row>
    <row r="190" spans="1:13">
      <c r="E190" s="4">
        <f t="shared" si="51"/>
        <v>190</v>
      </c>
      <c r="F190" s="9" t="s">
        <v>93</v>
      </c>
      <c r="G190" s="9" t="s">
        <v>39</v>
      </c>
      <c r="H190" s="9" t="s">
        <v>39</v>
      </c>
      <c r="J190" s="9">
        <v>11200</v>
      </c>
      <c r="M190" s="23">
        <f t="shared" ref="M190" si="75">$J$10+D189</f>
        <v>11216</v>
      </c>
    </row>
    <row r="191" spans="1:13">
      <c r="E191" s="4">
        <f t="shared" si="51"/>
        <v>191</v>
      </c>
      <c r="F191" s="9" t="s">
        <v>144</v>
      </c>
      <c r="M191" s="23">
        <v>104020</v>
      </c>
    </row>
    <row r="192" spans="1:13">
      <c r="E192" s="4">
        <f t="shared" si="51"/>
        <v>192</v>
      </c>
      <c r="F192" s="9" t="s">
        <v>126</v>
      </c>
      <c r="G192" s="9">
        <v>10</v>
      </c>
      <c r="I192" s="9">
        <v>11</v>
      </c>
      <c r="J192" s="9" t="s">
        <v>229</v>
      </c>
      <c r="M192" s="23">
        <f t="shared" ref="M192" si="76">G192*D189+$I$12+D189*J192</f>
        <v>155</v>
      </c>
    </row>
    <row r="193" spans="1:13">
      <c r="E193" s="4">
        <f t="shared" si="51"/>
        <v>193</v>
      </c>
      <c r="F193" s="9" t="s">
        <v>35</v>
      </c>
      <c r="M193" s="23">
        <v>1000</v>
      </c>
    </row>
    <row r="194" spans="1:13">
      <c r="E194" s="4">
        <f t="shared" si="51"/>
        <v>194</v>
      </c>
      <c r="F194" s="9" t="s">
        <v>29</v>
      </c>
      <c r="M194" s="23" t="s">
        <v>231</v>
      </c>
    </row>
    <row r="195" spans="1:13">
      <c r="E195" s="4">
        <f t="shared" si="51"/>
        <v>195</v>
      </c>
      <c r="F195" s="9" t="s">
        <v>118</v>
      </c>
      <c r="M195" s="23" t="s">
        <v>232</v>
      </c>
    </row>
    <row r="196" spans="1:13">
      <c r="E196" s="4">
        <f t="shared" si="51"/>
        <v>196</v>
      </c>
      <c r="F196" s="9" t="s">
        <v>114</v>
      </c>
      <c r="M196" s="23" t="b">
        <v>1</v>
      </c>
    </row>
    <row r="197" spans="1:13">
      <c r="E197" s="4">
        <f t="shared" si="51"/>
        <v>197</v>
      </c>
      <c r="F197" s="9" t="s">
        <v>98</v>
      </c>
      <c r="K197" s="9" t="s">
        <v>137</v>
      </c>
      <c r="M197" s="23">
        <v>2</v>
      </c>
    </row>
    <row r="198" spans="1:13">
      <c r="E198" s="4">
        <f t="shared" si="51"/>
        <v>198</v>
      </c>
      <c r="F198" s="9" t="s">
        <v>30</v>
      </c>
      <c r="M198" s="23">
        <v>4.07</v>
      </c>
    </row>
    <row r="199" spans="1:13">
      <c r="E199" s="4">
        <f t="shared" si="51"/>
        <v>199</v>
      </c>
      <c r="F199" s="9" t="s">
        <v>31</v>
      </c>
      <c r="L199" s="9" t="s">
        <v>135</v>
      </c>
      <c r="M199" s="23" t="s">
        <v>233</v>
      </c>
    </row>
    <row r="200" spans="1:13">
      <c r="E200" s="4">
        <f t="shared" si="51"/>
        <v>200</v>
      </c>
      <c r="F200" s="9" t="s">
        <v>143</v>
      </c>
      <c r="G200" s="9">
        <v>45</v>
      </c>
      <c r="H200" s="9">
        <v>-45</v>
      </c>
      <c r="I200" s="9">
        <v>-15</v>
      </c>
      <c r="J200" s="9" t="s">
        <v>234</v>
      </c>
      <c r="L200" s="9" t="s">
        <v>134</v>
      </c>
      <c r="M200" s="23">
        <f t="shared" ref="M200" si="77">IF(MOD(QUOTIENT(D189-1,$G$10),2)=0,$G$20+$I$20*MOD(D189-1,$G$10),$H$20+$J$20*MOD(D189-1,$G$10))</f>
        <v>30</v>
      </c>
    </row>
    <row r="201" spans="1:13">
      <c r="A201" s="22" t="s">
        <v>227</v>
      </c>
      <c r="B201" s="22">
        <f t="shared" ref="B201" si="78">QUOTIENT( D201-1,G202)+1</f>
        <v>3</v>
      </c>
      <c r="C201" s="22">
        <f t="shared" ref="C201" si="79">D201-(B201-1)*G202</f>
        <v>3</v>
      </c>
      <c r="D201" s="22">
        <f>COUNT($D$8:$D200)+1</f>
        <v>17</v>
      </c>
      <c r="E201" s="4"/>
    </row>
    <row r="202" spans="1:13">
      <c r="E202" s="4">
        <f t="shared" ref="E202:E265" si="80">ROW(E202)</f>
        <v>202</v>
      </c>
      <c r="F202" s="9" t="s">
        <v>93</v>
      </c>
      <c r="G202" s="9" t="s">
        <v>39</v>
      </c>
      <c r="H202" s="9" t="s">
        <v>39</v>
      </c>
      <c r="J202" s="9">
        <v>11200</v>
      </c>
      <c r="M202" s="23">
        <f t="shared" ref="M202" si="81">$J$10+D201</f>
        <v>11217</v>
      </c>
    </row>
    <row r="203" spans="1:13">
      <c r="E203" s="4">
        <f t="shared" si="80"/>
        <v>203</v>
      </c>
      <c r="F203" s="9" t="s">
        <v>144</v>
      </c>
      <c r="M203" s="23">
        <v>104020</v>
      </c>
    </row>
    <row r="204" spans="1:13">
      <c r="E204" s="4">
        <f t="shared" si="80"/>
        <v>204</v>
      </c>
      <c r="F204" s="9" t="s">
        <v>126</v>
      </c>
      <c r="G204" s="9">
        <v>10</v>
      </c>
      <c r="I204" s="9">
        <v>11</v>
      </c>
      <c r="J204" s="9" t="s">
        <v>229</v>
      </c>
      <c r="M204" s="23">
        <f t="shared" ref="M204" si="82">G204*D201+$I$12+D201*J204</f>
        <v>164</v>
      </c>
    </row>
    <row r="205" spans="1:13">
      <c r="E205" s="4">
        <f t="shared" si="80"/>
        <v>205</v>
      </c>
      <c r="F205" s="9" t="s">
        <v>35</v>
      </c>
      <c r="M205" s="23">
        <v>1000</v>
      </c>
    </row>
    <row r="206" spans="1:13">
      <c r="E206" s="4">
        <f t="shared" si="80"/>
        <v>206</v>
      </c>
      <c r="F206" s="9" t="s">
        <v>29</v>
      </c>
      <c r="M206" s="23" t="s">
        <v>231</v>
      </c>
    </row>
    <row r="207" spans="1:13">
      <c r="E207" s="4">
        <f t="shared" si="80"/>
        <v>207</v>
      </c>
      <c r="F207" s="9" t="s">
        <v>118</v>
      </c>
      <c r="M207" s="23" t="s">
        <v>232</v>
      </c>
    </row>
    <row r="208" spans="1:13">
      <c r="E208" s="4">
        <f t="shared" si="80"/>
        <v>208</v>
      </c>
      <c r="F208" s="9" t="s">
        <v>114</v>
      </c>
      <c r="M208" s="23" t="b">
        <v>1</v>
      </c>
    </row>
    <row r="209" spans="1:13">
      <c r="E209" s="4">
        <f t="shared" si="80"/>
        <v>209</v>
      </c>
      <c r="F209" s="9" t="s">
        <v>98</v>
      </c>
      <c r="K209" s="9" t="s">
        <v>137</v>
      </c>
      <c r="M209" s="23">
        <v>2</v>
      </c>
    </row>
    <row r="210" spans="1:13">
      <c r="E210" s="4">
        <f t="shared" si="80"/>
        <v>210</v>
      </c>
      <c r="F210" s="9" t="s">
        <v>30</v>
      </c>
      <c r="M210" s="23">
        <v>4.07</v>
      </c>
    </row>
    <row r="211" spans="1:13">
      <c r="E211" s="4">
        <f t="shared" si="80"/>
        <v>211</v>
      </c>
      <c r="F211" s="9" t="s">
        <v>31</v>
      </c>
      <c r="L211" s="9" t="s">
        <v>135</v>
      </c>
      <c r="M211" s="23" t="s">
        <v>233</v>
      </c>
    </row>
    <row r="212" spans="1:13">
      <c r="E212" s="4">
        <f t="shared" si="80"/>
        <v>212</v>
      </c>
      <c r="F212" s="9" t="s">
        <v>143</v>
      </c>
      <c r="G212" s="9">
        <v>45</v>
      </c>
      <c r="H212" s="9">
        <v>-45</v>
      </c>
      <c r="I212" s="9">
        <v>-15</v>
      </c>
      <c r="J212" s="9" t="s">
        <v>234</v>
      </c>
      <c r="L212" s="9" t="s">
        <v>134</v>
      </c>
      <c r="M212" s="23">
        <f t="shared" ref="M212" si="83">IF(MOD(QUOTIENT(D201-1,$G$10),2)=0,$G$20+$I$20*MOD(D201-1,$G$10),$H$20+$J$20*MOD(D201-1,$G$10))</f>
        <v>15</v>
      </c>
    </row>
    <row r="213" spans="1:13">
      <c r="A213" s="22" t="s">
        <v>227</v>
      </c>
      <c r="B213" s="22">
        <f t="shared" ref="B213" si="84">QUOTIENT( D213-1,G214)+1</f>
        <v>3</v>
      </c>
      <c r="C213" s="22">
        <f t="shared" ref="C213" si="85">D213-(B213-1)*G214</f>
        <v>4</v>
      </c>
      <c r="D213" s="22">
        <f>COUNT($D$8:$D212)+1</f>
        <v>18</v>
      </c>
      <c r="E213" s="4"/>
    </row>
    <row r="214" spans="1:13">
      <c r="E214" s="4">
        <f t="shared" si="80"/>
        <v>214</v>
      </c>
      <c r="F214" s="9" t="s">
        <v>93</v>
      </c>
      <c r="G214" s="9" t="s">
        <v>39</v>
      </c>
      <c r="H214" s="9" t="s">
        <v>39</v>
      </c>
      <c r="J214" s="9">
        <v>11200</v>
      </c>
      <c r="M214" s="23">
        <f t="shared" ref="M214" si="86">$J$10+D213</f>
        <v>11218</v>
      </c>
    </row>
    <row r="215" spans="1:13">
      <c r="E215" s="4">
        <f t="shared" si="80"/>
        <v>215</v>
      </c>
      <c r="F215" s="9" t="s">
        <v>144</v>
      </c>
      <c r="M215" s="23">
        <v>104020</v>
      </c>
    </row>
    <row r="216" spans="1:13">
      <c r="E216" s="4">
        <f t="shared" si="80"/>
        <v>216</v>
      </c>
      <c r="F216" s="9" t="s">
        <v>126</v>
      </c>
      <c r="G216" s="9">
        <v>10</v>
      </c>
      <c r="I216" s="9">
        <v>11</v>
      </c>
      <c r="J216" s="9" t="s">
        <v>229</v>
      </c>
      <c r="M216" s="23">
        <f t="shared" ref="M216" si="87">G216*D213+$I$12+D213*J216</f>
        <v>173</v>
      </c>
    </row>
    <row r="217" spans="1:13">
      <c r="E217" s="4">
        <f t="shared" si="80"/>
        <v>217</v>
      </c>
      <c r="F217" s="9" t="s">
        <v>35</v>
      </c>
      <c r="M217" s="23">
        <v>1000</v>
      </c>
    </row>
    <row r="218" spans="1:13">
      <c r="E218" s="4">
        <f t="shared" si="80"/>
        <v>218</v>
      </c>
      <c r="F218" s="9" t="s">
        <v>29</v>
      </c>
      <c r="M218" s="23" t="s">
        <v>231</v>
      </c>
    </row>
    <row r="219" spans="1:13">
      <c r="E219" s="4">
        <f t="shared" si="80"/>
        <v>219</v>
      </c>
      <c r="F219" s="9" t="s">
        <v>118</v>
      </c>
      <c r="M219" s="23" t="s">
        <v>232</v>
      </c>
    </row>
    <row r="220" spans="1:13">
      <c r="E220" s="4">
        <f t="shared" si="80"/>
        <v>220</v>
      </c>
      <c r="F220" s="9" t="s">
        <v>114</v>
      </c>
      <c r="M220" s="23" t="b">
        <v>1</v>
      </c>
    </row>
    <row r="221" spans="1:13">
      <c r="E221" s="4">
        <f t="shared" si="80"/>
        <v>221</v>
      </c>
      <c r="F221" s="9" t="s">
        <v>98</v>
      </c>
      <c r="K221" s="9" t="s">
        <v>137</v>
      </c>
      <c r="M221" s="23">
        <v>2</v>
      </c>
    </row>
    <row r="222" spans="1:13">
      <c r="E222" s="4">
        <f t="shared" si="80"/>
        <v>222</v>
      </c>
      <c r="F222" s="9" t="s">
        <v>30</v>
      </c>
      <c r="M222" s="23">
        <v>4.07</v>
      </c>
    </row>
    <row r="223" spans="1:13">
      <c r="E223" s="4">
        <f t="shared" si="80"/>
        <v>223</v>
      </c>
      <c r="F223" s="9" t="s">
        <v>31</v>
      </c>
      <c r="L223" s="9" t="s">
        <v>135</v>
      </c>
      <c r="M223" s="23" t="s">
        <v>233</v>
      </c>
    </row>
    <row r="224" spans="1:13">
      <c r="E224" s="4">
        <f t="shared" si="80"/>
        <v>224</v>
      </c>
      <c r="F224" s="9" t="s">
        <v>143</v>
      </c>
      <c r="G224" s="9">
        <v>45</v>
      </c>
      <c r="H224" s="9">
        <v>-45</v>
      </c>
      <c r="I224" s="9">
        <v>-15</v>
      </c>
      <c r="J224" s="9" t="s">
        <v>234</v>
      </c>
      <c r="L224" s="9" t="s">
        <v>134</v>
      </c>
      <c r="M224" s="23">
        <f t="shared" ref="M224" si="88">IF(MOD(QUOTIENT(D213-1,$G$10),2)=0,$G$20+$I$20*MOD(D213-1,$G$10),$H$20+$J$20*MOD(D213-1,$G$10))</f>
        <v>0</v>
      </c>
    </row>
    <row r="225" spans="1:13">
      <c r="A225" s="22" t="s">
        <v>227</v>
      </c>
      <c r="B225" s="22">
        <f t="shared" ref="B225" si="89">QUOTIENT( D225-1,G226)+1</f>
        <v>3</v>
      </c>
      <c r="C225" s="22">
        <f t="shared" ref="C225" si="90">D225-(B225-1)*G226</f>
        <v>5</v>
      </c>
      <c r="D225" s="22">
        <f>COUNT($D$8:$D224)+1</f>
        <v>19</v>
      </c>
      <c r="E225" s="4"/>
    </row>
    <row r="226" spans="1:13">
      <c r="E226" s="4">
        <f t="shared" si="80"/>
        <v>226</v>
      </c>
      <c r="F226" s="9" t="s">
        <v>93</v>
      </c>
      <c r="G226" s="9" t="s">
        <v>39</v>
      </c>
      <c r="H226" s="9" t="s">
        <v>39</v>
      </c>
      <c r="J226" s="9">
        <v>11200</v>
      </c>
      <c r="M226" s="23">
        <f t="shared" ref="M226" si="91">$J$10+D225</f>
        <v>11219</v>
      </c>
    </row>
    <row r="227" spans="1:13">
      <c r="E227" s="4">
        <f t="shared" si="80"/>
        <v>227</v>
      </c>
      <c r="F227" s="9" t="s">
        <v>144</v>
      </c>
      <c r="M227" s="23">
        <v>104020</v>
      </c>
    </row>
    <row r="228" spans="1:13">
      <c r="E228" s="4">
        <f t="shared" si="80"/>
        <v>228</v>
      </c>
      <c r="F228" s="9" t="s">
        <v>126</v>
      </c>
      <c r="G228" s="9">
        <v>10</v>
      </c>
      <c r="I228" s="9">
        <v>11</v>
      </c>
      <c r="J228" s="9" t="s">
        <v>229</v>
      </c>
      <c r="M228" s="23">
        <f t="shared" ref="M228" si="92">G228*D225+$I$12+D225*J228</f>
        <v>182</v>
      </c>
    </row>
    <row r="229" spans="1:13">
      <c r="E229" s="4">
        <f t="shared" si="80"/>
        <v>229</v>
      </c>
      <c r="F229" s="9" t="s">
        <v>35</v>
      </c>
      <c r="M229" s="23">
        <v>1000</v>
      </c>
    </row>
    <row r="230" spans="1:13">
      <c r="E230" s="4">
        <f t="shared" si="80"/>
        <v>230</v>
      </c>
      <c r="F230" s="9" t="s">
        <v>29</v>
      </c>
      <c r="M230" s="23" t="s">
        <v>231</v>
      </c>
    </row>
    <row r="231" spans="1:13">
      <c r="E231" s="4">
        <f t="shared" si="80"/>
        <v>231</v>
      </c>
      <c r="F231" s="9" t="s">
        <v>118</v>
      </c>
      <c r="M231" s="23" t="s">
        <v>232</v>
      </c>
    </row>
    <row r="232" spans="1:13">
      <c r="E232" s="4">
        <f t="shared" si="80"/>
        <v>232</v>
      </c>
      <c r="F232" s="9" t="s">
        <v>114</v>
      </c>
      <c r="M232" s="23" t="b">
        <v>1</v>
      </c>
    </row>
    <row r="233" spans="1:13">
      <c r="E233" s="4">
        <f t="shared" si="80"/>
        <v>233</v>
      </c>
      <c r="F233" s="9" t="s">
        <v>98</v>
      </c>
      <c r="K233" s="9" t="s">
        <v>137</v>
      </c>
      <c r="M233" s="23">
        <v>2</v>
      </c>
    </row>
    <row r="234" spans="1:13">
      <c r="E234" s="4">
        <f t="shared" si="80"/>
        <v>234</v>
      </c>
      <c r="F234" s="9" t="s">
        <v>30</v>
      </c>
      <c r="M234" s="23">
        <v>4.07</v>
      </c>
    </row>
    <row r="235" spans="1:13">
      <c r="E235" s="4">
        <f t="shared" si="80"/>
        <v>235</v>
      </c>
      <c r="F235" s="9" t="s">
        <v>31</v>
      </c>
      <c r="L235" s="9" t="s">
        <v>135</v>
      </c>
      <c r="M235" s="23" t="s">
        <v>233</v>
      </c>
    </row>
    <row r="236" spans="1:13">
      <c r="E236" s="4">
        <f t="shared" si="80"/>
        <v>236</v>
      </c>
      <c r="F236" s="9" t="s">
        <v>143</v>
      </c>
      <c r="G236" s="9">
        <v>45</v>
      </c>
      <c r="H236" s="9">
        <v>-45</v>
      </c>
      <c r="I236" s="9">
        <v>-15</v>
      </c>
      <c r="J236" s="9" t="s">
        <v>234</v>
      </c>
      <c r="L236" s="9" t="s">
        <v>134</v>
      </c>
      <c r="M236" s="23">
        <f t="shared" ref="M236" si="93">IF(MOD(QUOTIENT(D225-1,$G$10),2)=0,$G$20+$I$20*MOD(D225-1,$G$10),$H$20+$J$20*MOD(D225-1,$G$10))</f>
        <v>-15</v>
      </c>
    </row>
    <row r="237" spans="1:13">
      <c r="A237" s="22" t="s">
        <v>227</v>
      </c>
      <c r="B237" s="22">
        <f t="shared" ref="B237" si="94">QUOTIENT( D237-1,G238)+1</f>
        <v>3</v>
      </c>
      <c r="C237" s="22">
        <f t="shared" ref="C237" si="95">D237-(B237-1)*G238</f>
        <v>6</v>
      </c>
      <c r="D237" s="22">
        <f>COUNT($D$8:$D236)+1</f>
        <v>20</v>
      </c>
      <c r="E237" s="4"/>
    </row>
    <row r="238" spans="1:13">
      <c r="E238" s="4">
        <f t="shared" si="80"/>
        <v>238</v>
      </c>
      <c r="F238" s="9" t="s">
        <v>93</v>
      </c>
      <c r="G238" s="9" t="s">
        <v>39</v>
      </c>
      <c r="H238" s="9" t="s">
        <v>39</v>
      </c>
      <c r="J238" s="9">
        <v>11200</v>
      </c>
      <c r="M238" s="23">
        <f t="shared" ref="M238" si="96">$J$10+D237</f>
        <v>11220</v>
      </c>
    </row>
    <row r="239" spans="1:13">
      <c r="E239" s="4">
        <f t="shared" si="80"/>
        <v>239</v>
      </c>
      <c r="F239" s="9" t="s">
        <v>144</v>
      </c>
      <c r="M239" s="23">
        <v>104020</v>
      </c>
    </row>
    <row r="240" spans="1:13">
      <c r="E240" s="4">
        <f t="shared" si="80"/>
        <v>240</v>
      </c>
      <c r="F240" s="9" t="s">
        <v>126</v>
      </c>
      <c r="G240" s="9">
        <v>10</v>
      </c>
      <c r="I240" s="9">
        <v>11</v>
      </c>
      <c r="J240" s="9" t="s">
        <v>229</v>
      </c>
      <c r="M240" s="23">
        <f t="shared" ref="M240" si="97">G240*D237+$I$12+D237*J240</f>
        <v>191</v>
      </c>
    </row>
    <row r="241" spans="1:13">
      <c r="E241" s="4">
        <f t="shared" si="80"/>
        <v>241</v>
      </c>
      <c r="F241" s="9" t="s">
        <v>35</v>
      </c>
      <c r="M241" s="23">
        <v>1000</v>
      </c>
    </row>
    <row r="242" spans="1:13">
      <c r="E242" s="4">
        <f t="shared" si="80"/>
        <v>242</v>
      </c>
      <c r="F242" s="9" t="s">
        <v>29</v>
      </c>
      <c r="M242" s="23" t="s">
        <v>231</v>
      </c>
    </row>
    <row r="243" spans="1:13">
      <c r="E243" s="4">
        <f t="shared" si="80"/>
        <v>243</v>
      </c>
      <c r="F243" s="9" t="s">
        <v>118</v>
      </c>
      <c r="M243" s="23" t="s">
        <v>232</v>
      </c>
    </row>
    <row r="244" spans="1:13">
      <c r="E244" s="4">
        <f t="shared" si="80"/>
        <v>244</v>
      </c>
      <c r="F244" s="9" t="s">
        <v>114</v>
      </c>
      <c r="M244" s="23" t="b">
        <v>1</v>
      </c>
    </row>
    <row r="245" spans="1:13">
      <c r="E245" s="4">
        <f t="shared" si="80"/>
        <v>245</v>
      </c>
      <c r="F245" s="9" t="s">
        <v>98</v>
      </c>
      <c r="K245" s="9" t="s">
        <v>137</v>
      </c>
      <c r="M245" s="23">
        <v>2</v>
      </c>
    </row>
    <row r="246" spans="1:13">
      <c r="E246" s="4">
        <f t="shared" si="80"/>
        <v>246</v>
      </c>
      <c r="F246" s="9" t="s">
        <v>30</v>
      </c>
      <c r="M246" s="23">
        <v>4.07</v>
      </c>
    </row>
    <row r="247" spans="1:13">
      <c r="E247" s="4">
        <f t="shared" si="80"/>
        <v>247</v>
      </c>
      <c r="F247" s="9" t="s">
        <v>31</v>
      </c>
      <c r="L247" s="9" t="s">
        <v>135</v>
      </c>
      <c r="M247" s="23" t="s">
        <v>233</v>
      </c>
    </row>
    <row r="248" spans="1:13">
      <c r="E248" s="4">
        <f t="shared" si="80"/>
        <v>248</v>
      </c>
      <c r="F248" s="9" t="s">
        <v>143</v>
      </c>
      <c r="G248" s="9">
        <v>45</v>
      </c>
      <c r="H248" s="9">
        <v>-45</v>
      </c>
      <c r="I248" s="9">
        <v>-15</v>
      </c>
      <c r="J248" s="9" t="s">
        <v>234</v>
      </c>
      <c r="L248" s="9" t="s">
        <v>134</v>
      </c>
      <c r="M248" s="23">
        <f t="shared" ref="M248" si="98">IF(MOD(QUOTIENT(D237-1,$G$10),2)=0,$G$20+$I$20*MOD(D237-1,$G$10),$H$20+$J$20*MOD(D237-1,$G$10))</f>
        <v>-30</v>
      </c>
    </row>
    <row r="249" spans="1:13">
      <c r="A249" s="22" t="s">
        <v>227</v>
      </c>
      <c r="B249" s="22">
        <f t="shared" ref="B249" si="99">QUOTIENT( D249-1,G250)+1</f>
        <v>3</v>
      </c>
      <c r="C249" s="22">
        <f t="shared" ref="C249" si="100">D249-(B249-1)*G250</f>
        <v>7</v>
      </c>
      <c r="D249" s="22">
        <f>COUNT($D$8:$D248)+1</f>
        <v>21</v>
      </c>
      <c r="E249" s="4"/>
    </row>
    <row r="250" spans="1:13">
      <c r="E250" s="4">
        <f t="shared" si="80"/>
        <v>250</v>
      </c>
      <c r="F250" s="9" t="s">
        <v>93</v>
      </c>
      <c r="G250" s="9" t="s">
        <v>39</v>
      </c>
      <c r="H250" s="9" t="s">
        <v>39</v>
      </c>
      <c r="J250" s="9">
        <v>11200</v>
      </c>
      <c r="M250" s="23">
        <f t="shared" ref="M250" si="101">$J$10+D249</f>
        <v>11221</v>
      </c>
    </row>
    <row r="251" spans="1:13">
      <c r="E251" s="4">
        <f t="shared" si="80"/>
        <v>251</v>
      </c>
      <c r="F251" s="9" t="s">
        <v>144</v>
      </c>
      <c r="M251" s="23">
        <v>104020</v>
      </c>
    </row>
    <row r="252" spans="1:13">
      <c r="E252" s="4">
        <f t="shared" si="80"/>
        <v>252</v>
      </c>
      <c r="F252" s="9" t="s">
        <v>126</v>
      </c>
      <c r="G252" s="9">
        <v>10</v>
      </c>
      <c r="I252" s="9">
        <v>11</v>
      </c>
      <c r="J252" s="9" t="s">
        <v>229</v>
      </c>
      <c r="M252" s="23">
        <f t="shared" ref="M252" si="102">G252*D249+$I$12+D249*J252</f>
        <v>200</v>
      </c>
    </row>
    <row r="253" spans="1:13">
      <c r="E253" s="4">
        <f t="shared" si="80"/>
        <v>253</v>
      </c>
      <c r="F253" s="9" t="s">
        <v>35</v>
      </c>
      <c r="M253" s="23">
        <v>1000</v>
      </c>
    </row>
    <row r="254" spans="1:13">
      <c r="E254" s="4">
        <f t="shared" si="80"/>
        <v>254</v>
      </c>
      <c r="F254" s="9" t="s">
        <v>29</v>
      </c>
      <c r="M254" s="23" t="s">
        <v>231</v>
      </c>
    </row>
    <row r="255" spans="1:13">
      <c r="E255" s="4">
        <f t="shared" si="80"/>
        <v>255</v>
      </c>
      <c r="F255" s="9" t="s">
        <v>118</v>
      </c>
      <c r="M255" s="23" t="s">
        <v>232</v>
      </c>
    </row>
    <row r="256" spans="1:13">
      <c r="E256" s="4">
        <f t="shared" si="80"/>
        <v>256</v>
      </c>
      <c r="F256" s="9" t="s">
        <v>114</v>
      </c>
      <c r="M256" s="23" t="b">
        <v>1</v>
      </c>
    </row>
    <row r="257" spans="1:13">
      <c r="E257" s="4">
        <f t="shared" si="80"/>
        <v>257</v>
      </c>
      <c r="F257" s="9" t="s">
        <v>98</v>
      </c>
      <c r="K257" s="9" t="s">
        <v>137</v>
      </c>
      <c r="M257" s="23">
        <v>2</v>
      </c>
    </row>
    <row r="258" spans="1:13">
      <c r="E258" s="4">
        <f t="shared" si="80"/>
        <v>258</v>
      </c>
      <c r="F258" s="9" t="s">
        <v>30</v>
      </c>
      <c r="M258" s="23">
        <v>4.07</v>
      </c>
    </row>
    <row r="259" spans="1:13">
      <c r="E259" s="4">
        <f t="shared" si="80"/>
        <v>259</v>
      </c>
      <c r="F259" s="9" t="s">
        <v>31</v>
      </c>
      <c r="L259" s="9" t="s">
        <v>135</v>
      </c>
      <c r="M259" s="23" t="s">
        <v>233</v>
      </c>
    </row>
    <row r="260" spans="1:13">
      <c r="E260" s="4">
        <f t="shared" si="80"/>
        <v>260</v>
      </c>
      <c r="F260" s="9" t="s">
        <v>143</v>
      </c>
      <c r="G260" s="9">
        <v>45</v>
      </c>
      <c r="H260" s="9">
        <v>-45</v>
      </c>
      <c r="I260" s="9">
        <v>-15</v>
      </c>
      <c r="J260" s="9" t="s">
        <v>234</v>
      </c>
      <c r="L260" s="9" t="s">
        <v>134</v>
      </c>
      <c r="M260" s="23">
        <f t="shared" ref="M260" si="103">IF(MOD(QUOTIENT(D249-1,$G$10),2)=0,$G$20+$I$20*MOD(D249-1,$G$10),$H$20+$J$20*MOD(D249-1,$G$10))</f>
        <v>-45</v>
      </c>
    </row>
    <row r="261" spans="1:13">
      <c r="A261" s="22" t="s">
        <v>227</v>
      </c>
      <c r="B261" s="22">
        <f t="shared" ref="B261" si="104">QUOTIENT( D261-1,G262)+1</f>
        <v>4</v>
      </c>
      <c r="C261" s="22">
        <f t="shared" ref="C261" si="105">D261-(B261-1)*G262</f>
        <v>1</v>
      </c>
      <c r="D261" s="22">
        <f>COUNT($D$8:$D260)+1</f>
        <v>22</v>
      </c>
      <c r="E261" s="4"/>
    </row>
    <row r="262" spans="1:13">
      <c r="E262" s="4">
        <f t="shared" si="80"/>
        <v>262</v>
      </c>
      <c r="F262" s="9" t="s">
        <v>93</v>
      </c>
      <c r="G262" s="9" t="s">
        <v>39</v>
      </c>
      <c r="H262" s="9" t="s">
        <v>39</v>
      </c>
      <c r="J262" s="9">
        <v>11200</v>
      </c>
      <c r="M262" s="23">
        <f t="shared" ref="M262" si="106">$J$10+D261</f>
        <v>11222</v>
      </c>
    </row>
    <row r="263" spans="1:13">
      <c r="E263" s="4">
        <f t="shared" si="80"/>
        <v>263</v>
      </c>
      <c r="F263" s="9" t="s">
        <v>144</v>
      </c>
      <c r="M263" s="23">
        <v>104020</v>
      </c>
    </row>
    <row r="264" spans="1:13">
      <c r="E264" s="4">
        <f t="shared" si="80"/>
        <v>264</v>
      </c>
      <c r="F264" s="9" t="s">
        <v>126</v>
      </c>
      <c r="G264" s="9">
        <v>10</v>
      </c>
      <c r="I264" s="9">
        <v>11</v>
      </c>
      <c r="J264" s="9" t="s">
        <v>229</v>
      </c>
      <c r="M264" s="23">
        <f t="shared" ref="M264" si="107">G264*D261+$I$12+D261*J264</f>
        <v>209</v>
      </c>
    </row>
    <row r="265" spans="1:13">
      <c r="E265" s="4">
        <f t="shared" si="80"/>
        <v>265</v>
      </c>
      <c r="F265" s="9" t="s">
        <v>35</v>
      </c>
      <c r="M265" s="23">
        <v>1000</v>
      </c>
    </row>
    <row r="266" spans="1:13">
      <c r="E266" s="4">
        <f t="shared" ref="E266:E329" si="108">ROW(E266)</f>
        <v>266</v>
      </c>
      <c r="F266" s="9" t="s">
        <v>29</v>
      </c>
      <c r="M266" s="23" t="s">
        <v>231</v>
      </c>
    </row>
    <row r="267" spans="1:13">
      <c r="E267" s="4">
        <f t="shared" si="108"/>
        <v>267</v>
      </c>
      <c r="F267" s="9" t="s">
        <v>118</v>
      </c>
      <c r="M267" s="23" t="s">
        <v>232</v>
      </c>
    </row>
    <row r="268" spans="1:13">
      <c r="E268" s="4">
        <f t="shared" si="108"/>
        <v>268</v>
      </c>
      <c r="F268" s="9" t="s">
        <v>114</v>
      </c>
      <c r="M268" s="23" t="b">
        <v>1</v>
      </c>
    </row>
    <row r="269" spans="1:13">
      <c r="E269" s="4">
        <f t="shared" si="108"/>
        <v>269</v>
      </c>
      <c r="F269" s="9" t="s">
        <v>98</v>
      </c>
      <c r="K269" s="9" t="s">
        <v>137</v>
      </c>
      <c r="M269" s="23">
        <v>2</v>
      </c>
    </row>
    <row r="270" spans="1:13">
      <c r="E270" s="4">
        <f t="shared" si="108"/>
        <v>270</v>
      </c>
      <c r="F270" s="9" t="s">
        <v>30</v>
      </c>
      <c r="M270" s="23">
        <v>4.07</v>
      </c>
    </row>
    <row r="271" spans="1:13">
      <c r="E271" s="4">
        <f t="shared" si="108"/>
        <v>271</v>
      </c>
      <c r="F271" s="9" t="s">
        <v>31</v>
      </c>
      <c r="L271" s="9" t="s">
        <v>135</v>
      </c>
      <c r="M271" s="23" t="s">
        <v>233</v>
      </c>
    </row>
    <row r="272" spans="1:13">
      <c r="E272" s="4">
        <f t="shared" si="108"/>
        <v>272</v>
      </c>
      <c r="F272" s="9" t="s">
        <v>143</v>
      </c>
      <c r="G272" s="9">
        <v>45</v>
      </c>
      <c r="H272" s="9">
        <v>-45</v>
      </c>
      <c r="I272" s="9">
        <v>-15</v>
      </c>
      <c r="J272" s="9" t="s">
        <v>234</v>
      </c>
      <c r="L272" s="9" t="s">
        <v>134</v>
      </c>
      <c r="M272" s="23">
        <f t="shared" ref="M272" si="109">IF(MOD(QUOTIENT(D261-1,$G$10),2)=0,$G$20+$I$20*MOD(D261-1,$G$10),$H$20+$J$20*MOD(D261-1,$G$10))</f>
        <v>-45</v>
      </c>
    </row>
    <row r="273" spans="1:13">
      <c r="A273" s="22" t="s">
        <v>227</v>
      </c>
      <c r="B273" s="22">
        <f t="shared" ref="B273" si="110">QUOTIENT( D273-1,G274)+1</f>
        <v>4</v>
      </c>
      <c r="C273" s="22">
        <f t="shared" ref="C273" si="111">D273-(B273-1)*G274</f>
        <v>2</v>
      </c>
      <c r="D273" s="22">
        <f>COUNT($D$8:$D272)+1</f>
        <v>23</v>
      </c>
      <c r="E273" s="4"/>
    </row>
    <row r="274" spans="1:13">
      <c r="E274" s="4">
        <f t="shared" si="108"/>
        <v>274</v>
      </c>
      <c r="F274" s="9" t="s">
        <v>93</v>
      </c>
      <c r="G274" s="9" t="s">
        <v>39</v>
      </c>
      <c r="H274" s="9" t="s">
        <v>39</v>
      </c>
      <c r="J274" s="9">
        <v>11200</v>
      </c>
      <c r="M274" s="23">
        <f t="shared" ref="M274" si="112">$J$10+D273</f>
        <v>11223</v>
      </c>
    </row>
    <row r="275" spans="1:13">
      <c r="E275" s="4">
        <f t="shared" si="108"/>
        <v>275</v>
      </c>
      <c r="F275" s="9" t="s">
        <v>144</v>
      </c>
      <c r="M275" s="23">
        <v>104020</v>
      </c>
    </row>
    <row r="276" spans="1:13">
      <c r="E276" s="4">
        <f t="shared" si="108"/>
        <v>276</v>
      </c>
      <c r="F276" s="9" t="s">
        <v>126</v>
      </c>
      <c r="G276" s="9">
        <v>10</v>
      </c>
      <c r="I276" s="9">
        <v>11</v>
      </c>
      <c r="J276" s="9" t="s">
        <v>229</v>
      </c>
      <c r="M276" s="23">
        <f t="shared" ref="M276" si="113">G276*D273+$I$12+D273*J276</f>
        <v>218</v>
      </c>
    </row>
    <row r="277" spans="1:13">
      <c r="E277" s="4">
        <f t="shared" si="108"/>
        <v>277</v>
      </c>
      <c r="F277" s="9" t="s">
        <v>35</v>
      </c>
      <c r="M277" s="23">
        <v>1000</v>
      </c>
    </row>
    <row r="278" spans="1:13">
      <c r="E278" s="4">
        <f t="shared" si="108"/>
        <v>278</v>
      </c>
      <c r="F278" s="9" t="s">
        <v>29</v>
      </c>
      <c r="M278" s="23" t="s">
        <v>231</v>
      </c>
    </row>
    <row r="279" spans="1:13">
      <c r="E279" s="4">
        <f t="shared" si="108"/>
        <v>279</v>
      </c>
      <c r="F279" s="9" t="s">
        <v>118</v>
      </c>
      <c r="M279" s="23" t="s">
        <v>232</v>
      </c>
    </row>
    <row r="280" spans="1:13">
      <c r="E280" s="4">
        <f t="shared" si="108"/>
        <v>280</v>
      </c>
      <c r="F280" s="9" t="s">
        <v>114</v>
      </c>
      <c r="M280" s="23" t="b">
        <v>1</v>
      </c>
    </row>
    <row r="281" spans="1:13">
      <c r="E281" s="4">
        <f t="shared" si="108"/>
        <v>281</v>
      </c>
      <c r="F281" s="9" t="s">
        <v>98</v>
      </c>
      <c r="K281" s="9" t="s">
        <v>137</v>
      </c>
      <c r="M281" s="23">
        <v>2</v>
      </c>
    </row>
    <row r="282" spans="1:13">
      <c r="E282" s="4">
        <f t="shared" si="108"/>
        <v>282</v>
      </c>
      <c r="F282" s="9" t="s">
        <v>30</v>
      </c>
      <c r="M282" s="23">
        <v>4.07</v>
      </c>
    </row>
    <row r="283" spans="1:13">
      <c r="E283" s="4">
        <f t="shared" si="108"/>
        <v>283</v>
      </c>
      <c r="F283" s="9" t="s">
        <v>31</v>
      </c>
      <c r="L283" s="9" t="s">
        <v>135</v>
      </c>
      <c r="M283" s="23" t="s">
        <v>233</v>
      </c>
    </row>
    <row r="284" spans="1:13">
      <c r="E284" s="4">
        <f t="shared" si="108"/>
        <v>284</v>
      </c>
      <c r="F284" s="9" t="s">
        <v>143</v>
      </c>
      <c r="G284" s="9">
        <v>45</v>
      </c>
      <c r="H284" s="9">
        <v>-45</v>
      </c>
      <c r="I284" s="9">
        <v>-15</v>
      </c>
      <c r="J284" s="9" t="s">
        <v>234</v>
      </c>
      <c r="L284" s="9" t="s">
        <v>134</v>
      </c>
      <c r="M284" s="23">
        <f t="shared" ref="M284" si="114">IF(MOD(QUOTIENT(D273-1,$G$10),2)=0,$G$20+$I$20*MOD(D273-1,$G$10),$H$20+$J$20*MOD(D273-1,$G$10))</f>
        <v>-30</v>
      </c>
    </row>
    <row r="285" spans="1:13">
      <c r="A285" s="22" t="s">
        <v>227</v>
      </c>
      <c r="B285" s="22">
        <f t="shared" ref="B285" si="115">QUOTIENT( D285-1,G286)+1</f>
        <v>4</v>
      </c>
      <c r="C285" s="22">
        <f t="shared" ref="C285" si="116">D285-(B285-1)*G286</f>
        <v>3</v>
      </c>
      <c r="D285" s="22">
        <f>COUNT($D$8:$D284)+1</f>
        <v>24</v>
      </c>
      <c r="E285" s="4"/>
    </row>
    <row r="286" spans="1:13">
      <c r="E286" s="4">
        <f t="shared" si="108"/>
        <v>286</v>
      </c>
      <c r="F286" s="9" t="s">
        <v>93</v>
      </c>
      <c r="G286" s="9" t="s">
        <v>39</v>
      </c>
      <c r="H286" s="9" t="s">
        <v>39</v>
      </c>
      <c r="J286" s="9">
        <v>11200</v>
      </c>
      <c r="M286" s="23">
        <f t="shared" ref="M286" si="117">$J$10+D285</f>
        <v>11224</v>
      </c>
    </row>
    <row r="287" spans="1:13">
      <c r="E287" s="4">
        <f t="shared" si="108"/>
        <v>287</v>
      </c>
      <c r="F287" s="9" t="s">
        <v>144</v>
      </c>
      <c r="M287" s="23">
        <v>104020</v>
      </c>
    </row>
    <row r="288" spans="1:13">
      <c r="E288" s="4">
        <f t="shared" si="108"/>
        <v>288</v>
      </c>
      <c r="F288" s="9" t="s">
        <v>126</v>
      </c>
      <c r="G288" s="9">
        <v>10</v>
      </c>
      <c r="I288" s="9">
        <v>11</v>
      </c>
      <c r="J288" s="9" t="s">
        <v>229</v>
      </c>
      <c r="M288" s="23">
        <f t="shared" ref="M288" si="118">G288*D285+$I$12+D285*J288</f>
        <v>227</v>
      </c>
    </row>
    <row r="289" spans="1:13">
      <c r="E289" s="4">
        <f t="shared" si="108"/>
        <v>289</v>
      </c>
      <c r="F289" s="9" t="s">
        <v>35</v>
      </c>
      <c r="M289" s="23">
        <v>1000</v>
      </c>
    </row>
    <row r="290" spans="1:13">
      <c r="E290" s="4">
        <f t="shared" si="108"/>
        <v>290</v>
      </c>
      <c r="F290" s="9" t="s">
        <v>29</v>
      </c>
      <c r="M290" s="23" t="s">
        <v>231</v>
      </c>
    </row>
    <row r="291" spans="1:13">
      <c r="E291" s="4">
        <f t="shared" si="108"/>
        <v>291</v>
      </c>
      <c r="F291" s="9" t="s">
        <v>118</v>
      </c>
      <c r="M291" s="23" t="s">
        <v>232</v>
      </c>
    </row>
    <row r="292" spans="1:13">
      <c r="E292" s="4">
        <f t="shared" si="108"/>
        <v>292</v>
      </c>
      <c r="F292" s="9" t="s">
        <v>114</v>
      </c>
      <c r="M292" s="23" t="b">
        <v>1</v>
      </c>
    </row>
    <row r="293" spans="1:13">
      <c r="E293" s="4">
        <f t="shared" si="108"/>
        <v>293</v>
      </c>
      <c r="F293" s="9" t="s">
        <v>98</v>
      </c>
      <c r="K293" s="9" t="s">
        <v>137</v>
      </c>
      <c r="M293" s="23">
        <v>2</v>
      </c>
    </row>
    <row r="294" spans="1:13">
      <c r="E294" s="4">
        <f t="shared" si="108"/>
        <v>294</v>
      </c>
      <c r="F294" s="9" t="s">
        <v>30</v>
      </c>
      <c r="M294" s="23">
        <v>4.07</v>
      </c>
    </row>
    <row r="295" spans="1:13">
      <c r="E295" s="4">
        <f t="shared" si="108"/>
        <v>295</v>
      </c>
      <c r="F295" s="9" t="s">
        <v>31</v>
      </c>
      <c r="L295" s="9" t="s">
        <v>135</v>
      </c>
      <c r="M295" s="23" t="s">
        <v>233</v>
      </c>
    </row>
    <row r="296" spans="1:13">
      <c r="E296" s="4">
        <f t="shared" si="108"/>
        <v>296</v>
      </c>
      <c r="F296" s="9" t="s">
        <v>143</v>
      </c>
      <c r="G296" s="9">
        <v>45</v>
      </c>
      <c r="H296" s="9">
        <v>-45</v>
      </c>
      <c r="I296" s="9">
        <v>-15</v>
      </c>
      <c r="J296" s="9" t="s">
        <v>234</v>
      </c>
      <c r="L296" s="9" t="s">
        <v>134</v>
      </c>
      <c r="M296" s="23">
        <f t="shared" ref="M296" si="119">IF(MOD(QUOTIENT(D285-1,$G$10),2)=0,$G$20+$I$20*MOD(D285-1,$G$10),$H$20+$J$20*MOD(D285-1,$G$10))</f>
        <v>-15</v>
      </c>
    </row>
    <row r="297" spans="1:13">
      <c r="A297" s="22" t="s">
        <v>227</v>
      </c>
      <c r="B297" s="22">
        <f t="shared" ref="B297" si="120">QUOTIENT( D297-1,G298)+1</f>
        <v>4</v>
      </c>
      <c r="C297" s="22">
        <f t="shared" ref="C297" si="121">D297-(B297-1)*G298</f>
        <v>4</v>
      </c>
      <c r="D297" s="22">
        <f>COUNT($D$8:$D296)+1</f>
        <v>25</v>
      </c>
      <c r="E297" s="4"/>
    </row>
    <row r="298" spans="1:13">
      <c r="E298" s="4">
        <f t="shared" si="108"/>
        <v>298</v>
      </c>
      <c r="F298" s="9" t="s">
        <v>93</v>
      </c>
      <c r="G298" s="9" t="s">
        <v>39</v>
      </c>
      <c r="H298" s="9" t="s">
        <v>39</v>
      </c>
      <c r="J298" s="9">
        <v>11200</v>
      </c>
      <c r="M298" s="23">
        <f t="shared" ref="M298" si="122">$J$10+D297</f>
        <v>11225</v>
      </c>
    </row>
    <row r="299" spans="1:13">
      <c r="E299" s="4">
        <f t="shared" si="108"/>
        <v>299</v>
      </c>
      <c r="F299" s="9" t="s">
        <v>144</v>
      </c>
      <c r="M299" s="23">
        <v>104020</v>
      </c>
    </row>
    <row r="300" spans="1:13">
      <c r="E300" s="4">
        <f t="shared" si="108"/>
        <v>300</v>
      </c>
      <c r="F300" s="9" t="s">
        <v>126</v>
      </c>
      <c r="G300" s="9">
        <v>10</v>
      </c>
      <c r="I300" s="9">
        <v>11</v>
      </c>
      <c r="J300" s="9" t="s">
        <v>229</v>
      </c>
      <c r="M300" s="23">
        <f t="shared" ref="M300" si="123">G300*D297+$I$12+D297*J300</f>
        <v>236</v>
      </c>
    </row>
    <row r="301" spans="1:13">
      <c r="E301" s="4">
        <f t="shared" si="108"/>
        <v>301</v>
      </c>
      <c r="F301" s="9" t="s">
        <v>35</v>
      </c>
      <c r="M301" s="23">
        <v>1000</v>
      </c>
    </row>
    <row r="302" spans="1:13">
      <c r="E302" s="4">
        <f t="shared" si="108"/>
        <v>302</v>
      </c>
      <c r="F302" s="9" t="s">
        <v>29</v>
      </c>
      <c r="M302" s="23" t="s">
        <v>231</v>
      </c>
    </row>
    <row r="303" spans="1:13">
      <c r="E303" s="4">
        <f t="shared" si="108"/>
        <v>303</v>
      </c>
      <c r="F303" s="9" t="s">
        <v>118</v>
      </c>
      <c r="M303" s="23" t="s">
        <v>232</v>
      </c>
    </row>
    <row r="304" spans="1:13">
      <c r="E304" s="4">
        <f t="shared" si="108"/>
        <v>304</v>
      </c>
      <c r="F304" s="9" t="s">
        <v>114</v>
      </c>
      <c r="M304" s="23" t="b">
        <v>1</v>
      </c>
    </row>
    <row r="305" spans="1:13">
      <c r="E305" s="4">
        <f t="shared" si="108"/>
        <v>305</v>
      </c>
      <c r="F305" s="9" t="s">
        <v>98</v>
      </c>
      <c r="K305" s="9" t="s">
        <v>137</v>
      </c>
      <c r="M305" s="23">
        <v>2</v>
      </c>
    </row>
    <row r="306" spans="1:13">
      <c r="E306" s="4">
        <f t="shared" si="108"/>
        <v>306</v>
      </c>
      <c r="F306" s="9" t="s">
        <v>30</v>
      </c>
      <c r="M306" s="23">
        <v>4.07</v>
      </c>
    </row>
    <row r="307" spans="1:13">
      <c r="E307" s="4">
        <f t="shared" si="108"/>
        <v>307</v>
      </c>
      <c r="F307" s="9" t="s">
        <v>31</v>
      </c>
      <c r="L307" s="9" t="s">
        <v>135</v>
      </c>
      <c r="M307" s="23" t="s">
        <v>233</v>
      </c>
    </row>
    <row r="308" spans="1:13">
      <c r="E308" s="4">
        <f t="shared" si="108"/>
        <v>308</v>
      </c>
      <c r="F308" s="9" t="s">
        <v>143</v>
      </c>
      <c r="G308" s="9">
        <v>45</v>
      </c>
      <c r="H308" s="9">
        <v>-45</v>
      </c>
      <c r="I308" s="9">
        <v>-15</v>
      </c>
      <c r="J308" s="9" t="s">
        <v>234</v>
      </c>
      <c r="L308" s="9" t="s">
        <v>134</v>
      </c>
      <c r="M308" s="23">
        <f t="shared" ref="M308" si="124">IF(MOD(QUOTIENT(D297-1,$G$10),2)=0,$G$20+$I$20*MOD(D297-1,$G$10),$H$20+$J$20*MOD(D297-1,$G$10))</f>
        <v>0</v>
      </c>
    </row>
    <row r="309" spans="1:13">
      <c r="A309" s="22" t="s">
        <v>227</v>
      </c>
      <c r="B309" s="22">
        <f t="shared" ref="B309" si="125">QUOTIENT( D309-1,G310)+1</f>
        <v>4</v>
      </c>
      <c r="C309" s="22">
        <f t="shared" ref="C309" si="126">D309-(B309-1)*G310</f>
        <v>5</v>
      </c>
      <c r="D309" s="22">
        <f>COUNT($D$8:$D308)+1</f>
        <v>26</v>
      </c>
      <c r="E309" s="4"/>
    </row>
    <row r="310" spans="1:13">
      <c r="E310" s="4">
        <f t="shared" si="108"/>
        <v>310</v>
      </c>
      <c r="F310" s="9" t="s">
        <v>93</v>
      </c>
      <c r="G310" s="9" t="s">
        <v>39</v>
      </c>
      <c r="H310" s="9" t="s">
        <v>39</v>
      </c>
      <c r="J310" s="9">
        <v>11200</v>
      </c>
      <c r="M310" s="23">
        <f t="shared" ref="M310" si="127">$J$10+D309</f>
        <v>11226</v>
      </c>
    </row>
    <row r="311" spans="1:13">
      <c r="E311" s="4">
        <f t="shared" si="108"/>
        <v>311</v>
      </c>
      <c r="F311" s="9" t="s">
        <v>144</v>
      </c>
      <c r="M311" s="23">
        <v>104020</v>
      </c>
    </row>
    <row r="312" spans="1:13">
      <c r="E312" s="4">
        <f t="shared" si="108"/>
        <v>312</v>
      </c>
      <c r="F312" s="9" t="s">
        <v>126</v>
      </c>
      <c r="G312" s="9">
        <v>10</v>
      </c>
      <c r="I312" s="9">
        <v>11</v>
      </c>
      <c r="J312" s="9" t="s">
        <v>229</v>
      </c>
      <c r="M312" s="23">
        <f t="shared" ref="M312" si="128">G312*D309+$I$12+D309*J312</f>
        <v>245</v>
      </c>
    </row>
    <row r="313" spans="1:13">
      <c r="E313" s="4">
        <f t="shared" si="108"/>
        <v>313</v>
      </c>
      <c r="F313" s="9" t="s">
        <v>35</v>
      </c>
      <c r="M313" s="23">
        <v>1000</v>
      </c>
    </row>
    <row r="314" spans="1:13">
      <c r="E314" s="4">
        <f t="shared" si="108"/>
        <v>314</v>
      </c>
      <c r="F314" s="9" t="s">
        <v>29</v>
      </c>
      <c r="M314" s="23" t="s">
        <v>231</v>
      </c>
    </row>
    <row r="315" spans="1:13">
      <c r="E315" s="4">
        <f t="shared" si="108"/>
        <v>315</v>
      </c>
      <c r="F315" s="9" t="s">
        <v>118</v>
      </c>
      <c r="M315" s="23" t="s">
        <v>232</v>
      </c>
    </row>
    <row r="316" spans="1:13">
      <c r="E316" s="4">
        <f t="shared" si="108"/>
        <v>316</v>
      </c>
      <c r="F316" s="9" t="s">
        <v>114</v>
      </c>
      <c r="M316" s="23" t="b">
        <v>1</v>
      </c>
    </row>
    <row r="317" spans="1:13">
      <c r="E317" s="4">
        <f t="shared" si="108"/>
        <v>317</v>
      </c>
      <c r="F317" s="9" t="s">
        <v>98</v>
      </c>
      <c r="K317" s="9" t="s">
        <v>137</v>
      </c>
      <c r="M317" s="23">
        <v>2</v>
      </c>
    </row>
    <row r="318" spans="1:13">
      <c r="E318" s="4">
        <f t="shared" si="108"/>
        <v>318</v>
      </c>
      <c r="F318" s="9" t="s">
        <v>30</v>
      </c>
      <c r="M318" s="23">
        <v>4.07</v>
      </c>
    </row>
    <row r="319" spans="1:13">
      <c r="E319" s="4">
        <f t="shared" si="108"/>
        <v>319</v>
      </c>
      <c r="F319" s="9" t="s">
        <v>31</v>
      </c>
      <c r="L319" s="9" t="s">
        <v>135</v>
      </c>
      <c r="M319" s="23" t="s">
        <v>233</v>
      </c>
    </row>
    <row r="320" spans="1:13">
      <c r="E320" s="4">
        <f t="shared" si="108"/>
        <v>320</v>
      </c>
      <c r="F320" s="9" t="s">
        <v>143</v>
      </c>
      <c r="G320" s="9">
        <v>45</v>
      </c>
      <c r="H320" s="9">
        <v>-45</v>
      </c>
      <c r="I320" s="9">
        <v>-15</v>
      </c>
      <c r="J320" s="9" t="s">
        <v>234</v>
      </c>
      <c r="L320" s="9" t="s">
        <v>134</v>
      </c>
      <c r="M320" s="23">
        <f t="shared" ref="M320" si="129">IF(MOD(QUOTIENT(D309-1,$G$10),2)=0,$G$20+$I$20*MOD(D309-1,$G$10),$H$20+$J$20*MOD(D309-1,$G$10))</f>
        <v>15</v>
      </c>
    </row>
    <row r="321" spans="1:13">
      <c r="A321" s="22" t="s">
        <v>227</v>
      </c>
      <c r="B321" s="22">
        <f t="shared" ref="B321" si="130">QUOTIENT( D321-1,G322)+1</f>
        <v>4</v>
      </c>
      <c r="C321" s="22">
        <f t="shared" ref="C321" si="131">D321-(B321-1)*G322</f>
        <v>6</v>
      </c>
      <c r="D321" s="22">
        <f>COUNT($D$8:$D320)+1</f>
        <v>27</v>
      </c>
      <c r="E321" s="4"/>
    </row>
    <row r="322" spans="1:13">
      <c r="E322" s="4">
        <f t="shared" si="108"/>
        <v>322</v>
      </c>
      <c r="F322" s="9" t="s">
        <v>93</v>
      </c>
      <c r="G322" s="9" t="s">
        <v>39</v>
      </c>
      <c r="H322" s="9" t="s">
        <v>39</v>
      </c>
      <c r="J322" s="9">
        <v>11200</v>
      </c>
      <c r="M322" s="23">
        <f t="shared" ref="M322" si="132">$J$10+D321</f>
        <v>11227</v>
      </c>
    </row>
    <row r="323" spans="1:13">
      <c r="E323" s="4">
        <f t="shared" si="108"/>
        <v>323</v>
      </c>
      <c r="F323" s="9" t="s">
        <v>144</v>
      </c>
      <c r="M323" s="23">
        <v>104020</v>
      </c>
    </row>
    <row r="324" spans="1:13">
      <c r="E324" s="4">
        <f t="shared" si="108"/>
        <v>324</v>
      </c>
      <c r="F324" s="9" t="s">
        <v>126</v>
      </c>
      <c r="G324" s="9">
        <v>10</v>
      </c>
      <c r="I324" s="9">
        <v>11</v>
      </c>
      <c r="J324" s="9" t="s">
        <v>229</v>
      </c>
      <c r="M324" s="23">
        <f t="shared" ref="M324" si="133">G324*D321+$I$12+D321*J324</f>
        <v>254</v>
      </c>
    </row>
    <row r="325" spans="1:13">
      <c r="E325" s="4">
        <f t="shared" si="108"/>
        <v>325</v>
      </c>
      <c r="F325" s="9" t="s">
        <v>35</v>
      </c>
      <c r="M325" s="23">
        <v>1000</v>
      </c>
    </row>
    <row r="326" spans="1:13">
      <c r="E326" s="4">
        <f t="shared" si="108"/>
        <v>326</v>
      </c>
      <c r="F326" s="9" t="s">
        <v>29</v>
      </c>
      <c r="M326" s="23" t="s">
        <v>231</v>
      </c>
    </row>
    <row r="327" spans="1:13">
      <c r="E327" s="4">
        <f t="shared" si="108"/>
        <v>327</v>
      </c>
      <c r="F327" s="9" t="s">
        <v>118</v>
      </c>
      <c r="M327" s="23" t="s">
        <v>232</v>
      </c>
    </row>
    <row r="328" spans="1:13">
      <c r="E328" s="4">
        <f t="shared" si="108"/>
        <v>328</v>
      </c>
      <c r="F328" s="9" t="s">
        <v>114</v>
      </c>
      <c r="M328" s="23" t="b">
        <v>1</v>
      </c>
    </row>
    <row r="329" spans="1:13">
      <c r="E329" s="4">
        <f t="shared" si="108"/>
        <v>329</v>
      </c>
      <c r="F329" s="9" t="s">
        <v>98</v>
      </c>
      <c r="K329" s="9" t="s">
        <v>137</v>
      </c>
      <c r="M329" s="23">
        <v>2</v>
      </c>
    </row>
    <row r="330" spans="1:13">
      <c r="E330" s="4">
        <f t="shared" ref="E330:E392" si="134">ROW(E330)</f>
        <v>330</v>
      </c>
      <c r="F330" s="9" t="s">
        <v>30</v>
      </c>
      <c r="M330" s="23">
        <v>4.07</v>
      </c>
    </row>
    <row r="331" spans="1:13">
      <c r="E331" s="4">
        <f t="shared" si="134"/>
        <v>331</v>
      </c>
      <c r="F331" s="9" t="s">
        <v>31</v>
      </c>
      <c r="L331" s="9" t="s">
        <v>135</v>
      </c>
      <c r="M331" s="23" t="s">
        <v>233</v>
      </c>
    </row>
    <row r="332" spans="1:13">
      <c r="E332" s="4">
        <f t="shared" si="134"/>
        <v>332</v>
      </c>
      <c r="F332" s="9" t="s">
        <v>143</v>
      </c>
      <c r="G332" s="9">
        <v>45</v>
      </c>
      <c r="H332" s="9">
        <v>-45</v>
      </c>
      <c r="I332" s="9">
        <v>-15</v>
      </c>
      <c r="J332" s="9" t="s">
        <v>234</v>
      </c>
      <c r="L332" s="9" t="s">
        <v>134</v>
      </c>
      <c r="M332" s="23">
        <f t="shared" ref="M332" si="135">IF(MOD(QUOTIENT(D321-1,$G$10),2)=0,$G$20+$I$20*MOD(D321-1,$G$10),$H$20+$J$20*MOD(D321-1,$G$10))</f>
        <v>30</v>
      </c>
    </row>
    <row r="333" spans="1:13">
      <c r="A333" s="22" t="s">
        <v>227</v>
      </c>
      <c r="B333" s="22">
        <f t="shared" ref="B333" si="136">QUOTIENT( D333-1,G334)+1</f>
        <v>4</v>
      </c>
      <c r="C333" s="22">
        <f t="shared" ref="C333" si="137">D333-(B333-1)*G334</f>
        <v>7</v>
      </c>
      <c r="D333" s="22">
        <f>COUNT($D$8:$D332)+1</f>
        <v>28</v>
      </c>
      <c r="E333" s="4"/>
    </row>
    <row r="334" spans="1:13">
      <c r="E334" s="4">
        <f t="shared" si="134"/>
        <v>334</v>
      </c>
      <c r="F334" s="9" t="s">
        <v>93</v>
      </c>
      <c r="G334" s="9" t="s">
        <v>39</v>
      </c>
      <c r="H334" s="9" t="s">
        <v>39</v>
      </c>
      <c r="J334" s="9">
        <v>11200</v>
      </c>
      <c r="M334" s="23">
        <f t="shared" ref="M334" si="138">$J$10+D333</f>
        <v>11228</v>
      </c>
    </row>
    <row r="335" spans="1:13">
      <c r="E335" s="4">
        <f t="shared" si="134"/>
        <v>335</v>
      </c>
      <c r="F335" s="9" t="s">
        <v>144</v>
      </c>
      <c r="M335" s="23">
        <v>104020</v>
      </c>
    </row>
    <row r="336" spans="1:13">
      <c r="E336" s="4">
        <f t="shared" si="134"/>
        <v>336</v>
      </c>
      <c r="F336" s="9" t="s">
        <v>126</v>
      </c>
      <c r="G336" s="9">
        <v>10</v>
      </c>
      <c r="I336" s="9">
        <v>11</v>
      </c>
      <c r="J336" s="9" t="s">
        <v>229</v>
      </c>
      <c r="M336" s="23">
        <f t="shared" ref="M336" si="139">G336*D333+$I$12+D333*J336</f>
        <v>263</v>
      </c>
    </row>
    <row r="337" spans="1:13">
      <c r="E337" s="4">
        <f t="shared" si="134"/>
        <v>337</v>
      </c>
      <c r="F337" s="9" t="s">
        <v>35</v>
      </c>
      <c r="M337" s="23">
        <v>1000</v>
      </c>
    </row>
    <row r="338" spans="1:13">
      <c r="E338" s="4">
        <f t="shared" si="134"/>
        <v>338</v>
      </c>
      <c r="F338" s="9" t="s">
        <v>29</v>
      </c>
      <c r="M338" s="23" t="s">
        <v>231</v>
      </c>
    </row>
    <row r="339" spans="1:13">
      <c r="E339" s="4">
        <f t="shared" si="134"/>
        <v>339</v>
      </c>
      <c r="F339" s="9" t="s">
        <v>118</v>
      </c>
      <c r="M339" s="23" t="s">
        <v>232</v>
      </c>
    </row>
    <row r="340" spans="1:13">
      <c r="E340" s="4">
        <f t="shared" si="134"/>
        <v>340</v>
      </c>
      <c r="F340" s="9" t="s">
        <v>114</v>
      </c>
      <c r="M340" s="23" t="b">
        <v>1</v>
      </c>
    </row>
    <row r="341" spans="1:13">
      <c r="E341" s="4">
        <f t="shared" si="134"/>
        <v>341</v>
      </c>
      <c r="F341" s="9" t="s">
        <v>98</v>
      </c>
      <c r="K341" s="9" t="s">
        <v>137</v>
      </c>
      <c r="M341" s="23">
        <v>2</v>
      </c>
    </row>
    <row r="342" spans="1:13">
      <c r="E342" s="4">
        <f t="shared" si="134"/>
        <v>342</v>
      </c>
      <c r="F342" s="9" t="s">
        <v>30</v>
      </c>
      <c r="M342" s="23">
        <v>4.07</v>
      </c>
    </row>
    <row r="343" spans="1:13">
      <c r="E343" s="4">
        <f t="shared" si="134"/>
        <v>343</v>
      </c>
      <c r="F343" s="9" t="s">
        <v>31</v>
      </c>
      <c r="L343" s="9" t="s">
        <v>135</v>
      </c>
      <c r="M343" s="23" t="s">
        <v>233</v>
      </c>
    </row>
    <row r="344" spans="1:13">
      <c r="E344" s="4">
        <f t="shared" si="134"/>
        <v>344</v>
      </c>
      <c r="F344" s="9" t="s">
        <v>143</v>
      </c>
      <c r="G344" s="9">
        <v>45</v>
      </c>
      <c r="H344" s="9">
        <v>-45</v>
      </c>
      <c r="I344" s="9">
        <v>-15</v>
      </c>
      <c r="J344" s="9" t="s">
        <v>234</v>
      </c>
      <c r="L344" s="9" t="s">
        <v>134</v>
      </c>
      <c r="M344" s="23">
        <f t="shared" ref="M344" si="140">IF(MOD(QUOTIENT(D333-1,$G$10),2)=0,$G$20+$I$20*MOD(D333-1,$G$10),$H$20+$J$20*MOD(D333-1,$G$10))</f>
        <v>45</v>
      </c>
    </row>
    <row r="345" spans="1:13">
      <c r="A345" s="22" t="s">
        <v>227</v>
      </c>
      <c r="B345" s="22">
        <f t="shared" ref="B345" si="141">QUOTIENT( D345-1,G346)+1</f>
        <v>5</v>
      </c>
      <c r="C345" s="22">
        <f t="shared" ref="C345" si="142">D345-(B345-1)*G346</f>
        <v>1</v>
      </c>
      <c r="D345" s="22">
        <f>COUNT($D$8:$D344)+1</f>
        <v>29</v>
      </c>
      <c r="E345" s="4"/>
    </row>
    <row r="346" spans="1:13">
      <c r="E346" s="4">
        <f t="shared" si="134"/>
        <v>346</v>
      </c>
      <c r="F346" s="9" t="s">
        <v>93</v>
      </c>
      <c r="G346" s="9" t="s">
        <v>39</v>
      </c>
      <c r="H346" s="9" t="s">
        <v>39</v>
      </c>
      <c r="J346" s="9">
        <v>11200</v>
      </c>
      <c r="M346" s="23">
        <f t="shared" ref="M346" si="143">$J$10+D345</f>
        <v>11229</v>
      </c>
    </row>
    <row r="347" spans="1:13">
      <c r="E347" s="4">
        <f t="shared" si="134"/>
        <v>347</v>
      </c>
      <c r="F347" s="9" t="s">
        <v>144</v>
      </c>
      <c r="M347" s="23">
        <v>104020</v>
      </c>
    </row>
    <row r="348" spans="1:13">
      <c r="E348" s="4">
        <f t="shared" si="134"/>
        <v>348</v>
      </c>
      <c r="F348" s="9" t="s">
        <v>126</v>
      </c>
      <c r="G348" s="9">
        <v>10</v>
      </c>
      <c r="I348" s="9">
        <v>11</v>
      </c>
      <c r="J348" s="9" t="s">
        <v>229</v>
      </c>
      <c r="M348" s="23">
        <f t="shared" ref="M348" si="144">G348*D345+$I$12+D345*J348</f>
        <v>272</v>
      </c>
    </row>
    <row r="349" spans="1:13">
      <c r="E349" s="4">
        <f t="shared" si="134"/>
        <v>349</v>
      </c>
      <c r="F349" s="9" t="s">
        <v>35</v>
      </c>
      <c r="M349" s="23">
        <v>1000</v>
      </c>
    </row>
    <row r="350" spans="1:13">
      <c r="E350" s="4">
        <f t="shared" si="134"/>
        <v>350</v>
      </c>
      <c r="F350" s="9" t="s">
        <v>29</v>
      </c>
      <c r="M350" s="23" t="s">
        <v>231</v>
      </c>
    </row>
    <row r="351" spans="1:13">
      <c r="E351" s="4">
        <f t="shared" si="134"/>
        <v>351</v>
      </c>
      <c r="F351" s="9" t="s">
        <v>118</v>
      </c>
      <c r="M351" s="23" t="s">
        <v>232</v>
      </c>
    </row>
    <row r="352" spans="1:13">
      <c r="E352" s="4">
        <f t="shared" si="134"/>
        <v>352</v>
      </c>
      <c r="F352" s="9" t="s">
        <v>114</v>
      </c>
      <c r="M352" s="23" t="b">
        <v>1</v>
      </c>
    </row>
    <row r="353" spans="1:13">
      <c r="E353" s="4">
        <f t="shared" si="134"/>
        <v>353</v>
      </c>
      <c r="F353" s="9" t="s">
        <v>98</v>
      </c>
      <c r="K353" s="9" t="s">
        <v>137</v>
      </c>
      <c r="M353" s="23">
        <v>2</v>
      </c>
    </row>
    <row r="354" spans="1:13">
      <c r="E354" s="4">
        <f t="shared" si="134"/>
        <v>354</v>
      </c>
      <c r="F354" s="9" t="s">
        <v>30</v>
      </c>
      <c r="M354" s="23">
        <v>4.07</v>
      </c>
    </row>
    <row r="355" spans="1:13">
      <c r="E355" s="4">
        <f t="shared" si="134"/>
        <v>355</v>
      </c>
      <c r="F355" s="9" t="s">
        <v>31</v>
      </c>
      <c r="L355" s="9" t="s">
        <v>135</v>
      </c>
      <c r="M355" s="23" t="s">
        <v>233</v>
      </c>
    </row>
    <row r="356" spans="1:13">
      <c r="E356" s="4">
        <f t="shared" si="134"/>
        <v>356</v>
      </c>
      <c r="F356" s="9" t="s">
        <v>143</v>
      </c>
      <c r="G356" s="9">
        <v>45</v>
      </c>
      <c r="H356" s="9">
        <v>-45</v>
      </c>
      <c r="I356" s="9">
        <v>-15</v>
      </c>
      <c r="J356" s="9" t="s">
        <v>234</v>
      </c>
      <c r="L356" s="9" t="s">
        <v>134</v>
      </c>
      <c r="M356" s="23">
        <f t="shared" ref="M356" si="145">IF(MOD(QUOTIENT(D345-1,$G$10),2)=0,$G$20+$I$20*MOD(D345-1,$G$10),$H$20+$J$20*MOD(D345-1,$G$10))</f>
        <v>45</v>
      </c>
    </row>
    <row r="357" spans="1:13">
      <c r="A357" s="22" t="s">
        <v>227</v>
      </c>
      <c r="B357" s="22">
        <f t="shared" ref="B357" si="146">QUOTIENT( D357-1,G358)+1</f>
        <v>5</v>
      </c>
      <c r="C357" s="22">
        <f t="shared" ref="C357" si="147">D357-(B357-1)*G358</f>
        <v>2</v>
      </c>
      <c r="D357" s="22">
        <f>COUNT($D$8:$D356)+1</f>
        <v>30</v>
      </c>
      <c r="E357" s="4"/>
    </row>
    <row r="358" spans="1:13">
      <c r="E358" s="4">
        <f t="shared" si="134"/>
        <v>358</v>
      </c>
      <c r="F358" s="9" t="s">
        <v>93</v>
      </c>
      <c r="G358" s="9" t="s">
        <v>39</v>
      </c>
      <c r="H358" s="9" t="s">
        <v>39</v>
      </c>
      <c r="J358" s="9">
        <v>11200</v>
      </c>
      <c r="M358" s="23">
        <f t="shared" ref="M358" si="148">$J$10+D357</f>
        <v>11230</v>
      </c>
    </row>
    <row r="359" spans="1:13">
      <c r="E359" s="4">
        <f t="shared" si="134"/>
        <v>359</v>
      </c>
      <c r="F359" s="9" t="s">
        <v>144</v>
      </c>
      <c r="M359" s="23">
        <v>104020</v>
      </c>
    </row>
    <row r="360" spans="1:13">
      <c r="E360" s="4">
        <f t="shared" si="134"/>
        <v>360</v>
      </c>
      <c r="F360" s="9" t="s">
        <v>126</v>
      </c>
      <c r="G360" s="9">
        <v>10</v>
      </c>
      <c r="I360" s="9">
        <v>11</v>
      </c>
      <c r="J360" s="9" t="s">
        <v>229</v>
      </c>
      <c r="M360" s="23">
        <f t="shared" ref="M360" si="149">G360*D357+$I$12+D357*J360</f>
        <v>281</v>
      </c>
    </row>
    <row r="361" spans="1:13">
      <c r="E361" s="4">
        <f t="shared" si="134"/>
        <v>361</v>
      </c>
      <c r="F361" s="9" t="s">
        <v>35</v>
      </c>
      <c r="M361" s="23">
        <v>1000</v>
      </c>
    </row>
    <row r="362" spans="1:13">
      <c r="E362" s="4">
        <f t="shared" si="134"/>
        <v>362</v>
      </c>
      <c r="F362" s="9" t="s">
        <v>29</v>
      </c>
      <c r="M362" s="23" t="s">
        <v>231</v>
      </c>
    </row>
    <row r="363" spans="1:13">
      <c r="E363" s="4">
        <f t="shared" si="134"/>
        <v>363</v>
      </c>
      <c r="F363" s="9" t="s">
        <v>118</v>
      </c>
      <c r="M363" s="23" t="s">
        <v>232</v>
      </c>
    </row>
    <row r="364" spans="1:13">
      <c r="E364" s="4">
        <f t="shared" si="134"/>
        <v>364</v>
      </c>
      <c r="F364" s="9" t="s">
        <v>114</v>
      </c>
      <c r="M364" s="23" t="b">
        <v>1</v>
      </c>
    </row>
    <row r="365" spans="1:13">
      <c r="E365" s="4">
        <f t="shared" si="134"/>
        <v>365</v>
      </c>
      <c r="F365" s="9" t="s">
        <v>98</v>
      </c>
      <c r="K365" s="9" t="s">
        <v>137</v>
      </c>
      <c r="M365" s="23">
        <v>2</v>
      </c>
    </row>
    <row r="366" spans="1:13">
      <c r="E366" s="4">
        <f t="shared" si="134"/>
        <v>366</v>
      </c>
      <c r="F366" s="9" t="s">
        <v>30</v>
      </c>
      <c r="M366" s="23">
        <v>4.07</v>
      </c>
    </row>
    <row r="367" spans="1:13">
      <c r="E367" s="4">
        <f t="shared" si="134"/>
        <v>367</v>
      </c>
      <c r="F367" s="9" t="s">
        <v>31</v>
      </c>
      <c r="L367" s="9" t="s">
        <v>135</v>
      </c>
      <c r="M367" s="23" t="s">
        <v>233</v>
      </c>
    </row>
    <row r="368" spans="1:13">
      <c r="E368" s="4">
        <f t="shared" si="134"/>
        <v>368</v>
      </c>
      <c r="F368" s="9" t="s">
        <v>143</v>
      </c>
      <c r="G368" s="9">
        <v>45</v>
      </c>
      <c r="H368" s="9">
        <v>-45</v>
      </c>
      <c r="I368" s="9">
        <v>-15</v>
      </c>
      <c r="J368" s="9" t="s">
        <v>234</v>
      </c>
      <c r="L368" s="9" t="s">
        <v>134</v>
      </c>
      <c r="M368" s="23">
        <f t="shared" ref="M368" si="150">IF(MOD(QUOTIENT(D357-1,$G$10),2)=0,$G$20+$I$20*MOD(D357-1,$G$10),$H$20+$J$20*MOD(D357-1,$G$10))</f>
        <v>30</v>
      </c>
    </row>
    <row r="369" spans="1:13">
      <c r="A369" s="22" t="s">
        <v>227</v>
      </c>
      <c r="B369" s="22">
        <f t="shared" ref="B369" si="151">QUOTIENT( D369-1,G370)+1</f>
        <v>5</v>
      </c>
      <c r="C369" s="22">
        <f t="shared" ref="C369" si="152">D369-(B369-1)*G370</f>
        <v>3</v>
      </c>
      <c r="D369" s="22">
        <f>COUNT($D$8:$D368)+1</f>
        <v>31</v>
      </c>
      <c r="E369" s="4"/>
    </row>
    <row r="370" spans="1:13">
      <c r="E370" s="4">
        <f t="shared" si="134"/>
        <v>370</v>
      </c>
      <c r="F370" s="9" t="s">
        <v>93</v>
      </c>
      <c r="G370" s="9" t="s">
        <v>39</v>
      </c>
      <c r="H370" s="9" t="s">
        <v>39</v>
      </c>
      <c r="J370" s="9">
        <v>11200</v>
      </c>
      <c r="M370" s="23">
        <f t="shared" ref="M370" si="153">$J$10+D369</f>
        <v>11231</v>
      </c>
    </row>
    <row r="371" spans="1:13">
      <c r="E371" s="4">
        <f t="shared" si="134"/>
        <v>371</v>
      </c>
      <c r="F371" s="9" t="s">
        <v>144</v>
      </c>
      <c r="M371" s="23">
        <v>104020</v>
      </c>
    </row>
    <row r="372" spans="1:13">
      <c r="E372" s="4">
        <f t="shared" si="134"/>
        <v>372</v>
      </c>
      <c r="F372" s="9" t="s">
        <v>126</v>
      </c>
      <c r="G372" s="9">
        <v>10</v>
      </c>
      <c r="I372" s="9">
        <v>11</v>
      </c>
      <c r="J372" s="9" t="s">
        <v>229</v>
      </c>
      <c r="M372" s="23">
        <f t="shared" ref="M372" si="154">G372*D369+$I$12+D369*J372</f>
        <v>290</v>
      </c>
    </row>
    <row r="373" spans="1:13">
      <c r="E373" s="4">
        <f t="shared" si="134"/>
        <v>373</v>
      </c>
      <c r="F373" s="9" t="s">
        <v>35</v>
      </c>
      <c r="M373" s="23">
        <v>1000</v>
      </c>
    </row>
    <row r="374" spans="1:13">
      <c r="E374" s="4">
        <f t="shared" si="134"/>
        <v>374</v>
      </c>
      <c r="F374" s="9" t="s">
        <v>29</v>
      </c>
      <c r="M374" s="23" t="s">
        <v>231</v>
      </c>
    </row>
    <row r="375" spans="1:13">
      <c r="E375" s="4">
        <f t="shared" si="134"/>
        <v>375</v>
      </c>
      <c r="F375" s="9" t="s">
        <v>118</v>
      </c>
      <c r="M375" s="23" t="s">
        <v>232</v>
      </c>
    </row>
    <row r="376" spans="1:13">
      <c r="E376" s="4">
        <f t="shared" si="134"/>
        <v>376</v>
      </c>
      <c r="F376" s="9" t="s">
        <v>114</v>
      </c>
      <c r="M376" s="23" t="b">
        <v>1</v>
      </c>
    </row>
    <row r="377" spans="1:13">
      <c r="E377" s="4">
        <f t="shared" si="134"/>
        <v>377</v>
      </c>
      <c r="F377" s="9" t="s">
        <v>98</v>
      </c>
      <c r="K377" s="9" t="s">
        <v>137</v>
      </c>
      <c r="M377" s="23">
        <v>2</v>
      </c>
    </row>
    <row r="378" spans="1:13">
      <c r="E378" s="4">
        <f t="shared" si="134"/>
        <v>378</v>
      </c>
      <c r="F378" s="9" t="s">
        <v>30</v>
      </c>
      <c r="M378" s="23">
        <v>4.07</v>
      </c>
    </row>
    <row r="379" spans="1:13">
      <c r="E379" s="4">
        <f t="shared" si="134"/>
        <v>379</v>
      </c>
      <c r="F379" s="9" t="s">
        <v>31</v>
      </c>
      <c r="L379" s="9" t="s">
        <v>135</v>
      </c>
      <c r="M379" s="23" t="s">
        <v>233</v>
      </c>
    </row>
    <row r="380" spans="1:13">
      <c r="E380" s="4">
        <f t="shared" si="134"/>
        <v>380</v>
      </c>
      <c r="F380" s="9" t="s">
        <v>143</v>
      </c>
      <c r="G380" s="9">
        <v>45</v>
      </c>
      <c r="H380" s="9">
        <v>-45</v>
      </c>
      <c r="I380" s="9">
        <v>-15</v>
      </c>
      <c r="J380" s="9" t="s">
        <v>234</v>
      </c>
      <c r="L380" s="9" t="s">
        <v>134</v>
      </c>
      <c r="M380" s="23">
        <f t="shared" ref="M380" si="155">IF(MOD(QUOTIENT(D369-1,$G$10),2)=0,$G$20+$I$20*MOD(D369-1,$G$10),$H$20+$J$20*MOD(D369-1,$G$10))</f>
        <v>15</v>
      </c>
    </row>
    <row r="381" spans="1:13">
      <c r="A381" s="22" t="s">
        <v>227</v>
      </c>
      <c r="B381" s="22">
        <f t="shared" ref="B381" si="156">QUOTIENT( D381-1,G382)+1</f>
        <v>5</v>
      </c>
      <c r="C381" s="22">
        <f t="shared" ref="C381" si="157">D381-(B381-1)*G382</f>
        <v>4</v>
      </c>
      <c r="D381" s="22">
        <f>COUNT($D$8:$D380)+1</f>
        <v>32</v>
      </c>
      <c r="E381" s="4"/>
    </row>
    <row r="382" spans="1:13">
      <c r="E382" s="4">
        <f t="shared" si="134"/>
        <v>382</v>
      </c>
      <c r="F382" s="9" t="s">
        <v>93</v>
      </c>
      <c r="G382" s="9" t="s">
        <v>39</v>
      </c>
      <c r="H382" s="9" t="s">
        <v>39</v>
      </c>
      <c r="J382" s="9">
        <v>11200</v>
      </c>
      <c r="M382" s="23">
        <f t="shared" ref="M382" si="158">$J$10+D381</f>
        <v>11232</v>
      </c>
    </row>
    <row r="383" spans="1:13">
      <c r="E383" s="4">
        <f t="shared" si="134"/>
        <v>383</v>
      </c>
      <c r="F383" s="9" t="s">
        <v>144</v>
      </c>
      <c r="M383" s="23">
        <v>104020</v>
      </c>
    </row>
    <row r="384" spans="1:13">
      <c r="E384" s="4">
        <f t="shared" si="134"/>
        <v>384</v>
      </c>
      <c r="F384" s="9" t="s">
        <v>126</v>
      </c>
      <c r="G384" s="9">
        <v>10</v>
      </c>
      <c r="I384" s="9">
        <v>11</v>
      </c>
      <c r="J384" s="9" t="s">
        <v>229</v>
      </c>
      <c r="M384" s="23">
        <f t="shared" ref="M384" si="159">G384*D381+$I$12+D381*J384</f>
        <v>299</v>
      </c>
    </row>
    <row r="385" spans="1:13">
      <c r="E385" s="4">
        <f t="shared" si="134"/>
        <v>385</v>
      </c>
      <c r="F385" s="9" t="s">
        <v>35</v>
      </c>
      <c r="M385" s="23">
        <v>1000</v>
      </c>
    </row>
    <row r="386" spans="1:13">
      <c r="E386" s="4">
        <f t="shared" si="134"/>
        <v>386</v>
      </c>
      <c r="F386" s="9" t="s">
        <v>29</v>
      </c>
      <c r="M386" s="23" t="s">
        <v>231</v>
      </c>
    </row>
    <row r="387" spans="1:13">
      <c r="E387" s="4">
        <f t="shared" si="134"/>
        <v>387</v>
      </c>
      <c r="F387" s="9" t="s">
        <v>118</v>
      </c>
      <c r="M387" s="23" t="s">
        <v>232</v>
      </c>
    </row>
    <row r="388" spans="1:13">
      <c r="E388" s="4">
        <f t="shared" si="134"/>
        <v>388</v>
      </c>
      <c r="F388" s="9" t="s">
        <v>114</v>
      </c>
      <c r="M388" s="23" t="b">
        <v>1</v>
      </c>
    </row>
    <row r="389" spans="1:13">
      <c r="E389" s="4">
        <f t="shared" si="134"/>
        <v>389</v>
      </c>
      <c r="F389" s="9" t="s">
        <v>98</v>
      </c>
      <c r="K389" s="9" t="s">
        <v>137</v>
      </c>
      <c r="M389" s="23">
        <v>2</v>
      </c>
    </row>
    <row r="390" spans="1:13">
      <c r="E390" s="4">
        <f t="shared" si="134"/>
        <v>390</v>
      </c>
      <c r="F390" s="9" t="s">
        <v>30</v>
      </c>
      <c r="M390" s="23">
        <v>4.07</v>
      </c>
    </row>
    <row r="391" spans="1:13">
      <c r="E391" s="4">
        <f t="shared" si="134"/>
        <v>391</v>
      </c>
      <c r="F391" s="9" t="s">
        <v>31</v>
      </c>
      <c r="L391" s="9" t="s">
        <v>135</v>
      </c>
      <c r="M391" s="23" t="s">
        <v>233</v>
      </c>
    </row>
    <row r="392" spans="1:13">
      <c r="E392" s="4">
        <f t="shared" si="134"/>
        <v>392</v>
      </c>
      <c r="F392" s="9" t="s">
        <v>143</v>
      </c>
      <c r="G392" s="9">
        <v>45</v>
      </c>
      <c r="H392" s="9">
        <v>-45</v>
      </c>
      <c r="I392" s="9">
        <v>-15</v>
      </c>
      <c r="J392" s="9" t="s">
        <v>234</v>
      </c>
      <c r="L392" s="9" t="s">
        <v>134</v>
      </c>
      <c r="M392" s="23">
        <f t="shared" ref="M392" si="160">IF(MOD(QUOTIENT(D381-1,$G$10),2)=0,$G$20+$I$20*MOD(D381-1,$G$10),$H$20+$J$20*MOD(D381-1,$G$10))</f>
        <v>0</v>
      </c>
    </row>
    <row r="393" spans="1:13">
      <c r="A393" s="22" t="s">
        <v>227</v>
      </c>
      <c r="B393" s="22">
        <f t="shared" ref="B393" si="161">QUOTIENT( D393-1,G394)+1</f>
        <v>5</v>
      </c>
      <c r="C393" s="22">
        <f t="shared" ref="C393" si="162">D393-(B393-1)*G394</f>
        <v>5</v>
      </c>
      <c r="D393" s="22">
        <f>COUNT($D$8:$D392)+1</f>
        <v>33</v>
      </c>
      <c r="E393" s="4"/>
    </row>
    <row r="394" spans="1:13">
      <c r="E394" s="4">
        <f t="shared" ref="E394:E457" si="163">ROW(E394)</f>
        <v>394</v>
      </c>
      <c r="F394" s="9" t="s">
        <v>93</v>
      </c>
      <c r="G394" s="9" t="s">
        <v>39</v>
      </c>
      <c r="H394" s="9" t="s">
        <v>39</v>
      </c>
      <c r="J394" s="9">
        <v>11200</v>
      </c>
      <c r="M394" s="23">
        <f t="shared" ref="M394" si="164">$J$10+D393</f>
        <v>11233</v>
      </c>
    </row>
    <row r="395" spans="1:13">
      <c r="E395" s="4">
        <f t="shared" si="163"/>
        <v>395</v>
      </c>
      <c r="F395" s="9" t="s">
        <v>144</v>
      </c>
      <c r="M395" s="23">
        <v>104020</v>
      </c>
    </row>
    <row r="396" spans="1:13">
      <c r="E396" s="4">
        <f t="shared" si="163"/>
        <v>396</v>
      </c>
      <c r="F396" s="9" t="s">
        <v>126</v>
      </c>
      <c r="G396" s="9">
        <v>10</v>
      </c>
      <c r="I396" s="9">
        <v>11</v>
      </c>
      <c r="J396" s="9" t="s">
        <v>229</v>
      </c>
      <c r="M396" s="23">
        <f t="shared" ref="M396" si="165">G396*D393+$I$12+D393*J396</f>
        <v>308</v>
      </c>
    </row>
    <row r="397" spans="1:13">
      <c r="E397" s="4">
        <f t="shared" si="163"/>
        <v>397</v>
      </c>
      <c r="F397" s="9" t="s">
        <v>35</v>
      </c>
      <c r="M397" s="23">
        <v>1000</v>
      </c>
    </row>
    <row r="398" spans="1:13">
      <c r="E398" s="4">
        <f t="shared" si="163"/>
        <v>398</v>
      </c>
      <c r="F398" s="9" t="s">
        <v>29</v>
      </c>
      <c r="M398" s="23" t="s">
        <v>231</v>
      </c>
    </row>
    <row r="399" spans="1:13">
      <c r="E399" s="4">
        <f t="shared" si="163"/>
        <v>399</v>
      </c>
      <c r="F399" s="9" t="s">
        <v>118</v>
      </c>
      <c r="M399" s="23" t="s">
        <v>232</v>
      </c>
    </row>
    <row r="400" spans="1:13">
      <c r="E400" s="4">
        <f t="shared" si="163"/>
        <v>400</v>
      </c>
      <c r="F400" s="9" t="s">
        <v>114</v>
      </c>
      <c r="M400" s="23" t="b">
        <v>1</v>
      </c>
    </row>
    <row r="401" spans="1:13">
      <c r="E401" s="4">
        <f t="shared" si="163"/>
        <v>401</v>
      </c>
      <c r="F401" s="9" t="s">
        <v>98</v>
      </c>
      <c r="K401" s="9" t="s">
        <v>137</v>
      </c>
      <c r="M401" s="23">
        <v>2</v>
      </c>
    </row>
    <row r="402" spans="1:13">
      <c r="E402" s="4">
        <f t="shared" si="163"/>
        <v>402</v>
      </c>
      <c r="F402" s="9" t="s">
        <v>30</v>
      </c>
      <c r="M402" s="23">
        <v>4.07</v>
      </c>
    </row>
    <row r="403" spans="1:13">
      <c r="E403" s="4">
        <f t="shared" si="163"/>
        <v>403</v>
      </c>
      <c r="F403" s="9" t="s">
        <v>31</v>
      </c>
      <c r="L403" s="9" t="s">
        <v>135</v>
      </c>
      <c r="M403" s="23" t="s">
        <v>233</v>
      </c>
    </row>
    <row r="404" spans="1:13">
      <c r="E404" s="4">
        <f t="shared" si="163"/>
        <v>404</v>
      </c>
      <c r="F404" s="9" t="s">
        <v>143</v>
      </c>
      <c r="G404" s="9">
        <v>45</v>
      </c>
      <c r="H404" s="9">
        <v>-45</v>
      </c>
      <c r="I404" s="9">
        <v>-15</v>
      </c>
      <c r="J404" s="9" t="s">
        <v>234</v>
      </c>
      <c r="L404" s="9" t="s">
        <v>134</v>
      </c>
      <c r="M404" s="23">
        <f t="shared" ref="M404" si="166">IF(MOD(QUOTIENT(D393-1,$G$10),2)=0,$G$20+$I$20*MOD(D393-1,$G$10),$H$20+$J$20*MOD(D393-1,$G$10))</f>
        <v>-15</v>
      </c>
    </row>
    <row r="405" spans="1:13">
      <c r="A405" s="22" t="s">
        <v>227</v>
      </c>
      <c r="B405" s="22">
        <f t="shared" ref="B405" si="167">QUOTIENT( D405-1,G406)+1</f>
        <v>5</v>
      </c>
      <c r="C405" s="22">
        <f t="shared" ref="C405" si="168">D405-(B405-1)*G406</f>
        <v>6</v>
      </c>
      <c r="D405" s="22">
        <f>COUNT($D$8:$D404)+1</f>
        <v>34</v>
      </c>
      <c r="E405" s="4"/>
    </row>
    <row r="406" spans="1:13">
      <c r="E406" s="4">
        <f t="shared" si="163"/>
        <v>406</v>
      </c>
      <c r="F406" s="9" t="s">
        <v>93</v>
      </c>
      <c r="G406" s="9" t="s">
        <v>39</v>
      </c>
      <c r="H406" s="9" t="s">
        <v>39</v>
      </c>
      <c r="J406" s="9">
        <v>11200</v>
      </c>
      <c r="M406" s="23">
        <f t="shared" ref="M406" si="169">$J$10+D405</f>
        <v>11234</v>
      </c>
    </row>
    <row r="407" spans="1:13">
      <c r="E407" s="4">
        <f t="shared" si="163"/>
        <v>407</v>
      </c>
      <c r="F407" s="9" t="s">
        <v>144</v>
      </c>
      <c r="M407" s="23">
        <v>104020</v>
      </c>
    </row>
    <row r="408" spans="1:13">
      <c r="E408" s="4">
        <f t="shared" si="163"/>
        <v>408</v>
      </c>
      <c r="F408" s="9" t="s">
        <v>126</v>
      </c>
      <c r="G408" s="9">
        <v>10</v>
      </c>
      <c r="I408" s="9">
        <v>11</v>
      </c>
      <c r="J408" s="9" t="s">
        <v>229</v>
      </c>
      <c r="M408" s="23">
        <f t="shared" ref="M408" si="170">G408*D405+$I$12+D405*J408</f>
        <v>317</v>
      </c>
    </row>
    <row r="409" spans="1:13">
      <c r="E409" s="4">
        <f t="shared" si="163"/>
        <v>409</v>
      </c>
      <c r="F409" s="9" t="s">
        <v>35</v>
      </c>
      <c r="M409" s="23">
        <v>1000</v>
      </c>
    </row>
    <row r="410" spans="1:13">
      <c r="E410" s="4">
        <f t="shared" si="163"/>
        <v>410</v>
      </c>
      <c r="F410" s="9" t="s">
        <v>29</v>
      </c>
      <c r="M410" s="23" t="s">
        <v>231</v>
      </c>
    </row>
    <row r="411" spans="1:13">
      <c r="E411" s="4">
        <f t="shared" si="163"/>
        <v>411</v>
      </c>
      <c r="F411" s="9" t="s">
        <v>118</v>
      </c>
      <c r="M411" s="23" t="s">
        <v>232</v>
      </c>
    </row>
    <row r="412" spans="1:13">
      <c r="E412" s="4">
        <f t="shared" si="163"/>
        <v>412</v>
      </c>
      <c r="F412" s="9" t="s">
        <v>114</v>
      </c>
      <c r="M412" s="23" t="b">
        <v>1</v>
      </c>
    </row>
    <row r="413" spans="1:13">
      <c r="E413" s="4">
        <f t="shared" si="163"/>
        <v>413</v>
      </c>
      <c r="F413" s="9" t="s">
        <v>98</v>
      </c>
      <c r="K413" s="9" t="s">
        <v>137</v>
      </c>
      <c r="M413" s="23">
        <v>2</v>
      </c>
    </row>
    <row r="414" spans="1:13">
      <c r="E414" s="4">
        <f t="shared" si="163"/>
        <v>414</v>
      </c>
      <c r="F414" s="9" t="s">
        <v>30</v>
      </c>
      <c r="M414" s="23">
        <v>4.07</v>
      </c>
    </row>
    <row r="415" spans="1:13">
      <c r="E415" s="4">
        <f t="shared" si="163"/>
        <v>415</v>
      </c>
      <c r="F415" s="9" t="s">
        <v>31</v>
      </c>
      <c r="L415" s="9" t="s">
        <v>135</v>
      </c>
      <c r="M415" s="23" t="s">
        <v>233</v>
      </c>
    </row>
    <row r="416" spans="1:13">
      <c r="E416" s="4">
        <f t="shared" si="163"/>
        <v>416</v>
      </c>
      <c r="F416" s="9" t="s">
        <v>143</v>
      </c>
      <c r="G416" s="9">
        <v>45</v>
      </c>
      <c r="H416" s="9">
        <v>-45</v>
      </c>
      <c r="I416" s="9">
        <v>-15</v>
      </c>
      <c r="J416" s="9" t="s">
        <v>234</v>
      </c>
      <c r="L416" s="9" t="s">
        <v>134</v>
      </c>
      <c r="M416" s="23">
        <f t="shared" ref="M416" si="171">IF(MOD(QUOTIENT(D405-1,$G$10),2)=0,$G$20+$I$20*MOD(D405-1,$G$10),$H$20+$J$20*MOD(D405-1,$G$10))</f>
        <v>-30</v>
      </c>
    </row>
    <row r="417" spans="1:13">
      <c r="A417" s="22" t="s">
        <v>227</v>
      </c>
      <c r="B417" s="22">
        <f t="shared" ref="B417" si="172">QUOTIENT( D417-1,G418)+1</f>
        <v>5</v>
      </c>
      <c r="C417" s="22">
        <f t="shared" ref="C417" si="173">D417-(B417-1)*G418</f>
        <v>7</v>
      </c>
      <c r="D417" s="22">
        <f>COUNT($D$8:$D416)+1</f>
        <v>35</v>
      </c>
      <c r="E417" s="4"/>
    </row>
    <row r="418" spans="1:13">
      <c r="E418" s="4">
        <f t="shared" si="163"/>
        <v>418</v>
      </c>
      <c r="F418" s="9" t="s">
        <v>93</v>
      </c>
      <c r="G418" s="9" t="s">
        <v>39</v>
      </c>
      <c r="H418" s="9" t="s">
        <v>39</v>
      </c>
      <c r="J418" s="9">
        <v>11200</v>
      </c>
      <c r="M418" s="23">
        <f t="shared" ref="M418" si="174">$J$10+D417</f>
        <v>11235</v>
      </c>
    </row>
    <row r="419" spans="1:13">
      <c r="E419" s="4">
        <f t="shared" si="163"/>
        <v>419</v>
      </c>
      <c r="F419" s="9" t="s">
        <v>144</v>
      </c>
      <c r="M419" s="23">
        <v>104020</v>
      </c>
    </row>
    <row r="420" spans="1:13">
      <c r="E420" s="4">
        <f t="shared" si="163"/>
        <v>420</v>
      </c>
      <c r="F420" s="9" t="s">
        <v>126</v>
      </c>
      <c r="G420" s="9">
        <v>10</v>
      </c>
      <c r="I420" s="9">
        <v>11</v>
      </c>
      <c r="J420" s="9" t="s">
        <v>229</v>
      </c>
      <c r="M420" s="23">
        <f t="shared" ref="M420" si="175">G420*D417+$I$12+D417*J420</f>
        <v>326</v>
      </c>
    </row>
    <row r="421" spans="1:13">
      <c r="E421" s="4">
        <f t="shared" si="163"/>
        <v>421</v>
      </c>
      <c r="F421" s="9" t="s">
        <v>35</v>
      </c>
      <c r="M421" s="23">
        <v>1000</v>
      </c>
    </row>
    <row r="422" spans="1:13">
      <c r="E422" s="4">
        <f t="shared" si="163"/>
        <v>422</v>
      </c>
      <c r="F422" s="9" t="s">
        <v>29</v>
      </c>
      <c r="M422" s="23" t="s">
        <v>231</v>
      </c>
    </row>
    <row r="423" spans="1:13">
      <c r="E423" s="4">
        <f t="shared" si="163"/>
        <v>423</v>
      </c>
      <c r="F423" s="9" t="s">
        <v>118</v>
      </c>
      <c r="M423" s="23" t="s">
        <v>232</v>
      </c>
    </row>
    <row r="424" spans="1:13">
      <c r="E424" s="4">
        <f t="shared" si="163"/>
        <v>424</v>
      </c>
      <c r="F424" s="9" t="s">
        <v>114</v>
      </c>
      <c r="M424" s="23" t="b">
        <v>1</v>
      </c>
    </row>
    <row r="425" spans="1:13">
      <c r="E425" s="4">
        <f t="shared" si="163"/>
        <v>425</v>
      </c>
      <c r="F425" s="9" t="s">
        <v>98</v>
      </c>
      <c r="K425" s="9" t="s">
        <v>137</v>
      </c>
      <c r="M425" s="23">
        <v>2</v>
      </c>
    </row>
    <row r="426" spans="1:13">
      <c r="E426" s="4">
        <f t="shared" si="163"/>
        <v>426</v>
      </c>
      <c r="F426" s="9" t="s">
        <v>30</v>
      </c>
      <c r="M426" s="23">
        <v>4.07</v>
      </c>
    </row>
    <row r="427" spans="1:13">
      <c r="E427" s="4">
        <f t="shared" si="163"/>
        <v>427</v>
      </c>
      <c r="F427" s="9" t="s">
        <v>31</v>
      </c>
      <c r="L427" s="9" t="s">
        <v>135</v>
      </c>
      <c r="M427" s="23" t="s">
        <v>233</v>
      </c>
    </row>
    <row r="428" spans="1:13">
      <c r="E428" s="4">
        <f t="shared" si="163"/>
        <v>428</v>
      </c>
      <c r="F428" s="9" t="s">
        <v>143</v>
      </c>
      <c r="G428" s="9">
        <v>45</v>
      </c>
      <c r="H428" s="9">
        <v>-45</v>
      </c>
      <c r="I428" s="9">
        <v>-15</v>
      </c>
      <c r="J428" s="9" t="s">
        <v>234</v>
      </c>
      <c r="L428" s="9" t="s">
        <v>134</v>
      </c>
      <c r="M428" s="23">
        <f t="shared" ref="M428" si="176">IF(MOD(QUOTIENT(D417-1,$G$10),2)=0,$G$20+$I$20*MOD(D417-1,$G$10),$H$20+$J$20*MOD(D417-1,$G$10))</f>
        <v>-45</v>
      </c>
    </row>
    <row r="429" spans="1:13">
      <c r="A429" s="22" t="s">
        <v>227</v>
      </c>
      <c r="B429" s="22">
        <f t="shared" ref="B429" si="177">QUOTIENT( D429-1,G430)+1</f>
        <v>6</v>
      </c>
      <c r="C429" s="22">
        <f t="shared" ref="C429" si="178">D429-(B429-1)*G430</f>
        <v>1</v>
      </c>
      <c r="D429" s="22">
        <f>COUNT($D$8:$D428)+1</f>
        <v>36</v>
      </c>
      <c r="E429" s="4"/>
    </row>
    <row r="430" spans="1:13">
      <c r="E430" s="4">
        <f t="shared" si="163"/>
        <v>430</v>
      </c>
      <c r="F430" s="9" t="s">
        <v>93</v>
      </c>
      <c r="G430" s="9" t="s">
        <v>39</v>
      </c>
      <c r="H430" s="9" t="s">
        <v>39</v>
      </c>
      <c r="J430" s="9">
        <v>11200</v>
      </c>
      <c r="M430" s="23">
        <f t="shared" ref="M430" si="179">$J$10+D429</f>
        <v>11236</v>
      </c>
    </row>
    <row r="431" spans="1:13">
      <c r="E431" s="4">
        <f t="shared" si="163"/>
        <v>431</v>
      </c>
      <c r="F431" s="9" t="s">
        <v>144</v>
      </c>
      <c r="M431" s="23">
        <v>104020</v>
      </c>
    </row>
    <row r="432" spans="1:13">
      <c r="E432" s="4">
        <f t="shared" si="163"/>
        <v>432</v>
      </c>
      <c r="F432" s="9" t="s">
        <v>126</v>
      </c>
      <c r="G432" s="9">
        <v>10</v>
      </c>
      <c r="I432" s="9">
        <v>11</v>
      </c>
      <c r="J432" s="9" t="s">
        <v>229</v>
      </c>
      <c r="M432" s="23">
        <f t="shared" ref="M432" si="180">G432*D429+$I$12+D429*J432</f>
        <v>335</v>
      </c>
    </row>
    <row r="433" spans="1:13">
      <c r="E433" s="4">
        <f t="shared" si="163"/>
        <v>433</v>
      </c>
      <c r="F433" s="9" t="s">
        <v>35</v>
      </c>
      <c r="M433" s="23">
        <v>1000</v>
      </c>
    </row>
    <row r="434" spans="1:13">
      <c r="E434" s="4">
        <f t="shared" si="163"/>
        <v>434</v>
      </c>
      <c r="F434" s="9" t="s">
        <v>29</v>
      </c>
      <c r="M434" s="23" t="s">
        <v>231</v>
      </c>
    </row>
    <row r="435" spans="1:13">
      <c r="E435" s="4">
        <f t="shared" si="163"/>
        <v>435</v>
      </c>
      <c r="F435" s="9" t="s">
        <v>118</v>
      </c>
      <c r="M435" s="23" t="s">
        <v>232</v>
      </c>
    </row>
    <row r="436" spans="1:13">
      <c r="E436" s="4">
        <f t="shared" si="163"/>
        <v>436</v>
      </c>
      <c r="F436" s="9" t="s">
        <v>114</v>
      </c>
      <c r="M436" s="23" t="b">
        <v>1</v>
      </c>
    </row>
    <row r="437" spans="1:13">
      <c r="E437" s="4">
        <f t="shared" si="163"/>
        <v>437</v>
      </c>
      <c r="F437" s="9" t="s">
        <v>98</v>
      </c>
      <c r="K437" s="9" t="s">
        <v>137</v>
      </c>
      <c r="M437" s="23">
        <v>2</v>
      </c>
    </row>
    <row r="438" spans="1:13">
      <c r="E438" s="4">
        <f t="shared" si="163"/>
        <v>438</v>
      </c>
      <c r="F438" s="9" t="s">
        <v>30</v>
      </c>
      <c r="M438" s="23">
        <v>4.07</v>
      </c>
    </row>
    <row r="439" spans="1:13">
      <c r="E439" s="4">
        <f t="shared" si="163"/>
        <v>439</v>
      </c>
      <c r="F439" s="9" t="s">
        <v>31</v>
      </c>
      <c r="L439" s="9" t="s">
        <v>135</v>
      </c>
      <c r="M439" s="23" t="s">
        <v>233</v>
      </c>
    </row>
    <row r="440" spans="1:13">
      <c r="E440" s="4">
        <f t="shared" si="163"/>
        <v>440</v>
      </c>
      <c r="F440" s="9" t="s">
        <v>143</v>
      </c>
      <c r="G440" s="9">
        <v>45</v>
      </c>
      <c r="H440" s="9">
        <v>-45</v>
      </c>
      <c r="I440" s="9">
        <v>-15</v>
      </c>
      <c r="J440" s="9" t="s">
        <v>234</v>
      </c>
      <c r="L440" s="9" t="s">
        <v>134</v>
      </c>
      <c r="M440" s="23">
        <f t="shared" ref="M440" si="181">IF(MOD(QUOTIENT(D429-1,$G$10),2)=0,$G$20+$I$20*MOD(D429-1,$G$10),$H$20+$J$20*MOD(D429-1,$G$10))</f>
        <v>-45</v>
      </c>
    </row>
    <row r="441" spans="1:13">
      <c r="A441" s="22" t="s">
        <v>227</v>
      </c>
      <c r="B441" s="22">
        <f t="shared" ref="B441" si="182">QUOTIENT( D441-1,G442)+1</f>
        <v>6</v>
      </c>
      <c r="C441" s="22">
        <f t="shared" ref="C441" si="183">D441-(B441-1)*G442</f>
        <v>2</v>
      </c>
      <c r="D441" s="22">
        <f>COUNT($D$8:$D440)+1</f>
        <v>37</v>
      </c>
      <c r="E441" s="4"/>
    </row>
    <row r="442" spans="1:13">
      <c r="E442" s="4">
        <f t="shared" si="163"/>
        <v>442</v>
      </c>
      <c r="F442" s="9" t="s">
        <v>93</v>
      </c>
      <c r="G442" s="9" t="s">
        <v>39</v>
      </c>
      <c r="H442" s="9" t="s">
        <v>39</v>
      </c>
      <c r="J442" s="9">
        <v>11200</v>
      </c>
      <c r="M442" s="23">
        <f t="shared" ref="M442" si="184">$J$10+D441</f>
        <v>11237</v>
      </c>
    </row>
    <row r="443" spans="1:13">
      <c r="E443" s="4">
        <f t="shared" si="163"/>
        <v>443</v>
      </c>
      <c r="F443" s="9" t="s">
        <v>144</v>
      </c>
      <c r="M443" s="23">
        <v>104020</v>
      </c>
    </row>
    <row r="444" spans="1:13">
      <c r="E444" s="4">
        <f t="shared" si="163"/>
        <v>444</v>
      </c>
      <c r="F444" s="9" t="s">
        <v>126</v>
      </c>
      <c r="G444" s="9">
        <v>10</v>
      </c>
      <c r="I444" s="9">
        <v>11</v>
      </c>
      <c r="J444" s="9" t="s">
        <v>229</v>
      </c>
      <c r="M444" s="23">
        <f t="shared" ref="M444" si="185">G444*D441+$I$12+D441*J444</f>
        <v>344</v>
      </c>
    </row>
    <row r="445" spans="1:13">
      <c r="E445" s="4">
        <f t="shared" si="163"/>
        <v>445</v>
      </c>
      <c r="F445" s="9" t="s">
        <v>35</v>
      </c>
      <c r="M445" s="23">
        <v>1000</v>
      </c>
    </row>
    <row r="446" spans="1:13">
      <c r="E446" s="4">
        <f t="shared" si="163"/>
        <v>446</v>
      </c>
      <c r="F446" s="9" t="s">
        <v>29</v>
      </c>
      <c r="M446" s="23" t="s">
        <v>231</v>
      </c>
    </row>
    <row r="447" spans="1:13">
      <c r="E447" s="4">
        <f t="shared" si="163"/>
        <v>447</v>
      </c>
      <c r="F447" s="9" t="s">
        <v>118</v>
      </c>
      <c r="M447" s="23" t="s">
        <v>232</v>
      </c>
    </row>
    <row r="448" spans="1:13">
      <c r="E448" s="4">
        <f t="shared" si="163"/>
        <v>448</v>
      </c>
      <c r="F448" s="9" t="s">
        <v>114</v>
      </c>
      <c r="M448" s="23" t="b">
        <v>1</v>
      </c>
    </row>
    <row r="449" spans="1:13">
      <c r="E449" s="4">
        <f t="shared" si="163"/>
        <v>449</v>
      </c>
      <c r="F449" s="9" t="s">
        <v>98</v>
      </c>
      <c r="K449" s="9" t="s">
        <v>137</v>
      </c>
      <c r="M449" s="23">
        <v>2</v>
      </c>
    </row>
    <row r="450" spans="1:13">
      <c r="E450" s="4">
        <f t="shared" si="163"/>
        <v>450</v>
      </c>
      <c r="F450" s="9" t="s">
        <v>30</v>
      </c>
      <c r="M450" s="23">
        <v>4.07</v>
      </c>
    </row>
    <row r="451" spans="1:13">
      <c r="E451" s="4">
        <f t="shared" si="163"/>
        <v>451</v>
      </c>
      <c r="F451" s="9" t="s">
        <v>31</v>
      </c>
      <c r="L451" s="9" t="s">
        <v>135</v>
      </c>
      <c r="M451" s="23" t="s">
        <v>233</v>
      </c>
    </row>
    <row r="452" spans="1:13">
      <c r="E452" s="4">
        <f t="shared" si="163"/>
        <v>452</v>
      </c>
      <c r="F452" s="9" t="s">
        <v>143</v>
      </c>
      <c r="G452" s="9">
        <v>45</v>
      </c>
      <c r="H452" s="9">
        <v>-45</v>
      </c>
      <c r="I452" s="9">
        <v>-15</v>
      </c>
      <c r="J452" s="9" t="s">
        <v>234</v>
      </c>
      <c r="L452" s="9" t="s">
        <v>134</v>
      </c>
      <c r="M452" s="23">
        <f t="shared" ref="M452" si="186">IF(MOD(QUOTIENT(D441-1,$G$10),2)=0,$G$20+$I$20*MOD(D441-1,$G$10),$H$20+$J$20*MOD(D441-1,$G$10))</f>
        <v>-30</v>
      </c>
    </row>
    <row r="453" spans="1:13">
      <c r="A453" s="22" t="s">
        <v>227</v>
      </c>
      <c r="B453" s="22">
        <f t="shared" ref="B453" si="187">QUOTIENT( D453-1,G454)+1</f>
        <v>6</v>
      </c>
      <c r="C453" s="22">
        <f t="shared" ref="C453" si="188">D453-(B453-1)*G454</f>
        <v>3</v>
      </c>
      <c r="D453" s="22">
        <f>COUNT($D$8:$D452)+1</f>
        <v>38</v>
      </c>
      <c r="E453" s="4"/>
    </row>
    <row r="454" spans="1:13">
      <c r="E454" s="4">
        <f t="shared" si="163"/>
        <v>454</v>
      </c>
      <c r="F454" s="9" t="s">
        <v>93</v>
      </c>
      <c r="G454" s="9" t="s">
        <v>39</v>
      </c>
      <c r="H454" s="9" t="s">
        <v>39</v>
      </c>
      <c r="J454" s="9">
        <v>11200</v>
      </c>
      <c r="M454" s="23">
        <f t="shared" ref="M454" si="189">$J$10+D453</f>
        <v>11238</v>
      </c>
    </row>
    <row r="455" spans="1:13">
      <c r="E455" s="4">
        <f t="shared" si="163"/>
        <v>455</v>
      </c>
      <c r="F455" s="9" t="s">
        <v>144</v>
      </c>
      <c r="M455" s="23">
        <v>104020</v>
      </c>
    </row>
    <row r="456" spans="1:13">
      <c r="E456" s="4">
        <f t="shared" si="163"/>
        <v>456</v>
      </c>
      <c r="F456" s="9" t="s">
        <v>126</v>
      </c>
      <c r="G456" s="9">
        <v>10</v>
      </c>
      <c r="I456" s="9">
        <v>11</v>
      </c>
      <c r="J456" s="9" t="s">
        <v>229</v>
      </c>
      <c r="M456" s="23">
        <f t="shared" ref="M456" si="190">G456*D453+$I$12+D453*J456</f>
        <v>353</v>
      </c>
    </row>
    <row r="457" spans="1:13">
      <c r="E457" s="4">
        <f t="shared" si="163"/>
        <v>457</v>
      </c>
      <c r="F457" s="9" t="s">
        <v>35</v>
      </c>
      <c r="M457" s="23">
        <v>1000</v>
      </c>
    </row>
    <row r="458" spans="1:13">
      <c r="E458" s="4">
        <f t="shared" ref="E458:E521" si="191">ROW(E458)</f>
        <v>458</v>
      </c>
      <c r="F458" s="9" t="s">
        <v>29</v>
      </c>
      <c r="M458" s="23" t="s">
        <v>231</v>
      </c>
    </row>
    <row r="459" spans="1:13">
      <c r="E459" s="4">
        <f t="shared" si="191"/>
        <v>459</v>
      </c>
      <c r="F459" s="9" t="s">
        <v>118</v>
      </c>
      <c r="M459" s="23" t="s">
        <v>232</v>
      </c>
    </row>
    <row r="460" spans="1:13">
      <c r="E460" s="4">
        <f t="shared" si="191"/>
        <v>460</v>
      </c>
      <c r="F460" s="9" t="s">
        <v>114</v>
      </c>
      <c r="M460" s="23" t="b">
        <v>1</v>
      </c>
    </row>
    <row r="461" spans="1:13">
      <c r="E461" s="4">
        <f t="shared" si="191"/>
        <v>461</v>
      </c>
      <c r="F461" s="9" t="s">
        <v>98</v>
      </c>
      <c r="K461" s="9" t="s">
        <v>137</v>
      </c>
      <c r="M461" s="23">
        <v>2</v>
      </c>
    </row>
    <row r="462" spans="1:13">
      <c r="E462" s="4">
        <f t="shared" si="191"/>
        <v>462</v>
      </c>
      <c r="F462" s="9" t="s">
        <v>30</v>
      </c>
      <c r="M462" s="23">
        <v>4.07</v>
      </c>
    </row>
    <row r="463" spans="1:13">
      <c r="E463" s="4">
        <f t="shared" si="191"/>
        <v>463</v>
      </c>
      <c r="F463" s="9" t="s">
        <v>31</v>
      </c>
      <c r="L463" s="9" t="s">
        <v>135</v>
      </c>
      <c r="M463" s="23" t="s">
        <v>233</v>
      </c>
    </row>
    <row r="464" spans="1:13">
      <c r="E464" s="4">
        <f t="shared" si="191"/>
        <v>464</v>
      </c>
      <c r="F464" s="9" t="s">
        <v>143</v>
      </c>
      <c r="G464" s="9">
        <v>45</v>
      </c>
      <c r="H464" s="9">
        <v>-45</v>
      </c>
      <c r="I464" s="9">
        <v>-15</v>
      </c>
      <c r="J464" s="9" t="s">
        <v>234</v>
      </c>
      <c r="L464" s="9" t="s">
        <v>134</v>
      </c>
      <c r="M464" s="23">
        <f t="shared" ref="M464" si="192">IF(MOD(QUOTIENT(D453-1,$G$10),2)=0,$G$20+$I$20*MOD(D453-1,$G$10),$H$20+$J$20*MOD(D453-1,$G$10))</f>
        <v>-15</v>
      </c>
    </row>
    <row r="465" spans="1:13">
      <c r="A465" s="22" t="s">
        <v>227</v>
      </c>
      <c r="B465" s="22">
        <f t="shared" ref="B465" si="193">QUOTIENT( D465-1,G466)+1</f>
        <v>6</v>
      </c>
      <c r="C465" s="22">
        <f t="shared" ref="C465" si="194">D465-(B465-1)*G466</f>
        <v>4</v>
      </c>
      <c r="D465" s="22">
        <f>COUNT($D$8:$D464)+1</f>
        <v>39</v>
      </c>
      <c r="E465" s="4"/>
    </row>
    <row r="466" spans="1:13">
      <c r="E466" s="4">
        <f t="shared" si="191"/>
        <v>466</v>
      </c>
      <c r="F466" s="9" t="s">
        <v>93</v>
      </c>
      <c r="G466" s="9" t="s">
        <v>39</v>
      </c>
      <c r="H466" s="9" t="s">
        <v>39</v>
      </c>
      <c r="J466" s="9">
        <v>11200</v>
      </c>
      <c r="M466" s="23">
        <f t="shared" ref="M466" si="195">$J$10+D465</f>
        <v>11239</v>
      </c>
    </row>
    <row r="467" spans="1:13">
      <c r="E467" s="4">
        <f t="shared" si="191"/>
        <v>467</v>
      </c>
      <c r="F467" s="9" t="s">
        <v>144</v>
      </c>
      <c r="M467" s="23">
        <v>104020</v>
      </c>
    </row>
    <row r="468" spans="1:13">
      <c r="E468" s="4">
        <f t="shared" si="191"/>
        <v>468</v>
      </c>
      <c r="F468" s="9" t="s">
        <v>126</v>
      </c>
      <c r="G468" s="9">
        <v>10</v>
      </c>
      <c r="I468" s="9">
        <v>11</v>
      </c>
      <c r="J468" s="9" t="s">
        <v>229</v>
      </c>
      <c r="M468" s="23">
        <f t="shared" ref="M468" si="196">G468*D465+$I$12+D465*J468</f>
        <v>362</v>
      </c>
    </row>
    <row r="469" spans="1:13">
      <c r="E469" s="4">
        <f t="shared" si="191"/>
        <v>469</v>
      </c>
      <c r="F469" s="9" t="s">
        <v>35</v>
      </c>
      <c r="M469" s="23">
        <v>1000</v>
      </c>
    </row>
    <row r="470" spans="1:13">
      <c r="E470" s="4">
        <f t="shared" si="191"/>
        <v>470</v>
      </c>
      <c r="F470" s="9" t="s">
        <v>29</v>
      </c>
      <c r="M470" s="23" t="s">
        <v>231</v>
      </c>
    </row>
    <row r="471" spans="1:13">
      <c r="E471" s="4">
        <f t="shared" si="191"/>
        <v>471</v>
      </c>
      <c r="F471" s="9" t="s">
        <v>118</v>
      </c>
      <c r="M471" s="23" t="s">
        <v>232</v>
      </c>
    </row>
    <row r="472" spans="1:13">
      <c r="E472" s="4">
        <f t="shared" si="191"/>
        <v>472</v>
      </c>
      <c r="F472" s="9" t="s">
        <v>114</v>
      </c>
      <c r="M472" s="23" t="b">
        <v>1</v>
      </c>
    </row>
    <row r="473" spans="1:13">
      <c r="E473" s="4">
        <f t="shared" si="191"/>
        <v>473</v>
      </c>
      <c r="F473" s="9" t="s">
        <v>98</v>
      </c>
      <c r="K473" s="9" t="s">
        <v>137</v>
      </c>
      <c r="M473" s="23">
        <v>2</v>
      </c>
    </row>
    <row r="474" spans="1:13">
      <c r="E474" s="4">
        <f t="shared" si="191"/>
        <v>474</v>
      </c>
      <c r="F474" s="9" t="s">
        <v>30</v>
      </c>
      <c r="M474" s="23">
        <v>4.07</v>
      </c>
    </row>
    <row r="475" spans="1:13">
      <c r="E475" s="4">
        <f t="shared" si="191"/>
        <v>475</v>
      </c>
      <c r="F475" s="9" t="s">
        <v>31</v>
      </c>
      <c r="L475" s="9" t="s">
        <v>135</v>
      </c>
      <c r="M475" s="23" t="s">
        <v>233</v>
      </c>
    </row>
    <row r="476" spans="1:13">
      <c r="E476" s="4">
        <f t="shared" si="191"/>
        <v>476</v>
      </c>
      <c r="F476" s="9" t="s">
        <v>143</v>
      </c>
      <c r="G476" s="9">
        <v>45</v>
      </c>
      <c r="H476" s="9">
        <v>-45</v>
      </c>
      <c r="I476" s="9">
        <v>-15</v>
      </c>
      <c r="J476" s="9" t="s">
        <v>234</v>
      </c>
      <c r="L476" s="9" t="s">
        <v>134</v>
      </c>
      <c r="M476" s="23">
        <f t="shared" ref="M476" si="197">IF(MOD(QUOTIENT(D465-1,$G$10),2)=0,$G$20+$I$20*MOD(D465-1,$G$10),$H$20+$J$20*MOD(D465-1,$G$10))</f>
        <v>0</v>
      </c>
    </row>
    <row r="477" spans="1:13">
      <c r="A477" s="22" t="s">
        <v>227</v>
      </c>
      <c r="B477" s="22">
        <f t="shared" ref="B477" si="198">QUOTIENT( D477-1,G478)+1</f>
        <v>6</v>
      </c>
      <c r="C477" s="22">
        <f t="shared" ref="C477" si="199">D477-(B477-1)*G478</f>
        <v>5</v>
      </c>
      <c r="D477" s="22">
        <f>COUNT($D$8:$D476)+1</f>
        <v>40</v>
      </c>
      <c r="E477" s="4"/>
    </row>
    <row r="478" spans="1:13">
      <c r="E478" s="4">
        <f t="shared" si="191"/>
        <v>478</v>
      </c>
      <c r="F478" s="9" t="s">
        <v>93</v>
      </c>
      <c r="G478" s="9" t="s">
        <v>39</v>
      </c>
      <c r="H478" s="9" t="s">
        <v>39</v>
      </c>
      <c r="J478" s="9">
        <v>11200</v>
      </c>
      <c r="M478" s="23">
        <f t="shared" ref="M478" si="200">$J$10+D477</f>
        <v>11240</v>
      </c>
    </row>
    <row r="479" spans="1:13">
      <c r="E479" s="4">
        <f t="shared" si="191"/>
        <v>479</v>
      </c>
      <c r="F479" s="9" t="s">
        <v>144</v>
      </c>
      <c r="M479" s="23">
        <v>104020</v>
      </c>
    </row>
    <row r="480" spans="1:13">
      <c r="E480" s="4">
        <f t="shared" si="191"/>
        <v>480</v>
      </c>
      <c r="F480" s="9" t="s">
        <v>126</v>
      </c>
      <c r="G480" s="9">
        <v>10</v>
      </c>
      <c r="I480" s="9">
        <v>11</v>
      </c>
      <c r="J480" s="9" t="s">
        <v>229</v>
      </c>
      <c r="M480" s="23">
        <f t="shared" ref="M480" si="201">G480*D477+$I$12+D477*J480</f>
        <v>371</v>
      </c>
    </row>
    <row r="481" spans="1:13">
      <c r="E481" s="4">
        <f t="shared" si="191"/>
        <v>481</v>
      </c>
      <c r="F481" s="9" t="s">
        <v>35</v>
      </c>
      <c r="M481" s="23">
        <v>1000</v>
      </c>
    </row>
    <row r="482" spans="1:13">
      <c r="E482" s="4">
        <f t="shared" si="191"/>
        <v>482</v>
      </c>
      <c r="F482" s="9" t="s">
        <v>29</v>
      </c>
      <c r="M482" s="23" t="s">
        <v>231</v>
      </c>
    </row>
    <row r="483" spans="1:13">
      <c r="E483" s="4">
        <f t="shared" si="191"/>
        <v>483</v>
      </c>
      <c r="F483" s="9" t="s">
        <v>118</v>
      </c>
      <c r="M483" s="23" t="s">
        <v>232</v>
      </c>
    </row>
    <row r="484" spans="1:13">
      <c r="E484" s="4">
        <f t="shared" si="191"/>
        <v>484</v>
      </c>
      <c r="F484" s="9" t="s">
        <v>114</v>
      </c>
      <c r="M484" s="23" t="b">
        <v>1</v>
      </c>
    </row>
    <row r="485" spans="1:13">
      <c r="E485" s="4">
        <f t="shared" si="191"/>
        <v>485</v>
      </c>
      <c r="F485" s="9" t="s">
        <v>98</v>
      </c>
      <c r="K485" s="9" t="s">
        <v>137</v>
      </c>
      <c r="M485" s="23">
        <v>2</v>
      </c>
    </row>
    <row r="486" spans="1:13">
      <c r="E486" s="4">
        <f t="shared" si="191"/>
        <v>486</v>
      </c>
      <c r="F486" s="9" t="s">
        <v>30</v>
      </c>
      <c r="M486" s="23">
        <v>4.07</v>
      </c>
    </row>
    <row r="487" spans="1:13">
      <c r="E487" s="4">
        <f t="shared" si="191"/>
        <v>487</v>
      </c>
      <c r="F487" s="9" t="s">
        <v>31</v>
      </c>
      <c r="L487" s="9" t="s">
        <v>135</v>
      </c>
      <c r="M487" s="23" t="s">
        <v>233</v>
      </c>
    </row>
    <row r="488" spans="1:13">
      <c r="E488" s="4">
        <f t="shared" si="191"/>
        <v>488</v>
      </c>
      <c r="F488" s="9" t="s">
        <v>143</v>
      </c>
      <c r="G488" s="9">
        <v>45</v>
      </c>
      <c r="H488" s="9">
        <v>-45</v>
      </c>
      <c r="I488" s="9">
        <v>-15</v>
      </c>
      <c r="J488" s="9" t="s">
        <v>234</v>
      </c>
      <c r="L488" s="9" t="s">
        <v>134</v>
      </c>
      <c r="M488" s="23">
        <f t="shared" ref="M488" si="202">IF(MOD(QUOTIENT(D477-1,$G$10),2)=0,$G$20+$I$20*MOD(D477-1,$G$10),$H$20+$J$20*MOD(D477-1,$G$10))</f>
        <v>15</v>
      </c>
    </row>
    <row r="489" spans="1:13">
      <c r="A489" s="22" t="s">
        <v>227</v>
      </c>
      <c r="B489" s="22">
        <f t="shared" ref="B489" si="203">QUOTIENT( D489-1,G490)+1</f>
        <v>6</v>
      </c>
      <c r="C489" s="22">
        <f t="shared" ref="C489" si="204">D489-(B489-1)*G490</f>
        <v>6</v>
      </c>
      <c r="D489" s="22">
        <f>COUNT($D$8:$D488)+1</f>
        <v>41</v>
      </c>
      <c r="E489" s="4"/>
    </row>
    <row r="490" spans="1:13">
      <c r="E490" s="4">
        <f t="shared" si="191"/>
        <v>490</v>
      </c>
      <c r="F490" s="9" t="s">
        <v>93</v>
      </c>
      <c r="G490" s="9" t="s">
        <v>39</v>
      </c>
      <c r="H490" s="9" t="s">
        <v>39</v>
      </c>
      <c r="J490" s="9">
        <v>11200</v>
      </c>
      <c r="M490" s="23">
        <f t="shared" ref="M490" si="205">$J$10+D489</f>
        <v>11241</v>
      </c>
    </row>
    <row r="491" spans="1:13">
      <c r="E491" s="4">
        <f t="shared" si="191"/>
        <v>491</v>
      </c>
      <c r="F491" s="9" t="s">
        <v>144</v>
      </c>
      <c r="M491" s="23">
        <v>104020</v>
      </c>
    </row>
    <row r="492" spans="1:13">
      <c r="E492" s="4">
        <f t="shared" si="191"/>
        <v>492</v>
      </c>
      <c r="F492" s="9" t="s">
        <v>126</v>
      </c>
      <c r="G492" s="9">
        <v>10</v>
      </c>
      <c r="I492" s="9">
        <v>11</v>
      </c>
      <c r="J492" s="9" t="s">
        <v>229</v>
      </c>
      <c r="M492" s="23">
        <f t="shared" ref="M492" si="206">G492*D489+$I$12+D489*J492</f>
        <v>380</v>
      </c>
    </row>
    <row r="493" spans="1:13">
      <c r="E493" s="4">
        <f t="shared" si="191"/>
        <v>493</v>
      </c>
      <c r="F493" s="9" t="s">
        <v>35</v>
      </c>
      <c r="M493" s="23">
        <v>1000</v>
      </c>
    </row>
    <row r="494" spans="1:13">
      <c r="E494" s="4">
        <f t="shared" si="191"/>
        <v>494</v>
      </c>
      <c r="F494" s="9" t="s">
        <v>29</v>
      </c>
      <c r="M494" s="23" t="s">
        <v>231</v>
      </c>
    </row>
    <row r="495" spans="1:13">
      <c r="E495" s="4">
        <f t="shared" si="191"/>
        <v>495</v>
      </c>
      <c r="F495" s="9" t="s">
        <v>118</v>
      </c>
      <c r="M495" s="23" t="s">
        <v>232</v>
      </c>
    </row>
    <row r="496" spans="1:13">
      <c r="E496" s="4">
        <f t="shared" si="191"/>
        <v>496</v>
      </c>
      <c r="F496" s="9" t="s">
        <v>114</v>
      </c>
      <c r="M496" s="23" t="b">
        <v>1</v>
      </c>
    </row>
    <row r="497" spans="1:13">
      <c r="E497" s="4">
        <f t="shared" si="191"/>
        <v>497</v>
      </c>
      <c r="F497" s="9" t="s">
        <v>98</v>
      </c>
      <c r="K497" s="9" t="s">
        <v>137</v>
      </c>
      <c r="M497" s="23">
        <v>2</v>
      </c>
    </row>
    <row r="498" spans="1:13">
      <c r="E498" s="4">
        <f t="shared" si="191"/>
        <v>498</v>
      </c>
      <c r="F498" s="9" t="s">
        <v>30</v>
      </c>
      <c r="M498" s="23">
        <v>4.07</v>
      </c>
    </row>
    <row r="499" spans="1:13">
      <c r="E499" s="4">
        <f t="shared" si="191"/>
        <v>499</v>
      </c>
      <c r="F499" s="9" t="s">
        <v>31</v>
      </c>
      <c r="L499" s="9" t="s">
        <v>135</v>
      </c>
      <c r="M499" s="23" t="s">
        <v>233</v>
      </c>
    </row>
    <row r="500" spans="1:13">
      <c r="E500" s="4">
        <f t="shared" si="191"/>
        <v>500</v>
      </c>
      <c r="F500" s="9" t="s">
        <v>143</v>
      </c>
      <c r="G500" s="9">
        <v>45</v>
      </c>
      <c r="H500" s="9">
        <v>-45</v>
      </c>
      <c r="I500" s="9">
        <v>-15</v>
      </c>
      <c r="J500" s="9" t="s">
        <v>234</v>
      </c>
      <c r="L500" s="9" t="s">
        <v>134</v>
      </c>
      <c r="M500" s="23">
        <f t="shared" ref="M500" si="207">IF(MOD(QUOTIENT(D489-1,$G$10),2)=0,$G$20+$I$20*MOD(D489-1,$G$10),$H$20+$J$20*MOD(D489-1,$G$10))</f>
        <v>30</v>
      </c>
    </row>
    <row r="501" spans="1:13">
      <c r="A501" s="22" t="s">
        <v>227</v>
      </c>
      <c r="B501" s="22">
        <f t="shared" ref="B501" si="208">QUOTIENT( D501-1,G502)+1</f>
        <v>6</v>
      </c>
      <c r="C501" s="22">
        <f t="shared" ref="C501" si="209">D501-(B501-1)*G502</f>
        <v>7</v>
      </c>
      <c r="D501" s="22">
        <f>COUNT($D$8:$D500)+1</f>
        <v>42</v>
      </c>
      <c r="E501" s="4"/>
    </row>
    <row r="502" spans="1:13">
      <c r="E502" s="4">
        <f t="shared" si="191"/>
        <v>502</v>
      </c>
      <c r="F502" s="9" t="s">
        <v>93</v>
      </c>
      <c r="G502" s="9" t="s">
        <v>39</v>
      </c>
      <c r="H502" s="9" t="s">
        <v>39</v>
      </c>
      <c r="J502" s="9">
        <v>11200</v>
      </c>
      <c r="M502" s="23">
        <f t="shared" ref="M502" si="210">$J$10+D501</f>
        <v>11242</v>
      </c>
    </row>
    <row r="503" spans="1:13">
      <c r="E503" s="4">
        <f t="shared" si="191"/>
        <v>503</v>
      </c>
      <c r="F503" s="9" t="s">
        <v>144</v>
      </c>
      <c r="M503" s="23">
        <v>104020</v>
      </c>
    </row>
    <row r="504" spans="1:13">
      <c r="E504" s="4">
        <f t="shared" si="191"/>
        <v>504</v>
      </c>
      <c r="F504" s="9" t="s">
        <v>126</v>
      </c>
      <c r="G504" s="9">
        <v>10</v>
      </c>
      <c r="I504" s="9">
        <v>11</v>
      </c>
      <c r="J504" s="9" t="s">
        <v>229</v>
      </c>
      <c r="M504" s="23">
        <f t="shared" ref="M504" si="211">G504*D501+$I$12+D501*J504</f>
        <v>389</v>
      </c>
    </row>
    <row r="505" spans="1:13">
      <c r="E505" s="4">
        <f t="shared" si="191"/>
        <v>505</v>
      </c>
      <c r="F505" s="9" t="s">
        <v>35</v>
      </c>
      <c r="M505" s="23">
        <v>1000</v>
      </c>
    </row>
    <row r="506" spans="1:13">
      <c r="E506" s="4">
        <f t="shared" si="191"/>
        <v>506</v>
      </c>
      <c r="F506" s="9" t="s">
        <v>29</v>
      </c>
      <c r="M506" s="23" t="s">
        <v>231</v>
      </c>
    </row>
    <row r="507" spans="1:13">
      <c r="E507" s="4">
        <f t="shared" si="191"/>
        <v>507</v>
      </c>
      <c r="F507" s="9" t="s">
        <v>118</v>
      </c>
      <c r="M507" s="23" t="s">
        <v>232</v>
      </c>
    </row>
    <row r="508" spans="1:13">
      <c r="E508" s="4">
        <f t="shared" si="191"/>
        <v>508</v>
      </c>
      <c r="F508" s="9" t="s">
        <v>114</v>
      </c>
      <c r="M508" s="23" t="b">
        <v>1</v>
      </c>
    </row>
    <row r="509" spans="1:13">
      <c r="E509" s="4">
        <f t="shared" si="191"/>
        <v>509</v>
      </c>
      <c r="F509" s="9" t="s">
        <v>98</v>
      </c>
      <c r="K509" s="9" t="s">
        <v>137</v>
      </c>
      <c r="M509" s="23">
        <v>2</v>
      </c>
    </row>
    <row r="510" spans="1:13">
      <c r="E510" s="4">
        <f t="shared" si="191"/>
        <v>510</v>
      </c>
      <c r="F510" s="9" t="s">
        <v>30</v>
      </c>
      <c r="M510" s="23">
        <v>4.07</v>
      </c>
    </row>
    <row r="511" spans="1:13">
      <c r="E511" s="4">
        <f t="shared" si="191"/>
        <v>511</v>
      </c>
      <c r="F511" s="9" t="s">
        <v>31</v>
      </c>
      <c r="L511" s="9" t="s">
        <v>135</v>
      </c>
      <c r="M511" s="23" t="s">
        <v>233</v>
      </c>
    </row>
    <row r="512" spans="1:13">
      <c r="E512" s="4">
        <f t="shared" si="191"/>
        <v>512</v>
      </c>
      <c r="F512" s="9" t="s">
        <v>143</v>
      </c>
      <c r="G512" s="9">
        <v>45</v>
      </c>
      <c r="H512" s="9">
        <v>-45</v>
      </c>
      <c r="I512" s="9">
        <v>-15</v>
      </c>
      <c r="J512" s="9" t="s">
        <v>234</v>
      </c>
      <c r="L512" s="9" t="s">
        <v>134</v>
      </c>
      <c r="M512" s="23">
        <f t="shared" ref="M512" si="212">IF(MOD(QUOTIENT(D501-1,$G$10),2)=0,$G$20+$I$20*MOD(D501-1,$G$10),$H$20+$J$20*MOD(D501-1,$G$10))</f>
        <v>45</v>
      </c>
    </row>
    <row r="513" spans="1:13">
      <c r="A513" s="22" t="s">
        <v>227</v>
      </c>
      <c r="B513" s="22">
        <f t="shared" ref="B513" si="213">QUOTIENT( D513-1,G514)+1</f>
        <v>7</v>
      </c>
      <c r="C513" s="22">
        <f t="shared" ref="C513" si="214">D513-(B513-1)*G514</f>
        <v>1</v>
      </c>
      <c r="D513" s="22">
        <f>COUNT($D$8:$D512)+1</f>
        <v>43</v>
      </c>
      <c r="E513" s="4"/>
    </row>
    <row r="514" spans="1:13">
      <c r="E514" s="4">
        <f t="shared" si="191"/>
        <v>514</v>
      </c>
      <c r="F514" s="9" t="s">
        <v>93</v>
      </c>
      <c r="G514" s="9" t="s">
        <v>39</v>
      </c>
      <c r="H514" s="9" t="s">
        <v>39</v>
      </c>
      <c r="J514" s="9">
        <v>11200</v>
      </c>
      <c r="M514" s="23">
        <f t="shared" ref="M514" si="215">$J$10+D513</f>
        <v>11243</v>
      </c>
    </row>
    <row r="515" spans="1:13">
      <c r="E515" s="4">
        <f t="shared" si="191"/>
        <v>515</v>
      </c>
      <c r="F515" s="9" t="s">
        <v>144</v>
      </c>
      <c r="M515" s="23">
        <v>104020</v>
      </c>
    </row>
    <row r="516" spans="1:13">
      <c r="E516" s="4">
        <f t="shared" si="191"/>
        <v>516</v>
      </c>
      <c r="F516" s="9" t="s">
        <v>126</v>
      </c>
      <c r="G516" s="9">
        <v>10</v>
      </c>
      <c r="I516" s="9">
        <v>11</v>
      </c>
      <c r="J516" s="9" t="s">
        <v>229</v>
      </c>
      <c r="M516" s="23">
        <f t="shared" ref="M516" si="216">G516*D513+$I$12+D513*J516</f>
        <v>398</v>
      </c>
    </row>
    <row r="517" spans="1:13">
      <c r="E517" s="4">
        <f t="shared" si="191"/>
        <v>517</v>
      </c>
      <c r="F517" s="9" t="s">
        <v>35</v>
      </c>
      <c r="M517" s="23">
        <v>1000</v>
      </c>
    </row>
    <row r="518" spans="1:13">
      <c r="E518" s="4">
        <f t="shared" si="191"/>
        <v>518</v>
      </c>
      <c r="F518" s="9" t="s">
        <v>29</v>
      </c>
      <c r="M518" s="23" t="s">
        <v>231</v>
      </c>
    </row>
    <row r="519" spans="1:13">
      <c r="E519" s="4">
        <f t="shared" si="191"/>
        <v>519</v>
      </c>
      <c r="F519" s="9" t="s">
        <v>118</v>
      </c>
      <c r="M519" s="23" t="s">
        <v>232</v>
      </c>
    </row>
    <row r="520" spans="1:13">
      <c r="E520" s="4">
        <f t="shared" si="191"/>
        <v>520</v>
      </c>
      <c r="F520" s="9" t="s">
        <v>114</v>
      </c>
      <c r="M520" s="23" t="b">
        <v>1</v>
      </c>
    </row>
    <row r="521" spans="1:13">
      <c r="E521" s="4">
        <f t="shared" si="191"/>
        <v>521</v>
      </c>
      <c r="F521" s="9" t="s">
        <v>98</v>
      </c>
      <c r="K521" s="9" t="s">
        <v>137</v>
      </c>
      <c r="M521" s="23">
        <v>2</v>
      </c>
    </row>
    <row r="522" spans="1:13">
      <c r="E522" s="4">
        <f t="shared" ref="E522:E584" si="217">ROW(E522)</f>
        <v>522</v>
      </c>
      <c r="F522" s="9" t="s">
        <v>30</v>
      </c>
      <c r="M522" s="23">
        <v>4.07</v>
      </c>
    </row>
    <row r="523" spans="1:13">
      <c r="E523" s="4">
        <f t="shared" si="217"/>
        <v>523</v>
      </c>
      <c r="F523" s="9" t="s">
        <v>31</v>
      </c>
      <c r="L523" s="9" t="s">
        <v>135</v>
      </c>
      <c r="M523" s="23" t="s">
        <v>233</v>
      </c>
    </row>
    <row r="524" spans="1:13">
      <c r="E524" s="4">
        <f t="shared" si="217"/>
        <v>524</v>
      </c>
      <c r="F524" s="9" t="s">
        <v>143</v>
      </c>
      <c r="G524" s="9">
        <v>45</v>
      </c>
      <c r="H524" s="9">
        <v>-45</v>
      </c>
      <c r="I524" s="9">
        <v>-15</v>
      </c>
      <c r="J524" s="9" t="s">
        <v>234</v>
      </c>
      <c r="L524" s="9" t="s">
        <v>134</v>
      </c>
      <c r="M524" s="23">
        <f t="shared" ref="M524" si="218">IF(MOD(QUOTIENT(D513-1,$G$10),2)=0,$G$20+$I$20*MOD(D513-1,$G$10),$H$20+$J$20*MOD(D513-1,$G$10))</f>
        <v>45</v>
      </c>
    </row>
    <row r="525" spans="1:13">
      <c r="A525" s="22" t="s">
        <v>227</v>
      </c>
      <c r="B525" s="22">
        <f t="shared" ref="B525" si="219">QUOTIENT( D525-1,G526)+1</f>
        <v>7</v>
      </c>
      <c r="C525" s="22">
        <f t="shared" ref="C525" si="220">D525-(B525-1)*G526</f>
        <v>2</v>
      </c>
      <c r="D525" s="22">
        <f>COUNT($D$8:$D524)+1</f>
        <v>44</v>
      </c>
      <c r="E525" s="4"/>
    </row>
    <row r="526" spans="1:13">
      <c r="E526" s="4">
        <f t="shared" si="217"/>
        <v>526</v>
      </c>
      <c r="F526" s="9" t="s">
        <v>93</v>
      </c>
      <c r="G526" s="9" t="s">
        <v>39</v>
      </c>
      <c r="H526" s="9" t="s">
        <v>39</v>
      </c>
      <c r="J526" s="9">
        <v>11200</v>
      </c>
      <c r="M526" s="23">
        <f t="shared" ref="M526" si="221">$J$10+D525</f>
        <v>11244</v>
      </c>
    </row>
    <row r="527" spans="1:13">
      <c r="E527" s="4">
        <f t="shared" si="217"/>
        <v>527</v>
      </c>
      <c r="F527" s="9" t="s">
        <v>144</v>
      </c>
      <c r="M527" s="23">
        <v>104020</v>
      </c>
    </row>
    <row r="528" spans="1:13">
      <c r="E528" s="4">
        <f t="shared" si="217"/>
        <v>528</v>
      </c>
      <c r="F528" s="9" t="s">
        <v>126</v>
      </c>
      <c r="G528" s="9">
        <v>10</v>
      </c>
      <c r="I528" s="9">
        <v>11</v>
      </c>
      <c r="J528" s="9" t="s">
        <v>229</v>
      </c>
      <c r="M528" s="23">
        <f t="shared" ref="M528" si="222">G528*D525+$I$12+D525*J528</f>
        <v>407</v>
      </c>
    </row>
    <row r="529" spans="1:13">
      <c r="E529" s="4">
        <f t="shared" si="217"/>
        <v>529</v>
      </c>
      <c r="F529" s="9" t="s">
        <v>35</v>
      </c>
      <c r="M529" s="23">
        <v>1000</v>
      </c>
    </row>
    <row r="530" spans="1:13">
      <c r="E530" s="4">
        <f t="shared" si="217"/>
        <v>530</v>
      </c>
      <c r="F530" s="9" t="s">
        <v>29</v>
      </c>
      <c r="M530" s="23" t="s">
        <v>231</v>
      </c>
    </row>
    <row r="531" spans="1:13">
      <c r="E531" s="4">
        <f t="shared" si="217"/>
        <v>531</v>
      </c>
      <c r="F531" s="9" t="s">
        <v>118</v>
      </c>
      <c r="M531" s="23" t="s">
        <v>232</v>
      </c>
    </row>
    <row r="532" spans="1:13">
      <c r="E532" s="4">
        <f t="shared" si="217"/>
        <v>532</v>
      </c>
      <c r="F532" s="9" t="s">
        <v>114</v>
      </c>
      <c r="M532" s="23" t="b">
        <v>1</v>
      </c>
    </row>
    <row r="533" spans="1:13">
      <c r="E533" s="4">
        <f t="shared" si="217"/>
        <v>533</v>
      </c>
      <c r="F533" s="9" t="s">
        <v>98</v>
      </c>
      <c r="K533" s="9" t="s">
        <v>137</v>
      </c>
      <c r="M533" s="23">
        <v>2</v>
      </c>
    </row>
    <row r="534" spans="1:13">
      <c r="E534" s="4">
        <f t="shared" si="217"/>
        <v>534</v>
      </c>
      <c r="F534" s="9" t="s">
        <v>30</v>
      </c>
      <c r="M534" s="23">
        <v>4.07</v>
      </c>
    </row>
    <row r="535" spans="1:13">
      <c r="E535" s="4">
        <f t="shared" si="217"/>
        <v>535</v>
      </c>
      <c r="F535" s="9" t="s">
        <v>31</v>
      </c>
      <c r="L535" s="9" t="s">
        <v>135</v>
      </c>
      <c r="M535" s="23" t="s">
        <v>233</v>
      </c>
    </row>
    <row r="536" spans="1:13">
      <c r="E536" s="4">
        <f t="shared" si="217"/>
        <v>536</v>
      </c>
      <c r="F536" s="9" t="s">
        <v>143</v>
      </c>
      <c r="G536" s="9">
        <v>45</v>
      </c>
      <c r="H536" s="9">
        <v>-45</v>
      </c>
      <c r="I536" s="9">
        <v>-15</v>
      </c>
      <c r="J536" s="9" t="s">
        <v>234</v>
      </c>
      <c r="L536" s="9" t="s">
        <v>134</v>
      </c>
      <c r="M536" s="23">
        <f t="shared" ref="M536" si="223">IF(MOD(QUOTIENT(D525-1,$G$10),2)=0,$G$20+$I$20*MOD(D525-1,$G$10),$H$20+$J$20*MOD(D525-1,$G$10))</f>
        <v>30</v>
      </c>
    </row>
    <row r="537" spans="1:13">
      <c r="A537" s="22" t="s">
        <v>227</v>
      </c>
      <c r="B537" s="22">
        <f t="shared" ref="B537" si="224">QUOTIENT( D537-1,G538)+1</f>
        <v>7</v>
      </c>
      <c r="C537" s="22">
        <f t="shared" ref="C537" si="225">D537-(B537-1)*G538</f>
        <v>3</v>
      </c>
      <c r="D537" s="22">
        <f>COUNT($D$8:$D536)+1</f>
        <v>45</v>
      </c>
      <c r="E537" s="4"/>
    </row>
    <row r="538" spans="1:13">
      <c r="E538" s="4">
        <f t="shared" si="217"/>
        <v>538</v>
      </c>
      <c r="F538" s="9" t="s">
        <v>93</v>
      </c>
      <c r="G538" s="9" t="s">
        <v>39</v>
      </c>
      <c r="H538" s="9" t="s">
        <v>39</v>
      </c>
      <c r="J538" s="9">
        <v>11200</v>
      </c>
      <c r="M538" s="23">
        <f t="shared" ref="M538" si="226">$J$10+D537</f>
        <v>11245</v>
      </c>
    </row>
    <row r="539" spans="1:13">
      <c r="E539" s="4">
        <f t="shared" si="217"/>
        <v>539</v>
      </c>
      <c r="F539" s="9" t="s">
        <v>144</v>
      </c>
      <c r="M539" s="23">
        <v>104020</v>
      </c>
    </row>
    <row r="540" spans="1:13">
      <c r="E540" s="4">
        <f t="shared" si="217"/>
        <v>540</v>
      </c>
      <c r="F540" s="9" t="s">
        <v>126</v>
      </c>
      <c r="G540" s="9">
        <v>10</v>
      </c>
      <c r="I540" s="9">
        <v>11</v>
      </c>
      <c r="J540" s="9" t="s">
        <v>229</v>
      </c>
      <c r="M540" s="23">
        <f t="shared" ref="M540" si="227">G540*D537+$I$12+D537*J540</f>
        <v>416</v>
      </c>
    </row>
    <row r="541" spans="1:13">
      <c r="E541" s="4">
        <f t="shared" si="217"/>
        <v>541</v>
      </c>
      <c r="F541" s="9" t="s">
        <v>35</v>
      </c>
      <c r="M541" s="23">
        <v>1000</v>
      </c>
    </row>
    <row r="542" spans="1:13">
      <c r="E542" s="4">
        <f t="shared" si="217"/>
        <v>542</v>
      </c>
      <c r="F542" s="9" t="s">
        <v>29</v>
      </c>
      <c r="M542" s="23" t="s">
        <v>231</v>
      </c>
    </row>
    <row r="543" spans="1:13">
      <c r="E543" s="4">
        <f t="shared" si="217"/>
        <v>543</v>
      </c>
      <c r="F543" s="9" t="s">
        <v>118</v>
      </c>
      <c r="M543" s="23" t="s">
        <v>232</v>
      </c>
    </row>
    <row r="544" spans="1:13">
      <c r="E544" s="4">
        <f t="shared" si="217"/>
        <v>544</v>
      </c>
      <c r="F544" s="9" t="s">
        <v>114</v>
      </c>
      <c r="M544" s="23" t="b">
        <v>1</v>
      </c>
    </row>
    <row r="545" spans="1:13">
      <c r="E545" s="4">
        <f t="shared" si="217"/>
        <v>545</v>
      </c>
      <c r="F545" s="9" t="s">
        <v>98</v>
      </c>
      <c r="K545" s="9" t="s">
        <v>137</v>
      </c>
      <c r="M545" s="23">
        <v>2</v>
      </c>
    </row>
    <row r="546" spans="1:13">
      <c r="E546" s="4">
        <f t="shared" si="217"/>
        <v>546</v>
      </c>
      <c r="F546" s="9" t="s">
        <v>30</v>
      </c>
      <c r="M546" s="23">
        <v>4.07</v>
      </c>
    </row>
    <row r="547" spans="1:13">
      <c r="E547" s="4">
        <f t="shared" si="217"/>
        <v>547</v>
      </c>
      <c r="F547" s="9" t="s">
        <v>31</v>
      </c>
      <c r="L547" s="9" t="s">
        <v>135</v>
      </c>
      <c r="M547" s="23" t="s">
        <v>233</v>
      </c>
    </row>
    <row r="548" spans="1:13">
      <c r="E548" s="4">
        <f t="shared" si="217"/>
        <v>548</v>
      </c>
      <c r="F548" s="9" t="s">
        <v>143</v>
      </c>
      <c r="G548" s="9">
        <v>45</v>
      </c>
      <c r="H548" s="9">
        <v>-45</v>
      </c>
      <c r="I548" s="9">
        <v>-15</v>
      </c>
      <c r="J548" s="9" t="s">
        <v>234</v>
      </c>
      <c r="L548" s="9" t="s">
        <v>134</v>
      </c>
      <c r="M548" s="23">
        <f t="shared" ref="M548" si="228">IF(MOD(QUOTIENT(D537-1,$G$10),2)=0,$G$20+$I$20*MOD(D537-1,$G$10),$H$20+$J$20*MOD(D537-1,$G$10))</f>
        <v>15</v>
      </c>
    </row>
    <row r="549" spans="1:13">
      <c r="A549" s="22" t="s">
        <v>227</v>
      </c>
      <c r="B549" s="22">
        <f t="shared" ref="B549" si="229">QUOTIENT( D549-1,G550)+1</f>
        <v>7</v>
      </c>
      <c r="C549" s="22">
        <f t="shared" ref="C549" si="230">D549-(B549-1)*G550</f>
        <v>4</v>
      </c>
      <c r="D549" s="22">
        <f>COUNT($D$8:$D548)+1</f>
        <v>46</v>
      </c>
      <c r="E549" s="4"/>
    </row>
    <row r="550" spans="1:13">
      <c r="E550" s="4">
        <f t="shared" si="217"/>
        <v>550</v>
      </c>
      <c r="F550" s="9" t="s">
        <v>93</v>
      </c>
      <c r="G550" s="9" t="s">
        <v>39</v>
      </c>
      <c r="H550" s="9" t="s">
        <v>39</v>
      </c>
      <c r="J550" s="9">
        <v>11200</v>
      </c>
      <c r="M550" s="23">
        <f t="shared" ref="M550" si="231">$J$10+D549</f>
        <v>11246</v>
      </c>
    </row>
    <row r="551" spans="1:13">
      <c r="E551" s="4">
        <f t="shared" si="217"/>
        <v>551</v>
      </c>
      <c r="F551" s="9" t="s">
        <v>144</v>
      </c>
      <c r="M551" s="23">
        <v>104020</v>
      </c>
    </row>
    <row r="552" spans="1:13">
      <c r="E552" s="4">
        <f t="shared" si="217"/>
        <v>552</v>
      </c>
      <c r="F552" s="9" t="s">
        <v>126</v>
      </c>
      <c r="G552" s="9">
        <v>10</v>
      </c>
      <c r="I552" s="9">
        <v>11</v>
      </c>
      <c r="J552" s="9" t="s">
        <v>229</v>
      </c>
      <c r="M552" s="23">
        <f t="shared" ref="M552" si="232">G552*D549+$I$12+D549*J552</f>
        <v>425</v>
      </c>
    </row>
    <row r="553" spans="1:13">
      <c r="E553" s="4">
        <f t="shared" si="217"/>
        <v>553</v>
      </c>
      <c r="F553" s="9" t="s">
        <v>35</v>
      </c>
      <c r="M553" s="23">
        <v>1000</v>
      </c>
    </row>
    <row r="554" spans="1:13">
      <c r="E554" s="4">
        <f t="shared" si="217"/>
        <v>554</v>
      </c>
      <c r="F554" s="9" t="s">
        <v>29</v>
      </c>
      <c r="M554" s="23" t="s">
        <v>231</v>
      </c>
    </row>
    <row r="555" spans="1:13">
      <c r="E555" s="4">
        <f t="shared" si="217"/>
        <v>555</v>
      </c>
      <c r="F555" s="9" t="s">
        <v>118</v>
      </c>
      <c r="M555" s="23" t="s">
        <v>232</v>
      </c>
    </row>
    <row r="556" spans="1:13">
      <c r="E556" s="4">
        <f t="shared" si="217"/>
        <v>556</v>
      </c>
      <c r="F556" s="9" t="s">
        <v>114</v>
      </c>
      <c r="M556" s="23" t="b">
        <v>1</v>
      </c>
    </row>
    <row r="557" spans="1:13">
      <c r="E557" s="4">
        <f t="shared" si="217"/>
        <v>557</v>
      </c>
      <c r="F557" s="9" t="s">
        <v>98</v>
      </c>
      <c r="K557" s="9" t="s">
        <v>137</v>
      </c>
      <c r="M557" s="23">
        <v>2</v>
      </c>
    </row>
    <row r="558" spans="1:13">
      <c r="E558" s="4">
        <f t="shared" si="217"/>
        <v>558</v>
      </c>
      <c r="F558" s="9" t="s">
        <v>30</v>
      </c>
      <c r="M558" s="23">
        <v>4.07</v>
      </c>
    </row>
    <row r="559" spans="1:13">
      <c r="E559" s="4">
        <f t="shared" si="217"/>
        <v>559</v>
      </c>
      <c r="F559" s="9" t="s">
        <v>31</v>
      </c>
      <c r="L559" s="9" t="s">
        <v>135</v>
      </c>
      <c r="M559" s="23" t="s">
        <v>233</v>
      </c>
    </row>
    <row r="560" spans="1:13">
      <c r="E560" s="4">
        <f t="shared" si="217"/>
        <v>560</v>
      </c>
      <c r="F560" s="9" t="s">
        <v>143</v>
      </c>
      <c r="G560" s="9">
        <v>45</v>
      </c>
      <c r="H560" s="9">
        <v>-45</v>
      </c>
      <c r="I560" s="9">
        <v>-15</v>
      </c>
      <c r="J560" s="9" t="s">
        <v>234</v>
      </c>
      <c r="L560" s="9" t="s">
        <v>134</v>
      </c>
      <c r="M560" s="23">
        <f t="shared" ref="M560" si="233">IF(MOD(QUOTIENT(D549-1,$G$10),2)=0,$G$20+$I$20*MOD(D549-1,$G$10),$H$20+$J$20*MOD(D549-1,$G$10))</f>
        <v>0</v>
      </c>
    </row>
    <row r="561" spans="1:13">
      <c r="A561" s="22" t="s">
        <v>227</v>
      </c>
      <c r="B561" s="22">
        <f t="shared" ref="B561" si="234">QUOTIENT( D561-1,G562)+1</f>
        <v>7</v>
      </c>
      <c r="C561" s="22">
        <f t="shared" ref="C561" si="235">D561-(B561-1)*G562</f>
        <v>5</v>
      </c>
      <c r="D561" s="22">
        <f>COUNT($D$8:$D560)+1</f>
        <v>47</v>
      </c>
      <c r="E561" s="4"/>
    </row>
    <row r="562" spans="1:13">
      <c r="E562" s="4">
        <f t="shared" si="217"/>
        <v>562</v>
      </c>
      <c r="F562" s="9" t="s">
        <v>93</v>
      </c>
      <c r="G562" s="9" t="s">
        <v>39</v>
      </c>
      <c r="H562" s="9" t="s">
        <v>39</v>
      </c>
      <c r="J562" s="9">
        <v>11200</v>
      </c>
      <c r="M562" s="23">
        <f t="shared" ref="M562" si="236">$J$10+D561</f>
        <v>11247</v>
      </c>
    </row>
    <row r="563" spans="1:13">
      <c r="E563" s="4">
        <f t="shared" si="217"/>
        <v>563</v>
      </c>
      <c r="F563" s="9" t="s">
        <v>144</v>
      </c>
      <c r="M563" s="23">
        <v>104020</v>
      </c>
    </row>
    <row r="564" spans="1:13">
      <c r="E564" s="4">
        <f t="shared" si="217"/>
        <v>564</v>
      </c>
      <c r="F564" s="9" t="s">
        <v>126</v>
      </c>
      <c r="G564" s="9">
        <v>10</v>
      </c>
      <c r="I564" s="9">
        <v>11</v>
      </c>
      <c r="J564" s="9" t="s">
        <v>229</v>
      </c>
      <c r="M564" s="23">
        <f t="shared" ref="M564" si="237">G564*D561+$I$12+D561*J564</f>
        <v>434</v>
      </c>
    </row>
    <row r="565" spans="1:13">
      <c r="E565" s="4">
        <f t="shared" si="217"/>
        <v>565</v>
      </c>
      <c r="F565" s="9" t="s">
        <v>35</v>
      </c>
      <c r="M565" s="23">
        <v>1000</v>
      </c>
    </row>
    <row r="566" spans="1:13">
      <c r="E566" s="4">
        <f t="shared" si="217"/>
        <v>566</v>
      </c>
      <c r="F566" s="9" t="s">
        <v>29</v>
      </c>
      <c r="M566" s="23" t="s">
        <v>231</v>
      </c>
    </row>
    <row r="567" spans="1:13">
      <c r="E567" s="4">
        <f t="shared" si="217"/>
        <v>567</v>
      </c>
      <c r="F567" s="9" t="s">
        <v>118</v>
      </c>
      <c r="M567" s="23" t="s">
        <v>232</v>
      </c>
    </row>
    <row r="568" spans="1:13">
      <c r="E568" s="4">
        <f t="shared" si="217"/>
        <v>568</v>
      </c>
      <c r="F568" s="9" t="s">
        <v>114</v>
      </c>
      <c r="M568" s="23" t="b">
        <v>1</v>
      </c>
    </row>
    <row r="569" spans="1:13">
      <c r="E569" s="4">
        <f t="shared" si="217"/>
        <v>569</v>
      </c>
      <c r="F569" s="9" t="s">
        <v>98</v>
      </c>
      <c r="K569" s="9" t="s">
        <v>137</v>
      </c>
      <c r="M569" s="23">
        <v>2</v>
      </c>
    </row>
    <row r="570" spans="1:13">
      <c r="E570" s="4">
        <f t="shared" si="217"/>
        <v>570</v>
      </c>
      <c r="F570" s="9" t="s">
        <v>30</v>
      </c>
      <c r="M570" s="23">
        <v>4.07</v>
      </c>
    </row>
    <row r="571" spans="1:13">
      <c r="E571" s="4">
        <f t="shared" si="217"/>
        <v>571</v>
      </c>
      <c r="F571" s="9" t="s">
        <v>31</v>
      </c>
      <c r="L571" s="9" t="s">
        <v>135</v>
      </c>
      <c r="M571" s="23" t="s">
        <v>233</v>
      </c>
    </row>
    <row r="572" spans="1:13">
      <c r="E572" s="4">
        <f t="shared" si="217"/>
        <v>572</v>
      </c>
      <c r="F572" s="9" t="s">
        <v>143</v>
      </c>
      <c r="G572" s="9">
        <v>45</v>
      </c>
      <c r="H572" s="9">
        <v>-45</v>
      </c>
      <c r="I572" s="9">
        <v>-15</v>
      </c>
      <c r="J572" s="9" t="s">
        <v>234</v>
      </c>
      <c r="L572" s="9" t="s">
        <v>134</v>
      </c>
      <c r="M572" s="23">
        <f t="shared" ref="M572" si="238">IF(MOD(QUOTIENT(D561-1,$G$10),2)=0,$G$20+$I$20*MOD(D561-1,$G$10),$H$20+$J$20*MOD(D561-1,$G$10))</f>
        <v>-15</v>
      </c>
    </row>
    <row r="573" spans="1:13">
      <c r="A573" s="22" t="s">
        <v>227</v>
      </c>
      <c r="B573" s="22">
        <f t="shared" ref="B573" si="239">QUOTIENT( D573-1,G574)+1</f>
        <v>7</v>
      </c>
      <c r="C573" s="22">
        <f t="shared" ref="C573" si="240">D573-(B573-1)*G574</f>
        <v>6</v>
      </c>
      <c r="D573" s="22">
        <f>COUNT($D$8:$D572)+1</f>
        <v>48</v>
      </c>
      <c r="E573" s="4"/>
    </row>
    <row r="574" spans="1:13">
      <c r="E574" s="4">
        <f t="shared" si="217"/>
        <v>574</v>
      </c>
      <c r="F574" s="9" t="s">
        <v>93</v>
      </c>
      <c r="G574" s="9" t="s">
        <v>39</v>
      </c>
      <c r="H574" s="9" t="s">
        <v>39</v>
      </c>
      <c r="J574" s="9">
        <v>11200</v>
      </c>
      <c r="M574" s="23">
        <f t="shared" ref="M574" si="241">$J$10+D573</f>
        <v>11248</v>
      </c>
    </row>
    <row r="575" spans="1:13">
      <c r="E575" s="4">
        <f t="shared" si="217"/>
        <v>575</v>
      </c>
      <c r="F575" s="9" t="s">
        <v>144</v>
      </c>
      <c r="M575" s="23">
        <v>104020</v>
      </c>
    </row>
    <row r="576" spans="1:13">
      <c r="E576" s="4">
        <f t="shared" si="217"/>
        <v>576</v>
      </c>
      <c r="F576" s="9" t="s">
        <v>126</v>
      </c>
      <c r="G576" s="9">
        <v>10</v>
      </c>
      <c r="I576" s="9">
        <v>11</v>
      </c>
      <c r="J576" s="9" t="s">
        <v>229</v>
      </c>
      <c r="M576" s="23">
        <f t="shared" ref="M576" si="242">G576*D573+$I$12+D573*J576</f>
        <v>443</v>
      </c>
    </row>
    <row r="577" spans="1:13">
      <c r="E577" s="4">
        <f t="shared" si="217"/>
        <v>577</v>
      </c>
      <c r="F577" s="9" t="s">
        <v>35</v>
      </c>
      <c r="M577" s="23">
        <v>1000</v>
      </c>
    </row>
    <row r="578" spans="1:13">
      <c r="E578" s="4">
        <f t="shared" si="217"/>
        <v>578</v>
      </c>
      <c r="F578" s="9" t="s">
        <v>29</v>
      </c>
      <c r="M578" s="23" t="s">
        <v>231</v>
      </c>
    </row>
    <row r="579" spans="1:13">
      <c r="E579" s="4">
        <f t="shared" si="217"/>
        <v>579</v>
      </c>
      <c r="F579" s="9" t="s">
        <v>118</v>
      </c>
      <c r="M579" s="23" t="s">
        <v>232</v>
      </c>
    </row>
    <row r="580" spans="1:13">
      <c r="E580" s="4">
        <f t="shared" si="217"/>
        <v>580</v>
      </c>
      <c r="F580" s="9" t="s">
        <v>114</v>
      </c>
      <c r="M580" s="23" t="b">
        <v>1</v>
      </c>
    </row>
    <row r="581" spans="1:13">
      <c r="E581" s="4">
        <f t="shared" si="217"/>
        <v>581</v>
      </c>
      <c r="F581" s="9" t="s">
        <v>98</v>
      </c>
      <c r="K581" s="9" t="s">
        <v>137</v>
      </c>
      <c r="M581" s="23">
        <v>2</v>
      </c>
    </row>
    <row r="582" spans="1:13">
      <c r="E582" s="4">
        <f t="shared" si="217"/>
        <v>582</v>
      </c>
      <c r="F582" s="9" t="s">
        <v>30</v>
      </c>
      <c r="M582" s="23">
        <v>4.07</v>
      </c>
    </row>
    <row r="583" spans="1:13">
      <c r="E583" s="4">
        <f t="shared" si="217"/>
        <v>583</v>
      </c>
      <c r="F583" s="9" t="s">
        <v>31</v>
      </c>
      <c r="L583" s="9" t="s">
        <v>135</v>
      </c>
      <c r="M583" s="23" t="s">
        <v>233</v>
      </c>
    </row>
    <row r="584" spans="1:13">
      <c r="E584" s="4">
        <f t="shared" si="217"/>
        <v>584</v>
      </c>
      <c r="F584" s="9" t="s">
        <v>143</v>
      </c>
      <c r="G584" s="9">
        <v>45</v>
      </c>
      <c r="H584" s="9">
        <v>-45</v>
      </c>
      <c r="I584" s="9">
        <v>-15</v>
      </c>
      <c r="J584" s="9" t="s">
        <v>234</v>
      </c>
      <c r="L584" s="9" t="s">
        <v>134</v>
      </c>
      <c r="M584" s="23">
        <f t="shared" ref="M584" si="243">IF(MOD(QUOTIENT(D573-1,$G$10),2)=0,$G$20+$I$20*MOD(D573-1,$G$10),$H$20+$J$20*MOD(D573-1,$G$10))</f>
        <v>-30</v>
      </c>
    </row>
    <row r="585" spans="1:13">
      <c r="A585" s="22" t="s">
        <v>227</v>
      </c>
      <c r="B585" s="22">
        <f t="shared" ref="B585" si="244">QUOTIENT( D585-1,G586)+1</f>
        <v>7</v>
      </c>
      <c r="C585" s="22">
        <f t="shared" ref="C585" si="245">D585-(B585-1)*G586</f>
        <v>7</v>
      </c>
      <c r="D585" s="22">
        <f>COUNT($D$8:$D584)+1</f>
        <v>49</v>
      </c>
      <c r="E585" s="4"/>
    </row>
    <row r="586" spans="1:13">
      <c r="E586" s="4">
        <f t="shared" ref="E586:E596" si="246">ROW(E586)</f>
        <v>586</v>
      </c>
      <c r="F586" s="9" t="s">
        <v>93</v>
      </c>
      <c r="G586" s="9" t="s">
        <v>39</v>
      </c>
      <c r="H586" s="9" t="s">
        <v>39</v>
      </c>
      <c r="J586" s="9">
        <v>11200</v>
      </c>
      <c r="M586" s="23">
        <f t="shared" ref="M586" si="247">$J$10+D585</f>
        <v>11249</v>
      </c>
    </row>
    <row r="587" spans="1:13">
      <c r="E587" s="4">
        <f t="shared" si="246"/>
        <v>587</v>
      </c>
      <c r="F587" s="9" t="s">
        <v>144</v>
      </c>
      <c r="M587" s="23">
        <v>104020</v>
      </c>
    </row>
    <row r="588" spans="1:13">
      <c r="E588" s="4">
        <f t="shared" si="246"/>
        <v>588</v>
      </c>
      <c r="F588" s="9" t="s">
        <v>126</v>
      </c>
      <c r="G588" s="9">
        <v>10</v>
      </c>
      <c r="I588" s="9">
        <v>11</v>
      </c>
      <c r="J588" s="9" t="s">
        <v>229</v>
      </c>
      <c r="M588" s="23">
        <f t="shared" ref="M588" si="248">G588*D585+$I$12+D585*J588</f>
        <v>452</v>
      </c>
    </row>
    <row r="589" spans="1:13">
      <c r="E589" s="4">
        <f t="shared" si="246"/>
        <v>589</v>
      </c>
      <c r="F589" s="9" t="s">
        <v>35</v>
      </c>
      <c r="M589" s="23">
        <v>1000</v>
      </c>
    </row>
    <row r="590" spans="1:13">
      <c r="E590" s="4">
        <f t="shared" si="246"/>
        <v>590</v>
      </c>
      <c r="F590" s="9" t="s">
        <v>29</v>
      </c>
      <c r="M590" s="23" t="s">
        <v>231</v>
      </c>
    </row>
    <row r="591" spans="1:13">
      <c r="E591" s="4">
        <f t="shared" si="246"/>
        <v>591</v>
      </c>
      <c r="F591" s="9" t="s">
        <v>118</v>
      </c>
      <c r="M591" s="23" t="s">
        <v>232</v>
      </c>
    </row>
    <row r="592" spans="1:13">
      <c r="E592" s="4">
        <f t="shared" si="246"/>
        <v>592</v>
      </c>
      <c r="F592" s="9" t="s">
        <v>114</v>
      </c>
      <c r="M592" s="23" t="b">
        <v>1</v>
      </c>
    </row>
    <row r="593" spans="5:13">
      <c r="E593" s="4">
        <f t="shared" si="246"/>
        <v>593</v>
      </c>
      <c r="F593" s="9" t="s">
        <v>98</v>
      </c>
      <c r="K593" s="9" t="s">
        <v>137</v>
      </c>
      <c r="M593" s="23">
        <v>2</v>
      </c>
    </row>
    <row r="594" spans="5:13">
      <c r="E594" s="4">
        <f t="shared" si="246"/>
        <v>594</v>
      </c>
      <c r="F594" s="9" t="s">
        <v>30</v>
      </c>
      <c r="M594" s="23">
        <v>4.07</v>
      </c>
    </row>
    <row r="595" spans="5:13">
      <c r="E595" s="4">
        <f t="shared" si="246"/>
        <v>595</v>
      </c>
      <c r="F595" s="9" t="s">
        <v>31</v>
      </c>
      <c r="L595" s="9" t="s">
        <v>135</v>
      </c>
      <c r="M595" s="23" t="s">
        <v>233</v>
      </c>
    </row>
    <row r="596" spans="5:13">
      <c r="E596" s="4">
        <f t="shared" si="246"/>
        <v>596</v>
      </c>
      <c r="F596" s="9" t="s">
        <v>143</v>
      </c>
      <c r="G596" s="9">
        <v>45</v>
      </c>
      <c r="H596" s="9">
        <v>-45</v>
      </c>
      <c r="I596" s="9">
        <v>-15</v>
      </c>
      <c r="J596" s="9" t="s">
        <v>234</v>
      </c>
      <c r="L596" s="9" t="s">
        <v>134</v>
      </c>
      <c r="M596" s="23">
        <f t="shared" ref="M596" si="249">IF(MOD(QUOTIENT(D585-1,$G$10),2)=0,$G$20+$I$20*MOD(D585-1,$G$10),$H$20+$J$20*MOD(D585-1,$G$10))</f>
        <v>-45</v>
      </c>
    </row>
    <row r="597" spans="5:13">
      <c r="E597" s="4"/>
    </row>
    <row r="598" spans="5:13">
      <c r="E598" s="4"/>
    </row>
    <row r="599" spans="5:13">
      <c r="E599" s="4"/>
    </row>
    <row r="600" spans="5:13">
      <c r="E600" s="4"/>
    </row>
    <row r="601" spans="5:13">
      <c r="E601" s="4"/>
    </row>
    <row r="602" spans="5:13">
      <c r="E602" s="4"/>
    </row>
    <row r="603" spans="5:13">
      <c r="E603" s="4"/>
    </row>
    <row r="604" spans="5:13">
      <c r="E604" s="4"/>
    </row>
    <row r="605" spans="5:13">
      <c r="E605" s="4"/>
    </row>
    <row r="606" spans="5:13">
      <c r="E606" s="4"/>
    </row>
    <row r="607" spans="5:13">
      <c r="E607" s="4"/>
    </row>
    <row r="608" spans="5:13">
      <c r="E608" s="4"/>
    </row>
    <row r="609" spans="5:5">
      <c r="E609" s="4"/>
    </row>
    <row r="610" spans="5:5">
      <c r="E610" s="4"/>
    </row>
    <row r="611" spans="5:5">
      <c r="E611" s="4"/>
    </row>
    <row r="612" spans="5:5">
      <c r="E612" s="4"/>
    </row>
    <row r="613" spans="5:5">
      <c r="E613" s="4"/>
    </row>
    <row r="614" spans="5:5">
      <c r="E614" s="4"/>
    </row>
    <row r="615" spans="5:5">
      <c r="E615" s="4"/>
    </row>
    <row r="616" spans="5:5">
      <c r="E616" s="4"/>
    </row>
    <row r="617" spans="5:5">
      <c r="E617" s="4"/>
    </row>
    <row r="618" spans="5:5">
      <c r="E618" s="4"/>
    </row>
    <row r="619" spans="5:5">
      <c r="E619" s="4"/>
    </row>
    <row r="620" spans="5:5">
      <c r="E620" s="4"/>
    </row>
    <row r="621" spans="5:5">
      <c r="E621" s="4"/>
    </row>
    <row r="622" spans="5:5">
      <c r="E622" s="4"/>
    </row>
    <row r="623" spans="5:5">
      <c r="E623" s="4"/>
    </row>
    <row r="624" spans="5:5">
      <c r="E624" s="4"/>
    </row>
    <row r="625" spans="5:5">
      <c r="E625" s="4"/>
    </row>
    <row r="626" spans="5:5">
      <c r="E626" s="4"/>
    </row>
    <row r="627" spans="5:5">
      <c r="E627" s="4"/>
    </row>
    <row r="628" spans="5:5">
      <c r="E628" s="4"/>
    </row>
    <row r="629" spans="5:5">
      <c r="E629" s="4"/>
    </row>
    <row r="630" spans="5:5">
      <c r="E630" s="4"/>
    </row>
    <row r="631" spans="5:5">
      <c r="E631" s="4"/>
    </row>
    <row r="632" spans="5:5">
      <c r="E632" s="4"/>
    </row>
    <row r="633" spans="5:5">
      <c r="E633" s="4"/>
    </row>
    <row r="634" spans="5:5">
      <c r="E634" s="4"/>
    </row>
    <row r="635" spans="5:5">
      <c r="E635" s="4"/>
    </row>
    <row r="636" spans="5:5">
      <c r="E636" s="4"/>
    </row>
    <row r="637" spans="5:5">
      <c r="E637" s="4"/>
    </row>
    <row r="638" spans="5:5">
      <c r="E638" s="4"/>
    </row>
    <row r="639" spans="5:5">
      <c r="E639" s="4"/>
    </row>
    <row r="640" spans="5:5">
      <c r="E640" s="4"/>
    </row>
    <row r="641" spans="5:5">
      <c r="E641" s="4"/>
    </row>
    <row r="642" spans="5:5">
      <c r="E642" s="4"/>
    </row>
    <row r="643" spans="5:5">
      <c r="E643" s="4"/>
    </row>
    <row r="644" spans="5:5">
      <c r="E644" s="4"/>
    </row>
  </sheetData>
  <phoneticPr fontId="2" type="noConversion"/>
  <conditionalFormatting sqref="N1:BD1">
    <cfRule type="duplicateValues" dxfId="56" priority="588"/>
  </conditionalFormatting>
  <conditionalFormatting sqref="BE1:XFD1 E1:I1 K1:L1">
    <cfRule type="duplicateValues" dxfId="55" priority="668"/>
  </conditionalFormatting>
  <conditionalFormatting sqref="F1:G5 F9:G12 F14:G20 H12 F22:G25 F35:G38 F48:G51 F61:G64 F74:G77 F87:G90 F27:G33 F40:G46 F53:G59 F66:G72 F79:G85 F92:G98 F100:G103 F191:G194 F282:G285 F373:G376 F464:G467 F555:G558 F105:G111 F196:G202 F287:G293 F378:G384 F469:G475 F560:G566 F113:G116 F204:G207 F295:G298 F386:G389 F477:G480 F568:G571 F126:G129 F217:G220 F308:G311 F399:G402 F490:G493 F581:G584 F139:G142 F230:G233 F321:G324 F412:G415 F503:G506 F594:G597 F152:G155 F243:G246 F334:G337 F425:G428 F516:G519 F607:G610 F165:G168 F256:G259 F347:G350 F438:G441 F529:G532 F620:G623 F178:G181 F269:G272 F360:G363 F451:G454 F542:G545 F633:G636 F118:G124 F209:G215 F300:G306 F391:G397 F482:G488 F573:G579 F131:G137 F222:G228 F313:G319 F404:G410 F495:G501 F586:G592 F144:G150 F235:G241 F326:G332 F417:G423 F508:G514 F599:G605 F157:G163 F248:G254 F339:G345 F430:G436 F521:G527 F612:G618 F170:G176 F261:G267 F352:G358 F443:G449 F534:G540 F625:G631 F183:G189 F274:G280 F365:G371 F456:G462 F547:G553 F638:G644 H19">
    <cfRule type="cellIs" dxfId="54" priority="161" operator="equal">
      <formula>"行動ID"</formula>
    </cfRule>
    <cfRule type="cellIs" dxfId="53" priority="169" operator="equal">
      <formula>"ID"</formula>
    </cfRule>
    <cfRule type="cellIs" dxfId="52" priority="584" operator="equal">
      <formula>"行動序號"</formula>
    </cfRule>
  </conditionalFormatting>
  <conditionalFormatting sqref="J1">
    <cfRule type="duplicateValues" dxfId="51" priority="167"/>
  </conditionalFormatting>
  <conditionalFormatting sqref="J19:J20">
    <cfRule type="expression" dxfId="50" priority="891">
      <formula>#REF!="行動序號"</formula>
    </cfRule>
  </conditionalFormatting>
  <conditionalFormatting sqref="J19:J20">
    <cfRule type="expression" dxfId="49" priority="896">
      <formula>OR(#REF!="行動序號",#REF!="ID")</formula>
    </cfRule>
  </conditionalFormatting>
  <conditionalFormatting sqref="H12 H19">
    <cfRule type="cellIs" dxfId="48" priority="31" operator="equal">
      <formula>"行動ID"</formula>
    </cfRule>
  </conditionalFormatting>
  <conditionalFormatting sqref="F1:G5 F9:G9 F22:G22 F35:G35 F48:G48 F61:G61 F74:G74 F87:G87 F100:G100 F191:G191 F282:G282 F373:G373 F464:G464 F555:G555 F113:G113 F204:G204 F295:G295 F386:G386 F477:G477 F568:G568 F126:G126 F217:G217 F308:G308 F399:G399 F490:G490 F581:G581 F139:G139 F230:G230 F321:G321 F412:G412 F503:G503 F594:G594 F152:G152 F243:G243 F334:G334 F425:G425 F516:G516 F607:G607 F165:G165 F256:G256 F347:G347 F438:G438 F529:G529 F620:G620 F178:G178 F269:G269 F360:G360 F451:G451 F542:G542 F633:G633">
    <cfRule type="cellIs" dxfId="47" priority="27" operator="equal">
      <formula>"行動ID"</formula>
    </cfRule>
  </conditionalFormatting>
  <conditionalFormatting sqref="F10:G14 F17:G20 F23:G27 F36:G40 F49:G53 F62:G66 F75:G79 F88:G92 F30:G33 F43:G46 F56:G59 F69:G72 F82:G85 F95:G98 F101:G105 F192:G196 F283:G287 F374:G378 F465:G469 F556:G560 F108:G111 F199:G202 F290:G293 F381:G384 F472:G475 F563:G566 F114:G118 F205:G209 F296:G300 F387:G391 F478:G482 F569:G573 F127:G131 F218:G222 F309:G313 F400:G404 F491:G495 F582:G586 F140:G144 F231:G235 F322:G326 F413:G417 F504:G508 F595:G599 F153:G157 F244:G248 F335:G339 F426:G430 F517:G521 F608:G612 F166:G170 F257:G261 F348:G352 F439:G443 F530:G534 F621:G625 F179:G183 F270:G274 F361:G365 F452:G456 F543:G547 F634:G638 F121:G124 F212:G215 F303:G306 F394:G397 F485:G488 F576:G579 F134:G137 F225:G228 F316:G319 F407:G410 F498:G501 F589:G592 F147:G150 F238:G241 F329:G332 F420:G423 F511:G514 F602:G605 F160:G163 F251:G254 F342:G345 F433:G436 F524:G527 F615:G618 F173:G176 F264:G267 F355:G358 F446:G449 F537:G540 F628:G631 F186:G189 F277:G280 F368:G371 F459:G462 F550:G553 F641:G644">
    <cfRule type="cellIs" dxfId="46" priority="20" operator="equal">
      <formula>"行動ID"</formula>
    </cfRule>
  </conditionalFormatting>
  <conditionalFormatting sqref="F15:G15 F28:G28 F41:G41 F54:G54 F67:G67 F80:G80 F93:G93 F106:G106 F197:G197 F288:G288 F379:G379 F470:G470 F561:G561 F119:G119 F210:G210 F301:G301 F392:G392 F483:G483 F574:G574 F132:G132 F223:G223 F314:G314 F405:G405 F496:G496 F587:G587 F145:G145 F236:G236 F327:G327 F418:G418 F509:G509 F600:G600 F158:G158 F249:G249 F340:G340 F431:G431 F522:G522 F613:G613 F171:G171 F262:G262 F353:G353 F444:G444 F535:G535 F626:G626 F184:G184 F275:G275 F366:G366 F457:G457 F548:G548 F639:G639">
    <cfRule type="cellIs" dxfId="45" priority="8" operator="equal">
      <formula>"行動ID"</formula>
    </cfRule>
  </conditionalFormatting>
  <conditionalFormatting sqref="F16:G16 F29:G29 F42:G42 F55:G55 F68:G68 F81:G81 F94:G94 F107:G107 F198:G198 F289:G289 F380:G380 F471:G471 F562:G562 F120:G120 F211:G211 F302:G302 F393:G393 F484:G484 F575:G575 F133:G133 F224:G224 F315:G315 F406:G406 F497:G497 F588:G588 F146:G146 F237:G237 F328:G328 F419:G419 F510:G510 F601:G601 F159:G159 F250:G250 F341:G341 F432:G432 F523:G523 F614:G614 F172:G172 F263:G263 F354:G354 F445:G445 F536:G536 F627:G627 F185:G185 F276:G276 F367:G367 F458:G458 F549:G549 F640:G640">
    <cfRule type="cellIs" dxfId="44" priority="4" operator="equal">
      <formula>"行動ID"</formula>
    </cfRule>
  </conditionalFormatting>
  <conditionalFormatting sqref="M1:M1048576 G12 G19:G20">
    <cfRule type="expression" dxfId="43" priority="3">
      <formula>OR(#REF!="行動序號",#REF!="ID")</formula>
    </cfRule>
  </conditionalFormatting>
  <conditionalFormatting sqref="J10 G12 M1:M1048576 G19:G20">
    <cfRule type="expression" dxfId="42" priority="2">
      <formula>_xlfn.ISFORMULA(G1)</formula>
    </cfRule>
  </conditionalFormatting>
  <conditionalFormatting sqref="M1:M1048576 G12 G19:G20">
    <cfRule type="expression" dxfId="41" priority="1">
      <formula>#REF!="行動ID"</formula>
    </cfRule>
  </conditionalFormatting>
  <conditionalFormatting sqref="J10">
    <cfRule type="expression" dxfId="40" priority="902">
      <formula>OR(#REF!="行動序號",#REF!="ID")</formula>
    </cfRule>
  </conditionalFormatting>
  <conditionalFormatting sqref="J10">
    <cfRule type="expression" dxfId="39" priority="906">
      <formula>#REF!="行動ID"</formula>
    </cfRule>
  </conditionalFormatting>
  <dataValidations count="1">
    <dataValidation type="list" allowBlank="1" showInputMessage="1" showErrorMessage="1" sqref="H5 H2:H3 F2:G5 I2:K5 K7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750E8-556C-4D9D-B551-7F4FE3600D52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139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08A9F15A-6973-4166-ABF7-01D5C76FF7C8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66FC-B839-4052-9E51-A1C3236CF605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236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234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144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242</v>
      </c>
      <c r="C50" s="7" t="s">
        <v>243</v>
      </c>
      <c r="E50" t="str">
        <f t="shared" si="0"/>
        <v>記錄位置,</v>
      </c>
      <c r="H50"/>
    </row>
    <row r="51" spans="1:8">
      <c r="A51" s="7" t="s">
        <v>27</v>
      </c>
      <c r="B51" s="7" t="s">
        <v>244</v>
      </c>
      <c r="C51" s="7" t="s">
        <v>245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143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237</v>
      </c>
      <c r="C61" s="7" t="s">
        <v>238</v>
      </c>
      <c r="E61" t="str">
        <f t="shared" si="0"/>
        <v>子旋轉角度,</v>
      </c>
      <c r="H61"/>
    </row>
    <row r="62" spans="1:8">
      <c r="A62" s="7" t="s">
        <v>27</v>
      </c>
      <c r="B62" s="26" t="s">
        <v>239</v>
      </c>
      <c r="C62" s="7" t="s">
        <v>240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246</v>
      </c>
      <c r="C63" s="7" t="s">
        <v>247</v>
      </c>
      <c r="E63" t="str">
        <f t="shared" si="0"/>
        <v>記錄角度,</v>
      </c>
      <c r="H63"/>
    </row>
    <row r="64" spans="1:8">
      <c r="A64" s="7" t="s">
        <v>27</v>
      </c>
      <c r="B64" s="7" t="s">
        <v>249</v>
      </c>
      <c r="C64" s="7" t="s">
        <v>248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136</v>
      </c>
      <c r="C103" s="7" t="s">
        <v>21</v>
      </c>
      <c r="H103"/>
    </row>
    <row r="104" spans="1:12" customFormat="1">
      <c r="A104" s="7" t="s">
        <v>140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140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142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221</v>
      </c>
      <c r="C114" s="7" t="s">
        <v>22</v>
      </c>
      <c r="D114" s="7"/>
      <c r="L114" s="7"/>
    </row>
    <row r="115" spans="1:12">
      <c r="A115" s="7" t="s">
        <v>141</v>
      </c>
      <c r="B115" s="7" t="s">
        <v>222</v>
      </c>
      <c r="C115" s="7" t="s">
        <v>23</v>
      </c>
      <c r="H115"/>
    </row>
    <row r="116" spans="1:12">
      <c r="A116" s="7" t="s">
        <v>141</v>
      </c>
      <c r="B116" s="7" t="s">
        <v>250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EBDC6-9A5F-4B40-B86F-2DD964B3D152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136</v>
      </c>
      <c r="C2" s="20" t="s">
        <v>134</v>
      </c>
      <c r="D2" s="20"/>
      <c r="G2" s="24" t="s">
        <v>223</v>
      </c>
    </row>
    <row r="3" spans="1:10">
      <c r="A3" s="20" t="s">
        <v>93</v>
      </c>
      <c r="B3" s="20" t="s">
        <v>137</v>
      </c>
      <c r="C3" s="20" t="s">
        <v>135</v>
      </c>
      <c r="D3" s="20"/>
      <c r="G3" s="9"/>
    </row>
    <row r="4" spans="1:10">
      <c r="A4" s="20" t="s">
        <v>101</v>
      </c>
      <c r="B4" s="20" t="s">
        <v>138</v>
      </c>
      <c r="C4" s="20" t="s">
        <v>224</v>
      </c>
      <c r="D4" s="20"/>
      <c r="G4" s="9"/>
      <c r="H4" s="18"/>
    </row>
    <row r="5" spans="1:10" ht="17.25" customHeight="1">
      <c r="A5" s="20" t="s">
        <v>99</v>
      </c>
      <c r="B5" s="20" t="s">
        <v>218</v>
      </c>
      <c r="C5" s="20" t="s">
        <v>221</v>
      </c>
      <c r="D5" s="20"/>
      <c r="G5" s="9"/>
    </row>
    <row r="6" spans="1:10">
      <c r="A6" s="20" t="s">
        <v>102</v>
      </c>
      <c r="B6" s="20" t="s">
        <v>219</v>
      </c>
      <c r="C6" s="20" t="s">
        <v>222</v>
      </c>
      <c r="D6" s="20"/>
      <c r="G6" s="9"/>
    </row>
    <row r="7" spans="1:10">
      <c r="A7" s="20" t="s">
        <v>48</v>
      </c>
      <c r="B7" s="20" t="s">
        <v>220</v>
      </c>
      <c r="C7" s="25" t="s">
        <v>250</v>
      </c>
      <c r="D7" s="20"/>
      <c r="G7" s="9"/>
    </row>
    <row r="8" spans="1:10">
      <c r="A8" s="20" t="s">
        <v>146</v>
      </c>
      <c r="B8" s="25"/>
      <c r="C8" s="20"/>
      <c r="D8" s="20"/>
      <c r="G8" s="9"/>
    </row>
    <row r="9" spans="1:10">
      <c r="A9" s="20" t="s">
        <v>110</v>
      </c>
      <c r="B9" s="20"/>
      <c r="C9" s="20"/>
      <c r="D9" s="20"/>
      <c r="G9" s="9"/>
    </row>
    <row r="10" spans="1:10">
      <c r="A10" s="20" t="s">
        <v>236</v>
      </c>
      <c r="B10" s="20"/>
      <c r="C10" s="20"/>
      <c r="D10" s="20"/>
      <c r="G10" s="9"/>
    </row>
    <row r="11" spans="1:10">
      <c r="A11" s="20" t="s">
        <v>147</v>
      </c>
      <c r="G11" s="9"/>
    </row>
    <row r="12" spans="1:10">
      <c r="A12" s="20" t="s">
        <v>45</v>
      </c>
      <c r="G12" s="9"/>
    </row>
    <row r="13" spans="1:10">
      <c r="A13" s="20" t="s">
        <v>103</v>
      </c>
      <c r="G13" s="9"/>
    </row>
    <row r="14" spans="1:10">
      <c r="A14" s="20" t="s">
        <v>104</v>
      </c>
      <c r="C14" s="9"/>
      <c r="G14" s="9"/>
    </row>
    <row r="15" spans="1:10">
      <c r="A15" s="20" t="s">
        <v>130</v>
      </c>
      <c r="G15" s="9"/>
    </row>
    <row r="16" spans="1:10">
      <c r="A16" s="20" t="s">
        <v>131</v>
      </c>
      <c r="C16"/>
      <c r="G16" s="9"/>
    </row>
    <row r="17" spans="1:7">
      <c r="A17" s="20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144</v>
      </c>
      <c r="C20"/>
      <c r="G20" s="9"/>
    </row>
    <row r="21" spans="1:7">
      <c r="A21" s="20" t="s">
        <v>150</v>
      </c>
      <c r="C21"/>
      <c r="G21" s="9"/>
    </row>
    <row r="22" spans="1:7">
      <c r="A22" s="20" t="s">
        <v>126</v>
      </c>
      <c r="C22"/>
      <c r="G22" s="9"/>
    </row>
    <row r="23" spans="1:7">
      <c r="A23" s="20" t="s">
        <v>127</v>
      </c>
      <c r="C23"/>
      <c r="G23" s="9"/>
    </row>
    <row r="24" spans="1:7">
      <c r="A24" s="20" t="s">
        <v>128</v>
      </c>
      <c r="C24"/>
      <c r="G24" s="9"/>
    </row>
    <row r="25" spans="1:7" s="9" customFormat="1">
      <c r="A25" s="20" t="s">
        <v>129</v>
      </c>
      <c r="C25"/>
      <c r="F25" s="4"/>
    </row>
    <row r="26" spans="1:7">
      <c r="A26" s="20" t="s">
        <v>156</v>
      </c>
      <c r="C26"/>
      <c r="G26" s="9"/>
    </row>
    <row r="27" spans="1:7">
      <c r="A27" s="20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118</v>
      </c>
      <c r="C31"/>
      <c r="G31" s="9"/>
    </row>
    <row r="32" spans="1:7">
      <c r="A32" s="20" t="s">
        <v>100</v>
      </c>
      <c r="C32"/>
      <c r="G32" s="9"/>
    </row>
    <row r="33" spans="1:7">
      <c r="A33" s="20" t="s">
        <v>106</v>
      </c>
      <c r="C33"/>
      <c r="G33" s="9"/>
    </row>
    <row r="34" spans="1:7">
      <c r="A34" s="20" t="s">
        <v>105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166</v>
      </c>
      <c r="C36"/>
    </row>
    <row r="37" spans="1:7">
      <c r="A37" s="20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107</v>
      </c>
      <c r="C42"/>
      <c r="G42" s="9"/>
    </row>
    <row r="43" spans="1:7">
      <c r="A43" s="25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116</v>
      </c>
      <c r="C47"/>
      <c r="G47" s="9"/>
    </row>
    <row r="48" spans="1:7">
      <c r="A48" s="20" t="s">
        <v>133</v>
      </c>
      <c r="C48"/>
      <c r="G48" s="9"/>
    </row>
    <row r="49" spans="1:8">
      <c r="A49" s="20" t="s">
        <v>176</v>
      </c>
      <c r="C49"/>
      <c r="G49" s="9"/>
    </row>
    <row r="50" spans="1:8">
      <c r="A50" s="26" t="s">
        <v>246</v>
      </c>
      <c r="C50"/>
      <c r="G50" s="9"/>
    </row>
    <row r="51" spans="1:8">
      <c r="A51" s="26" t="s">
        <v>251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111</v>
      </c>
      <c r="C55"/>
      <c r="G55" s="9"/>
      <c r="H55" s="11"/>
    </row>
    <row r="56" spans="1:8">
      <c r="A56" s="20" t="s">
        <v>112</v>
      </c>
      <c r="C56"/>
      <c r="G56" s="9"/>
      <c r="H56" s="11"/>
    </row>
    <row r="57" spans="1:8">
      <c r="A57" s="27" t="s">
        <v>241</v>
      </c>
      <c r="C57"/>
      <c r="G57" s="9"/>
    </row>
    <row r="58" spans="1:8">
      <c r="A58" s="20" t="s">
        <v>132</v>
      </c>
      <c r="G58" s="9"/>
    </row>
    <row r="59" spans="1:8">
      <c r="A59" s="20" t="s">
        <v>143</v>
      </c>
      <c r="G59" s="9"/>
    </row>
    <row r="60" spans="1:8">
      <c r="A60" s="20" t="s">
        <v>114</v>
      </c>
      <c r="G60" s="9"/>
    </row>
    <row r="61" spans="1:8">
      <c r="A61" s="26" t="s">
        <v>237</v>
      </c>
      <c r="G61" s="9"/>
    </row>
    <row r="62" spans="1:8">
      <c r="A62" s="26" t="s">
        <v>239</v>
      </c>
      <c r="G62" s="9"/>
    </row>
    <row r="63" spans="1:8">
      <c r="A63" s="26" t="s">
        <v>246</v>
      </c>
      <c r="G63" s="9"/>
    </row>
    <row r="64" spans="1:8">
      <c r="A64" s="26" t="s">
        <v>249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115</v>
      </c>
      <c r="C68"/>
      <c r="G68" s="9"/>
    </row>
    <row r="69" spans="1:7">
      <c r="A69" s="20" t="s">
        <v>108</v>
      </c>
      <c r="C69"/>
      <c r="G69" s="9"/>
    </row>
    <row r="70" spans="1:7">
      <c r="A70" s="20" t="s">
        <v>109</v>
      </c>
      <c r="G70" s="9"/>
    </row>
    <row r="71" spans="1:7">
      <c r="G71" s="9"/>
    </row>
    <row r="72" spans="1:7">
      <c r="G72" s="9"/>
    </row>
    <row r="73" spans="1:7">
      <c r="A73" s="20" t="s">
        <v>189</v>
      </c>
    </row>
    <row r="74" spans="1:7">
      <c r="A74" s="20" t="s">
        <v>47</v>
      </c>
    </row>
    <row r="75" spans="1:7">
      <c r="A75" s="20" t="s">
        <v>117</v>
      </c>
    </row>
    <row r="76" spans="1:7">
      <c r="A76" s="20" t="s">
        <v>125</v>
      </c>
      <c r="G76" s="9"/>
    </row>
    <row r="77" spans="1:7">
      <c r="A77" s="20" t="s">
        <v>194</v>
      </c>
      <c r="G77" s="9"/>
    </row>
    <row r="78" spans="1:7">
      <c r="A78" s="20" t="s">
        <v>196</v>
      </c>
      <c r="G78" s="9"/>
    </row>
    <row r="79" spans="1:7">
      <c r="A79" s="20" t="s">
        <v>198</v>
      </c>
    </row>
    <row r="80" spans="1:7">
      <c r="A80" s="20" t="s">
        <v>200</v>
      </c>
    </row>
    <row r="83" spans="1:1">
      <c r="A83" s="20" t="s">
        <v>119</v>
      </c>
    </row>
    <row r="84" spans="1:1">
      <c r="A84" s="20" t="s">
        <v>120</v>
      </c>
    </row>
    <row r="85" spans="1:1">
      <c r="A85" s="20" t="s">
        <v>121</v>
      </c>
    </row>
    <row r="86" spans="1:1">
      <c r="A86" s="20" t="s">
        <v>122</v>
      </c>
    </row>
    <row r="87" spans="1:1">
      <c r="A87" s="20" t="s">
        <v>123</v>
      </c>
    </row>
    <row r="88" spans="1:1">
      <c r="A88" s="20" t="s">
        <v>124</v>
      </c>
    </row>
    <row r="91" spans="1:1">
      <c r="A91" s="20" t="s">
        <v>208</v>
      </c>
    </row>
    <row r="92" spans="1:1">
      <c r="A92" s="20" t="s">
        <v>210</v>
      </c>
    </row>
    <row r="93" spans="1:1">
      <c r="A93" s="20" t="s">
        <v>212</v>
      </c>
    </row>
    <row r="94" spans="1:1">
      <c r="A94" s="20" t="s">
        <v>214</v>
      </c>
    </row>
    <row r="95" spans="1:1">
      <c r="A95" s="20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D1E8F4EF-75A8-4CED-A9CC-2913D3DBBC6C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DDE3C-E0D3-49E8-9C99-821CB10EB0EA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F241F-5213-4540-B138-858CF9797EFE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908CB-0B0E-4F5A-B73F-51CEB9EF53BA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stage7_5b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2025-04-16T06:38:23Z</dcterms:modified>
</cp:coreProperties>
</file>