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treamingAssets\Setting\Stage7_Normal\"/>
    </mc:Choice>
  </mc:AlternateContent>
  <xr:revisionPtr revIDLastSave="0" documentId="13_ncr:1_{6ECC63CA-6ECC-458D-A742-BE5E367AA77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tage7_card12shot3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'#OPTION'!$B$2:$B$7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88" i="1" l="1"/>
  <c r="E187" i="1"/>
  <c r="H186" i="1"/>
  <c r="E186" i="1"/>
  <c r="E185" i="1"/>
  <c r="E184" i="1"/>
  <c r="E183" i="1"/>
  <c r="E182" i="1"/>
  <c r="E181" i="1"/>
  <c r="E180" i="1"/>
  <c r="E179" i="1"/>
  <c r="E178" i="1"/>
  <c r="E176" i="1"/>
  <c r="E175" i="1"/>
  <c r="H174" i="1"/>
  <c r="E174" i="1"/>
  <c r="E173" i="1"/>
  <c r="E172" i="1"/>
  <c r="E171" i="1"/>
  <c r="E170" i="1"/>
  <c r="E169" i="1"/>
  <c r="E168" i="1"/>
  <c r="E167" i="1"/>
  <c r="E166" i="1"/>
  <c r="E164" i="1"/>
  <c r="E163" i="1"/>
  <c r="H162" i="1"/>
  <c r="E162" i="1"/>
  <c r="E161" i="1"/>
  <c r="E160" i="1"/>
  <c r="E159" i="1"/>
  <c r="E158" i="1"/>
  <c r="E157" i="1"/>
  <c r="E156" i="1"/>
  <c r="E155" i="1"/>
  <c r="E154" i="1"/>
  <c r="E152" i="1"/>
  <c r="E151" i="1"/>
  <c r="H150" i="1"/>
  <c r="E150" i="1"/>
  <c r="E149" i="1"/>
  <c r="E148" i="1"/>
  <c r="E147" i="1"/>
  <c r="E146" i="1"/>
  <c r="E145" i="1"/>
  <c r="E144" i="1"/>
  <c r="E143" i="1"/>
  <c r="E142" i="1"/>
  <c r="E140" i="1"/>
  <c r="E139" i="1"/>
  <c r="H138" i="1"/>
  <c r="E138" i="1"/>
  <c r="E137" i="1"/>
  <c r="E136" i="1"/>
  <c r="E135" i="1"/>
  <c r="E134" i="1"/>
  <c r="E133" i="1"/>
  <c r="E132" i="1"/>
  <c r="E131" i="1"/>
  <c r="E130" i="1"/>
  <c r="E128" i="1"/>
  <c r="E127" i="1"/>
  <c r="H126" i="1"/>
  <c r="E126" i="1"/>
  <c r="E125" i="1"/>
  <c r="E124" i="1"/>
  <c r="E123" i="1"/>
  <c r="E122" i="1"/>
  <c r="E121" i="1"/>
  <c r="E120" i="1"/>
  <c r="E119" i="1"/>
  <c r="E118" i="1"/>
  <c r="E116" i="1"/>
  <c r="E115" i="1"/>
  <c r="H114" i="1"/>
  <c r="E114" i="1"/>
  <c r="E113" i="1"/>
  <c r="E112" i="1"/>
  <c r="E111" i="1"/>
  <c r="E110" i="1"/>
  <c r="E109" i="1"/>
  <c r="E108" i="1"/>
  <c r="E107" i="1"/>
  <c r="E106" i="1"/>
  <c r="E104" i="1"/>
  <c r="E103" i="1"/>
  <c r="H102" i="1"/>
  <c r="E102" i="1"/>
  <c r="E101" i="1"/>
  <c r="E100" i="1"/>
  <c r="E99" i="1"/>
  <c r="E98" i="1"/>
  <c r="E97" i="1"/>
  <c r="E96" i="1"/>
  <c r="E95" i="1"/>
  <c r="E94" i="1"/>
  <c r="E92" i="1"/>
  <c r="E91" i="1"/>
  <c r="H90" i="1"/>
  <c r="E90" i="1"/>
  <c r="E89" i="1"/>
  <c r="E88" i="1"/>
  <c r="E87" i="1"/>
  <c r="E86" i="1"/>
  <c r="E85" i="1"/>
  <c r="E84" i="1"/>
  <c r="E83" i="1"/>
  <c r="E82" i="1"/>
  <c r="E80" i="1"/>
  <c r="E79" i="1"/>
  <c r="H78" i="1"/>
  <c r="E78" i="1"/>
  <c r="E77" i="1"/>
  <c r="E76" i="1"/>
  <c r="E75" i="1"/>
  <c r="E74" i="1"/>
  <c r="E73" i="1"/>
  <c r="E72" i="1"/>
  <c r="E71" i="1"/>
  <c r="E70" i="1"/>
  <c r="E68" i="1"/>
  <c r="E67" i="1"/>
  <c r="H66" i="1"/>
  <c r="E66" i="1"/>
  <c r="E65" i="1"/>
  <c r="E64" i="1"/>
  <c r="E63" i="1"/>
  <c r="E62" i="1"/>
  <c r="E61" i="1"/>
  <c r="E60" i="1"/>
  <c r="E59" i="1"/>
  <c r="E58" i="1"/>
  <c r="E56" i="1"/>
  <c r="E55" i="1"/>
  <c r="H54" i="1"/>
  <c r="E54" i="1"/>
  <c r="E53" i="1"/>
  <c r="E52" i="1"/>
  <c r="E51" i="1"/>
  <c r="E50" i="1"/>
  <c r="E49" i="1"/>
  <c r="E48" i="1"/>
  <c r="E47" i="1"/>
  <c r="E46" i="1"/>
  <c r="E44" i="1"/>
  <c r="E43" i="1"/>
  <c r="H42" i="1"/>
  <c r="E42" i="1"/>
  <c r="E41" i="1"/>
  <c r="E40" i="1"/>
  <c r="E39" i="1"/>
  <c r="E38" i="1"/>
  <c r="E37" i="1"/>
  <c r="E36" i="1"/>
  <c r="E35" i="1"/>
  <c r="E34" i="1"/>
  <c r="E32" i="1"/>
  <c r="E31" i="1"/>
  <c r="H30" i="1"/>
  <c r="E30" i="1"/>
  <c r="E29" i="1"/>
  <c r="E28" i="1"/>
  <c r="E27" i="1"/>
  <c r="E26" i="1"/>
  <c r="E25" i="1"/>
  <c r="E24" i="1"/>
  <c r="E23" i="1"/>
  <c r="E22" i="1"/>
  <c r="D21" i="1"/>
  <c r="M22" i="1" s="1"/>
  <c r="E17" i="1"/>
  <c r="E20" i="1"/>
  <c r="B21" i="1" l="1"/>
  <c r="D33" i="1"/>
  <c r="D45" i="1"/>
  <c r="D81" i="1" s="1"/>
  <c r="D57" i="1"/>
  <c r="D69" i="1"/>
  <c r="E19" i="1"/>
  <c r="H18" i="1"/>
  <c r="E14" i="1"/>
  <c r="E18" i="1"/>
  <c r="M82" i="1" l="1"/>
  <c r="B81" i="1"/>
  <c r="M70" i="1"/>
  <c r="B69" i="1"/>
  <c r="M58" i="1"/>
  <c r="B57" i="1"/>
  <c r="M46" i="1"/>
  <c r="B45" i="1"/>
  <c r="D105" i="1"/>
  <c r="M34" i="1"/>
  <c r="B33" i="1"/>
  <c r="C33" i="1" s="1"/>
  <c r="D93" i="1"/>
  <c r="M30" i="1" a="1"/>
  <c r="M30" i="1" s="1"/>
  <c r="C21" i="1"/>
  <c r="E16" i="1"/>
  <c r="M106" i="1" l="1"/>
  <c r="B105" i="1"/>
  <c r="C105" i="1" s="1"/>
  <c r="M66" i="1" a="1"/>
  <c r="M66" i="1" s="1"/>
  <c r="C69" i="1"/>
  <c r="M78" i="1" s="1" a="1"/>
  <c r="M78" i="1" s="1"/>
  <c r="M94" i="1"/>
  <c r="C93" i="1"/>
  <c r="B93" i="1"/>
  <c r="C57" i="1"/>
  <c r="M42" i="1" a="1"/>
  <c r="M42" i="1" s="1"/>
  <c r="C45" i="1"/>
  <c r="M54" i="1" s="1" a="1"/>
  <c r="M54" i="1" s="1"/>
  <c r="C81" i="1"/>
  <c r="M90" i="1" s="1" a="1"/>
  <c r="M90" i="1" s="1"/>
  <c r="D117" i="1"/>
  <c r="D129" i="1"/>
  <c r="E15" i="1"/>
  <c r="E13" i="1"/>
  <c r="E12" i="1"/>
  <c r="E11" i="1"/>
  <c r="E10" i="1"/>
  <c r="D9" i="1"/>
  <c r="M130" i="1" l="1"/>
  <c r="B129" i="1"/>
  <c r="C129" i="1" s="1"/>
  <c r="M114" i="1" a="1"/>
  <c r="M114" i="1" s="1"/>
  <c r="M118" i="1"/>
  <c r="B117" i="1"/>
  <c r="C117" i="1"/>
  <c r="M102" i="1" a="1"/>
  <c r="M102" i="1" s="1"/>
  <c r="D141" i="1"/>
  <c r="B9" i="1"/>
  <c r="M10" i="1"/>
  <c r="A8" i="1"/>
  <c r="M142" i="1" l="1"/>
  <c r="B141" i="1"/>
  <c r="C141" i="1"/>
  <c r="D165" i="1"/>
  <c r="M138" i="1" a="1"/>
  <c r="M138" i="1" s="1"/>
  <c r="M126" i="1" a="1"/>
  <c r="M126" i="1" s="1"/>
  <c r="D153" i="1"/>
  <c r="C9" i="1"/>
  <c r="M18" i="1" s="1" a="1"/>
  <c r="M18" i="1" s="1"/>
  <c r="M166" i="1" l="1"/>
  <c r="B165" i="1"/>
  <c r="D177" i="1"/>
  <c r="M150" i="1" a="1"/>
  <c r="M150" i="1" s="1"/>
  <c r="M154" i="1"/>
  <c r="B153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178" i="1" l="1"/>
  <c r="B177" i="1"/>
  <c r="M162" i="1" a="1"/>
  <c r="M162" i="1" s="1"/>
  <c r="C153" i="1"/>
  <c r="C165" i="1"/>
  <c r="M174" i="1" s="1" a="1"/>
  <c r="M174" i="1" s="1"/>
  <c r="M186" i="1" l="1" a="1"/>
  <c r="M186" i="1" s="1"/>
  <c r="C17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<sst xmlns="http://schemas.openxmlformats.org/spreadsheetml/2006/main" count="721" uniqueCount="256">
  <si>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</si>
  <si>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</si>
  <si>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</si>
  <si>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</si>
  <si>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</si>
  <si>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</si>
  <si>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</si>
  <si>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</si>
  <si>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</si>
  <si>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</si>
  <si>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</si>
  <si>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</si>
  <si>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</si>
  <si>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</si>
  <si>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</si>
  <si>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</si>
  <si>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</si>
  <si>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</si>
  <si>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</si>
  <si>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</si>
  <si>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</si>
  <si>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</si>
  <si>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</si>
  <si>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</si>
  <si>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</si>
  <si>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</si>
  <si>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</si>
  <si>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</si>
  <si>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</si>
  <si>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</si>
  <si>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</si>
  <si>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</si>
  <si>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</si>
  <si>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</si>
  <si>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</si>
  <si>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</si>
  <si>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</si>
  <si>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</si>
  <si>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</si>
  <si>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</si>
  <si>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</si>
  <si>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</si>
  <si>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</si>
  <si>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</si>
  <si>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</si>
  <si>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</si>
  <si>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</si>
  <si>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</si>
  <si>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</si>
  <si>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</si>
  <si>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</si>
  <si>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</si>
  <si>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</si>
  <si>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</si>
  <si>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</si>
  <si>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</si>
  <si>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</si>
  <si>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</si>
  <si>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</si>
  <si>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</si>
  <si>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</si>
  <si>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</si>
  <si>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</si>
  <si>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</si>
  <si>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</si>
  <si>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</si>
  <si>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</si>
  <si>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</si>
  <si>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</si>
  <si>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</si>
  <si>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</si>
  <si>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</si>
  <si>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</si>
  <si>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</si>
  <si>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</si>
  <si>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</si>
  <si>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</si>
  <si>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</si>
  <si>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</si>
  <si>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</si>
  <si>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</si>
  <si>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</si>
  <si>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</si>
  <si>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</si>
  <si>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</si>
  <si>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</si>
  <si>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</si>
  <si>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</si>
  <si>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</si>
  <si>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</si>
  <si>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</si>
  <si>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</si>
  <si>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</si>
  <si>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</si>
  <si>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</si>
  <si>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</si>
  <si>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</si>
  <si>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</si>
  <si>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</si>
  <si>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</si>
  <si>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</si>
  <si>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</si>
  <si>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</si>
  <si>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</si>
  <si>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</si>
  <si>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</si>
  <si>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</si>
  <si>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</si>
  <si>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</si>
  <si>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</si>
  <si>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</si>
  <si>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</si>
  <si>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</si>
  <si>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</si>
  <si>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</si>
  <si>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</si>
  <si>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</si>
  <si>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</si>
  <si>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</si>
  <si>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</si>
  <si>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</si>
  <si>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</si>
  <si>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</si>
  <si>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</si>
  <si>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</si>
  <si>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</si>
  <si>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</si>
  <si>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</si>
  <si>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</si>
  <si>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</si>
  <si>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</si>
  <si>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</si>
  <si>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</si>
  <si>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</si>
  <si>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</si>
  <si>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</si>
  <si>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</si>
  <si>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</si>
  <si>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</si>
  <si>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</si>
  <si>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</si>
  <si>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</si>
  <si>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</si>
  <si>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</si>
  <si>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</si>
  <si>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</si>
  <si>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</si>
  <si>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</si>
  <si>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</si>
  <si>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啟動依遊戲時間</t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</si>
  <si>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</si>
  <si>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</si>
  <si>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</si>
  <si>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</si>
  <si>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</si>
  <si>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</si>
  <si>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</si>
  <si>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</si>
  <si>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</si>
  <si>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</si>
  <si>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</si>
  <si>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</si>
  <si>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</si>
  <si>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</si>
  <si>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</si>
  <si>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</si>
  <si>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</si>
  <si>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</si>
  <si>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</si>
  <si>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</si>
  <si>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</si>
  <si>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</si>
  <si>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</si>
  <si>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</si>
  <si>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</si>
  <si>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</si>
  <si>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</si>
  <si>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</si>
  <si>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</si>
  <si>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</si>
  <si>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</si>
  <si>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</si>
  <si>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</si>
  <si>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</si>
  <si>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</si>
  <si>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</si>
  <si>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</si>
  <si>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</si>
  <si>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</si>
  <si>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</si>
  <si>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</si>
  <si>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</si>
  <si>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</si>
  <si>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</si>
  <si>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</si>
  <si>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</si>
  <si>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</si>
  <si>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</si>
  <si>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</si>
  <si>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</si>
  <si>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</si>
  <si>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</si>
  <si>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</si>
  <si>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</si>
  <si>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</si>
  <si>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</si>
  <si>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</si>
  <si>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</si>
  <si>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</si>
  <si>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</si>
  <si>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</si>
  <si>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</si>
  <si>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</si>
  <si>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</si>
  <si>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</si>
  <si>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</si>
  <si>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</si>
  <si>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</si>
  <si>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</si>
  <si>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</si>
  <si>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</si>
  <si>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</si>
  <si>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</si>
  <si>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</si>
  <si>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</si>
  <si>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</si>
  <si>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</si>
  <si>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</si>
  <si>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</si>
  <si>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</si>
  <si>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</si>
  <si>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</si>
  <si>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</si>
  <si>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</si>
  <si>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</si>
  <si>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</si>
  <si>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</si>
  <si>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</si>
  <si>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</si>
  <si>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</si>
  <si>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</si>
  <si>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</si>
  <si>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</si>
  <si>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</si>
  <si>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</si>
  <si>
    <t>角度ID移動角度</t>
    <phoneticPr fontId="2" type="noConversion"/>
  </si>
  <si>
    <t>7</t>
    <phoneticPr fontId="2" type="noConversion"/>
  </si>
  <si>
    <t>EnemyShot2</t>
  </si>
  <si>
    <t>EnemyShot2</t>
    <phoneticPr fontId="2" type="noConversion"/>
  </si>
  <si>
    <t>Shot2_purple</t>
  </si>
  <si>
    <t>Shot2_purple</t>
    <phoneticPr fontId="2" type="noConversion"/>
  </si>
  <si>
    <t>速度</t>
    <phoneticPr fontId="2" type="noConversion"/>
  </si>
  <si>
    <t>2,3</t>
  </si>
  <si>
    <t>2,3</t>
    <phoneticPr fontId="2" type="noConversion"/>
  </si>
  <si>
    <t>19800</t>
  </si>
  <si>
    <t>19800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</si>
</sst>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  <xf numFmtId="2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88"/>
  <sheetViews>
    <sheetView tabSelected="1" zoomScale="115" zoomScaleNormal="115" workbookViewId="0">
      <pane ySplit="1" topLeftCell="A5" activePane="bottomLeft" state="frozen"/>
      <selection pane="bottomLeft" activeCell="K7" sqref="K7"/>
    </sheetView>
  </sheetViews>
  <sheetFormatPr defaultRowHeight="19.5"/>
  <cols>
    <col min="1" max="4" width="6.125" style="21" customWidth="1"/>
    <col min="5" max="5" width="9" style="21"/>
    <col min="6" max="6" width="16.125" style="9" bestFit="1" customWidth="1"/>
    <col min="7" max="7" width="7.375" style="21" customWidth="1"/>
    <col min="8" max="8" width="7.875" style="21" customWidth="1"/>
    <col min="9" max="9" width="5.125" style="21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1" bestFit="1" customWidth="1"/>
    <col min="14" max="14" width="16.125" style="9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1:60" s="17" customFormat="1">
      <c r="A1" s="22"/>
      <c r="B1" s="22"/>
      <c r="C1" s="22"/>
      <c r="D1" s="22"/>
      <c r="E1" s="22" t="s">
        <v>49</v>
      </c>
      <c r="F1" s="9" t="s">
        <v>27</v>
      </c>
      <c r="G1" s="22"/>
      <c r="H1" s="22"/>
      <c r="I1" s="22"/>
      <c r="K1" s="17" t="s">
        <v>139</v>
      </c>
      <c r="L1" s="17" t="s">
        <v>140</v>
      </c>
      <c r="M1" s="21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8" spans="1:60">
      <c r="A8" s="21">
        <f>G10*H10</f>
        <v>15</v>
      </c>
      <c r="B8" s="9"/>
      <c r="C8" s="9"/>
      <c r="D8" s="9"/>
      <c r="R8" s="12"/>
      <c r="S8" s="9"/>
      <c r="U8" s="12"/>
      <c r="X8" s="15"/>
      <c r="AE8" s="16"/>
      <c r="BH8" s="9"/>
    </row>
    <row r="9" spans="1:60">
      <c r="A9" s="21" t="s">
        <v>227</v>
      </c>
      <c r="B9" s="21">
        <f t="shared" ref="B9" si="0">QUOTIENT( D9-1,G10)+1</f>
        <v>1</v>
      </c>
      <c r="C9" s="21">
        <f t="shared" ref="C9" si="1">D9-(B9-1)*G10</f>
        <v>1</v>
      </c>
      <c r="D9" s="21">
        <f>COUNT($D$8:$D8)+1</f>
        <v>1</v>
      </c>
      <c r="R9" s="12"/>
      <c r="S9" s="9"/>
      <c r="U9" s="12"/>
      <c r="X9" s="15"/>
      <c r="AE9" s="16"/>
      <c r="BH9" s="9"/>
    </row>
    <row r="10" spans="1:60">
      <c r="E10" s="21">
        <f t="shared" ref="E10:E74" si="2">ROW(E10)</f>
        <v>10</v>
      </c>
      <c r="F10" s="9" t="s">
        <v>93</v>
      </c>
      <c r="G10" s="21">
        <v>15</v>
      </c>
      <c r="H10" s="21">
        <v>1</v>
      </c>
      <c r="J10" s="9" t="s">
        <v>255</v>
      </c>
      <c r="M10" s="21">
        <f t="shared" ref="M10" si="3">J10+D9</f>
        <v>19801</v>
      </c>
      <c r="R10" s="12"/>
      <c r="S10" s="9"/>
      <c r="U10" s="12"/>
      <c r="X10" s="15"/>
      <c r="AE10" s="16"/>
      <c r="BH10" s="9"/>
    </row>
    <row r="11" spans="1:60">
      <c r="E11" s="21">
        <f t="shared" si="2"/>
        <v>11</v>
      </c>
      <c r="F11" s="9" t="s">
        <v>142</v>
      </c>
      <c r="M11" s="21">
        <v>195109</v>
      </c>
      <c r="R11" s="12"/>
      <c r="S11" s="9"/>
      <c r="U11" s="12"/>
      <c r="X11" s="15"/>
      <c r="AE11" s="16"/>
      <c r="BH11" s="9"/>
    </row>
    <row r="12" spans="1:60">
      <c r="E12" s="21">
        <f t="shared" si="2"/>
        <v>12</v>
      </c>
      <c r="F12" s="9" t="s">
        <v>126</v>
      </c>
      <c r="G12" s="21">
        <v>0</v>
      </c>
      <c r="H12" s="21">
        <v>60</v>
      </c>
      <c r="M12" s="21">
        <v>120</v>
      </c>
      <c r="R12" s="12"/>
      <c r="S12" s="9"/>
      <c r="U12" s="12"/>
      <c r="X12" s="15"/>
      <c r="AE12" s="16"/>
      <c r="BH12" s="9"/>
    </row>
    <row r="13" spans="1:60">
      <c r="E13" s="21">
        <f t="shared" si="2"/>
        <v>13</v>
      </c>
      <c r="F13" s="9" t="s">
        <v>29</v>
      </c>
      <c r="M13" s="21" t="s">
        <v>248</v>
      </c>
      <c r="R13" s="12"/>
      <c r="S13" s="9"/>
      <c r="U13" s="12"/>
      <c r="X13" s="15"/>
      <c r="AE13" s="16"/>
      <c r="BH13" s="9"/>
    </row>
    <row r="14" spans="1:60">
      <c r="E14" s="21">
        <f t="shared" si="2"/>
        <v>14</v>
      </c>
      <c r="F14" s="9" t="s">
        <v>118</v>
      </c>
      <c r="M14" s="21" t="s">
        <v>250</v>
      </c>
      <c r="R14" s="12"/>
      <c r="S14" s="9"/>
      <c r="U14" s="12"/>
      <c r="X14" s="15"/>
      <c r="AE14" s="16"/>
      <c r="BH14" s="9"/>
    </row>
    <row r="15" spans="1:60">
      <c r="E15" s="21">
        <f t="shared" si="2"/>
        <v>15</v>
      </c>
      <c r="F15" s="9" t="s">
        <v>98</v>
      </c>
      <c r="G15" s="9"/>
      <c r="H15" s="9"/>
      <c r="I15" s="9"/>
      <c r="K15" s="9" t="s">
        <v>137</v>
      </c>
      <c r="M15" s="21">
        <v>5</v>
      </c>
      <c r="R15" s="12"/>
      <c r="S15" s="9"/>
      <c r="U15" s="12"/>
      <c r="X15" s="15"/>
      <c r="AE15" s="16"/>
      <c r="BH15" s="9"/>
    </row>
    <row r="16" spans="1:60">
      <c r="E16" s="21">
        <f t="shared" si="2"/>
        <v>16</v>
      </c>
      <c r="F16" s="9" t="s">
        <v>114</v>
      </c>
      <c r="M16" s="21" t="b">
        <v>1</v>
      </c>
      <c r="R16" s="12"/>
      <c r="S16" s="9"/>
      <c r="U16" s="12"/>
      <c r="X16" s="15"/>
      <c r="AE16" s="16"/>
      <c r="BH16" s="9"/>
    </row>
    <row r="17" spans="1:60">
      <c r="E17" s="21">
        <f>ROW(E17)</f>
        <v>17</v>
      </c>
      <c r="F17" s="9" t="s">
        <v>31</v>
      </c>
      <c r="L17" s="9" t="s">
        <v>135</v>
      </c>
      <c r="M17" s="21" t="s">
        <v>253</v>
      </c>
      <c r="R17" s="12"/>
      <c r="S17" s="9"/>
      <c r="U17" s="12"/>
      <c r="X17" s="15"/>
      <c r="AE17" s="16"/>
      <c r="BH17" s="9"/>
    </row>
    <row r="18" spans="1:60">
      <c r="E18" s="21">
        <f>ROW(E18)</f>
        <v>18</v>
      </c>
      <c r="F18" s="9" t="s">
        <v>182</v>
      </c>
      <c r="G18" s="21">
        <v>360</v>
      </c>
      <c r="H18" s="21">
        <f>G18/G10</f>
        <v>24</v>
      </c>
      <c r="L18" s="9" t="s">
        <v>134</v>
      </c>
      <c r="M18" s="21" cm="1">
        <f t="array" ref="M18">_xlfn.SWITCH(B9,1,H18*C9,2,H18*C9+H18/2,3,0)</f>
        <v>24</v>
      </c>
      <c r="R18" s="12"/>
      <c r="S18" s="9"/>
      <c r="U18" s="12"/>
      <c r="X18" s="15"/>
      <c r="AE18" s="16"/>
      <c r="BH18" s="9"/>
    </row>
    <row r="19" spans="1:60">
      <c r="E19" s="21">
        <f>ROW(E19)</f>
        <v>19</v>
      </c>
      <c r="F19" s="9" t="s">
        <v>251</v>
      </c>
      <c r="M19" s="27">
        <v>4</v>
      </c>
      <c r="R19" s="12"/>
      <c r="S19" s="9"/>
      <c r="U19" s="12"/>
      <c r="X19" s="15"/>
      <c r="AE19" s="16"/>
      <c r="BH19" s="9"/>
    </row>
    <row r="20" spans="1:60">
      <c r="E20" s="21">
        <f>ROW(E20)</f>
        <v>20</v>
      </c>
      <c r="F20" s="9" t="s">
        <v>115</v>
      </c>
      <c r="M20" s="27">
        <v>-2</v>
      </c>
      <c r="R20" s="12"/>
      <c r="S20" s="9"/>
      <c r="U20" s="12"/>
      <c r="X20" s="15"/>
      <c r="AE20" s="16"/>
      <c r="BH20" s="9"/>
    </row>
    <row r="21" spans="1:60">
      <c r="A21" s="21" t="s">
        <v>227</v>
      </c>
      <c r="B21" s="21">
        <f t="shared" ref="B21:B84" si="4">QUOTIENT( D21-1,G22)+1</f>
        <v>1</v>
      </c>
      <c r="C21" s="21">
        <f t="shared" ref="C21:C84" si="5">D21-(B21-1)*G22</f>
        <v>2</v>
      </c>
      <c r="D21" s="21">
        <f>COUNT($D$8:$D20)+1</f>
        <v>2</v>
      </c>
      <c r="G21" s="9"/>
      <c r="H21" s="9"/>
      <c r="R21" s="12"/>
      <c r="S21" s="9"/>
      <c r="U21" s="12"/>
      <c r="X21" s="15"/>
      <c r="AE21" s="16"/>
      <c r="BH21" s="9"/>
    </row>
    <row r="22" spans="1:60">
      <c r="E22" s="21">
        <f t="shared" si="2"/>
        <v>22</v>
      </c>
      <c r="F22" s="9" t="s">
        <v>93</v>
      </c>
      <c r="G22" s="9">
        <v>15</v>
      </c>
      <c r="H22" s="9">
        <v>1</v>
      </c>
      <c r="J22" s="9" t="s">
        <v>254</v>
      </c>
      <c r="M22" s="21">
        <f t="shared" ref="M22:M85" si="6">J22+D21</f>
        <v>19802</v>
      </c>
      <c r="R22" s="12"/>
      <c r="S22" s="9"/>
      <c r="U22" s="12"/>
      <c r="X22" s="15"/>
      <c r="AE22" s="16"/>
      <c r="BH22" s="9"/>
    </row>
    <row r="23" spans="1:60">
      <c r="E23" s="21">
        <f t="shared" si="2"/>
        <v>23</v>
      </c>
      <c r="F23" s="9" t="s">
        <v>142</v>
      </c>
      <c r="G23" s="9"/>
      <c r="H23" s="9"/>
      <c r="M23" s="21">
        <v>195109</v>
      </c>
      <c r="R23" s="12"/>
      <c r="S23" s="9"/>
      <c r="U23" s="12"/>
      <c r="X23" s="15"/>
      <c r="AE23" s="16"/>
      <c r="BH23" s="9"/>
    </row>
    <row r="24" spans="1:60">
      <c r="E24" s="21">
        <f t="shared" si="2"/>
        <v>24</v>
      </c>
      <c r="F24" s="9" t="s">
        <v>126</v>
      </c>
      <c r="G24" s="9">
        <v>0</v>
      </c>
      <c r="H24" s="9">
        <v>60</v>
      </c>
      <c r="M24" s="21">
        <v>120</v>
      </c>
      <c r="R24" s="12"/>
      <c r="S24" s="9"/>
      <c r="U24" s="12"/>
      <c r="X24" s="15"/>
      <c r="AE24" s="16"/>
      <c r="BH24" s="9"/>
    </row>
    <row r="25" spans="1:60">
      <c r="E25" s="21">
        <f t="shared" si="2"/>
        <v>25</v>
      </c>
      <c r="F25" s="9" t="s">
        <v>29</v>
      </c>
      <c r="M25" s="21" t="s">
        <v>247</v>
      </c>
      <c r="R25" s="12"/>
      <c r="S25" s="9"/>
      <c r="U25" s="12"/>
      <c r="X25" s="15"/>
      <c r="AE25" s="16"/>
      <c r="BH25" s="9"/>
    </row>
    <row r="26" spans="1:60">
      <c r="E26" s="21">
        <f t="shared" si="2"/>
        <v>26</v>
      </c>
      <c r="F26" s="9" t="s">
        <v>118</v>
      </c>
      <c r="M26" s="21" t="s">
        <v>249</v>
      </c>
      <c r="R26" s="12"/>
      <c r="S26" s="9"/>
      <c r="U26" s="12"/>
      <c r="X26" s="15"/>
      <c r="AE26" s="16"/>
      <c r="BH26" s="9"/>
    </row>
    <row r="27" spans="1:60">
      <c r="E27" s="21">
        <f t="shared" si="2"/>
        <v>27</v>
      </c>
      <c r="F27" s="9" t="s">
        <v>98</v>
      </c>
      <c r="K27" s="9" t="s">
        <v>137</v>
      </c>
      <c r="M27" s="26">
        <v>5</v>
      </c>
      <c r="R27" s="12"/>
      <c r="S27" s="9"/>
      <c r="U27" s="12"/>
      <c r="X27" s="15"/>
      <c r="AE27" s="16"/>
      <c r="BH27" s="9"/>
    </row>
    <row r="28" spans="1:60">
      <c r="E28" s="21">
        <f t="shared" si="2"/>
        <v>28</v>
      </c>
      <c r="F28" s="9" t="s">
        <v>114</v>
      </c>
      <c r="M28" s="21" t="b">
        <v>1</v>
      </c>
      <c r="R28" s="12"/>
      <c r="S28" s="9"/>
      <c r="U28" s="12"/>
      <c r="X28" s="15"/>
      <c r="AE28" s="16"/>
      <c r="BH28" s="9"/>
    </row>
    <row r="29" spans="1:60">
      <c r="E29" s="21">
        <f t="shared" si="2"/>
        <v>29</v>
      </c>
      <c r="F29" s="9" t="s">
        <v>31</v>
      </c>
      <c r="L29" s="9" t="s">
        <v>135</v>
      </c>
      <c r="M29" s="21" t="s">
        <v>252</v>
      </c>
      <c r="R29" s="12"/>
      <c r="S29" s="9"/>
      <c r="U29" s="12"/>
      <c r="X29" s="15"/>
      <c r="AE29" s="16"/>
      <c r="BH29" s="9"/>
    </row>
    <row r="30" spans="1:60">
      <c r="E30" s="21">
        <f t="shared" si="2"/>
        <v>30</v>
      </c>
      <c r="F30" s="9" t="s">
        <v>182</v>
      </c>
      <c r="G30" s="21">
        <v>360</v>
      </c>
      <c r="H30" s="21">
        <f t="shared" ref="H30" si="7">G30/G22</f>
        <v>24</v>
      </c>
      <c r="L30" s="9" t="s">
        <v>134</v>
      </c>
      <c r="M30" s="26" cm="1">
        <f t="array" ref="M30">_xlfn.SWITCH(B21,1,H30*C21,2,H30*C21+H30/2,3,0)</f>
        <v>48</v>
      </c>
      <c r="R30" s="12"/>
      <c r="S30" s="9"/>
      <c r="U30" s="12"/>
      <c r="X30" s="15"/>
      <c r="AE30" s="16"/>
      <c r="BH30" s="9"/>
    </row>
    <row r="31" spans="1:60">
      <c r="E31" s="21">
        <f t="shared" si="2"/>
        <v>31</v>
      </c>
      <c r="F31" s="9" t="s">
        <v>30</v>
      </c>
      <c r="M31" s="21">
        <v>4</v>
      </c>
    </row>
    <row r="32" spans="1:60">
      <c r="E32" s="21">
        <f t="shared" si="2"/>
        <v>32</v>
      </c>
      <c r="F32" s="9" t="s">
        <v>115</v>
      </c>
      <c r="M32" s="21">
        <v>-2</v>
      </c>
    </row>
    <row r="33" spans="1:13">
      <c r="A33" s="21" t="s">
        <v>227</v>
      </c>
      <c r="B33" s="21">
        <f t="shared" ref="B33:B96" si="8">QUOTIENT( D33-1,G34)+1</f>
        <v>1</v>
      </c>
      <c r="C33" s="21">
        <f t="shared" ref="C33:C96" si="9">D33-(B33-1)*G34</f>
        <v>3</v>
      </c>
      <c r="D33" s="21">
        <f>COUNT($D$8:$D32)+1</f>
        <v>3</v>
      </c>
    </row>
    <row r="34" spans="1:13">
      <c r="E34" s="21">
        <f t="shared" si="2"/>
        <v>34</v>
      </c>
      <c r="F34" s="9" t="s">
        <v>93</v>
      </c>
      <c r="G34" s="21">
        <v>15</v>
      </c>
      <c r="H34" s="21">
        <v>1</v>
      </c>
      <c r="J34" s="9" t="s">
        <v>254</v>
      </c>
      <c r="M34" s="21">
        <f t="shared" ref="M34:M97" si="10">J34+D33</f>
        <v>19803</v>
      </c>
    </row>
    <row r="35" spans="1:13">
      <c r="E35" s="21">
        <f t="shared" si="2"/>
        <v>35</v>
      </c>
      <c r="F35" s="9" t="s">
        <v>142</v>
      </c>
      <c r="M35" s="21">
        <v>195109</v>
      </c>
    </row>
    <row r="36" spans="1:13">
      <c r="E36" s="21">
        <f t="shared" si="2"/>
        <v>36</v>
      </c>
      <c r="F36" s="9" t="s">
        <v>126</v>
      </c>
      <c r="G36" s="21">
        <v>0</v>
      </c>
      <c r="H36" s="21">
        <v>60</v>
      </c>
      <c r="M36" s="21">
        <v>120</v>
      </c>
    </row>
    <row r="37" spans="1:13">
      <c r="E37" s="21">
        <f t="shared" si="2"/>
        <v>37</v>
      </c>
      <c r="F37" s="9" t="s">
        <v>29</v>
      </c>
      <c r="M37" s="21" t="s">
        <v>247</v>
      </c>
    </row>
    <row r="38" spans="1:13">
      <c r="E38" s="21">
        <f t="shared" si="2"/>
        <v>38</v>
      </c>
      <c r="F38" s="9" t="s">
        <v>118</v>
      </c>
      <c r="M38" s="21" t="s">
        <v>249</v>
      </c>
    </row>
    <row r="39" spans="1:13">
      <c r="E39" s="21">
        <f t="shared" si="2"/>
        <v>39</v>
      </c>
      <c r="F39" s="9" t="s">
        <v>98</v>
      </c>
      <c r="K39" s="9" t="s">
        <v>137</v>
      </c>
      <c r="M39" s="21">
        <v>5</v>
      </c>
    </row>
    <row r="40" spans="1:13">
      <c r="E40" s="21">
        <f t="shared" si="2"/>
        <v>40</v>
      </c>
      <c r="F40" s="9" t="s">
        <v>114</v>
      </c>
      <c r="M40" s="21" t="b">
        <v>1</v>
      </c>
    </row>
    <row r="41" spans="1:13">
      <c r="E41" s="21">
        <f t="shared" si="2"/>
        <v>41</v>
      </c>
      <c r="F41" s="9" t="s">
        <v>31</v>
      </c>
      <c r="L41" s="9" t="s">
        <v>135</v>
      </c>
      <c r="M41" s="26" t="s">
        <v>252</v>
      </c>
    </row>
    <row r="42" spans="1:13">
      <c r="E42" s="21">
        <f t="shared" si="2"/>
        <v>42</v>
      </c>
      <c r="F42" s="9" t="s">
        <v>182</v>
      </c>
      <c r="G42" s="21">
        <v>360</v>
      </c>
      <c r="H42" s="21">
        <f t="shared" ref="H42" si="11">G42/G34</f>
        <v>24</v>
      </c>
      <c r="L42" s="9" t="s">
        <v>134</v>
      </c>
      <c r="M42" s="21" cm="1">
        <f t="array" ref="M42">_xlfn.SWITCH(B33,1,H42*C33,2,H42*C33+H42/2,3,0)</f>
        <v>72</v>
      </c>
    </row>
    <row r="43" spans="1:13">
      <c r="E43" s="21">
        <f t="shared" si="2"/>
        <v>43</v>
      </c>
      <c r="F43" s="9" t="s">
        <v>30</v>
      </c>
      <c r="M43" s="21">
        <v>4</v>
      </c>
    </row>
    <row r="44" spans="1:13">
      <c r="E44" s="21">
        <f t="shared" si="2"/>
        <v>44</v>
      </c>
      <c r="F44" s="9" t="s">
        <v>115</v>
      </c>
      <c r="M44" s="21">
        <v>-2</v>
      </c>
    </row>
    <row r="45" spans="1:13">
      <c r="A45" s="21" t="s">
        <v>227</v>
      </c>
      <c r="B45" s="21">
        <f t="shared" ref="B45:B108" si="12">QUOTIENT( D45-1,G46)+1</f>
        <v>1</v>
      </c>
      <c r="C45" s="21">
        <f t="shared" ref="C45:C108" si="13">D45-(B45-1)*G46</f>
        <v>4</v>
      </c>
      <c r="D45" s="21">
        <f>COUNT($D$8:$D44)+1</f>
        <v>4</v>
      </c>
    </row>
    <row r="46" spans="1:13">
      <c r="E46" s="21">
        <f t="shared" si="2"/>
        <v>46</v>
      </c>
      <c r="F46" s="9" t="s">
        <v>93</v>
      </c>
      <c r="G46" s="21">
        <v>15</v>
      </c>
      <c r="H46" s="21">
        <v>1</v>
      </c>
      <c r="J46" s="9" t="s">
        <v>254</v>
      </c>
      <c r="M46" s="21">
        <f t="shared" ref="M46:M109" si="14">J46+D45</f>
        <v>19804</v>
      </c>
    </row>
    <row r="47" spans="1:13">
      <c r="E47" s="21">
        <f t="shared" si="2"/>
        <v>47</v>
      </c>
      <c r="F47" s="9" t="s">
        <v>142</v>
      </c>
      <c r="M47" s="21">
        <v>195109</v>
      </c>
    </row>
    <row r="48" spans="1:13">
      <c r="E48" s="21">
        <f t="shared" si="2"/>
        <v>48</v>
      </c>
      <c r="F48" s="9" t="s">
        <v>126</v>
      </c>
      <c r="G48" s="21">
        <v>0</v>
      </c>
      <c r="H48" s="21">
        <v>60</v>
      </c>
      <c r="M48" s="21">
        <v>120</v>
      </c>
    </row>
    <row r="49" spans="1:13">
      <c r="E49" s="21">
        <f t="shared" si="2"/>
        <v>49</v>
      </c>
      <c r="F49" s="9" t="s">
        <v>29</v>
      </c>
      <c r="M49" s="21" t="s">
        <v>247</v>
      </c>
    </row>
    <row r="50" spans="1:13">
      <c r="E50" s="21">
        <f t="shared" si="2"/>
        <v>50</v>
      </c>
      <c r="F50" s="9" t="s">
        <v>118</v>
      </c>
      <c r="M50" s="21" t="s">
        <v>249</v>
      </c>
    </row>
    <row r="51" spans="1:13">
      <c r="E51" s="21">
        <f t="shared" si="2"/>
        <v>51</v>
      </c>
      <c r="F51" s="9" t="s">
        <v>98</v>
      </c>
      <c r="K51" s="9" t="s">
        <v>137</v>
      </c>
      <c r="M51" s="21">
        <v>5</v>
      </c>
    </row>
    <row r="52" spans="1:13">
      <c r="E52" s="21">
        <f t="shared" si="2"/>
        <v>52</v>
      </c>
      <c r="F52" s="9" t="s">
        <v>114</v>
      </c>
      <c r="M52" s="21" t="b">
        <v>1</v>
      </c>
    </row>
    <row r="53" spans="1:13">
      <c r="E53" s="21">
        <f t="shared" si="2"/>
        <v>53</v>
      </c>
      <c r="F53" s="9" t="s">
        <v>31</v>
      </c>
      <c r="L53" s="9" t="s">
        <v>135</v>
      </c>
      <c r="M53" s="21" t="s">
        <v>252</v>
      </c>
    </row>
    <row r="54" spans="1:13">
      <c r="E54" s="21">
        <f t="shared" si="2"/>
        <v>54</v>
      </c>
      <c r="F54" s="9" t="s">
        <v>182</v>
      </c>
      <c r="G54" s="21">
        <v>360</v>
      </c>
      <c r="H54" s="21">
        <f t="shared" ref="H54" si="15">G54/G46</f>
        <v>24</v>
      </c>
      <c r="L54" s="9" t="s">
        <v>134</v>
      </c>
      <c r="M54" s="21" cm="1">
        <f t="array" ref="M54">_xlfn.SWITCH(B45,1,H54*C45,2,H54*C45+H54/2,3,0)</f>
        <v>96</v>
      </c>
    </row>
    <row r="55" spans="1:13">
      <c r="E55" s="21">
        <f t="shared" si="2"/>
        <v>55</v>
      </c>
      <c r="F55" s="9" t="s">
        <v>30</v>
      </c>
      <c r="M55" s="21">
        <v>4</v>
      </c>
    </row>
    <row r="56" spans="1:13">
      <c r="E56" s="21">
        <f t="shared" si="2"/>
        <v>56</v>
      </c>
      <c r="F56" s="9" t="s">
        <v>115</v>
      </c>
      <c r="M56" s="21">
        <v>-2</v>
      </c>
    </row>
    <row r="57" spans="1:13">
      <c r="A57" s="21" t="s">
        <v>227</v>
      </c>
      <c r="B57" s="21">
        <f t="shared" ref="B57:B120" si="16">QUOTIENT( D57-1,G58)+1</f>
        <v>1</v>
      </c>
      <c r="C57" s="21">
        <f t="shared" ref="C57:C120" si="17">D57-(B57-1)*G58</f>
        <v>5</v>
      </c>
      <c r="D57" s="21">
        <f>COUNT($D$8:$D56)+1</f>
        <v>5</v>
      </c>
    </row>
    <row r="58" spans="1:13">
      <c r="E58" s="21">
        <f t="shared" si="2"/>
        <v>58</v>
      </c>
      <c r="F58" s="9" t="s">
        <v>93</v>
      </c>
      <c r="G58" s="21">
        <v>15</v>
      </c>
      <c r="H58" s="21">
        <v>1</v>
      </c>
      <c r="J58" s="9" t="s">
        <v>254</v>
      </c>
      <c r="M58" s="21">
        <f t="shared" ref="M58:M121" si="18">J58+D57</f>
        <v>19805</v>
      </c>
    </row>
    <row r="59" spans="1:13">
      <c r="E59" s="21">
        <f t="shared" si="2"/>
        <v>59</v>
      </c>
      <c r="F59" s="9" t="s">
        <v>142</v>
      </c>
      <c r="M59" s="21">
        <v>195109</v>
      </c>
    </row>
    <row r="60" spans="1:13">
      <c r="E60" s="21">
        <f t="shared" si="2"/>
        <v>60</v>
      </c>
      <c r="F60" s="9" t="s">
        <v>126</v>
      </c>
      <c r="G60" s="21">
        <v>0</v>
      </c>
      <c r="H60" s="21">
        <v>60</v>
      </c>
      <c r="M60" s="21">
        <v>120</v>
      </c>
    </row>
    <row r="61" spans="1:13">
      <c r="E61" s="21">
        <f t="shared" si="2"/>
        <v>61</v>
      </c>
      <c r="F61" s="9" t="s">
        <v>29</v>
      </c>
      <c r="M61" s="21" t="s">
        <v>247</v>
      </c>
    </row>
    <row r="62" spans="1:13">
      <c r="E62" s="21">
        <f t="shared" si="2"/>
        <v>62</v>
      </c>
      <c r="F62" s="9" t="s">
        <v>118</v>
      </c>
      <c r="M62" s="21" t="s">
        <v>249</v>
      </c>
    </row>
    <row r="63" spans="1:13">
      <c r="E63" s="21">
        <f t="shared" si="2"/>
        <v>63</v>
      </c>
      <c r="F63" s="9" t="s">
        <v>98</v>
      </c>
      <c r="K63" s="9" t="s">
        <v>137</v>
      </c>
      <c r="M63" s="21">
        <v>5</v>
      </c>
    </row>
    <row r="64" spans="1:13">
      <c r="E64" s="21">
        <f t="shared" si="2"/>
        <v>64</v>
      </c>
      <c r="F64" s="9" t="s">
        <v>114</v>
      </c>
      <c r="M64" s="21" t="b">
        <v>1</v>
      </c>
    </row>
    <row r="65" spans="1:13">
      <c r="E65" s="21">
        <f t="shared" si="2"/>
        <v>65</v>
      </c>
      <c r="F65" s="9" t="s">
        <v>31</v>
      </c>
      <c r="L65" s="9" t="s">
        <v>135</v>
      </c>
      <c r="M65" s="21" t="s">
        <v>252</v>
      </c>
    </row>
    <row r="66" spans="1:13">
      <c r="E66" s="21">
        <f t="shared" si="2"/>
        <v>66</v>
      </c>
      <c r="F66" s="9" t="s">
        <v>182</v>
      </c>
      <c r="G66" s="21">
        <v>360</v>
      </c>
      <c r="H66" s="21">
        <f t="shared" ref="H66" si="19">G66/G58</f>
        <v>24</v>
      </c>
      <c r="L66" s="9" t="s">
        <v>134</v>
      </c>
      <c r="M66" s="21" cm="1">
        <f t="array" ref="M66">_xlfn.SWITCH(B57,1,H66*C57,2,H66*C57+H66/2,3,0)</f>
        <v>120</v>
      </c>
    </row>
    <row r="67" spans="1:13">
      <c r="E67" s="21">
        <f t="shared" si="2"/>
        <v>67</v>
      </c>
      <c r="F67" s="9" t="s">
        <v>30</v>
      </c>
      <c r="M67" s="21">
        <v>4</v>
      </c>
    </row>
    <row r="68" spans="1:13">
      <c r="E68" s="21">
        <f t="shared" si="2"/>
        <v>68</v>
      </c>
      <c r="F68" s="9" t="s">
        <v>115</v>
      </c>
      <c r="M68" s="21">
        <v>-2</v>
      </c>
    </row>
    <row r="69" spans="1:13">
      <c r="A69" s="21" t="s">
        <v>227</v>
      </c>
      <c r="B69" s="21">
        <f t="shared" ref="B69:B132" si="20">QUOTIENT( D69-1,G70)+1</f>
        <v>1</v>
      </c>
      <c r="C69" s="21">
        <f t="shared" ref="C69:C132" si="21">D69-(B69-1)*G70</f>
        <v>6</v>
      </c>
      <c r="D69" s="21">
        <f>COUNT($D$8:$D68)+1</f>
        <v>6</v>
      </c>
    </row>
    <row r="70" spans="1:13">
      <c r="E70" s="21">
        <f t="shared" si="2"/>
        <v>70</v>
      </c>
      <c r="F70" s="9" t="s">
        <v>93</v>
      </c>
      <c r="G70" s="21">
        <v>15</v>
      </c>
      <c r="H70" s="21">
        <v>1</v>
      </c>
      <c r="J70" s="9" t="s">
        <v>254</v>
      </c>
      <c r="M70" s="21">
        <f t="shared" ref="M70:M133" si="22">J70+D69</f>
        <v>19806</v>
      </c>
    </row>
    <row r="71" spans="1:13">
      <c r="E71" s="21">
        <f t="shared" si="2"/>
        <v>71</v>
      </c>
      <c r="F71" s="9" t="s">
        <v>142</v>
      </c>
      <c r="M71" s="21">
        <v>195109</v>
      </c>
    </row>
    <row r="72" spans="1:13">
      <c r="E72" s="21">
        <f t="shared" si="2"/>
        <v>72</v>
      </c>
      <c r="F72" s="9" t="s">
        <v>126</v>
      </c>
      <c r="G72" s="21">
        <v>0</v>
      </c>
      <c r="H72" s="21">
        <v>60</v>
      </c>
      <c r="M72" s="21">
        <v>120</v>
      </c>
    </row>
    <row r="73" spans="1:13">
      <c r="E73" s="21">
        <f t="shared" si="2"/>
        <v>73</v>
      </c>
      <c r="F73" s="9" t="s">
        <v>29</v>
      </c>
      <c r="M73" s="21" t="s">
        <v>247</v>
      </c>
    </row>
    <row r="74" spans="1:13">
      <c r="E74" s="21">
        <f t="shared" si="2"/>
        <v>74</v>
      </c>
      <c r="F74" s="9" t="s">
        <v>118</v>
      </c>
      <c r="M74" s="21" t="s">
        <v>249</v>
      </c>
    </row>
    <row r="75" spans="1:13">
      <c r="E75" s="21">
        <f t="shared" ref="E75:E138" si="23">ROW(E75)</f>
        <v>75</v>
      </c>
      <c r="F75" s="9" t="s">
        <v>98</v>
      </c>
      <c r="K75" s="9" t="s">
        <v>137</v>
      </c>
      <c r="M75" s="21">
        <v>5</v>
      </c>
    </row>
    <row r="76" spans="1:13">
      <c r="E76" s="21">
        <f t="shared" si="23"/>
        <v>76</v>
      </c>
      <c r="F76" s="9" t="s">
        <v>114</v>
      </c>
      <c r="M76" s="21" t="b">
        <v>1</v>
      </c>
    </row>
    <row r="77" spans="1:13">
      <c r="E77" s="21">
        <f t="shared" si="23"/>
        <v>77</v>
      </c>
      <c r="F77" s="9" t="s">
        <v>31</v>
      </c>
      <c r="L77" s="9" t="s">
        <v>135</v>
      </c>
      <c r="M77" s="21" t="s">
        <v>252</v>
      </c>
    </row>
    <row r="78" spans="1:13">
      <c r="E78" s="21">
        <f t="shared" si="23"/>
        <v>78</v>
      </c>
      <c r="F78" s="9" t="s">
        <v>182</v>
      </c>
      <c r="G78" s="21">
        <v>360</v>
      </c>
      <c r="H78" s="21">
        <f t="shared" ref="H78" si="24">G78/G70</f>
        <v>24</v>
      </c>
      <c r="L78" s="9" t="s">
        <v>134</v>
      </c>
      <c r="M78" s="21" cm="1">
        <f t="array" ref="M78">_xlfn.SWITCH(B69,1,H78*C69,2,H78*C69+H78/2,3,0)</f>
        <v>144</v>
      </c>
    </row>
    <row r="79" spans="1:13">
      <c r="E79" s="21">
        <f t="shared" si="23"/>
        <v>79</v>
      </c>
      <c r="F79" s="9" t="s">
        <v>30</v>
      </c>
      <c r="M79" s="21">
        <v>4</v>
      </c>
    </row>
    <row r="80" spans="1:13">
      <c r="E80" s="21">
        <f t="shared" si="23"/>
        <v>80</v>
      </c>
      <c r="F80" s="9" t="s">
        <v>115</v>
      </c>
      <c r="M80" s="21">
        <v>-2</v>
      </c>
    </row>
    <row r="81" spans="1:13">
      <c r="A81" s="21" t="s">
        <v>227</v>
      </c>
      <c r="B81" s="21">
        <f t="shared" ref="B81:B144" si="25">QUOTIENT( D81-1,G82)+1</f>
        <v>1</v>
      </c>
      <c r="C81" s="21">
        <f t="shared" ref="C81:C144" si="26">D81-(B81-1)*G82</f>
        <v>7</v>
      </c>
      <c r="D81" s="21">
        <f>COUNT($D$8:$D80)+1</f>
        <v>7</v>
      </c>
    </row>
    <row r="82" spans="1:13">
      <c r="E82" s="21">
        <f t="shared" ref="E82:E145" si="27">ROW(E82)</f>
        <v>82</v>
      </c>
      <c r="F82" s="9" t="s">
        <v>93</v>
      </c>
      <c r="G82" s="21">
        <v>15</v>
      </c>
      <c r="H82" s="21">
        <v>1</v>
      </c>
      <c r="J82" s="9" t="s">
        <v>254</v>
      </c>
      <c r="M82" s="21">
        <f t="shared" ref="M82:M145" si="28">J82+D81</f>
        <v>19807</v>
      </c>
    </row>
    <row r="83" spans="1:13">
      <c r="E83" s="21">
        <f t="shared" si="27"/>
        <v>83</v>
      </c>
      <c r="F83" s="9" t="s">
        <v>142</v>
      </c>
      <c r="M83" s="21">
        <v>195109</v>
      </c>
    </row>
    <row r="84" spans="1:13">
      <c r="E84" s="21">
        <f t="shared" si="27"/>
        <v>84</v>
      </c>
      <c r="F84" s="9" t="s">
        <v>126</v>
      </c>
      <c r="G84" s="21">
        <v>0</v>
      </c>
      <c r="H84" s="21">
        <v>60</v>
      </c>
      <c r="M84" s="21">
        <v>120</v>
      </c>
    </row>
    <row r="85" spans="1:13">
      <c r="E85" s="21">
        <f t="shared" si="27"/>
        <v>85</v>
      </c>
      <c r="F85" s="9" t="s">
        <v>29</v>
      </c>
      <c r="M85" s="21" t="s">
        <v>247</v>
      </c>
    </row>
    <row r="86" spans="1:13">
      <c r="E86" s="21">
        <f t="shared" si="27"/>
        <v>86</v>
      </c>
      <c r="F86" s="9" t="s">
        <v>118</v>
      </c>
      <c r="M86" s="21" t="s">
        <v>249</v>
      </c>
    </row>
    <row r="87" spans="1:13">
      <c r="E87" s="21">
        <f t="shared" si="27"/>
        <v>87</v>
      </c>
      <c r="F87" s="9" t="s">
        <v>98</v>
      </c>
      <c r="K87" s="9" t="s">
        <v>137</v>
      </c>
      <c r="M87" s="21">
        <v>5</v>
      </c>
    </row>
    <row r="88" spans="1:13">
      <c r="E88" s="21">
        <f t="shared" si="27"/>
        <v>88</v>
      </c>
      <c r="F88" s="9" t="s">
        <v>114</v>
      </c>
      <c r="M88" s="21" t="b">
        <v>1</v>
      </c>
    </row>
    <row r="89" spans="1:13">
      <c r="E89" s="21">
        <f t="shared" si="27"/>
        <v>89</v>
      </c>
      <c r="F89" s="9" t="s">
        <v>31</v>
      </c>
      <c r="L89" s="9" t="s">
        <v>135</v>
      </c>
      <c r="M89" s="21" t="s">
        <v>252</v>
      </c>
    </row>
    <row r="90" spans="1:13">
      <c r="E90" s="21">
        <f t="shared" si="27"/>
        <v>90</v>
      </c>
      <c r="F90" s="9" t="s">
        <v>182</v>
      </c>
      <c r="G90" s="21">
        <v>360</v>
      </c>
      <c r="H90" s="21">
        <f t="shared" ref="H90" si="29">G90/G82</f>
        <v>24</v>
      </c>
      <c r="L90" s="9" t="s">
        <v>134</v>
      </c>
      <c r="M90" s="21" cm="1">
        <f t="array" ref="M90">_xlfn.SWITCH(B81,1,H90*C81,2,H90*C81+H90/2,3,0)</f>
        <v>168</v>
      </c>
    </row>
    <row r="91" spans="1:13">
      <c r="E91" s="21">
        <f t="shared" si="27"/>
        <v>91</v>
      </c>
      <c r="F91" s="9" t="s">
        <v>30</v>
      </c>
      <c r="M91" s="21">
        <v>4</v>
      </c>
    </row>
    <row r="92" spans="1:13">
      <c r="E92" s="21">
        <f t="shared" si="27"/>
        <v>92</v>
      </c>
      <c r="F92" s="9" t="s">
        <v>115</v>
      </c>
      <c r="M92" s="21">
        <v>-2</v>
      </c>
    </row>
    <row r="93" spans="1:13">
      <c r="A93" s="21" t="s">
        <v>227</v>
      </c>
      <c r="B93" s="21">
        <f t="shared" ref="B93:B156" si="30">QUOTIENT( D93-1,G94)+1</f>
        <v>1</v>
      </c>
      <c r="C93" s="21">
        <f t="shared" ref="C93:C156" si="31">D93-(B93-1)*G94</f>
        <v>8</v>
      </c>
      <c r="D93" s="21">
        <f>COUNT($D$8:$D92)+1</f>
        <v>8</v>
      </c>
    </row>
    <row r="94" spans="1:13">
      <c r="E94" s="21">
        <f t="shared" ref="E94:E157" si="32">ROW(E94)</f>
        <v>94</v>
      </c>
      <c r="F94" s="9" t="s">
        <v>93</v>
      </c>
      <c r="G94" s="21">
        <v>15</v>
      </c>
      <c r="H94" s="21">
        <v>1</v>
      </c>
      <c r="J94" s="9" t="s">
        <v>254</v>
      </c>
      <c r="M94" s="21">
        <f t="shared" ref="M94:M157" si="33">J94+D93</f>
        <v>19808</v>
      </c>
    </row>
    <row r="95" spans="1:13">
      <c r="E95" s="21">
        <f t="shared" si="32"/>
        <v>95</v>
      </c>
      <c r="F95" s="9" t="s">
        <v>142</v>
      </c>
      <c r="M95" s="21">
        <v>195109</v>
      </c>
    </row>
    <row r="96" spans="1:13">
      <c r="E96" s="21">
        <f t="shared" si="32"/>
        <v>96</v>
      </c>
      <c r="F96" s="9" t="s">
        <v>126</v>
      </c>
      <c r="G96" s="21">
        <v>0</v>
      </c>
      <c r="H96" s="21">
        <v>60</v>
      </c>
      <c r="M96" s="21">
        <v>120</v>
      </c>
    </row>
    <row r="97" spans="1:13">
      <c r="E97" s="21">
        <f t="shared" si="32"/>
        <v>97</v>
      </c>
      <c r="F97" s="9" t="s">
        <v>29</v>
      </c>
      <c r="M97" s="21" t="s">
        <v>247</v>
      </c>
    </row>
    <row r="98" spans="1:13">
      <c r="E98" s="21">
        <f t="shared" si="32"/>
        <v>98</v>
      </c>
      <c r="F98" s="9" t="s">
        <v>118</v>
      </c>
      <c r="M98" s="21" t="s">
        <v>249</v>
      </c>
    </row>
    <row r="99" spans="1:13">
      <c r="E99" s="21">
        <f t="shared" si="32"/>
        <v>99</v>
      </c>
      <c r="F99" s="9" t="s">
        <v>98</v>
      </c>
      <c r="K99" s="9" t="s">
        <v>137</v>
      </c>
      <c r="M99" s="21">
        <v>5</v>
      </c>
    </row>
    <row r="100" spans="1:13">
      <c r="E100" s="21">
        <f t="shared" si="32"/>
        <v>100</v>
      </c>
      <c r="F100" s="9" t="s">
        <v>114</v>
      </c>
      <c r="M100" s="21" t="b">
        <v>1</v>
      </c>
    </row>
    <row r="101" spans="1:13">
      <c r="E101" s="21">
        <f t="shared" si="32"/>
        <v>101</v>
      </c>
      <c r="F101" s="9" t="s">
        <v>31</v>
      </c>
      <c r="L101" s="9" t="s">
        <v>135</v>
      </c>
      <c r="M101" s="21" t="s">
        <v>252</v>
      </c>
    </row>
    <row r="102" spans="1:13">
      <c r="E102" s="21">
        <f t="shared" si="32"/>
        <v>102</v>
      </c>
      <c r="F102" s="9" t="s">
        <v>182</v>
      </c>
      <c r="G102" s="21">
        <v>360</v>
      </c>
      <c r="H102" s="21">
        <f t="shared" ref="H102" si="34">G102/G94</f>
        <v>24</v>
      </c>
      <c r="L102" s="9" t="s">
        <v>134</v>
      </c>
      <c r="M102" s="21" cm="1">
        <f t="array" ref="M102">_xlfn.SWITCH(B93,1,H102*C93,2,H102*C93+H102/2,3,0)</f>
        <v>192</v>
      </c>
    </row>
    <row r="103" spans="1:13">
      <c r="E103" s="21">
        <f t="shared" si="32"/>
        <v>103</v>
      </c>
      <c r="F103" s="9" t="s">
        <v>30</v>
      </c>
      <c r="M103" s="21">
        <v>4</v>
      </c>
    </row>
    <row r="104" spans="1:13">
      <c r="E104" s="21">
        <f t="shared" si="32"/>
        <v>104</v>
      </c>
      <c r="F104" s="9" t="s">
        <v>115</v>
      </c>
      <c r="M104" s="21">
        <v>-2</v>
      </c>
    </row>
    <row r="105" spans="1:13">
      <c r="A105" s="21" t="s">
        <v>227</v>
      </c>
      <c r="B105" s="21">
        <f t="shared" ref="B105:B168" si="35">QUOTIENT( D105-1,G106)+1</f>
        <v>1</v>
      </c>
      <c r="C105" s="21">
        <f t="shared" ref="C105:C168" si="36">D105-(B105-1)*G106</f>
        <v>9</v>
      </c>
      <c r="D105" s="21">
        <f>COUNT($D$8:$D104)+1</f>
        <v>9</v>
      </c>
    </row>
    <row r="106" spans="1:13">
      <c r="E106" s="21">
        <f t="shared" ref="E106:E169" si="37">ROW(E106)</f>
        <v>106</v>
      </c>
      <c r="F106" s="9" t="s">
        <v>93</v>
      </c>
      <c r="G106" s="21">
        <v>15</v>
      </c>
      <c r="H106" s="21">
        <v>1</v>
      </c>
      <c r="J106" s="9" t="s">
        <v>254</v>
      </c>
      <c r="M106" s="21">
        <f t="shared" ref="M106:M169" si="38">J106+D105</f>
        <v>19809</v>
      </c>
    </row>
    <row r="107" spans="1:13">
      <c r="E107" s="21">
        <f t="shared" si="37"/>
        <v>107</v>
      </c>
      <c r="F107" s="9" t="s">
        <v>142</v>
      </c>
      <c r="M107" s="21">
        <v>195109</v>
      </c>
    </row>
    <row r="108" spans="1:13">
      <c r="E108" s="21">
        <f t="shared" si="37"/>
        <v>108</v>
      </c>
      <c r="F108" s="9" t="s">
        <v>126</v>
      </c>
      <c r="G108" s="21">
        <v>0</v>
      </c>
      <c r="H108" s="21">
        <v>60</v>
      </c>
      <c r="M108" s="21">
        <v>120</v>
      </c>
    </row>
    <row r="109" spans="1:13">
      <c r="E109" s="21">
        <f t="shared" si="37"/>
        <v>109</v>
      </c>
      <c r="F109" s="9" t="s">
        <v>29</v>
      </c>
      <c r="M109" s="21" t="s">
        <v>247</v>
      </c>
    </row>
    <row r="110" spans="1:13">
      <c r="E110" s="21">
        <f t="shared" si="37"/>
        <v>110</v>
      </c>
      <c r="F110" s="9" t="s">
        <v>118</v>
      </c>
      <c r="M110" s="21" t="s">
        <v>249</v>
      </c>
    </row>
    <row r="111" spans="1:13">
      <c r="E111" s="21">
        <f t="shared" si="37"/>
        <v>111</v>
      </c>
      <c r="F111" s="9" t="s">
        <v>98</v>
      </c>
      <c r="K111" s="9" t="s">
        <v>137</v>
      </c>
      <c r="M111" s="21">
        <v>5</v>
      </c>
    </row>
    <row r="112" spans="1:13">
      <c r="E112" s="21">
        <f t="shared" si="37"/>
        <v>112</v>
      </c>
      <c r="F112" s="9" t="s">
        <v>114</v>
      </c>
      <c r="M112" s="21" t="b">
        <v>1</v>
      </c>
    </row>
    <row r="113" spans="1:13">
      <c r="E113" s="21">
        <f t="shared" si="37"/>
        <v>113</v>
      </c>
      <c r="F113" s="9" t="s">
        <v>31</v>
      </c>
      <c r="L113" s="9" t="s">
        <v>135</v>
      </c>
      <c r="M113" s="21" t="s">
        <v>252</v>
      </c>
    </row>
    <row r="114" spans="1:13">
      <c r="E114" s="21">
        <f t="shared" si="37"/>
        <v>114</v>
      </c>
      <c r="F114" s="9" t="s">
        <v>182</v>
      </c>
      <c r="G114" s="21">
        <v>360</v>
      </c>
      <c r="H114" s="21">
        <f t="shared" ref="H114" si="39">G114/G106</f>
        <v>24</v>
      </c>
      <c r="L114" s="9" t="s">
        <v>134</v>
      </c>
      <c r="M114" s="21" cm="1">
        <f t="array" ref="M114">_xlfn.SWITCH(B105,1,H114*C105,2,H114*C105+H114/2,3,0)</f>
        <v>216</v>
      </c>
    </row>
    <row r="115" spans="1:13">
      <c r="E115" s="21">
        <f t="shared" si="37"/>
        <v>115</v>
      </c>
      <c r="F115" s="9" t="s">
        <v>30</v>
      </c>
      <c r="M115" s="21">
        <v>4</v>
      </c>
    </row>
    <row r="116" spans="1:13">
      <c r="E116" s="21">
        <f t="shared" si="37"/>
        <v>116</v>
      </c>
      <c r="F116" s="9" t="s">
        <v>115</v>
      </c>
      <c r="M116" s="21">
        <v>-2</v>
      </c>
    </row>
    <row r="117" spans="1:13">
      <c r="A117" s="21" t="s">
        <v>227</v>
      </c>
      <c r="B117" s="21">
        <f t="shared" ref="B117:B180" si="40">QUOTIENT( D117-1,G118)+1</f>
        <v>1</v>
      </c>
      <c r="C117" s="21">
        <f t="shared" ref="C117:C180" si="41">D117-(B117-1)*G118</f>
        <v>10</v>
      </c>
      <c r="D117" s="21">
        <f>COUNT($D$8:$D116)+1</f>
        <v>10</v>
      </c>
    </row>
    <row r="118" spans="1:13">
      <c r="E118" s="21">
        <f t="shared" ref="E118:E181" si="42">ROW(E118)</f>
        <v>118</v>
      </c>
      <c r="F118" s="9" t="s">
        <v>93</v>
      </c>
      <c r="G118" s="21">
        <v>15</v>
      </c>
      <c r="H118" s="21">
        <v>1</v>
      </c>
      <c r="J118" s="9" t="s">
        <v>254</v>
      </c>
      <c r="M118" s="21">
        <f t="shared" ref="M118:M181" si="43">J118+D117</f>
        <v>19810</v>
      </c>
    </row>
    <row r="119" spans="1:13">
      <c r="E119" s="21">
        <f t="shared" si="42"/>
        <v>119</v>
      </c>
      <c r="F119" s="9" t="s">
        <v>142</v>
      </c>
      <c r="M119" s="21">
        <v>195109</v>
      </c>
    </row>
    <row r="120" spans="1:13">
      <c r="E120" s="21">
        <f t="shared" si="42"/>
        <v>120</v>
      </c>
      <c r="F120" s="9" t="s">
        <v>126</v>
      </c>
      <c r="G120" s="21">
        <v>0</v>
      </c>
      <c r="H120" s="21">
        <v>60</v>
      </c>
      <c r="M120" s="21">
        <v>120</v>
      </c>
    </row>
    <row r="121" spans="1:13">
      <c r="E121" s="21">
        <f t="shared" si="42"/>
        <v>121</v>
      </c>
      <c r="F121" s="9" t="s">
        <v>29</v>
      </c>
      <c r="M121" s="21" t="s">
        <v>247</v>
      </c>
    </row>
    <row r="122" spans="1:13">
      <c r="E122" s="21">
        <f t="shared" si="42"/>
        <v>122</v>
      </c>
      <c r="F122" s="9" t="s">
        <v>118</v>
      </c>
      <c r="M122" s="21" t="s">
        <v>249</v>
      </c>
    </row>
    <row r="123" spans="1:13">
      <c r="E123" s="21">
        <f t="shared" si="42"/>
        <v>123</v>
      </c>
      <c r="F123" s="9" t="s">
        <v>98</v>
      </c>
      <c r="K123" s="9" t="s">
        <v>137</v>
      </c>
      <c r="M123" s="21">
        <v>5</v>
      </c>
    </row>
    <row r="124" spans="1:13">
      <c r="E124" s="21">
        <f t="shared" si="42"/>
        <v>124</v>
      </c>
      <c r="F124" s="9" t="s">
        <v>114</v>
      </c>
      <c r="M124" s="21" t="b">
        <v>1</v>
      </c>
    </row>
    <row r="125" spans="1:13">
      <c r="E125" s="21">
        <f t="shared" si="42"/>
        <v>125</v>
      </c>
      <c r="F125" s="9" t="s">
        <v>31</v>
      </c>
      <c r="L125" s="9" t="s">
        <v>135</v>
      </c>
      <c r="M125" s="21" t="s">
        <v>252</v>
      </c>
    </row>
    <row r="126" spans="1:13">
      <c r="E126" s="21">
        <f t="shared" si="42"/>
        <v>126</v>
      </c>
      <c r="F126" s="9" t="s">
        <v>182</v>
      </c>
      <c r="G126" s="21">
        <v>360</v>
      </c>
      <c r="H126" s="21">
        <f t="shared" ref="H126" si="44">G126/G118</f>
        <v>24</v>
      </c>
      <c r="L126" s="9" t="s">
        <v>134</v>
      </c>
      <c r="M126" s="21" cm="1">
        <f t="array" ref="M126">_xlfn.SWITCH(B117,1,H126*C117,2,H126*C117+H126/2,3,0)</f>
        <v>240</v>
      </c>
    </row>
    <row r="127" spans="1:13">
      <c r="E127" s="21">
        <f t="shared" si="42"/>
        <v>127</v>
      </c>
      <c r="F127" s="9" t="s">
        <v>30</v>
      </c>
      <c r="M127" s="21">
        <v>4</v>
      </c>
    </row>
    <row r="128" spans="1:13">
      <c r="E128" s="21">
        <f t="shared" si="42"/>
        <v>128</v>
      </c>
      <c r="F128" s="9" t="s">
        <v>115</v>
      </c>
      <c r="M128" s="21">
        <v>-2</v>
      </c>
    </row>
    <row r="129" spans="1:13">
      <c r="A129" s="21" t="s">
        <v>227</v>
      </c>
      <c r="B129" s="21">
        <f t="shared" ref="B129:B188" si="45">QUOTIENT( D129-1,G130)+1</f>
        <v>1</v>
      </c>
      <c r="C129" s="21">
        <f t="shared" ref="C129:C188" si="46">D129-(B129-1)*G130</f>
        <v>11</v>
      </c>
      <c r="D129" s="21">
        <f>COUNT($D$8:$D128)+1</f>
        <v>11</v>
      </c>
    </row>
    <row r="130" spans="1:13">
      <c r="E130" s="21">
        <f t="shared" ref="E130:E188" si="47">ROW(E130)</f>
        <v>130</v>
      </c>
      <c r="F130" s="9" t="s">
        <v>93</v>
      </c>
      <c r="G130" s="21">
        <v>15</v>
      </c>
      <c r="H130" s="21">
        <v>1</v>
      </c>
      <c r="J130" s="9" t="s">
        <v>254</v>
      </c>
      <c r="M130" s="21">
        <f t="shared" ref="M130:M188" si="48">J130+D129</f>
        <v>19811</v>
      </c>
    </row>
    <row r="131" spans="1:13">
      <c r="E131" s="21">
        <f t="shared" si="47"/>
        <v>131</v>
      </c>
      <c r="F131" s="9" t="s">
        <v>142</v>
      </c>
      <c r="M131" s="21">
        <v>195109</v>
      </c>
    </row>
    <row r="132" spans="1:13">
      <c r="E132" s="21">
        <f t="shared" si="47"/>
        <v>132</v>
      </c>
      <c r="F132" s="9" t="s">
        <v>126</v>
      </c>
      <c r="G132" s="21">
        <v>0</v>
      </c>
      <c r="H132" s="21">
        <v>60</v>
      </c>
      <c r="M132" s="21">
        <v>120</v>
      </c>
    </row>
    <row r="133" spans="1:13">
      <c r="E133" s="21">
        <f t="shared" si="47"/>
        <v>133</v>
      </c>
      <c r="F133" s="9" t="s">
        <v>29</v>
      </c>
      <c r="M133" s="21" t="s">
        <v>247</v>
      </c>
    </row>
    <row r="134" spans="1:13">
      <c r="E134" s="21">
        <f t="shared" si="47"/>
        <v>134</v>
      </c>
      <c r="F134" s="9" t="s">
        <v>118</v>
      </c>
      <c r="M134" s="21" t="s">
        <v>249</v>
      </c>
    </row>
    <row r="135" spans="1:13">
      <c r="E135" s="21">
        <f t="shared" si="47"/>
        <v>135</v>
      </c>
      <c r="F135" s="9" t="s">
        <v>98</v>
      </c>
      <c r="K135" s="9" t="s">
        <v>137</v>
      </c>
      <c r="M135" s="21">
        <v>5</v>
      </c>
    </row>
    <row r="136" spans="1:13">
      <c r="E136" s="21">
        <f t="shared" si="47"/>
        <v>136</v>
      </c>
      <c r="F136" s="9" t="s">
        <v>114</v>
      </c>
      <c r="M136" s="21" t="b">
        <v>1</v>
      </c>
    </row>
    <row r="137" spans="1:13">
      <c r="E137" s="21">
        <f t="shared" si="47"/>
        <v>137</v>
      </c>
      <c r="F137" s="9" t="s">
        <v>31</v>
      </c>
      <c r="L137" s="9" t="s">
        <v>135</v>
      </c>
      <c r="M137" s="21" t="s">
        <v>252</v>
      </c>
    </row>
    <row r="138" spans="1:13">
      <c r="E138" s="21">
        <f t="shared" si="47"/>
        <v>138</v>
      </c>
      <c r="F138" s="9" t="s">
        <v>182</v>
      </c>
      <c r="G138" s="21">
        <v>360</v>
      </c>
      <c r="H138" s="21">
        <f t="shared" ref="H138" si="49">G138/G130</f>
        <v>24</v>
      </c>
      <c r="L138" s="9" t="s">
        <v>134</v>
      </c>
      <c r="M138" s="21" cm="1">
        <f t="array" ref="M138">_xlfn.SWITCH(B129,1,H138*C129,2,H138*C129+H138/2,3,0)</f>
        <v>264</v>
      </c>
    </row>
    <row r="139" spans="1:13">
      <c r="E139" s="21">
        <f t="shared" si="47"/>
        <v>139</v>
      </c>
      <c r="F139" s="9" t="s">
        <v>30</v>
      </c>
      <c r="M139" s="21">
        <v>4</v>
      </c>
    </row>
    <row r="140" spans="1:13">
      <c r="E140" s="21">
        <f t="shared" si="47"/>
        <v>140</v>
      </c>
      <c r="F140" s="9" t="s">
        <v>115</v>
      </c>
      <c r="M140" s="21">
        <v>-2</v>
      </c>
    </row>
    <row r="141" spans="1:13">
      <c r="A141" s="21" t="s">
        <v>227</v>
      </c>
      <c r="B141" s="21">
        <f t="shared" ref="B141:B188" si="50">QUOTIENT( D141-1,G142)+1</f>
        <v>1</v>
      </c>
      <c r="C141" s="21">
        <f t="shared" ref="C141:C188" si="51">D141-(B141-1)*G142</f>
        <v>12</v>
      </c>
      <c r="D141" s="21">
        <f>COUNT($D$8:$D140)+1</f>
        <v>12</v>
      </c>
    </row>
    <row r="142" spans="1:13">
      <c r="E142" s="21">
        <f t="shared" ref="E142:E188" si="52">ROW(E142)</f>
        <v>142</v>
      </c>
      <c r="F142" s="9" t="s">
        <v>93</v>
      </c>
      <c r="G142" s="21">
        <v>15</v>
      </c>
      <c r="H142" s="21">
        <v>1</v>
      </c>
      <c r="J142" s="9" t="s">
        <v>254</v>
      </c>
      <c r="M142" s="21">
        <f t="shared" ref="M142:M188" si="53">J142+D141</f>
        <v>19812</v>
      </c>
    </row>
    <row r="143" spans="1:13">
      <c r="E143" s="21">
        <f t="shared" si="52"/>
        <v>143</v>
      </c>
      <c r="F143" s="9" t="s">
        <v>142</v>
      </c>
      <c r="M143" s="21">
        <v>195109</v>
      </c>
    </row>
    <row r="144" spans="1:13">
      <c r="E144" s="21">
        <f t="shared" si="52"/>
        <v>144</v>
      </c>
      <c r="F144" s="9" t="s">
        <v>126</v>
      </c>
      <c r="G144" s="21">
        <v>0</v>
      </c>
      <c r="H144" s="21">
        <v>60</v>
      </c>
      <c r="M144" s="21">
        <v>120</v>
      </c>
    </row>
    <row r="145" spans="1:13">
      <c r="E145" s="21">
        <f t="shared" si="52"/>
        <v>145</v>
      </c>
      <c r="F145" s="9" t="s">
        <v>29</v>
      </c>
      <c r="M145" s="21" t="s">
        <v>247</v>
      </c>
    </row>
    <row r="146" spans="1:13">
      <c r="E146" s="21">
        <f t="shared" si="52"/>
        <v>146</v>
      </c>
      <c r="F146" s="9" t="s">
        <v>118</v>
      </c>
      <c r="M146" s="21" t="s">
        <v>249</v>
      </c>
    </row>
    <row r="147" spans="1:13">
      <c r="E147" s="21">
        <f t="shared" si="52"/>
        <v>147</v>
      </c>
      <c r="F147" s="9" t="s">
        <v>98</v>
      </c>
      <c r="K147" s="9" t="s">
        <v>137</v>
      </c>
      <c r="M147" s="21">
        <v>5</v>
      </c>
    </row>
    <row r="148" spans="1:13">
      <c r="E148" s="21">
        <f t="shared" si="52"/>
        <v>148</v>
      </c>
      <c r="F148" s="9" t="s">
        <v>114</v>
      </c>
      <c r="M148" s="21" t="b">
        <v>1</v>
      </c>
    </row>
    <row r="149" spans="1:13">
      <c r="E149" s="21">
        <f t="shared" si="52"/>
        <v>149</v>
      </c>
      <c r="F149" s="9" t="s">
        <v>31</v>
      </c>
      <c r="L149" s="9" t="s">
        <v>135</v>
      </c>
      <c r="M149" s="21" t="s">
        <v>252</v>
      </c>
    </row>
    <row r="150" spans="1:13">
      <c r="E150" s="21">
        <f t="shared" si="52"/>
        <v>150</v>
      </c>
      <c r="F150" s="9" t="s">
        <v>182</v>
      </c>
      <c r="G150" s="21">
        <v>360</v>
      </c>
      <c r="H150" s="21">
        <f t="shared" ref="H150" si="54">G150/G142</f>
        <v>24</v>
      </c>
      <c r="L150" s="9" t="s">
        <v>134</v>
      </c>
      <c r="M150" s="21" cm="1">
        <f t="array" ref="M150">_xlfn.SWITCH(B141,1,H150*C141,2,H150*C141+H150/2,3,0)</f>
        <v>288</v>
      </c>
    </row>
    <row r="151" spans="1:13">
      <c r="E151" s="21">
        <f t="shared" si="52"/>
        <v>151</v>
      </c>
      <c r="F151" s="9" t="s">
        <v>30</v>
      </c>
      <c r="M151" s="21">
        <v>4</v>
      </c>
    </row>
    <row r="152" spans="1:13">
      <c r="E152" s="21">
        <f t="shared" si="52"/>
        <v>152</v>
      </c>
      <c r="F152" s="9" t="s">
        <v>115</v>
      </c>
      <c r="M152" s="21">
        <v>-2</v>
      </c>
    </row>
    <row r="153" spans="1:13">
      <c r="A153" s="21" t="s">
        <v>227</v>
      </c>
      <c r="B153" s="21">
        <f t="shared" ref="B153:B188" si="55">QUOTIENT( D153-1,G154)+1</f>
        <v>1</v>
      </c>
      <c r="C153" s="21">
        <f t="shared" ref="C153:C188" si="56">D153-(B153-1)*G154</f>
        <v>13</v>
      </c>
      <c r="D153" s="21">
        <f>COUNT($D$8:$D152)+1</f>
        <v>13</v>
      </c>
    </row>
    <row r="154" spans="1:13">
      <c r="E154" s="21">
        <f t="shared" ref="E154:E188" si="57">ROW(E154)</f>
        <v>154</v>
      </c>
      <c r="F154" s="9" t="s">
        <v>93</v>
      </c>
      <c r="G154" s="21">
        <v>15</v>
      </c>
      <c r="H154" s="21">
        <v>1</v>
      </c>
      <c r="J154" s="9" t="s">
        <v>254</v>
      </c>
      <c r="M154" s="21">
        <f t="shared" ref="M154:M188" si="58">J154+D153</f>
        <v>19813</v>
      </c>
    </row>
    <row r="155" spans="1:13">
      <c r="E155" s="21">
        <f t="shared" si="57"/>
        <v>155</v>
      </c>
      <c r="F155" s="9" t="s">
        <v>142</v>
      </c>
      <c r="M155" s="21">
        <v>195109</v>
      </c>
    </row>
    <row r="156" spans="1:13">
      <c r="E156" s="21">
        <f t="shared" si="57"/>
        <v>156</v>
      </c>
      <c r="F156" s="9" t="s">
        <v>126</v>
      </c>
      <c r="G156" s="21">
        <v>0</v>
      </c>
      <c r="H156" s="21">
        <v>60</v>
      </c>
      <c r="M156" s="21">
        <v>120</v>
      </c>
    </row>
    <row r="157" spans="1:13">
      <c r="E157" s="21">
        <f t="shared" si="57"/>
        <v>157</v>
      </c>
      <c r="F157" s="9" t="s">
        <v>29</v>
      </c>
      <c r="M157" s="21" t="s">
        <v>247</v>
      </c>
    </row>
    <row r="158" spans="1:13">
      <c r="E158" s="21">
        <f t="shared" si="57"/>
        <v>158</v>
      </c>
      <c r="F158" s="9" t="s">
        <v>118</v>
      </c>
      <c r="M158" s="21" t="s">
        <v>249</v>
      </c>
    </row>
    <row r="159" spans="1:13">
      <c r="E159" s="21">
        <f t="shared" si="57"/>
        <v>159</v>
      </c>
      <c r="F159" s="9" t="s">
        <v>98</v>
      </c>
      <c r="K159" s="9" t="s">
        <v>137</v>
      </c>
      <c r="M159" s="21">
        <v>5</v>
      </c>
    </row>
    <row r="160" spans="1:13">
      <c r="E160" s="21">
        <f t="shared" si="57"/>
        <v>160</v>
      </c>
      <c r="F160" s="9" t="s">
        <v>114</v>
      </c>
      <c r="M160" s="21" t="b">
        <v>1</v>
      </c>
    </row>
    <row r="161" spans="1:13">
      <c r="E161" s="21">
        <f t="shared" si="57"/>
        <v>161</v>
      </c>
      <c r="F161" s="9" t="s">
        <v>31</v>
      </c>
      <c r="L161" s="9" t="s">
        <v>135</v>
      </c>
      <c r="M161" s="21" t="s">
        <v>252</v>
      </c>
    </row>
    <row r="162" spans="1:13">
      <c r="E162" s="21">
        <f t="shared" si="57"/>
        <v>162</v>
      </c>
      <c r="F162" s="9" t="s">
        <v>182</v>
      </c>
      <c r="G162" s="21">
        <v>360</v>
      </c>
      <c r="H162" s="21">
        <f t="shared" ref="H162" si="59">G162/G154</f>
        <v>24</v>
      </c>
      <c r="L162" s="9" t="s">
        <v>134</v>
      </c>
      <c r="M162" s="21" cm="1">
        <f t="array" ref="M162">_xlfn.SWITCH(B153,1,H162*C153,2,H162*C153+H162/2,3,0)</f>
        <v>312</v>
      </c>
    </row>
    <row r="163" spans="1:13">
      <c r="E163" s="21">
        <f t="shared" si="57"/>
        <v>163</v>
      </c>
      <c r="F163" s="9" t="s">
        <v>30</v>
      </c>
      <c r="M163" s="21">
        <v>4</v>
      </c>
    </row>
    <row r="164" spans="1:13">
      <c r="E164" s="21">
        <f t="shared" si="57"/>
        <v>164</v>
      </c>
      <c r="F164" s="9" t="s">
        <v>115</v>
      </c>
      <c r="M164" s="21">
        <v>-2</v>
      </c>
    </row>
    <row r="165" spans="1:13">
      <c r="A165" s="21" t="s">
        <v>227</v>
      </c>
      <c r="B165" s="21">
        <f t="shared" ref="B165:B188" si="60">QUOTIENT( D165-1,G166)+1</f>
        <v>1</v>
      </c>
      <c r="C165" s="21">
        <f t="shared" ref="C165:C188" si="61">D165-(B165-1)*G166</f>
        <v>14</v>
      </c>
      <c r="D165" s="21">
        <f>COUNT($D$8:$D164)+1</f>
        <v>14</v>
      </c>
    </row>
    <row r="166" spans="1:13">
      <c r="E166" s="21">
        <f t="shared" ref="E166:E188" si="62">ROW(E166)</f>
        <v>166</v>
      </c>
      <c r="F166" s="9" t="s">
        <v>93</v>
      </c>
      <c r="G166" s="21">
        <v>15</v>
      </c>
      <c r="H166" s="21">
        <v>1</v>
      </c>
      <c r="J166" s="9" t="s">
        <v>254</v>
      </c>
      <c r="M166" s="21">
        <f t="shared" ref="M166:M188" si="63">J166+D165</f>
        <v>19814</v>
      </c>
    </row>
    <row r="167" spans="1:13">
      <c r="E167" s="21">
        <f t="shared" si="62"/>
        <v>167</v>
      </c>
      <c r="F167" s="9" t="s">
        <v>142</v>
      </c>
      <c r="M167" s="21">
        <v>195109</v>
      </c>
    </row>
    <row r="168" spans="1:13">
      <c r="E168" s="21">
        <f t="shared" si="62"/>
        <v>168</v>
      </c>
      <c r="F168" s="9" t="s">
        <v>126</v>
      </c>
      <c r="G168" s="21">
        <v>0</v>
      </c>
      <c r="H168" s="21">
        <v>60</v>
      </c>
      <c r="M168" s="21">
        <v>120</v>
      </c>
    </row>
    <row r="169" spans="1:13">
      <c r="E169" s="21">
        <f t="shared" si="62"/>
        <v>169</v>
      </c>
      <c r="F169" s="9" t="s">
        <v>29</v>
      </c>
      <c r="M169" s="21" t="s">
        <v>247</v>
      </c>
    </row>
    <row r="170" spans="1:13">
      <c r="E170" s="21">
        <f t="shared" si="62"/>
        <v>170</v>
      </c>
      <c r="F170" s="9" t="s">
        <v>118</v>
      </c>
      <c r="M170" s="21" t="s">
        <v>249</v>
      </c>
    </row>
    <row r="171" spans="1:13">
      <c r="E171" s="21">
        <f t="shared" si="62"/>
        <v>171</v>
      </c>
      <c r="F171" s="9" t="s">
        <v>98</v>
      </c>
      <c r="K171" s="9" t="s">
        <v>137</v>
      </c>
      <c r="M171" s="21">
        <v>5</v>
      </c>
    </row>
    <row r="172" spans="1:13">
      <c r="E172" s="21">
        <f t="shared" si="62"/>
        <v>172</v>
      </c>
      <c r="F172" s="9" t="s">
        <v>114</v>
      </c>
      <c r="M172" s="21" t="b">
        <v>1</v>
      </c>
    </row>
    <row r="173" spans="1:13">
      <c r="E173" s="21">
        <f t="shared" si="62"/>
        <v>173</v>
      </c>
      <c r="F173" s="9" t="s">
        <v>31</v>
      </c>
      <c r="L173" s="9" t="s">
        <v>135</v>
      </c>
      <c r="M173" s="21" t="s">
        <v>252</v>
      </c>
    </row>
    <row r="174" spans="1:13">
      <c r="E174" s="21">
        <f t="shared" si="62"/>
        <v>174</v>
      </c>
      <c r="F174" s="9" t="s">
        <v>182</v>
      </c>
      <c r="G174" s="21">
        <v>360</v>
      </c>
      <c r="H174" s="21">
        <f t="shared" ref="H174" si="64">G174/G166</f>
        <v>24</v>
      </c>
      <c r="L174" s="9" t="s">
        <v>134</v>
      </c>
      <c r="M174" s="21" cm="1">
        <f t="array" ref="M174">_xlfn.SWITCH(B165,1,H174*C165,2,H174*C165+H174/2,3,0)</f>
        <v>336</v>
      </c>
    </row>
    <row r="175" spans="1:13">
      <c r="E175" s="21">
        <f t="shared" si="62"/>
        <v>175</v>
      </c>
      <c r="F175" s="9" t="s">
        <v>30</v>
      </c>
      <c r="M175" s="21">
        <v>4</v>
      </c>
    </row>
    <row r="176" spans="1:13">
      <c r="E176" s="21">
        <f t="shared" si="62"/>
        <v>176</v>
      </c>
      <c r="F176" s="9" t="s">
        <v>115</v>
      </c>
      <c r="M176" s="21">
        <v>-2</v>
      </c>
    </row>
    <row r="177" spans="1:13">
      <c r="A177" s="21" t="s">
        <v>227</v>
      </c>
      <c r="B177" s="21">
        <f t="shared" ref="B177:B188" si="65">QUOTIENT( D177-1,G178)+1</f>
        <v>1</v>
      </c>
      <c r="C177" s="21">
        <f t="shared" ref="C177:C188" si="66">D177-(B177-1)*G178</f>
        <v>15</v>
      </c>
      <c r="D177" s="21">
        <f>COUNT($D$8:$D176)+1</f>
        <v>15</v>
      </c>
    </row>
    <row r="178" spans="1:13">
      <c r="E178" s="21">
        <f t="shared" ref="E178:E188" si="67">ROW(E178)</f>
        <v>178</v>
      </c>
      <c r="F178" s="9" t="s">
        <v>93</v>
      </c>
      <c r="G178" s="21">
        <v>15</v>
      </c>
      <c r="H178" s="21">
        <v>1</v>
      </c>
      <c r="J178" s="9" t="s">
        <v>254</v>
      </c>
      <c r="M178" s="21">
        <f t="shared" ref="M178:M188" si="68">J178+D177</f>
        <v>19815</v>
      </c>
    </row>
    <row r="179" spans="1:13">
      <c r="E179" s="21">
        <f t="shared" si="67"/>
        <v>179</v>
      </c>
      <c r="F179" s="9" t="s">
        <v>142</v>
      </c>
      <c r="M179" s="21">
        <v>195109</v>
      </c>
    </row>
    <row r="180" spans="1:13">
      <c r="E180" s="21">
        <f t="shared" si="67"/>
        <v>180</v>
      </c>
      <c r="F180" s="9" t="s">
        <v>126</v>
      </c>
      <c r="G180" s="21">
        <v>0</v>
      </c>
      <c r="H180" s="21">
        <v>60</v>
      </c>
      <c r="M180" s="21">
        <v>120</v>
      </c>
    </row>
    <row r="181" spans="1:13">
      <c r="E181" s="21">
        <f t="shared" si="67"/>
        <v>181</v>
      </c>
      <c r="F181" s="9" t="s">
        <v>29</v>
      </c>
      <c r="M181" s="21" t="s">
        <v>247</v>
      </c>
    </row>
    <row r="182" spans="1:13">
      <c r="E182" s="21">
        <f t="shared" si="67"/>
        <v>182</v>
      </c>
      <c r="F182" s="9" t="s">
        <v>118</v>
      </c>
      <c r="M182" s="21" t="s">
        <v>249</v>
      </c>
    </row>
    <row r="183" spans="1:13">
      <c r="E183" s="21">
        <f t="shared" si="67"/>
        <v>183</v>
      </c>
      <c r="F183" s="9" t="s">
        <v>98</v>
      </c>
      <c r="K183" s="9" t="s">
        <v>137</v>
      </c>
      <c r="M183" s="21">
        <v>5</v>
      </c>
    </row>
    <row r="184" spans="1:13">
      <c r="E184" s="21">
        <f t="shared" si="67"/>
        <v>184</v>
      </c>
      <c r="F184" s="9" t="s">
        <v>114</v>
      </c>
      <c r="M184" s="21" t="b">
        <v>1</v>
      </c>
    </row>
    <row r="185" spans="1:13">
      <c r="E185" s="21">
        <f t="shared" si="67"/>
        <v>185</v>
      </c>
      <c r="F185" s="9" t="s">
        <v>31</v>
      </c>
      <c r="L185" s="9" t="s">
        <v>135</v>
      </c>
      <c r="M185" s="21" t="s">
        <v>252</v>
      </c>
    </row>
    <row r="186" spans="1:13">
      <c r="E186" s="21">
        <f t="shared" si="67"/>
        <v>186</v>
      </c>
      <c r="F186" s="9" t="s">
        <v>182</v>
      </c>
      <c r="G186" s="21">
        <v>360</v>
      </c>
      <c r="H186" s="21">
        <f t="shared" ref="H186" si="69">G186/G178</f>
        <v>24</v>
      </c>
      <c r="L186" s="9" t="s">
        <v>134</v>
      </c>
      <c r="M186" s="21" cm="1">
        <f t="array" ref="M186">_xlfn.SWITCH(B177,1,H186*C177,2,H186*C177+H186/2,3,0)</f>
        <v>360</v>
      </c>
    </row>
    <row r="187" spans="1:13">
      <c r="E187" s="21">
        <f t="shared" si="67"/>
        <v>187</v>
      </c>
      <c r="F187" s="9" t="s">
        <v>30</v>
      </c>
      <c r="M187" s="21">
        <v>4</v>
      </c>
    </row>
    <row r="188" spans="1:13">
      <c r="E188" s="21">
        <f t="shared" si="67"/>
        <v>188</v>
      </c>
      <c r="F188" s="9" t="s">
        <v>115</v>
      </c>
      <c r="M188" s="21">
        <v>-2</v>
      </c>
    </row>
  </sheetData>
  <phoneticPr fontId="2" type="noConversion"/>
  <conditionalFormatting sqref="BE1:XFD1 E1:I1">
    <cfRule type="duplicateValues" dxfId="49" priority="1882"/>
  </conditionalFormatting>
  <conditionalFormatting sqref="F1:F2">
    <cfRule type="cellIs" dxfId="48" priority="1383" operator="equal">
      <formula>"ID"</formula>
    </cfRule>
    <cfRule type="cellIs" dxfId="47" priority="1798" operator="equal">
      <formula>"行動序號"</formula>
    </cfRule>
  </conditionalFormatting>
  <conditionalFormatting sqref="J1">
    <cfRule type="duplicateValues" dxfId="46" priority="1381"/>
  </conditionalFormatting>
  <conditionalFormatting sqref="K1:L1">
    <cfRule type="duplicateValues" dxfId="45" priority="1378"/>
  </conditionalFormatting>
  <conditionalFormatting sqref="M1:M1048576">
    <cfRule type="expression" dxfId="44" priority="993">
      <formula>_xlfn.ISFORMULA(M1)</formula>
    </cfRule>
  </conditionalFormatting>
  <conditionalFormatting sqref="N1:BD1">
    <cfRule type="duplicateValues" dxfId="43" priority="1898"/>
  </conditionalFormatting>
  <conditionalFormatting sqref="F1:F1048576">
    <cfRule type="cellIs" dxfId="42" priority="96" operator="equal">
      <formula>"ID"</formula>
    </cfRule>
    <cfRule type="cellIs" dxfId="41" priority="97" operator="equal">
      <formula>"行動ID"</formula>
    </cfRule>
  </conditionalFormatting>
  <conditionalFormatting sqref="M1:M1048576">
    <cfRule type="expression" dxfId="40" priority="57">
      <formula>AND(_xlfn.ISFORMULA(M1),OR($F1="行動ID", $F1="ID"))</formula>
    </cfRule>
    <cfRule type="expression" dxfId="39" priority="59">
      <formula>OR($F1="行動ID", $F1="ID")</formula>
    </cfRule>
  </conditionalFormatting>
  <dataValidations count="1">
    <dataValidation type="list" allowBlank="1" showInputMessage="1" showErrorMessage="1" sqref="L5 L7:L8 K7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86284-E628-4F0C-B0E6-77BD87376CA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140</v>
      </c>
      <c r="D1" s="17" t="s">
        <v>139</v>
      </c>
      <c r="E1" s="6" t="s">
        <v>36</v>
      </c>
    </row>
    <row r="2" spans="1:5">
      <c r="A2" s="9" t="s">
        <v>50</v>
      </c>
      <c r="B2" s="9" t="s">
        <v>28</v>
      </c>
      <c r="C2" s="9" t="s">
        <v>140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FA0B0C4-4DD6-43BF-88E8-C62243C6C5BB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821BE-83CD-42F6-98C5-07413F4C9C35}">
  <sheetPr codeName="DefineSheet"/>
  <dimension ref="A1:L117"/>
  <sheetViews>
    <sheetView topLeftCell="A94" workbookViewId="0">
      <selection activeCell="B117" sqref="B117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144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101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99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102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145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110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228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146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103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104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130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131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147</v>
      </c>
      <c r="C17" s="7" t="s">
        <v>229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142</v>
      </c>
      <c r="C20" s="7" t="s">
        <v>148</v>
      </c>
      <c r="E20" t="str">
        <f t="shared" si="0"/>
        <v>啟動依ID,</v>
      </c>
      <c r="H20"/>
    </row>
    <row r="21" spans="1:8">
      <c r="A21" s="7" t="s">
        <v>27</v>
      </c>
      <c r="B21" s="7" t="s">
        <v>149</v>
      </c>
      <c r="C21" s="7" t="s">
        <v>150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126</v>
      </c>
      <c r="C22" s="7" t="s">
        <v>151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127</v>
      </c>
      <c r="C23" s="7" t="s">
        <v>152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128</v>
      </c>
      <c r="C24" s="7" t="s">
        <v>153</v>
      </c>
      <c r="E24" t="str">
        <f t="shared" si="0"/>
        <v>啟動依位置,</v>
      </c>
      <c r="H24"/>
    </row>
    <row r="25" spans="1:8">
      <c r="A25" s="7" t="s">
        <v>27</v>
      </c>
      <c r="B25" s="7" t="s">
        <v>129</v>
      </c>
      <c r="C25" s="7" t="s">
        <v>154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155</v>
      </c>
      <c r="C26" s="7" t="s">
        <v>156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157</v>
      </c>
      <c r="C27" s="7" t="s">
        <v>158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159</v>
      </c>
      <c r="E30" t="str">
        <f t="shared" si="0"/>
        <v>物件,</v>
      </c>
      <c r="H30"/>
    </row>
    <row r="31" spans="1:8">
      <c r="A31" s="7" t="s">
        <v>27</v>
      </c>
      <c r="B31" s="7" t="s">
        <v>118</v>
      </c>
      <c r="C31" s="7" t="s">
        <v>160</v>
      </c>
      <c r="E31" t="str">
        <f t="shared" si="0"/>
        <v>Sprite,</v>
      </c>
      <c r="H31"/>
    </row>
    <row r="32" spans="1:8">
      <c r="A32" s="7" t="s">
        <v>27</v>
      </c>
      <c r="B32" s="7" t="s">
        <v>100</v>
      </c>
      <c r="C32" s="7" t="s">
        <v>161</v>
      </c>
      <c r="E32" t="str">
        <f t="shared" si="0"/>
        <v>動畫,</v>
      </c>
      <c r="H32"/>
    </row>
    <row r="33" spans="1:8">
      <c r="A33" s="7" t="s">
        <v>27</v>
      </c>
      <c r="B33" s="7" t="s">
        <v>106</v>
      </c>
      <c r="C33" s="7" t="s">
        <v>162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105</v>
      </c>
      <c r="C34" s="7" t="s">
        <v>163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164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165</v>
      </c>
      <c r="C36" s="7" t="s">
        <v>166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167</v>
      </c>
      <c r="C37" s="7" t="s">
        <v>168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169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170</v>
      </c>
      <c r="E41" t="str">
        <f t="shared" si="0"/>
        <v>回收時間,</v>
      </c>
      <c r="H41"/>
    </row>
    <row r="42" spans="1:8">
      <c r="A42" s="7" t="s">
        <v>27</v>
      </c>
      <c r="B42" s="7" t="s">
        <v>107</v>
      </c>
      <c r="C42" s="7" t="s">
        <v>171</v>
      </c>
      <c r="E42" t="str">
        <f t="shared" si="0"/>
        <v>死亡時間,</v>
      </c>
      <c r="H42"/>
    </row>
    <row r="43" spans="1:8">
      <c r="A43" s="7" t="s">
        <v>27</v>
      </c>
      <c r="B43" s="7" t="s">
        <v>225</v>
      </c>
      <c r="C43" s="7" t="s">
        <v>226</v>
      </c>
      <c r="E43" t="str">
        <f t="shared" si="0"/>
        <v>符卡時間,</v>
      </c>
      <c r="H43"/>
    </row>
    <row r="44" spans="1:8">
      <c r="B44" s="23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172</v>
      </c>
      <c r="E46" t="str">
        <f t="shared" si="0"/>
        <v>移位置,</v>
      </c>
      <c r="H46"/>
    </row>
    <row r="47" spans="1:8">
      <c r="A47" s="7" t="s">
        <v>27</v>
      </c>
      <c r="B47" s="7" t="s">
        <v>116</v>
      </c>
      <c r="C47" s="7" t="s">
        <v>173</v>
      </c>
      <c r="E47" t="str">
        <f t="shared" si="0"/>
        <v>相對位置,</v>
      </c>
      <c r="H47"/>
    </row>
    <row r="48" spans="1:8">
      <c r="A48" s="7" t="s">
        <v>27</v>
      </c>
      <c r="B48" s="7" t="s">
        <v>133</v>
      </c>
      <c r="C48" s="7" t="s">
        <v>174</v>
      </c>
      <c r="E48" t="str">
        <f t="shared" si="0"/>
        <v>位置參數,</v>
      </c>
      <c r="H48"/>
    </row>
    <row r="49" spans="1:8">
      <c r="A49" s="7" t="s">
        <v>27</v>
      </c>
      <c r="B49" s="7" t="s">
        <v>175</v>
      </c>
      <c r="C49" s="7" t="s">
        <v>176</v>
      </c>
      <c r="E49" t="str">
        <f t="shared" si="0"/>
        <v>加位置,</v>
      </c>
      <c r="H49"/>
    </row>
    <row r="50" spans="1:8">
      <c r="A50" s="7" t="s">
        <v>27</v>
      </c>
      <c r="B50" s="7" t="s">
        <v>235</v>
      </c>
      <c r="C50" s="7" t="s">
        <v>236</v>
      </c>
      <c r="E50" t="str">
        <f t="shared" si="0"/>
        <v>記錄位置,</v>
      </c>
      <c r="H50"/>
    </row>
    <row r="51" spans="1:8">
      <c r="A51" s="7" t="s">
        <v>27</v>
      </c>
      <c r="B51" s="7" t="s">
        <v>237</v>
      </c>
      <c r="C51" s="7" t="s">
        <v>238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177</v>
      </c>
      <c r="E54" t="str">
        <f t="shared" si="0"/>
        <v>移動角度,</v>
      </c>
      <c r="H54"/>
    </row>
    <row r="55" spans="1:8">
      <c r="A55" s="7" t="s">
        <v>27</v>
      </c>
      <c r="B55" s="7" t="s">
        <v>111</v>
      </c>
      <c r="C55" s="7" t="s">
        <v>178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112</v>
      </c>
      <c r="C56" s="7" t="s">
        <v>179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113</v>
      </c>
      <c r="C57" s="7" t="s">
        <v>180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132</v>
      </c>
      <c r="C58" s="7" t="s">
        <v>181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182</v>
      </c>
      <c r="C59" s="7" t="s">
        <v>183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114</v>
      </c>
      <c r="C60" s="7" t="s">
        <v>184</v>
      </c>
      <c r="E60" t="str">
        <f t="shared" si="0"/>
        <v>旋轉是移動角度,</v>
      </c>
      <c r="H60"/>
    </row>
    <row r="61" spans="1:8">
      <c r="A61" s="7" t="s">
        <v>27</v>
      </c>
      <c r="B61" s="24" t="s">
        <v>230</v>
      </c>
      <c r="C61" s="7" t="s">
        <v>231</v>
      </c>
      <c r="E61" t="str">
        <f t="shared" si="0"/>
        <v>子旋轉角度,</v>
      </c>
      <c r="H61"/>
    </row>
    <row r="62" spans="1:8">
      <c r="A62" s="7" t="s">
        <v>27</v>
      </c>
      <c r="B62" s="24" t="s">
        <v>232</v>
      </c>
      <c r="C62" s="7" t="s">
        <v>233</v>
      </c>
      <c r="E62" t="str">
        <f t="shared" si="0"/>
        <v>子加旋轉角度,</v>
      </c>
      <c r="H62"/>
    </row>
    <row r="63" spans="1:8">
      <c r="A63" s="7" t="s">
        <v>27</v>
      </c>
      <c r="B63" s="7" t="s">
        <v>239</v>
      </c>
      <c r="C63" s="7" t="s">
        <v>240</v>
      </c>
      <c r="E63" t="str">
        <f t="shared" si="0"/>
        <v>記錄角度,</v>
      </c>
      <c r="H63"/>
    </row>
    <row r="64" spans="1:8">
      <c r="A64" s="7" t="s">
        <v>27</v>
      </c>
      <c r="B64" s="7" t="s">
        <v>242</v>
      </c>
      <c r="C64" s="7" t="s">
        <v>241</v>
      </c>
      <c r="E64" t="str">
        <f t="shared" si="0"/>
        <v>記錄角度ID,</v>
      </c>
      <c r="H64"/>
    </row>
    <row r="65" spans="1:11">
      <c r="B65" s="24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185</v>
      </c>
      <c r="E67" t="str">
        <f t="shared" si="0"/>
        <v>速度,</v>
      </c>
      <c r="H67"/>
    </row>
    <row r="68" spans="1:11">
      <c r="A68" s="7" t="s">
        <v>27</v>
      </c>
      <c r="B68" s="7" t="s">
        <v>115</v>
      </c>
      <c r="C68" s="7" t="s">
        <v>186</v>
      </c>
      <c r="E68" t="str">
        <f t="shared" si="0"/>
        <v>加速度,</v>
      </c>
      <c r="H68"/>
    </row>
    <row r="69" spans="1:11">
      <c r="A69" s="7" t="s">
        <v>27</v>
      </c>
      <c r="B69" s="7" t="s">
        <v>108</v>
      </c>
      <c r="C69" s="7" t="s">
        <v>187</v>
      </c>
      <c r="E69" t="str">
        <f t="shared" si="0"/>
        <v>最小速度,</v>
      </c>
      <c r="H69"/>
    </row>
    <row r="70" spans="1:11">
      <c r="A70" s="7" t="s">
        <v>27</v>
      </c>
      <c r="B70" s="7" t="s">
        <v>109</v>
      </c>
      <c r="C70" s="7" t="s">
        <v>188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189</v>
      </c>
      <c r="C73" s="7" t="s">
        <v>190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191</v>
      </c>
      <c r="E74" t="str">
        <f t="shared" si="0"/>
        <v>無敵,</v>
      </c>
      <c r="H74"/>
    </row>
    <row r="75" spans="1:11">
      <c r="A75" s="7" t="s">
        <v>27</v>
      </c>
      <c r="B75" s="7" t="s">
        <v>117</v>
      </c>
      <c r="C75" s="7" t="s">
        <v>192</v>
      </c>
      <c r="E75" t="str">
        <f t="shared" si="0"/>
        <v>貫穿,</v>
      </c>
      <c r="H75"/>
    </row>
    <row r="76" spans="1:11">
      <c r="A76" s="7" t="s">
        <v>27</v>
      </c>
      <c r="B76" s="7" t="s">
        <v>125</v>
      </c>
      <c r="C76" s="7" t="s">
        <v>193</v>
      </c>
      <c r="E76" t="str">
        <f t="shared" si="0"/>
        <v>回收距離,</v>
      </c>
      <c r="H76"/>
    </row>
    <row r="77" spans="1:11">
      <c r="A77" s="7" t="s">
        <v>27</v>
      </c>
      <c r="B77" s="7" t="s">
        <v>194</v>
      </c>
      <c r="C77" s="7" t="s">
        <v>195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196</v>
      </c>
      <c r="C78" s="7" t="s">
        <v>197</v>
      </c>
      <c r="E78" t="str">
        <f t="shared" si="0"/>
        <v>出生動畫時間,</v>
      </c>
      <c r="H78"/>
    </row>
    <row r="79" spans="1:11">
      <c r="A79" s="7" t="s">
        <v>27</v>
      </c>
      <c r="B79" s="7" t="s">
        <v>198</v>
      </c>
      <c r="C79" s="7" t="s">
        <v>199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200</v>
      </c>
      <c r="C80" s="7" t="s">
        <v>201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119</v>
      </c>
      <c r="C83" s="7" t="s">
        <v>202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120</v>
      </c>
      <c r="C84" s="7" t="s">
        <v>203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121</v>
      </c>
      <c r="C85" s="7" t="s">
        <v>204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122</v>
      </c>
      <c r="C86" s="7" t="s">
        <v>205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123</v>
      </c>
      <c r="C87" s="7" t="s">
        <v>206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124</v>
      </c>
      <c r="C88" s="7" t="s">
        <v>207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208</v>
      </c>
      <c r="C91" s="7" t="s">
        <v>209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210</v>
      </c>
      <c r="C92" s="7" t="s">
        <v>211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212</v>
      </c>
      <c r="C93" s="7" t="s">
        <v>213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214</v>
      </c>
      <c r="C94" s="7" t="s">
        <v>215</v>
      </c>
      <c r="E94" t="str">
        <f t="shared" si="1"/>
        <v>玩家Shift,</v>
      </c>
      <c r="H94"/>
    </row>
    <row r="95" spans="1:11">
      <c r="A95" s="7" t="s">
        <v>27</v>
      </c>
      <c r="B95" s="7" t="s">
        <v>216</v>
      </c>
      <c r="C95" s="7" t="s">
        <v>217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139</v>
      </c>
      <c r="B103" s="7" t="s">
        <v>136</v>
      </c>
      <c r="C103" s="7" t="s">
        <v>21</v>
      </c>
      <c r="H103"/>
    </row>
    <row r="104" spans="1:12" customFormat="1">
      <c r="A104" s="7" t="s">
        <v>139</v>
      </c>
      <c r="B104" t="s">
        <v>137</v>
      </c>
      <c r="C104" s="7" t="s">
        <v>25</v>
      </c>
      <c r="D104" s="7"/>
      <c r="L104" s="7"/>
    </row>
    <row r="105" spans="1:12" customFormat="1">
      <c r="A105" s="7" t="s">
        <v>139</v>
      </c>
      <c r="B105" t="s">
        <v>138</v>
      </c>
      <c r="C105" s="7" t="s">
        <v>26</v>
      </c>
      <c r="D105" s="7"/>
      <c r="L105" s="7"/>
    </row>
    <row r="106" spans="1:12" customFormat="1">
      <c r="A106" s="7" t="s">
        <v>139</v>
      </c>
      <c r="B106" t="s">
        <v>218</v>
      </c>
      <c r="C106" s="7" t="s">
        <v>96</v>
      </c>
      <c r="D106" s="7"/>
      <c r="L106" s="7"/>
    </row>
    <row r="107" spans="1:12" customFormat="1">
      <c r="A107" s="7" t="s">
        <v>139</v>
      </c>
      <c r="B107" t="s">
        <v>219</v>
      </c>
      <c r="C107" s="7" t="s">
        <v>23</v>
      </c>
      <c r="D107" s="7"/>
      <c r="L107" s="7"/>
    </row>
    <row r="108" spans="1:12" customFormat="1">
      <c r="A108" s="7" t="s">
        <v>139</v>
      </c>
      <c r="B108" t="s">
        <v>220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140</v>
      </c>
      <c r="B111" t="s">
        <v>134</v>
      </c>
      <c r="C111" s="7" t="s">
        <v>21</v>
      </c>
      <c r="D111" s="4"/>
      <c r="L111" s="7"/>
    </row>
    <row r="112" spans="1:12" customFormat="1">
      <c r="A112" s="7" t="s">
        <v>140</v>
      </c>
      <c r="B112" t="s">
        <v>135</v>
      </c>
      <c r="C112" s="7" t="s">
        <v>37</v>
      </c>
      <c r="D112" s="7"/>
      <c r="L112" s="7"/>
    </row>
    <row r="113" spans="1:12" customFormat="1">
      <c r="A113" s="7" t="s">
        <v>140</v>
      </c>
      <c r="B113" t="s">
        <v>143</v>
      </c>
      <c r="C113" s="7" t="s">
        <v>38</v>
      </c>
      <c r="D113" s="7"/>
      <c r="L113" s="7"/>
    </row>
    <row r="114" spans="1:12" customFormat="1">
      <c r="A114" s="7" t="s">
        <v>140</v>
      </c>
      <c r="B114" t="s">
        <v>221</v>
      </c>
      <c r="C114" s="7" t="s">
        <v>22</v>
      </c>
      <c r="D114" s="7"/>
      <c r="L114" s="7"/>
    </row>
    <row r="115" spans="1:12">
      <c r="A115" s="7" t="s">
        <v>140</v>
      </c>
      <c r="B115" s="7" t="s">
        <v>222</v>
      </c>
      <c r="C115" s="7" t="s">
        <v>23</v>
      </c>
      <c r="H115"/>
    </row>
    <row r="116" spans="1:12">
      <c r="A116" s="7" t="s">
        <v>140</v>
      </c>
      <c r="B116" s="7" t="s">
        <v>243</v>
      </c>
      <c r="C116" s="7" t="s">
        <v>24</v>
      </c>
      <c r="H116"/>
    </row>
    <row r="117" spans="1:12">
      <c r="A117" s="7" t="s">
        <v>140</v>
      </c>
      <c r="B117" s="7" t="s">
        <v>245</v>
      </c>
      <c r="C117" s="7" t="s">
        <v>246</v>
      </c>
      <c r="H117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CCD32F-7827-44EF-9394-CEFA5C17A833}">
  <sheetPr codeName="OptionSheet"/>
  <dimension ref="A1:J112"/>
  <sheetViews>
    <sheetView zoomScale="115" zoomScaleNormal="115" workbookViewId="0">
      <selection activeCell="D13" sqref="D13"/>
    </sheetView>
  </sheetViews>
  <sheetFormatPr defaultRowHeight="16.5"/>
  <cols>
    <col min="1" max="1" width="20.5" style="19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139</v>
      </c>
      <c r="C1" s="6" t="s">
        <v>140</v>
      </c>
      <c r="D1" s="8"/>
      <c r="E1" s="8"/>
      <c r="F1" s="8"/>
      <c r="G1" s="6"/>
      <c r="H1" s="8"/>
      <c r="I1" s="8"/>
      <c r="J1" s="8"/>
    </row>
    <row r="2" spans="1:10" ht="85.5">
      <c r="B2" s="19" t="s">
        <v>136</v>
      </c>
      <c r="C2" s="19" t="s">
        <v>134</v>
      </c>
      <c r="D2" s="19"/>
      <c r="G2" s="20" t="s">
        <v>223</v>
      </c>
    </row>
    <row r="3" spans="1:10">
      <c r="A3" s="19" t="s">
        <v>93</v>
      </c>
      <c r="B3" s="19" t="s">
        <v>137</v>
      </c>
      <c r="C3" s="19" t="s">
        <v>135</v>
      </c>
      <c r="D3" s="19"/>
      <c r="G3" s="9"/>
    </row>
    <row r="4" spans="1:10">
      <c r="A4" s="19" t="s">
        <v>101</v>
      </c>
      <c r="B4" s="19" t="s">
        <v>138</v>
      </c>
      <c r="C4" s="19" t="s">
        <v>224</v>
      </c>
      <c r="D4" s="19"/>
      <c r="G4" s="9"/>
      <c r="H4" s="18"/>
    </row>
    <row r="5" spans="1:10" ht="17.25" customHeight="1">
      <c r="A5" s="19" t="s">
        <v>99</v>
      </c>
      <c r="B5" s="19" t="s">
        <v>218</v>
      </c>
      <c r="C5" s="19" t="s">
        <v>221</v>
      </c>
      <c r="D5" s="19"/>
      <c r="G5" s="9"/>
    </row>
    <row r="6" spans="1:10">
      <c r="A6" s="19" t="s">
        <v>102</v>
      </c>
      <c r="B6" s="19" t="s">
        <v>219</v>
      </c>
      <c r="C6" s="19" t="s">
        <v>222</v>
      </c>
      <c r="D6" s="19"/>
      <c r="G6" s="9"/>
    </row>
    <row r="7" spans="1:10">
      <c r="A7" s="19" t="s">
        <v>48</v>
      </c>
      <c r="B7" s="19" t="s">
        <v>220</v>
      </c>
      <c r="C7" s="23" t="s">
        <v>243</v>
      </c>
      <c r="D7" s="19"/>
      <c r="G7" s="9"/>
    </row>
    <row r="8" spans="1:10">
      <c r="A8" s="19" t="s">
        <v>145</v>
      </c>
      <c r="B8" s="23"/>
      <c r="C8" s="7" t="s">
        <v>245</v>
      </c>
      <c r="D8" s="19"/>
      <c r="G8" s="9"/>
    </row>
    <row r="9" spans="1:10">
      <c r="A9" s="19" t="s">
        <v>110</v>
      </c>
      <c r="B9" s="19"/>
      <c r="C9" s="19"/>
      <c r="D9" s="19"/>
      <c r="G9" s="9"/>
    </row>
    <row r="10" spans="1:10">
      <c r="A10" s="19" t="s">
        <v>228</v>
      </c>
      <c r="B10" s="19"/>
      <c r="C10" s="19"/>
      <c r="D10" s="19"/>
      <c r="G10" s="9"/>
    </row>
    <row r="11" spans="1:10">
      <c r="A11" s="19" t="s">
        <v>146</v>
      </c>
      <c r="G11" s="9"/>
    </row>
    <row r="12" spans="1:10">
      <c r="A12" s="19" t="s">
        <v>45</v>
      </c>
      <c r="G12" s="9"/>
    </row>
    <row r="13" spans="1:10">
      <c r="A13" s="19" t="s">
        <v>103</v>
      </c>
      <c r="G13" s="9"/>
    </row>
    <row r="14" spans="1:10">
      <c r="A14" s="19" t="s">
        <v>104</v>
      </c>
      <c r="C14" s="9"/>
      <c r="G14" s="9"/>
    </row>
    <row r="15" spans="1:10">
      <c r="A15" s="19" t="s">
        <v>130</v>
      </c>
      <c r="G15" s="9"/>
    </row>
    <row r="16" spans="1:10">
      <c r="A16" s="19" t="s">
        <v>131</v>
      </c>
      <c r="C16"/>
      <c r="G16" s="9"/>
    </row>
    <row r="17" spans="1:7">
      <c r="A17" s="19" t="s">
        <v>147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19" t="s">
        <v>142</v>
      </c>
      <c r="C20"/>
      <c r="G20" s="9"/>
    </row>
    <row r="21" spans="1:7">
      <c r="A21" s="19" t="s">
        <v>149</v>
      </c>
      <c r="C21"/>
      <c r="G21" s="9"/>
    </row>
    <row r="22" spans="1:7">
      <c r="A22" s="19" t="s">
        <v>126</v>
      </c>
      <c r="C22"/>
      <c r="G22" s="9"/>
    </row>
    <row r="23" spans="1:7">
      <c r="A23" s="19" t="s">
        <v>127</v>
      </c>
      <c r="C23"/>
      <c r="G23" s="9"/>
    </row>
    <row r="24" spans="1:7">
      <c r="A24" s="19" t="s">
        <v>128</v>
      </c>
      <c r="C24"/>
      <c r="G24" s="9"/>
    </row>
    <row r="25" spans="1:7" s="9" customFormat="1">
      <c r="A25" s="19" t="s">
        <v>129</v>
      </c>
      <c r="C25"/>
      <c r="F25" s="4"/>
    </row>
    <row r="26" spans="1:7">
      <c r="A26" s="19" t="s">
        <v>155</v>
      </c>
      <c r="C26"/>
      <c r="G26" s="9"/>
    </row>
    <row r="27" spans="1:7">
      <c r="A27" s="19" t="s">
        <v>157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19" t="s">
        <v>29</v>
      </c>
      <c r="C30"/>
      <c r="G30" s="9"/>
    </row>
    <row r="31" spans="1:7">
      <c r="A31" s="19" t="s">
        <v>118</v>
      </c>
      <c r="C31"/>
      <c r="G31" s="9"/>
    </row>
    <row r="32" spans="1:7">
      <c r="A32" s="19" t="s">
        <v>100</v>
      </c>
      <c r="C32"/>
      <c r="G32" s="9"/>
    </row>
    <row r="33" spans="1:7">
      <c r="A33" s="19" t="s">
        <v>106</v>
      </c>
      <c r="C33"/>
      <c r="G33" s="9"/>
    </row>
    <row r="34" spans="1:7">
      <c r="A34" s="19" t="s">
        <v>105</v>
      </c>
      <c r="C34"/>
      <c r="G34" s="9"/>
    </row>
    <row r="35" spans="1:7">
      <c r="A35" s="19" t="s">
        <v>46</v>
      </c>
      <c r="C35"/>
      <c r="G35" s="9"/>
    </row>
    <row r="36" spans="1:7">
      <c r="A36" s="19" t="s">
        <v>165</v>
      </c>
      <c r="C36"/>
    </row>
    <row r="37" spans="1:7">
      <c r="A37" s="19" t="s">
        <v>167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19" t="s">
        <v>35</v>
      </c>
      <c r="C40"/>
      <c r="G40" s="9"/>
    </row>
    <row r="41" spans="1:7">
      <c r="A41" s="19" t="s">
        <v>97</v>
      </c>
      <c r="C41"/>
      <c r="G41" s="9"/>
    </row>
    <row r="42" spans="1:7">
      <c r="A42" s="19" t="s">
        <v>107</v>
      </c>
      <c r="C42"/>
      <c r="G42" s="9"/>
    </row>
    <row r="43" spans="1:7">
      <c r="A43" s="23" t="s">
        <v>225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19" t="s">
        <v>98</v>
      </c>
      <c r="C46"/>
      <c r="G46" s="9"/>
    </row>
    <row r="47" spans="1:7">
      <c r="A47" s="19" t="s">
        <v>116</v>
      </c>
      <c r="C47"/>
      <c r="G47" s="9"/>
    </row>
    <row r="48" spans="1:7">
      <c r="A48" s="19" t="s">
        <v>133</v>
      </c>
      <c r="C48"/>
      <c r="G48" s="9"/>
    </row>
    <row r="49" spans="1:8">
      <c r="A49" s="19" t="s">
        <v>175</v>
      </c>
      <c r="C49"/>
      <c r="G49" s="9"/>
    </row>
    <row r="50" spans="1:8">
      <c r="A50" s="24" t="s">
        <v>239</v>
      </c>
      <c r="C50"/>
      <c r="G50" s="9"/>
    </row>
    <row r="51" spans="1:8">
      <c r="A51" s="24" t="s">
        <v>244</v>
      </c>
      <c r="C51"/>
      <c r="G51" s="9"/>
    </row>
    <row r="52" spans="1:8">
      <c r="A52" s="24"/>
      <c r="C52"/>
      <c r="G52" s="9"/>
    </row>
    <row r="53" spans="1:8">
      <c r="C53"/>
      <c r="G53" s="9"/>
    </row>
    <row r="54" spans="1:8">
      <c r="A54" s="19" t="s">
        <v>31</v>
      </c>
      <c r="C54"/>
      <c r="G54" s="9"/>
      <c r="H54" s="10"/>
    </row>
    <row r="55" spans="1:8">
      <c r="A55" s="19" t="s">
        <v>111</v>
      </c>
      <c r="C55"/>
      <c r="G55" s="9"/>
      <c r="H55" s="11"/>
    </row>
    <row r="56" spans="1:8">
      <c r="A56" s="19" t="s">
        <v>112</v>
      </c>
      <c r="C56"/>
      <c r="G56" s="9"/>
      <c r="H56" s="11"/>
    </row>
    <row r="57" spans="1:8">
      <c r="A57" s="25" t="s">
        <v>234</v>
      </c>
      <c r="C57"/>
      <c r="G57" s="9"/>
    </row>
    <row r="58" spans="1:8">
      <c r="A58" s="19" t="s">
        <v>132</v>
      </c>
      <c r="G58" s="9"/>
    </row>
    <row r="59" spans="1:8">
      <c r="A59" s="19" t="s">
        <v>182</v>
      </c>
      <c r="G59" s="9"/>
    </row>
    <row r="60" spans="1:8">
      <c r="A60" s="19" t="s">
        <v>114</v>
      </c>
      <c r="G60" s="9"/>
    </row>
    <row r="61" spans="1:8">
      <c r="A61" s="24" t="s">
        <v>230</v>
      </c>
      <c r="G61" s="9"/>
    </row>
    <row r="62" spans="1:8">
      <c r="A62" s="24" t="s">
        <v>232</v>
      </c>
      <c r="G62" s="9"/>
    </row>
    <row r="63" spans="1:8">
      <c r="A63" s="24" t="s">
        <v>239</v>
      </c>
      <c r="G63" s="9"/>
    </row>
    <row r="64" spans="1:8">
      <c r="A64" s="24" t="s">
        <v>242</v>
      </c>
      <c r="G64" s="9"/>
    </row>
    <row r="65" spans="1:7">
      <c r="A65" s="24"/>
      <c r="G65" s="9"/>
    </row>
    <row r="66" spans="1:7">
      <c r="G66" s="9"/>
    </row>
    <row r="67" spans="1:7">
      <c r="A67" s="19" t="s">
        <v>30</v>
      </c>
      <c r="G67" s="9"/>
    </row>
    <row r="68" spans="1:7">
      <c r="A68" s="19" t="s">
        <v>115</v>
      </c>
      <c r="C68"/>
      <c r="G68" s="9"/>
    </row>
    <row r="69" spans="1:7">
      <c r="A69" s="19" t="s">
        <v>108</v>
      </c>
      <c r="C69"/>
      <c r="G69" s="9"/>
    </row>
    <row r="70" spans="1:7">
      <c r="A70" s="19" t="s">
        <v>109</v>
      </c>
      <c r="G70" s="9"/>
    </row>
    <row r="71" spans="1:7">
      <c r="G71" s="9"/>
    </row>
    <row r="72" spans="1:7">
      <c r="G72" s="9"/>
    </row>
    <row r="73" spans="1:7">
      <c r="A73" s="19" t="s">
        <v>189</v>
      </c>
    </row>
    <row r="74" spans="1:7">
      <c r="A74" s="19" t="s">
        <v>47</v>
      </c>
    </row>
    <row r="75" spans="1:7">
      <c r="A75" s="19" t="s">
        <v>117</v>
      </c>
    </row>
    <row r="76" spans="1:7">
      <c r="A76" s="19" t="s">
        <v>125</v>
      </c>
      <c r="G76" s="9"/>
    </row>
    <row r="77" spans="1:7">
      <c r="A77" s="19" t="s">
        <v>194</v>
      </c>
      <c r="G77" s="9"/>
    </row>
    <row r="78" spans="1:7">
      <c r="A78" s="19" t="s">
        <v>196</v>
      </c>
      <c r="G78" s="9"/>
    </row>
    <row r="79" spans="1:7">
      <c r="A79" s="19" t="s">
        <v>198</v>
      </c>
    </row>
    <row r="80" spans="1:7">
      <c r="A80" s="19" t="s">
        <v>200</v>
      </c>
    </row>
    <row r="83" spans="1:1">
      <c r="A83" s="19" t="s">
        <v>119</v>
      </c>
    </row>
    <row r="84" spans="1:1">
      <c r="A84" s="19" t="s">
        <v>120</v>
      </c>
    </row>
    <row r="85" spans="1:1">
      <c r="A85" s="19" t="s">
        <v>121</v>
      </c>
    </row>
    <row r="86" spans="1:1">
      <c r="A86" s="19" t="s">
        <v>122</v>
      </c>
    </row>
    <row r="87" spans="1:1">
      <c r="A87" s="19" t="s">
        <v>123</v>
      </c>
    </row>
    <row r="88" spans="1:1">
      <c r="A88" s="19" t="s">
        <v>124</v>
      </c>
    </row>
    <row r="91" spans="1:1">
      <c r="A91" s="19" t="s">
        <v>208</v>
      </c>
    </row>
    <row r="92" spans="1:1">
      <c r="A92" s="19" t="s">
        <v>210</v>
      </c>
    </row>
    <row r="93" spans="1:1">
      <c r="A93" s="19" t="s">
        <v>212</v>
      </c>
    </row>
    <row r="94" spans="1:1">
      <c r="A94" s="19" t="s">
        <v>214</v>
      </c>
    </row>
    <row r="95" spans="1:1">
      <c r="A95" s="19" t="s">
        <v>216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9EE074A-5257-43D6-94C5-98E4D1E7AE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B4F938-0F7E-4076-BB7F-B736752C816F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11EA5-DB89-4E73-B219-79B11632C46F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7EACB-D388-4D23-B9BA-0A5C032BB482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2</vt:i4>
      </vt:variant>
    </vt:vector>
  </HeadingPairs>
  <TitlesOfParts>
    <vt:vector size="9" baseType="lpstr">
      <vt:lpstr>stage7_card12shot3</vt:lpstr>
      <vt:lpstr>#ALIAS</vt:lpstr>
      <vt:lpstr>#DEFINE</vt:lpstr>
      <vt:lpstr>#OPTION</vt:lpstr>
      <vt:lpstr>#PARAM</vt:lpstr>
      <vt:lpstr>#OUTPUT</vt:lpstr>
      <vt:lpstr>#使用說明</vt:lpstr>
      <vt:lpstr>'#OPTION'!_OPTION_</vt:lpstr>
      <vt:lpstr>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2025-04-25T12:37:03Z</dcterms:modified>
</cp:coreProperties>
</file>