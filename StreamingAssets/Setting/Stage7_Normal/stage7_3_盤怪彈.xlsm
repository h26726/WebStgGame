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Users\hcook-win\STG project\Assets\Setting\Stage7_Normal\"/>
    </mc:Choice>
  </mc:AlternateContent>
  <xr:revisionPtr revIDLastSave="0" documentId="13_ncr:1_{9148AFD9-3413-4D92-8C0E-0585894473DE}" xr6:coauthVersionLast="47" xr6:coauthVersionMax="47" xr10:uidLastSave="{00000000-0000-0000-0000-000000000000}"/>
  <bookViews>
    <workbookView xWindow="-120" yWindow="-120" windowWidth="29040" windowHeight="15840" activeTab="6" xr2:uid="{00000000-000D-0000-FFFF-FFFF00000000}"/>
  </bookViews>
  <sheets>
    <sheet name="stage7_3" sheetId="1" r:id="rId1"/>
    <sheet name="#ALIAS" sheetId="66" r:id="rId2"/>
    <sheet name="#DEFINE" sheetId="67" r:id="rId3"/>
    <sheet name="#OPTION" sheetId="68" r:id="rId4"/>
    <sheet name="#PARAM" sheetId="69" r:id="rId5"/>
    <sheet name="#OUTPUT" sheetId="70" r:id="rId6"/>
    <sheet name="#使用說明" sheetId="71" r:id="rId7"/>
  </sheets>
  <functionGroups builtInGroupCount="19"/>
  <externalReferences>
    <externalReference r:id="rId8"/>
  </externalReferences>
  <definedNames>
    <definedName name="_OPTION_" localSheetId="1">#REF!</definedName>
    <definedName name="_OPTION_" localSheetId="2">#REF!</definedName>
    <definedName name="_OPTION_" localSheetId="3">'#OPTION'!$A$2:$A$98</definedName>
    <definedName name="_OPTION_" localSheetId="5">#REF!</definedName>
    <definedName name="_OPTION_" localSheetId="4">#REF!</definedName>
    <definedName name="_OPTION_" localSheetId="6">#REF!</definedName>
    <definedName name="_OPTION_">#REF!</definedName>
    <definedName name="一般物品">#REF!</definedName>
    <definedName name="無償商城幣">#REF!</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95" i="67" l="1"/>
  <c r="E94" i="67"/>
  <c r="E93" i="67"/>
  <c r="E92" i="67"/>
  <c r="E91" i="67"/>
  <c r="E88" i="67"/>
  <c r="E87" i="67"/>
  <c r="E86" i="67"/>
  <c r="E85" i="67"/>
  <c r="E84" i="67"/>
  <c r="E83" i="67"/>
  <c r="E80" i="67"/>
  <c r="E79" i="67"/>
  <c r="E78" i="67"/>
  <c r="E77" i="67"/>
  <c r="E76" i="67"/>
  <c r="E75" i="67"/>
  <c r="E74" i="67"/>
  <c r="E73" i="67"/>
  <c r="E70" i="67"/>
  <c r="E69" i="67"/>
  <c r="E68" i="67"/>
  <c r="E67" i="67"/>
  <c r="E64" i="67"/>
  <c r="E63" i="67"/>
  <c r="E62" i="67"/>
  <c r="E61" i="67"/>
  <c r="E60" i="67"/>
  <c r="E59" i="67"/>
  <c r="E58" i="67"/>
  <c r="E57" i="67"/>
  <c r="E56" i="67"/>
  <c r="E55" i="67"/>
  <c r="E54" i="67"/>
  <c r="E51" i="67"/>
  <c r="E50" i="67"/>
  <c r="E49" i="67"/>
  <c r="E48" i="67"/>
  <c r="E47" i="67"/>
  <c r="E46" i="67"/>
  <c r="E43" i="67"/>
  <c r="E42" i="67"/>
  <c r="E41" i="67"/>
  <c r="E40" i="67"/>
  <c r="E37" i="67"/>
  <c r="E36" i="67"/>
  <c r="E35" i="67"/>
  <c r="E34" i="67"/>
  <c r="E33" i="67"/>
  <c r="E32" i="67"/>
  <c r="E31" i="67"/>
  <c r="E30" i="67"/>
  <c r="E27" i="67"/>
  <c r="E26" i="67"/>
  <c r="E25" i="67"/>
  <c r="E24" i="67"/>
  <c r="E23" i="67"/>
  <c r="E22" i="67"/>
  <c r="E21" i="67"/>
  <c r="E20" i="67"/>
  <c r="E17" i="67"/>
  <c r="E16" i="67"/>
  <c r="E15" i="67"/>
  <c r="E14" i="67"/>
  <c r="E13" i="67"/>
  <c r="E12" i="67"/>
  <c r="E11" i="67"/>
  <c r="E10" i="67"/>
  <c r="E9" i="67"/>
  <c r="E8" i="67"/>
  <c r="E7" i="67"/>
  <c r="E6" i="67"/>
  <c r="E5" i="67"/>
  <c r="E4" i="67"/>
  <c r="E3" i="67"/>
  <c r="E916" i="1" l="1"/>
  <c r="G914" i="1"/>
  <c r="E914" i="1"/>
  <c r="E913" i="1"/>
  <c r="E912" i="1"/>
  <c r="E911" i="1"/>
  <c r="E910" i="1"/>
  <c r="E909" i="1"/>
  <c r="E908" i="1"/>
  <c r="E907" i="1"/>
  <c r="E906" i="1"/>
  <c r="E905" i="1"/>
  <c r="E903" i="1"/>
  <c r="G901" i="1"/>
  <c r="E901" i="1"/>
  <c r="E900" i="1"/>
  <c r="E899" i="1"/>
  <c r="E898" i="1"/>
  <c r="E897" i="1"/>
  <c r="E896" i="1"/>
  <c r="E895" i="1"/>
  <c r="E894" i="1"/>
  <c r="E893" i="1"/>
  <c r="E892" i="1"/>
  <c r="E890" i="1"/>
  <c r="G888" i="1"/>
  <c r="E888" i="1"/>
  <c r="E887" i="1"/>
  <c r="E886" i="1"/>
  <c r="E885" i="1"/>
  <c r="E884" i="1"/>
  <c r="E883" i="1"/>
  <c r="E882" i="1"/>
  <c r="E881" i="1"/>
  <c r="E880" i="1"/>
  <c r="E879" i="1"/>
  <c r="E877" i="1"/>
  <c r="G875" i="1"/>
  <c r="E875" i="1"/>
  <c r="E874" i="1"/>
  <c r="E873" i="1"/>
  <c r="E872" i="1"/>
  <c r="E871" i="1"/>
  <c r="E870" i="1"/>
  <c r="E869" i="1"/>
  <c r="E868" i="1"/>
  <c r="E867" i="1"/>
  <c r="E866" i="1"/>
  <c r="E864" i="1"/>
  <c r="G862" i="1"/>
  <c r="E862" i="1"/>
  <c r="E861" i="1"/>
  <c r="E860" i="1"/>
  <c r="E859" i="1"/>
  <c r="E858" i="1"/>
  <c r="E857" i="1"/>
  <c r="E856" i="1"/>
  <c r="E855" i="1"/>
  <c r="E854" i="1"/>
  <c r="E853" i="1"/>
  <c r="E851" i="1"/>
  <c r="G849" i="1"/>
  <c r="E849" i="1"/>
  <c r="E848" i="1"/>
  <c r="E847" i="1"/>
  <c r="E846" i="1"/>
  <c r="E845" i="1"/>
  <c r="E844" i="1"/>
  <c r="E843" i="1"/>
  <c r="E842" i="1"/>
  <c r="E841" i="1"/>
  <c r="E840" i="1"/>
  <c r="E838" i="1"/>
  <c r="G836" i="1"/>
  <c r="E836" i="1"/>
  <c r="E835" i="1"/>
  <c r="E834" i="1"/>
  <c r="E833" i="1"/>
  <c r="E832" i="1"/>
  <c r="E831" i="1"/>
  <c r="E830" i="1"/>
  <c r="E829" i="1"/>
  <c r="E828" i="1"/>
  <c r="E827" i="1"/>
  <c r="E825" i="1"/>
  <c r="G823" i="1"/>
  <c r="E823" i="1"/>
  <c r="E822" i="1"/>
  <c r="E821" i="1"/>
  <c r="E820" i="1"/>
  <c r="E819" i="1"/>
  <c r="E818" i="1"/>
  <c r="E817" i="1"/>
  <c r="E816" i="1"/>
  <c r="E815" i="1"/>
  <c r="E814" i="1"/>
  <c r="E812" i="1"/>
  <c r="G810" i="1"/>
  <c r="E810" i="1"/>
  <c r="E809" i="1"/>
  <c r="E808" i="1"/>
  <c r="E807" i="1"/>
  <c r="E806" i="1"/>
  <c r="E805" i="1"/>
  <c r="E804" i="1"/>
  <c r="E803" i="1"/>
  <c r="E802" i="1"/>
  <c r="E801" i="1"/>
  <c r="E799" i="1"/>
  <c r="G797" i="1"/>
  <c r="E797" i="1"/>
  <c r="E796" i="1"/>
  <c r="E795" i="1"/>
  <c r="E794" i="1"/>
  <c r="E793" i="1"/>
  <c r="E792" i="1"/>
  <c r="E791" i="1"/>
  <c r="E790" i="1"/>
  <c r="E789" i="1"/>
  <c r="E788" i="1"/>
  <c r="E786" i="1"/>
  <c r="G784" i="1"/>
  <c r="E784" i="1"/>
  <c r="E783" i="1"/>
  <c r="E782" i="1"/>
  <c r="E781" i="1"/>
  <c r="E780" i="1"/>
  <c r="E779" i="1"/>
  <c r="E778" i="1"/>
  <c r="E777" i="1"/>
  <c r="E776" i="1"/>
  <c r="E775" i="1"/>
  <c r="E773" i="1"/>
  <c r="G771" i="1"/>
  <c r="E771" i="1"/>
  <c r="E770" i="1"/>
  <c r="E769" i="1"/>
  <c r="E768" i="1"/>
  <c r="E767" i="1"/>
  <c r="E766" i="1"/>
  <c r="E765" i="1"/>
  <c r="E764" i="1"/>
  <c r="E763" i="1"/>
  <c r="E762" i="1"/>
  <c r="E760" i="1"/>
  <c r="G758" i="1"/>
  <c r="E758" i="1"/>
  <c r="E757" i="1"/>
  <c r="E756" i="1"/>
  <c r="E755" i="1"/>
  <c r="E754" i="1"/>
  <c r="E753" i="1"/>
  <c r="E752" i="1"/>
  <c r="E751" i="1"/>
  <c r="E750" i="1"/>
  <c r="E749" i="1"/>
  <c r="E747" i="1"/>
  <c r="G745" i="1"/>
  <c r="E745" i="1"/>
  <c r="E744" i="1"/>
  <c r="E743" i="1"/>
  <c r="E742" i="1"/>
  <c r="E741" i="1"/>
  <c r="E740" i="1"/>
  <c r="E739" i="1"/>
  <c r="E738" i="1"/>
  <c r="E737" i="1"/>
  <c r="E736" i="1"/>
  <c r="E734" i="1"/>
  <c r="G732" i="1"/>
  <c r="E732" i="1"/>
  <c r="E731" i="1"/>
  <c r="E730" i="1"/>
  <c r="E729" i="1"/>
  <c r="E728" i="1"/>
  <c r="E727" i="1"/>
  <c r="E726" i="1"/>
  <c r="E725" i="1"/>
  <c r="E724" i="1"/>
  <c r="E723" i="1"/>
  <c r="E721" i="1"/>
  <c r="G719" i="1"/>
  <c r="E719" i="1"/>
  <c r="E718" i="1"/>
  <c r="E717" i="1"/>
  <c r="E716" i="1"/>
  <c r="E715" i="1"/>
  <c r="E714" i="1"/>
  <c r="E713" i="1"/>
  <c r="E712" i="1"/>
  <c r="E711" i="1"/>
  <c r="E710" i="1"/>
  <c r="E708" i="1"/>
  <c r="G706" i="1"/>
  <c r="E706" i="1"/>
  <c r="E705" i="1"/>
  <c r="E704" i="1"/>
  <c r="E703" i="1"/>
  <c r="E702" i="1"/>
  <c r="E701" i="1"/>
  <c r="E700" i="1"/>
  <c r="E699" i="1"/>
  <c r="E698" i="1"/>
  <c r="E697" i="1"/>
  <c r="E695" i="1"/>
  <c r="G693" i="1"/>
  <c r="E693" i="1"/>
  <c r="E692" i="1"/>
  <c r="E691" i="1"/>
  <c r="E690" i="1"/>
  <c r="E689" i="1"/>
  <c r="E688" i="1"/>
  <c r="E687" i="1"/>
  <c r="E686" i="1"/>
  <c r="E685" i="1"/>
  <c r="E684" i="1"/>
  <c r="E682" i="1"/>
  <c r="G680" i="1"/>
  <c r="E680" i="1"/>
  <c r="E679" i="1"/>
  <c r="E678" i="1"/>
  <c r="E677" i="1"/>
  <c r="E676" i="1"/>
  <c r="E675" i="1"/>
  <c r="E674" i="1"/>
  <c r="E673" i="1"/>
  <c r="E672" i="1"/>
  <c r="E671" i="1"/>
  <c r="E669" i="1"/>
  <c r="G667" i="1"/>
  <c r="E667" i="1"/>
  <c r="E666" i="1"/>
  <c r="E665" i="1"/>
  <c r="E664" i="1"/>
  <c r="E663" i="1"/>
  <c r="E662" i="1"/>
  <c r="E661" i="1"/>
  <c r="E660" i="1"/>
  <c r="E659" i="1"/>
  <c r="E658" i="1"/>
  <c r="E656" i="1"/>
  <c r="G654" i="1"/>
  <c r="E654" i="1"/>
  <c r="E653" i="1"/>
  <c r="E652" i="1"/>
  <c r="E651" i="1"/>
  <c r="E650" i="1"/>
  <c r="E649" i="1"/>
  <c r="E648" i="1"/>
  <c r="E647" i="1"/>
  <c r="E646" i="1"/>
  <c r="E645" i="1"/>
  <c r="E643" i="1"/>
  <c r="G641" i="1"/>
  <c r="E641" i="1"/>
  <c r="E640" i="1"/>
  <c r="E639" i="1"/>
  <c r="E638" i="1"/>
  <c r="E637" i="1"/>
  <c r="E636" i="1"/>
  <c r="E635" i="1"/>
  <c r="E634" i="1"/>
  <c r="E633" i="1"/>
  <c r="E632" i="1"/>
  <c r="E630" i="1"/>
  <c r="G628" i="1"/>
  <c r="E628" i="1"/>
  <c r="E627" i="1"/>
  <c r="E626" i="1"/>
  <c r="E625" i="1"/>
  <c r="E624" i="1"/>
  <c r="E623" i="1"/>
  <c r="E622" i="1"/>
  <c r="E621" i="1"/>
  <c r="E620" i="1"/>
  <c r="E619" i="1"/>
  <c r="E617" i="1"/>
  <c r="G615" i="1"/>
  <c r="E615" i="1"/>
  <c r="E614" i="1"/>
  <c r="E613" i="1"/>
  <c r="E612" i="1"/>
  <c r="E611" i="1"/>
  <c r="E610" i="1"/>
  <c r="E609" i="1"/>
  <c r="E608" i="1"/>
  <c r="E607" i="1"/>
  <c r="E606" i="1"/>
  <c r="E604" i="1"/>
  <c r="G602" i="1"/>
  <c r="E602" i="1"/>
  <c r="E601" i="1"/>
  <c r="E600" i="1"/>
  <c r="E599" i="1"/>
  <c r="E598" i="1"/>
  <c r="E597" i="1"/>
  <c r="E596" i="1"/>
  <c r="E595" i="1"/>
  <c r="E594" i="1"/>
  <c r="E593" i="1"/>
  <c r="E591" i="1"/>
  <c r="G589" i="1"/>
  <c r="E589" i="1"/>
  <c r="E588" i="1"/>
  <c r="E587" i="1"/>
  <c r="E586" i="1"/>
  <c r="E585" i="1"/>
  <c r="E584" i="1"/>
  <c r="E583" i="1"/>
  <c r="E582" i="1"/>
  <c r="E581" i="1"/>
  <c r="E580" i="1"/>
  <c r="E578" i="1"/>
  <c r="G576" i="1"/>
  <c r="E576" i="1"/>
  <c r="E575" i="1"/>
  <c r="E574" i="1"/>
  <c r="E573" i="1"/>
  <c r="E572" i="1"/>
  <c r="E571" i="1"/>
  <c r="E570" i="1"/>
  <c r="E569" i="1"/>
  <c r="E568" i="1"/>
  <c r="E567" i="1"/>
  <c r="E565" i="1"/>
  <c r="G563" i="1"/>
  <c r="E563" i="1"/>
  <c r="E562" i="1"/>
  <c r="E561" i="1"/>
  <c r="E560" i="1"/>
  <c r="E559" i="1"/>
  <c r="E558" i="1"/>
  <c r="E557" i="1"/>
  <c r="E556" i="1"/>
  <c r="E555" i="1"/>
  <c r="E554" i="1"/>
  <c r="E552" i="1"/>
  <c r="G550" i="1"/>
  <c r="E550" i="1"/>
  <c r="E549" i="1"/>
  <c r="E548" i="1"/>
  <c r="E547" i="1"/>
  <c r="E546" i="1"/>
  <c r="E545" i="1"/>
  <c r="E544" i="1"/>
  <c r="E543" i="1"/>
  <c r="E542" i="1"/>
  <c r="E541" i="1"/>
  <c r="E539" i="1"/>
  <c r="G537" i="1"/>
  <c r="E537" i="1"/>
  <c r="E536" i="1"/>
  <c r="E535" i="1"/>
  <c r="E534" i="1"/>
  <c r="E533" i="1"/>
  <c r="E532" i="1"/>
  <c r="E531" i="1"/>
  <c r="E530" i="1"/>
  <c r="E529" i="1"/>
  <c r="E528" i="1"/>
  <c r="E526" i="1"/>
  <c r="G524" i="1"/>
  <c r="E524" i="1"/>
  <c r="E523" i="1"/>
  <c r="E522" i="1"/>
  <c r="E521" i="1"/>
  <c r="E520" i="1"/>
  <c r="E519" i="1"/>
  <c r="E518" i="1"/>
  <c r="E517" i="1"/>
  <c r="E516" i="1"/>
  <c r="E515" i="1"/>
  <c r="E513" i="1"/>
  <c r="G511" i="1"/>
  <c r="E511" i="1"/>
  <c r="E510" i="1"/>
  <c r="E509" i="1"/>
  <c r="E508" i="1"/>
  <c r="E507" i="1"/>
  <c r="E506" i="1"/>
  <c r="E505" i="1"/>
  <c r="E504" i="1"/>
  <c r="E503" i="1"/>
  <c r="E502" i="1"/>
  <c r="E500" i="1"/>
  <c r="G498" i="1"/>
  <c r="E498" i="1"/>
  <c r="E497" i="1"/>
  <c r="E496" i="1"/>
  <c r="E495" i="1"/>
  <c r="E494" i="1"/>
  <c r="E493" i="1"/>
  <c r="E492" i="1"/>
  <c r="E491" i="1"/>
  <c r="E490" i="1"/>
  <c r="E489" i="1"/>
  <c r="E487" i="1"/>
  <c r="G485" i="1"/>
  <c r="E485" i="1"/>
  <c r="E484" i="1"/>
  <c r="E483" i="1"/>
  <c r="E482" i="1"/>
  <c r="E481" i="1"/>
  <c r="E480" i="1"/>
  <c r="E479" i="1"/>
  <c r="E478" i="1"/>
  <c r="E477" i="1"/>
  <c r="E476" i="1"/>
  <c r="E474" i="1"/>
  <c r="G472" i="1"/>
  <c r="E472" i="1"/>
  <c r="E471" i="1"/>
  <c r="E470" i="1"/>
  <c r="E469" i="1"/>
  <c r="E468" i="1"/>
  <c r="E467" i="1"/>
  <c r="E466" i="1"/>
  <c r="E465" i="1"/>
  <c r="E464" i="1"/>
  <c r="E463" i="1"/>
  <c r="E461" i="1"/>
  <c r="G459" i="1"/>
  <c r="E459" i="1"/>
  <c r="E458" i="1"/>
  <c r="E457" i="1"/>
  <c r="E456" i="1"/>
  <c r="E455" i="1"/>
  <c r="E454" i="1"/>
  <c r="E453" i="1"/>
  <c r="E452" i="1"/>
  <c r="E451" i="1"/>
  <c r="E450" i="1"/>
  <c r="E448" i="1"/>
  <c r="G446" i="1"/>
  <c r="E446" i="1"/>
  <c r="E445" i="1"/>
  <c r="E444" i="1"/>
  <c r="E443" i="1"/>
  <c r="E442" i="1"/>
  <c r="E441" i="1"/>
  <c r="E440" i="1"/>
  <c r="E439" i="1"/>
  <c r="E438" i="1"/>
  <c r="E437" i="1"/>
  <c r="E435" i="1"/>
  <c r="G433" i="1"/>
  <c r="E433" i="1"/>
  <c r="E432" i="1"/>
  <c r="E431" i="1"/>
  <c r="E430" i="1"/>
  <c r="E429" i="1"/>
  <c r="E428" i="1"/>
  <c r="E427" i="1"/>
  <c r="E426" i="1"/>
  <c r="E425" i="1"/>
  <c r="E424" i="1"/>
  <c r="E422" i="1"/>
  <c r="G420" i="1"/>
  <c r="E420" i="1"/>
  <c r="E419" i="1"/>
  <c r="E418" i="1"/>
  <c r="E417" i="1"/>
  <c r="E416" i="1"/>
  <c r="E415" i="1"/>
  <c r="E414" i="1"/>
  <c r="E413" i="1"/>
  <c r="E412" i="1"/>
  <c r="E411" i="1"/>
  <c r="E409" i="1"/>
  <c r="G407" i="1"/>
  <c r="E407" i="1"/>
  <c r="E406" i="1"/>
  <c r="E405" i="1"/>
  <c r="E404" i="1"/>
  <c r="E403" i="1"/>
  <c r="E402" i="1"/>
  <c r="E401" i="1"/>
  <c r="E400" i="1"/>
  <c r="E399" i="1"/>
  <c r="E398" i="1"/>
  <c r="E396" i="1"/>
  <c r="G394" i="1"/>
  <c r="E394" i="1"/>
  <c r="E393" i="1"/>
  <c r="E392" i="1"/>
  <c r="E391" i="1"/>
  <c r="E390" i="1"/>
  <c r="E389" i="1"/>
  <c r="E388" i="1"/>
  <c r="E387" i="1"/>
  <c r="E386" i="1"/>
  <c r="E385" i="1"/>
  <c r="E383" i="1"/>
  <c r="G381" i="1"/>
  <c r="E381" i="1"/>
  <c r="E380" i="1"/>
  <c r="E379" i="1"/>
  <c r="E378" i="1"/>
  <c r="E377" i="1"/>
  <c r="E376" i="1"/>
  <c r="E375" i="1"/>
  <c r="E374" i="1"/>
  <c r="E373" i="1"/>
  <c r="E372" i="1"/>
  <c r="E370" i="1"/>
  <c r="G368" i="1"/>
  <c r="E368" i="1"/>
  <c r="E367" i="1"/>
  <c r="E366" i="1"/>
  <c r="E365" i="1"/>
  <c r="E364" i="1"/>
  <c r="E363" i="1"/>
  <c r="E362" i="1"/>
  <c r="E361" i="1"/>
  <c r="E360" i="1"/>
  <c r="E359" i="1"/>
  <c r="E357" i="1"/>
  <c r="G355" i="1"/>
  <c r="E355" i="1"/>
  <c r="E354" i="1"/>
  <c r="E353" i="1"/>
  <c r="E352" i="1"/>
  <c r="E351" i="1"/>
  <c r="E350" i="1"/>
  <c r="E349" i="1"/>
  <c r="E348" i="1"/>
  <c r="E347" i="1"/>
  <c r="E346" i="1"/>
  <c r="E344" i="1"/>
  <c r="G342" i="1"/>
  <c r="E342" i="1"/>
  <c r="E341" i="1"/>
  <c r="E340" i="1"/>
  <c r="E339" i="1"/>
  <c r="E338" i="1"/>
  <c r="E337" i="1"/>
  <c r="E336" i="1"/>
  <c r="E335" i="1"/>
  <c r="E334" i="1"/>
  <c r="E333" i="1"/>
  <c r="E331" i="1"/>
  <c r="G329" i="1"/>
  <c r="E329" i="1"/>
  <c r="E328" i="1"/>
  <c r="E327" i="1"/>
  <c r="E326" i="1"/>
  <c r="E325" i="1"/>
  <c r="E324" i="1"/>
  <c r="E323" i="1"/>
  <c r="E322" i="1"/>
  <c r="E321" i="1"/>
  <c r="E320" i="1"/>
  <c r="E318" i="1"/>
  <c r="G316" i="1"/>
  <c r="E316" i="1"/>
  <c r="E315" i="1"/>
  <c r="E314" i="1"/>
  <c r="E313" i="1"/>
  <c r="E312" i="1"/>
  <c r="E311" i="1"/>
  <c r="E310" i="1"/>
  <c r="E309" i="1"/>
  <c r="E308" i="1"/>
  <c r="E307" i="1"/>
  <c r="E305" i="1"/>
  <c r="G303" i="1"/>
  <c r="E303" i="1"/>
  <c r="E302" i="1"/>
  <c r="E301" i="1"/>
  <c r="E300" i="1"/>
  <c r="E299" i="1"/>
  <c r="E298" i="1"/>
  <c r="E297" i="1"/>
  <c r="E296" i="1"/>
  <c r="E295" i="1"/>
  <c r="E294" i="1"/>
  <c r="E292" i="1"/>
  <c r="G290" i="1"/>
  <c r="E290" i="1"/>
  <c r="E289" i="1"/>
  <c r="E288" i="1"/>
  <c r="E287" i="1"/>
  <c r="E286" i="1"/>
  <c r="E285" i="1"/>
  <c r="E284" i="1"/>
  <c r="E283" i="1"/>
  <c r="E282" i="1"/>
  <c r="E281" i="1"/>
  <c r="E279" i="1"/>
  <c r="G277" i="1"/>
  <c r="E277" i="1"/>
  <c r="E276" i="1"/>
  <c r="E275" i="1"/>
  <c r="E274" i="1"/>
  <c r="E273" i="1"/>
  <c r="E272" i="1"/>
  <c r="E271" i="1"/>
  <c r="E270" i="1"/>
  <c r="E269" i="1"/>
  <c r="E268" i="1"/>
  <c r="E266" i="1"/>
  <c r="G264" i="1"/>
  <c r="E264" i="1"/>
  <c r="E263" i="1"/>
  <c r="E262" i="1"/>
  <c r="E261" i="1"/>
  <c r="E260" i="1"/>
  <c r="E259" i="1"/>
  <c r="E258" i="1"/>
  <c r="E257" i="1"/>
  <c r="E256" i="1"/>
  <c r="E255" i="1"/>
  <c r="E253" i="1"/>
  <c r="G251" i="1"/>
  <c r="E251" i="1"/>
  <c r="E250" i="1"/>
  <c r="E249" i="1"/>
  <c r="E248" i="1"/>
  <c r="E247" i="1"/>
  <c r="E246" i="1"/>
  <c r="E245" i="1"/>
  <c r="E244" i="1"/>
  <c r="E243" i="1"/>
  <c r="E242" i="1"/>
  <c r="E240" i="1"/>
  <c r="G238" i="1"/>
  <c r="E238" i="1"/>
  <c r="E237" i="1"/>
  <c r="E236" i="1"/>
  <c r="E235" i="1"/>
  <c r="E234" i="1"/>
  <c r="E233" i="1"/>
  <c r="E232" i="1"/>
  <c r="E231" i="1"/>
  <c r="E230" i="1"/>
  <c r="E229" i="1"/>
  <c r="E227" i="1"/>
  <c r="G225" i="1"/>
  <c r="E225" i="1"/>
  <c r="E224" i="1"/>
  <c r="E223" i="1"/>
  <c r="E222" i="1"/>
  <c r="E221" i="1"/>
  <c r="E220" i="1"/>
  <c r="E219" i="1"/>
  <c r="E218" i="1"/>
  <c r="E217" i="1"/>
  <c r="E216" i="1"/>
  <c r="E214" i="1"/>
  <c r="G212" i="1"/>
  <c r="E212" i="1"/>
  <c r="E211" i="1"/>
  <c r="E210" i="1"/>
  <c r="E209" i="1"/>
  <c r="E208" i="1"/>
  <c r="E207" i="1"/>
  <c r="E206" i="1"/>
  <c r="E205" i="1"/>
  <c r="E204" i="1"/>
  <c r="E203" i="1"/>
  <c r="E201" i="1"/>
  <c r="G199" i="1"/>
  <c r="E199" i="1"/>
  <c r="E198" i="1"/>
  <c r="E197" i="1"/>
  <c r="E196" i="1"/>
  <c r="E195" i="1"/>
  <c r="E194" i="1"/>
  <c r="E193" i="1"/>
  <c r="E192" i="1"/>
  <c r="E191" i="1"/>
  <c r="E190" i="1"/>
  <c r="E188" i="1"/>
  <c r="G186" i="1"/>
  <c r="E186" i="1"/>
  <c r="E185" i="1"/>
  <c r="E184" i="1"/>
  <c r="E183" i="1"/>
  <c r="E182" i="1"/>
  <c r="E181" i="1"/>
  <c r="E180" i="1"/>
  <c r="E179" i="1"/>
  <c r="E178" i="1"/>
  <c r="E177" i="1"/>
  <c r="E175" i="1"/>
  <c r="G173" i="1"/>
  <c r="E173" i="1"/>
  <c r="E172" i="1"/>
  <c r="E171" i="1"/>
  <c r="E170" i="1"/>
  <c r="E169" i="1"/>
  <c r="E168" i="1"/>
  <c r="E167" i="1"/>
  <c r="E166" i="1"/>
  <c r="E165" i="1"/>
  <c r="E164" i="1"/>
  <c r="E162" i="1"/>
  <c r="G160" i="1"/>
  <c r="E160" i="1"/>
  <c r="E159" i="1"/>
  <c r="E158" i="1"/>
  <c r="E157" i="1"/>
  <c r="E156" i="1"/>
  <c r="E155" i="1"/>
  <c r="E154" i="1"/>
  <c r="E153" i="1"/>
  <c r="E152" i="1"/>
  <c r="E151" i="1"/>
  <c r="E149" i="1"/>
  <c r="G147" i="1"/>
  <c r="E147" i="1"/>
  <c r="E146" i="1"/>
  <c r="E145" i="1"/>
  <c r="E144" i="1"/>
  <c r="E143" i="1"/>
  <c r="E142" i="1"/>
  <c r="E141" i="1"/>
  <c r="E140" i="1"/>
  <c r="E139" i="1"/>
  <c r="E138" i="1"/>
  <c r="E136" i="1"/>
  <c r="G134" i="1"/>
  <c r="E134" i="1"/>
  <c r="E133" i="1"/>
  <c r="E132" i="1"/>
  <c r="E131" i="1"/>
  <c r="E130" i="1"/>
  <c r="E129" i="1"/>
  <c r="E128" i="1"/>
  <c r="E127" i="1"/>
  <c r="E126" i="1"/>
  <c r="E125" i="1"/>
  <c r="E123" i="1"/>
  <c r="G121" i="1"/>
  <c r="E121" i="1"/>
  <c r="E120" i="1"/>
  <c r="E119" i="1"/>
  <c r="E118" i="1"/>
  <c r="E117" i="1"/>
  <c r="E116" i="1"/>
  <c r="E115" i="1"/>
  <c r="E114" i="1"/>
  <c r="E113" i="1"/>
  <c r="E112" i="1"/>
  <c r="E110" i="1"/>
  <c r="G108" i="1"/>
  <c r="E108" i="1"/>
  <c r="E107" i="1"/>
  <c r="E106" i="1"/>
  <c r="E105" i="1"/>
  <c r="E104" i="1"/>
  <c r="E103" i="1"/>
  <c r="E102" i="1"/>
  <c r="E101" i="1"/>
  <c r="E100" i="1"/>
  <c r="E99" i="1"/>
  <c r="E97" i="1"/>
  <c r="G95" i="1"/>
  <c r="E95" i="1"/>
  <c r="E94" i="1"/>
  <c r="E93" i="1"/>
  <c r="E92" i="1"/>
  <c r="E91" i="1"/>
  <c r="E90" i="1"/>
  <c r="E89" i="1"/>
  <c r="E88" i="1"/>
  <c r="E87" i="1"/>
  <c r="E86" i="1"/>
  <c r="E84" i="1"/>
  <c r="G82" i="1"/>
  <c r="E82" i="1"/>
  <c r="E81" i="1"/>
  <c r="E80" i="1"/>
  <c r="E79" i="1"/>
  <c r="E78" i="1"/>
  <c r="E77" i="1"/>
  <c r="E76" i="1"/>
  <c r="E75" i="1"/>
  <c r="E74" i="1"/>
  <c r="E73" i="1"/>
  <c r="E71" i="1"/>
  <c r="G69" i="1"/>
  <c r="E69" i="1"/>
  <c r="E68" i="1"/>
  <c r="E67" i="1"/>
  <c r="E66" i="1"/>
  <c r="E65" i="1"/>
  <c r="E64" i="1"/>
  <c r="E63" i="1"/>
  <c r="E62" i="1"/>
  <c r="E61" i="1"/>
  <c r="E60" i="1"/>
  <c r="E58" i="1"/>
  <c r="G56" i="1"/>
  <c r="E56" i="1"/>
  <c r="E55" i="1"/>
  <c r="E54" i="1"/>
  <c r="E53" i="1"/>
  <c r="E52" i="1"/>
  <c r="E51" i="1"/>
  <c r="E50" i="1"/>
  <c r="E49" i="1"/>
  <c r="E48" i="1"/>
  <c r="E47" i="1"/>
  <c r="E45" i="1"/>
  <c r="G43" i="1"/>
  <c r="E43" i="1"/>
  <c r="E42" i="1"/>
  <c r="E41" i="1"/>
  <c r="E40" i="1"/>
  <c r="E39" i="1"/>
  <c r="E38" i="1"/>
  <c r="E37" i="1"/>
  <c r="E36" i="1"/>
  <c r="E35" i="1"/>
  <c r="E34" i="1"/>
  <c r="E32" i="1"/>
  <c r="G30" i="1"/>
  <c r="E30" i="1"/>
  <c r="E29" i="1"/>
  <c r="E28" i="1"/>
  <c r="E27" i="1"/>
  <c r="E26" i="1"/>
  <c r="E25" i="1"/>
  <c r="E24" i="1"/>
  <c r="E23" i="1"/>
  <c r="E22" i="1"/>
  <c r="M21" i="1"/>
  <c r="E21" i="1"/>
  <c r="D20" i="1"/>
  <c r="D33" i="1" l="1"/>
  <c r="B20" i="1"/>
  <c r="M32" i="1"/>
  <c r="M17" i="1"/>
  <c r="D7" i="1"/>
  <c r="G17" i="1"/>
  <c r="M30" i="1" s="1"/>
  <c r="A6" i="1"/>
  <c r="M36" i="1" l="1"/>
  <c r="C33" i="1"/>
  <c r="M45" i="1"/>
  <c r="B33" i="1"/>
  <c r="M43" i="1"/>
  <c r="M34" i="1"/>
  <c r="D46" i="1"/>
  <c r="M23" i="1"/>
  <c r="C20" i="1"/>
  <c r="E9" i="1"/>
  <c r="E10" i="1"/>
  <c r="E11" i="1"/>
  <c r="E12" i="1"/>
  <c r="E13" i="1"/>
  <c r="E14" i="1"/>
  <c r="E15" i="1"/>
  <c r="E19" i="1"/>
  <c r="E16" i="1"/>
  <c r="E17" i="1"/>
  <c r="E8" i="1"/>
  <c r="M58" i="1" l="1"/>
  <c r="B46" i="1"/>
  <c r="M56" i="1"/>
  <c r="M47" i="1"/>
  <c r="M49" i="1"/>
  <c r="C46" i="1"/>
  <c r="D59" i="1"/>
  <c r="D85" i="1"/>
  <c r="D72" i="1"/>
  <c r="B7" i="1"/>
  <c r="M10" i="1" s="1"/>
  <c r="M8" i="1"/>
  <c r="M19" i="1"/>
  <c r="M97" i="1" l="1"/>
  <c r="B85" i="1"/>
  <c r="C85" i="1" s="1"/>
  <c r="M95" i="1"/>
  <c r="M86" i="1"/>
  <c r="M82" i="1"/>
  <c r="M73" i="1"/>
  <c r="M75" i="1"/>
  <c r="C72" i="1"/>
  <c r="M84" i="1"/>
  <c r="B72" i="1"/>
  <c r="D111" i="1"/>
  <c r="M69" i="1"/>
  <c r="M60" i="1"/>
  <c r="M71" i="1"/>
  <c r="B59" i="1"/>
  <c r="C59" i="1" s="1"/>
  <c r="M62" i="1"/>
  <c r="D98" i="1"/>
  <c r="C7" i="1"/>
  <c r="M88" i="1" l="1"/>
  <c r="M101" i="1"/>
  <c r="M110" i="1"/>
  <c r="B98" i="1"/>
  <c r="C98" i="1" s="1"/>
  <c r="M108" i="1"/>
  <c r="M99" i="1"/>
  <c r="D124" i="1"/>
  <c r="M123" i="1"/>
  <c r="B111" i="1"/>
  <c r="C111" i="1" s="1"/>
  <c r="M121" i="1"/>
  <c r="M112" i="1"/>
  <c r="M136" i="1" l="1"/>
  <c r="B124" i="1"/>
  <c r="M134" i="1"/>
  <c r="M125" i="1"/>
  <c r="M127" i="1"/>
  <c r="C124" i="1"/>
  <c r="M114" i="1"/>
  <c r="D137" i="1"/>
  <c r="M147" i="1" l="1"/>
  <c r="M138" i="1"/>
  <c r="M149" i="1"/>
  <c r="B137" i="1"/>
  <c r="C137" i="1" s="1"/>
  <c r="M140" i="1"/>
  <c r="D150" i="1"/>
  <c r="D163" i="1"/>
  <c r="M160" i="1" l="1"/>
  <c r="M151" i="1"/>
  <c r="M153" i="1"/>
  <c r="C150" i="1"/>
  <c r="M162" i="1"/>
  <c r="B150" i="1"/>
  <c r="M166" i="1"/>
  <c r="M175" i="1"/>
  <c r="B163" i="1"/>
  <c r="C163" i="1" s="1"/>
  <c r="M173" i="1"/>
  <c r="M164" i="1"/>
  <c r="D176" i="1"/>
  <c r="M179" i="1" l="1"/>
  <c r="M188" i="1"/>
  <c r="B176" i="1"/>
  <c r="C176" i="1" s="1"/>
  <c r="M177" i="1"/>
  <c r="M186" i="1"/>
  <c r="D189" i="1"/>
  <c r="M201" i="1" l="1"/>
  <c r="B189" i="1"/>
  <c r="M192" i="1" s="1"/>
  <c r="M199" i="1"/>
  <c r="M190" i="1"/>
  <c r="D202" i="1"/>
  <c r="C189" i="1" l="1"/>
  <c r="M214" i="1"/>
  <c r="B202" i="1"/>
  <c r="C202" i="1" s="1"/>
  <c r="M212" i="1"/>
  <c r="M203" i="1"/>
  <c r="M205" i="1"/>
  <c r="D215" i="1"/>
  <c r="M225" i="1" l="1"/>
  <c r="M216" i="1"/>
  <c r="M227" i="1"/>
  <c r="B215" i="1"/>
  <c r="C215" i="1" s="1"/>
  <c r="D228" i="1"/>
  <c r="M218" i="1" l="1"/>
  <c r="M238" i="1"/>
  <c r="M229" i="1"/>
  <c r="B228" i="1"/>
  <c r="C228" i="1" s="1"/>
  <c r="M240" i="1"/>
  <c r="D241" i="1"/>
  <c r="M231" i="1" l="1"/>
  <c r="M253" i="1"/>
  <c r="B241" i="1"/>
  <c r="M244" i="1" s="1"/>
  <c r="M251" i="1"/>
  <c r="M242" i="1"/>
  <c r="D254" i="1"/>
  <c r="C241" i="1" l="1"/>
  <c r="M266" i="1"/>
  <c r="B254" i="1"/>
  <c r="M257" i="1" s="1"/>
  <c r="M264" i="1"/>
  <c r="M255" i="1"/>
  <c r="D267" i="1"/>
  <c r="C254" i="1" l="1"/>
  <c r="M279" i="1"/>
  <c r="B267" i="1"/>
  <c r="M270" i="1" s="1"/>
  <c r="M277" i="1"/>
  <c r="M268" i="1"/>
  <c r="D280" i="1"/>
  <c r="C267" i="1" l="1"/>
  <c r="M292" i="1"/>
  <c r="B280" i="1"/>
  <c r="C280" i="1" s="1"/>
  <c r="M290" i="1"/>
  <c r="M281" i="1"/>
  <c r="M283" i="1"/>
  <c r="D293" i="1"/>
  <c r="M303" i="1" l="1"/>
  <c r="M294" i="1"/>
  <c r="M305" i="1"/>
  <c r="B293" i="1"/>
  <c r="C293" i="1" s="1"/>
  <c r="D306" i="1"/>
  <c r="M296" i="1" l="1"/>
  <c r="M316" i="1"/>
  <c r="M307" i="1"/>
  <c r="M309" i="1"/>
  <c r="C306" i="1"/>
  <c r="M318" i="1"/>
  <c r="B306" i="1"/>
  <c r="D319" i="1"/>
  <c r="M331" i="1" l="1"/>
  <c r="B319" i="1"/>
  <c r="M322" i="1" s="1"/>
  <c r="M329" i="1"/>
  <c r="M320" i="1"/>
  <c r="D332" i="1"/>
  <c r="C319" i="1" l="1"/>
  <c r="M344" i="1"/>
  <c r="B332" i="1"/>
  <c r="M335" i="1" s="1"/>
  <c r="M333" i="1"/>
  <c r="M342" i="1"/>
  <c r="D345" i="1"/>
  <c r="C332" i="1" l="1"/>
  <c r="M357" i="1"/>
  <c r="B345" i="1"/>
  <c r="M348" i="1" s="1"/>
  <c r="M355" i="1"/>
  <c r="M346" i="1"/>
  <c r="D358" i="1"/>
  <c r="C345" i="1" l="1"/>
  <c r="M370" i="1"/>
  <c r="B358" i="1"/>
  <c r="C358" i="1" s="1"/>
  <c r="M368" i="1"/>
  <c r="M359" i="1"/>
  <c r="D371" i="1"/>
  <c r="M361" i="1" l="1"/>
  <c r="M381" i="1"/>
  <c r="M372" i="1"/>
  <c r="M383" i="1"/>
  <c r="B371" i="1"/>
  <c r="M374" i="1" s="1"/>
  <c r="D384" i="1"/>
  <c r="C371" i="1" l="1"/>
  <c r="M394" i="1"/>
  <c r="M385" i="1"/>
  <c r="B384" i="1"/>
  <c r="M387" i="1" s="1"/>
  <c r="M396" i="1"/>
  <c r="D397" i="1"/>
  <c r="C384" i="1" l="1"/>
  <c r="M409" i="1"/>
  <c r="B397" i="1"/>
  <c r="M400" i="1" s="1"/>
  <c r="M407" i="1"/>
  <c r="M398" i="1"/>
  <c r="D410" i="1"/>
  <c r="C397" i="1" l="1"/>
  <c r="M422" i="1"/>
  <c r="B410" i="1"/>
  <c r="M413" i="1" s="1"/>
  <c r="M411" i="1"/>
  <c r="M420" i="1"/>
  <c r="D423" i="1"/>
  <c r="C410" i="1" l="1"/>
  <c r="M435" i="1"/>
  <c r="B423" i="1"/>
  <c r="M426" i="1" s="1"/>
  <c r="M433" i="1"/>
  <c r="M424" i="1"/>
  <c r="D436" i="1"/>
  <c r="C423" i="1" l="1"/>
  <c r="M448" i="1"/>
  <c r="B436" i="1"/>
  <c r="C436" i="1" s="1"/>
  <c r="M446" i="1"/>
  <c r="M437" i="1"/>
  <c r="M439" i="1"/>
  <c r="D449" i="1"/>
  <c r="M459" i="1" l="1"/>
  <c r="M450" i="1"/>
  <c r="M461" i="1"/>
  <c r="B449" i="1"/>
  <c r="C449" i="1" s="1"/>
  <c r="D462" i="1"/>
  <c r="M452" i="1" l="1"/>
  <c r="M472" i="1"/>
  <c r="M463" i="1"/>
  <c r="M465" i="1"/>
  <c r="C462" i="1"/>
  <c r="M474" i="1"/>
  <c r="B462" i="1"/>
  <c r="D475" i="1"/>
  <c r="M487" i="1" l="1"/>
  <c r="B475" i="1"/>
  <c r="M478" i="1" s="1"/>
  <c r="M485" i="1"/>
  <c r="M476" i="1"/>
  <c r="D488" i="1"/>
  <c r="C475" i="1" l="1"/>
  <c r="M500" i="1"/>
  <c r="B488" i="1"/>
  <c r="M491" i="1" s="1"/>
  <c r="M489" i="1"/>
  <c r="M498" i="1"/>
  <c r="D501" i="1"/>
  <c r="C488" i="1" l="1"/>
  <c r="M513" i="1"/>
  <c r="B501" i="1"/>
  <c r="M504" i="1" s="1"/>
  <c r="M511" i="1"/>
  <c r="M502" i="1"/>
  <c r="D514" i="1"/>
  <c r="C501" i="1" l="1"/>
  <c r="M526" i="1"/>
  <c r="B514" i="1"/>
  <c r="C514" i="1" s="1"/>
  <c r="M524" i="1"/>
  <c r="M515" i="1"/>
  <c r="M517" i="1"/>
  <c r="D527" i="1"/>
  <c r="M537" i="1" l="1"/>
  <c r="M528" i="1"/>
  <c r="M539" i="1"/>
  <c r="B527" i="1"/>
  <c r="C527" i="1" s="1"/>
  <c r="D540" i="1"/>
  <c r="M530" i="1" l="1"/>
  <c r="M550" i="1"/>
  <c r="M541" i="1"/>
  <c r="C540" i="1"/>
  <c r="M552" i="1"/>
  <c r="B540" i="1"/>
  <c r="M543" i="1" s="1"/>
  <c r="D553" i="1"/>
  <c r="M565" i="1" l="1"/>
  <c r="B553" i="1"/>
  <c r="M556" i="1" s="1"/>
  <c r="M563" i="1"/>
  <c r="M554" i="1"/>
  <c r="D566" i="1"/>
  <c r="C553" i="1" l="1"/>
  <c r="M578" i="1"/>
  <c r="B566" i="1"/>
  <c r="M569" i="1" s="1"/>
  <c r="M567" i="1"/>
  <c r="M576" i="1"/>
  <c r="D579" i="1"/>
  <c r="C566" i="1" l="1"/>
  <c r="M591" i="1"/>
  <c r="B579" i="1"/>
  <c r="M582" i="1" s="1"/>
  <c r="M589" i="1"/>
  <c r="M580" i="1"/>
  <c r="D592" i="1"/>
  <c r="C579" i="1" l="1"/>
  <c r="M604" i="1"/>
  <c r="B592" i="1"/>
  <c r="C592" i="1" s="1"/>
  <c r="M602" i="1"/>
  <c r="M593" i="1"/>
  <c r="M595" i="1"/>
  <c r="D605" i="1"/>
  <c r="M615" i="1" l="1"/>
  <c r="M606" i="1"/>
  <c r="M617" i="1"/>
  <c r="B605" i="1"/>
  <c r="C605" i="1" s="1"/>
  <c r="D618" i="1"/>
  <c r="M608" i="1" l="1"/>
  <c r="M628" i="1"/>
  <c r="M619" i="1"/>
  <c r="M621" i="1"/>
  <c r="C618" i="1"/>
  <c r="M630" i="1"/>
  <c r="B618" i="1"/>
  <c r="D631" i="1"/>
  <c r="M643" i="1" l="1"/>
  <c r="B631" i="1"/>
  <c r="M634" i="1" s="1"/>
  <c r="M641" i="1"/>
  <c r="M632" i="1"/>
  <c r="D644" i="1"/>
  <c r="C631" i="1" l="1"/>
  <c r="M656" i="1"/>
  <c r="B644" i="1"/>
  <c r="M647" i="1" s="1"/>
  <c r="M645" i="1"/>
  <c r="M654" i="1"/>
  <c r="D657" i="1"/>
  <c r="C644" i="1" l="1"/>
  <c r="M669" i="1"/>
  <c r="B657" i="1"/>
  <c r="M660" i="1" s="1"/>
  <c r="M667" i="1"/>
  <c r="M658" i="1"/>
  <c r="D670" i="1"/>
  <c r="C657" i="1" l="1"/>
  <c r="M682" i="1"/>
  <c r="B670" i="1"/>
  <c r="C670" i="1" s="1"/>
  <c r="M680" i="1"/>
  <c r="M671" i="1"/>
  <c r="M673" i="1"/>
  <c r="D683" i="1"/>
  <c r="M693" i="1" l="1"/>
  <c r="M684" i="1"/>
  <c r="M695" i="1"/>
  <c r="B683" i="1"/>
  <c r="M686" i="1" s="1"/>
  <c r="D696" i="1"/>
  <c r="C683" i="1" l="1"/>
  <c r="M706" i="1"/>
  <c r="M697" i="1"/>
  <c r="B696" i="1"/>
  <c r="C696" i="1" s="1"/>
  <c r="M708" i="1"/>
  <c r="M699" i="1"/>
  <c r="D709" i="1"/>
  <c r="M721" i="1" l="1"/>
  <c r="B709" i="1"/>
  <c r="M712" i="1" s="1"/>
  <c r="M719" i="1"/>
  <c r="M710" i="1"/>
  <c r="D722" i="1"/>
  <c r="C709" i="1" l="1"/>
  <c r="M732" i="1"/>
  <c r="M734" i="1"/>
  <c r="B722" i="1"/>
  <c r="M725" i="1" s="1"/>
  <c r="M723" i="1"/>
  <c r="D735" i="1"/>
  <c r="C722" i="1" l="1"/>
  <c r="M747" i="1"/>
  <c r="B735" i="1"/>
  <c r="M738" i="1" s="1"/>
  <c r="M745" i="1"/>
  <c r="M736" i="1"/>
  <c r="D748" i="1"/>
  <c r="C735" i="1" l="1"/>
  <c r="M760" i="1"/>
  <c r="B748" i="1"/>
  <c r="C748" i="1" s="1"/>
  <c r="M758" i="1"/>
  <c r="M749" i="1"/>
  <c r="M751" i="1"/>
  <c r="D761" i="1"/>
  <c r="M771" i="1" l="1"/>
  <c r="M762" i="1"/>
  <c r="M773" i="1"/>
  <c r="B761" i="1"/>
  <c r="M764" i="1" s="1"/>
  <c r="D774" i="1"/>
  <c r="C761" i="1" l="1"/>
  <c r="M784" i="1"/>
  <c r="M775" i="1"/>
  <c r="B774" i="1"/>
  <c r="C774" i="1" s="1"/>
  <c r="M786" i="1"/>
  <c r="D787" i="1"/>
  <c r="M777" i="1" l="1"/>
  <c r="M799" i="1"/>
  <c r="B787" i="1"/>
  <c r="M790" i="1" s="1"/>
  <c r="M797" i="1"/>
  <c r="M788" i="1"/>
  <c r="D800" i="1"/>
  <c r="C787" i="1" l="1"/>
  <c r="M801" i="1"/>
  <c r="M812" i="1"/>
  <c r="B800" i="1"/>
  <c r="M803" i="1" s="1"/>
  <c r="M810" i="1"/>
  <c r="D813" i="1"/>
  <c r="C800" i="1" l="1"/>
  <c r="M825" i="1"/>
  <c r="B813" i="1"/>
  <c r="M816" i="1" s="1"/>
  <c r="M823" i="1"/>
  <c r="M814" i="1"/>
  <c r="D826" i="1"/>
  <c r="C813" i="1" l="1"/>
  <c r="M838" i="1"/>
  <c r="B826" i="1"/>
  <c r="C826" i="1" s="1"/>
  <c r="M836" i="1"/>
  <c r="M827" i="1"/>
  <c r="M829" i="1"/>
  <c r="D839" i="1"/>
  <c r="M849" i="1" l="1"/>
  <c r="M840" i="1"/>
  <c r="M851" i="1"/>
  <c r="B839" i="1"/>
  <c r="M842" i="1" s="1"/>
  <c r="D852" i="1"/>
  <c r="C839" i="1" l="1"/>
  <c r="M862" i="1"/>
  <c r="M853" i="1"/>
  <c r="M864" i="1"/>
  <c r="M855" i="1"/>
  <c r="C852" i="1"/>
  <c r="B852" i="1"/>
  <c r="D865" i="1"/>
  <c r="M877" i="1" l="1"/>
  <c r="B865" i="1"/>
  <c r="M868" i="1" s="1"/>
  <c r="M875" i="1"/>
  <c r="M866" i="1"/>
  <c r="D878" i="1"/>
  <c r="C865" i="1" l="1"/>
  <c r="M879" i="1"/>
  <c r="M890" i="1"/>
  <c r="B878" i="1"/>
  <c r="M881" i="1" s="1"/>
  <c r="M888" i="1"/>
  <c r="D891" i="1"/>
  <c r="C878" i="1" l="1"/>
  <c r="M903" i="1"/>
  <c r="B891" i="1"/>
  <c r="M894" i="1" s="1"/>
  <c r="M901" i="1"/>
  <c r="M892" i="1"/>
  <c r="D904" i="1"/>
  <c r="C891" i="1" l="1"/>
  <c r="M916" i="1"/>
  <c r="B904" i="1"/>
  <c r="C904" i="1" s="1"/>
  <c r="M914" i="1"/>
  <c r="M905" i="1"/>
  <c r="M907" i="1" l="1"/>
</calcChain>
</file>

<file path=xl/sharedStrings.xml><?xml version="1.0" encoding="utf-8"?>
<sst xmlns="http://schemas.openxmlformats.org/spreadsheetml/2006/main" count="1902" uniqueCount="252">
  <si>
    <t>Author: Overing</t>
    <phoneticPr fontId="2" type="noConversion"/>
  </si>
  <si>
    <t>當標題是</t>
    <phoneticPr fontId="2" type="noConversion"/>
  </si>
  <si>
    <t>且選項值為</t>
    <phoneticPr fontId="2" type="noConversion"/>
  </si>
  <si>
    <t>把後面的標題設定成…</t>
    <phoneticPr fontId="2" type="noConversion"/>
  </si>
  <si>
    <r>
      <t>沒有 '#' 開頭的 Sheet 會被當作輸出 XML 的主要資料來源</t>
    </r>
    <r>
      <rPr>
        <sz val="12"/>
        <rFont val="新細明體"/>
        <family val="1"/>
        <charset val="136"/>
      </rPr>
      <t xml:space="preserve">
Sheet name 會被做為輸出的 Node name           請依需求修改
如果需要自己開空的 Sheet 整理資料使用
請在最前方加上 '#' 符號避開輸出功能</t>
    </r>
    <phoneticPr fontId="2" type="noConversion"/>
  </si>
  <si>
    <r>
      <t>#DEFINE</t>
    </r>
    <r>
      <rPr>
        <sz val="12"/>
        <rFont val="新細明體"/>
        <family val="1"/>
        <charset val="136"/>
      </rPr>
      <t xml:space="preserve"> Sheet 功能
輸出 DEFINE Node 的資料列
Head 列要有值 且 下方任一 Row 有值才會被輸出</t>
    </r>
    <phoneticPr fontId="2" type="noConversion"/>
  </si>
  <si>
    <r>
      <t>#ALIAS</t>
    </r>
    <r>
      <rPr>
        <sz val="12"/>
        <rFont val="新細明體"/>
        <family val="1"/>
        <charset val="136"/>
      </rPr>
      <t xml:space="preserve"> Sheet 功能
輸出後 主要設定 Node 的 Attribute name 對照
主要設定 Sheet 的 Head 只要能在 ALIAS Sheet 的 Row1 被找到
就會輸出 ALIAS Sheet 的 Row2 名稱到 XML
反之 有在主要設定 Sheet 裡但是 ALIAS Sheet 找不到的 Column 就不會被輸出
可以拿來做為只有在表格上看得到的註解列使用</t>
    </r>
    <phoneticPr fontId="2" type="noConversion"/>
  </si>
  <si>
    <r>
      <t>#OPTION</t>
    </r>
    <r>
      <rPr>
        <sz val="12"/>
        <rFont val="新細明體"/>
        <family val="1"/>
        <charset val="136"/>
      </rPr>
      <t xml:space="preserve"> Sheet 功能
主要 Sheet 中需要被做成選項的項目參照
Head 為有選項的選項標題
後續值就是可以選項項目列舉
(被 #PARAM Sheet 設定變更過的 Head 也有用)</t>
    </r>
    <phoneticPr fontId="2" type="noConversion"/>
  </si>
  <si>
    <t>Update Note</t>
    <phoneticPr fontId="2" type="noConversion"/>
  </si>
  <si>
    <t>2015/09/07: 調整載入 Option 方式為設定定義名稱 (解決選項不能超過 255 字 bug)</t>
    <phoneticPr fontId="2" type="noConversion"/>
  </si>
  <si>
    <t>2015/09/10: 調整輸出巨集，改善輸出耗費時間 (減半)</t>
    <phoneticPr fontId="2" type="noConversion"/>
  </si>
  <si>
    <t>輸出路徑或參考檔案</t>
    <phoneticPr fontId="2" type="noConversion"/>
  </si>
  <si>
    <r>
      <t>#OUTPUT</t>
    </r>
    <r>
      <rPr>
        <sz val="12"/>
        <rFont val="新細明體"/>
        <family val="1"/>
        <charset val="136"/>
      </rPr>
      <t xml:space="preserve"> Sheet 功能
與前一版表格功能類似 不過改成可以讀檔或路徑兩者皆可
如果是檔案 就把他開起來讀取裡面的行當 </t>
    </r>
    <r>
      <rPr>
        <sz val="12"/>
        <rFont val="新細明體"/>
        <family val="1"/>
        <charset val="136"/>
      </rPr>
      <t xml:space="preserve">xml </t>
    </r>
    <r>
      <rPr>
        <sz val="12"/>
        <rFont val="新細明體"/>
        <family val="1"/>
        <charset val="136"/>
      </rPr>
      <t>輸出路徑
如果是路徑 就直接往該路徑輸出</t>
    </r>
    <r>
      <rPr>
        <sz val="12"/>
        <rFont val="新細明體"/>
        <family val="1"/>
        <charset val="136"/>
      </rPr>
      <t xml:space="preserve"> xml</t>
    </r>
    <phoneticPr fontId="2" type="noConversion"/>
  </si>
  <si>
    <t>2015/11/03: 調整巨集
 * 輸出再加速 (已經可以跟原本的 xml scheam 版比了)
 * 輸出超過 1000 筆資料量時 Call DoEvents (解決UI卡死 讓人以為當掉的問題)
 * 縮小無法 Undo 的影響範圍
 * 註解掉 HttpPost ReloadSetting 動作</t>
    <phoneticPr fontId="2" type="noConversion"/>
  </si>
  <si>
    <r>
      <t>#PARAM</t>
    </r>
    <r>
      <rPr>
        <sz val="12"/>
        <rFont val="新細明體"/>
        <family val="1"/>
        <charset val="136"/>
      </rPr>
      <t xml:space="preserve"> Sheet 功能
主要 Sheet 中 Head 需要根據選項變化的項目
當 標題 與 其下 Cell 值符合時會替換之後的標題
</t>
    </r>
    <r>
      <rPr>
        <sz val="12"/>
        <color indexed="10"/>
        <rFont val="新細明體"/>
        <family val="1"/>
        <charset val="136"/>
      </rPr>
      <t>需要留下一列 "當沒有選值的時候要指定的標題" 復原原始的標題才能正常輸出</t>
    </r>
    <r>
      <rPr>
        <sz val="12"/>
        <rFont val="新細明體"/>
        <family val="1"/>
        <charset val="136"/>
      </rPr>
      <t xml:space="preserve">
(需要注意重疊問題 請慎用 不然會無限迴圈XD)</t>
    </r>
    <phoneticPr fontId="2" type="noConversion"/>
  </si>
  <si>
    <t>2015/11/04: 修改說明注意事項</t>
    <phoneticPr fontId="2" type="noConversion"/>
  </si>
  <si>
    <t>Version: 2019/09/17</t>
    <phoneticPr fontId="2" type="noConversion"/>
  </si>
  <si>
    <t>輸出到XML時取代成…</t>
    <phoneticPr fontId="2" type="noConversion"/>
  </si>
  <si>
    <t>且值為</t>
    <phoneticPr fontId="2" type="noConversion"/>
  </si>
  <si>
    <t>2019/09/17:
* 支援複數同前綴欄位使用 "[]" 尾綴定義 #ALIAS Sheet 將值輸出到子節點 (方便程式碼使用陣列載入)
* 支援複數同前綴欄位使用 "[]" 尾綴定義 #OPTION Sheet 一次定義所有選項下拉選單
* 支援複數同前綴欄位使用 "[]" 尾綴定義 #PARAM Sheet 一次定義所有標題置換規則
* 新增 #DEFINE Sheet 做輸出值轉換</t>
    <phoneticPr fontId="2" type="noConversion"/>
  </si>
  <si>
    <t>/</t>
    <phoneticPr fontId="2" type="noConversion"/>
  </si>
  <si>
    <t>1</t>
    <phoneticPr fontId="2" type="noConversion"/>
  </si>
  <si>
    <t>4</t>
  </si>
  <si>
    <t>5</t>
  </si>
  <si>
    <t>6</t>
    <phoneticPr fontId="2" type="noConversion"/>
  </si>
  <si>
    <t>2</t>
    <phoneticPr fontId="2" type="noConversion"/>
  </si>
  <si>
    <t>3</t>
    <phoneticPr fontId="2" type="noConversion"/>
  </si>
  <si>
    <t>類型</t>
    <phoneticPr fontId="2" type="noConversion"/>
  </si>
  <si>
    <t>Type</t>
    <phoneticPr fontId="2" type="noConversion"/>
  </si>
  <si>
    <t>物件</t>
  </si>
  <si>
    <t>速度</t>
  </si>
  <si>
    <t>移動角度</t>
  </si>
  <si>
    <t>6</t>
  </si>
  <si>
    <t>8</t>
  </si>
  <si>
    <t>10</t>
  </si>
  <si>
    <t>行動時間</t>
  </si>
  <si>
    <t>ParamVals[]</t>
    <phoneticPr fontId="2" type="noConversion"/>
  </si>
  <si>
    <t>2</t>
  </si>
  <si>
    <t>3</t>
  </si>
  <si>
    <t>7</t>
  </si>
  <si>
    <t>9</t>
  </si>
  <si>
    <t>11</t>
  </si>
  <si>
    <t>12</t>
  </si>
  <si>
    <t>13</t>
  </si>
  <si>
    <t>14</t>
  </si>
  <si>
    <t>符卡</t>
  </si>
  <si>
    <t>HP</t>
  </si>
  <si>
    <t>無敵</t>
  </si>
  <si>
    <t>BOSS</t>
  </si>
  <si>
    <t>順序</t>
    <phoneticPr fontId="2" type="noConversion"/>
  </si>
  <si>
    <t>Order</t>
    <phoneticPr fontId="2" type="noConversion"/>
  </si>
  <si>
    <t>ParamVals2</t>
  </si>
  <si>
    <t>ParamVals3</t>
  </si>
  <si>
    <t>ParamVals4</t>
  </si>
  <si>
    <t>ParamVals5</t>
  </si>
  <si>
    <t>ParamVals6</t>
  </si>
  <si>
    <t>ParamVals7</t>
  </si>
  <si>
    <t>ParamVals8</t>
  </si>
  <si>
    <t>ParamVals9</t>
  </si>
  <si>
    <t>ParamVals10</t>
  </si>
  <si>
    <t>ParamVals11</t>
  </si>
  <si>
    <t>ParamVals12</t>
  </si>
  <si>
    <t>ParamVals13</t>
  </si>
  <si>
    <t>ParamVals14</t>
  </si>
  <si>
    <t>ParamVals15</t>
  </si>
  <si>
    <t>ParamVals16</t>
  </si>
  <si>
    <t>ParamVals17</t>
  </si>
  <si>
    <t>ParamVals18</t>
  </si>
  <si>
    <t>ParamVals19</t>
  </si>
  <si>
    <t>ParamVals20</t>
  </si>
  <si>
    <t>ParamVals21</t>
  </si>
  <si>
    <t>ParamVals22</t>
  </si>
  <si>
    <t>ParamVals23</t>
  </si>
  <si>
    <t>ParamVals24</t>
  </si>
  <si>
    <t>ParamVals25</t>
  </si>
  <si>
    <t>ParamVals26</t>
  </si>
  <si>
    <t>ParamVals27</t>
  </si>
  <si>
    <t>ParamVals28</t>
  </si>
  <si>
    <t>ParamVals29</t>
  </si>
  <si>
    <t>ParamVals30</t>
  </si>
  <si>
    <t>ParamVals31</t>
  </si>
  <si>
    <t>ParamVals32</t>
  </si>
  <si>
    <t>ParamVals33</t>
  </si>
  <si>
    <t>ParamVals34</t>
  </si>
  <si>
    <t>ParamVals35</t>
  </si>
  <si>
    <t>ParamVals36</t>
  </si>
  <si>
    <t>ParamVals37</t>
  </si>
  <si>
    <t>ParamVals38</t>
  </si>
  <si>
    <t>ParamVals39</t>
  </si>
  <si>
    <t>ParamVals40</t>
  </si>
  <si>
    <t>ParamVals41</t>
  </si>
  <si>
    <t>ParamVals42</t>
  </si>
  <si>
    <t>ParamVals43</t>
  </si>
  <si>
    <t>ID</t>
  </si>
  <si>
    <t>ParamVals0</t>
    <phoneticPr fontId="2" type="noConversion"/>
  </si>
  <si>
    <t>ParamVals1</t>
  </si>
  <si>
    <t>4</t>
    <phoneticPr fontId="2" type="noConversion"/>
  </si>
  <si>
    <t>回收時間</t>
  </si>
  <si>
    <t>移位置</t>
  </si>
  <si>
    <t>玩家</t>
  </si>
  <si>
    <t>動畫</t>
  </si>
  <si>
    <t>行動ID</t>
  </si>
  <si>
    <t>玩家子彈</t>
  </si>
  <si>
    <t>標題</t>
  </si>
  <si>
    <t>對話</t>
  </si>
  <si>
    <t>傷害</t>
  </si>
  <si>
    <t>Name</t>
  </si>
  <si>
    <t>死亡時間</t>
  </si>
  <si>
    <t>最小速度</t>
  </si>
  <si>
    <t>最大速度</t>
  </si>
  <si>
    <t>BOSSDEAD</t>
  </si>
  <si>
    <t>加移動角度</t>
  </si>
  <si>
    <t>旋轉角度</t>
  </si>
  <si>
    <t>加旋轉角度</t>
  </si>
  <si>
    <t>旋轉是移動角度</t>
  </si>
  <si>
    <t>加速度</t>
  </si>
  <si>
    <t>相對位置</t>
  </si>
  <si>
    <t>貫穿</t>
  </si>
  <si>
    <t>Sprite</t>
  </si>
  <si>
    <t>時位時間</t>
  </si>
  <si>
    <t>時位位置</t>
  </si>
  <si>
    <t>時位變速點</t>
  </si>
  <si>
    <t>時位開始速度</t>
  </si>
  <si>
    <t>時位結束速度</t>
  </si>
  <si>
    <t>時位移動角度</t>
  </si>
  <si>
    <t>回收距離</t>
  </si>
  <si>
    <t>啟動依開始時間後</t>
  </si>
  <si>
    <t>啟動依結束時間前</t>
  </si>
  <si>
    <t>啟動依位置</t>
  </si>
  <si>
    <t>啟動依位置距離</t>
  </si>
  <si>
    <t>播放音樂</t>
  </si>
  <si>
    <t>關卡結束</t>
  </si>
  <si>
    <t>角度參數</t>
  </si>
  <si>
    <t>位置參數</t>
  </si>
  <si>
    <t>角度值</t>
  </si>
  <si>
    <t>角度IDs</t>
  </si>
  <si>
    <t>位置xy</t>
  </si>
  <si>
    <t>位置ID</t>
  </si>
  <si>
    <t>位置Gene</t>
  </si>
  <si>
    <t>PosParamType</t>
  </si>
  <si>
    <t>PosParamType</t>
    <phoneticPr fontId="2" type="noConversion"/>
  </si>
  <si>
    <t>AngleParamType</t>
    <phoneticPr fontId="2" type="noConversion"/>
  </si>
  <si>
    <t>新參照位置12</t>
    <phoneticPr fontId="2" type="noConversion"/>
  </si>
  <si>
    <t>加角度</t>
  </si>
  <si>
    <t>啟動依ID</t>
  </si>
  <si>
    <t>ID</t>
    <phoneticPr fontId="2" type="noConversion"/>
  </si>
  <si>
    <t>復位</t>
  </si>
  <si>
    <t>Power</t>
  </si>
  <si>
    <t>下一關</t>
  </si>
  <si>
    <t>101</t>
    <phoneticPr fontId="2" type="noConversion"/>
  </si>
  <si>
    <t>啟動依遊戲時間</t>
  </si>
  <si>
    <t>102</t>
  </si>
  <si>
    <t>103</t>
  </si>
  <si>
    <t>104</t>
  </si>
  <si>
    <t>105</t>
  </si>
  <si>
    <t>106</t>
  </si>
  <si>
    <t>啟動依玩家死亡</t>
  </si>
  <si>
    <t>107</t>
  </si>
  <si>
    <t>啟動位置是活動</t>
  </si>
  <si>
    <t>108</t>
  </si>
  <si>
    <t>201</t>
    <phoneticPr fontId="2" type="noConversion"/>
  </si>
  <si>
    <t>202</t>
  </si>
  <si>
    <t>203</t>
  </si>
  <si>
    <t>204</t>
  </si>
  <si>
    <t>205</t>
  </si>
  <si>
    <t>206</t>
  </si>
  <si>
    <t>Power掉落</t>
  </si>
  <si>
    <t>207</t>
  </si>
  <si>
    <t>加ID</t>
  </si>
  <si>
    <t>208</t>
  </si>
  <si>
    <t>301</t>
    <phoneticPr fontId="2" type="noConversion"/>
  </si>
  <si>
    <t>302</t>
  </si>
  <si>
    <t>303</t>
  </si>
  <si>
    <t>401</t>
    <phoneticPr fontId="2" type="noConversion"/>
  </si>
  <si>
    <t>402</t>
  </si>
  <si>
    <t>403</t>
  </si>
  <si>
    <t>加位置</t>
  </si>
  <si>
    <t>404</t>
  </si>
  <si>
    <t>501</t>
    <phoneticPr fontId="2" type="noConversion"/>
  </si>
  <si>
    <t>502</t>
  </si>
  <si>
    <t>503</t>
  </si>
  <si>
    <t>504</t>
  </si>
  <si>
    <t>505</t>
  </si>
  <si>
    <t>506</t>
  </si>
  <si>
    <t>507</t>
  </si>
  <si>
    <t>601</t>
    <phoneticPr fontId="2" type="noConversion"/>
  </si>
  <si>
    <t>602</t>
  </si>
  <si>
    <t>603</t>
  </si>
  <si>
    <t>604</t>
  </si>
  <si>
    <t>是界內</t>
  </si>
  <si>
    <t>701</t>
    <phoneticPr fontId="2" type="noConversion"/>
  </si>
  <si>
    <t>702</t>
  </si>
  <si>
    <t>703</t>
  </si>
  <si>
    <t>704</t>
  </si>
  <si>
    <t>出生動畫速率</t>
  </si>
  <si>
    <t>705</t>
  </si>
  <si>
    <t>出生動畫時間</t>
  </si>
  <si>
    <t>706</t>
  </si>
  <si>
    <t>出生動畫開始</t>
  </si>
  <si>
    <t>707</t>
  </si>
  <si>
    <t>行動ID結束</t>
  </si>
  <si>
    <t>708</t>
  </si>
  <si>
    <t>801</t>
    <phoneticPr fontId="2" type="noConversion"/>
  </si>
  <si>
    <t>802</t>
  </si>
  <si>
    <t>803</t>
  </si>
  <si>
    <t>804</t>
  </si>
  <si>
    <t>805</t>
  </si>
  <si>
    <t>806</t>
  </si>
  <si>
    <t>玩家遊戲時間</t>
  </si>
  <si>
    <t>901</t>
    <phoneticPr fontId="2" type="noConversion"/>
  </si>
  <si>
    <t>玩家子彈間隔</t>
  </si>
  <si>
    <t>902</t>
  </si>
  <si>
    <t>玩家Power需求</t>
  </si>
  <si>
    <t>903</t>
  </si>
  <si>
    <t>玩家Shift</t>
  </si>
  <si>
    <t>904</t>
  </si>
  <si>
    <t>玩家子彈延遲</t>
  </si>
  <si>
    <t>905</t>
  </si>
  <si>
    <t>位置參數角距距離</t>
  </si>
  <si>
    <t>位置參數角距角度</t>
  </si>
  <si>
    <t>新參照位置</t>
  </si>
  <si>
    <t>新參照角度</t>
  </si>
  <si>
    <t>角度ID旋轉</t>
  </si>
  <si>
    <t>Self = 1,
Parent = 2,
Player = 3,
Boss = 4,
Center=5,
BossHome=6,</t>
    <phoneticPr fontId="2" type="noConversion"/>
  </si>
  <si>
    <t>新參照位置12</t>
  </si>
  <si>
    <t>符卡時間</t>
    <phoneticPr fontId="2" type="noConversion"/>
  </si>
  <si>
    <t>304</t>
  </si>
  <si>
    <t>5</t>
    <phoneticPr fontId="2" type="noConversion"/>
  </si>
  <si>
    <t>14</t>
    <phoneticPr fontId="2" type="noConversion"/>
  </si>
  <si>
    <t>-1</t>
  </si>
  <si>
    <t>-1</t>
    <phoneticPr fontId="2" type="noConversion"/>
  </si>
  <si>
    <t>EnemyShot2</t>
  </si>
  <si>
    <t>Shot2_purple</t>
  </si>
  <si>
    <t>1,3</t>
  </si>
  <si>
    <t>15</t>
  </si>
  <si>
    <t>15</t>
    <phoneticPr fontId="2" type="noConversion"/>
  </si>
  <si>
    <t>BOSSLEAVE</t>
    <phoneticPr fontId="2" type="noConversion"/>
  </si>
  <si>
    <t>子旋轉角度</t>
    <phoneticPr fontId="2" type="noConversion"/>
  </si>
  <si>
    <t>508</t>
  </si>
  <si>
    <r>
      <rPr>
        <sz val="11"/>
        <rFont val="Microsoft JhengHei UI"/>
        <family val="3"/>
        <charset val="136"/>
      </rPr>
      <t>子</t>
    </r>
    <r>
      <rPr>
        <sz val="11"/>
        <rFont val="微軟正黑體"/>
        <family val="3"/>
        <charset val="136"/>
      </rPr>
      <t>加旋轉角度</t>
    </r>
    <phoneticPr fontId="2" type="noConversion"/>
  </si>
  <si>
    <t>509</t>
  </si>
  <si>
    <t>加旋轉角度</t>
    <phoneticPr fontId="2" type="noConversion"/>
  </si>
  <si>
    <t>記錄位置</t>
    <phoneticPr fontId="2" type="noConversion"/>
  </si>
  <si>
    <t>405</t>
  </si>
  <si>
    <t>記錄位置序號</t>
    <phoneticPr fontId="2" type="noConversion"/>
  </si>
  <si>
    <t>406</t>
  </si>
  <si>
    <t>記錄角度</t>
    <phoneticPr fontId="2" type="noConversion"/>
  </si>
  <si>
    <t>510</t>
  </si>
  <si>
    <t>511</t>
  </si>
  <si>
    <t>記錄角度ID</t>
    <phoneticPr fontId="2" type="noConversion"/>
  </si>
  <si>
    <t>角度ID記錄</t>
    <phoneticPr fontId="2" type="noConversion"/>
  </si>
  <si>
    <t>記錄位置ID</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</si>
</sst>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Red]\(0\)"/>
    <numFmt numFmtId="177" formatCode="0.0"/>
  </numFmts>
  <fonts count="37">
    <font>
      <sz val="12"/>
      <name val="新細明體"/>
      <family val="1"/>
      <charset val="136"/>
    </font>
    <font>
      <sz val="12"/>
      <name val="新細明體"/>
      <family val="1"/>
      <charset val="136"/>
    </font>
    <font>
      <sz val="9"/>
      <name val="新細明體"/>
      <family val="1"/>
      <charset val="136"/>
    </font>
    <font>
      <sz val="12"/>
      <color indexed="8"/>
      <name val="新細明體"/>
      <family val="1"/>
      <charset val="136"/>
    </font>
    <font>
      <sz val="12"/>
      <color indexed="9"/>
      <name val="新細明體"/>
      <family val="1"/>
      <charset val="136"/>
    </font>
    <font>
      <sz val="12"/>
      <color indexed="60"/>
      <name val="新細明體"/>
      <family val="1"/>
      <charset val="136"/>
    </font>
    <font>
      <b/>
      <sz val="12"/>
      <color indexed="8"/>
      <name val="新細明體"/>
      <family val="1"/>
      <charset val="136"/>
    </font>
    <font>
      <sz val="12"/>
      <color indexed="17"/>
      <name val="新細明體"/>
      <family val="1"/>
      <charset val="136"/>
    </font>
    <font>
      <b/>
      <sz val="12"/>
      <color indexed="52"/>
      <name val="新細明體"/>
      <family val="1"/>
      <charset val="136"/>
    </font>
    <font>
      <sz val="12"/>
      <color indexed="52"/>
      <name val="新細明體"/>
      <family val="1"/>
      <charset val="136"/>
    </font>
    <font>
      <i/>
      <sz val="12"/>
      <color indexed="23"/>
      <name val="新細明體"/>
      <family val="1"/>
      <charset val="136"/>
    </font>
    <font>
      <sz val="11"/>
      <color indexed="8"/>
      <name val="ＭＳ Ｐゴシック"/>
      <family val="2"/>
      <charset val="128"/>
    </font>
    <font>
      <sz val="11"/>
      <color indexed="8"/>
      <name val="新細明體"/>
      <family val="1"/>
      <charset val="136"/>
    </font>
    <font>
      <sz val="12"/>
      <name val="微軟正黑體"/>
      <family val="2"/>
      <charset val="136"/>
    </font>
    <font>
      <b/>
      <sz val="18"/>
      <color indexed="56"/>
      <name val="新細明體"/>
      <family val="1"/>
      <charset val="136"/>
    </font>
    <font>
      <b/>
      <sz val="15"/>
      <color indexed="56"/>
      <name val="新細明體"/>
      <family val="1"/>
      <charset val="136"/>
    </font>
    <font>
      <b/>
      <sz val="13"/>
      <color indexed="56"/>
      <name val="新細明體"/>
      <family val="1"/>
      <charset val="136"/>
    </font>
    <font>
      <b/>
      <sz val="11"/>
      <color indexed="56"/>
      <name val="新細明體"/>
      <family val="1"/>
      <charset val="136"/>
    </font>
    <font>
      <sz val="12"/>
      <color indexed="62"/>
      <name val="新細明體"/>
      <family val="1"/>
      <charset val="136"/>
    </font>
    <font>
      <b/>
      <sz val="12"/>
      <color indexed="63"/>
      <name val="新細明體"/>
      <family val="1"/>
      <charset val="136"/>
    </font>
    <font>
      <b/>
      <sz val="12"/>
      <color indexed="9"/>
      <name val="新細明體"/>
      <family val="1"/>
      <charset val="136"/>
    </font>
    <font>
      <sz val="12"/>
      <color indexed="20"/>
      <name val="新細明體"/>
      <family val="1"/>
      <charset val="136"/>
    </font>
    <font>
      <sz val="12"/>
      <color indexed="10"/>
      <name val="新細明體"/>
      <family val="1"/>
      <charset val="136"/>
    </font>
    <font>
      <b/>
      <sz val="12"/>
      <name val="新細明體"/>
      <family val="1"/>
      <charset val="136"/>
    </font>
    <font>
      <b/>
      <sz val="12"/>
      <color theme="0"/>
      <name val="新細明體"/>
      <family val="1"/>
      <charset val="136"/>
    </font>
    <font>
      <sz val="14"/>
      <name val="細明體"/>
      <family val="1"/>
      <charset val="136"/>
    </font>
    <font>
      <sz val="12"/>
      <color theme="0"/>
      <name val="新細明體"/>
      <family val="1"/>
      <charset val="136"/>
    </font>
    <font>
      <sz val="11"/>
      <color rgb="FFCCCCCC"/>
      <name val="Consolas"/>
      <family val="3"/>
    </font>
    <font>
      <sz val="11"/>
      <color rgb="FF4FC1FF"/>
      <name val="Consolas"/>
      <family val="3"/>
    </font>
    <font>
      <sz val="14"/>
      <color theme="0"/>
      <name val="細明體"/>
      <family val="1"/>
      <charset val="136"/>
    </font>
    <font>
      <sz val="12"/>
      <name val="Microsoft JhengHei"/>
      <family val="1"/>
      <charset val="136"/>
    </font>
    <font>
      <sz val="11"/>
      <name val="Consolas"/>
      <family val="3"/>
    </font>
    <font>
      <sz val="10"/>
      <name val="新細明體"/>
      <family val="1"/>
      <charset val="136"/>
    </font>
    <font>
      <sz val="11"/>
      <name val="Microsoft JhengHei"/>
      <family val="3"/>
    </font>
    <font>
      <sz val="11"/>
      <name val="微軟正黑體"/>
      <family val="3"/>
      <charset val="136"/>
    </font>
    <font>
      <sz val="11"/>
      <name val="Microsoft JhengHei UI"/>
      <family val="3"/>
      <charset val="136"/>
    </font>
    <font>
      <sz val="11"/>
      <name val="微軟正黑體"/>
      <family val="2"/>
      <charset val="136"/>
    </font>
  </fonts>
  <fills count="2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43"/>
      </patternFill>
    </fill>
    <fill>
      <patternFill patternType="solid">
        <fgColor indexed="22"/>
      </patternFill>
    </fill>
    <fill>
      <patternFill patternType="solid">
        <fgColor indexed="26"/>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theme="1"/>
        <bgColor indexed="64"/>
      </patternFill>
    </fill>
    <fill>
      <patternFill patternType="solid">
        <fgColor rgb="FF7030A0"/>
        <bgColor indexed="64"/>
      </patternFill>
    </fill>
    <fill>
      <patternFill patternType="solid">
        <fgColor theme="6" tint="0.79998168889431442"/>
        <bgColor indexed="64"/>
      </patternFill>
    </fill>
  </fills>
  <borders count="10">
    <border>
      <left/>
      <right/>
      <top/>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style="double">
        <color indexed="63"/>
      </left>
      <right style="double">
        <color indexed="63"/>
      </right>
      <top style="double">
        <color indexed="63"/>
      </top>
      <bottom style="double">
        <color indexed="63"/>
      </bottom>
      <diagonal/>
    </border>
  </borders>
  <cellStyleXfs count="64">
    <xf numFmtId="0" fontId="0" fillId="0" borderId="0">
      <alignment vertical="center"/>
    </xf>
    <xf numFmtId="0" fontId="3" fillId="2" borderId="0" applyNumberFormat="0" applyBorder="0" applyAlignment="0" applyProtection="0">
      <alignment vertical="center"/>
    </xf>
    <xf numFmtId="0" fontId="3" fillId="3" borderId="0" applyNumberFormat="0" applyBorder="0" applyAlignment="0" applyProtection="0">
      <alignment vertical="center"/>
    </xf>
    <xf numFmtId="0" fontId="3" fillId="4" borderId="0" applyNumberFormat="0" applyBorder="0" applyAlignment="0" applyProtection="0">
      <alignment vertical="center"/>
    </xf>
    <xf numFmtId="0" fontId="3" fillId="5" borderId="0" applyNumberFormat="0" applyBorder="0" applyAlignment="0" applyProtection="0">
      <alignment vertical="center"/>
    </xf>
    <xf numFmtId="0" fontId="3" fillId="6" borderId="0" applyNumberFormat="0" applyBorder="0" applyAlignment="0" applyProtection="0">
      <alignment vertical="center"/>
    </xf>
    <xf numFmtId="0" fontId="3" fillId="7" borderId="0" applyNumberFormat="0" applyBorder="0" applyAlignment="0" applyProtection="0">
      <alignment vertical="center"/>
    </xf>
    <xf numFmtId="0" fontId="3" fillId="8" borderId="0" applyNumberFormat="0" applyBorder="0" applyAlignment="0" applyProtection="0">
      <alignment vertical="center"/>
    </xf>
    <xf numFmtId="0" fontId="3" fillId="9" borderId="0" applyNumberFormat="0" applyBorder="0" applyAlignment="0" applyProtection="0">
      <alignment vertical="center"/>
    </xf>
    <xf numFmtId="0" fontId="3" fillId="10" borderId="0" applyNumberFormat="0" applyBorder="0" applyAlignment="0" applyProtection="0">
      <alignment vertical="center"/>
    </xf>
    <xf numFmtId="0" fontId="3" fillId="5" borderId="0" applyNumberFormat="0" applyBorder="0" applyAlignment="0" applyProtection="0">
      <alignment vertical="center"/>
    </xf>
    <xf numFmtId="0" fontId="3" fillId="8" borderId="0" applyNumberFormat="0" applyBorder="0" applyAlignment="0" applyProtection="0">
      <alignment vertical="center"/>
    </xf>
    <xf numFmtId="0" fontId="3" fillId="11" borderId="0" applyNumberFormat="0" applyBorder="0" applyAlignment="0" applyProtection="0">
      <alignment vertical="center"/>
    </xf>
    <xf numFmtId="0" fontId="4" fillId="12" borderId="0" applyNumberFormat="0" applyBorder="0" applyAlignment="0" applyProtection="0">
      <alignment vertical="center"/>
    </xf>
    <xf numFmtId="0" fontId="4" fillId="9" borderId="0" applyNumberFormat="0" applyBorder="0" applyAlignment="0" applyProtection="0">
      <alignment vertical="center"/>
    </xf>
    <xf numFmtId="0" fontId="4" fillId="10"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4" fillId="15" borderId="0" applyNumberFormat="0" applyBorder="0" applyAlignment="0" applyProtection="0">
      <alignment vertical="center"/>
    </xf>
    <xf numFmtId="0" fontId="5" fillId="16" borderId="0" applyNumberFormat="0" applyBorder="0" applyAlignment="0" applyProtection="0">
      <alignment vertical="center"/>
    </xf>
    <xf numFmtId="0" fontId="6" fillId="0" borderId="1" applyNumberFormat="0" applyFill="0" applyAlignment="0" applyProtection="0">
      <alignment vertical="center"/>
    </xf>
    <xf numFmtId="0" fontId="7" fillId="4" borderId="0" applyNumberFormat="0" applyBorder="0" applyAlignment="0" applyProtection="0">
      <alignment vertical="center"/>
    </xf>
    <xf numFmtId="0" fontId="8" fillId="17" borderId="2" applyNumberFormat="0" applyAlignment="0" applyProtection="0">
      <alignment vertical="center"/>
    </xf>
    <xf numFmtId="0" fontId="9" fillId="0" borderId="3" applyNumberFormat="0" applyFill="0" applyAlignment="0" applyProtection="0">
      <alignment vertical="center"/>
    </xf>
    <xf numFmtId="0" fontId="1" fillId="18" borderId="4" applyNumberFormat="0" applyFont="0" applyAlignment="0" applyProtection="0">
      <alignment vertical="center"/>
    </xf>
    <xf numFmtId="0" fontId="10" fillId="0" borderId="0" applyNumberFormat="0" applyFill="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4" fillId="21" borderId="0" applyNumberFormat="0" applyBorder="0" applyAlignment="0" applyProtection="0">
      <alignment vertical="center"/>
    </xf>
    <xf numFmtId="0" fontId="4" fillId="13" borderId="0" applyNumberFormat="0" applyBorder="0" applyAlignment="0" applyProtection="0">
      <alignment vertical="center"/>
    </xf>
    <xf numFmtId="0" fontId="4" fillId="14" borderId="0" applyNumberFormat="0" applyBorder="0" applyAlignment="0" applyProtection="0">
      <alignment vertical="center"/>
    </xf>
    <xf numFmtId="0" fontId="4" fillId="22" borderId="0" applyNumberFormat="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1" fillId="0" borderId="0">
      <alignment vertical="center"/>
    </xf>
    <xf numFmtId="0" fontId="1" fillId="0" borderId="0">
      <alignment vertical="center"/>
    </xf>
    <xf numFmtId="0" fontId="12" fillId="0" borderId="0">
      <alignment vertical="center"/>
    </xf>
    <xf numFmtId="0" fontId="1" fillId="0" borderId="0">
      <alignment vertical="center"/>
    </xf>
    <xf numFmtId="0" fontId="1" fillId="0" borderId="0">
      <alignment vertical="center"/>
    </xf>
    <xf numFmtId="0" fontId="12" fillId="0" borderId="0">
      <alignment vertical="center"/>
    </xf>
    <xf numFmtId="0" fontId="13" fillId="0" borderId="0">
      <alignment vertical="center"/>
    </xf>
    <xf numFmtId="0" fontId="13" fillId="0" borderId="0">
      <alignment vertical="center"/>
    </xf>
    <xf numFmtId="0" fontId="1"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 fillId="0" borderId="0"/>
    <xf numFmtId="0" fontId="1" fillId="0" borderId="0"/>
    <xf numFmtId="0" fontId="14" fillId="0" borderId="0" applyNumberFormat="0" applyFill="0" applyBorder="0" applyAlignment="0" applyProtection="0">
      <alignment vertical="center"/>
    </xf>
    <xf numFmtId="0" fontId="15" fillId="0" borderId="5" applyNumberFormat="0" applyFill="0" applyAlignment="0" applyProtection="0">
      <alignment vertical="center"/>
    </xf>
    <xf numFmtId="0" fontId="16" fillId="0" borderId="6" applyNumberFormat="0" applyFill="0" applyAlignment="0" applyProtection="0">
      <alignment vertical="center"/>
    </xf>
    <xf numFmtId="0" fontId="17" fillId="0" borderId="7" applyNumberFormat="0" applyFill="0" applyAlignment="0" applyProtection="0">
      <alignment vertical="center"/>
    </xf>
    <xf numFmtId="0" fontId="17" fillId="0" borderId="0" applyNumberFormat="0" applyFill="0" applyBorder="0" applyAlignment="0" applyProtection="0">
      <alignment vertical="center"/>
    </xf>
    <xf numFmtId="0" fontId="18" fillId="7" borderId="2" applyNumberFormat="0" applyAlignment="0" applyProtection="0">
      <alignment vertical="center"/>
    </xf>
    <xf numFmtId="0" fontId="19" fillId="17" borderId="8" applyNumberFormat="0" applyAlignment="0" applyProtection="0">
      <alignment vertical="center"/>
    </xf>
    <xf numFmtId="0" fontId="20" fillId="23" borderId="9" applyNumberFormat="0" applyAlignment="0" applyProtection="0">
      <alignment vertical="center"/>
    </xf>
    <xf numFmtId="0" fontId="21" fillId="3" borderId="0" applyNumberFormat="0" applyBorder="0" applyAlignment="0" applyProtection="0">
      <alignment vertical="center"/>
    </xf>
    <xf numFmtId="0" fontId="22" fillId="0" borderId="0" applyNumberFormat="0" applyFill="0" applyBorder="0" applyAlignment="0" applyProtection="0">
      <alignment vertical="center"/>
    </xf>
  </cellStyleXfs>
  <cellXfs count="29">
    <xf numFmtId="0" fontId="0" fillId="0" borderId="0" xfId="0">
      <alignment vertical="center"/>
    </xf>
    <xf numFmtId="0" fontId="23" fillId="0" borderId="0" xfId="0" applyFont="1">
      <alignment vertical="center"/>
    </xf>
    <xf numFmtId="0" fontId="0" fillId="0" borderId="0" xfId="0" applyAlignment="1">
      <alignment vertical="center" wrapText="1"/>
    </xf>
    <xf numFmtId="0" fontId="23" fillId="0" borderId="0" xfId="0" applyFont="1" applyAlignment="1">
      <alignment vertical="center" wrapText="1"/>
    </xf>
    <xf numFmtId="0" fontId="0" fillId="0" borderId="0" xfId="0" applyAlignment="1">
      <alignment horizontal="center" vertical="center"/>
    </xf>
    <xf numFmtId="0" fontId="24" fillId="24" borderId="0" xfId="0" applyFont="1" applyFill="1" applyAlignment="1">
      <alignment horizontal="center" vertical="center"/>
    </xf>
    <xf numFmtId="49" fontId="24" fillId="24" borderId="0" xfId="0" applyNumberFormat="1" applyFont="1" applyFill="1" applyAlignment="1">
      <alignment horizontal="center" vertical="center"/>
    </xf>
    <xf numFmtId="49" fontId="0" fillId="0" borderId="0" xfId="0" applyNumberFormat="1">
      <alignment vertical="center"/>
    </xf>
    <xf numFmtId="49" fontId="24" fillId="24" borderId="0" xfId="0" applyNumberFormat="1" applyFont="1" applyFill="1">
      <alignment vertical="center"/>
    </xf>
    <xf numFmtId="49" fontId="0" fillId="0" borderId="0" xfId="0" applyNumberFormat="1" applyAlignment="1">
      <alignment horizontal="center" vertical="center"/>
    </xf>
    <xf numFmtId="0" fontId="28" fillId="0" borderId="0" xfId="0" applyFont="1">
      <alignment vertical="center"/>
    </xf>
    <xf numFmtId="0" fontId="27" fillId="0" borderId="0" xfId="0" applyFont="1">
      <alignment vertical="center"/>
    </xf>
    <xf numFmtId="49" fontId="25" fillId="0" borderId="0" xfId="0" applyNumberFormat="1" applyFont="1" applyAlignment="1">
      <alignment horizontal="center" vertical="center"/>
    </xf>
    <xf numFmtId="49" fontId="26" fillId="25" borderId="0" xfId="0" applyNumberFormat="1" applyFont="1" applyFill="1" applyAlignment="1">
      <alignment horizontal="center" vertical="center"/>
    </xf>
    <xf numFmtId="49" fontId="0" fillId="26" borderId="0" xfId="0" applyNumberFormat="1" applyFill="1" applyAlignment="1">
      <alignment horizontal="center" vertical="center"/>
    </xf>
    <xf numFmtId="49" fontId="25" fillId="0" borderId="0" xfId="0" applyNumberFormat="1" applyFont="1" applyAlignment="1">
      <alignment horizontal="left" vertical="center"/>
    </xf>
    <xf numFmtId="49" fontId="0" fillId="0" borderId="0" xfId="0" applyNumberFormat="1" applyAlignment="1">
      <alignment horizontal="left" vertical="center"/>
    </xf>
    <xf numFmtId="49" fontId="29" fillId="24" borderId="0" xfId="0" applyNumberFormat="1" applyFont="1" applyFill="1" applyAlignment="1">
      <alignment horizontal="left" vertical="center"/>
    </xf>
    <xf numFmtId="0" fontId="30" fillId="0" borderId="0" xfId="0" applyFont="1" applyAlignment="1">
      <alignment horizontal="center" vertical="center"/>
    </xf>
    <xf numFmtId="49" fontId="26" fillId="24" borderId="0" xfId="0" applyNumberFormat="1" applyFont="1" applyFill="1" applyAlignment="1">
      <alignment horizontal="center" vertical="center"/>
    </xf>
    <xf numFmtId="0" fontId="31" fillId="0" borderId="0" xfId="0" applyFont="1">
      <alignment vertical="center"/>
    </xf>
    <xf numFmtId="176" fontId="29" fillId="24" borderId="0" xfId="0" applyNumberFormat="1" applyFont="1" applyFill="1" applyAlignment="1">
      <alignment horizontal="left" vertical="center"/>
    </xf>
    <xf numFmtId="176" fontId="0" fillId="0" borderId="0" xfId="0" applyNumberFormat="1" applyAlignment="1">
      <alignment horizontal="center" vertical="center"/>
    </xf>
    <xf numFmtId="1" fontId="0" fillId="0" borderId="0" xfId="0" applyNumberFormat="1" applyAlignment="1">
      <alignment horizontal="center" vertical="center"/>
    </xf>
    <xf numFmtId="0" fontId="32" fillId="0" borderId="0" xfId="0" applyFont="1" applyAlignment="1">
      <alignment horizontal="center" vertical="center" wrapText="1"/>
    </xf>
    <xf numFmtId="177" fontId="0" fillId="0" borderId="0" xfId="0" applyNumberFormat="1" applyAlignment="1">
      <alignment horizontal="center" vertical="center"/>
    </xf>
    <xf numFmtId="0" fontId="33" fillId="0" borderId="0" xfId="0" applyFont="1">
      <alignment vertical="center"/>
    </xf>
    <xf numFmtId="0" fontId="34" fillId="0" borderId="0" xfId="0" applyFont="1">
      <alignment vertical="center"/>
    </xf>
    <xf numFmtId="0" fontId="36" fillId="0" borderId="0" xfId="0" applyFont="1">
      <alignment vertical="center"/>
    </xf>
  </cellXfs>
  <cellStyles count="64">
    <cellStyle name="20% - 輔色1" xfId="1" builtinId="30" customBuiltin="1"/>
    <cellStyle name="20% - 輔色2" xfId="2" builtinId="34" customBuiltin="1"/>
    <cellStyle name="20% - 輔色3" xfId="3" builtinId="38" customBuiltin="1"/>
    <cellStyle name="20% - 輔色4" xfId="4" builtinId="42" customBuiltin="1"/>
    <cellStyle name="20% - 輔色5" xfId="5" builtinId="46" customBuiltin="1"/>
    <cellStyle name="20% - 輔色6" xfId="6" builtinId="50" customBuiltin="1"/>
    <cellStyle name="40% - 輔色1" xfId="7" builtinId="31" customBuiltin="1"/>
    <cellStyle name="40% - 輔色2" xfId="8" builtinId="35" customBuiltin="1"/>
    <cellStyle name="40% - 輔色3" xfId="9" builtinId="39" customBuiltin="1"/>
    <cellStyle name="40% - 輔色4" xfId="10" builtinId="43" customBuiltin="1"/>
    <cellStyle name="40% - 輔色5" xfId="11" builtinId="47" customBuiltin="1"/>
    <cellStyle name="40% - 輔色6" xfId="12" builtinId="51" customBuiltin="1"/>
    <cellStyle name="60% - 輔色1" xfId="13" builtinId="32" customBuiltin="1"/>
    <cellStyle name="60% - 輔色2" xfId="14" builtinId="36" customBuiltin="1"/>
    <cellStyle name="60% - 輔色3" xfId="15" builtinId="40" customBuiltin="1"/>
    <cellStyle name="60% - 輔色4" xfId="16" builtinId="44" customBuiltin="1"/>
    <cellStyle name="60% - 輔色5" xfId="17" builtinId="48" customBuiltin="1"/>
    <cellStyle name="60% - 輔色6" xfId="18" builtinId="52" customBuiltin="1"/>
    <cellStyle name="一般" xfId="0" builtinId="0"/>
    <cellStyle name="中等" xfId="19" builtinId="28" customBuiltin="1"/>
    <cellStyle name="合計" xfId="20" builtinId="25" customBuiltin="1"/>
    <cellStyle name="好" xfId="21" builtinId="26" customBuiltin="1"/>
    <cellStyle name="計算方式" xfId="22" builtinId="22" customBuiltin="1"/>
    <cellStyle name="連結的儲存格" xfId="23" builtinId="24" customBuiltin="1"/>
    <cellStyle name="備註" xfId="24" builtinId="10" customBuiltin="1"/>
    <cellStyle name="說明文字" xfId="25" builtinId="53" customBuiltin="1"/>
    <cellStyle name="輔色1" xfId="26" builtinId="29" customBuiltin="1"/>
    <cellStyle name="輔色2" xfId="27" builtinId="33" customBuiltin="1"/>
    <cellStyle name="輔色3" xfId="28" builtinId="37" customBuiltin="1"/>
    <cellStyle name="輔色4" xfId="29" builtinId="41" customBuiltin="1"/>
    <cellStyle name="輔色5" xfId="30" builtinId="45" customBuiltin="1"/>
    <cellStyle name="輔色6" xfId="31" builtinId="49" customBuiltin="1"/>
    <cellStyle name="標準 10" xfId="32" xr:uid="{00000000-0005-0000-0000-000021000000}"/>
    <cellStyle name="標準 11" xfId="33" xr:uid="{00000000-0005-0000-0000-000022000000}"/>
    <cellStyle name="標準 12" xfId="34" xr:uid="{00000000-0005-0000-0000-000023000000}"/>
    <cellStyle name="標準 13" xfId="35" xr:uid="{00000000-0005-0000-0000-000024000000}"/>
    <cellStyle name="標準 14" xfId="36" xr:uid="{00000000-0005-0000-0000-000025000000}"/>
    <cellStyle name="標準 19" xfId="37" xr:uid="{00000000-0005-0000-0000-000026000000}"/>
    <cellStyle name="標準 2" xfId="38" xr:uid="{00000000-0005-0000-0000-000027000000}"/>
    <cellStyle name="標準 2 2" xfId="39" xr:uid="{00000000-0005-0000-0000-000028000000}"/>
    <cellStyle name="標準 2 3" xfId="40" xr:uid="{00000000-0005-0000-0000-000029000000}"/>
    <cellStyle name="標準 2 4" xfId="41" xr:uid="{00000000-0005-0000-0000-00002A000000}"/>
    <cellStyle name="標準 2 5" xfId="42" xr:uid="{00000000-0005-0000-0000-00002B000000}"/>
    <cellStyle name="標準 2 6" xfId="43" xr:uid="{00000000-0005-0000-0000-00002C000000}"/>
    <cellStyle name="標準 3" xfId="44" xr:uid="{00000000-0005-0000-0000-00002D000000}"/>
    <cellStyle name="標準 3 2" xfId="45" xr:uid="{00000000-0005-0000-0000-00002E000000}"/>
    <cellStyle name="標準 3 3" xfId="46" xr:uid="{00000000-0005-0000-0000-00002F000000}"/>
    <cellStyle name="標準 3 4" xfId="47" xr:uid="{00000000-0005-0000-0000-000030000000}"/>
    <cellStyle name="標準 4" xfId="48" xr:uid="{00000000-0005-0000-0000-000031000000}"/>
    <cellStyle name="標準 5" xfId="49" xr:uid="{00000000-0005-0000-0000-000032000000}"/>
    <cellStyle name="標準 6" xfId="50" xr:uid="{00000000-0005-0000-0000-000033000000}"/>
    <cellStyle name="標準 7" xfId="51" xr:uid="{00000000-0005-0000-0000-000034000000}"/>
    <cellStyle name="標準 8" xfId="52" xr:uid="{00000000-0005-0000-0000-000035000000}"/>
    <cellStyle name="標準 9" xfId="53" xr:uid="{00000000-0005-0000-0000-000036000000}"/>
    <cellStyle name="標題" xfId="54" builtinId="15" customBuiltin="1"/>
    <cellStyle name="標題 1" xfId="55" builtinId="16" customBuiltin="1"/>
    <cellStyle name="標題 2" xfId="56" builtinId="17" customBuiltin="1"/>
    <cellStyle name="標題 3" xfId="57" builtinId="18" customBuiltin="1"/>
    <cellStyle name="標題 4" xfId="58" builtinId="19" customBuiltin="1"/>
    <cellStyle name="輸入" xfId="59" builtinId="20" customBuiltin="1"/>
    <cellStyle name="輸出" xfId="60" builtinId="21" customBuiltin="1"/>
    <cellStyle name="檢查儲存格" xfId="61" builtinId="23" customBuiltin="1"/>
    <cellStyle name="壞" xfId="62" builtinId="27" customBuiltin="1"/>
    <cellStyle name="警告文字" xfId="63" builtinId="11" customBuiltin="1"/>
  </cellStyles>
  <dxfs count="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7"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7" tint="0.79998168889431442"/>
        </patternFill>
      </fill>
    </dxf>
    <dxf>
      <fill>
        <patternFill>
          <bgColor theme="7" tint="0.79998168889431442"/>
        </patternFill>
      </fill>
    </dxf>
    <dxf>
      <font>
        <color rgb="FF006100"/>
      </font>
      <fill>
        <patternFill>
          <bgColor rgb="FFC6EFCE"/>
        </patternFill>
      </fill>
    </dxf>
    <dxf>
      <fill>
        <patternFill>
          <bgColor theme="7" tint="0.79998168889431442"/>
        </patternFill>
      </fill>
    </dxf>
    <dxf>
      <font>
        <color auto="1"/>
      </font>
      <fill>
        <patternFill>
          <bgColor theme="8" tint="0.59996337778862885"/>
        </patternFill>
      </fill>
    </dxf>
    <dxf>
      <fill>
        <patternFill>
          <bgColor theme="9" tint="0.79998168889431442"/>
        </patternFill>
      </fill>
    </dxf>
    <dxf>
      <fill>
        <patternFill>
          <bgColor theme="7" tint="0.79998168889431442"/>
        </patternFill>
      </fill>
    </dxf>
    <dxf>
      <font>
        <color theme="3" tint="0.39994506668294322"/>
      </font>
      <fill>
        <patternFill patternType="none">
          <bgColor auto="1"/>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7" tint="0.79998168889431442"/>
        </patternFill>
      </fill>
    </dxf>
    <dxf>
      <fill>
        <patternFill>
          <bgColor theme="7" tint="0.79998168889431442"/>
        </patternFill>
      </fill>
    </dxf>
    <dxf>
      <fill>
        <patternFill>
          <bgColor theme="7" tint="0.79998168889431442"/>
        </patternFill>
      </fill>
    </dxf>
    <dxf>
      <font>
        <color auto="1"/>
      </font>
      <fill>
        <patternFill>
          <bgColor theme="8" tint="0.59996337778862885"/>
        </patternFill>
      </fill>
    </dxf>
    <dxf>
      <fill>
        <patternFill>
          <bgColor theme="9"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hcook-win\STG%20project\Assets\Setting\Stage7_Normal\stage7_9&#32066;boss%20-%20&#31526;5&#23376;&#24392;2.xlsm" TargetMode="External"/><Relationship Id="rId1" Type="http://schemas.openxmlformats.org/officeDocument/2006/relationships/externalLinkPath" Target="stage7_9&#32066;boss%20-%20&#31526;5&#23376;&#2439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age7_card5shot2"/>
      <sheetName val="#ALIAS"/>
      <sheetName val="#DEFINE"/>
      <sheetName val="#OPTION"/>
      <sheetName val="#PARAM"/>
      <sheetName val="#OUTPUT"/>
      <sheetName val="#使用說明"/>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H916"/>
  <sheetViews>
    <sheetView zoomScale="115" zoomScaleNormal="115" workbookViewId="0">
      <pane ySplit="1" topLeftCell="A2" activePane="bottomLeft" state="frozen"/>
      <selection pane="bottomLeft" activeCell="O9" sqref="O9"/>
    </sheetView>
  </sheetViews>
  <sheetFormatPr defaultRowHeight="19.5"/>
  <cols>
    <col min="1" max="4" width="4.125" style="22" customWidth="1"/>
    <col min="5" max="5" width="9" style="9"/>
    <col min="6" max="6" width="16.125" style="9" bestFit="1" customWidth="1"/>
    <col min="7" max="9" width="7.375" style="23" customWidth="1"/>
    <col min="10" max="10" width="9" style="23"/>
    <col min="11" max="11" width="16" style="9" customWidth="1"/>
    <col min="12" max="12" width="22.375" style="9" customWidth="1"/>
    <col min="13" max="13" width="24.375" style="23" bestFit="1" customWidth="1"/>
    <col min="14" max="14" width="16.125" style="9" bestFit="1" customWidth="1"/>
    <col min="15" max="15" width="12.625" style="9" bestFit="1" customWidth="1"/>
    <col min="16" max="16" width="13.875" style="9" bestFit="1" customWidth="1"/>
    <col min="17" max="17" width="9" style="9"/>
    <col min="18" max="18" width="8" style="9" bestFit="1" customWidth="1"/>
    <col min="19" max="19" width="9.25" style="12" bestFit="1" customWidth="1"/>
    <col min="20" max="20" width="13.875" style="9" bestFit="1" customWidth="1"/>
    <col min="21" max="21" width="13.25" style="9" bestFit="1" customWidth="1"/>
    <col min="22" max="22" width="10.5" style="12" bestFit="1" customWidth="1"/>
    <col min="23" max="23" width="16.125" style="12" bestFit="1" customWidth="1"/>
    <col min="24" max="24" width="16.125" style="12" customWidth="1"/>
    <col min="25" max="26" width="16.125" style="15" bestFit="1" customWidth="1"/>
    <col min="27" max="31" width="13.25" style="15" bestFit="1" customWidth="1"/>
    <col min="32" max="33" width="13.25" style="16" bestFit="1" customWidth="1"/>
    <col min="34" max="60" width="14.625" style="16" bestFit="1" customWidth="1"/>
    <col min="61" max="16384" width="9" style="9"/>
  </cols>
  <sheetData>
    <row r="1" spans="1:56" s="17" customFormat="1">
      <c r="A1" s="21"/>
      <c r="B1" s="21"/>
      <c r="C1" s="21"/>
      <c r="D1" s="21"/>
      <c r="E1" s="17" t="s">
        <v>49</v>
      </c>
      <c r="F1" s="19" t="s">
        <v>27</v>
      </c>
      <c r="G1" s="19"/>
      <c r="H1" s="19"/>
      <c r="I1" s="19"/>
      <c r="J1" s="19"/>
      <c r="K1" s="17" t="s">
        <v>140</v>
      </c>
      <c r="L1" s="17" t="s">
        <v>141</v>
      </c>
      <c r="M1" s="23" t="s">
        <v>94</v>
      </c>
      <c r="N1" s="6" t="s">
        <v>95</v>
      </c>
      <c r="O1" s="6" t="s">
        <v>51</v>
      </c>
      <c r="P1" s="6" t="s">
        <v>52</v>
      </c>
      <c r="Q1" s="6" t="s">
        <v>53</v>
      </c>
      <c r="R1" s="6" t="s">
        <v>54</v>
      </c>
      <c r="S1" s="6" t="s">
        <v>55</v>
      </c>
      <c r="T1" s="6" t="s">
        <v>56</v>
      </c>
      <c r="U1" s="6" t="s">
        <v>57</v>
      </c>
      <c r="V1" s="6" t="s">
        <v>58</v>
      </c>
      <c r="W1" s="6" t="s">
        <v>59</v>
      </c>
      <c r="X1" s="6" t="s">
        <v>60</v>
      </c>
      <c r="Y1" s="6" t="s">
        <v>61</v>
      </c>
      <c r="Z1" s="6" t="s">
        <v>62</v>
      </c>
      <c r="AA1" s="6" t="s">
        <v>63</v>
      </c>
      <c r="AB1" s="6" t="s">
        <v>64</v>
      </c>
      <c r="AC1" s="6" t="s">
        <v>65</v>
      </c>
      <c r="AD1" s="6" t="s">
        <v>66</v>
      </c>
      <c r="AE1" s="6" t="s">
        <v>67</v>
      </c>
      <c r="AF1" s="6" t="s">
        <v>68</v>
      </c>
      <c r="AG1" s="6" t="s">
        <v>69</v>
      </c>
      <c r="AH1" s="6" t="s">
        <v>70</v>
      </c>
      <c r="AI1" s="6" t="s">
        <v>71</v>
      </c>
      <c r="AJ1" s="6" t="s">
        <v>72</v>
      </c>
      <c r="AK1" s="6" t="s">
        <v>73</v>
      </c>
      <c r="AL1" s="6" t="s">
        <v>74</v>
      </c>
      <c r="AM1" s="6" t="s">
        <v>75</v>
      </c>
      <c r="AN1" s="6" t="s">
        <v>76</v>
      </c>
      <c r="AO1" s="6" t="s">
        <v>77</v>
      </c>
      <c r="AP1" s="6" t="s">
        <v>78</v>
      </c>
      <c r="AQ1" s="6" t="s">
        <v>79</v>
      </c>
      <c r="AR1" s="6" t="s">
        <v>80</v>
      </c>
      <c r="AS1" s="6" t="s">
        <v>81</v>
      </c>
      <c r="AT1" s="6" t="s">
        <v>82</v>
      </c>
      <c r="AU1" s="6" t="s">
        <v>83</v>
      </c>
      <c r="AV1" s="6" t="s">
        <v>84</v>
      </c>
      <c r="AW1" s="6" t="s">
        <v>85</v>
      </c>
      <c r="AX1" s="6" t="s">
        <v>86</v>
      </c>
      <c r="AY1" s="6" t="s">
        <v>87</v>
      </c>
      <c r="AZ1" s="6" t="s">
        <v>88</v>
      </c>
      <c r="BA1" s="6" t="s">
        <v>89</v>
      </c>
      <c r="BB1" s="6" t="s">
        <v>90</v>
      </c>
      <c r="BC1" s="6" t="s">
        <v>91</v>
      </c>
      <c r="BD1" s="6" t="s">
        <v>92</v>
      </c>
    </row>
    <row r="2" spans="1:56">
      <c r="A2" s="23"/>
      <c r="B2" s="23"/>
      <c r="C2" s="23"/>
      <c r="D2" s="9"/>
      <c r="E2" s="4"/>
    </row>
    <row r="3" spans="1:56">
      <c r="A3" s="23"/>
      <c r="B3" s="23"/>
      <c r="C3" s="23"/>
      <c r="D3" s="9"/>
      <c r="E3" s="4"/>
    </row>
    <row r="4" spans="1:56">
      <c r="A4" s="23"/>
      <c r="B4" s="23"/>
      <c r="C4" s="23"/>
      <c r="D4" s="9"/>
      <c r="E4" s="4"/>
    </row>
    <row r="5" spans="1:56">
      <c r="A5" s="23"/>
      <c r="B5" s="23"/>
      <c r="C5" s="23"/>
      <c r="D5" s="9"/>
      <c r="E5" s="4"/>
    </row>
    <row r="6" spans="1:56">
      <c r="A6" s="23">
        <f>G8*H8</f>
        <v>70</v>
      </c>
      <c r="B6" s="23"/>
      <c r="C6" s="23"/>
      <c r="D6" s="9"/>
      <c r="E6" s="4"/>
    </row>
    <row r="7" spans="1:56">
      <c r="A7" s="23"/>
      <c r="B7" s="23">
        <f>QUOTIENT( D7-1,G8)+1</f>
        <v>1</v>
      </c>
      <c r="C7" s="23">
        <f>D7-(B7-1)*G8</f>
        <v>1</v>
      </c>
      <c r="D7" s="23">
        <f>COUNT($D6:$D$6)+1</f>
        <v>1</v>
      </c>
      <c r="E7" s="4"/>
    </row>
    <row r="8" spans="1:56">
      <c r="E8" s="4">
        <f t="shared" ref="E8:E69" si="0">ROW(E8)</f>
        <v>8</v>
      </c>
      <c r="F8" s="9" t="s">
        <v>93</v>
      </c>
      <c r="G8" s="23" t="s">
        <v>228</v>
      </c>
      <c r="H8" s="23" t="s">
        <v>227</v>
      </c>
      <c r="J8" s="23">
        <v>10500</v>
      </c>
      <c r="M8" s="23">
        <f>$J$8+D7</f>
        <v>10501</v>
      </c>
    </row>
    <row r="9" spans="1:56">
      <c r="E9" s="4">
        <f t="shared" si="0"/>
        <v>9</v>
      </c>
      <c r="F9" s="9" t="s">
        <v>144</v>
      </c>
      <c r="M9" s="23">
        <v>104000</v>
      </c>
    </row>
    <row r="10" spans="1:56">
      <c r="E10" s="4">
        <f t="shared" si="0"/>
        <v>10</v>
      </c>
      <c r="F10" s="9" t="s">
        <v>126</v>
      </c>
      <c r="G10" s="23">
        <v>10</v>
      </c>
      <c r="H10" s="23">
        <v>8</v>
      </c>
      <c r="I10" s="23" t="s">
        <v>230</v>
      </c>
      <c r="M10" s="23">
        <f>G10*D7+$H$10+B7*I10</f>
        <v>17</v>
      </c>
    </row>
    <row r="11" spans="1:56">
      <c r="E11" s="4">
        <f t="shared" si="0"/>
        <v>11</v>
      </c>
      <c r="F11" s="9" t="s">
        <v>35</v>
      </c>
      <c r="M11" s="23">
        <v>1000</v>
      </c>
    </row>
    <row r="12" spans="1:56">
      <c r="E12" s="4">
        <f t="shared" si="0"/>
        <v>12</v>
      </c>
      <c r="F12" s="9" t="s">
        <v>29</v>
      </c>
      <c r="M12" s="23" t="s">
        <v>231</v>
      </c>
    </row>
    <row r="13" spans="1:56">
      <c r="E13" s="4">
        <f t="shared" si="0"/>
        <v>13</v>
      </c>
      <c r="F13" s="9" t="s">
        <v>118</v>
      </c>
      <c r="M13" s="23" t="s">
        <v>232</v>
      </c>
    </row>
    <row r="14" spans="1:56">
      <c r="E14" s="4">
        <f t="shared" si="0"/>
        <v>14</v>
      </c>
      <c r="F14" s="9" t="s">
        <v>114</v>
      </c>
      <c r="M14" s="23" t="b">
        <v>1</v>
      </c>
    </row>
    <row r="15" spans="1:56">
      <c r="E15" s="4">
        <f t="shared" si="0"/>
        <v>15</v>
      </c>
      <c r="F15" s="9" t="s">
        <v>98</v>
      </c>
      <c r="K15" s="9" t="s">
        <v>137</v>
      </c>
      <c r="M15" s="23">
        <v>2</v>
      </c>
    </row>
    <row r="16" spans="1:56">
      <c r="E16" s="4">
        <f>ROW(E16)</f>
        <v>16</v>
      </c>
      <c r="F16" s="9" t="s">
        <v>31</v>
      </c>
      <c r="L16" s="9" t="s">
        <v>135</v>
      </c>
      <c r="M16" s="23" t="s">
        <v>233</v>
      </c>
    </row>
    <row r="17" spans="2:13">
      <c r="E17" s="4">
        <f>ROW(E17)</f>
        <v>17</v>
      </c>
      <c r="F17" s="9" t="s">
        <v>143</v>
      </c>
      <c r="G17" s="23">
        <f>G8/2</f>
        <v>7</v>
      </c>
      <c r="H17" s="23">
        <v>-45</v>
      </c>
      <c r="I17" s="23">
        <v>-15</v>
      </c>
      <c r="J17" s="9" t="s">
        <v>235</v>
      </c>
      <c r="L17" s="9" t="s">
        <v>134</v>
      </c>
      <c r="M17" s="23">
        <f>IF(MOD(QUOTIENT(SUM(D7)-1,$G$17),2)=0,$G$18+$I$17*MOD(SUM(D7)-1,$G$17),$H$17+$J$17*MOD(SUM(D7)-1,$G$17))</f>
        <v>45</v>
      </c>
    </row>
    <row r="18" spans="2:13">
      <c r="E18" s="4"/>
      <c r="G18" s="23">
        <v>45</v>
      </c>
      <c r="J18" s="9"/>
    </row>
    <row r="19" spans="2:13">
      <c r="E19" s="4">
        <f>ROW(E19)</f>
        <v>19</v>
      </c>
      <c r="F19" s="9" t="s">
        <v>30</v>
      </c>
      <c r="G19" s="23">
        <v>4</v>
      </c>
      <c r="H19" s="25">
        <v>0.1</v>
      </c>
      <c r="M19" s="25">
        <f>$G$19+$H$19*D7</f>
        <v>4.0999999999999996</v>
      </c>
    </row>
    <row r="20" spans="2:13">
      <c r="B20" s="22">
        <f t="shared" ref="B20" si="1">QUOTIENT( D20-1,G21)+1</f>
        <v>1</v>
      </c>
      <c r="C20" s="22">
        <f t="shared" ref="C20" si="2">D20-(B20-1)*G21</f>
        <v>2</v>
      </c>
      <c r="D20" s="22">
        <f>COUNT($D$6:$D19)+1</f>
        <v>2</v>
      </c>
      <c r="E20" s="4"/>
    </row>
    <row r="21" spans="2:13">
      <c r="E21" s="4">
        <f t="shared" si="0"/>
        <v>21</v>
      </c>
      <c r="F21" s="9" t="s">
        <v>93</v>
      </c>
      <c r="G21" s="23" t="s">
        <v>44</v>
      </c>
      <c r="H21" s="23" t="s">
        <v>23</v>
      </c>
      <c r="J21" s="23">
        <v>10500</v>
      </c>
      <c r="M21" s="23">
        <f t="shared" ref="M21" si="3">$J$8+D20</f>
        <v>10502</v>
      </c>
    </row>
    <row r="22" spans="2:13">
      <c r="E22" s="4">
        <f t="shared" si="0"/>
        <v>22</v>
      </c>
      <c r="F22" s="9" t="s">
        <v>144</v>
      </c>
      <c r="M22" s="23">
        <v>104000</v>
      </c>
    </row>
    <row r="23" spans="2:13">
      <c r="E23" s="4">
        <f t="shared" si="0"/>
        <v>23</v>
      </c>
      <c r="F23" s="9" t="s">
        <v>126</v>
      </c>
      <c r="G23" s="23">
        <v>10</v>
      </c>
      <c r="H23" s="23">
        <v>8</v>
      </c>
      <c r="I23" s="23" t="s">
        <v>229</v>
      </c>
      <c r="M23" s="23">
        <f t="shared" ref="M23" si="4">G23*D20+$H$10+B20*I23</f>
        <v>27</v>
      </c>
    </row>
    <row r="24" spans="2:13">
      <c r="E24" s="4">
        <f t="shared" si="0"/>
        <v>24</v>
      </c>
      <c r="F24" s="9" t="s">
        <v>35</v>
      </c>
      <c r="M24" s="23">
        <v>1000</v>
      </c>
    </row>
    <row r="25" spans="2:13">
      <c r="E25" s="4">
        <f t="shared" si="0"/>
        <v>25</v>
      </c>
      <c r="F25" s="9" t="s">
        <v>29</v>
      </c>
      <c r="M25" s="23" t="s">
        <v>231</v>
      </c>
    </row>
    <row r="26" spans="2:13">
      <c r="E26" s="4">
        <f t="shared" si="0"/>
        <v>26</v>
      </c>
      <c r="F26" s="9" t="s">
        <v>118</v>
      </c>
      <c r="M26" s="23" t="s">
        <v>232</v>
      </c>
    </row>
    <row r="27" spans="2:13">
      <c r="E27" s="4">
        <f t="shared" si="0"/>
        <v>27</v>
      </c>
      <c r="F27" s="9" t="s">
        <v>114</v>
      </c>
      <c r="M27" s="23" t="b">
        <v>1</v>
      </c>
    </row>
    <row r="28" spans="2:13">
      <c r="E28" s="4">
        <f t="shared" si="0"/>
        <v>28</v>
      </c>
      <c r="F28" s="9" t="s">
        <v>98</v>
      </c>
      <c r="K28" s="9" t="s">
        <v>137</v>
      </c>
      <c r="M28" s="23">
        <v>2</v>
      </c>
    </row>
    <row r="29" spans="2:13">
      <c r="E29" s="4">
        <f t="shared" si="0"/>
        <v>29</v>
      </c>
      <c r="F29" s="9" t="s">
        <v>31</v>
      </c>
      <c r="L29" s="9" t="s">
        <v>135</v>
      </c>
      <c r="M29" s="23" t="s">
        <v>233</v>
      </c>
    </row>
    <row r="30" spans="2:13">
      <c r="E30" s="4">
        <f t="shared" si="0"/>
        <v>30</v>
      </c>
      <c r="F30" s="9" t="s">
        <v>143</v>
      </c>
      <c r="G30" s="23">
        <f t="shared" ref="G30" si="5">G21/2</f>
        <v>7</v>
      </c>
      <c r="H30" s="23">
        <v>-45</v>
      </c>
      <c r="I30" s="23">
        <v>-15</v>
      </c>
      <c r="J30" s="23" t="s">
        <v>234</v>
      </c>
      <c r="L30" s="9" t="s">
        <v>134</v>
      </c>
      <c r="M30" s="23">
        <f t="shared" ref="M30" si="6">IF(MOD(QUOTIENT(SUM(D20)-1,$G$17),2)=0,$G$18+$I$17*MOD(SUM(D20)-1,$G$17),$H$17+$J$17*MOD(SUM(D20)-1,$G$17))</f>
        <v>30</v>
      </c>
    </row>
    <row r="31" spans="2:13">
      <c r="E31" s="4"/>
      <c r="G31" s="23">
        <v>45</v>
      </c>
    </row>
    <row r="32" spans="2:13">
      <c r="E32" s="4">
        <f t="shared" ref="E32" si="7">ROW(E32)</f>
        <v>32</v>
      </c>
      <c r="F32" s="9" t="s">
        <v>30</v>
      </c>
      <c r="G32" s="23">
        <v>4</v>
      </c>
      <c r="H32" s="23">
        <v>0.1</v>
      </c>
      <c r="M32" s="23">
        <f t="shared" ref="M32" si="8">$G$19+$H$19*D20</f>
        <v>4.2</v>
      </c>
    </row>
    <row r="33" spans="2:13">
      <c r="B33" s="22">
        <f t="shared" ref="B33" si="9">QUOTIENT( D33-1,G34)+1</f>
        <v>1</v>
      </c>
      <c r="C33" s="22">
        <f t="shared" ref="C33" si="10">D33-(B33-1)*G34</f>
        <v>3</v>
      </c>
      <c r="D33" s="22">
        <f>COUNT($D$6:$D32)+1</f>
        <v>3</v>
      </c>
      <c r="E33" s="4"/>
    </row>
    <row r="34" spans="2:13">
      <c r="E34" s="4">
        <f t="shared" si="0"/>
        <v>34</v>
      </c>
      <c r="F34" s="9" t="s">
        <v>93</v>
      </c>
      <c r="G34" s="23" t="s">
        <v>44</v>
      </c>
      <c r="H34" s="23" t="s">
        <v>23</v>
      </c>
      <c r="J34" s="23">
        <v>10500</v>
      </c>
      <c r="M34" s="23">
        <f t="shared" ref="M34" si="11">$J$8+D33</f>
        <v>10503</v>
      </c>
    </row>
    <row r="35" spans="2:13">
      <c r="E35" s="4">
        <f t="shared" si="0"/>
        <v>35</v>
      </c>
      <c r="F35" s="9" t="s">
        <v>144</v>
      </c>
      <c r="M35" s="23">
        <v>104000</v>
      </c>
    </row>
    <row r="36" spans="2:13">
      <c r="E36" s="4">
        <f t="shared" si="0"/>
        <v>36</v>
      </c>
      <c r="F36" s="9" t="s">
        <v>126</v>
      </c>
      <c r="G36" s="23">
        <v>10</v>
      </c>
      <c r="H36" s="23">
        <v>8</v>
      </c>
      <c r="I36" s="23" t="s">
        <v>229</v>
      </c>
      <c r="M36" s="23">
        <f t="shared" ref="M36" si="12">G36*D33+$H$10+B33*I36</f>
        <v>37</v>
      </c>
    </row>
    <row r="37" spans="2:13">
      <c r="E37" s="4">
        <f t="shared" si="0"/>
        <v>37</v>
      </c>
      <c r="F37" s="9" t="s">
        <v>35</v>
      </c>
      <c r="M37" s="23">
        <v>1000</v>
      </c>
    </row>
    <row r="38" spans="2:13">
      <c r="E38" s="4">
        <f t="shared" si="0"/>
        <v>38</v>
      </c>
      <c r="F38" s="9" t="s">
        <v>29</v>
      </c>
      <c r="M38" s="23" t="s">
        <v>231</v>
      </c>
    </row>
    <row r="39" spans="2:13">
      <c r="E39" s="4">
        <f t="shared" si="0"/>
        <v>39</v>
      </c>
      <c r="F39" s="9" t="s">
        <v>118</v>
      </c>
      <c r="M39" s="23" t="s">
        <v>232</v>
      </c>
    </row>
    <row r="40" spans="2:13">
      <c r="E40" s="4">
        <f t="shared" si="0"/>
        <v>40</v>
      </c>
      <c r="F40" s="9" t="s">
        <v>114</v>
      </c>
      <c r="M40" s="23" t="b">
        <v>1</v>
      </c>
    </row>
    <row r="41" spans="2:13">
      <c r="E41" s="4">
        <f t="shared" si="0"/>
        <v>41</v>
      </c>
      <c r="F41" s="9" t="s">
        <v>98</v>
      </c>
      <c r="K41" s="9" t="s">
        <v>137</v>
      </c>
      <c r="M41" s="23">
        <v>2</v>
      </c>
    </row>
    <row r="42" spans="2:13">
      <c r="E42" s="4">
        <f t="shared" si="0"/>
        <v>42</v>
      </c>
      <c r="F42" s="9" t="s">
        <v>31</v>
      </c>
      <c r="L42" s="9" t="s">
        <v>135</v>
      </c>
      <c r="M42" s="23" t="s">
        <v>233</v>
      </c>
    </row>
    <row r="43" spans="2:13">
      <c r="E43" s="4">
        <f t="shared" si="0"/>
        <v>43</v>
      </c>
      <c r="F43" s="9" t="s">
        <v>143</v>
      </c>
      <c r="G43" s="23">
        <f t="shared" ref="G43" si="13">G34/2</f>
        <v>7</v>
      </c>
      <c r="H43" s="23">
        <v>-45</v>
      </c>
      <c r="I43" s="23">
        <v>-15</v>
      </c>
      <c r="J43" s="23" t="s">
        <v>234</v>
      </c>
      <c r="L43" s="9" t="s">
        <v>134</v>
      </c>
      <c r="M43" s="23">
        <f t="shared" ref="M43" si="14">IF(MOD(QUOTIENT(SUM(D33)-1,$G$17),2)=0,$G$18+$I$17*MOD(SUM(D33)-1,$G$17),$H$17+$J$17*MOD(SUM(D33)-1,$G$17))</f>
        <v>15</v>
      </c>
    </row>
    <row r="44" spans="2:13">
      <c r="E44" s="4"/>
      <c r="G44" s="23">
        <v>45</v>
      </c>
    </row>
    <row r="45" spans="2:13">
      <c r="E45" s="4">
        <f t="shared" ref="E45" si="15">ROW(E45)</f>
        <v>45</v>
      </c>
      <c r="F45" s="9" t="s">
        <v>30</v>
      </c>
      <c r="G45" s="23">
        <v>4</v>
      </c>
      <c r="H45" s="23">
        <v>0.1</v>
      </c>
      <c r="M45" s="23">
        <f t="shared" ref="M45" si="16">$G$19+$H$19*D33</f>
        <v>4.3</v>
      </c>
    </row>
    <row r="46" spans="2:13">
      <c r="B46" s="22">
        <f t="shared" ref="B46" si="17">QUOTIENT( D46-1,G47)+1</f>
        <v>1</v>
      </c>
      <c r="C46" s="22">
        <f t="shared" ref="C46" si="18">D46-(B46-1)*G47</f>
        <v>4</v>
      </c>
      <c r="D46" s="22">
        <f>COUNT($D$6:$D45)+1</f>
        <v>4</v>
      </c>
      <c r="E46" s="4"/>
    </row>
    <row r="47" spans="2:13">
      <c r="E47" s="4">
        <f t="shared" si="0"/>
        <v>47</v>
      </c>
      <c r="F47" s="9" t="s">
        <v>93</v>
      </c>
      <c r="G47" s="23" t="s">
        <v>44</v>
      </c>
      <c r="H47" s="23" t="s">
        <v>23</v>
      </c>
      <c r="J47" s="23">
        <v>10500</v>
      </c>
      <c r="M47" s="23">
        <f t="shared" ref="M47" si="19">$J$8+D46</f>
        <v>10504</v>
      </c>
    </row>
    <row r="48" spans="2:13">
      <c r="E48" s="4">
        <f t="shared" si="0"/>
        <v>48</v>
      </c>
      <c r="F48" s="9" t="s">
        <v>144</v>
      </c>
      <c r="M48" s="23">
        <v>104000</v>
      </c>
    </row>
    <row r="49" spans="2:13">
      <c r="E49" s="4">
        <f t="shared" si="0"/>
        <v>49</v>
      </c>
      <c r="F49" s="9" t="s">
        <v>126</v>
      </c>
      <c r="G49" s="23">
        <v>10</v>
      </c>
      <c r="H49" s="23">
        <v>8</v>
      </c>
      <c r="I49" s="23" t="s">
        <v>229</v>
      </c>
      <c r="M49" s="23">
        <f t="shared" ref="M49" si="20">G49*D46+$H$10+B46*I49</f>
        <v>47</v>
      </c>
    </row>
    <row r="50" spans="2:13">
      <c r="E50" s="4">
        <f t="shared" si="0"/>
        <v>50</v>
      </c>
      <c r="F50" s="9" t="s">
        <v>35</v>
      </c>
      <c r="M50" s="23">
        <v>1000</v>
      </c>
    </row>
    <row r="51" spans="2:13">
      <c r="E51" s="4">
        <f t="shared" si="0"/>
        <v>51</v>
      </c>
      <c r="F51" s="9" t="s">
        <v>29</v>
      </c>
      <c r="M51" s="23" t="s">
        <v>231</v>
      </c>
    </row>
    <row r="52" spans="2:13">
      <c r="E52" s="4">
        <f t="shared" si="0"/>
        <v>52</v>
      </c>
      <c r="F52" s="9" t="s">
        <v>118</v>
      </c>
      <c r="M52" s="23" t="s">
        <v>232</v>
      </c>
    </row>
    <row r="53" spans="2:13">
      <c r="E53" s="4">
        <f t="shared" si="0"/>
        <v>53</v>
      </c>
      <c r="F53" s="9" t="s">
        <v>114</v>
      </c>
      <c r="M53" s="23" t="b">
        <v>1</v>
      </c>
    </row>
    <row r="54" spans="2:13">
      <c r="E54" s="4">
        <f t="shared" si="0"/>
        <v>54</v>
      </c>
      <c r="F54" s="9" t="s">
        <v>98</v>
      </c>
      <c r="K54" s="9" t="s">
        <v>137</v>
      </c>
      <c r="M54" s="23">
        <v>2</v>
      </c>
    </row>
    <row r="55" spans="2:13">
      <c r="E55" s="4">
        <f t="shared" si="0"/>
        <v>55</v>
      </c>
      <c r="F55" s="9" t="s">
        <v>31</v>
      </c>
      <c r="L55" s="9" t="s">
        <v>135</v>
      </c>
      <c r="M55" s="23" t="s">
        <v>233</v>
      </c>
    </row>
    <row r="56" spans="2:13">
      <c r="E56" s="4">
        <f t="shared" si="0"/>
        <v>56</v>
      </c>
      <c r="F56" s="9" t="s">
        <v>143</v>
      </c>
      <c r="G56" s="23">
        <f t="shared" ref="G56" si="21">G47/2</f>
        <v>7</v>
      </c>
      <c r="H56" s="23">
        <v>-45</v>
      </c>
      <c r="I56" s="23">
        <v>-15</v>
      </c>
      <c r="J56" s="23" t="s">
        <v>234</v>
      </c>
      <c r="L56" s="9" t="s">
        <v>134</v>
      </c>
      <c r="M56" s="23">
        <f t="shared" ref="M56" si="22">IF(MOD(QUOTIENT(SUM(D46)-1,$G$17),2)=0,$G$18+$I$17*MOD(SUM(D46)-1,$G$17),$H$17+$J$17*MOD(SUM(D46)-1,$G$17))</f>
        <v>0</v>
      </c>
    </row>
    <row r="57" spans="2:13">
      <c r="E57" s="4"/>
      <c r="G57" s="23">
        <v>45</v>
      </c>
    </row>
    <row r="58" spans="2:13">
      <c r="E58" s="4">
        <f t="shared" ref="E58" si="23">ROW(E58)</f>
        <v>58</v>
      </c>
      <c r="F58" s="9" t="s">
        <v>30</v>
      </c>
      <c r="G58" s="23">
        <v>4</v>
      </c>
      <c r="H58" s="23">
        <v>0.1</v>
      </c>
      <c r="M58" s="23">
        <f t="shared" ref="M58" si="24">$G$19+$H$19*D46</f>
        <v>4.4000000000000004</v>
      </c>
    </row>
    <row r="59" spans="2:13">
      <c r="B59" s="22">
        <f t="shared" ref="B59" si="25">QUOTIENT( D59-1,G60)+1</f>
        <v>1</v>
      </c>
      <c r="C59" s="22">
        <f t="shared" ref="C59" si="26">D59-(B59-1)*G60</f>
        <v>5</v>
      </c>
      <c r="D59" s="22">
        <f>COUNT($D$6:$D58)+1</f>
        <v>5</v>
      </c>
      <c r="E59" s="4"/>
    </row>
    <row r="60" spans="2:13">
      <c r="E60" s="4">
        <f t="shared" si="0"/>
        <v>60</v>
      </c>
      <c r="F60" s="9" t="s">
        <v>93</v>
      </c>
      <c r="G60" s="23" t="s">
        <v>44</v>
      </c>
      <c r="H60" s="23" t="s">
        <v>23</v>
      </c>
      <c r="J60" s="23">
        <v>10500</v>
      </c>
      <c r="M60" s="23">
        <f t="shared" ref="M60" si="27">$J$8+D59</f>
        <v>10505</v>
      </c>
    </row>
    <row r="61" spans="2:13">
      <c r="E61" s="4">
        <f t="shared" si="0"/>
        <v>61</v>
      </c>
      <c r="F61" s="9" t="s">
        <v>144</v>
      </c>
      <c r="M61" s="23">
        <v>104000</v>
      </c>
    </row>
    <row r="62" spans="2:13">
      <c r="E62" s="4">
        <f t="shared" si="0"/>
        <v>62</v>
      </c>
      <c r="F62" s="9" t="s">
        <v>126</v>
      </c>
      <c r="G62" s="23">
        <v>10</v>
      </c>
      <c r="H62" s="23">
        <v>8</v>
      </c>
      <c r="I62" s="23" t="s">
        <v>229</v>
      </c>
      <c r="M62" s="23">
        <f t="shared" ref="M62" si="28">G62*D59+$H$10+B59*I62</f>
        <v>57</v>
      </c>
    </row>
    <row r="63" spans="2:13">
      <c r="E63" s="4">
        <f t="shared" si="0"/>
        <v>63</v>
      </c>
      <c r="F63" s="9" t="s">
        <v>35</v>
      </c>
      <c r="M63" s="23">
        <v>1000</v>
      </c>
    </row>
    <row r="64" spans="2:13">
      <c r="E64" s="4">
        <f t="shared" si="0"/>
        <v>64</v>
      </c>
      <c r="F64" s="9" t="s">
        <v>29</v>
      </c>
      <c r="M64" s="23" t="s">
        <v>231</v>
      </c>
    </row>
    <row r="65" spans="2:13">
      <c r="E65" s="4">
        <f t="shared" si="0"/>
        <v>65</v>
      </c>
      <c r="F65" s="9" t="s">
        <v>118</v>
      </c>
      <c r="M65" s="23" t="s">
        <v>232</v>
      </c>
    </row>
    <row r="66" spans="2:13">
      <c r="E66" s="4">
        <f t="shared" si="0"/>
        <v>66</v>
      </c>
      <c r="F66" s="9" t="s">
        <v>114</v>
      </c>
      <c r="M66" s="23" t="b">
        <v>1</v>
      </c>
    </row>
    <row r="67" spans="2:13">
      <c r="E67" s="4">
        <f t="shared" si="0"/>
        <v>67</v>
      </c>
      <c r="F67" s="9" t="s">
        <v>98</v>
      </c>
      <c r="K67" s="9" t="s">
        <v>137</v>
      </c>
      <c r="M67" s="23">
        <v>2</v>
      </c>
    </row>
    <row r="68" spans="2:13">
      <c r="E68" s="4">
        <f t="shared" si="0"/>
        <v>68</v>
      </c>
      <c r="F68" s="9" t="s">
        <v>31</v>
      </c>
      <c r="L68" s="9" t="s">
        <v>135</v>
      </c>
      <c r="M68" s="23" t="s">
        <v>233</v>
      </c>
    </row>
    <row r="69" spans="2:13">
      <c r="E69" s="4">
        <f t="shared" si="0"/>
        <v>69</v>
      </c>
      <c r="F69" s="9" t="s">
        <v>143</v>
      </c>
      <c r="G69" s="23">
        <f t="shared" ref="G69" si="29">G60/2</f>
        <v>7</v>
      </c>
      <c r="H69" s="23">
        <v>-45</v>
      </c>
      <c r="I69" s="23">
        <v>-15</v>
      </c>
      <c r="J69" s="23" t="s">
        <v>234</v>
      </c>
      <c r="L69" s="9" t="s">
        <v>134</v>
      </c>
      <c r="M69" s="23">
        <f t="shared" ref="M69" si="30">IF(MOD(QUOTIENT(SUM(D59)-1,$G$17),2)=0,$G$18+$I$17*MOD(SUM(D59)-1,$G$17),$H$17+$J$17*MOD(SUM(D59)-1,$G$17))</f>
        <v>-15</v>
      </c>
    </row>
    <row r="70" spans="2:13">
      <c r="E70" s="4"/>
      <c r="G70" s="23">
        <v>45</v>
      </c>
    </row>
    <row r="71" spans="2:13">
      <c r="E71" s="4">
        <f t="shared" ref="E71" si="31">ROW(E71)</f>
        <v>71</v>
      </c>
      <c r="F71" s="9" t="s">
        <v>30</v>
      </c>
      <c r="G71" s="23">
        <v>4</v>
      </c>
      <c r="H71" s="23">
        <v>0.1</v>
      </c>
      <c r="M71" s="23">
        <f t="shared" ref="M71" si="32">$G$19+$H$19*D59</f>
        <v>4.5</v>
      </c>
    </row>
    <row r="72" spans="2:13">
      <c r="B72" s="22">
        <f t="shared" ref="B72" si="33">QUOTIENT( D72-1,G73)+1</f>
        <v>1</v>
      </c>
      <c r="C72" s="22">
        <f t="shared" ref="C72" si="34">D72-(B72-1)*G73</f>
        <v>6</v>
      </c>
      <c r="D72" s="22">
        <f>COUNT($D$6:$D71)+1</f>
        <v>6</v>
      </c>
      <c r="E72" s="4"/>
    </row>
    <row r="73" spans="2:13">
      <c r="E73" s="4">
        <f t="shared" ref="E73:E134" si="35">ROW(E73)</f>
        <v>73</v>
      </c>
      <c r="F73" s="9" t="s">
        <v>93</v>
      </c>
      <c r="G73" s="23" t="s">
        <v>44</v>
      </c>
      <c r="H73" s="23" t="s">
        <v>23</v>
      </c>
      <c r="J73" s="23">
        <v>10500</v>
      </c>
      <c r="M73" s="23">
        <f t="shared" ref="M73" si="36">$J$8+D72</f>
        <v>10506</v>
      </c>
    </row>
    <row r="74" spans="2:13">
      <c r="E74" s="4">
        <f t="shared" si="35"/>
        <v>74</v>
      </c>
      <c r="F74" s="9" t="s">
        <v>144</v>
      </c>
      <c r="M74" s="23">
        <v>104000</v>
      </c>
    </row>
    <row r="75" spans="2:13">
      <c r="E75" s="4">
        <f t="shared" si="35"/>
        <v>75</v>
      </c>
      <c r="F75" s="9" t="s">
        <v>126</v>
      </c>
      <c r="G75" s="23">
        <v>10</v>
      </c>
      <c r="H75" s="23">
        <v>8</v>
      </c>
      <c r="I75" s="23" t="s">
        <v>229</v>
      </c>
      <c r="M75" s="23">
        <f t="shared" ref="M75" si="37">G75*D72+$H$10+B72*I75</f>
        <v>67</v>
      </c>
    </row>
    <row r="76" spans="2:13">
      <c r="E76" s="4">
        <f t="shared" si="35"/>
        <v>76</v>
      </c>
      <c r="F76" s="9" t="s">
        <v>35</v>
      </c>
      <c r="M76" s="23">
        <v>1000</v>
      </c>
    </row>
    <row r="77" spans="2:13">
      <c r="E77" s="4">
        <f t="shared" si="35"/>
        <v>77</v>
      </c>
      <c r="F77" s="9" t="s">
        <v>29</v>
      </c>
      <c r="M77" s="23" t="s">
        <v>231</v>
      </c>
    </row>
    <row r="78" spans="2:13">
      <c r="E78" s="4">
        <f t="shared" si="35"/>
        <v>78</v>
      </c>
      <c r="F78" s="9" t="s">
        <v>118</v>
      </c>
      <c r="M78" s="23" t="s">
        <v>232</v>
      </c>
    </row>
    <row r="79" spans="2:13">
      <c r="E79" s="4">
        <f t="shared" si="35"/>
        <v>79</v>
      </c>
      <c r="F79" s="9" t="s">
        <v>114</v>
      </c>
      <c r="M79" s="23" t="b">
        <v>1</v>
      </c>
    </row>
    <row r="80" spans="2:13">
      <c r="E80" s="4">
        <f t="shared" si="35"/>
        <v>80</v>
      </c>
      <c r="F80" s="9" t="s">
        <v>98</v>
      </c>
      <c r="K80" s="9" t="s">
        <v>137</v>
      </c>
      <c r="M80" s="23">
        <v>2</v>
      </c>
    </row>
    <row r="81" spans="2:13">
      <c r="E81" s="4">
        <f t="shared" si="35"/>
        <v>81</v>
      </c>
      <c r="F81" s="9" t="s">
        <v>31</v>
      </c>
      <c r="L81" s="9" t="s">
        <v>135</v>
      </c>
      <c r="M81" s="23" t="s">
        <v>233</v>
      </c>
    </row>
    <row r="82" spans="2:13">
      <c r="E82" s="4">
        <f t="shared" si="35"/>
        <v>82</v>
      </c>
      <c r="F82" s="9" t="s">
        <v>143</v>
      </c>
      <c r="G82" s="23">
        <f t="shared" ref="G82" si="38">G73/2</f>
        <v>7</v>
      </c>
      <c r="H82" s="23">
        <v>-45</v>
      </c>
      <c r="I82" s="23">
        <v>-15</v>
      </c>
      <c r="J82" s="23" t="s">
        <v>234</v>
      </c>
      <c r="L82" s="9" t="s">
        <v>134</v>
      </c>
      <c r="M82" s="23">
        <f t="shared" ref="M82" si="39">IF(MOD(QUOTIENT(SUM(D72)-1,$G$17),2)=0,$G$18+$I$17*MOD(SUM(D72)-1,$G$17),$H$17+$J$17*MOD(SUM(D72)-1,$G$17))</f>
        <v>-30</v>
      </c>
    </row>
    <row r="83" spans="2:13">
      <c r="E83" s="4"/>
      <c r="G83" s="23">
        <v>45</v>
      </c>
    </row>
    <row r="84" spans="2:13">
      <c r="E84" s="4">
        <f t="shared" ref="E84" si="40">ROW(E84)</f>
        <v>84</v>
      </c>
      <c r="F84" s="9" t="s">
        <v>30</v>
      </c>
      <c r="G84" s="23">
        <v>4</v>
      </c>
      <c r="H84" s="23">
        <v>0.1</v>
      </c>
      <c r="M84" s="23">
        <f t="shared" ref="M84" si="41">$G$19+$H$19*D72</f>
        <v>4.5999999999999996</v>
      </c>
    </row>
    <row r="85" spans="2:13">
      <c r="B85" s="22">
        <f t="shared" ref="B85" si="42">QUOTIENT( D85-1,G86)+1</f>
        <v>1</v>
      </c>
      <c r="C85" s="22">
        <f t="shared" ref="C85" si="43">D85-(B85-1)*G86</f>
        <v>7</v>
      </c>
      <c r="D85" s="22">
        <f>COUNT($D$6:$D84)+1</f>
        <v>7</v>
      </c>
      <c r="E85" s="4"/>
    </row>
    <row r="86" spans="2:13">
      <c r="E86" s="4">
        <f t="shared" si="35"/>
        <v>86</v>
      </c>
      <c r="F86" s="9" t="s">
        <v>93</v>
      </c>
      <c r="G86" s="23" t="s">
        <v>44</v>
      </c>
      <c r="H86" s="23" t="s">
        <v>23</v>
      </c>
      <c r="J86" s="23">
        <v>10500</v>
      </c>
      <c r="M86" s="23">
        <f t="shared" ref="M86" si="44">$J$8+D85</f>
        <v>10507</v>
      </c>
    </row>
    <row r="87" spans="2:13">
      <c r="E87" s="4">
        <f t="shared" si="35"/>
        <v>87</v>
      </c>
      <c r="F87" s="9" t="s">
        <v>144</v>
      </c>
      <c r="M87" s="23">
        <v>104000</v>
      </c>
    </row>
    <row r="88" spans="2:13">
      <c r="E88" s="4">
        <f t="shared" si="35"/>
        <v>88</v>
      </c>
      <c r="F88" s="9" t="s">
        <v>126</v>
      </c>
      <c r="G88" s="23">
        <v>10</v>
      </c>
      <c r="H88" s="23">
        <v>8</v>
      </c>
      <c r="I88" s="23" t="s">
        <v>229</v>
      </c>
      <c r="M88" s="23">
        <f t="shared" ref="M88" si="45">G88*D85+$H$10+B85*I88</f>
        <v>77</v>
      </c>
    </row>
    <row r="89" spans="2:13">
      <c r="E89" s="4">
        <f t="shared" si="35"/>
        <v>89</v>
      </c>
      <c r="F89" s="9" t="s">
        <v>35</v>
      </c>
      <c r="M89" s="23">
        <v>1000</v>
      </c>
    </row>
    <row r="90" spans="2:13">
      <c r="E90" s="4">
        <f t="shared" si="35"/>
        <v>90</v>
      </c>
      <c r="F90" s="9" t="s">
        <v>29</v>
      </c>
      <c r="M90" s="23" t="s">
        <v>231</v>
      </c>
    </row>
    <row r="91" spans="2:13">
      <c r="E91" s="4">
        <f t="shared" si="35"/>
        <v>91</v>
      </c>
      <c r="F91" s="9" t="s">
        <v>118</v>
      </c>
      <c r="M91" s="23" t="s">
        <v>232</v>
      </c>
    </row>
    <row r="92" spans="2:13">
      <c r="E92" s="4">
        <f t="shared" si="35"/>
        <v>92</v>
      </c>
      <c r="F92" s="9" t="s">
        <v>114</v>
      </c>
      <c r="M92" s="23" t="b">
        <v>1</v>
      </c>
    </row>
    <row r="93" spans="2:13">
      <c r="E93" s="4">
        <f t="shared" si="35"/>
        <v>93</v>
      </c>
      <c r="F93" s="9" t="s">
        <v>98</v>
      </c>
      <c r="K93" s="9" t="s">
        <v>137</v>
      </c>
      <c r="M93" s="23">
        <v>2</v>
      </c>
    </row>
    <row r="94" spans="2:13">
      <c r="E94" s="4">
        <f t="shared" si="35"/>
        <v>94</v>
      </c>
      <c r="F94" s="9" t="s">
        <v>31</v>
      </c>
      <c r="L94" s="9" t="s">
        <v>135</v>
      </c>
      <c r="M94" s="23" t="s">
        <v>233</v>
      </c>
    </row>
    <row r="95" spans="2:13">
      <c r="E95" s="4">
        <f t="shared" si="35"/>
        <v>95</v>
      </c>
      <c r="F95" s="9" t="s">
        <v>143</v>
      </c>
      <c r="G95" s="23">
        <f t="shared" ref="G95" si="46">G86/2</f>
        <v>7</v>
      </c>
      <c r="H95" s="23">
        <v>-45</v>
      </c>
      <c r="I95" s="23">
        <v>-15</v>
      </c>
      <c r="J95" s="23" t="s">
        <v>234</v>
      </c>
      <c r="L95" s="9" t="s">
        <v>134</v>
      </c>
      <c r="M95" s="23">
        <f t="shared" ref="M95" si="47">IF(MOD(QUOTIENT(SUM(D85)-1,$G$17),2)=0,$G$18+$I$17*MOD(SUM(D85)-1,$G$17),$H$17+$J$17*MOD(SUM(D85)-1,$G$17))</f>
        <v>-45</v>
      </c>
    </row>
    <row r="96" spans="2:13">
      <c r="E96" s="4"/>
      <c r="G96" s="23">
        <v>45</v>
      </c>
    </row>
    <row r="97" spans="2:13">
      <c r="E97" s="4">
        <f t="shared" ref="E97" si="48">ROW(E97)</f>
        <v>97</v>
      </c>
      <c r="F97" s="9" t="s">
        <v>30</v>
      </c>
      <c r="G97" s="23">
        <v>4</v>
      </c>
      <c r="H97" s="23">
        <v>0.1</v>
      </c>
      <c r="M97" s="23">
        <f t="shared" ref="M97" si="49">$G$19+$H$19*D85</f>
        <v>4.7</v>
      </c>
    </row>
    <row r="98" spans="2:13">
      <c r="B98" s="22">
        <f t="shared" ref="B98" si="50">QUOTIENT( D98-1,G99)+1</f>
        <v>1</v>
      </c>
      <c r="C98" s="22">
        <f t="shared" ref="C98" si="51">D98-(B98-1)*G99</f>
        <v>8</v>
      </c>
      <c r="D98" s="22">
        <f>COUNT($D$6:$D97)+1</f>
        <v>8</v>
      </c>
      <c r="E98" s="4"/>
    </row>
    <row r="99" spans="2:13">
      <c r="E99" s="4">
        <f t="shared" si="35"/>
        <v>99</v>
      </c>
      <c r="F99" s="9" t="s">
        <v>93</v>
      </c>
      <c r="G99" s="23" t="s">
        <v>44</v>
      </c>
      <c r="H99" s="23" t="s">
        <v>23</v>
      </c>
      <c r="J99" s="23">
        <v>10500</v>
      </c>
      <c r="M99" s="23">
        <f t="shared" ref="M99" si="52">$J$8+D98</f>
        <v>10508</v>
      </c>
    </row>
    <row r="100" spans="2:13">
      <c r="E100" s="4">
        <f t="shared" si="35"/>
        <v>100</v>
      </c>
      <c r="F100" s="9" t="s">
        <v>144</v>
      </c>
      <c r="M100" s="23">
        <v>104000</v>
      </c>
    </row>
    <row r="101" spans="2:13">
      <c r="E101" s="4">
        <f t="shared" si="35"/>
        <v>101</v>
      </c>
      <c r="F101" s="9" t="s">
        <v>126</v>
      </c>
      <c r="G101" s="23">
        <v>10</v>
      </c>
      <c r="H101" s="23">
        <v>8</v>
      </c>
      <c r="I101" s="23" t="s">
        <v>229</v>
      </c>
      <c r="M101" s="23">
        <f t="shared" ref="M101" si="53">G101*D98+$H$10+B98*I101</f>
        <v>87</v>
      </c>
    </row>
    <row r="102" spans="2:13">
      <c r="E102" s="4">
        <f t="shared" si="35"/>
        <v>102</v>
      </c>
      <c r="F102" s="9" t="s">
        <v>35</v>
      </c>
      <c r="M102" s="23">
        <v>1000</v>
      </c>
    </row>
    <row r="103" spans="2:13">
      <c r="E103" s="4">
        <f t="shared" si="35"/>
        <v>103</v>
      </c>
      <c r="F103" s="9" t="s">
        <v>29</v>
      </c>
      <c r="M103" s="23" t="s">
        <v>231</v>
      </c>
    </row>
    <row r="104" spans="2:13">
      <c r="E104" s="4">
        <f t="shared" si="35"/>
        <v>104</v>
      </c>
      <c r="F104" s="9" t="s">
        <v>118</v>
      </c>
      <c r="M104" s="23" t="s">
        <v>232</v>
      </c>
    </row>
    <row r="105" spans="2:13">
      <c r="E105" s="4">
        <f t="shared" si="35"/>
        <v>105</v>
      </c>
      <c r="F105" s="9" t="s">
        <v>114</v>
      </c>
      <c r="M105" s="23" t="b">
        <v>1</v>
      </c>
    </row>
    <row r="106" spans="2:13">
      <c r="E106" s="4">
        <f t="shared" si="35"/>
        <v>106</v>
      </c>
      <c r="F106" s="9" t="s">
        <v>98</v>
      </c>
      <c r="K106" s="9" t="s">
        <v>137</v>
      </c>
      <c r="M106" s="23">
        <v>2</v>
      </c>
    </row>
    <row r="107" spans="2:13">
      <c r="E107" s="4">
        <f t="shared" si="35"/>
        <v>107</v>
      </c>
      <c r="F107" s="9" t="s">
        <v>31</v>
      </c>
      <c r="L107" s="9" t="s">
        <v>135</v>
      </c>
      <c r="M107" s="23" t="s">
        <v>233</v>
      </c>
    </row>
    <row r="108" spans="2:13">
      <c r="E108" s="4">
        <f t="shared" si="35"/>
        <v>108</v>
      </c>
      <c r="F108" s="9" t="s">
        <v>143</v>
      </c>
      <c r="G108" s="23">
        <f t="shared" ref="G108" si="54">G99/2</f>
        <v>7</v>
      </c>
      <c r="H108" s="23">
        <v>-45</v>
      </c>
      <c r="I108" s="23">
        <v>-15</v>
      </c>
      <c r="J108" s="23" t="s">
        <v>234</v>
      </c>
      <c r="L108" s="9" t="s">
        <v>134</v>
      </c>
      <c r="M108" s="23">
        <f t="shared" ref="M108" si="55">IF(MOD(QUOTIENT(SUM(D98)-1,$G$17),2)=0,$G$18+$I$17*MOD(SUM(D98)-1,$G$17),$H$17+$J$17*MOD(SUM(D98)-1,$G$17))</f>
        <v>-45</v>
      </c>
    </row>
    <row r="109" spans="2:13">
      <c r="E109" s="4"/>
      <c r="G109" s="23">
        <v>45</v>
      </c>
    </row>
    <row r="110" spans="2:13">
      <c r="E110" s="4">
        <f t="shared" ref="E110" si="56">ROW(E110)</f>
        <v>110</v>
      </c>
      <c r="F110" s="9" t="s">
        <v>30</v>
      </c>
      <c r="G110" s="23">
        <v>4</v>
      </c>
      <c r="H110" s="23">
        <v>0.1</v>
      </c>
      <c r="M110" s="23">
        <f t="shared" ref="M110" si="57">$G$19+$H$19*D98</f>
        <v>4.8</v>
      </c>
    </row>
    <row r="111" spans="2:13">
      <c r="B111" s="22">
        <f t="shared" ref="B111" si="58">QUOTIENT( D111-1,G112)+1</f>
        <v>1</v>
      </c>
      <c r="C111" s="22">
        <f t="shared" ref="C111" si="59">D111-(B111-1)*G112</f>
        <v>9</v>
      </c>
      <c r="D111" s="22">
        <f>COUNT($D$6:$D110)+1</f>
        <v>9</v>
      </c>
      <c r="E111" s="4"/>
    </row>
    <row r="112" spans="2:13">
      <c r="E112" s="4">
        <f t="shared" si="35"/>
        <v>112</v>
      </c>
      <c r="F112" s="9" t="s">
        <v>93</v>
      </c>
      <c r="G112" s="23" t="s">
        <v>44</v>
      </c>
      <c r="H112" s="23" t="s">
        <v>23</v>
      </c>
      <c r="J112" s="23">
        <v>10500</v>
      </c>
      <c r="M112" s="23">
        <f t="shared" ref="M112" si="60">$J$8+D111</f>
        <v>10509</v>
      </c>
    </row>
    <row r="113" spans="2:13">
      <c r="E113" s="4">
        <f t="shared" si="35"/>
        <v>113</v>
      </c>
      <c r="F113" s="9" t="s">
        <v>144</v>
      </c>
      <c r="M113" s="23">
        <v>104000</v>
      </c>
    </row>
    <row r="114" spans="2:13">
      <c r="E114" s="4">
        <f t="shared" si="35"/>
        <v>114</v>
      </c>
      <c r="F114" s="9" t="s">
        <v>126</v>
      </c>
      <c r="G114" s="23">
        <v>10</v>
      </c>
      <c r="H114" s="23">
        <v>8</v>
      </c>
      <c r="I114" s="23" t="s">
        <v>229</v>
      </c>
      <c r="M114" s="23">
        <f t="shared" ref="M114" si="61">G114*D111+$H$10+B111*I114</f>
        <v>97</v>
      </c>
    </row>
    <row r="115" spans="2:13">
      <c r="E115" s="4">
        <f t="shared" si="35"/>
        <v>115</v>
      </c>
      <c r="F115" s="9" t="s">
        <v>35</v>
      </c>
      <c r="M115" s="23">
        <v>1000</v>
      </c>
    </row>
    <row r="116" spans="2:13">
      <c r="E116" s="4">
        <f t="shared" si="35"/>
        <v>116</v>
      </c>
      <c r="F116" s="9" t="s">
        <v>29</v>
      </c>
      <c r="M116" s="23" t="s">
        <v>231</v>
      </c>
    </row>
    <row r="117" spans="2:13">
      <c r="E117" s="4">
        <f t="shared" si="35"/>
        <v>117</v>
      </c>
      <c r="F117" s="9" t="s">
        <v>118</v>
      </c>
      <c r="M117" s="23" t="s">
        <v>232</v>
      </c>
    </row>
    <row r="118" spans="2:13">
      <c r="E118" s="4">
        <f t="shared" si="35"/>
        <v>118</v>
      </c>
      <c r="F118" s="9" t="s">
        <v>114</v>
      </c>
      <c r="M118" s="23" t="b">
        <v>1</v>
      </c>
    </row>
    <row r="119" spans="2:13">
      <c r="E119" s="4">
        <f t="shared" si="35"/>
        <v>119</v>
      </c>
      <c r="F119" s="9" t="s">
        <v>98</v>
      </c>
      <c r="K119" s="9" t="s">
        <v>137</v>
      </c>
      <c r="M119" s="23">
        <v>2</v>
      </c>
    </row>
    <row r="120" spans="2:13">
      <c r="E120" s="4">
        <f t="shared" si="35"/>
        <v>120</v>
      </c>
      <c r="F120" s="9" t="s">
        <v>31</v>
      </c>
      <c r="L120" s="9" t="s">
        <v>135</v>
      </c>
      <c r="M120" s="23" t="s">
        <v>233</v>
      </c>
    </row>
    <row r="121" spans="2:13">
      <c r="E121" s="4">
        <f t="shared" si="35"/>
        <v>121</v>
      </c>
      <c r="F121" s="9" t="s">
        <v>143</v>
      </c>
      <c r="G121" s="23">
        <f t="shared" ref="G121" si="62">G112/2</f>
        <v>7</v>
      </c>
      <c r="H121" s="23">
        <v>-45</v>
      </c>
      <c r="I121" s="23">
        <v>-15</v>
      </c>
      <c r="J121" s="23" t="s">
        <v>234</v>
      </c>
      <c r="L121" s="9" t="s">
        <v>134</v>
      </c>
      <c r="M121" s="23">
        <f t="shared" ref="M121" si="63">IF(MOD(QUOTIENT(SUM(D111)-1,$G$17),2)=0,$G$18+$I$17*MOD(SUM(D111)-1,$G$17),$H$17+$J$17*MOD(SUM(D111)-1,$G$17))</f>
        <v>-30</v>
      </c>
    </row>
    <row r="122" spans="2:13">
      <c r="E122" s="4"/>
      <c r="G122" s="23">
        <v>45</v>
      </c>
    </row>
    <row r="123" spans="2:13">
      <c r="E123" s="4">
        <f t="shared" ref="E123" si="64">ROW(E123)</f>
        <v>123</v>
      </c>
      <c r="F123" s="9" t="s">
        <v>30</v>
      </c>
      <c r="G123" s="23">
        <v>4</v>
      </c>
      <c r="H123" s="23">
        <v>0.1</v>
      </c>
      <c r="M123" s="23">
        <f t="shared" ref="M123" si="65">$G$19+$H$19*D111</f>
        <v>4.9000000000000004</v>
      </c>
    </row>
    <row r="124" spans="2:13">
      <c r="B124" s="22">
        <f t="shared" ref="B124" si="66">QUOTIENT( D124-1,G125)+1</f>
        <v>1</v>
      </c>
      <c r="C124" s="22">
        <f t="shared" ref="C124" si="67">D124-(B124-1)*G125</f>
        <v>10</v>
      </c>
      <c r="D124" s="22">
        <f>COUNT($D$6:$D123)+1</f>
        <v>10</v>
      </c>
      <c r="E124" s="4"/>
    </row>
    <row r="125" spans="2:13">
      <c r="E125" s="4">
        <f t="shared" si="35"/>
        <v>125</v>
      </c>
      <c r="F125" s="9" t="s">
        <v>93</v>
      </c>
      <c r="G125" s="23" t="s">
        <v>44</v>
      </c>
      <c r="H125" s="23" t="s">
        <v>23</v>
      </c>
      <c r="J125" s="23">
        <v>10500</v>
      </c>
      <c r="M125" s="23">
        <f t="shared" ref="M125" si="68">$J$8+D124</f>
        <v>10510</v>
      </c>
    </row>
    <row r="126" spans="2:13">
      <c r="E126" s="4">
        <f t="shared" si="35"/>
        <v>126</v>
      </c>
      <c r="F126" s="9" t="s">
        <v>144</v>
      </c>
      <c r="M126" s="23">
        <v>104000</v>
      </c>
    </row>
    <row r="127" spans="2:13">
      <c r="E127" s="4">
        <f t="shared" si="35"/>
        <v>127</v>
      </c>
      <c r="F127" s="9" t="s">
        <v>126</v>
      </c>
      <c r="G127" s="23">
        <v>10</v>
      </c>
      <c r="H127" s="23">
        <v>8</v>
      </c>
      <c r="I127" s="23" t="s">
        <v>229</v>
      </c>
      <c r="M127" s="23">
        <f t="shared" ref="M127" si="69">G127*D124+$H$10+B124*I127</f>
        <v>107</v>
      </c>
    </row>
    <row r="128" spans="2:13">
      <c r="E128" s="4">
        <f t="shared" si="35"/>
        <v>128</v>
      </c>
      <c r="F128" s="9" t="s">
        <v>35</v>
      </c>
      <c r="M128" s="23">
        <v>1000</v>
      </c>
    </row>
    <row r="129" spans="2:13">
      <c r="E129" s="4">
        <f t="shared" si="35"/>
        <v>129</v>
      </c>
      <c r="F129" s="9" t="s">
        <v>29</v>
      </c>
      <c r="M129" s="23" t="s">
        <v>231</v>
      </c>
    </row>
    <row r="130" spans="2:13">
      <c r="E130" s="4">
        <f t="shared" si="35"/>
        <v>130</v>
      </c>
      <c r="F130" s="9" t="s">
        <v>118</v>
      </c>
      <c r="M130" s="23" t="s">
        <v>232</v>
      </c>
    </row>
    <row r="131" spans="2:13">
      <c r="E131" s="4">
        <f t="shared" si="35"/>
        <v>131</v>
      </c>
      <c r="F131" s="9" t="s">
        <v>114</v>
      </c>
      <c r="M131" s="23" t="b">
        <v>1</v>
      </c>
    </row>
    <row r="132" spans="2:13">
      <c r="E132" s="4">
        <f t="shared" si="35"/>
        <v>132</v>
      </c>
      <c r="F132" s="9" t="s">
        <v>98</v>
      </c>
      <c r="K132" s="9" t="s">
        <v>137</v>
      </c>
      <c r="M132" s="23">
        <v>2</v>
      </c>
    </row>
    <row r="133" spans="2:13">
      <c r="E133" s="4">
        <f t="shared" si="35"/>
        <v>133</v>
      </c>
      <c r="F133" s="9" t="s">
        <v>31</v>
      </c>
      <c r="L133" s="9" t="s">
        <v>135</v>
      </c>
      <c r="M133" s="23" t="s">
        <v>233</v>
      </c>
    </row>
    <row r="134" spans="2:13">
      <c r="E134" s="4">
        <f t="shared" si="35"/>
        <v>134</v>
      </c>
      <c r="F134" s="9" t="s">
        <v>143</v>
      </c>
      <c r="G134" s="23">
        <f t="shared" ref="G134" si="70">G125/2</f>
        <v>7</v>
      </c>
      <c r="H134" s="23">
        <v>-45</v>
      </c>
      <c r="I134" s="23">
        <v>-15</v>
      </c>
      <c r="J134" s="23" t="s">
        <v>234</v>
      </c>
      <c r="L134" s="9" t="s">
        <v>134</v>
      </c>
      <c r="M134" s="23">
        <f t="shared" ref="M134" si="71">IF(MOD(QUOTIENT(SUM(D124)-1,$G$17),2)=0,$G$18+$I$17*MOD(SUM(D124)-1,$G$17),$H$17+$J$17*MOD(SUM(D124)-1,$G$17))</f>
        <v>-15</v>
      </c>
    </row>
    <row r="135" spans="2:13">
      <c r="E135" s="4"/>
      <c r="G135" s="23">
        <v>45</v>
      </c>
    </row>
    <row r="136" spans="2:13">
      <c r="E136" s="4">
        <f t="shared" ref="E136" si="72">ROW(E136)</f>
        <v>136</v>
      </c>
      <c r="F136" s="9" t="s">
        <v>30</v>
      </c>
      <c r="G136" s="23">
        <v>4</v>
      </c>
      <c r="H136" s="23">
        <v>0.1</v>
      </c>
      <c r="M136" s="23">
        <f t="shared" ref="M136" si="73">$G$19+$H$19*D124</f>
        <v>5</v>
      </c>
    </row>
    <row r="137" spans="2:13">
      <c r="B137" s="22">
        <f t="shared" ref="B137" si="74">QUOTIENT( D137-1,G138)+1</f>
        <v>1</v>
      </c>
      <c r="C137" s="22">
        <f t="shared" ref="C137" si="75">D137-(B137-1)*G138</f>
        <v>11</v>
      </c>
      <c r="D137" s="22">
        <f>COUNT($D$6:$D136)+1</f>
        <v>11</v>
      </c>
      <c r="E137" s="4"/>
    </row>
    <row r="138" spans="2:13">
      <c r="E138" s="4">
        <f t="shared" ref="E138:E199" si="76">ROW(E138)</f>
        <v>138</v>
      </c>
      <c r="F138" s="9" t="s">
        <v>93</v>
      </c>
      <c r="G138" s="23" t="s">
        <v>44</v>
      </c>
      <c r="H138" s="23" t="s">
        <v>23</v>
      </c>
      <c r="J138" s="23">
        <v>10500</v>
      </c>
      <c r="M138" s="23">
        <f t="shared" ref="M138" si="77">$J$8+D137</f>
        <v>10511</v>
      </c>
    </row>
    <row r="139" spans="2:13">
      <c r="E139" s="4">
        <f t="shared" si="76"/>
        <v>139</v>
      </c>
      <c r="F139" s="9" t="s">
        <v>144</v>
      </c>
      <c r="M139" s="23">
        <v>104000</v>
      </c>
    </row>
    <row r="140" spans="2:13">
      <c r="E140" s="4">
        <f t="shared" si="76"/>
        <v>140</v>
      </c>
      <c r="F140" s="9" t="s">
        <v>126</v>
      </c>
      <c r="G140" s="23">
        <v>10</v>
      </c>
      <c r="H140" s="23">
        <v>8</v>
      </c>
      <c r="I140" s="23" t="s">
        <v>229</v>
      </c>
      <c r="M140" s="23">
        <f t="shared" ref="M140" si="78">G140*D137+$H$10+B137*I140</f>
        <v>117</v>
      </c>
    </row>
    <row r="141" spans="2:13">
      <c r="E141" s="4">
        <f t="shared" si="76"/>
        <v>141</v>
      </c>
      <c r="F141" s="9" t="s">
        <v>35</v>
      </c>
      <c r="M141" s="23">
        <v>1000</v>
      </c>
    </row>
    <row r="142" spans="2:13">
      <c r="E142" s="4">
        <f t="shared" si="76"/>
        <v>142</v>
      </c>
      <c r="F142" s="9" t="s">
        <v>29</v>
      </c>
      <c r="M142" s="23" t="s">
        <v>231</v>
      </c>
    </row>
    <row r="143" spans="2:13">
      <c r="E143" s="4">
        <f t="shared" si="76"/>
        <v>143</v>
      </c>
      <c r="F143" s="9" t="s">
        <v>118</v>
      </c>
      <c r="M143" s="23" t="s">
        <v>232</v>
      </c>
    </row>
    <row r="144" spans="2:13">
      <c r="E144" s="4">
        <f t="shared" si="76"/>
        <v>144</v>
      </c>
      <c r="F144" s="9" t="s">
        <v>114</v>
      </c>
      <c r="M144" s="23" t="b">
        <v>1</v>
      </c>
    </row>
    <row r="145" spans="2:13">
      <c r="E145" s="4">
        <f t="shared" si="76"/>
        <v>145</v>
      </c>
      <c r="F145" s="9" t="s">
        <v>98</v>
      </c>
      <c r="K145" s="9" t="s">
        <v>137</v>
      </c>
      <c r="M145" s="23">
        <v>2</v>
      </c>
    </row>
    <row r="146" spans="2:13">
      <c r="E146" s="4">
        <f t="shared" si="76"/>
        <v>146</v>
      </c>
      <c r="F146" s="9" t="s">
        <v>31</v>
      </c>
      <c r="L146" s="9" t="s">
        <v>135</v>
      </c>
      <c r="M146" s="23" t="s">
        <v>233</v>
      </c>
    </row>
    <row r="147" spans="2:13">
      <c r="E147" s="4">
        <f t="shared" si="76"/>
        <v>147</v>
      </c>
      <c r="F147" s="9" t="s">
        <v>143</v>
      </c>
      <c r="G147" s="23">
        <f t="shared" ref="G147" si="79">G138/2</f>
        <v>7</v>
      </c>
      <c r="H147" s="23">
        <v>-45</v>
      </c>
      <c r="I147" s="23">
        <v>-15</v>
      </c>
      <c r="J147" s="23" t="s">
        <v>234</v>
      </c>
      <c r="L147" s="9" t="s">
        <v>134</v>
      </c>
      <c r="M147" s="23">
        <f t="shared" ref="M147" si="80">IF(MOD(QUOTIENT(SUM(D137)-1,$G$17),2)=0,$G$18+$I$17*MOD(SUM(D137)-1,$G$17),$H$17+$J$17*MOD(SUM(D137)-1,$G$17))</f>
        <v>0</v>
      </c>
    </row>
    <row r="148" spans="2:13">
      <c r="E148" s="4"/>
      <c r="G148" s="23">
        <v>45</v>
      </c>
    </row>
    <row r="149" spans="2:13">
      <c r="E149" s="4">
        <f t="shared" ref="E149" si="81">ROW(E149)</f>
        <v>149</v>
      </c>
      <c r="F149" s="9" t="s">
        <v>30</v>
      </c>
      <c r="G149" s="23">
        <v>4</v>
      </c>
      <c r="H149" s="23">
        <v>0.1</v>
      </c>
      <c r="M149" s="23">
        <f t="shared" ref="M149" si="82">$G$19+$H$19*D137</f>
        <v>5.0999999999999996</v>
      </c>
    </row>
    <row r="150" spans="2:13">
      <c r="B150" s="22">
        <f t="shared" ref="B150" si="83">QUOTIENT( D150-1,G151)+1</f>
        <v>1</v>
      </c>
      <c r="C150" s="22">
        <f t="shared" ref="C150" si="84">D150-(B150-1)*G151</f>
        <v>12</v>
      </c>
      <c r="D150" s="22">
        <f>COUNT($D$6:$D149)+1</f>
        <v>12</v>
      </c>
      <c r="E150" s="4"/>
    </row>
    <row r="151" spans="2:13">
      <c r="E151" s="4">
        <f t="shared" si="76"/>
        <v>151</v>
      </c>
      <c r="F151" s="9" t="s">
        <v>93</v>
      </c>
      <c r="G151" s="23" t="s">
        <v>44</v>
      </c>
      <c r="H151" s="23" t="s">
        <v>23</v>
      </c>
      <c r="J151" s="23">
        <v>10500</v>
      </c>
      <c r="M151" s="23">
        <f t="shared" ref="M151" si="85">$J$8+D150</f>
        <v>10512</v>
      </c>
    </row>
    <row r="152" spans="2:13">
      <c r="E152" s="4">
        <f t="shared" si="76"/>
        <v>152</v>
      </c>
      <c r="F152" s="9" t="s">
        <v>144</v>
      </c>
      <c r="M152" s="23">
        <v>104000</v>
      </c>
    </row>
    <row r="153" spans="2:13">
      <c r="E153" s="4">
        <f t="shared" si="76"/>
        <v>153</v>
      </c>
      <c r="F153" s="9" t="s">
        <v>126</v>
      </c>
      <c r="G153" s="23">
        <v>10</v>
      </c>
      <c r="H153" s="23">
        <v>8</v>
      </c>
      <c r="I153" s="23" t="s">
        <v>229</v>
      </c>
      <c r="M153" s="23">
        <f t="shared" ref="M153" si="86">G153*D150+$H$10+B150*I153</f>
        <v>127</v>
      </c>
    </row>
    <row r="154" spans="2:13">
      <c r="E154" s="4">
        <f t="shared" si="76"/>
        <v>154</v>
      </c>
      <c r="F154" s="9" t="s">
        <v>35</v>
      </c>
      <c r="M154" s="23">
        <v>1000</v>
      </c>
    </row>
    <row r="155" spans="2:13">
      <c r="E155" s="4">
        <f t="shared" si="76"/>
        <v>155</v>
      </c>
      <c r="F155" s="9" t="s">
        <v>29</v>
      </c>
      <c r="M155" s="23" t="s">
        <v>231</v>
      </c>
    </row>
    <row r="156" spans="2:13">
      <c r="E156" s="4">
        <f t="shared" si="76"/>
        <v>156</v>
      </c>
      <c r="F156" s="9" t="s">
        <v>118</v>
      </c>
      <c r="M156" s="23" t="s">
        <v>232</v>
      </c>
    </row>
    <row r="157" spans="2:13">
      <c r="E157" s="4">
        <f t="shared" si="76"/>
        <v>157</v>
      </c>
      <c r="F157" s="9" t="s">
        <v>114</v>
      </c>
      <c r="M157" s="23" t="b">
        <v>1</v>
      </c>
    </row>
    <row r="158" spans="2:13">
      <c r="E158" s="4">
        <f t="shared" si="76"/>
        <v>158</v>
      </c>
      <c r="F158" s="9" t="s">
        <v>98</v>
      </c>
      <c r="K158" s="9" t="s">
        <v>137</v>
      </c>
      <c r="M158" s="23">
        <v>2</v>
      </c>
    </row>
    <row r="159" spans="2:13">
      <c r="E159" s="4">
        <f t="shared" si="76"/>
        <v>159</v>
      </c>
      <c r="F159" s="9" t="s">
        <v>31</v>
      </c>
      <c r="L159" s="9" t="s">
        <v>135</v>
      </c>
      <c r="M159" s="23" t="s">
        <v>233</v>
      </c>
    </row>
    <row r="160" spans="2:13">
      <c r="E160" s="4">
        <f t="shared" si="76"/>
        <v>160</v>
      </c>
      <c r="F160" s="9" t="s">
        <v>143</v>
      </c>
      <c r="G160" s="23">
        <f t="shared" ref="G160" si="87">G151/2</f>
        <v>7</v>
      </c>
      <c r="H160" s="23">
        <v>-45</v>
      </c>
      <c r="I160" s="23">
        <v>-15</v>
      </c>
      <c r="J160" s="23" t="s">
        <v>234</v>
      </c>
      <c r="L160" s="9" t="s">
        <v>134</v>
      </c>
      <c r="M160" s="23">
        <f t="shared" ref="M160" si="88">IF(MOD(QUOTIENT(SUM(D150)-1,$G$17),2)=0,$G$18+$I$17*MOD(SUM(D150)-1,$G$17),$H$17+$J$17*MOD(SUM(D150)-1,$G$17))</f>
        <v>15</v>
      </c>
    </row>
    <row r="161" spans="2:13">
      <c r="E161" s="4"/>
      <c r="G161" s="23">
        <v>45</v>
      </c>
    </row>
    <row r="162" spans="2:13">
      <c r="E162" s="4">
        <f t="shared" ref="E162" si="89">ROW(E162)</f>
        <v>162</v>
      </c>
      <c r="F162" s="9" t="s">
        <v>30</v>
      </c>
      <c r="G162" s="23">
        <v>4</v>
      </c>
      <c r="H162" s="23">
        <v>0.1</v>
      </c>
      <c r="M162" s="23">
        <f t="shared" ref="M162" si="90">$G$19+$H$19*D150</f>
        <v>5.2</v>
      </c>
    </row>
    <row r="163" spans="2:13">
      <c r="B163" s="22">
        <f t="shared" ref="B163" si="91">QUOTIENT( D163-1,G164)+1</f>
        <v>1</v>
      </c>
      <c r="C163" s="22">
        <f t="shared" ref="C163" si="92">D163-(B163-1)*G164</f>
        <v>13</v>
      </c>
      <c r="D163" s="22">
        <f>COUNT($D$6:$D162)+1</f>
        <v>13</v>
      </c>
      <c r="E163" s="4"/>
    </row>
    <row r="164" spans="2:13">
      <c r="E164" s="4">
        <f t="shared" si="76"/>
        <v>164</v>
      </c>
      <c r="F164" s="9" t="s">
        <v>93</v>
      </c>
      <c r="G164" s="23" t="s">
        <v>44</v>
      </c>
      <c r="H164" s="23" t="s">
        <v>23</v>
      </c>
      <c r="J164" s="23">
        <v>10500</v>
      </c>
      <c r="M164" s="23">
        <f t="shared" ref="M164" si="93">$J$8+D163</f>
        <v>10513</v>
      </c>
    </row>
    <row r="165" spans="2:13">
      <c r="E165" s="4">
        <f t="shared" si="76"/>
        <v>165</v>
      </c>
      <c r="F165" s="9" t="s">
        <v>144</v>
      </c>
      <c r="M165" s="23">
        <v>104000</v>
      </c>
    </row>
    <row r="166" spans="2:13">
      <c r="E166" s="4">
        <f t="shared" si="76"/>
        <v>166</v>
      </c>
      <c r="F166" s="9" t="s">
        <v>126</v>
      </c>
      <c r="G166" s="23">
        <v>10</v>
      </c>
      <c r="H166" s="23">
        <v>8</v>
      </c>
      <c r="I166" s="23" t="s">
        <v>229</v>
      </c>
      <c r="M166" s="23">
        <f t="shared" ref="M166" si="94">G166*D163+$H$10+B163*I166</f>
        <v>137</v>
      </c>
    </row>
    <row r="167" spans="2:13">
      <c r="E167" s="4">
        <f t="shared" si="76"/>
        <v>167</v>
      </c>
      <c r="F167" s="9" t="s">
        <v>35</v>
      </c>
      <c r="M167" s="23">
        <v>1000</v>
      </c>
    </row>
    <row r="168" spans="2:13">
      <c r="E168" s="4">
        <f t="shared" si="76"/>
        <v>168</v>
      </c>
      <c r="F168" s="9" t="s">
        <v>29</v>
      </c>
      <c r="M168" s="23" t="s">
        <v>231</v>
      </c>
    </row>
    <row r="169" spans="2:13">
      <c r="E169" s="4">
        <f t="shared" si="76"/>
        <v>169</v>
      </c>
      <c r="F169" s="9" t="s">
        <v>118</v>
      </c>
      <c r="M169" s="23" t="s">
        <v>232</v>
      </c>
    </row>
    <row r="170" spans="2:13">
      <c r="E170" s="4">
        <f t="shared" si="76"/>
        <v>170</v>
      </c>
      <c r="F170" s="9" t="s">
        <v>114</v>
      </c>
      <c r="M170" s="23" t="b">
        <v>1</v>
      </c>
    </row>
    <row r="171" spans="2:13">
      <c r="E171" s="4">
        <f t="shared" si="76"/>
        <v>171</v>
      </c>
      <c r="F171" s="9" t="s">
        <v>98</v>
      </c>
      <c r="K171" s="9" t="s">
        <v>137</v>
      </c>
      <c r="M171" s="23">
        <v>2</v>
      </c>
    </row>
    <row r="172" spans="2:13">
      <c r="E172" s="4">
        <f t="shared" si="76"/>
        <v>172</v>
      </c>
      <c r="F172" s="9" t="s">
        <v>31</v>
      </c>
      <c r="L172" s="9" t="s">
        <v>135</v>
      </c>
      <c r="M172" s="23" t="s">
        <v>233</v>
      </c>
    </row>
    <row r="173" spans="2:13">
      <c r="E173" s="4">
        <f t="shared" si="76"/>
        <v>173</v>
      </c>
      <c r="F173" s="9" t="s">
        <v>143</v>
      </c>
      <c r="G173" s="23">
        <f t="shared" ref="G173" si="95">G164/2</f>
        <v>7</v>
      </c>
      <c r="H173" s="23">
        <v>-45</v>
      </c>
      <c r="I173" s="23">
        <v>-15</v>
      </c>
      <c r="J173" s="23" t="s">
        <v>234</v>
      </c>
      <c r="L173" s="9" t="s">
        <v>134</v>
      </c>
      <c r="M173" s="23">
        <f t="shared" ref="M173" si="96">IF(MOD(QUOTIENT(SUM(D163)-1,$G$17),2)=0,$G$18+$I$17*MOD(SUM(D163)-1,$G$17),$H$17+$J$17*MOD(SUM(D163)-1,$G$17))</f>
        <v>30</v>
      </c>
    </row>
    <row r="174" spans="2:13">
      <c r="E174" s="4"/>
      <c r="G174" s="23">
        <v>45</v>
      </c>
    </row>
    <row r="175" spans="2:13">
      <c r="E175" s="4">
        <f t="shared" ref="E175" si="97">ROW(E175)</f>
        <v>175</v>
      </c>
      <c r="F175" s="9" t="s">
        <v>30</v>
      </c>
      <c r="G175" s="23">
        <v>4</v>
      </c>
      <c r="H175" s="23">
        <v>0.1</v>
      </c>
      <c r="M175" s="23">
        <f t="shared" ref="M175" si="98">$G$19+$H$19*D163</f>
        <v>5.3</v>
      </c>
    </row>
    <row r="176" spans="2:13">
      <c r="B176" s="22">
        <f t="shared" ref="B176" si="99">QUOTIENT( D176-1,G177)+1</f>
        <v>1</v>
      </c>
      <c r="C176" s="22">
        <f t="shared" ref="C176" si="100">D176-(B176-1)*G177</f>
        <v>14</v>
      </c>
      <c r="D176" s="22">
        <f>COUNT($D$6:$D175)+1</f>
        <v>14</v>
      </c>
      <c r="E176" s="4"/>
    </row>
    <row r="177" spans="2:13">
      <c r="E177" s="4">
        <f t="shared" si="76"/>
        <v>177</v>
      </c>
      <c r="F177" s="9" t="s">
        <v>93</v>
      </c>
      <c r="G177" s="23" t="s">
        <v>44</v>
      </c>
      <c r="H177" s="23" t="s">
        <v>23</v>
      </c>
      <c r="J177" s="23">
        <v>10500</v>
      </c>
      <c r="M177" s="23">
        <f t="shared" ref="M177" si="101">$J$8+D176</f>
        <v>10514</v>
      </c>
    </row>
    <row r="178" spans="2:13">
      <c r="E178" s="4">
        <f t="shared" si="76"/>
        <v>178</v>
      </c>
      <c r="F178" s="9" t="s">
        <v>144</v>
      </c>
      <c r="M178" s="23">
        <v>104000</v>
      </c>
    </row>
    <row r="179" spans="2:13">
      <c r="E179" s="4">
        <f t="shared" si="76"/>
        <v>179</v>
      </c>
      <c r="F179" s="9" t="s">
        <v>126</v>
      </c>
      <c r="G179" s="23">
        <v>10</v>
      </c>
      <c r="H179" s="23">
        <v>8</v>
      </c>
      <c r="I179" s="23" t="s">
        <v>229</v>
      </c>
      <c r="M179" s="23">
        <f t="shared" ref="M179" si="102">G179*D176+$H$10+B176*I179</f>
        <v>147</v>
      </c>
    </row>
    <row r="180" spans="2:13">
      <c r="E180" s="4">
        <f t="shared" si="76"/>
        <v>180</v>
      </c>
      <c r="F180" s="9" t="s">
        <v>35</v>
      </c>
      <c r="M180" s="23">
        <v>1000</v>
      </c>
    </row>
    <row r="181" spans="2:13">
      <c r="E181" s="4">
        <f t="shared" si="76"/>
        <v>181</v>
      </c>
      <c r="F181" s="9" t="s">
        <v>29</v>
      </c>
      <c r="M181" s="23" t="s">
        <v>231</v>
      </c>
    </row>
    <row r="182" spans="2:13">
      <c r="E182" s="4">
        <f t="shared" si="76"/>
        <v>182</v>
      </c>
      <c r="F182" s="9" t="s">
        <v>118</v>
      </c>
      <c r="M182" s="23" t="s">
        <v>232</v>
      </c>
    </row>
    <row r="183" spans="2:13">
      <c r="E183" s="4">
        <f t="shared" si="76"/>
        <v>183</v>
      </c>
      <c r="F183" s="9" t="s">
        <v>114</v>
      </c>
      <c r="M183" s="23" t="b">
        <v>1</v>
      </c>
    </row>
    <row r="184" spans="2:13">
      <c r="E184" s="4">
        <f t="shared" si="76"/>
        <v>184</v>
      </c>
      <c r="F184" s="9" t="s">
        <v>98</v>
      </c>
      <c r="K184" s="9" t="s">
        <v>137</v>
      </c>
      <c r="M184" s="23">
        <v>2</v>
      </c>
    </row>
    <row r="185" spans="2:13">
      <c r="E185" s="4">
        <f t="shared" si="76"/>
        <v>185</v>
      </c>
      <c r="F185" s="9" t="s">
        <v>31</v>
      </c>
      <c r="L185" s="9" t="s">
        <v>135</v>
      </c>
      <c r="M185" s="23" t="s">
        <v>233</v>
      </c>
    </row>
    <row r="186" spans="2:13">
      <c r="E186" s="4">
        <f t="shared" si="76"/>
        <v>186</v>
      </c>
      <c r="F186" s="9" t="s">
        <v>143</v>
      </c>
      <c r="G186" s="23">
        <f t="shared" ref="G186" si="103">G177/2</f>
        <v>7</v>
      </c>
      <c r="H186" s="23">
        <v>-45</v>
      </c>
      <c r="I186" s="23">
        <v>-15</v>
      </c>
      <c r="J186" s="23" t="s">
        <v>234</v>
      </c>
      <c r="L186" s="9" t="s">
        <v>134</v>
      </c>
      <c r="M186" s="23">
        <f t="shared" ref="M186" si="104">IF(MOD(QUOTIENT(SUM(D176)-1,$G$17),2)=0,$G$18+$I$17*MOD(SUM(D176)-1,$G$17),$H$17+$J$17*MOD(SUM(D176)-1,$G$17))</f>
        <v>45</v>
      </c>
    </row>
    <row r="187" spans="2:13">
      <c r="E187" s="4"/>
      <c r="G187" s="23">
        <v>45</v>
      </c>
    </row>
    <row r="188" spans="2:13">
      <c r="E188" s="4">
        <f t="shared" ref="E188" si="105">ROW(E188)</f>
        <v>188</v>
      </c>
      <c r="F188" s="9" t="s">
        <v>30</v>
      </c>
      <c r="G188" s="23">
        <v>4</v>
      </c>
      <c r="H188" s="23">
        <v>0.1</v>
      </c>
      <c r="M188" s="23">
        <f t="shared" ref="M188" si="106">$G$19+$H$19*D176</f>
        <v>5.4</v>
      </c>
    </row>
    <row r="189" spans="2:13">
      <c r="B189" s="22">
        <f t="shared" ref="B189" si="107">QUOTIENT( D189-1,G190)+1</f>
        <v>2</v>
      </c>
      <c r="C189" s="22">
        <f t="shared" ref="C189" si="108">D189-(B189-1)*G190</f>
        <v>1</v>
      </c>
      <c r="D189" s="22">
        <f>COUNT($D$6:$D188)+1</f>
        <v>15</v>
      </c>
      <c r="E189" s="4"/>
    </row>
    <row r="190" spans="2:13">
      <c r="E190" s="4">
        <f t="shared" si="76"/>
        <v>190</v>
      </c>
      <c r="F190" s="9" t="s">
        <v>93</v>
      </c>
      <c r="G190" s="23" t="s">
        <v>44</v>
      </c>
      <c r="H190" s="23" t="s">
        <v>23</v>
      </c>
      <c r="J190" s="23">
        <v>10500</v>
      </c>
      <c r="M190" s="23">
        <f t="shared" ref="M190" si="109">$J$8+D189</f>
        <v>10515</v>
      </c>
    </row>
    <row r="191" spans="2:13">
      <c r="E191" s="4">
        <f t="shared" si="76"/>
        <v>191</v>
      </c>
      <c r="F191" s="9" t="s">
        <v>144</v>
      </c>
      <c r="M191" s="23">
        <v>104000</v>
      </c>
    </row>
    <row r="192" spans="2:13">
      <c r="E192" s="4">
        <f t="shared" si="76"/>
        <v>192</v>
      </c>
      <c r="F192" s="9" t="s">
        <v>126</v>
      </c>
      <c r="G192" s="23">
        <v>10</v>
      </c>
      <c r="H192" s="23">
        <v>8</v>
      </c>
      <c r="I192" s="23" t="s">
        <v>229</v>
      </c>
      <c r="M192" s="23">
        <f t="shared" ref="M192" si="110">G192*D189+$H$10+B189*I192</f>
        <v>156</v>
      </c>
    </row>
    <row r="193" spans="2:13">
      <c r="E193" s="4">
        <f t="shared" si="76"/>
        <v>193</v>
      </c>
      <c r="F193" s="9" t="s">
        <v>35</v>
      </c>
      <c r="M193" s="23">
        <v>1000</v>
      </c>
    </row>
    <row r="194" spans="2:13">
      <c r="E194" s="4">
        <f t="shared" si="76"/>
        <v>194</v>
      </c>
      <c r="F194" s="9" t="s">
        <v>29</v>
      </c>
      <c r="M194" s="23" t="s">
        <v>231</v>
      </c>
    </row>
    <row r="195" spans="2:13">
      <c r="E195" s="4">
        <f t="shared" si="76"/>
        <v>195</v>
      </c>
      <c r="F195" s="9" t="s">
        <v>118</v>
      </c>
      <c r="M195" s="23" t="s">
        <v>232</v>
      </c>
    </row>
    <row r="196" spans="2:13">
      <c r="E196" s="4">
        <f t="shared" si="76"/>
        <v>196</v>
      </c>
      <c r="F196" s="9" t="s">
        <v>114</v>
      </c>
      <c r="M196" s="23" t="b">
        <v>1</v>
      </c>
    </row>
    <row r="197" spans="2:13">
      <c r="E197" s="4">
        <f t="shared" si="76"/>
        <v>197</v>
      </c>
      <c r="F197" s="9" t="s">
        <v>98</v>
      </c>
      <c r="K197" s="9" t="s">
        <v>137</v>
      </c>
      <c r="M197" s="23">
        <v>2</v>
      </c>
    </row>
    <row r="198" spans="2:13">
      <c r="E198" s="4">
        <f t="shared" si="76"/>
        <v>198</v>
      </c>
      <c r="F198" s="9" t="s">
        <v>31</v>
      </c>
      <c r="L198" s="9" t="s">
        <v>135</v>
      </c>
      <c r="M198" s="23" t="s">
        <v>233</v>
      </c>
    </row>
    <row r="199" spans="2:13">
      <c r="E199" s="4">
        <f t="shared" si="76"/>
        <v>199</v>
      </c>
      <c r="F199" s="9" t="s">
        <v>143</v>
      </c>
      <c r="G199" s="23">
        <f t="shared" ref="G199" si="111">G190/2</f>
        <v>7</v>
      </c>
      <c r="H199" s="23">
        <v>-45</v>
      </c>
      <c r="I199" s="23">
        <v>-15</v>
      </c>
      <c r="J199" s="23" t="s">
        <v>234</v>
      </c>
      <c r="L199" s="9" t="s">
        <v>134</v>
      </c>
      <c r="M199" s="23">
        <f t="shared" ref="M199" si="112">IF(MOD(QUOTIENT(SUM(D189)-1,$G$17),2)=0,$G$18+$I$17*MOD(SUM(D189)-1,$G$17),$H$17+$J$17*MOD(SUM(D189)-1,$G$17))</f>
        <v>45</v>
      </c>
    </row>
    <row r="200" spans="2:13">
      <c r="E200" s="4"/>
      <c r="G200" s="23">
        <v>45</v>
      </c>
    </row>
    <row r="201" spans="2:13">
      <c r="E201" s="4">
        <f t="shared" ref="E201" si="113">ROW(E201)</f>
        <v>201</v>
      </c>
      <c r="F201" s="9" t="s">
        <v>30</v>
      </c>
      <c r="G201" s="23">
        <v>4</v>
      </c>
      <c r="H201" s="23">
        <v>0.1</v>
      </c>
      <c r="M201" s="23">
        <f t="shared" ref="M201" si="114">$G$19+$H$19*D189</f>
        <v>5.5</v>
      </c>
    </row>
    <row r="202" spans="2:13">
      <c r="B202" s="22">
        <f t="shared" ref="B202" si="115">QUOTIENT( D202-1,G203)+1</f>
        <v>2</v>
      </c>
      <c r="C202" s="22">
        <f t="shared" ref="C202" si="116">D202-(B202-1)*G203</f>
        <v>2</v>
      </c>
      <c r="D202" s="22">
        <f>COUNT($D$6:$D201)+1</f>
        <v>16</v>
      </c>
      <c r="E202" s="4"/>
    </row>
    <row r="203" spans="2:13">
      <c r="E203" s="4">
        <f t="shared" ref="E203:E264" si="117">ROW(E203)</f>
        <v>203</v>
      </c>
      <c r="F203" s="9" t="s">
        <v>93</v>
      </c>
      <c r="G203" s="23" t="s">
        <v>44</v>
      </c>
      <c r="H203" s="23" t="s">
        <v>23</v>
      </c>
      <c r="J203" s="23">
        <v>10500</v>
      </c>
      <c r="M203" s="23">
        <f t="shared" ref="M203" si="118">$J$8+D202</f>
        <v>10516</v>
      </c>
    </row>
    <row r="204" spans="2:13">
      <c r="E204" s="4">
        <f t="shared" si="117"/>
        <v>204</v>
      </c>
      <c r="F204" s="9" t="s">
        <v>144</v>
      </c>
      <c r="M204" s="23">
        <v>104000</v>
      </c>
    </row>
    <row r="205" spans="2:13">
      <c r="E205" s="4">
        <f t="shared" si="117"/>
        <v>205</v>
      </c>
      <c r="F205" s="9" t="s">
        <v>126</v>
      </c>
      <c r="G205" s="23">
        <v>10</v>
      </c>
      <c r="H205" s="23">
        <v>8</v>
      </c>
      <c r="I205" s="23" t="s">
        <v>229</v>
      </c>
      <c r="M205" s="23">
        <f t="shared" ref="M205" si="119">G205*D202+$H$10+B202*I205</f>
        <v>166</v>
      </c>
    </row>
    <row r="206" spans="2:13">
      <c r="E206" s="4">
        <f t="shared" si="117"/>
        <v>206</v>
      </c>
      <c r="F206" s="9" t="s">
        <v>35</v>
      </c>
      <c r="M206" s="23">
        <v>1000</v>
      </c>
    </row>
    <row r="207" spans="2:13">
      <c r="E207" s="4">
        <f t="shared" si="117"/>
        <v>207</v>
      </c>
      <c r="F207" s="9" t="s">
        <v>29</v>
      </c>
      <c r="M207" s="23" t="s">
        <v>231</v>
      </c>
    </row>
    <row r="208" spans="2:13">
      <c r="E208" s="4">
        <f t="shared" si="117"/>
        <v>208</v>
      </c>
      <c r="F208" s="9" t="s">
        <v>118</v>
      </c>
      <c r="M208" s="23" t="s">
        <v>232</v>
      </c>
    </row>
    <row r="209" spans="2:13">
      <c r="E209" s="4">
        <f t="shared" si="117"/>
        <v>209</v>
      </c>
      <c r="F209" s="9" t="s">
        <v>114</v>
      </c>
      <c r="M209" s="23" t="b">
        <v>1</v>
      </c>
    </row>
    <row r="210" spans="2:13">
      <c r="E210" s="4">
        <f t="shared" si="117"/>
        <v>210</v>
      </c>
      <c r="F210" s="9" t="s">
        <v>98</v>
      </c>
      <c r="K210" s="9" t="s">
        <v>137</v>
      </c>
      <c r="M210" s="23">
        <v>2</v>
      </c>
    </row>
    <row r="211" spans="2:13">
      <c r="E211" s="4">
        <f t="shared" si="117"/>
        <v>211</v>
      </c>
      <c r="F211" s="9" t="s">
        <v>31</v>
      </c>
      <c r="L211" s="9" t="s">
        <v>135</v>
      </c>
      <c r="M211" s="23" t="s">
        <v>233</v>
      </c>
    </row>
    <row r="212" spans="2:13">
      <c r="E212" s="4">
        <f t="shared" si="117"/>
        <v>212</v>
      </c>
      <c r="F212" s="9" t="s">
        <v>143</v>
      </c>
      <c r="G212" s="23">
        <f t="shared" ref="G212" si="120">G203/2</f>
        <v>7</v>
      </c>
      <c r="H212" s="23">
        <v>-45</v>
      </c>
      <c r="I212" s="23">
        <v>-15</v>
      </c>
      <c r="J212" s="23" t="s">
        <v>234</v>
      </c>
      <c r="L212" s="9" t="s">
        <v>134</v>
      </c>
      <c r="M212" s="23">
        <f t="shared" ref="M212" si="121">IF(MOD(QUOTIENT(SUM(D202)-1,$G$17),2)=0,$G$18+$I$17*MOD(SUM(D202)-1,$G$17),$H$17+$J$17*MOD(SUM(D202)-1,$G$17))</f>
        <v>30</v>
      </c>
    </row>
    <row r="213" spans="2:13">
      <c r="E213" s="4"/>
      <c r="G213" s="23">
        <v>45</v>
      </c>
    </row>
    <row r="214" spans="2:13">
      <c r="E214" s="4">
        <f t="shared" ref="E214" si="122">ROW(E214)</f>
        <v>214</v>
      </c>
      <c r="F214" s="9" t="s">
        <v>30</v>
      </c>
      <c r="G214" s="23">
        <v>4</v>
      </c>
      <c r="H214" s="23">
        <v>0.1</v>
      </c>
      <c r="M214" s="23">
        <f t="shared" ref="M214" si="123">$G$19+$H$19*D202</f>
        <v>5.6</v>
      </c>
    </row>
    <row r="215" spans="2:13">
      <c r="B215" s="22">
        <f t="shared" ref="B215" si="124">QUOTIENT( D215-1,G216)+1</f>
        <v>2</v>
      </c>
      <c r="C215" s="22">
        <f t="shared" ref="C215" si="125">D215-(B215-1)*G216</f>
        <v>3</v>
      </c>
      <c r="D215" s="22">
        <f>COUNT($D$6:$D214)+1</f>
        <v>17</v>
      </c>
      <c r="E215" s="4"/>
    </row>
    <row r="216" spans="2:13">
      <c r="E216" s="4">
        <f t="shared" si="117"/>
        <v>216</v>
      </c>
      <c r="F216" s="9" t="s">
        <v>93</v>
      </c>
      <c r="G216" s="23" t="s">
        <v>44</v>
      </c>
      <c r="H216" s="23" t="s">
        <v>23</v>
      </c>
      <c r="J216" s="23">
        <v>10500</v>
      </c>
      <c r="M216" s="23">
        <f t="shared" ref="M216" si="126">$J$8+D215</f>
        <v>10517</v>
      </c>
    </row>
    <row r="217" spans="2:13">
      <c r="E217" s="4">
        <f t="shared" si="117"/>
        <v>217</v>
      </c>
      <c r="F217" s="9" t="s">
        <v>144</v>
      </c>
      <c r="M217" s="23">
        <v>104000</v>
      </c>
    </row>
    <row r="218" spans="2:13">
      <c r="E218" s="4">
        <f t="shared" si="117"/>
        <v>218</v>
      </c>
      <c r="F218" s="9" t="s">
        <v>126</v>
      </c>
      <c r="G218" s="23">
        <v>10</v>
      </c>
      <c r="H218" s="23">
        <v>8</v>
      </c>
      <c r="I218" s="23" t="s">
        <v>229</v>
      </c>
      <c r="M218" s="23">
        <f t="shared" ref="M218" si="127">G218*D215+$H$10+B215*I218</f>
        <v>176</v>
      </c>
    </row>
    <row r="219" spans="2:13">
      <c r="E219" s="4">
        <f t="shared" si="117"/>
        <v>219</v>
      </c>
      <c r="F219" s="9" t="s">
        <v>35</v>
      </c>
      <c r="M219" s="23">
        <v>1000</v>
      </c>
    </row>
    <row r="220" spans="2:13">
      <c r="E220" s="4">
        <f t="shared" si="117"/>
        <v>220</v>
      </c>
      <c r="F220" s="9" t="s">
        <v>29</v>
      </c>
      <c r="M220" s="23" t="s">
        <v>231</v>
      </c>
    </row>
    <row r="221" spans="2:13">
      <c r="E221" s="4">
        <f t="shared" si="117"/>
        <v>221</v>
      </c>
      <c r="F221" s="9" t="s">
        <v>118</v>
      </c>
      <c r="M221" s="23" t="s">
        <v>232</v>
      </c>
    </row>
    <row r="222" spans="2:13">
      <c r="E222" s="4">
        <f t="shared" si="117"/>
        <v>222</v>
      </c>
      <c r="F222" s="9" t="s">
        <v>114</v>
      </c>
      <c r="M222" s="23" t="b">
        <v>1</v>
      </c>
    </row>
    <row r="223" spans="2:13">
      <c r="E223" s="4">
        <f t="shared" si="117"/>
        <v>223</v>
      </c>
      <c r="F223" s="9" t="s">
        <v>98</v>
      </c>
      <c r="K223" s="9" t="s">
        <v>137</v>
      </c>
      <c r="M223" s="23">
        <v>2</v>
      </c>
    </row>
    <row r="224" spans="2:13">
      <c r="E224" s="4">
        <f t="shared" si="117"/>
        <v>224</v>
      </c>
      <c r="F224" s="9" t="s">
        <v>31</v>
      </c>
      <c r="L224" s="9" t="s">
        <v>135</v>
      </c>
      <c r="M224" s="23" t="s">
        <v>233</v>
      </c>
    </row>
    <row r="225" spans="2:13">
      <c r="E225" s="4">
        <f t="shared" si="117"/>
        <v>225</v>
      </c>
      <c r="F225" s="9" t="s">
        <v>143</v>
      </c>
      <c r="G225" s="23">
        <f t="shared" ref="G225" si="128">G216/2</f>
        <v>7</v>
      </c>
      <c r="H225" s="23">
        <v>-45</v>
      </c>
      <c r="I225" s="23">
        <v>-15</v>
      </c>
      <c r="J225" s="23" t="s">
        <v>234</v>
      </c>
      <c r="L225" s="9" t="s">
        <v>134</v>
      </c>
      <c r="M225" s="23">
        <f t="shared" ref="M225" si="129">IF(MOD(QUOTIENT(SUM(D215)-1,$G$17),2)=0,$G$18+$I$17*MOD(SUM(D215)-1,$G$17),$H$17+$J$17*MOD(SUM(D215)-1,$G$17))</f>
        <v>15</v>
      </c>
    </row>
    <row r="226" spans="2:13">
      <c r="E226" s="4"/>
      <c r="G226" s="23">
        <v>45</v>
      </c>
    </row>
    <row r="227" spans="2:13">
      <c r="E227" s="4">
        <f t="shared" ref="E227" si="130">ROW(E227)</f>
        <v>227</v>
      </c>
      <c r="F227" s="9" t="s">
        <v>30</v>
      </c>
      <c r="G227" s="23">
        <v>4</v>
      </c>
      <c r="H227" s="23">
        <v>0.1</v>
      </c>
      <c r="M227" s="23">
        <f t="shared" ref="M227" si="131">$G$19+$H$19*D215</f>
        <v>5.7</v>
      </c>
    </row>
    <row r="228" spans="2:13">
      <c r="B228" s="22">
        <f t="shared" ref="B228" si="132">QUOTIENT( D228-1,G229)+1</f>
        <v>2</v>
      </c>
      <c r="C228" s="22">
        <f t="shared" ref="C228" si="133">D228-(B228-1)*G229</f>
        <v>4</v>
      </c>
      <c r="D228" s="22">
        <f>COUNT($D$6:$D227)+1</f>
        <v>18</v>
      </c>
      <c r="E228" s="4"/>
    </row>
    <row r="229" spans="2:13">
      <c r="E229" s="4">
        <f t="shared" si="117"/>
        <v>229</v>
      </c>
      <c r="F229" s="9" t="s">
        <v>93</v>
      </c>
      <c r="G229" s="23" t="s">
        <v>44</v>
      </c>
      <c r="H229" s="23" t="s">
        <v>23</v>
      </c>
      <c r="J229" s="23">
        <v>10500</v>
      </c>
      <c r="M229" s="23">
        <f t="shared" ref="M229" si="134">$J$8+D228</f>
        <v>10518</v>
      </c>
    </row>
    <row r="230" spans="2:13">
      <c r="E230" s="4">
        <f t="shared" si="117"/>
        <v>230</v>
      </c>
      <c r="F230" s="9" t="s">
        <v>144</v>
      </c>
      <c r="M230" s="23">
        <v>104000</v>
      </c>
    </row>
    <row r="231" spans="2:13">
      <c r="E231" s="4">
        <f t="shared" si="117"/>
        <v>231</v>
      </c>
      <c r="F231" s="9" t="s">
        <v>126</v>
      </c>
      <c r="G231" s="23">
        <v>10</v>
      </c>
      <c r="H231" s="23">
        <v>8</v>
      </c>
      <c r="I231" s="23" t="s">
        <v>229</v>
      </c>
      <c r="M231" s="23">
        <f t="shared" ref="M231" si="135">G231*D228+$H$10+B228*I231</f>
        <v>186</v>
      </c>
    </row>
    <row r="232" spans="2:13">
      <c r="E232" s="4">
        <f t="shared" si="117"/>
        <v>232</v>
      </c>
      <c r="F232" s="9" t="s">
        <v>35</v>
      </c>
      <c r="M232" s="23">
        <v>1000</v>
      </c>
    </row>
    <row r="233" spans="2:13">
      <c r="E233" s="4">
        <f t="shared" si="117"/>
        <v>233</v>
      </c>
      <c r="F233" s="9" t="s">
        <v>29</v>
      </c>
      <c r="M233" s="23" t="s">
        <v>231</v>
      </c>
    </row>
    <row r="234" spans="2:13">
      <c r="E234" s="4">
        <f t="shared" si="117"/>
        <v>234</v>
      </c>
      <c r="F234" s="9" t="s">
        <v>118</v>
      </c>
      <c r="M234" s="23" t="s">
        <v>232</v>
      </c>
    </row>
    <row r="235" spans="2:13">
      <c r="E235" s="4">
        <f t="shared" si="117"/>
        <v>235</v>
      </c>
      <c r="F235" s="9" t="s">
        <v>114</v>
      </c>
      <c r="M235" s="23" t="b">
        <v>1</v>
      </c>
    </row>
    <row r="236" spans="2:13">
      <c r="E236" s="4">
        <f t="shared" si="117"/>
        <v>236</v>
      </c>
      <c r="F236" s="9" t="s">
        <v>98</v>
      </c>
      <c r="K236" s="9" t="s">
        <v>137</v>
      </c>
      <c r="M236" s="23">
        <v>2</v>
      </c>
    </row>
    <row r="237" spans="2:13">
      <c r="E237" s="4">
        <f t="shared" si="117"/>
        <v>237</v>
      </c>
      <c r="F237" s="9" t="s">
        <v>31</v>
      </c>
      <c r="L237" s="9" t="s">
        <v>135</v>
      </c>
      <c r="M237" s="23" t="s">
        <v>233</v>
      </c>
    </row>
    <row r="238" spans="2:13">
      <c r="E238" s="4">
        <f t="shared" si="117"/>
        <v>238</v>
      </c>
      <c r="F238" s="9" t="s">
        <v>143</v>
      </c>
      <c r="G238" s="23">
        <f t="shared" ref="G238" si="136">G229/2</f>
        <v>7</v>
      </c>
      <c r="H238" s="23">
        <v>-45</v>
      </c>
      <c r="I238" s="23">
        <v>-15</v>
      </c>
      <c r="J238" s="23" t="s">
        <v>234</v>
      </c>
      <c r="L238" s="9" t="s">
        <v>134</v>
      </c>
      <c r="M238" s="23">
        <f t="shared" ref="M238" si="137">IF(MOD(QUOTIENT(SUM(D228)-1,$G$17),2)=0,$G$18+$I$17*MOD(SUM(D228)-1,$G$17),$H$17+$J$17*MOD(SUM(D228)-1,$G$17))</f>
        <v>0</v>
      </c>
    </row>
    <row r="239" spans="2:13">
      <c r="E239" s="4"/>
      <c r="G239" s="23">
        <v>45</v>
      </c>
    </row>
    <row r="240" spans="2:13">
      <c r="E240" s="4">
        <f t="shared" ref="E240" si="138">ROW(E240)</f>
        <v>240</v>
      </c>
      <c r="F240" s="9" t="s">
        <v>30</v>
      </c>
      <c r="G240" s="23">
        <v>4</v>
      </c>
      <c r="H240" s="23">
        <v>0.1</v>
      </c>
      <c r="M240" s="23">
        <f t="shared" ref="M240" si="139">$G$19+$H$19*D228</f>
        <v>5.8</v>
      </c>
    </row>
    <row r="241" spans="2:13">
      <c r="B241" s="22">
        <f t="shared" ref="B241" si="140">QUOTIENT( D241-1,G242)+1</f>
        <v>2</v>
      </c>
      <c r="C241" s="22">
        <f t="shared" ref="C241" si="141">D241-(B241-1)*G242</f>
        <v>5</v>
      </c>
      <c r="D241" s="22">
        <f>COUNT($D$6:$D240)+1</f>
        <v>19</v>
      </c>
      <c r="E241" s="4"/>
    </row>
    <row r="242" spans="2:13">
      <c r="E242" s="4">
        <f t="shared" si="117"/>
        <v>242</v>
      </c>
      <c r="F242" s="9" t="s">
        <v>93</v>
      </c>
      <c r="G242" s="23" t="s">
        <v>44</v>
      </c>
      <c r="H242" s="23" t="s">
        <v>23</v>
      </c>
      <c r="J242" s="23">
        <v>10500</v>
      </c>
      <c r="M242" s="23">
        <f t="shared" ref="M242" si="142">$J$8+D241</f>
        <v>10519</v>
      </c>
    </row>
    <row r="243" spans="2:13">
      <c r="E243" s="4">
        <f t="shared" si="117"/>
        <v>243</v>
      </c>
      <c r="F243" s="9" t="s">
        <v>144</v>
      </c>
      <c r="M243" s="23">
        <v>104000</v>
      </c>
    </row>
    <row r="244" spans="2:13">
      <c r="E244" s="4">
        <f t="shared" si="117"/>
        <v>244</v>
      </c>
      <c r="F244" s="9" t="s">
        <v>126</v>
      </c>
      <c r="G244" s="23">
        <v>10</v>
      </c>
      <c r="H244" s="23">
        <v>8</v>
      </c>
      <c r="I244" s="23" t="s">
        <v>229</v>
      </c>
      <c r="M244" s="23">
        <f t="shared" ref="M244" si="143">G244*D241+$H$10+B241*I244</f>
        <v>196</v>
      </c>
    </row>
    <row r="245" spans="2:13">
      <c r="E245" s="4">
        <f t="shared" si="117"/>
        <v>245</v>
      </c>
      <c r="F245" s="9" t="s">
        <v>35</v>
      </c>
      <c r="M245" s="23">
        <v>1000</v>
      </c>
    </row>
    <row r="246" spans="2:13">
      <c r="E246" s="4">
        <f t="shared" si="117"/>
        <v>246</v>
      </c>
      <c r="F246" s="9" t="s">
        <v>29</v>
      </c>
      <c r="M246" s="23" t="s">
        <v>231</v>
      </c>
    </row>
    <row r="247" spans="2:13">
      <c r="E247" s="4">
        <f t="shared" si="117"/>
        <v>247</v>
      </c>
      <c r="F247" s="9" t="s">
        <v>118</v>
      </c>
      <c r="M247" s="23" t="s">
        <v>232</v>
      </c>
    </row>
    <row r="248" spans="2:13">
      <c r="E248" s="4">
        <f t="shared" si="117"/>
        <v>248</v>
      </c>
      <c r="F248" s="9" t="s">
        <v>114</v>
      </c>
      <c r="M248" s="23" t="b">
        <v>1</v>
      </c>
    </row>
    <row r="249" spans="2:13">
      <c r="E249" s="4">
        <f t="shared" si="117"/>
        <v>249</v>
      </c>
      <c r="F249" s="9" t="s">
        <v>98</v>
      </c>
      <c r="K249" s="9" t="s">
        <v>137</v>
      </c>
      <c r="M249" s="23">
        <v>2</v>
      </c>
    </row>
    <row r="250" spans="2:13">
      <c r="E250" s="4">
        <f t="shared" si="117"/>
        <v>250</v>
      </c>
      <c r="F250" s="9" t="s">
        <v>31</v>
      </c>
      <c r="L250" s="9" t="s">
        <v>135</v>
      </c>
      <c r="M250" s="23" t="s">
        <v>233</v>
      </c>
    </row>
    <row r="251" spans="2:13">
      <c r="E251" s="4">
        <f t="shared" si="117"/>
        <v>251</v>
      </c>
      <c r="F251" s="9" t="s">
        <v>143</v>
      </c>
      <c r="G251" s="23">
        <f t="shared" ref="G251" si="144">G242/2</f>
        <v>7</v>
      </c>
      <c r="H251" s="23">
        <v>-45</v>
      </c>
      <c r="I251" s="23">
        <v>-15</v>
      </c>
      <c r="J251" s="23" t="s">
        <v>234</v>
      </c>
      <c r="L251" s="9" t="s">
        <v>134</v>
      </c>
      <c r="M251" s="23">
        <f t="shared" ref="M251" si="145">IF(MOD(QUOTIENT(SUM(D241)-1,$G$17),2)=0,$G$18+$I$17*MOD(SUM(D241)-1,$G$17),$H$17+$J$17*MOD(SUM(D241)-1,$G$17))</f>
        <v>-15</v>
      </c>
    </row>
    <row r="252" spans="2:13">
      <c r="E252" s="4"/>
      <c r="G252" s="23">
        <v>45</v>
      </c>
    </row>
    <row r="253" spans="2:13">
      <c r="E253" s="4">
        <f t="shared" ref="E253" si="146">ROW(E253)</f>
        <v>253</v>
      </c>
      <c r="F253" s="9" t="s">
        <v>30</v>
      </c>
      <c r="G253" s="23">
        <v>4</v>
      </c>
      <c r="H253" s="23">
        <v>0.1</v>
      </c>
      <c r="M253" s="23">
        <f t="shared" ref="M253" si="147">$G$19+$H$19*D241</f>
        <v>5.9</v>
      </c>
    </row>
    <row r="254" spans="2:13">
      <c r="B254" s="22">
        <f t="shared" ref="B254" si="148">QUOTIENT( D254-1,G255)+1</f>
        <v>2</v>
      </c>
      <c r="C254" s="22">
        <f t="shared" ref="C254" si="149">D254-(B254-1)*G255</f>
        <v>6</v>
      </c>
      <c r="D254" s="22">
        <f>COUNT($D$6:$D253)+1</f>
        <v>20</v>
      </c>
      <c r="E254" s="4"/>
    </row>
    <row r="255" spans="2:13">
      <c r="E255" s="4">
        <f t="shared" si="117"/>
        <v>255</v>
      </c>
      <c r="F255" s="9" t="s">
        <v>93</v>
      </c>
      <c r="G255" s="23" t="s">
        <v>44</v>
      </c>
      <c r="H255" s="23" t="s">
        <v>23</v>
      </c>
      <c r="J255" s="23">
        <v>10500</v>
      </c>
      <c r="M255" s="23">
        <f t="shared" ref="M255" si="150">$J$8+D254</f>
        <v>10520</v>
      </c>
    </row>
    <row r="256" spans="2:13">
      <c r="E256" s="4">
        <f t="shared" si="117"/>
        <v>256</v>
      </c>
      <c r="F256" s="9" t="s">
        <v>144</v>
      </c>
      <c r="M256" s="23">
        <v>104000</v>
      </c>
    </row>
    <row r="257" spans="2:13">
      <c r="E257" s="4">
        <f t="shared" si="117"/>
        <v>257</v>
      </c>
      <c r="F257" s="9" t="s">
        <v>126</v>
      </c>
      <c r="G257" s="23">
        <v>10</v>
      </c>
      <c r="H257" s="23">
        <v>8</v>
      </c>
      <c r="I257" s="23" t="s">
        <v>229</v>
      </c>
      <c r="M257" s="23">
        <f t="shared" ref="M257" si="151">G257*D254+$H$10+B254*I257</f>
        <v>206</v>
      </c>
    </row>
    <row r="258" spans="2:13">
      <c r="E258" s="4">
        <f t="shared" si="117"/>
        <v>258</v>
      </c>
      <c r="F258" s="9" t="s">
        <v>35</v>
      </c>
      <c r="M258" s="23">
        <v>1000</v>
      </c>
    </row>
    <row r="259" spans="2:13">
      <c r="E259" s="4">
        <f t="shared" si="117"/>
        <v>259</v>
      </c>
      <c r="F259" s="9" t="s">
        <v>29</v>
      </c>
      <c r="M259" s="23" t="s">
        <v>231</v>
      </c>
    </row>
    <row r="260" spans="2:13">
      <c r="E260" s="4">
        <f t="shared" si="117"/>
        <v>260</v>
      </c>
      <c r="F260" s="9" t="s">
        <v>118</v>
      </c>
      <c r="M260" s="23" t="s">
        <v>232</v>
      </c>
    </row>
    <row r="261" spans="2:13">
      <c r="E261" s="4">
        <f t="shared" si="117"/>
        <v>261</v>
      </c>
      <c r="F261" s="9" t="s">
        <v>114</v>
      </c>
      <c r="M261" s="23" t="b">
        <v>1</v>
      </c>
    </row>
    <row r="262" spans="2:13">
      <c r="E262" s="4">
        <f t="shared" si="117"/>
        <v>262</v>
      </c>
      <c r="F262" s="9" t="s">
        <v>98</v>
      </c>
      <c r="K262" s="9" t="s">
        <v>137</v>
      </c>
      <c r="M262" s="23">
        <v>2</v>
      </c>
    </row>
    <row r="263" spans="2:13">
      <c r="E263" s="4">
        <f t="shared" si="117"/>
        <v>263</v>
      </c>
      <c r="F263" s="9" t="s">
        <v>31</v>
      </c>
      <c r="L263" s="9" t="s">
        <v>135</v>
      </c>
      <c r="M263" s="23" t="s">
        <v>233</v>
      </c>
    </row>
    <row r="264" spans="2:13">
      <c r="E264" s="4">
        <f t="shared" si="117"/>
        <v>264</v>
      </c>
      <c r="F264" s="9" t="s">
        <v>143</v>
      </c>
      <c r="G264" s="23">
        <f t="shared" ref="G264" si="152">G255/2</f>
        <v>7</v>
      </c>
      <c r="H264" s="23">
        <v>-45</v>
      </c>
      <c r="I264" s="23">
        <v>-15</v>
      </c>
      <c r="J264" s="23" t="s">
        <v>234</v>
      </c>
      <c r="L264" s="9" t="s">
        <v>134</v>
      </c>
      <c r="M264" s="23">
        <f t="shared" ref="M264" si="153">IF(MOD(QUOTIENT(SUM(D254)-1,$G$17),2)=0,$G$18+$I$17*MOD(SUM(D254)-1,$G$17),$H$17+$J$17*MOD(SUM(D254)-1,$G$17))</f>
        <v>-30</v>
      </c>
    </row>
    <row r="265" spans="2:13">
      <c r="E265" s="4"/>
      <c r="G265" s="23">
        <v>45</v>
      </c>
    </row>
    <row r="266" spans="2:13">
      <c r="E266" s="4">
        <f t="shared" ref="E266" si="154">ROW(E266)</f>
        <v>266</v>
      </c>
      <c r="F266" s="9" t="s">
        <v>30</v>
      </c>
      <c r="G266" s="23">
        <v>4</v>
      </c>
      <c r="H266" s="23">
        <v>0.1</v>
      </c>
      <c r="M266" s="23">
        <f t="shared" ref="M266" si="155">$G$19+$H$19*D254</f>
        <v>6</v>
      </c>
    </row>
    <row r="267" spans="2:13">
      <c r="B267" s="22">
        <f t="shared" ref="B267" si="156">QUOTIENT( D267-1,G268)+1</f>
        <v>2</v>
      </c>
      <c r="C267" s="22">
        <f t="shared" ref="C267" si="157">D267-(B267-1)*G268</f>
        <v>7</v>
      </c>
      <c r="D267" s="22">
        <f>COUNT($D$6:$D266)+1</f>
        <v>21</v>
      </c>
      <c r="E267" s="4"/>
    </row>
    <row r="268" spans="2:13">
      <c r="E268" s="4">
        <f t="shared" ref="E268:E329" si="158">ROW(E268)</f>
        <v>268</v>
      </c>
      <c r="F268" s="9" t="s">
        <v>93</v>
      </c>
      <c r="G268" s="23" t="s">
        <v>44</v>
      </c>
      <c r="H268" s="23" t="s">
        <v>23</v>
      </c>
      <c r="J268" s="23">
        <v>10500</v>
      </c>
      <c r="M268" s="23">
        <f t="shared" ref="M268" si="159">$J$8+D267</f>
        <v>10521</v>
      </c>
    </row>
    <row r="269" spans="2:13">
      <c r="E269" s="4">
        <f t="shared" si="158"/>
        <v>269</v>
      </c>
      <c r="F269" s="9" t="s">
        <v>144</v>
      </c>
      <c r="M269" s="23">
        <v>104000</v>
      </c>
    </row>
    <row r="270" spans="2:13">
      <c r="E270" s="4">
        <f t="shared" si="158"/>
        <v>270</v>
      </c>
      <c r="F270" s="9" t="s">
        <v>126</v>
      </c>
      <c r="G270" s="23">
        <v>10</v>
      </c>
      <c r="H270" s="23">
        <v>8</v>
      </c>
      <c r="I270" s="23" t="s">
        <v>229</v>
      </c>
      <c r="M270" s="23">
        <f t="shared" ref="M270" si="160">G270*D267+$H$10+B267*I270</f>
        <v>216</v>
      </c>
    </row>
    <row r="271" spans="2:13">
      <c r="E271" s="4">
        <f t="shared" si="158"/>
        <v>271</v>
      </c>
      <c r="F271" s="9" t="s">
        <v>35</v>
      </c>
      <c r="M271" s="23">
        <v>1000</v>
      </c>
    </row>
    <row r="272" spans="2:13">
      <c r="E272" s="4">
        <f t="shared" si="158"/>
        <v>272</v>
      </c>
      <c r="F272" s="9" t="s">
        <v>29</v>
      </c>
      <c r="M272" s="23" t="s">
        <v>231</v>
      </c>
    </row>
    <row r="273" spans="2:13">
      <c r="E273" s="4">
        <f t="shared" si="158"/>
        <v>273</v>
      </c>
      <c r="F273" s="9" t="s">
        <v>118</v>
      </c>
      <c r="M273" s="23" t="s">
        <v>232</v>
      </c>
    </row>
    <row r="274" spans="2:13">
      <c r="E274" s="4">
        <f t="shared" si="158"/>
        <v>274</v>
      </c>
      <c r="F274" s="9" t="s">
        <v>114</v>
      </c>
      <c r="M274" s="23" t="b">
        <v>1</v>
      </c>
    </row>
    <row r="275" spans="2:13">
      <c r="E275" s="4">
        <f t="shared" si="158"/>
        <v>275</v>
      </c>
      <c r="F275" s="9" t="s">
        <v>98</v>
      </c>
      <c r="K275" s="9" t="s">
        <v>137</v>
      </c>
      <c r="M275" s="23">
        <v>2</v>
      </c>
    </row>
    <row r="276" spans="2:13">
      <c r="E276" s="4">
        <f t="shared" si="158"/>
        <v>276</v>
      </c>
      <c r="F276" s="9" t="s">
        <v>31</v>
      </c>
      <c r="L276" s="9" t="s">
        <v>135</v>
      </c>
      <c r="M276" s="23" t="s">
        <v>233</v>
      </c>
    </row>
    <row r="277" spans="2:13">
      <c r="E277" s="4">
        <f t="shared" si="158"/>
        <v>277</v>
      </c>
      <c r="F277" s="9" t="s">
        <v>143</v>
      </c>
      <c r="G277" s="23">
        <f t="shared" ref="G277" si="161">G268/2</f>
        <v>7</v>
      </c>
      <c r="H277" s="23">
        <v>-45</v>
      </c>
      <c r="I277" s="23">
        <v>-15</v>
      </c>
      <c r="J277" s="23" t="s">
        <v>234</v>
      </c>
      <c r="L277" s="9" t="s">
        <v>134</v>
      </c>
      <c r="M277" s="23">
        <f t="shared" ref="M277" si="162">IF(MOD(QUOTIENT(SUM(D267)-1,$G$17),2)=0,$G$18+$I$17*MOD(SUM(D267)-1,$G$17),$H$17+$J$17*MOD(SUM(D267)-1,$G$17))</f>
        <v>-45</v>
      </c>
    </row>
    <row r="278" spans="2:13">
      <c r="E278" s="4"/>
      <c r="G278" s="23">
        <v>45</v>
      </c>
    </row>
    <row r="279" spans="2:13">
      <c r="E279" s="4">
        <f t="shared" ref="E279" si="163">ROW(E279)</f>
        <v>279</v>
      </c>
      <c r="F279" s="9" t="s">
        <v>30</v>
      </c>
      <c r="G279" s="23">
        <v>4</v>
      </c>
      <c r="H279" s="23">
        <v>0.1</v>
      </c>
      <c r="M279" s="23">
        <f t="shared" ref="M279" si="164">$G$19+$H$19*D267</f>
        <v>6.1</v>
      </c>
    </row>
    <row r="280" spans="2:13">
      <c r="B280" s="22">
        <f t="shared" ref="B280" si="165">QUOTIENT( D280-1,G281)+1</f>
        <v>2</v>
      </c>
      <c r="C280" s="22">
        <f t="shared" ref="C280" si="166">D280-(B280-1)*G281</f>
        <v>8</v>
      </c>
      <c r="D280" s="22">
        <f>COUNT($D$6:$D279)+1</f>
        <v>22</v>
      </c>
      <c r="E280" s="4"/>
    </row>
    <row r="281" spans="2:13">
      <c r="E281" s="4">
        <f t="shared" si="158"/>
        <v>281</v>
      </c>
      <c r="F281" s="9" t="s">
        <v>93</v>
      </c>
      <c r="G281" s="23" t="s">
        <v>44</v>
      </c>
      <c r="H281" s="23" t="s">
        <v>23</v>
      </c>
      <c r="J281" s="23">
        <v>10500</v>
      </c>
      <c r="M281" s="23">
        <f t="shared" ref="M281" si="167">$J$8+D280</f>
        <v>10522</v>
      </c>
    </row>
    <row r="282" spans="2:13">
      <c r="E282" s="4">
        <f t="shared" si="158"/>
        <v>282</v>
      </c>
      <c r="F282" s="9" t="s">
        <v>144</v>
      </c>
      <c r="M282" s="23">
        <v>104000</v>
      </c>
    </row>
    <row r="283" spans="2:13">
      <c r="E283" s="4">
        <f t="shared" si="158"/>
        <v>283</v>
      </c>
      <c r="F283" s="9" t="s">
        <v>126</v>
      </c>
      <c r="G283" s="23">
        <v>10</v>
      </c>
      <c r="H283" s="23">
        <v>8</v>
      </c>
      <c r="I283" s="23" t="s">
        <v>229</v>
      </c>
      <c r="M283" s="23">
        <f t="shared" ref="M283" si="168">G283*D280+$H$10+B280*I283</f>
        <v>226</v>
      </c>
    </row>
    <row r="284" spans="2:13">
      <c r="E284" s="4">
        <f t="shared" si="158"/>
        <v>284</v>
      </c>
      <c r="F284" s="9" t="s">
        <v>35</v>
      </c>
      <c r="M284" s="23">
        <v>1000</v>
      </c>
    </row>
    <row r="285" spans="2:13">
      <c r="E285" s="4">
        <f t="shared" si="158"/>
        <v>285</v>
      </c>
      <c r="F285" s="9" t="s">
        <v>29</v>
      </c>
      <c r="M285" s="23" t="s">
        <v>231</v>
      </c>
    </row>
    <row r="286" spans="2:13">
      <c r="E286" s="4">
        <f t="shared" si="158"/>
        <v>286</v>
      </c>
      <c r="F286" s="9" t="s">
        <v>118</v>
      </c>
      <c r="M286" s="23" t="s">
        <v>232</v>
      </c>
    </row>
    <row r="287" spans="2:13">
      <c r="E287" s="4">
        <f t="shared" si="158"/>
        <v>287</v>
      </c>
      <c r="F287" s="9" t="s">
        <v>114</v>
      </c>
      <c r="M287" s="23" t="b">
        <v>1</v>
      </c>
    </row>
    <row r="288" spans="2:13">
      <c r="E288" s="4">
        <f t="shared" si="158"/>
        <v>288</v>
      </c>
      <c r="F288" s="9" t="s">
        <v>98</v>
      </c>
      <c r="K288" s="9" t="s">
        <v>137</v>
      </c>
      <c r="M288" s="23">
        <v>2</v>
      </c>
    </row>
    <row r="289" spans="2:13">
      <c r="E289" s="4">
        <f t="shared" si="158"/>
        <v>289</v>
      </c>
      <c r="F289" s="9" t="s">
        <v>31</v>
      </c>
      <c r="L289" s="9" t="s">
        <v>135</v>
      </c>
      <c r="M289" s="23" t="s">
        <v>233</v>
      </c>
    </row>
    <row r="290" spans="2:13">
      <c r="E290" s="4">
        <f t="shared" si="158"/>
        <v>290</v>
      </c>
      <c r="F290" s="9" t="s">
        <v>143</v>
      </c>
      <c r="G290" s="23">
        <f t="shared" ref="G290" si="169">G281/2</f>
        <v>7</v>
      </c>
      <c r="H290" s="23">
        <v>-45</v>
      </c>
      <c r="I290" s="23">
        <v>-15</v>
      </c>
      <c r="J290" s="23" t="s">
        <v>234</v>
      </c>
      <c r="L290" s="9" t="s">
        <v>134</v>
      </c>
      <c r="M290" s="23">
        <f t="shared" ref="M290" si="170">IF(MOD(QUOTIENT(SUM(D280)-1,$G$17),2)=0,$G$18+$I$17*MOD(SUM(D280)-1,$G$17),$H$17+$J$17*MOD(SUM(D280)-1,$G$17))</f>
        <v>-45</v>
      </c>
    </row>
    <row r="291" spans="2:13">
      <c r="E291" s="4"/>
      <c r="G291" s="23">
        <v>45</v>
      </c>
    </row>
    <row r="292" spans="2:13">
      <c r="E292" s="4">
        <f t="shared" ref="E292" si="171">ROW(E292)</f>
        <v>292</v>
      </c>
      <c r="F292" s="9" t="s">
        <v>30</v>
      </c>
      <c r="G292" s="23">
        <v>4</v>
      </c>
      <c r="H292" s="23">
        <v>0.1</v>
      </c>
      <c r="M292" s="23">
        <f t="shared" ref="M292" si="172">$G$19+$H$19*D280</f>
        <v>6.2</v>
      </c>
    </row>
    <row r="293" spans="2:13">
      <c r="B293" s="22">
        <f t="shared" ref="B293" si="173">QUOTIENT( D293-1,G294)+1</f>
        <v>2</v>
      </c>
      <c r="C293" s="22">
        <f t="shared" ref="C293" si="174">D293-(B293-1)*G294</f>
        <v>9</v>
      </c>
      <c r="D293" s="22">
        <f>COUNT($D$6:$D292)+1</f>
        <v>23</v>
      </c>
      <c r="E293" s="4"/>
    </row>
    <row r="294" spans="2:13">
      <c r="E294" s="4">
        <f t="shared" si="158"/>
        <v>294</v>
      </c>
      <c r="F294" s="9" t="s">
        <v>93</v>
      </c>
      <c r="G294" s="23" t="s">
        <v>44</v>
      </c>
      <c r="H294" s="23" t="s">
        <v>23</v>
      </c>
      <c r="J294" s="23">
        <v>10500</v>
      </c>
      <c r="M294" s="23">
        <f t="shared" ref="M294" si="175">$J$8+D293</f>
        <v>10523</v>
      </c>
    </row>
    <row r="295" spans="2:13">
      <c r="E295" s="4">
        <f t="shared" si="158"/>
        <v>295</v>
      </c>
      <c r="F295" s="9" t="s">
        <v>144</v>
      </c>
      <c r="M295" s="23">
        <v>104000</v>
      </c>
    </row>
    <row r="296" spans="2:13">
      <c r="E296" s="4">
        <f t="shared" si="158"/>
        <v>296</v>
      </c>
      <c r="F296" s="9" t="s">
        <v>126</v>
      </c>
      <c r="G296" s="23">
        <v>10</v>
      </c>
      <c r="H296" s="23">
        <v>8</v>
      </c>
      <c r="I296" s="23" t="s">
        <v>229</v>
      </c>
      <c r="M296" s="23">
        <f t="shared" ref="M296" si="176">G296*D293+$H$10+B293*I296</f>
        <v>236</v>
      </c>
    </row>
    <row r="297" spans="2:13">
      <c r="E297" s="4">
        <f t="shared" si="158"/>
        <v>297</v>
      </c>
      <c r="F297" s="9" t="s">
        <v>35</v>
      </c>
      <c r="M297" s="23">
        <v>1000</v>
      </c>
    </row>
    <row r="298" spans="2:13">
      <c r="E298" s="4">
        <f t="shared" si="158"/>
        <v>298</v>
      </c>
      <c r="F298" s="9" t="s">
        <v>29</v>
      </c>
      <c r="M298" s="23" t="s">
        <v>231</v>
      </c>
    </row>
    <row r="299" spans="2:13">
      <c r="E299" s="4">
        <f t="shared" si="158"/>
        <v>299</v>
      </c>
      <c r="F299" s="9" t="s">
        <v>118</v>
      </c>
      <c r="M299" s="23" t="s">
        <v>232</v>
      </c>
    </row>
    <row r="300" spans="2:13">
      <c r="E300" s="4">
        <f t="shared" si="158"/>
        <v>300</v>
      </c>
      <c r="F300" s="9" t="s">
        <v>114</v>
      </c>
      <c r="M300" s="23" t="b">
        <v>1</v>
      </c>
    </row>
    <row r="301" spans="2:13">
      <c r="E301" s="4">
        <f t="shared" si="158"/>
        <v>301</v>
      </c>
      <c r="F301" s="9" t="s">
        <v>98</v>
      </c>
      <c r="K301" s="9" t="s">
        <v>137</v>
      </c>
      <c r="M301" s="23">
        <v>2</v>
      </c>
    </row>
    <row r="302" spans="2:13">
      <c r="E302" s="4">
        <f t="shared" si="158"/>
        <v>302</v>
      </c>
      <c r="F302" s="9" t="s">
        <v>31</v>
      </c>
      <c r="L302" s="9" t="s">
        <v>135</v>
      </c>
      <c r="M302" s="23" t="s">
        <v>233</v>
      </c>
    </row>
    <row r="303" spans="2:13">
      <c r="E303" s="4">
        <f t="shared" si="158"/>
        <v>303</v>
      </c>
      <c r="F303" s="9" t="s">
        <v>143</v>
      </c>
      <c r="G303" s="23">
        <f t="shared" ref="G303" si="177">G294/2</f>
        <v>7</v>
      </c>
      <c r="H303" s="23">
        <v>-45</v>
      </c>
      <c r="I303" s="23">
        <v>-15</v>
      </c>
      <c r="J303" s="23" t="s">
        <v>234</v>
      </c>
      <c r="L303" s="9" t="s">
        <v>134</v>
      </c>
      <c r="M303" s="23">
        <f t="shared" ref="M303" si="178">IF(MOD(QUOTIENT(SUM(D293)-1,$G$17),2)=0,$G$18+$I$17*MOD(SUM(D293)-1,$G$17),$H$17+$J$17*MOD(SUM(D293)-1,$G$17))</f>
        <v>-30</v>
      </c>
    </row>
    <row r="304" spans="2:13">
      <c r="E304" s="4"/>
      <c r="G304" s="23">
        <v>45</v>
      </c>
    </row>
    <row r="305" spans="2:13">
      <c r="E305" s="4">
        <f t="shared" ref="E305" si="179">ROW(E305)</f>
        <v>305</v>
      </c>
      <c r="F305" s="9" t="s">
        <v>30</v>
      </c>
      <c r="G305" s="23">
        <v>4</v>
      </c>
      <c r="H305" s="23">
        <v>0.1</v>
      </c>
      <c r="M305" s="23">
        <f t="shared" ref="M305" si="180">$G$19+$H$19*D293</f>
        <v>6.3000000000000007</v>
      </c>
    </row>
    <row r="306" spans="2:13">
      <c r="B306" s="22">
        <f t="shared" ref="B306" si="181">QUOTIENT( D306-1,G307)+1</f>
        <v>2</v>
      </c>
      <c r="C306" s="22">
        <f t="shared" ref="C306" si="182">D306-(B306-1)*G307</f>
        <v>10</v>
      </c>
      <c r="D306" s="22">
        <f>COUNT($D$6:$D305)+1</f>
        <v>24</v>
      </c>
      <c r="E306" s="4"/>
    </row>
    <row r="307" spans="2:13">
      <c r="E307" s="4">
        <f t="shared" si="158"/>
        <v>307</v>
      </c>
      <c r="F307" s="9" t="s">
        <v>93</v>
      </c>
      <c r="G307" s="23" t="s">
        <v>44</v>
      </c>
      <c r="H307" s="23" t="s">
        <v>23</v>
      </c>
      <c r="J307" s="23">
        <v>10500</v>
      </c>
      <c r="M307" s="23">
        <f t="shared" ref="M307" si="183">$J$8+D306</f>
        <v>10524</v>
      </c>
    </row>
    <row r="308" spans="2:13">
      <c r="E308" s="4">
        <f t="shared" si="158"/>
        <v>308</v>
      </c>
      <c r="F308" s="9" t="s">
        <v>144</v>
      </c>
      <c r="M308" s="23">
        <v>104000</v>
      </c>
    </row>
    <row r="309" spans="2:13">
      <c r="E309" s="4">
        <f t="shared" si="158"/>
        <v>309</v>
      </c>
      <c r="F309" s="9" t="s">
        <v>126</v>
      </c>
      <c r="G309" s="23">
        <v>10</v>
      </c>
      <c r="H309" s="23">
        <v>8</v>
      </c>
      <c r="I309" s="23" t="s">
        <v>229</v>
      </c>
      <c r="M309" s="23">
        <f t="shared" ref="M309" si="184">G309*D306+$H$10+B306*I309</f>
        <v>246</v>
      </c>
    </row>
    <row r="310" spans="2:13">
      <c r="E310" s="4">
        <f t="shared" si="158"/>
        <v>310</v>
      </c>
      <c r="F310" s="9" t="s">
        <v>35</v>
      </c>
      <c r="M310" s="23">
        <v>1000</v>
      </c>
    </row>
    <row r="311" spans="2:13">
      <c r="E311" s="4">
        <f t="shared" si="158"/>
        <v>311</v>
      </c>
      <c r="F311" s="9" t="s">
        <v>29</v>
      </c>
      <c r="M311" s="23" t="s">
        <v>231</v>
      </c>
    </row>
    <row r="312" spans="2:13">
      <c r="E312" s="4">
        <f t="shared" si="158"/>
        <v>312</v>
      </c>
      <c r="F312" s="9" t="s">
        <v>118</v>
      </c>
      <c r="M312" s="23" t="s">
        <v>232</v>
      </c>
    </row>
    <row r="313" spans="2:13">
      <c r="E313" s="4">
        <f t="shared" si="158"/>
        <v>313</v>
      </c>
      <c r="F313" s="9" t="s">
        <v>114</v>
      </c>
      <c r="M313" s="23" t="b">
        <v>1</v>
      </c>
    </row>
    <row r="314" spans="2:13">
      <c r="E314" s="4">
        <f t="shared" si="158"/>
        <v>314</v>
      </c>
      <c r="F314" s="9" t="s">
        <v>98</v>
      </c>
      <c r="K314" s="9" t="s">
        <v>137</v>
      </c>
      <c r="M314" s="23">
        <v>2</v>
      </c>
    </row>
    <row r="315" spans="2:13">
      <c r="E315" s="4">
        <f t="shared" si="158"/>
        <v>315</v>
      </c>
      <c r="F315" s="9" t="s">
        <v>31</v>
      </c>
      <c r="L315" s="9" t="s">
        <v>135</v>
      </c>
      <c r="M315" s="23" t="s">
        <v>233</v>
      </c>
    </row>
    <row r="316" spans="2:13">
      <c r="E316" s="4">
        <f t="shared" si="158"/>
        <v>316</v>
      </c>
      <c r="F316" s="9" t="s">
        <v>143</v>
      </c>
      <c r="G316" s="23">
        <f t="shared" ref="G316" si="185">G307/2</f>
        <v>7</v>
      </c>
      <c r="H316" s="23">
        <v>-45</v>
      </c>
      <c r="I316" s="23">
        <v>-15</v>
      </c>
      <c r="J316" s="23" t="s">
        <v>234</v>
      </c>
      <c r="L316" s="9" t="s">
        <v>134</v>
      </c>
      <c r="M316" s="23">
        <f t="shared" ref="M316" si="186">IF(MOD(QUOTIENT(SUM(D306)-1,$G$17),2)=0,$G$18+$I$17*MOD(SUM(D306)-1,$G$17),$H$17+$J$17*MOD(SUM(D306)-1,$G$17))</f>
        <v>-15</v>
      </c>
    </row>
    <row r="317" spans="2:13">
      <c r="E317" s="4"/>
      <c r="G317" s="23">
        <v>45</v>
      </c>
    </row>
    <row r="318" spans="2:13">
      <c r="E318" s="4">
        <f t="shared" ref="E318" si="187">ROW(E318)</f>
        <v>318</v>
      </c>
      <c r="F318" s="9" t="s">
        <v>30</v>
      </c>
      <c r="G318" s="23">
        <v>4</v>
      </c>
      <c r="H318" s="23">
        <v>0.1</v>
      </c>
      <c r="M318" s="23">
        <f t="shared" ref="M318" si="188">$G$19+$H$19*D306</f>
        <v>6.4</v>
      </c>
    </row>
    <row r="319" spans="2:13">
      <c r="B319" s="22">
        <f t="shared" ref="B319" si="189">QUOTIENT( D319-1,G320)+1</f>
        <v>2</v>
      </c>
      <c r="C319" s="22">
        <f t="shared" ref="C319" si="190">D319-(B319-1)*G320</f>
        <v>11</v>
      </c>
      <c r="D319" s="22">
        <f>COUNT($D$6:$D318)+1</f>
        <v>25</v>
      </c>
      <c r="E319" s="4"/>
    </row>
    <row r="320" spans="2:13">
      <c r="E320" s="4">
        <f t="shared" si="158"/>
        <v>320</v>
      </c>
      <c r="F320" s="9" t="s">
        <v>93</v>
      </c>
      <c r="G320" s="23" t="s">
        <v>44</v>
      </c>
      <c r="H320" s="23" t="s">
        <v>23</v>
      </c>
      <c r="J320" s="23">
        <v>10500</v>
      </c>
      <c r="M320" s="23">
        <f t="shared" ref="M320" si="191">$J$8+D319</f>
        <v>10525</v>
      </c>
    </row>
    <row r="321" spans="2:13">
      <c r="E321" s="4">
        <f t="shared" si="158"/>
        <v>321</v>
      </c>
      <c r="F321" s="9" t="s">
        <v>144</v>
      </c>
      <c r="M321" s="23">
        <v>104000</v>
      </c>
    </row>
    <row r="322" spans="2:13">
      <c r="E322" s="4">
        <f t="shared" si="158"/>
        <v>322</v>
      </c>
      <c r="F322" s="9" t="s">
        <v>126</v>
      </c>
      <c r="G322" s="23">
        <v>10</v>
      </c>
      <c r="H322" s="23">
        <v>8</v>
      </c>
      <c r="I322" s="23" t="s">
        <v>229</v>
      </c>
      <c r="M322" s="23">
        <f t="shared" ref="M322" si="192">G322*D319+$H$10+B319*I322</f>
        <v>256</v>
      </c>
    </row>
    <row r="323" spans="2:13">
      <c r="E323" s="4">
        <f t="shared" si="158"/>
        <v>323</v>
      </c>
      <c r="F323" s="9" t="s">
        <v>35</v>
      </c>
      <c r="M323" s="23">
        <v>1000</v>
      </c>
    </row>
    <row r="324" spans="2:13">
      <c r="E324" s="4">
        <f t="shared" si="158"/>
        <v>324</v>
      </c>
      <c r="F324" s="9" t="s">
        <v>29</v>
      </c>
      <c r="M324" s="23" t="s">
        <v>231</v>
      </c>
    </row>
    <row r="325" spans="2:13">
      <c r="E325" s="4">
        <f t="shared" si="158"/>
        <v>325</v>
      </c>
      <c r="F325" s="9" t="s">
        <v>118</v>
      </c>
      <c r="M325" s="23" t="s">
        <v>232</v>
      </c>
    </row>
    <row r="326" spans="2:13">
      <c r="E326" s="4">
        <f t="shared" si="158"/>
        <v>326</v>
      </c>
      <c r="F326" s="9" t="s">
        <v>114</v>
      </c>
      <c r="M326" s="23" t="b">
        <v>1</v>
      </c>
    </row>
    <row r="327" spans="2:13">
      <c r="E327" s="4">
        <f t="shared" si="158"/>
        <v>327</v>
      </c>
      <c r="F327" s="9" t="s">
        <v>98</v>
      </c>
      <c r="K327" s="9" t="s">
        <v>137</v>
      </c>
      <c r="M327" s="23">
        <v>2</v>
      </c>
    </row>
    <row r="328" spans="2:13">
      <c r="E328" s="4">
        <f t="shared" si="158"/>
        <v>328</v>
      </c>
      <c r="F328" s="9" t="s">
        <v>31</v>
      </c>
      <c r="L328" s="9" t="s">
        <v>135</v>
      </c>
      <c r="M328" s="23" t="s">
        <v>233</v>
      </c>
    </row>
    <row r="329" spans="2:13">
      <c r="E329" s="4">
        <f t="shared" si="158"/>
        <v>329</v>
      </c>
      <c r="F329" s="9" t="s">
        <v>143</v>
      </c>
      <c r="G329" s="23">
        <f t="shared" ref="G329" si="193">G320/2</f>
        <v>7</v>
      </c>
      <c r="H329" s="23">
        <v>-45</v>
      </c>
      <c r="I329" s="23">
        <v>-15</v>
      </c>
      <c r="J329" s="23" t="s">
        <v>234</v>
      </c>
      <c r="L329" s="9" t="s">
        <v>134</v>
      </c>
      <c r="M329" s="23">
        <f t="shared" ref="M329" si="194">IF(MOD(QUOTIENT(SUM(D319)-1,$G$17),2)=0,$G$18+$I$17*MOD(SUM(D319)-1,$G$17),$H$17+$J$17*MOD(SUM(D319)-1,$G$17))</f>
        <v>0</v>
      </c>
    </row>
    <row r="330" spans="2:13">
      <c r="E330" s="4"/>
      <c r="G330" s="23">
        <v>45</v>
      </c>
    </row>
    <row r="331" spans="2:13">
      <c r="E331" s="4">
        <f t="shared" ref="E331" si="195">ROW(E331)</f>
        <v>331</v>
      </c>
      <c r="F331" s="9" t="s">
        <v>30</v>
      </c>
      <c r="G331" s="23">
        <v>4</v>
      </c>
      <c r="H331" s="23">
        <v>0.1</v>
      </c>
      <c r="M331" s="23">
        <f t="shared" ref="M331" si="196">$G$19+$H$19*D319</f>
        <v>6.5</v>
      </c>
    </row>
    <row r="332" spans="2:13">
      <c r="B332" s="22">
        <f t="shared" ref="B332" si="197">QUOTIENT( D332-1,G333)+1</f>
        <v>2</v>
      </c>
      <c r="C332" s="22">
        <f t="shared" ref="C332" si="198">D332-(B332-1)*G333</f>
        <v>12</v>
      </c>
      <c r="D332" s="22">
        <f>COUNT($D$6:$D331)+1</f>
        <v>26</v>
      </c>
      <c r="E332" s="4"/>
    </row>
    <row r="333" spans="2:13">
      <c r="E333" s="4">
        <f t="shared" ref="E333:E394" si="199">ROW(E333)</f>
        <v>333</v>
      </c>
      <c r="F333" s="9" t="s">
        <v>93</v>
      </c>
      <c r="G333" s="23" t="s">
        <v>44</v>
      </c>
      <c r="H333" s="23" t="s">
        <v>23</v>
      </c>
      <c r="J333" s="23">
        <v>10500</v>
      </c>
      <c r="M333" s="23">
        <f t="shared" ref="M333" si="200">$J$8+D332</f>
        <v>10526</v>
      </c>
    </row>
    <row r="334" spans="2:13">
      <c r="E334" s="4">
        <f t="shared" si="199"/>
        <v>334</v>
      </c>
      <c r="F334" s="9" t="s">
        <v>144</v>
      </c>
      <c r="M334" s="23">
        <v>104000</v>
      </c>
    </row>
    <row r="335" spans="2:13">
      <c r="E335" s="4">
        <f t="shared" si="199"/>
        <v>335</v>
      </c>
      <c r="F335" s="9" t="s">
        <v>126</v>
      </c>
      <c r="G335" s="23">
        <v>10</v>
      </c>
      <c r="H335" s="23">
        <v>8</v>
      </c>
      <c r="I335" s="23" t="s">
        <v>229</v>
      </c>
      <c r="M335" s="23">
        <f t="shared" ref="M335" si="201">G335*D332+$H$10+B332*I335</f>
        <v>266</v>
      </c>
    </row>
    <row r="336" spans="2:13">
      <c r="E336" s="4">
        <f t="shared" si="199"/>
        <v>336</v>
      </c>
      <c r="F336" s="9" t="s">
        <v>35</v>
      </c>
      <c r="M336" s="23">
        <v>1000</v>
      </c>
    </row>
    <row r="337" spans="2:13">
      <c r="E337" s="4">
        <f t="shared" si="199"/>
        <v>337</v>
      </c>
      <c r="F337" s="9" t="s">
        <v>29</v>
      </c>
      <c r="M337" s="23" t="s">
        <v>231</v>
      </c>
    </row>
    <row r="338" spans="2:13">
      <c r="E338" s="4">
        <f t="shared" si="199"/>
        <v>338</v>
      </c>
      <c r="F338" s="9" t="s">
        <v>118</v>
      </c>
      <c r="M338" s="23" t="s">
        <v>232</v>
      </c>
    </row>
    <row r="339" spans="2:13">
      <c r="E339" s="4">
        <f t="shared" si="199"/>
        <v>339</v>
      </c>
      <c r="F339" s="9" t="s">
        <v>114</v>
      </c>
      <c r="M339" s="23" t="b">
        <v>1</v>
      </c>
    </row>
    <row r="340" spans="2:13">
      <c r="E340" s="4">
        <f t="shared" si="199"/>
        <v>340</v>
      </c>
      <c r="F340" s="9" t="s">
        <v>98</v>
      </c>
      <c r="K340" s="9" t="s">
        <v>137</v>
      </c>
      <c r="M340" s="23">
        <v>2</v>
      </c>
    </row>
    <row r="341" spans="2:13">
      <c r="E341" s="4">
        <f t="shared" si="199"/>
        <v>341</v>
      </c>
      <c r="F341" s="9" t="s">
        <v>31</v>
      </c>
      <c r="L341" s="9" t="s">
        <v>135</v>
      </c>
      <c r="M341" s="23" t="s">
        <v>233</v>
      </c>
    </row>
    <row r="342" spans="2:13">
      <c r="E342" s="4">
        <f t="shared" si="199"/>
        <v>342</v>
      </c>
      <c r="F342" s="9" t="s">
        <v>143</v>
      </c>
      <c r="G342" s="23">
        <f t="shared" ref="G342" si="202">G333/2</f>
        <v>7</v>
      </c>
      <c r="H342" s="23">
        <v>-45</v>
      </c>
      <c r="I342" s="23">
        <v>-15</v>
      </c>
      <c r="J342" s="23" t="s">
        <v>234</v>
      </c>
      <c r="L342" s="9" t="s">
        <v>134</v>
      </c>
      <c r="M342" s="23">
        <f t="shared" ref="M342" si="203">IF(MOD(QUOTIENT(SUM(D332)-1,$G$17),2)=0,$G$18+$I$17*MOD(SUM(D332)-1,$G$17),$H$17+$J$17*MOD(SUM(D332)-1,$G$17))</f>
        <v>15</v>
      </c>
    </row>
    <row r="343" spans="2:13">
      <c r="E343" s="4"/>
      <c r="G343" s="23">
        <v>45</v>
      </c>
    </row>
    <row r="344" spans="2:13">
      <c r="E344" s="4">
        <f t="shared" ref="E344" si="204">ROW(E344)</f>
        <v>344</v>
      </c>
      <c r="F344" s="9" t="s">
        <v>30</v>
      </c>
      <c r="G344" s="23">
        <v>4</v>
      </c>
      <c r="H344" s="23">
        <v>0.1</v>
      </c>
      <c r="M344" s="23">
        <f t="shared" ref="M344" si="205">$G$19+$H$19*D332</f>
        <v>6.6</v>
      </c>
    </row>
    <row r="345" spans="2:13">
      <c r="B345" s="22">
        <f t="shared" ref="B345" si="206">QUOTIENT( D345-1,G346)+1</f>
        <v>2</v>
      </c>
      <c r="C345" s="22">
        <f t="shared" ref="C345" si="207">D345-(B345-1)*G346</f>
        <v>13</v>
      </c>
      <c r="D345" s="22">
        <f>COUNT($D$6:$D344)+1</f>
        <v>27</v>
      </c>
      <c r="E345" s="4"/>
    </row>
    <row r="346" spans="2:13">
      <c r="E346" s="4">
        <f t="shared" si="199"/>
        <v>346</v>
      </c>
      <c r="F346" s="9" t="s">
        <v>93</v>
      </c>
      <c r="G346" s="23" t="s">
        <v>44</v>
      </c>
      <c r="H346" s="23" t="s">
        <v>23</v>
      </c>
      <c r="J346" s="23">
        <v>10500</v>
      </c>
      <c r="M346" s="23">
        <f t="shared" ref="M346" si="208">$J$8+D345</f>
        <v>10527</v>
      </c>
    </row>
    <row r="347" spans="2:13">
      <c r="E347" s="4">
        <f t="shared" si="199"/>
        <v>347</v>
      </c>
      <c r="F347" s="9" t="s">
        <v>144</v>
      </c>
      <c r="M347" s="23">
        <v>104000</v>
      </c>
    </row>
    <row r="348" spans="2:13">
      <c r="E348" s="4">
        <f t="shared" si="199"/>
        <v>348</v>
      </c>
      <c r="F348" s="9" t="s">
        <v>126</v>
      </c>
      <c r="G348" s="23">
        <v>10</v>
      </c>
      <c r="H348" s="23">
        <v>8</v>
      </c>
      <c r="I348" s="23" t="s">
        <v>229</v>
      </c>
      <c r="M348" s="23">
        <f t="shared" ref="M348" si="209">G348*D345+$H$10+B345*I348</f>
        <v>276</v>
      </c>
    </row>
    <row r="349" spans="2:13">
      <c r="E349" s="4">
        <f t="shared" si="199"/>
        <v>349</v>
      </c>
      <c r="F349" s="9" t="s">
        <v>35</v>
      </c>
      <c r="M349" s="23">
        <v>1000</v>
      </c>
    </row>
    <row r="350" spans="2:13">
      <c r="E350" s="4">
        <f t="shared" si="199"/>
        <v>350</v>
      </c>
      <c r="F350" s="9" t="s">
        <v>29</v>
      </c>
      <c r="M350" s="23" t="s">
        <v>231</v>
      </c>
    </row>
    <row r="351" spans="2:13">
      <c r="E351" s="4">
        <f t="shared" si="199"/>
        <v>351</v>
      </c>
      <c r="F351" s="9" t="s">
        <v>118</v>
      </c>
      <c r="M351" s="23" t="s">
        <v>232</v>
      </c>
    </row>
    <row r="352" spans="2:13">
      <c r="E352" s="4">
        <f t="shared" si="199"/>
        <v>352</v>
      </c>
      <c r="F352" s="9" t="s">
        <v>114</v>
      </c>
      <c r="M352" s="23" t="b">
        <v>1</v>
      </c>
    </row>
    <row r="353" spans="2:13">
      <c r="E353" s="4">
        <f t="shared" si="199"/>
        <v>353</v>
      </c>
      <c r="F353" s="9" t="s">
        <v>98</v>
      </c>
      <c r="K353" s="9" t="s">
        <v>137</v>
      </c>
      <c r="M353" s="23">
        <v>2</v>
      </c>
    </row>
    <row r="354" spans="2:13">
      <c r="E354" s="4">
        <f t="shared" si="199"/>
        <v>354</v>
      </c>
      <c r="F354" s="9" t="s">
        <v>31</v>
      </c>
      <c r="L354" s="9" t="s">
        <v>135</v>
      </c>
      <c r="M354" s="23" t="s">
        <v>233</v>
      </c>
    </row>
    <row r="355" spans="2:13">
      <c r="E355" s="4">
        <f t="shared" si="199"/>
        <v>355</v>
      </c>
      <c r="F355" s="9" t="s">
        <v>143</v>
      </c>
      <c r="G355" s="23">
        <f t="shared" ref="G355" si="210">G346/2</f>
        <v>7</v>
      </c>
      <c r="H355" s="23">
        <v>-45</v>
      </c>
      <c r="I355" s="23">
        <v>-15</v>
      </c>
      <c r="J355" s="23" t="s">
        <v>234</v>
      </c>
      <c r="L355" s="9" t="s">
        <v>134</v>
      </c>
      <c r="M355" s="23">
        <f t="shared" ref="M355" si="211">IF(MOD(QUOTIENT(SUM(D345)-1,$G$17),2)=0,$G$18+$I$17*MOD(SUM(D345)-1,$G$17),$H$17+$J$17*MOD(SUM(D345)-1,$G$17))</f>
        <v>30</v>
      </c>
    </row>
    <row r="356" spans="2:13">
      <c r="E356" s="4"/>
      <c r="G356" s="23">
        <v>45</v>
      </c>
    </row>
    <row r="357" spans="2:13">
      <c r="E357" s="4">
        <f t="shared" ref="E357" si="212">ROW(E357)</f>
        <v>357</v>
      </c>
      <c r="F357" s="9" t="s">
        <v>30</v>
      </c>
      <c r="G357" s="23">
        <v>4</v>
      </c>
      <c r="H357" s="23">
        <v>0.1</v>
      </c>
      <c r="M357" s="23">
        <f t="shared" ref="M357" si="213">$G$19+$H$19*D345</f>
        <v>6.7</v>
      </c>
    </row>
    <row r="358" spans="2:13">
      <c r="B358" s="22">
        <f t="shared" ref="B358" si="214">QUOTIENT( D358-1,G359)+1</f>
        <v>2</v>
      </c>
      <c r="C358" s="22">
        <f t="shared" ref="C358" si="215">D358-(B358-1)*G359</f>
        <v>14</v>
      </c>
      <c r="D358" s="22">
        <f>COUNT($D$6:$D357)+1</f>
        <v>28</v>
      </c>
      <c r="E358" s="4"/>
    </row>
    <row r="359" spans="2:13">
      <c r="E359" s="4">
        <f t="shared" si="199"/>
        <v>359</v>
      </c>
      <c r="F359" s="9" t="s">
        <v>93</v>
      </c>
      <c r="G359" s="23" t="s">
        <v>44</v>
      </c>
      <c r="H359" s="23" t="s">
        <v>23</v>
      </c>
      <c r="J359" s="23">
        <v>10500</v>
      </c>
      <c r="M359" s="23">
        <f t="shared" ref="M359" si="216">$J$8+D358</f>
        <v>10528</v>
      </c>
    </row>
    <row r="360" spans="2:13">
      <c r="E360" s="4">
        <f t="shared" si="199"/>
        <v>360</v>
      </c>
      <c r="F360" s="9" t="s">
        <v>144</v>
      </c>
      <c r="M360" s="23">
        <v>104000</v>
      </c>
    </row>
    <row r="361" spans="2:13">
      <c r="E361" s="4">
        <f t="shared" si="199"/>
        <v>361</v>
      </c>
      <c r="F361" s="9" t="s">
        <v>126</v>
      </c>
      <c r="G361" s="23">
        <v>10</v>
      </c>
      <c r="H361" s="23">
        <v>8</v>
      </c>
      <c r="I361" s="23" t="s">
        <v>229</v>
      </c>
      <c r="M361" s="23">
        <f t="shared" ref="M361" si="217">G361*D358+$H$10+B358*I361</f>
        <v>286</v>
      </c>
    </row>
    <row r="362" spans="2:13">
      <c r="E362" s="4">
        <f t="shared" si="199"/>
        <v>362</v>
      </c>
      <c r="F362" s="9" t="s">
        <v>35</v>
      </c>
      <c r="M362" s="23">
        <v>1000</v>
      </c>
    </row>
    <row r="363" spans="2:13">
      <c r="E363" s="4">
        <f t="shared" si="199"/>
        <v>363</v>
      </c>
      <c r="F363" s="9" t="s">
        <v>29</v>
      </c>
      <c r="M363" s="23" t="s">
        <v>231</v>
      </c>
    </row>
    <row r="364" spans="2:13">
      <c r="E364" s="4">
        <f t="shared" si="199"/>
        <v>364</v>
      </c>
      <c r="F364" s="9" t="s">
        <v>118</v>
      </c>
      <c r="M364" s="23" t="s">
        <v>232</v>
      </c>
    </row>
    <row r="365" spans="2:13">
      <c r="E365" s="4">
        <f t="shared" si="199"/>
        <v>365</v>
      </c>
      <c r="F365" s="9" t="s">
        <v>114</v>
      </c>
      <c r="M365" s="23" t="b">
        <v>1</v>
      </c>
    </row>
    <row r="366" spans="2:13">
      <c r="E366" s="4">
        <f t="shared" si="199"/>
        <v>366</v>
      </c>
      <c r="F366" s="9" t="s">
        <v>98</v>
      </c>
      <c r="K366" s="9" t="s">
        <v>137</v>
      </c>
      <c r="M366" s="23">
        <v>2</v>
      </c>
    </row>
    <row r="367" spans="2:13">
      <c r="E367" s="4">
        <f t="shared" si="199"/>
        <v>367</v>
      </c>
      <c r="F367" s="9" t="s">
        <v>31</v>
      </c>
      <c r="L367" s="9" t="s">
        <v>135</v>
      </c>
      <c r="M367" s="23" t="s">
        <v>233</v>
      </c>
    </row>
    <row r="368" spans="2:13">
      <c r="E368" s="4">
        <f t="shared" si="199"/>
        <v>368</v>
      </c>
      <c r="F368" s="9" t="s">
        <v>143</v>
      </c>
      <c r="G368" s="23">
        <f t="shared" ref="G368" si="218">G359/2</f>
        <v>7</v>
      </c>
      <c r="H368" s="23">
        <v>-45</v>
      </c>
      <c r="I368" s="23">
        <v>-15</v>
      </c>
      <c r="J368" s="23" t="s">
        <v>234</v>
      </c>
      <c r="L368" s="9" t="s">
        <v>134</v>
      </c>
      <c r="M368" s="23">
        <f t="shared" ref="M368" si="219">IF(MOD(QUOTIENT(SUM(D358)-1,$G$17),2)=0,$G$18+$I$17*MOD(SUM(D358)-1,$G$17),$H$17+$J$17*MOD(SUM(D358)-1,$G$17))</f>
        <v>45</v>
      </c>
    </row>
    <row r="369" spans="2:13">
      <c r="E369" s="4"/>
      <c r="G369" s="23">
        <v>45</v>
      </c>
    </row>
    <row r="370" spans="2:13">
      <c r="E370" s="4">
        <f t="shared" ref="E370" si="220">ROW(E370)</f>
        <v>370</v>
      </c>
      <c r="F370" s="9" t="s">
        <v>30</v>
      </c>
      <c r="G370" s="23">
        <v>4</v>
      </c>
      <c r="H370" s="23">
        <v>0.1</v>
      </c>
      <c r="M370" s="23">
        <f t="shared" ref="M370" si="221">$G$19+$H$19*D358</f>
        <v>6.8000000000000007</v>
      </c>
    </row>
    <row r="371" spans="2:13">
      <c r="B371" s="22">
        <f t="shared" ref="B371" si="222">QUOTIENT( D371-1,G372)+1</f>
        <v>3</v>
      </c>
      <c r="C371" s="22">
        <f t="shared" ref="C371" si="223">D371-(B371-1)*G372</f>
        <v>1</v>
      </c>
      <c r="D371" s="22">
        <f>COUNT($D$6:$D370)+1</f>
        <v>29</v>
      </c>
      <c r="E371" s="4"/>
    </row>
    <row r="372" spans="2:13">
      <c r="E372" s="4">
        <f t="shared" si="199"/>
        <v>372</v>
      </c>
      <c r="F372" s="9" t="s">
        <v>93</v>
      </c>
      <c r="G372" s="23" t="s">
        <v>44</v>
      </c>
      <c r="H372" s="23" t="s">
        <v>23</v>
      </c>
      <c r="J372" s="23">
        <v>10500</v>
      </c>
      <c r="M372" s="23">
        <f t="shared" ref="M372" si="224">$J$8+D371</f>
        <v>10529</v>
      </c>
    </row>
    <row r="373" spans="2:13">
      <c r="E373" s="4">
        <f t="shared" si="199"/>
        <v>373</v>
      </c>
      <c r="F373" s="9" t="s">
        <v>144</v>
      </c>
      <c r="M373" s="23">
        <v>104000</v>
      </c>
    </row>
    <row r="374" spans="2:13">
      <c r="E374" s="4">
        <f t="shared" si="199"/>
        <v>374</v>
      </c>
      <c r="F374" s="9" t="s">
        <v>126</v>
      </c>
      <c r="G374" s="23">
        <v>10</v>
      </c>
      <c r="H374" s="23">
        <v>8</v>
      </c>
      <c r="I374" s="23" t="s">
        <v>229</v>
      </c>
      <c r="M374" s="23">
        <f t="shared" ref="M374" si="225">G374*D371+$H$10+B371*I374</f>
        <v>295</v>
      </c>
    </row>
    <row r="375" spans="2:13">
      <c r="E375" s="4">
        <f t="shared" si="199"/>
        <v>375</v>
      </c>
      <c r="F375" s="9" t="s">
        <v>35</v>
      </c>
      <c r="M375" s="23">
        <v>1000</v>
      </c>
    </row>
    <row r="376" spans="2:13">
      <c r="E376" s="4">
        <f t="shared" si="199"/>
        <v>376</v>
      </c>
      <c r="F376" s="9" t="s">
        <v>29</v>
      </c>
      <c r="M376" s="23" t="s">
        <v>231</v>
      </c>
    </row>
    <row r="377" spans="2:13">
      <c r="E377" s="4">
        <f t="shared" si="199"/>
        <v>377</v>
      </c>
      <c r="F377" s="9" t="s">
        <v>118</v>
      </c>
      <c r="M377" s="23" t="s">
        <v>232</v>
      </c>
    </row>
    <row r="378" spans="2:13">
      <c r="E378" s="4">
        <f t="shared" si="199"/>
        <v>378</v>
      </c>
      <c r="F378" s="9" t="s">
        <v>114</v>
      </c>
      <c r="M378" s="23" t="b">
        <v>1</v>
      </c>
    </row>
    <row r="379" spans="2:13">
      <c r="E379" s="4">
        <f t="shared" si="199"/>
        <v>379</v>
      </c>
      <c r="F379" s="9" t="s">
        <v>98</v>
      </c>
      <c r="K379" s="9" t="s">
        <v>137</v>
      </c>
      <c r="M379" s="23">
        <v>2</v>
      </c>
    </row>
    <row r="380" spans="2:13">
      <c r="E380" s="4">
        <f t="shared" si="199"/>
        <v>380</v>
      </c>
      <c r="F380" s="9" t="s">
        <v>31</v>
      </c>
      <c r="L380" s="9" t="s">
        <v>135</v>
      </c>
      <c r="M380" s="23" t="s">
        <v>233</v>
      </c>
    </row>
    <row r="381" spans="2:13">
      <c r="E381" s="4">
        <f t="shared" si="199"/>
        <v>381</v>
      </c>
      <c r="F381" s="9" t="s">
        <v>143</v>
      </c>
      <c r="G381" s="23">
        <f t="shared" ref="G381" si="226">G372/2</f>
        <v>7</v>
      </c>
      <c r="H381" s="23">
        <v>-45</v>
      </c>
      <c r="I381" s="23">
        <v>-15</v>
      </c>
      <c r="J381" s="23" t="s">
        <v>234</v>
      </c>
      <c r="L381" s="9" t="s">
        <v>134</v>
      </c>
      <c r="M381" s="23">
        <f t="shared" ref="M381" si="227">IF(MOD(QUOTIENT(SUM(D371)-1,$G$17),2)=0,$G$18+$I$17*MOD(SUM(D371)-1,$G$17),$H$17+$J$17*MOD(SUM(D371)-1,$G$17))</f>
        <v>45</v>
      </c>
    </row>
    <row r="382" spans="2:13">
      <c r="E382" s="4"/>
      <c r="G382" s="23">
        <v>45</v>
      </c>
    </row>
    <row r="383" spans="2:13">
      <c r="E383" s="4">
        <f t="shared" ref="E383" si="228">ROW(E383)</f>
        <v>383</v>
      </c>
      <c r="F383" s="9" t="s">
        <v>30</v>
      </c>
      <c r="G383" s="23">
        <v>4</v>
      </c>
      <c r="H383" s="23">
        <v>0.1</v>
      </c>
      <c r="M383" s="23">
        <f t="shared" ref="M383" si="229">$G$19+$H$19*D371</f>
        <v>6.9</v>
      </c>
    </row>
    <row r="384" spans="2:13">
      <c r="B384" s="22">
        <f t="shared" ref="B384" si="230">QUOTIENT( D384-1,G385)+1</f>
        <v>3</v>
      </c>
      <c r="C384" s="22">
        <f t="shared" ref="C384" si="231">D384-(B384-1)*G385</f>
        <v>2</v>
      </c>
      <c r="D384" s="22">
        <f>COUNT($D$6:$D383)+1</f>
        <v>30</v>
      </c>
      <c r="E384" s="4"/>
    </row>
    <row r="385" spans="2:13">
      <c r="E385" s="4">
        <f t="shared" si="199"/>
        <v>385</v>
      </c>
      <c r="F385" s="9" t="s">
        <v>93</v>
      </c>
      <c r="G385" s="23" t="s">
        <v>44</v>
      </c>
      <c r="H385" s="23" t="s">
        <v>23</v>
      </c>
      <c r="J385" s="23">
        <v>10500</v>
      </c>
      <c r="M385" s="23">
        <f t="shared" ref="M385" si="232">$J$8+D384</f>
        <v>10530</v>
      </c>
    </row>
    <row r="386" spans="2:13">
      <c r="E386" s="4">
        <f t="shared" si="199"/>
        <v>386</v>
      </c>
      <c r="F386" s="9" t="s">
        <v>144</v>
      </c>
      <c r="M386" s="23">
        <v>104000</v>
      </c>
    </row>
    <row r="387" spans="2:13">
      <c r="E387" s="4">
        <f t="shared" si="199"/>
        <v>387</v>
      </c>
      <c r="F387" s="9" t="s">
        <v>126</v>
      </c>
      <c r="G387" s="23">
        <v>10</v>
      </c>
      <c r="H387" s="23">
        <v>8</v>
      </c>
      <c r="I387" s="23" t="s">
        <v>229</v>
      </c>
      <c r="M387" s="23">
        <f t="shared" ref="M387" si="233">G387*D384+$H$10+B384*I387</f>
        <v>305</v>
      </c>
    </row>
    <row r="388" spans="2:13">
      <c r="E388" s="4">
        <f t="shared" si="199"/>
        <v>388</v>
      </c>
      <c r="F388" s="9" t="s">
        <v>35</v>
      </c>
      <c r="M388" s="23">
        <v>1000</v>
      </c>
    </row>
    <row r="389" spans="2:13">
      <c r="E389" s="4">
        <f t="shared" si="199"/>
        <v>389</v>
      </c>
      <c r="F389" s="9" t="s">
        <v>29</v>
      </c>
      <c r="M389" s="23" t="s">
        <v>231</v>
      </c>
    </row>
    <row r="390" spans="2:13">
      <c r="E390" s="4">
        <f t="shared" si="199"/>
        <v>390</v>
      </c>
      <c r="F390" s="9" t="s">
        <v>118</v>
      </c>
      <c r="M390" s="23" t="s">
        <v>232</v>
      </c>
    </row>
    <row r="391" spans="2:13">
      <c r="E391" s="4">
        <f t="shared" si="199"/>
        <v>391</v>
      </c>
      <c r="F391" s="9" t="s">
        <v>114</v>
      </c>
      <c r="M391" s="23" t="b">
        <v>1</v>
      </c>
    </row>
    <row r="392" spans="2:13">
      <c r="E392" s="4">
        <f t="shared" si="199"/>
        <v>392</v>
      </c>
      <c r="F392" s="9" t="s">
        <v>98</v>
      </c>
      <c r="K392" s="9" t="s">
        <v>137</v>
      </c>
      <c r="M392" s="23">
        <v>2</v>
      </c>
    </row>
    <row r="393" spans="2:13">
      <c r="E393" s="4">
        <f t="shared" si="199"/>
        <v>393</v>
      </c>
      <c r="F393" s="9" t="s">
        <v>31</v>
      </c>
      <c r="L393" s="9" t="s">
        <v>135</v>
      </c>
      <c r="M393" s="23" t="s">
        <v>233</v>
      </c>
    </row>
    <row r="394" spans="2:13">
      <c r="E394" s="4">
        <f t="shared" si="199"/>
        <v>394</v>
      </c>
      <c r="F394" s="9" t="s">
        <v>143</v>
      </c>
      <c r="G394" s="23">
        <f t="shared" ref="G394" si="234">G385/2</f>
        <v>7</v>
      </c>
      <c r="H394" s="23">
        <v>-45</v>
      </c>
      <c r="I394" s="23">
        <v>-15</v>
      </c>
      <c r="J394" s="23" t="s">
        <v>234</v>
      </c>
      <c r="L394" s="9" t="s">
        <v>134</v>
      </c>
      <c r="M394" s="23">
        <f t="shared" ref="M394" si="235">IF(MOD(QUOTIENT(SUM(D384)-1,$G$17),2)=0,$G$18+$I$17*MOD(SUM(D384)-1,$G$17),$H$17+$J$17*MOD(SUM(D384)-1,$G$17))</f>
        <v>30</v>
      </c>
    </row>
    <row r="395" spans="2:13">
      <c r="E395" s="4"/>
      <c r="G395" s="23">
        <v>45</v>
      </c>
    </row>
    <row r="396" spans="2:13">
      <c r="E396" s="4">
        <f t="shared" ref="E396" si="236">ROW(E396)</f>
        <v>396</v>
      </c>
      <c r="F396" s="9" t="s">
        <v>30</v>
      </c>
      <c r="G396" s="23">
        <v>4</v>
      </c>
      <c r="H396" s="23">
        <v>0.1</v>
      </c>
      <c r="M396" s="23">
        <f t="shared" ref="M396" si="237">$G$19+$H$19*D384</f>
        <v>7</v>
      </c>
    </row>
    <row r="397" spans="2:13">
      <c r="B397" s="22">
        <f t="shared" ref="B397" si="238">QUOTIENT( D397-1,G398)+1</f>
        <v>3</v>
      </c>
      <c r="C397" s="22">
        <f t="shared" ref="C397" si="239">D397-(B397-1)*G398</f>
        <v>3</v>
      </c>
      <c r="D397" s="22">
        <f>COUNT($D$6:$D396)+1</f>
        <v>31</v>
      </c>
      <c r="E397" s="4"/>
    </row>
    <row r="398" spans="2:13">
      <c r="E398" s="4">
        <f t="shared" ref="E398:E459" si="240">ROW(E398)</f>
        <v>398</v>
      </c>
      <c r="F398" s="9" t="s">
        <v>93</v>
      </c>
      <c r="G398" s="23" t="s">
        <v>44</v>
      </c>
      <c r="H398" s="23" t="s">
        <v>23</v>
      </c>
      <c r="J398" s="23">
        <v>10500</v>
      </c>
      <c r="M398" s="23">
        <f t="shared" ref="M398" si="241">$J$8+D397</f>
        <v>10531</v>
      </c>
    </row>
    <row r="399" spans="2:13">
      <c r="E399" s="4">
        <f t="shared" si="240"/>
        <v>399</v>
      </c>
      <c r="F399" s="9" t="s">
        <v>144</v>
      </c>
      <c r="M399" s="23">
        <v>104000</v>
      </c>
    </row>
    <row r="400" spans="2:13">
      <c r="E400" s="4">
        <f t="shared" si="240"/>
        <v>400</v>
      </c>
      <c r="F400" s="9" t="s">
        <v>126</v>
      </c>
      <c r="G400" s="23">
        <v>10</v>
      </c>
      <c r="H400" s="23">
        <v>8</v>
      </c>
      <c r="I400" s="23" t="s">
        <v>229</v>
      </c>
      <c r="M400" s="23">
        <f t="shared" ref="M400" si="242">G400*D397+$H$10+B397*I400</f>
        <v>315</v>
      </c>
    </row>
    <row r="401" spans="2:13">
      <c r="E401" s="4">
        <f t="shared" si="240"/>
        <v>401</v>
      </c>
      <c r="F401" s="9" t="s">
        <v>35</v>
      </c>
      <c r="M401" s="23">
        <v>1000</v>
      </c>
    </row>
    <row r="402" spans="2:13">
      <c r="E402" s="4">
        <f t="shared" si="240"/>
        <v>402</v>
      </c>
      <c r="F402" s="9" t="s">
        <v>29</v>
      </c>
      <c r="M402" s="23" t="s">
        <v>231</v>
      </c>
    </row>
    <row r="403" spans="2:13">
      <c r="E403" s="4">
        <f t="shared" si="240"/>
        <v>403</v>
      </c>
      <c r="F403" s="9" t="s">
        <v>118</v>
      </c>
      <c r="M403" s="23" t="s">
        <v>232</v>
      </c>
    </row>
    <row r="404" spans="2:13">
      <c r="E404" s="4">
        <f t="shared" si="240"/>
        <v>404</v>
      </c>
      <c r="F404" s="9" t="s">
        <v>114</v>
      </c>
      <c r="M404" s="23" t="b">
        <v>1</v>
      </c>
    </row>
    <row r="405" spans="2:13">
      <c r="E405" s="4">
        <f t="shared" si="240"/>
        <v>405</v>
      </c>
      <c r="F405" s="9" t="s">
        <v>98</v>
      </c>
      <c r="K405" s="9" t="s">
        <v>137</v>
      </c>
      <c r="M405" s="23">
        <v>2</v>
      </c>
    </row>
    <row r="406" spans="2:13">
      <c r="E406" s="4">
        <f t="shared" si="240"/>
        <v>406</v>
      </c>
      <c r="F406" s="9" t="s">
        <v>31</v>
      </c>
      <c r="L406" s="9" t="s">
        <v>135</v>
      </c>
      <c r="M406" s="23" t="s">
        <v>233</v>
      </c>
    </row>
    <row r="407" spans="2:13">
      <c r="E407" s="4">
        <f t="shared" si="240"/>
        <v>407</v>
      </c>
      <c r="F407" s="9" t="s">
        <v>143</v>
      </c>
      <c r="G407" s="23">
        <f t="shared" ref="G407" si="243">G398/2</f>
        <v>7</v>
      </c>
      <c r="H407" s="23">
        <v>-45</v>
      </c>
      <c r="I407" s="23">
        <v>-15</v>
      </c>
      <c r="J407" s="23" t="s">
        <v>234</v>
      </c>
      <c r="L407" s="9" t="s">
        <v>134</v>
      </c>
      <c r="M407" s="23">
        <f t="shared" ref="M407" si="244">IF(MOD(QUOTIENT(SUM(D397)-1,$G$17),2)=0,$G$18+$I$17*MOD(SUM(D397)-1,$G$17),$H$17+$J$17*MOD(SUM(D397)-1,$G$17))</f>
        <v>15</v>
      </c>
    </row>
    <row r="408" spans="2:13">
      <c r="E408" s="4"/>
      <c r="G408" s="23">
        <v>45</v>
      </c>
    </row>
    <row r="409" spans="2:13">
      <c r="E409" s="4">
        <f t="shared" ref="E409" si="245">ROW(E409)</f>
        <v>409</v>
      </c>
      <c r="F409" s="9" t="s">
        <v>30</v>
      </c>
      <c r="G409" s="23">
        <v>4</v>
      </c>
      <c r="H409" s="23">
        <v>0.1</v>
      </c>
      <c r="M409" s="23">
        <f t="shared" ref="M409" si="246">$G$19+$H$19*D397</f>
        <v>7.1</v>
      </c>
    </row>
    <row r="410" spans="2:13">
      <c r="B410" s="22">
        <f t="shared" ref="B410" si="247">QUOTIENT( D410-1,G411)+1</f>
        <v>3</v>
      </c>
      <c r="C410" s="22">
        <f t="shared" ref="C410" si="248">D410-(B410-1)*G411</f>
        <v>4</v>
      </c>
      <c r="D410" s="22">
        <f>COUNT($D$6:$D409)+1</f>
        <v>32</v>
      </c>
      <c r="E410" s="4"/>
    </row>
    <row r="411" spans="2:13">
      <c r="E411" s="4">
        <f t="shared" si="240"/>
        <v>411</v>
      </c>
      <c r="F411" s="9" t="s">
        <v>93</v>
      </c>
      <c r="G411" s="23" t="s">
        <v>44</v>
      </c>
      <c r="H411" s="23" t="s">
        <v>23</v>
      </c>
      <c r="J411" s="23">
        <v>10500</v>
      </c>
      <c r="M411" s="23">
        <f t="shared" ref="M411" si="249">$J$8+D410</f>
        <v>10532</v>
      </c>
    </row>
    <row r="412" spans="2:13">
      <c r="E412" s="4">
        <f t="shared" si="240"/>
        <v>412</v>
      </c>
      <c r="F412" s="9" t="s">
        <v>144</v>
      </c>
      <c r="M412" s="23">
        <v>104000</v>
      </c>
    </row>
    <row r="413" spans="2:13">
      <c r="E413" s="4">
        <f t="shared" si="240"/>
        <v>413</v>
      </c>
      <c r="F413" s="9" t="s">
        <v>126</v>
      </c>
      <c r="G413" s="23">
        <v>10</v>
      </c>
      <c r="H413" s="23">
        <v>8</v>
      </c>
      <c r="I413" s="23" t="s">
        <v>229</v>
      </c>
      <c r="M413" s="23">
        <f t="shared" ref="M413" si="250">G413*D410+$H$10+B410*I413</f>
        <v>325</v>
      </c>
    </row>
    <row r="414" spans="2:13">
      <c r="E414" s="4">
        <f t="shared" si="240"/>
        <v>414</v>
      </c>
      <c r="F414" s="9" t="s">
        <v>35</v>
      </c>
      <c r="M414" s="23">
        <v>1000</v>
      </c>
    </row>
    <row r="415" spans="2:13">
      <c r="E415" s="4">
        <f t="shared" si="240"/>
        <v>415</v>
      </c>
      <c r="F415" s="9" t="s">
        <v>29</v>
      </c>
      <c r="M415" s="23" t="s">
        <v>231</v>
      </c>
    </row>
    <row r="416" spans="2:13">
      <c r="E416" s="4">
        <f t="shared" si="240"/>
        <v>416</v>
      </c>
      <c r="F416" s="9" t="s">
        <v>118</v>
      </c>
      <c r="M416" s="23" t="s">
        <v>232</v>
      </c>
    </row>
    <row r="417" spans="2:13">
      <c r="E417" s="4">
        <f t="shared" si="240"/>
        <v>417</v>
      </c>
      <c r="F417" s="9" t="s">
        <v>114</v>
      </c>
      <c r="M417" s="23" t="b">
        <v>1</v>
      </c>
    </row>
    <row r="418" spans="2:13">
      <c r="E418" s="4">
        <f t="shared" si="240"/>
        <v>418</v>
      </c>
      <c r="F418" s="9" t="s">
        <v>98</v>
      </c>
      <c r="K418" s="9" t="s">
        <v>137</v>
      </c>
      <c r="M418" s="23">
        <v>2</v>
      </c>
    </row>
    <row r="419" spans="2:13">
      <c r="E419" s="4">
        <f t="shared" si="240"/>
        <v>419</v>
      </c>
      <c r="F419" s="9" t="s">
        <v>31</v>
      </c>
      <c r="L419" s="9" t="s">
        <v>135</v>
      </c>
      <c r="M419" s="23" t="s">
        <v>233</v>
      </c>
    </row>
    <row r="420" spans="2:13">
      <c r="E420" s="4">
        <f t="shared" si="240"/>
        <v>420</v>
      </c>
      <c r="F420" s="9" t="s">
        <v>143</v>
      </c>
      <c r="G420" s="23">
        <f t="shared" ref="G420" si="251">G411/2</f>
        <v>7</v>
      </c>
      <c r="H420" s="23">
        <v>-45</v>
      </c>
      <c r="I420" s="23">
        <v>-15</v>
      </c>
      <c r="J420" s="23" t="s">
        <v>234</v>
      </c>
      <c r="L420" s="9" t="s">
        <v>134</v>
      </c>
      <c r="M420" s="23">
        <f t="shared" ref="M420" si="252">IF(MOD(QUOTIENT(SUM(D410)-1,$G$17),2)=0,$G$18+$I$17*MOD(SUM(D410)-1,$G$17),$H$17+$J$17*MOD(SUM(D410)-1,$G$17))</f>
        <v>0</v>
      </c>
    </row>
    <row r="421" spans="2:13">
      <c r="E421" s="4"/>
      <c r="G421" s="23">
        <v>45</v>
      </c>
    </row>
    <row r="422" spans="2:13">
      <c r="E422" s="4">
        <f t="shared" ref="E422" si="253">ROW(E422)</f>
        <v>422</v>
      </c>
      <c r="F422" s="9" t="s">
        <v>30</v>
      </c>
      <c r="G422" s="23">
        <v>4</v>
      </c>
      <c r="H422" s="23">
        <v>0.1</v>
      </c>
      <c r="M422" s="23">
        <f t="shared" ref="M422" si="254">$G$19+$H$19*D410</f>
        <v>7.2</v>
      </c>
    </row>
    <row r="423" spans="2:13">
      <c r="B423" s="22">
        <f t="shared" ref="B423" si="255">QUOTIENT( D423-1,G424)+1</f>
        <v>3</v>
      </c>
      <c r="C423" s="22">
        <f t="shared" ref="C423" si="256">D423-(B423-1)*G424</f>
        <v>5</v>
      </c>
      <c r="D423" s="22">
        <f>COUNT($D$6:$D422)+1</f>
        <v>33</v>
      </c>
      <c r="E423" s="4"/>
    </row>
    <row r="424" spans="2:13">
      <c r="E424" s="4">
        <f t="shared" si="240"/>
        <v>424</v>
      </c>
      <c r="F424" s="9" t="s">
        <v>93</v>
      </c>
      <c r="G424" s="23" t="s">
        <v>44</v>
      </c>
      <c r="H424" s="23" t="s">
        <v>23</v>
      </c>
      <c r="J424" s="23">
        <v>10500</v>
      </c>
      <c r="M424" s="23">
        <f t="shared" ref="M424" si="257">$J$8+D423</f>
        <v>10533</v>
      </c>
    </row>
    <row r="425" spans="2:13">
      <c r="E425" s="4">
        <f t="shared" si="240"/>
        <v>425</v>
      </c>
      <c r="F425" s="9" t="s">
        <v>144</v>
      </c>
      <c r="M425" s="23">
        <v>104000</v>
      </c>
    </row>
    <row r="426" spans="2:13">
      <c r="E426" s="4">
        <f t="shared" si="240"/>
        <v>426</v>
      </c>
      <c r="F426" s="9" t="s">
        <v>126</v>
      </c>
      <c r="G426" s="23">
        <v>10</v>
      </c>
      <c r="H426" s="23">
        <v>8</v>
      </c>
      <c r="I426" s="23" t="s">
        <v>229</v>
      </c>
      <c r="M426" s="23">
        <f t="shared" ref="M426" si="258">G426*D423+$H$10+B423*I426</f>
        <v>335</v>
      </c>
    </row>
    <row r="427" spans="2:13">
      <c r="E427" s="4">
        <f t="shared" si="240"/>
        <v>427</v>
      </c>
      <c r="F427" s="9" t="s">
        <v>35</v>
      </c>
      <c r="M427" s="23">
        <v>1000</v>
      </c>
    </row>
    <row r="428" spans="2:13">
      <c r="E428" s="4">
        <f t="shared" si="240"/>
        <v>428</v>
      </c>
      <c r="F428" s="9" t="s">
        <v>29</v>
      </c>
      <c r="M428" s="23" t="s">
        <v>231</v>
      </c>
    </row>
    <row r="429" spans="2:13">
      <c r="E429" s="4">
        <f t="shared" si="240"/>
        <v>429</v>
      </c>
      <c r="F429" s="9" t="s">
        <v>118</v>
      </c>
      <c r="M429" s="23" t="s">
        <v>232</v>
      </c>
    </row>
    <row r="430" spans="2:13">
      <c r="E430" s="4">
        <f t="shared" si="240"/>
        <v>430</v>
      </c>
      <c r="F430" s="9" t="s">
        <v>114</v>
      </c>
      <c r="M430" s="23" t="b">
        <v>1</v>
      </c>
    </row>
    <row r="431" spans="2:13">
      <c r="E431" s="4">
        <f t="shared" si="240"/>
        <v>431</v>
      </c>
      <c r="F431" s="9" t="s">
        <v>98</v>
      </c>
      <c r="K431" s="9" t="s">
        <v>137</v>
      </c>
      <c r="M431" s="23">
        <v>2</v>
      </c>
    </row>
    <row r="432" spans="2:13">
      <c r="E432" s="4">
        <f t="shared" si="240"/>
        <v>432</v>
      </c>
      <c r="F432" s="9" t="s">
        <v>31</v>
      </c>
      <c r="L432" s="9" t="s">
        <v>135</v>
      </c>
      <c r="M432" s="23" t="s">
        <v>233</v>
      </c>
    </row>
    <row r="433" spans="2:13">
      <c r="E433" s="4">
        <f t="shared" si="240"/>
        <v>433</v>
      </c>
      <c r="F433" s="9" t="s">
        <v>143</v>
      </c>
      <c r="G433" s="23">
        <f t="shared" ref="G433" si="259">G424/2</f>
        <v>7</v>
      </c>
      <c r="H433" s="23">
        <v>-45</v>
      </c>
      <c r="I433" s="23">
        <v>-15</v>
      </c>
      <c r="J433" s="23" t="s">
        <v>234</v>
      </c>
      <c r="L433" s="9" t="s">
        <v>134</v>
      </c>
      <c r="M433" s="23">
        <f t="shared" ref="M433" si="260">IF(MOD(QUOTIENT(SUM(D423)-1,$G$17),2)=0,$G$18+$I$17*MOD(SUM(D423)-1,$G$17),$H$17+$J$17*MOD(SUM(D423)-1,$G$17))</f>
        <v>-15</v>
      </c>
    </row>
    <row r="434" spans="2:13">
      <c r="E434" s="4"/>
      <c r="G434" s="23">
        <v>45</v>
      </c>
    </row>
    <row r="435" spans="2:13">
      <c r="E435" s="4">
        <f t="shared" ref="E435" si="261">ROW(E435)</f>
        <v>435</v>
      </c>
      <c r="F435" s="9" t="s">
        <v>30</v>
      </c>
      <c r="G435" s="23">
        <v>4</v>
      </c>
      <c r="H435" s="23">
        <v>0.1</v>
      </c>
      <c r="M435" s="23">
        <f t="shared" ref="M435" si="262">$G$19+$H$19*D423</f>
        <v>7.3000000000000007</v>
      </c>
    </row>
    <row r="436" spans="2:13">
      <c r="B436" s="22">
        <f t="shared" ref="B436" si="263">QUOTIENT( D436-1,G437)+1</f>
        <v>3</v>
      </c>
      <c r="C436" s="22">
        <f t="shared" ref="C436" si="264">D436-(B436-1)*G437</f>
        <v>6</v>
      </c>
      <c r="D436" s="22">
        <f>COUNT($D$6:$D435)+1</f>
        <v>34</v>
      </c>
      <c r="E436" s="4"/>
    </row>
    <row r="437" spans="2:13">
      <c r="E437" s="4">
        <f t="shared" si="240"/>
        <v>437</v>
      </c>
      <c r="F437" s="9" t="s">
        <v>93</v>
      </c>
      <c r="G437" s="23" t="s">
        <v>44</v>
      </c>
      <c r="H437" s="23" t="s">
        <v>23</v>
      </c>
      <c r="J437" s="23">
        <v>10500</v>
      </c>
      <c r="M437" s="23">
        <f t="shared" ref="M437" si="265">$J$8+D436</f>
        <v>10534</v>
      </c>
    </row>
    <row r="438" spans="2:13">
      <c r="E438" s="4">
        <f t="shared" si="240"/>
        <v>438</v>
      </c>
      <c r="F438" s="9" t="s">
        <v>144</v>
      </c>
      <c r="M438" s="23">
        <v>104000</v>
      </c>
    </row>
    <row r="439" spans="2:13">
      <c r="E439" s="4">
        <f t="shared" si="240"/>
        <v>439</v>
      </c>
      <c r="F439" s="9" t="s">
        <v>126</v>
      </c>
      <c r="G439" s="23">
        <v>10</v>
      </c>
      <c r="H439" s="23">
        <v>8</v>
      </c>
      <c r="I439" s="23" t="s">
        <v>229</v>
      </c>
      <c r="M439" s="23">
        <f t="shared" ref="M439" si="266">G439*D436+$H$10+B436*I439</f>
        <v>345</v>
      </c>
    </row>
    <row r="440" spans="2:13">
      <c r="E440" s="4">
        <f t="shared" si="240"/>
        <v>440</v>
      </c>
      <c r="F440" s="9" t="s">
        <v>35</v>
      </c>
      <c r="M440" s="23">
        <v>1000</v>
      </c>
    </row>
    <row r="441" spans="2:13">
      <c r="E441" s="4">
        <f t="shared" si="240"/>
        <v>441</v>
      </c>
      <c r="F441" s="9" t="s">
        <v>29</v>
      </c>
      <c r="M441" s="23" t="s">
        <v>231</v>
      </c>
    </row>
    <row r="442" spans="2:13">
      <c r="E442" s="4">
        <f t="shared" si="240"/>
        <v>442</v>
      </c>
      <c r="F442" s="9" t="s">
        <v>118</v>
      </c>
      <c r="M442" s="23" t="s">
        <v>232</v>
      </c>
    </row>
    <row r="443" spans="2:13">
      <c r="E443" s="4">
        <f t="shared" si="240"/>
        <v>443</v>
      </c>
      <c r="F443" s="9" t="s">
        <v>114</v>
      </c>
      <c r="M443" s="23" t="b">
        <v>1</v>
      </c>
    </row>
    <row r="444" spans="2:13">
      <c r="E444" s="4">
        <f t="shared" si="240"/>
        <v>444</v>
      </c>
      <c r="F444" s="9" t="s">
        <v>98</v>
      </c>
      <c r="K444" s="9" t="s">
        <v>137</v>
      </c>
      <c r="M444" s="23">
        <v>2</v>
      </c>
    </row>
    <row r="445" spans="2:13">
      <c r="E445" s="4">
        <f t="shared" si="240"/>
        <v>445</v>
      </c>
      <c r="F445" s="9" t="s">
        <v>31</v>
      </c>
      <c r="L445" s="9" t="s">
        <v>135</v>
      </c>
      <c r="M445" s="23" t="s">
        <v>233</v>
      </c>
    </row>
    <row r="446" spans="2:13">
      <c r="E446" s="4">
        <f t="shared" si="240"/>
        <v>446</v>
      </c>
      <c r="F446" s="9" t="s">
        <v>143</v>
      </c>
      <c r="G446" s="23">
        <f t="shared" ref="G446" si="267">G437/2</f>
        <v>7</v>
      </c>
      <c r="H446" s="23">
        <v>-45</v>
      </c>
      <c r="I446" s="23">
        <v>-15</v>
      </c>
      <c r="J446" s="23" t="s">
        <v>234</v>
      </c>
      <c r="L446" s="9" t="s">
        <v>134</v>
      </c>
      <c r="M446" s="23">
        <f t="shared" ref="M446" si="268">IF(MOD(QUOTIENT(SUM(D436)-1,$G$17),2)=0,$G$18+$I$17*MOD(SUM(D436)-1,$G$17),$H$17+$J$17*MOD(SUM(D436)-1,$G$17))</f>
        <v>-30</v>
      </c>
    </row>
    <row r="447" spans="2:13">
      <c r="E447" s="4"/>
      <c r="G447" s="23">
        <v>45</v>
      </c>
    </row>
    <row r="448" spans="2:13">
      <c r="E448" s="4">
        <f t="shared" ref="E448" si="269">ROW(E448)</f>
        <v>448</v>
      </c>
      <c r="F448" s="9" t="s">
        <v>30</v>
      </c>
      <c r="G448" s="23">
        <v>4</v>
      </c>
      <c r="H448" s="23">
        <v>0.1</v>
      </c>
      <c r="M448" s="23">
        <f t="shared" ref="M448" si="270">$G$19+$H$19*D436</f>
        <v>7.4</v>
      </c>
    </row>
    <row r="449" spans="2:13">
      <c r="B449" s="22">
        <f t="shared" ref="B449" si="271">QUOTIENT( D449-1,G450)+1</f>
        <v>3</v>
      </c>
      <c r="C449" s="22">
        <f t="shared" ref="C449" si="272">D449-(B449-1)*G450</f>
        <v>7</v>
      </c>
      <c r="D449" s="22">
        <f>COUNT($D$6:$D448)+1</f>
        <v>35</v>
      </c>
      <c r="E449" s="4"/>
    </row>
    <row r="450" spans="2:13">
      <c r="E450" s="4">
        <f t="shared" si="240"/>
        <v>450</v>
      </c>
      <c r="F450" s="9" t="s">
        <v>93</v>
      </c>
      <c r="G450" s="23" t="s">
        <v>44</v>
      </c>
      <c r="H450" s="23" t="s">
        <v>23</v>
      </c>
      <c r="J450" s="23">
        <v>10500</v>
      </c>
      <c r="M450" s="23">
        <f t="shared" ref="M450" si="273">$J$8+D449</f>
        <v>10535</v>
      </c>
    </row>
    <row r="451" spans="2:13">
      <c r="E451" s="4">
        <f t="shared" si="240"/>
        <v>451</v>
      </c>
      <c r="F451" s="9" t="s">
        <v>144</v>
      </c>
      <c r="M451" s="23">
        <v>104000</v>
      </c>
    </row>
    <row r="452" spans="2:13">
      <c r="E452" s="4">
        <f t="shared" si="240"/>
        <v>452</v>
      </c>
      <c r="F452" s="9" t="s">
        <v>126</v>
      </c>
      <c r="G452" s="23">
        <v>10</v>
      </c>
      <c r="H452" s="23">
        <v>8</v>
      </c>
      <c r="I452" s="23" t="s">
        <v>229</v>
      </c>
      <c r="M452" s="23">
        <f t="shared" ref="M452" si="274">G452*D449+$H$10+B449*I452</f>
        <v>355</v>
      </c>
    </row>
    <row r="453" spans="2:13">
      <c r="E453" s="4">
        <f t="shared" si="240"/>
        <v>453</v>
      </c>
      <c r="F453" s="9" t="s">
        <v>35</v>
      </c>
      <c r="M453" s="23">
        <v>1000</v>
      </c>
    </row>
    <row r="454" spans="2:13">
      <c r="E454" s="4">
        <f t="shared" si="240"/>
        <v>454</v>
      </c>
      <c r="F454" s="9" t="s">
        <v>29</v>
      </c>
      <c r="M454" s="23" t="s">
        <v>231</v>
      </c>
    </row>
    <row r="455" spans="2:13">
      <c r="E455" s="4">
        <f t="shared" si="240"/>
        <v>455</v>
      </c>
      <c r="F455" s="9" t="s">
        <v>118</v>
      </c>
      <c r="M455" s="23" t="s">
        <v>232</v>
      </c>
    </row>
    <row r="456" spans="2:13">
      <c r="E456" s="4">
        <f t="shared" si="240"/>
        <v>456</v>
      </c>
      <c r="F456" s="9" t="s">
        <v>114</v>
      </c>
      <c r="M456" s="23" t="b">
        <v>1</v>
      </c>
    </row>
    <row r="457" spans="2:13">
      <c r="E457" s="4">
        <f t="shared" si="240"/>
        <v>457</v>
      </c>
      <c r="F457" s="9" t="s">
        <v>98</v>
      </c>
      <c r="K457" s="9" t="s">
        <v>137</v>
      </c>
      <c r="M457" s="23">
        <v>2</v>
      </c>
    </row>
    <row r="458" spans="2:13">
      <c r="E458" s="4">
        <f t="shared" si="240"/>
        <v>458</v>
      </c>
      <c r="F458" s="9" t="s">
        <v>31</v>
      </c>
      <c r="L458" s="9" t="s">
        <v>135</v>
      </c>
      <c r="M458" s="23" t="s">
        <v>233</v>
      </c>
    </row>
    <row r="459" spans="2:13">
      <c r="E459" s="4">
        <f t="shared" si="240"/>
        <v>459</v>
      </c>
      <c r="F459" s="9" t="s">
        <v>143</v>
      </c>
      <c r="G459" s="23">
        <f t="shared" ref="G459" si="275">G450/2</f>
        <v>7</v>
      </c>
      <c r="H459" s="23">
        <v>-45</v>
      </c>
      <c r="I459" s="23">
        <v>-15</v>
      </c>
      <c r="J459" s="23" t="s">
        <v>234</v>
      </c>
      <c r="L459" s="9" t="s">
        <v>134</v>
      </c>
      <c r="M459" s="23">
        <f t="shared" ref="M459" si="276">IF(MOD(QUOTIENT(SUM(D449)-1,$G$17),2)=0,$G$18+$I$17*MOD(SUM(D449)-1,$G$17),$H$17+$J$17*MOD(SUM(D449)-1,$G$17))</f>
        <v>-45</v>
      </c>
    </row>
    <row r="460" spans="2:13">
      <c r="E460" s="4"/>
      <c r="G460" s="23">
        <v>45</v>
      </c>
    </row>
    <row r="461" spans="2:13">
      <c r="E461" s="4">
        <f t="shared" ref="E461" si="277">ROW(E461)</f>
        <v>461</v>
      </c>
      <c r="F461" s="9" t="s">
        <v>30</v>
      </c>
      <c r="G461" s="23">
        <v>4</v>
      </c>
      <c r="H461" s="23">
        <v>0.1</v>
      </c>
      <c r="M461" s="23">
        <f t="shared" ref="M461" si="278">$G$19+$H$19*D449</f>
        <v>7.5</v>
      </c>
    </row>
    <row r="462" spans="2:13">
      <c r="B462" s="22">
        <f t="shared" ref="B462" si="279">QUOTIENT( D462-1,G463)+1</f>
        <v>3</v>
      </c>
      <c r="C462" s="22">
        <f t="shared" ref="C462" si="280">D462-(B462-1)*G463</f>
        <v>8</v>
      </c>
      <c r="D462" s="22">
        <f>COUNT($D$6:$D461)+1</f>
        <v>36</v>
      </c>
      <c r="E462" s="4"/>
    </row>
    <row r="463" spans="2:13">
      <c r="E463" s="4">
        <f t="shared" ref="E463:E524" si="281">ROW(E463)</f>
        <v>463</v>
      </c>
      <c r="F463" s="9" t="s">
        <v>93</v>
      </c>
      <c r="G463" s="23" t="s">
        <v>44</v>
      </c>
      <c r="H463" s="23" t="s">
        <v>23</v>
      </c>
      <c r="J463" s="23">
        <v>10500</v>
      </c>
      <c r="M463" s="23">
        <f t="shared" ref="M463" si="282">$J$8+D462</f>
        <v>10536</v>
      </c>
    </row>
    <row r="464" spans="2:13">
      <c r="E464" s="4">
        <f t="shared" si="281"/>
        <v>464</v>
      </c>
      <c r="F464" s="9" t="s">
        <v>144</v>
      </c>
      <c r="M464" s="23">
        <v>104000</v>
      </c>
    </row>
    <row r="465" spans="2:13">
      <c r="E465" s="4">
        <f t="shared" si="281"/>
        <v>465</v>
      </c>
      <c r="F465" s="9" t="s">
        <v>126</v>
      </c>
      <c r="G465" s="23">
        <v>10</v>
      </c>
      <c r="H465" s="23">
        <v>8</v>
      </c>
      <c r="I465" s="23" t="s">
        <v>229</v>
      </c>
      <c r="M465" s="23">
        <f t="shared" ref="M465" si="283">G465*D462+$H$10+B462*I465</f>
        <v>365</v>
      </c>
    </row>
    <row r="466" spans="2:13">
      <c r="E466" s="4">
        <f t="shared" si="281"/>
        <v>466</v>
      </c>
      <c r="F466" s="9" t="s">
        <v>35</v>
      </c>
      <c r="M466" s="23">
        <v>1000</v>
      </c>
    </row>
    <row r="467" spans="2:13">
      <c r="E467" s="4">
        <f t="shared" si="281"/>
        <v>467</v>
      </c>
      <c r="F467" s="9" t="s">
        <v>29</v>
      </c>
      <c r="M467" s="23" t="s">
        <v>231</v>
      </c>
    </row>
    <row r="468" spans="2:13">
      <c r="E468" s="4">
        <f t="shared" si="281"/>
        <v>468</v>
      </c>
      <c r="F468" s="9" t="s">
        <v>118</v>
      </c>
      <c r="M468" s="23" t="s">
        <v>232</v>
      </c>
    </row>
    <row r="469" spans="2:13">
      <c r="E469" s="4">
        <f t="shared" si="281"/>
        <v>469</v>
      </c>
      <c r="F469" s="9" t="s">
        <v>114</v>
      </c>
      <c r="M469" s="23" t="b">
        <v>1</v>
      </c>
    </row>
    <row r="470" spans="2:13">
      <c r="E470" s="4">
        <f t="shared" si="281"/>
        <v>470</v>
      </c>
      <c r="F470" s="9" t="s">
        <v>98</v>
      </c>
      <c r="K470" s="9" t="s">
        <v>137</v>
      </c>
      <c r="M470" s="23">
        <v>2</v>
      </c>
    </row>
    <row r="471" spans="2:13">
      <c r="E471" s="4">
        <f t="shared" si="281"/>
        <v>471</v>
      </c>
      <c r="F471" s="9" t="s">
        <v>31</v>
      </c>
      <c r="L471" s="9" t="s">
        <v>135</v>
      </c>
      <c r="M471" s="23" t="s">
        <v>233</v>
      </c>
    </row>
    <row r="472" spans="2:13">
      <c r="E472" s="4">
        <f t="shared" si="281"/>
        <v>472</v>
      </c>
      <c r="F472" s="9" t="s">
        <v>143</v>
      </c>
      <c r="G472" s="23">
        <f t="shared" ref="G472" si="284">G463/2</f>
        <v>7</v>
      </c>
      <c r="H472" s="23">
        <v>-45</v>
      </c>
      <c r="I472" s="23">
        <v>-15</v>
      </c>
      <c r="J472" s="23" t="s">
        <v>234</v>
      </c>
      <c r="L472" s="9" t="s">
        <v>134</v>
      </c>
      <c r="M472" s="23">
        <f t="shared" ref="M472" si="285">IF(MOD(QUOTIENT(SUM(D462)-1,$G$17),2)=0,$G$18+$I$17*MOD(SUM(D462)-1,$G$17),$H$17+$J$17*MOD(SUM(D462)-1,$G$17))</f>
        <v>-45</v>
      </c>
    </row>
    <row r="473" spans="2:13">
      <c r="E473" s="4"/>
      <c r="G473" s="23">
        <v>45</v>
      </c>
    </row>
    <row r="474" spans="2:13">
      <c r="E474" s="4">
        <f t="shared" ref="E474" si="286">ROW(E474)</f>
        <v>474</v>
      </c>
      <c r="F474" s="9" t="s">
        <v>30</v>
      </c>
      <c r="G474" s="23">
        <v>4</v>
      </c>
      <c r="H474" s="23">
        <v>0.1</v>
      </c>
      <c r="M474" s="23">
        <f t="shared" ref="M474" si="287">$G$19+$H$19*D462</f>
        <v>7.6</v>
      </c>
    </row>
    <row r="475" spans="2:13">
      <c r="B475" s="22">
        <f t="shared" ref="B475" si="288">QUOTIENT( D475-1,G476)+1</f>
        <v>3</v>
      </c>
      <c r="C475" s="22">
        <f t="shared" ref="C475" si="289">D475-(B475-1)*G476</f>
        <v>9</v>
      </c>
      <c r="D475" s="22">
        <f>COUNT($D$6:$D474)+1</f>
        <v>37</v>
      </c>
      <c r="E475" s="4"/>
    </row>
    <row r="476" spans="2:13">
      <c r="E476" s="4">
        <f t="shared" si="281"/>
        <v>476</v>
      </c>
      <c r="F476" s="9" t="s">
        <v>93</v>
      </c>
      <c r="G476" s="23" t="s">
        <v>44</v>
      </c>
      <c r="H476" s="23" t="s">
        <v>23</v>
      </c>
      <c r="J476" s="23">
        <v>10500</v>
      </c>
      <c r="M476" s="23">
        <f t="shared" ref="M476" si="290">$J$8+D475</f>
        <v>10537</v>
      </c>
    </row>
    <row r="477" spans="2:13">
      <c r="E477" s="4">
        <f t="shared" si="281"/>
        <v>477</v>
      </c>
      <c r="F477" s="9" t="s">
        <v>144</v>
      </c>
      <c r="M477" s="23">
        <v>104000</v>
      </c>
    </row>
    <row r="478" spans="2:13">
      <c r="E478" s="4">
        <f t="shared" si="281"/>
        <v>478</v>
      </c>
      <c r="F478" s="9" t="s">
        <v>126</v>
      </c>
      <c r="G478" s="23">
        <v>10</v>
      </c>
      <c r="H478" s="23">
        <v>8</v>
      </c>
      <c r="I478" s="23" t="s">
        <v>229</v>
      </c>
      <c r="M478" s="23">
        <f t="shared" ref="M478" si="291">G478*D475+$H$10+B475*I478</f>
        <v>375</v>
      </c>
    </row>
    <row r="479" spans="2:13">
      <c r="E479" s="4">
        <f t="shared" si="281"/>
        <v>479</v>
      </c>
      <c r="F479" s="9" t="s">
        <v>35</v>
      </c>
      <c r="M479" s="23">
        <v>1000</v>
      </c>
    </row>
    <row r="480" spans="2:13">
      <c r="E480" s="4">
        <f t="shared" si="281"/>
        <v>480</v>
      </c>
      <c r="F480" s="9" t="s">
        <v>29</v>
      </c>
      <c r="M480" s="23" t="s">
        <v>231</v>
      </c>
    </row>
    <row r="481" spans="2:13">
      <c r="E481" s="4">
        <f t="shared" si="281"/>
        <v>481</v>
      </c>
      <c r="F481" s="9" t="s">
        <v>118</v>
      </c>
      <c r="M481" s="23" t="s">
        <v>232</v>
      </c>
    </row>
    <row r="482" spans="2:13">
      <c r="E482" s="4">
        <f t="shared" si="281"/>
        <v>482</v>
      </c>
      <c r="F482" s="9" t="s">
        <v>114</v>
      </c>
      <c r="M482" s="23" t="b">
        <v>1</v>
      </c>
    </row>
    <row r="483" spans="2:13">
      <c r="E483" s="4">
        <f t="shared" si="281"/>
        <v>483</v>
      </c>
      <c r="F483" s="9" t="s">
        <v>98</v>
      </c>
      <c r="K483" s="9" t="s">
        <v>137</v>
      </c>
      <c r="M483" s="23">
        <v>2</v>
      </c>
    </row>
    <row r="484" spans="2:13">
      <c r="E484" s="4">
        <f t="shared" si="281"/>
        <v>484</v>
      </c>
      <c r="F484" s="9" t="s">
        <v>31</v>
      </c>
      <c r="L484" s="9" t="s">
        <v>135</v>
      </c>
      <c r="M484" s="23" t="s">
        <v>233</v>
      </c>
    </row>
    <row r="485" spans="2:13">
      <c r="E485" s="4">
        <f t="shared" si="281"/>
        <v>485</v>
      </c>
      <c r="F485" s="9" t="s">
        <v>143</v>
      </c>
      <c r="G485" s="23">
        <f t="shared" ref="G485" si="292">G476/2</f>
        <v>7</v>
      </c>
      <c r="H485" s="23">
        <v>-45</v>
      </c>
      <c r="I485" s="23">
        <v>-15</v>
      </c>
      <c r="J485" s="23" t="s">
        <v>234</v>
      </c>
      <c r="L485" s="9" t="s">
        <v>134</v>
      </c>
      <c r="M485" s="23">
        <f t="shared" ref="M485" si="293">IF(MOD(QUOTIENT(SUM(D475)-1,$G$17),2)=0,$G$18+$I$17*MOD(SUM(D475)-1,$G$17),$H$17+$J$17*MOD(SUM(D475)-1,$G$17))</f>
        <v>-30</v>
      </c>
    </row>
    <row r="486" spans="2:13">
      <c r="E486" s="4"/>
      <c r="G486" s="23">
        <v>45</v>
      </c>
    </row>
    <row r="487" spans="2:13">
      <c r="E487" s="4">
        <f t="shared" ref="E487" si="294">ROW(E487)</f>
        <v>487</v>
      </c>
      <c r="F487" s="9" t="s">
        <v>30</v>
      </c>
      <c r="G487" s="23">
        <v>4</v>
      </c>
      <c r="H487" s="23">
        <v>0.1</v>
      </c>
      <c r="M487" s="23">
        <f t="shared" ref="M487" si="295">$G$19+$H$19*D475</f>
        <v>7.7</v>
      </c>
    </row>
    <row r="488" spans="2:13">
      <c r="B488" s="22">
        <f t="shared" ref="B488" si="296">QUOTIENT( D488-1,G489)+1</f>
        <v>3</v>
      </c>
      <c r="C488" s="22">
        <f t="shared" ref="C488" si="297">D488-(B488-1)*G489</f>
        <v>10</v>
      </c>
      <c r="D488" s="22">
        <f>COUNT($D$6:$D487)+1</f>
        <v>38</v>
      </c>
      <c r="E488" s="4"/>
    </row>
    <row r="489" spans="2:13">
      <c r="E489" s="4">
        <f t="shared" si="281"/>
        <v>489</v>
      </c>
      <c r="F489" s="9" t="s">
        <v>93</v>
      </c>
      <c r="G489" s="23" t="s">
        <v>44</v>
      </c>
      <c r="H489" s="23" t="s">
        <v>23</v>
      </c>
      <c r="J489" s="23">
        <v>10500</v>
      </c>
      <c r="M489" s="23">
        <f t="shared" ref="M489" si="298">$J$8+D488</f>
        <v>10538</v>
      </c>
    </row>
    <row r="490" spans="2:13">
      <c r="E490" s="4">
        <f t="shared" si="281"/>
        <v>490</v>
      </c>
      <c r="F490" s="9" t="s">
        <v>144</v>
      </c>
      <c r="M490" s="23">
        <v>104000</v>
      </c>
    </row>
    <row r="491" spans="2:13">
      <c r="E491" s="4">
        <f t="shared" si="281"/>
        <v>491</v>
      </c>
      <c r="F491" s="9" t="s">
        <v>126</v>
      </c>
      <c r="G491" s="23">
        <v>10</v>
      </c>
      <c r="H491" s="23">
        <v>8</v>
      </c>
      <c r="I491" s="23" t="s">
        <v>229</v>
      </c>
      <c r="M491" s="23">
        <f t="shared" ref="M491" si="299">G491*D488+$H$10+B488*I491</f>
        <v>385</v>
      </c>
    </row>
    <row r="492" spans="2:13">
      <c r="E492" s="4">
        <f t="shared" si="281"/>
        <v>492</v>
      </c>
      <c r="F492" s="9" t="s">
        <v>35</v>
      </c>
      <c r="M492" s="23">
        <v>1000</v>
      </c>
    </row>
    <row r="493" spans="2:13">
      <c r="E493" s="4">
        <f t="shared" si="281"/>
        <v>493</v>
      </c>
      <c r="F493" s="9" t="s">
        <v>29</v>
      </c>
      <c r="M493" s="23" t="s">
        <v>231</v>
      </c>
    </row>
    <row r="494" spans="2:13">
      <c r="E494" s="4">
        <f t="shared" si="281"/>
        <v>494</v>
      </c>
      <c r="F494" s="9" t="s">
        <v>118</v>
      </c>
      <c r="M494" s="23" t="s">
        <v>232</v>
      </c>
    </row>
    <row r="495" spans="2:13">
      <c r="E495" s="4">
        <f t="shared" si="281"/>
        <v>495</v>
      </c>
      <c r="F495" s="9" t="s">
        <v>114</v>
      </c>
      <c r="M495" s="23" t="b">
        <v>1</v>
      </c>
    </row>
    <row r="496" spans="2:13">
      <c r="E496" s="4">
        <f t="shared" si="281"/>
        <v>496</v>
      </c>
      <c r="F496" s="9" t="s">
        <v>98</v>
      </c>
      <c r="K496" s="9" t="s">
        <v>137</v>
      </c>
      <c r="M496" s="23">
        <v>2</v>
      </c>
    </row>
    <row r="497" spans="2:13">
      <c r="E497" s="4">
        <f t="shared" si="281"/>
        <v>497</v>
      </c>
      <c r="F497" s="9" t="s">
        <v>31</v>
      </c>
      <c r="L497" s="9" t="s">
        <v>135</v>
      </c>
      <c r="M497" s="23" t="s">
        <v>233</v>
      </c>
    </row>
    <row r="498" spans="2:13">
      <c r="E498" s="4">
        <f t="shared" si="281"/>
        <v>498</v>
      </c>
      <c r="F498" s="9" t="s">
        <v>143</v>
      </c>
      <c r="G498" s="23">
        <f t="shared" ref="G498" si="300">G489/2</f>
        <v>7</v>
      </c>
      <c r="H498" s="23">
        <v>-45</v>
      </c>
      <c r="I498" s="23">
        <v>-15</v>
      </c>
      <c r="J498" s="23" t="s">
        <v>234</v>
      </c>
      <c r="L498" s="9" t="s">
        <v>134</v>
      </c>
      <c r="M498" s="23">
        <f t="shared" ref="M498" si="301">IF(MOD(QUOTIENT(SUM(D488)-1,$G$17),2)=0,$G$18+$I$17*MOD(SUM(D488)-1,$G$17),$H$17+$J$17*MOD(SUM(D488)-1,$G$17))</f>
        <v>-15</v>
      </c>
    </row>
    <row r="499" spans="2:13">
      <c r="E499" s="4"/>
      <c r="G499" s="23">
        <v>45</v>
      </c>
    </row>
    <row r="500" spans="2:13">
      <c r="E500" s="4">
        <f t="shared" ref="E500" si="302">ROW(E500)</f>
        <v>500</v>
      </c>
      <c r="F500" s="9" t="s">
        <v>30</v>
      </c>
      <c r="G500" s="23">
        <v>4</v>
      </c>
      <c r="H500" s="23">
        <v>0.1</v>
      </c>
      <c r="M500" s="23">
        <f t="shared" ref="M500" si="303">$G$19+$H$19*D488</f>
        <v>7.8000000000000007</v>
      </c>
    </row>
    <row r="501" spans="2:13">
      <c r="B501" s="22">
        <f t="shared" ref="B501" si="304">QUOTIENT( D501-1,G502)+1</f>
        <v>3</v>
      </c>
      <c r="C501" s="22">
        <f t="shared" ref="C501" si="305">D501-(B501-1)*G502</f>
        <v>11</v>
      </c>
      <c r="D501" s="22">
        <f>COUNT($D$6:$D500)+1</f>
        <v>39</v>
      </c>
      <c r="E501" s="4"/>
    </row>
    <row r="502" spans="2:13">
      <c r="E502" s="4">
        <f t="shared" si="281"/>
        <v>502</v>
      </c>
      <c r="F502" s="9" t="s">
        <v>93</v>
      </c>
      <c r="G502" s="23" t="s">
        <v>44</v>
      </c>
      <c r="H502" s="23" t="s">
        <v>23</v>
      </c>
      <c r="J502" s="23">
        <v>10500</v>
      </c>
      <c r="M502" s="23">
        <f t="shared" ref="M502" si="306">$J$8+D501</f>
        <v>10539</v>
      </c>
    </row>
    <row r="503" spans="2:13">
      <c r="E503" s="4">
        <f t="shared" si="281"/>
        <v>503</v>
      </c>
      <c r="F503" s="9" t="s">
        <v>144</v>
      </c>
      <c r="M503" s="23">
        <v>104000</v>
      </c>
    </row>
    <row r="504" spans="2:13">
      <c r="E504" s="4">
        <f t="shared" si="281"/>
        <v>504</v>
      </c>
      <c r="F504" s="9" t="s">
        <v>126</v>
      </c>
      <c r="G504" s="23">
        <v>10</v>
      </c>
      <c r="H504" s="23">
        <v>8</v>
      </c>
      <c r="I504" s="23" t="s">
        <v>229</v>
      </c>
      <c r="M504" s="23">
        <f t="shared" ref="M504" si="307">G504*D501+$H$10+B501*I504</f>
        <v>395</v>
      </c>
    </row>
    <row r="505" spans="2:13">
      <c r="E505" s="4">
        <f t="shared" si="281"/>
        <v>505</v>
      </c>
      <c r="F505" s="9" t="s">
        <v>35</v>
      </c>
      <c r="M505" s="23">
        <v>1000</v>
      </c>
    </row>
    <row r="506" spans="2:13">
      <c r="E506" s="4">
        <f t="shared" si="281"/>
        <v>506</v>
      </c>
      <c r="F506" s="9" t="s">
        <v>29</v>
      </c>
      <c r="M506" s="23" t="s">
        <v>231</v>
      </c>
    </row>
    <row r="507" spans="2:13">
      <c r="E507" s="4">
        <f t="shared" si="281"/>
        <v>507</v>
      </c>
      <c r="F507" s="9" t="s">
        <v>118</v>
      </c>
      <c r="M507" s="23" t="s">
        <v>232</v>
      </c>
    </row>
    <row r="508" spans="2:13">
      <c r="E508" s="4">
        <f t="shared" si="281"/>
        <v>508</v>
      </c>
      <c r="F508" s="9" t="s">
        <v>114</v>
      </c>
      <c r="M508" s="23" t="b">
        <v>1</v>
      </c>
    </row>
    <row r="509" spans="2:13">
      <c r="E509" s="4">
        <f t="shared" si="281"/>
        <v>509</v>
      </c>
      <c r="F509" s="9" t="s">
        <v>98</v>
      </c>
      <c r="K509" s="9" t="s">
        <v>137</v>
      </c>
      <c r="M509" s="23">
        <v>2</v>
      </c>
    </row>
    <row r="510" spans="2:13">
      <c r="E510" s="4">
        <f t="shared" si="281"/>
        <v>510</v>
      </c>
      <c r="F510" s="9" t="s">
        <v>31</v>
      </c>
      <c r="L510" s="9" t="s">
        <v>135</v>
      </c>
      <c r="M510" s="23" t="s">
        <v>233</v>
      </c>
    </row>
    <row r="511" spans="2:13">
      <c r="E511" s="4">
        <f t="shared" si="281"/>
        <v>511</v>
      </c>
      <c r="F511" s="9" t="s">
        <v>143</v>
      </c>
      <c r="G511" s="23">
        <f t="shared" ref="G511" si="308">G502/2</f>
        <v>7</v>
      </c>
      <c r="H511" s="23">
        <v>-45</v>
      </c>
      <c r="I511" s="23">
        <v>-15</v>
      </c>
      <c r="J511" s="23" t="s">
        <v>234</v>
      </c>
      <c r="L511" s="9" t="s">
        <v>134</v>
      </c>
      <c r="M511" s="23">
        <f t="shared" ref="M511" si="309">IF(MOD(QUOTIENT(SUM(D501)-1,$G$17),2)=0,$G$18+$I$17*MOD(SUM(D501)-1,$G$17),$H$17+$J$17*MOD(SUM(D501)-1,$G$17))</f>
        <v>0</v>
      </c>
    </row>
    <row r="512" spans="2:13">
      <c r="E512" s="4"/>
      <c r="G512" s="23">
        <v>45</v>
      </c>
    </row>
    <row r="513" spans="2:13">
      <c r="E513" s="4">
        <f t="shared" ref="E513" si="310">ROW(E513)</f>
        <v>513</v>
      </c>
      <c r="F513" s="9" t="s">
        <v>30</v>
      </c>
      <c r="G513" s="23">
        <v>4</v>
      </c>
      <c r="H513" s="23">
        <v>0.1</v>
      </c>
      <c r="M513" s="23">
        <f t="shared" ref="M513" si="311">$G$19+$H$19*D501</f>
        <v>7.9</v>
      </c>
    </row>
    <row r="514" spans="2:13">
      <c r="B514" s="22">
        <f t="shared" ref="B514" si="312">QUOTIENT( D514-1,G515)+1</f>
        <v>3</v>
      </c>
      <c r="C514" s="22">
        <f t="shared" ref="C514" si="313">D514-(B514-1)*G515</f>
        <v>12</v>
      </c>
      <c r="D514" s="22">
        <f>COUNT($D$6:$D513)+1</f>
        <v>40</v>
      </c>
      <c r="E514" s="4"/>
    </row>
    <row r="515" spans="2:13">
      <c r="E515" s="4">
        <f t="shared" si="281"/>
        <v>515</v>
      </c>
      <c r="F515" s="9" t="s">
        <v>93</v>
      </c>
      <c r="G515" s="23" t="s">
        <v>44</v>
      </c>
      <c r="H515" s="23" t="s">
        <v>23</v>
      </c>
      <c r="J515" s="23">
        <v>10500</v>
      </c>
      <c r="M515" s="23">
        <f t="shared" ref="M515" si="314">$J$8+D514</f>
        <v>10540</v>
      </c>
    </row>
    <row r="516" spans="2:13">
      <c r="E516" s="4">
        <f t="shared" si="281"/>
        <v>516</v>
      </c>
      <c r="F516" s="9" t="s">
        <v>144</v>
      </c>
      <c r="M516" s="23">
        <v>104000</v>
      </c>
    </row>
    <row r="517" spans="2:13">
      <c r="E517" s="4">
        <f t="shared" si="281"/>
        <v>517</v>
      </c>
      <c r="F517" s="9" t="s">
        <v>126</v>
      </c>
      <c r="G517" s="23">
        <v>10</v>
      </c>
      <c r="H517" s="23">
        <v>8</v>
      </c>
      <c r="I517" s="23" t="s">
        <v>229</v>
      </c>
      <c r="M517" s="23">
        <f t="shared" ref="M517" si="315">G517*D514+$H$10+B514*I517</f>
        <v>405</v>
      </c>
    </row>
    <row r="518" spans="2:13">
      <c r="E518" s="4">
        <f t="shared" si="281"/>
        <v>518</v>
      </c>
      <c r="F518" s="9" t="s">
        <v>35</v>
      </c>
      <c r="M518" s="23">
        <v>1000</v>
      </c>
    </row>
    <row r="519" spans="2:13">
      <c r="E519" s="4">
        <f t="shared" si="281"/>
        <v>519</v>
      </c>
      <c r="F519" s="9" t="s">
        <v>29</v>
      </c>
      <c r="M519" s="23" t="s">
        <v>231</v>
      </c>
    </row>
    <row r="520" spans="2:13">
      <c r="E520" s="4">
        <f t="shared" si="281"/>
        <v>520</v>
      </c>
      <c r="F520" s="9" t="s">
        <v>118</v>
      </c>
      <c r="M520" s="23" t="s">
        <v>232</v>
      </c>
    </row>
    <row r="521" spans="2:13">
      <c r="E521" s="4">
        <f t="shared" si="281"/>
        <v>521</v>
      </c>
      <c r="F521" s="9" t="s">
        <v>114</v>
      </c>
      <c r="M521" s="23" t="b">
        <v>1</v>
      </c>
    </row>
    <row r="522" spans="2:13">
      <c r="E522" s="4">
        <f t="shared" si="281"/>
        <v>522</v>
      </c>
      <c r="F522" s="9" t="s">
        <v>98</v>
      </c>
      <c r="K522" s="9" t="s">
        <v>137</v>
      </c>
      <c r="M522" s="23">
        <v>2</v>
      </c>
    </row>
    <row r="523" spans="2:13">
      <c r="E523" s="4">
        <f t="shared" si="281"/>
        <v>523</v>
      </c>
      <c r="F523" s="9" t="s">
        <v>31</v>
      </c>
      <c r="L523" s="9" t="s">
        <v>135</v>
      </c>
      <c r="M523" s="23" t="s">
        <v>233</v>
      </c>
    </row>
    <row r="524" spans="2:13">
      <c r="E524" s="4">
        <f t="shared" si="281"/>
        <v>524</v>
      </c>
      <c r="F524" s="9" t="s">
        <v>143</v>
      </c>
      <c r="G524" s="23">
        <f t="shared" ref="G524" si="316">G515/2</f>
        <v>7</v>
      </c>
      <c r="H524" s="23">
        <v>-45</v>
      </c>
      <c r="I524" s="23">
        <v>-15</v>
      </c>
      <c r="J524" s="23" t="s">
        <v>234</v>
      </c>
      <c r="L524" s="9" t="s">
        <v>134</v>
      </c>
      <c r="M524" s="23">
        <f t="shared" ref="M524" si="317">IF(MOD(QUOTIENT(SUM(D514)-1,$G$17),2)=0,$G$18+$I$17*MOD(SUM(D514)-1,$G$17),$H$17+$J$17*MOD(SUM(D514)-1,$G$17))</f>
        <v>15</v>
      </c>
    </row>
    <row r="525" spans="2:13">
      <c r="E525" s="4"/>
      <c r="G525" s="23">
        <v>45</v>
      </c>
    </row>
    <row r="526" spans="2:13">
      <c r="E526" s="4">
        <f t="shared" ref="E526" si="318">ROW(E526)</f>
        <v>526</v>
      </c>
      <c r="F526" s="9" t="s">
        <v>30</v>
      </c>
      <c r="G526" s="23">
        <v>4</v>
      </c>
      <c r="H526" s="23">
        <v>0.1</v>
      </c>
      <c r="M526" s="23">
        <f t="shared" ref="M526" si="319">$G$19+$H$19*D514</f>
        <v>8</v>
      </c>
    </row>
    <row r="527" spans="2:13">
      <c r="B527" s="22">
        <f t="shared" ref="B527" si="320">QUOTIENT( D527-1,G528)+1</f>
        <v>3</v>
      </c>
      <c r="C527" s="22">
        <f t="shared" ref="C527" si="321">D527-(B527-1)*G528</f>
        <v>13</v>
      </c>
      <c r="D527" s="22">
        <f>COUNT($D$6:$D526)+1</f>
        <v>41</v>
      </c>
      <c r="E527" s="4"/>
    </row>
    <row r="528" spans="2:13">
      <c r="E528" s="4">
        <f t="shared" ref="E528:E589" si="322">ROW(E528)</f>
        <v>528</v>
      </c>
      <c r="F528" s="9" t="s">
        <v>93</v>
      </c>
      <c r="G528" s="23" t="s">
        <v>44</v>
      </c>
      <c r="H528" s="23" t="s">
        <v>23</v>
      </c>
      <c r="J528" s="23">
        <v>10500</v>
      </c>
      <c r="M528" s="23">
        <f t="shared" ref="M528" si="323">$J$8+D527</f>
        <v>10541</v>
      </c>
    </row>
    <row r="529" spans="2:13">
      <c r="E529" s="4">
        <f t="shared" si="322"/>
        <v>529</v>
      </c>
      <c r="F529" s="9" t="s">
        <v>144</v>
      </c>
      <c r="M529" s="23">
        <v>104000</v>
      </c>
    </row>
    <row r="530" spans="2:13">
      <c r="E530" s="4">
        <f t="shared" si="322"/>
        <v>530</v>
      </c>
      <c r="F530" s="9" t="s">
        <v>126</v>
      </c>
      <c r="G530" s="23">
        <v>10</v>
      </c>
      <c r="H530" s="23">
        <v>8</v>
      </c>
      <c r="I530" s="23" t="s">
        <v>229</v>
      </c>
      <c r="M530" s="23">
        <f t="shared" ref="M530" si="324">G530*D527+$H$10+B527*I530</f>
        <v>415</v>
      </c>
    </row>
    <row r="531" spans="2:13">
      <c r="E531" s="4">
        <f t="shared" si="322"/>
        <v>531</v>
      </c>
      <c r="F531" s="9" t="s">
        <v>35</v>
      </c>
      <c r="M531" s="23">
        <v>1000</v>
      </c>
    </row>
    <row r="532" spans="2:13">
      <c r="E532" s="4">
        <f t="shared" si="322"/>
        <v>532</v>
      </c>
      <c r="F532" s="9" t="s">
        <v>29</v>
      </c>
      <c r="M532" s="23" t="s">
        <v>231</v>
      </c>
    </row>
    <row r="533" spans="2:13">
      <c r="E533" s="4">
        <f t="shared" si="322"/>
        <v>533</v>
      </c>
      <c r="F533" s="9" t="s">
        <v>118</v>
      </c>
      <c r="M533" s="23" t="s">
        <v>232</v>
      </c>
    </row>
    <row r="534" spans="2:13">
      <c r="E534" s="4">
        <f t="shared" si="322"/>
        <v>534</v>
      </c>
      <c r="F534" s="9" t="s">
        <v>114</v>
      </c>
      <c r="M534" s="23" t="b">
        <v>1</v>
      </c>
    </row>
    <row r="535" spans="2:13">
      <c r="E535" s="4">
        <f t="shared" si="322"/>
        <v>535</v>
      </c>
      <c r="F535" s="9" t="s">
        <v>98</v>
      </c>
      <c r="K535" s="9" t="s">
        <v>137</v>
      </c>
      <c r="M535" s="23">
        <v>2</v>
      </c>
    </row>
    <row r="536" spans="2:13">
      <c r="E536" s="4">
        <f t="shared" si="322"/>
        <v>536</v>
      </c>
      <c r="F536" s="9" t="s">
        <v>31</v>
      </c>
      <c r="L536" s="9" t="s">
        <v>135</v>
      </c>
      <c r="M536" s="23" t="s">
        <v>233</v>
      </c>
    </row>
    <row r="537" spans="2:13">
      <c r="E537" s="4">
        <f t="shared" si="322"/>
        <v>537</v>
      </c>
      <c r="F537" s="9" t="s">
        <v>143</v>
      </c>
      <c r="G537" s="23">
        <f t="shared" ref="G537" si="325">G528/2</f>
        <v>7</v>
      </c>
      <c r="H537" s="23">
        <v>-45</v>
      </c>
      <c r="I537" s="23">
        <v>-15</v>
      </c>
      <c r="J537" s="23" t="s">
        <v>234</v>
      </c>
      <c r="L537" s="9" t="s">
        <v>134</v>
      </c>
      <c r="M537" s="23">
        <f t="shared" ref="M537" si="326">IF(MOD(QUOTIENT(SUM(D527)-1,$G$17),2)=0,$G$18+$I$17*MOD(SUM(D527)-1,$G$17),$H$17+$J$17*MOD(SUM(D527)-1,$G$17))</f>
        <v>30</v>
      </c>
    </row>
    <row r="538" spans="2:13">
      <c r="E538" s="4"/>
      <c r="G538" s="23">
        <v>45</v>
      </c>
    </row>
    <row r="539" spans="2:13">
      <c r="E539" s="4">
        <f t="shared" ref="E539" si="327">ROW(E539)</f>
        <v>539</v>
      </c>
      <c r="F539" s="9" t="s">
        <v>30</v>
      </c>
      <c r="G539" s="23">
        <v>4</v>
      </c>
      <c r="H539" s="23">
        <v>0.1</v>
      </c>
      <c r="M539" s="23">
        <f t="shared" ref="M539" si="328">$G$19+$H$19*D527</f>
        <v>8.1000000000000014</v>
      </c>
    </row>
    <row r="540" spans="2:13">
      <c r="B540" s="22">
        <f t="shared" ref="B540" si="329">QUOTIENT( D540-1,G541)+1</f>
        <v>3</v>
      </c>
      <c r="C540" s="22">
        <f t="shared" ref="C540" si="330">D540-(B540-1)*G541</f>
        <v>14</v>
      </c>
      <c r="D540" s="22">
        <f>COUNT($D$6:$D539)+1</f>
        <v>42</v>
      </c>
      <c r="E540" s="4"/>
    </row>
    <row r="541" spans="2:13">
      <c r="E541" s="4">
        <f t="shared" si="322"/>
        <v>541</v>
      </c>
      <c r="F541" s="9" t="s">
        <v>93</v>
      </c>
      <c r="G541" s="23" t="s">
        <v>44</v>
      </c>
      <c r="H541" s="23" t="s">
        <v>23</v>
      </c>
      <c r="J541" s="23">
        <v>10500</v>
      </c>
      <c r="M541" s="23">
        <f t="shared" ref="M541" si="331">$J$8+D540</f>
        <v>10542</v>
      </c>
    </row>
    <row r="542" spans="2:13">
      <c r="E542" s="4">
        <f t="shared" si="322"/>
        <v>542</v>
      </c>
      <c r="F542" s="9" t="s">
        <v>144</v>
      </c>
      <c r="M542" s="23">
        <v>104000</v>
      </c>
    </row>
    <row r="543" spans="2:13">
      <c r="E543" s="4">
        <f t="shared" si="322"/>
        <v>543</v>
      </c>
      <c r="F543" s="9" t="s">
        <v>126</v>
      </c>
      <c r="G543" s="23">
        <v>10</v>
      </c>
      <c r="H543" s="23">
        <v>8</v>
      </c>
      <c r="I543" s="23" t="s">
        <v>229</v>
      </c>
      <c r="M543" s="23">
        <f t="shared" ref="M543" si="332">G543*D540+$H$10+B540*I543</f>
        <v>425</v>
      </c>
    </row>
    <row r="544" spans="2:13">
      <c r="E544" s="4">
        <f t="shared" si="322"/>
        <v>544</v>
      </c>
      <c r="F544" s="9" t="s">
        <v>35</v>
      </c>
      <c r="M544" s="23">
        <v>1000</v>
      </c>
    </row>
    <row r="545" spans="2:13">
      <c r="E545" s="4">
        <f t="shared" si="322"/>
        <v>545</v>
      </c>
      <c r="F545" s="9" t="s">
        <v>29</v>
      </c>
      <c r="M545" s="23" t="s">
        <v>231</v>
      </c>
    </row>
    <row r="546" spans="2:13">
      <c r="E546" s="4">
        <f t="shared" si="322"/>
        <v>546</v>
      </c>
      <c r="F546" s="9" t="s">
        <v>118</v>
      </c>
      <c r="M546" s="23" t="s">
        <v>232</v>
      </c>
    </row>
    <row r="547" spans="2:13">
      <c r="E547" s="4">
        <f t="shared" si="322"/>
        <v>547</v>
      </c>
      <c r="F547" s="9" t="s">
        <v>114</v>
      </c>
      <c r="M547" s="23" t="b">
        <v>1</v>
      </c>
    </row>
    <row r="548" spans="2:13">
      <c r="E548" s="4">
        <f t="shared" si="322"/>
        <v>548</v>
      </c>
      <c r="F548" s="9" t="s">
        <v>98</v>
      </c>
      <c r="K548" s="9" t="s">
        <v>137</v>
      </c>
      <c r="M548" s="23">
        <v>2</v>
      </c>
    </row>
    <row r="549" spans="2:13">
      <c r="E549" s="4">
        <f t="shared" si="322"/>
        <v>549</v>
      </c>
      <c r="F549" s="9" t="s">
        <v>31</v>
      </c>
      <c r="L549" s="9" t="s">
        <v>135</v>
      </c>
      <c r="M549" s="23" t="s">
        <v>233</v>
      </c>
    </row>
    <row r="550" spans="2:13">
      <c r="E550" s="4">
        <f t="shared" si="322"/>
        <v>550</v>
      </c>
      <c r="F550" s="9" t="s">
        <v>143</v>
      </c>
      <c r="G550" s="23">
        <f t="shared" ref="G550" si="333">G541/2</f>
        <v>7</v>
      </c>
      <c r="H550" s="23">
        <v>-45</v>
      </c>
      <c r="I550" s="23">
        <v>-15</v>
      </c>
      <c r="J550" s="23" t="s">
        <v>234</v>
      </c>
      <c r="L550" s="9" t="s">
        <v>134</v>
      </c>
      <c r="M550" s="23">
        <f t="shared" ref="M550" si="334">IF(MOD(QUOTIENT(SUM(D540)-1,$G$17),2)=0,$G$18+$I$17*MOD(SUM(D540)-1,$G$17),$H$17+$J$17*MOD(SUM(D540)-1,$G$17))</f>
        <v>45</v>
      </c>
    </row>
    <row r="551" spans="2:13">
      <c r="E551" s="4"/>
      <c r="G551" s="23">
        <v>45</v>
      </c>
    </row>
    <row r="552" spans="2:13">
      <c r="E552" s="4">
        <f t="shared" ref="E552" si="335">ROW(E552)</f>
        <v>552</v>
      </c>
      <c r="F552" s="9" t="s">
        <v>30</v>
      </c>
      <c r="G552" s="23">
        <v>4</v>
      </c>
      <c r="H552" s="23">
        <v>0.1</v>
      </c>
      <c r="M552" s="23">
        <f t="shared" ref="M552" si="336">$G$19+$H$19*D540</f>
        <v>8.1999999999999993</v>
      </c>
    </row>
    <row r="553" spans="2:13">
      <c r="B553" s="22">
        <f t="shared" ref="B553" si="337">QUOTIENT( D553-1,G554)+1</f>
        <v>4</v>
      </c>
      <c r="C553" s="22">
        <f t="shared" ref="C553" si="338">D553-(B553-1)*G554</f>
        <v>1</v>
      </c>
      <c r="D553" s="22">
        <f>COUNT($D$6:$D552)+1</f>
        <v>43</v>
      </c>
      <c r="E553" s="4"/>
    </row>
    <row r="554" spans="2:13">
      <c r="E554" s="4">
        <f t="shared" si="322"/>
        <v>554</v>
      </c>
      <c r="F554" s="9" t="s">
        <v>93</v>
      </c>
      <c r="G554" s="23" t="s">
        <v>44</v>
      </c>
      <c r="H554" s="23" t="s">
        <v>23</v>
      </c>
      <c r="J554" s="23">
        <v>10500</v>
      </c>
      <c r="M554" s="23">
        <f t="shared" ref="M554" si="339">$J$8+D553</f>
        <v>10543</v>
      </c>
    </row>
    <row r="555" spans="2:13">
      <c r="E555" s="4">
        <f t="shared" si="322"/>
        <v>555</v>
      </c>
      <c r="F555" s="9" t="s">
        <v>144</v>
      </c>
      <c r="M555" s="23">
        <v>104000</v>
      </c>
    </row>
    <row r="556" spans="2:13">
      <c r="E556" s="4">
        <f t="shared" si="322"/>
        <v>556</v>
      </c>
      <c r="F556" s="9" t="s">
        <v>126</v>
      </c>
      <c r="G556" s="23">
        <v>10</v>
      </c>
      <c r="H556" s="23">
        <v>8</v>
      </c>
      <c r="I556" s="23" t="s">
        <v>229</v>
      </c>
      <c r="M556" s="23">
        <f t="shared" ref="M556" si="340">G556*D553+$H$10+B553*I556</f>
        <v>434</v>
      </c>
    </row>
    <row r="557" spans="2:13">
      <c r="E557" s="4">
        <f t="shared" si="322"/>
        <v>557</v>
      </c>
      <c r="F557" s="9" t="s">
        <v>35</v>
      </c>
      <c r="M557" s="23">
        <v>1000</v>
      </c>
    </row>
    <row r="558" spans="2:13">
      <c r="E558" s="4">
        <f t="shared" si="322"/>
        <v>558</v>
      </c>
      <c r="F558" s="9" t="s">
        <v>29</v>
      </c>
      <c r="M558" s="23" t="s">
        <v>231</v>
      </c>
    </row>
    <row r="559" spans="2:13">
      <c r="E559" s="4">
        <f t="shared" si="322"/>
        <v>559</v>
      </c>
      <c r="F559" s="9" t="s">
        <v>118</v>
      </c>
      <c r="M559" s="23" t="s">
        <v>232</v>
      </c>
    </row>
    <row r="560" spans="2:13">
      <c r="E560" s="4">
        <f t="shared" si="322"/>
        <v>560</v>
      </c>
      <c r="F560" s="9" t="s">
        <v>114</v>
      </c>
      <c r="M560" s="23" t="b">
        <v>1</v>
      </c>
    </row>
    <row r="561" spans="2:13">
      <c r="E561" s="4">
        <f t="shared" si="322"/>
        <v>561</v>
      </c>
      <c r="F561" s="9" t="s">
        <v>98</v>
      </c>
      <c r="K561" s="9" t="s">
        <v>137</v>
      </c>
      <c r="M561" s="23">
        <v>2</v>
      </c>
    </row>
    <row r="562" spans="2:13">
      <c r="E562" s="4">
        <f t="shared" si="322"/>
        <v>562</v>
      </c>
      <c r="F562" s="9" t="s">
        <v>31</v>
      </c>
      <c r="L562" s="9" t="s">
        <v>135</v>
      </c>
      <c r="M562" s="23" t="s">
        <v>233</v>
      </c>
    </row>
    <row r="563" spans="2:13">
      <c r="E563" s="4">
        <f t="shared" si="322"/>
        <v>563</v>
      </c>
      <c r="F563" s="9" t="s">
        <v>143</v>
      </c>
      <c r="G563" s="23">
        <f t="shared" ref="G563" si="341">G554/2</f>
        <v>7</v>
      </c>
      <c r="H563" s="23">
        <v>-45</v>
      </c>
      <c r="I563" s="23">
        <v>-15</v>
      </c>
      <c r="J563" s="23" t="s">
        <v>234</v>
      </c>
      <c r="L563" s="9" t="s">
        <v>134</v>
      </c>
      <c r="M563" s="23">
        <f t="shared" ref="M563" si="342">IF(MOD(QUOTIENT(SUM(D553)-1,$G$17),2)=0,$G$18+$I$17*MOD(SUM(D553)-1,$G$17),$H$17+$J$17*MOD(SUM(D553)-1,$G$17))</f>
        <v>45</v>
      </c>
    </row>
    <row r="564" spans="2:13">
      <c r="E564" s="4"/>
      <c r="G564" s="23">
        <v>45</v>
      </c>
    </row>
    <row r="565" spans="2:13">
      <c r="E565" s="4">
        <f t="shared" ref="E565" si="343">ROW(E565)</f>
        <v>565</v>
      </c>
      <c r="F565" s="9" t="s">
        <v>30</v>
      </c>
      <c r="G565" s="23">
        <v>4</v>
      </c>
      <c r="H565" s="23">
        <v>0.1</v>
      </c>
      <c r="M565" s="23">
        <f t="shared" ref="M565" si="344">$G$19+$H$19*D553</f>
        <v>8.3000000000000007</v>
      </c>
    </row>
    <row r="566" spans="2:13">
      <c r="B566" s="22">
        <f t="shared" ref="B566" si="345">QUOTIENT( D566-1,G567)+1</f>
        <v>4</v>
      </c>
      <c r="C566" s="22">
        <f t="shared" ref="C566" si="346">D566-(B566-1)*G567</f>
        <v>2</v>
      </c>
      <c r="D566" s="22">
        <f>COUNT($D$6:$D565)+1</f>
        <v>44</v>
      </c>
      <c r="E566" s="4"/>
    </row>
    <row r="567" spans="2:13">
      <c r="E567" s="4">
        <f t="shared" si="322"/>
        <v>567</v>
      </c>
      <c r="F567" s="9" t="s">
        <v>93</v>
      </c>
      <c r="G567" s="23" t="s">
        <v>44</v>
      </c>
      <c r="H567" s="23" t="s">
        <v>23</v>
      </c>
      <c r="J567" s="23">
        <v>10500</v>
      </c>
      <c r="M567" s="23">
        <f t="shared" ref="M567" si="347">$J$8+D566</f>
        <v>10544</v>
      </c>
    </row>
    <row r="568" spans="2:13">
      <c r="E568" s="4">
        <f t="shared" si="322"/>
        <v>568</v>
      </c>
      <c r="F568" s="9" t="s">
        <v>144</v>
      </c>
      <c r="M568" s="23">
        <v>104000</v>
      </c>
    </row>
    <row r="569" spans="2:13">
      <c r="E569" s="4">
        <f t="shared" si="322"/>
        <v>569</v>
      </c>
      <c r="F569" s="9" t="s">
        <v>126</v>
      </c>
      <c r="G569" s="23">
        <v>10</v>
      </c>
      <c r="H569" s="23">
        <v>8</v>
      </c>
      <c r="I569" s="23" t="s">
        <v>229</v>
      </c>
      <c r="M569" s="23">
        <f t="shared" ref="M569" si="348">G569*D566+$H$10+B566*I569</f>
        <v>444</v>
      </c>
    </row>
    <row r="570" spans="2:13">
      <c r="E570" s="4">
        <f t="shared" si="322"/>
        <v>570</v>
      </c>
      <c r="F570" s="9" t="s">
        <v>35</v>
      </c>
      <c r="M570" s="23">
        <v>1000</v>
      </c>
    </row>
    <row r="571" spans="2:13">
      <c r="E571" s="4">
        <f t="shared" si="322"/>
        <v>571</v>
      </c>
      <c r="F571" s="9" t="s">
        <v>29</v>
      </c>
      <c r="M571" s="23" t="s">
        <v>231</v>
      </c>
    </row>
    <row r="572" spans="2:13">
      <c r="E572" s="4">
        <f t="shared" si="322"/>
        <v>572</v>
      </c>
      <c r="F572" s="9" t="s">
        <v>118</v>
      </c>
      <c r="M572" s="23" t="s">
        <v>232</v>
      </c>
    </row>
    <row r="573" spans="2:13">
      <c r="E573" s="4">
        <f t="shared" si="322"/>
        <v>573</v>
      </c>
      <c r="F573" s="9" t="s">
        <v>114</v>
      </c>
      <c r="M573" s="23" t="b">
        <v>1</v>
      </c>
    </row>
    <row r="574" spans="2:13">
      <c r="E574" s="4">
        <f t="shared" si="322"/>
        <v>574</v>
      </c>
      <c r="F574" s="9" t="s">
        <v>98</v>
      </c>
      <c r="K574" s="9" t="s">
        <v>137</v>
      </c>
      <c r="M574" s="23">
        <v>2</v>
      </c>
    </row>
    <row r="575" spans="2:13">
      <c r="E575" s="4">
        <f t="shared" si="322"/>
        <v>575</v>
      </c>
      <c r="F575" s="9" t="s">
        <v>31</v>
      </c>
      <c r="L575" s="9" t="s">
        <v>135</v>
      </c>
      <c r="M575" s="23" t="s">
        <v>233</v>
      </c>
    </row>
    <row r="576" spans="2:13">
      <c r="E576" s="4">
        <f t="shared" si="322"/>
        <v>576</v>
      </c>
      <c r="F576" s="9" t="s">
        <v>143</v>
      </c>
      <c r="G576" s="23">
        <f t="shared" ref="G576" si="349">G567/2</f>
        <v>7</v>
      </c>
      <c r="H576" s="23">
        <v>-45</v>
      </c>
      <c r="I576" s="23">
        <v>-15</v>
      </c>
      <c r="J576" s="23" t="s">
        <v>234</v>
      </c>
      <c r="L576" s="9" t="s">
        <v>134</v>
      </c>
      <c r="M576" s="23">
        <f t="shared" ref="M576" si="350">IF(MOD(QUOTIENT(SUM(D566)-1,$G$17),2)=0,$G$18+$I$17*MOD(SUM(D566)-1,$G$17),$H$17+$J$17*MOD(SUM(D566)-1,$G$17))</f>
        <v>30</v>
      </c>
    </row>
    <row r="577" spans="2:13">
      <c r="E577" s="4"/>
      <c r="G577" s="23">
        <v>45</v>
      </c>
    </row>
    <row r="578" spans="2:13">
      <c r="E578" s="4">
        <f t="shared" ref="E578" si="351">ROW(E578)</f>
        <v>578</v>
      </c>
      <c r="F578" s="9" t="s">
        <v>30</v>
      </c>
      <c r="G578" s="23">
        <v>4</v>
      </c>
      <c r="H578" s="23">
        <v>0.1</v>
      </c>
      <c r="M578" s="23">
        <f t="shared" ref="M578" si="352">$G$19+$H$19*D566</f>
        <v>8.4</v>
      </c>
    </row>
    <row r="579" spans="2:13">
      <c r="B579" s="22">
        <f t="shared" ref="B579" si="353">QUOTIENT( D579-1,G580)+1</f>
        <v>4</v>
      </c>
      <c r="C579" s="22">
        <f t="shared" ref="C579" si="354">D579-(B579-1)*G580</f>
        <v>3</v>
      </c>
      <c r="D579" s="22">
        <f>COUNT($D$6:$D578)+1</f>
        <v>45</v>
      </c>
      <c r="E579" s="4"/>
    </row>
    <row r="580" spans="2:13">
      <c r="E580" s="4">
        <f t="shared" si="322"/>
        <v>580</v>
      </c>
      <c r="F580" s="9" t="s">
        <v>93</v>
      </c>
      <c r="G580" s="23" t="s">
        <v>44</v>
      </c>
      <c r="H580" s="23" t="s">
        <v>23</v>
      </c>
      <c r="J580" s="23">
        <v>10500</v>
      </c>
      <c r="M580" s="23">
        <f t="shared" ref="M580" si="355">$J$8+D579</f>
        <v>10545</v>
      </c>
    </row>
    <row r="581" spans="2:13">
      <c r="E581" s="4">
        <f t="shared" si="322"/>
        <v>581</v>
      </c>
      <c r="F581" s="9" t="s">
        <v>144</v>
      </c>
      <c r="M581" s="23">
        <v>104000</v>
      </c>
    </row>
    <row r="582" spans="2:13">
      <c r="E582" s="4">
        <f t="shared" si="322"/>
        <v>582</v>
      </c>
      <c r="F582" s="9" t="s">
        <v>126</v>
      </c>
      <c r="G582" s="23">
        <v>10</v>
      </c>
      <c r="H582" s="23">
        <v>8</v>
      </c>
      <c r="I582" s="23" t="s">
        <v>229</v>
      </c>
      <c r="M582" s="23">
        <f t="shared" ref="M582" si="356">G582*D579+$H$10+B579*I582</f>
        <v>454</v>
      </c>
    </row>
    <row r="583" spans="2:13">
      <c r="E583" s="4">
        <f t="shared" si="322"/>
        <v>583</v>
      </c>
      <c r="F583" s="9" t="s">
        <v>35</v>
      </c>
      <c r="M583" s="23">
        <v>1000</v>
      </c>
    </row>
    <row r="584" spans="2:13">
      <c r="E584" s="4">
        <f t="shared" si="322"/>
        <v>584</v>
      </c>
      <c r="F584" s="9" t="s">
        <v>29</v>
      </c>
      <c r="M584" s="23" t="s">
        <v>231</v>
      </c>
    </row>
    <row r="585" spans="2:13">
      <c r="E585" s="4">
        <f t="shared" si="322"/>
        <v>585</v>
      </c>
      <c r="F585" s="9" t="s">
        <v>118</v>
      </c>
      <c r="M585" s="23" t="s">
        <v>232</v>
      </c>
    </row>
    <row r="586" spans="2:13">
      <c r="E586" s="4">
        <f t="shared" si="322"/>
        <v>586</v>
      </c>
      <c r="F586" s="9" t="s">
        <v>114</v>
      </c>
      <c r="M586" s="23" t="b">
        <v>1</v>
      </c>
    </row>
    <row r="587" spans="2:13">
      <c r="E587" s="4">
        <f t="shared" si="322"/>
        <v>587</v>
      </c>
      <c r="F587" s="9" t="s">
        <v>98</v>
      </c>
      <c r="K587" s="9" t="s">
        <v>137</v>
      </c>
      <c r="M587" s="23">
        <v>2</v>
      </c>
    </row>
    <row r="588" spans="2:13">
      <c r="E588" s="4">
        <f t="shared" si="322"/>
        <v>588</v>
      </c>
      <c r="F588" s="9" t="s">
        <v>31</v>
      </c>
      <c r="L588" s="9" t="s">
        <v>135</v>
      </c>
      <c r="M588" s="23" t="s">
        <v>233</v>
      </c>
    </row>
    <row r="589" spans="2:13">
      <c r="E589" s="4">
        <f t="shared" si="322"/>
        <v>589</v>
      </c>
      <c r="F589" s="9" t="s">
        <v>143</v>
      </c>
      <c r="G589" s="23">
        <f t="shared" ref="G589" si="357">G580/2</f>
        <v>7</v>
      </c>
      <c r="H589" s="23">
        <v>-45</v>
      </c>
      <c r="I589" s="23">
        <v>-15</v>
      </c>
      <c r="J589" s="23" t="s">
        <v>234</v>
      </c>
      <c r="L589" s="9" t="s">
        <v>134</v>
      </c>
      <c r="M589" s="23">
        <f t="shared" ref="M589" si="358">IF(MOD(QUOTIENT(SUM(D579)-1,$G$17),2)=0,$G$18+$I$17*MOD(SUM(D579)-1,$G$17),$H$17+$J$17*MOD(SUM(D579)-1,$G$17))</f>
        <v>15</v>
      </c>
    </row>
    <row r="590" spans="2:13">
      <c r="E590" s="4"/>
      <c r="G590" s="23">
        <v>45</v>
      </c>
    </row>
    <row r="591" spans="2:13">
      <c r="E591" s="4">
        <f t="shared" ref="E591" si="359">ROW(E591)</f>
        <v>591</v>
      </c>
      <c r="F591" s="9" t="s">
        <v>30</v>
      </c>
      <c r="G591" s="23">
        <v>4</v>
      </c>
      <c r="H591" s="23">
        <v>0.1</v>
      </c>
      <c r="M591" s="23">
        <f t="shared" ref="M591" si="360">$G$19+$H$19*D579</f>
        <v>8.5</v>
      </c>
    </row>
    <row r="592" spans="2:13">
      <c r="B592" s="22">
        <f t="shared" ref="B592" si="361">QUOTIENT( D592-1,G593)+1</f>
        <v>4</v>
      </c>
      <c r="C592" s="22">
        <f t="shared" ref="C592" si="362">D592-(B592-1)*G593</f>
        <v>4</v>
      </c>
      <c r="D592" s="22">
        <f>COUNT($D$6:$D591)+1</f>
        <v>46</v>
      </c>
      <c r="E592" s="4"/>
    </row>
    <row r="593" spans="2:13">
      <c r="E593" s="4">
        <f t="shared" ref="E593:E654" si="363">ROW(E593)</f>
        <v>593</v>
      </c>
      <c r="F593" s="9" t="s">
        <v>93</v>
      </c>
      <c r="G593" s="23" t="s">
        <v>44</v>
      </c>
      <c r="H593" s="23" t="s">
        <v>23</v>
      </c>
      <c r="J593" s="23">
        <v>10500</v>
      </c>
      <c r="M593" s="23">
        <f t="shared" ref="M593" si="364">$J$8+D592</f>
        <v>10546</v>
      </c>
    </row>
    <row r="594" spans="2:13">
      <c r="E594" s="4">
        <f t="shared" si="363"/>
        <v>594</v>
      </c>
      <c r="F594" s="9" t="s">
        <v>144</v>
      </c>
      <c r="M594" s="23">
        <v>104000</v>
      </c>
    </row>
    <row r="595" spans="2:13">
      <c r="E595" s="4">
        <f t="shared" si="363"/>
        <v>595</v>
      </c>
      <c r="F595" s="9" t="s">
        <v>126</v>
      </c>
      <c r="G595" s="23">
        <v>10</v>
      </c>
      <c r="H595" s="23">
        <v>8</v>
      </c>
      <c r="I595" s="23" t="s">
        <v>229</v>
      </c>
      <c r="M595" s="23">
        <f t="shared" ref="M595" si="365">G595*D592+$H$10+B592*I595</f>
        <v>464</v>
      </c>
    </row>
    <row r="596" spans="2:13">
      <c r="E596" s="4">
        <f t="shared" si="363"/>
        <v>596</v>
      </c>
      <c r="F596" s="9" t="s">
        <v>35</v>
      </c>
      <c r="M596" s="23">
        <v>1000</v>
      </c>
    </row>
    <row r="597" spans="2:13">
      <c r="E597" s="4">
        <f t="shared" si="363"/>
        <v>597</v>
      </c>
      <c r="F597" s="9" t="s">
        <v>29</v>
      </c>
      <c r="M597" s="23" t="s">
        <v>231</v>
      </c>
    </row>
    <row r="598" spans="2:13">
      <c r="E598" s="4">
        <f t="shared" si="363"/>
        <v>598</v>
      </c>
      <c r="F598" s="9" t="s">
        <v>118</v>
      </c>
      <c r="M598" s="23" t="s">
        <v>232</v>
      </c>
    </row>
    <row r="599" spans="2:13">
      <c r="E599" s="4">
        <f t="shared" si="363"/>
        <v>599</v>
      </c>
      <c r="F599" s="9" t="s">
        <v>114</v>
      </c>
      <c r="M599" s="23" t="b">
        <v>1</v>
      </c>
    </row>
    <row r="600" spans="2:13">
      <c r="E600" s="4">
        <f t="shared" si="363"/>
        <v>600</v>
      </c>
      <c r="F600" s="9" t="s">
        <v>98</v>
      </c>
      <c r="K600" s="9" t="s">
        <v>137</v>
      </c>
      <c r="M600" s="23">
        <v>2</v>
      </c>
    </row>
    <row r="601" spans="2:13">
      <c r="E601" s="4">
        <f t="shared" si="363"/>
        <v>601</v>
      </c>
      <c r="F601" s="9" t="s">
        <v>31</v>
      </c>
      <c r="L601" s="9" t="s">
        <v>135</v>
      </c>
      <c r="M601" s="23" t="s">
        <v>233</v>
      </c>
    </row>
    <row r="602" spans="2:13">
      <c r="E602" s="4">
        <f t="shared" si="363"/>
        <v>602</v>
      </c>
      <c r="F602" s="9" t="s">
        <v>143</v>
      </c>
      <c r="G602" s="23">
        <f t="shared" ref="G602" si="366">G593/2</f>
        <v>7</v>
      </c>
      <c r="H602" s="23">
        <v>-45</v>
      </c>
      <c r="I602" s="23">
        <v>-15</v>
      </c>
      <c r="J602" s="23" t="s">
        <v>234</v>
      </c>
      <c r="L602" s="9" t="s">
        <v>134</v>
      </c>
      <c r="M602" s="23">
        <f t="shared" ref="M602" si="367">IF(MOD(QUOTIENT(SUM(D592)-1,$G$17),2)=0,$G$18+$I$17*MOD(SUM(D592)-1,$G$17),$H$17+$J$17*MOD(SUM(D592)-1,$G$17))</f>
        <v>0</v>
      </c>
    </row>
    <row r="603" spans="2:13">
      <c r="E603" s="4"/>
      <c r="G603" s="23">
        <v>45</v>
      </c>
    </row>
    <row r="604" spans="2:13">
      <c r="E604" s="4">
        <f t="shared" ref="E604" si="368">ROW(E604)</f>
        <v>604</v>
      </c>
      <c r="F604" s="9" t="s">
        <v>30</v>
      </c>
      <c r="G604" s="23">
        <v>4</v>
      </c>
      <c r="H604" s="23">
        <v>0.1</v>
      </c>
      <c r="M604" s="23">
        <f t="shared" ref="M604" si="369">$G$19+$H$19*D592</f>
        <v>8.6000000000000014</v>
      </c>
    </row>
    <row r="605" spans="2:13">
      <c r="B605" s="22">
        <f t="shared" ref="B605" si="370">QUOTIENT( D605-1,G606)+1</f>
        <v>4</v>
      </c>
      <c r="C605" s="22">
        <f t="shared" ref="C605" si="371">D605-(B605-1)*G606</f>
        <v>5</v>
      </c>
      <c r="D605" s="22">
        <f>COUNT($D$6:$D604)+1</f>
        <v>47</v>
      </c>
      <c r="E605" s="4"/>
    </row>
    <row r="606" spans="2:13">
      <c r="E606" s="4">
        <f t="shared" si="363"/>
        <v>606</v>
      </c>
      <c r="F606" s="9" t="s">
        <v>93</v>
      </c>
      <c r="G606" s="23" t="s">
        <v>44</v>
      </c>
      <c r="H606" s="23" t="s">
        <v>23</v>
      </c>
      <c r="J606" s="23">
        <v>10500</v>
      </c>
      <c r="M606" s="23">
        <f t="shared" ref="M606" si="372">$J$8+D605</f>
        <v>10547</v>
      </c>
    </row>
    <row r="607" spans="2:13">
      <c r="E607" s="4">
        <f t="shared" si="363"/>
        <v>607</v>
      </c>
      <c r="F607" s="9" t="s">
        <v>144</v>
      </c>
      <c r="M607" s="23">
        <v>104000</v>
      </c>
    </row>
    <row r="608" spans="2:13">
      <c r="E608" s="4">
        <f t="shared" si="363"/>
        <v>608</v>
      </c>
      <c r="F608" s="9" t="s">
        <v>126</v>
      </c>
      <c r="G608" s="23">
        <v>10</v>
      </c>
      <c r="H608" s="23">
        <v>8</v>
      </c>
      <c r="I608" s="23" t="s">
        <v>229</v>
      </c>
      <c r="M608" s="23">
        <f t="shared" ref="M608" si="373">G608*D605+$H$10+B605*I608</f>
        <v>474</v>
      </c>
    </row>
    <row r="609" spans="2:13">
      <c r="E609" s="4">
        <f t="shared" si="363"/>
        <v>609</v>
      </c>
      <c r="F609" s="9" t="s">
        <v>35</v>
      </c>
      <c r="M609" s="23">
        <v>1000</v>
      </c>
    </row>
    <row r="610" spans="2:13">
      <c r="E610" s="4">
        <f t="shared" si="363"/>
        <v>610</v>
      </c>
      <c r="F610" s="9" t="s">
        <v>29</v>
      </c>
      <c r="M610" s="23" t="s">
        <v>231</v>
      </c>
    </row>
    <row r="611" spans="2:13">
      <c r="E611" s="4">
        <f t="shared" si="363"/>
        <v>611</v>
      </c>
      <c r="F611" s="9" t="s">
        <v>118</v>
      </c>
      <c r="M611" s="23" t="s">
        <v>232</v>
      </c>
    </row>
    <row r="612" spans="2:13">
      <c r="E612" s="4">
        <f t="shared" si="363"/>
        <v>612</v>
      </c>
      <c r="F612" s="9" t="s">
        <v>114</v>
      </c>
      <c r="M612" s="23" t="b">
        <v>1</v>
      </c>
    </row>
    <row r="613" spans="2:13">
      <c r="E613" s="4">
        <f t="shared" si="363"/>
        <v>613</v>
      </c>
      <c r="F613" s="9" t="s">
        <v>98</v>
      </c>
      <c r="K613" s="9" t="s">
        <v>137</v>
      </c>
      <c r="M613" s="23">
        <v>2</v>
      </c>
    </row>
    <row r="614" spans="2:13">
      <c r="E614" s="4">
        <f t="shared" si="363"/>
        <v>614</v>
      </c>
      <c r="F614" s="9" t="s">
        <v>31</v>
      </c>
      <c r="L614" s="9" t="s">
        <v>135</v>
      </c>
      <c r="M614" s="23" t="s">
        <v>233</v>
      </c>
    </row>
    <row r="615" spans="2:13">
      <c r="E615" s="4">
        <f t="shared" si="363"/>
        <v>615</v>
      </c>
      <c r="F615" s="9" t="s">
        <v>143</v>
      </c>
      <c r="G615" s="23">
        <f t="shared" ref="G615" si="374">G606/2</f>
        <v>7</v>
      </c>
      <c r="H615" s="23">
        <v>-45</v>
      </c>
      <c r="I615" s="23">
        <v>-15</v>
      </c>
      <c r="J615" s="23" t="s">
        <v>234</v>
      </c>
      <c r="L615" s="9" t="s">
        <v>134</v>
      </c>
      <c r="M615" s="23">
        <f t="shared" ref="M615" si="375">IF(MOD(QUOTIENT(SUM(D605)-1,$G$17),2)=0,$G$18+$I$17*MOD(SUM(D605)-1,$G$17),$H$17+$J$17*MOD(SUM(D605)-1,$G$17))</f>
        <v>-15</v>
      </c>
    </row>
    <row r="616" spans="2:13">
      <c r="E616" s="4"/>
      <c r="G616" s="23">
        <v>45</v>
      </c>
    </row>
    <row r="617" spans="2:13">
      <c r="E617" s="4">
        <f t="shared" ref="E617" si="376">ROW(E617)</f>
        <v>617</v>
      </c>
      <c r="F617" s="9" t="s">
        <v>30</v>
      </c>
      <c r="G617" s="23">
        <v>4</v>
      </c>
      <c r="H617" s="23">
        <v>0.1</v>
      </c>
      <c r="M617" s="23">
        <f t="shared" ref="M617" si="377">$G$19+$H$19*D605</f>
        <v>8.6999999999999993</v>
      </c>
    </row>
    <row r="618" spans="2:13">
      <c r="B618" s="22">
        <f t="shared" ref="B618" si="378">QUOTIENT( D618-1,G619)+1</f>
        <v>4</v>
      </c>
      <c r="C618" s="22">
        <f t="shared" ref="C618" si="379">D618-(B618-1)*G619</f>
        <v>6</v>
      </c>
      <c r="D618" s="22">
        <f>COUNT($D$6:$D617)+1</f>
        <v>48</v>
      </c>
      <c r="E618" s="4"/>
    </row>
    <row r="619" spans="2:13">
      <c r="E619" s="4">
        <f t="shared" si="363"/>
        <v>619</v>
      </c>
      <c r="F619" s="9" t="s">
        <v>93</v>
      </c>
      <c r="G619" s="23" t="s">
        <v>44</v>
      </c>
      <c r="H619" s="23" t="s">
        <v>23</v>
      </c>
      <c r="J619" s="23">
        <v>10500</v>
      </c>
      <c r="M619" s="23">
        <f t="shared" ref="M619" si="380">$J$8+D618</f>
        <v>10548</v>
      </c>
    </row>
    <row r="620" spans="2:13">
      <c r="E620" s="4">
        <f t="shared" si="363"/>
        <v>620</v>
      </c>
      <c r="F620" s="9" t="s">
        <v>144</v>
      </c>
      <c r="M620" s="23">
        <v>104000</v>
      </c>
    </row>
    <row r="621" spans="2:13">
      <c r="E621" s="4">
        <f t="shared" si="363"/>
        <v>621</v>
      </c>
      <c r="F621" s="9" t="s">
        <v>126</v>
      </c>
      <c r="G621" s="23">
        <v>10</v>
      </c>
      <c r="H621" s="23">
        <v>8</v>
      </c>
      <c r="I621" s="23" t="s">
        <v>229</v>
      </c>
      <c r="M621" s="23">
        <f t="shared" ref="M621" si="381">G621*D618+$H$10+B618*I621</f>
        <v>484</v>
      </c>
    </row>
    <row r="622" spans="2:13">
      <c r="E622" s="4">
        <f t="shared" si="363"/>
        <v>622</v>
      </c>
      <c r="F622" s="9" t="s">
        <v>35</v>
      </c>
      <c r="M622" s="23">
        <v>1000</v>
      </c>
    </row>
    <row r="623" spans="2:13">
      <c r="E623" s="4">
        <f t="shared" si="363"/>
        <v>623</v>
      </c>
      <c r="F623" s="9" t="s">
        <v>29</v>
      </c>
      <c r="M623" s="23" t="s">
        <v>231</v>
      </c>
    </row>
    <row r="624" spans="2:13">
      <c r="E624" s="4">
        <f t="shared" si="363"/>
        <v>624</v>
      </c>
      <c r="F624" s="9" t="s">
        <v>118</v>
      </c>
      <c r="M624" s="23" t="s">
        <v>232</v>
      </c>
    </row>
    <row r="625" spans="2:13">
      <c r="E625" s="4">
        <f t="shared" si="363"/>
        <v>625</v>
      </c>
      <c r="F625" s="9" t="s">
        <v>114</v>
      </c>
      <c r="M625" s="23" t="b">
        <v>1</v>
      </c>
    </row>
    <row r="626" spans="2:13">
      <c r="E626" s="4">
        <f t="shared" si="363"/>
        <v>626</v>
      </c>
      <c r="F626" s="9" t="s">
        <v>98</v>
      </c>
      <c r="K626" s="9" t="s">
        <v>137</v>
      </c>
      <c r="M626" s="23">
        <v>2</v>
      </c>
    </row>
    <row r="627" spans="2:13">
      <c r="E627" s="4">
        <f t="shared" si="363"/>
        <v>627</v>
      </c>
      <c r="F627" s="9" t="s">
        <v>31</v>
      </c>
      <c r="L627" s="9" t="s">
        <v>135</v>
      </c>
      <c r="M627" s="23" t="s">
        <v>233</v>
      </c>
    </row>
    <row r="628" spans="2:13">
      <c r="E628" s="4">
        <f t="shared" si="363"/>
        <v>628</v>
      </c>
      <c r="F628" s="9" t="s">
        <v>143</v>
      </c>
      <c r="G628" s="23">
        <f t="shared" ref="G628" si="382">G619/2</f>
        <v>7</v>
      </c>
      <c r="H628" s="23">
        <v>-45</v>
      </c>
      <c r="I628" s="23">
        <v>-15</v>
      </c>
      <c r="J628" s="23" t="s">
        <v>234</v>
      </c>
      <c r="L628" s="9" t="s">
        <v>134</v>
      </c>
      <c r="M628" s="23">
        <f t="shared" ref="M628" si="383">IF(MOD(QUOTIENT(SUM(D618)-1,$G$17),2)=0,$G$18+$I$17*MOD(SUM(D618)-1,$G$17),$H$17+$J$17*MOD(SUM(D618)-1,$G$17))</f>
        <v>-30</v>
      </c>
    </row>
    <row r="629" spans="2:13">
      <c r="E629" s="4"/>
      <c r="G629" s="23">
        <v>45</v>
      </c>
    </row>
    <row r="630" spans="2:13">
      <c r="E630" s="4">
        <f t="shared" ref="E630" si="384">ROW(E630)</f>
        <v>630</v>
      </c>
      <c r="F630" s="9" t="s">
        <v>30</v>
      </c>
      <c r="G630" s="23">
        <v>4</v>
      </c>
      <c r="H630" s="23">
        <v>0.1</v>
      </c>
      <c r="M630" s="23">
        <f t="shared" ref="M630" si="385">$G$19+$H$19*D618</f>
        <v>8.8000000000000007</v>
      </c>
    </row>
    <row r="631" spans="2:13">
      <c r="B631" s="22">
        <f t="shared" ref="B631" si="386">QUOTIENT( D631-1,G632)+1</f>
        <v>4</v>
      </c>
      <c r="C631" s="22">
        <f t="shared" ref="C631" si="387">D631-(B631-1)*G632</f>
        <v>7</v>
      </c>
      <c r="D631" s="22">
        <f>COUNT($D$6:$D630)+1</f>
        <v>49</v>
      </c>
      <c r="E631" s="4"/>
    </row>
    <row r="632" spans="2:13">
      <c r="E632" s="4">
        <f t="shared" si="363"/>
        <v>632</v>
      </c>
      <c r="F632" s="9" t="s">
        <v>93</v>
      </c>
      <c r="G632" s="23" t="s">
        <v>44</v>
      </c>
      <c r="H632" s="23" t="s">
        <v>23</v>
      </c>
      <c r="J632" s="23">
        <v>10500</v>
      </c>
      <c r="M632" s="23">
        <f t="shared" ref="M632" si="388">$J$8+D631</f>
        <v>10549</v>
      </c>
    </row>
    <row r="633" spans="2:13">
      <c r="E633" s="4">
        <f t="shared" si="363"/>
        <v>633</v>
      </c>
      <c r="F633" s="9" t="s">
        <v>144</v>
      </c>
      <c r="M633" s="23">
        <v>104000</v>
      </c>
    </row>
    <row r="634" spans="2:13">
      <c r="E634" s="4">
        <f t="shared" si="363"/>
        <v>634</v>
      </c>
      <c r="F634" s="9" t="s">
        <v>126</v>
      </c>
      <c r="G634" s="23">
        <v>10</v>
      </c>
      <c r="H634" s="23">
        <v>8</v>
      </c>
      <c r="I634" s="23" t="s">
        <v>229</v>
      </c>
      <c r="M634" s="23">
        <f t="shared" ref="M634" si="389">G634*D631+$H$10+B631*I634</f>
        <v>494</v>
      </c>
    </row>
    <row r="635" spans="2:13">
      <c r="E635" s="4">
        <f t="shared" si="363"/>
        <v>635</v>
      </c>
      <c r="F635" s="9" t="s">
        <v>35</v>
      </c>
      <c r="M635" s="23">
        <v>1000</v>
      </c>
    </row>
    <row r="636" spans="2:13">
      <c r="E636" s="4">
        <f t="shared" si="363"/>
        <v>636</v>
      </c>
      <c r="F636" s="9" t="s">
        <v>29</v>
      </c>
      <c r="M636" s="23" t="s">
        <v>231</v>
      </c>
    </row>
    <row r="637" spans="2:13">
      <c r="E637" s="4">
        <f t="shared" si="363"/>
        <v>637</v>
      </c>
      <c r="F637" s="9" t="s">
        <v>118</v>
      </c>
      <c r="M637" s="23" t="s">
        <v>232</v>
      </c>
    </row>
    <row r="638" spans="2:13">
      <c r="E638" s="4">
        <f t="shared" si="363"/>
        <v>638</v>
      </c>
      <c r="F638" s="9" t="s">
        <v>114</v>
      </c>
      <c r="M638" s="23" t="b">
        <v>1</v>
      </c>
    </row>
    <row r="639" spans="2:13">
      <c r="E639" s="4">
        <f t="shared" si="363"/>
        <v>639</v>
      </c>
      <c r="F639" s="9" t="s">
        <v>98</v>
      </c>
      <c r="K639" s="9" t="s">
        <v>137</v>
      </c>
      <c r="M639" s="23">
        <v>2</v>
      </c>
    </row>
    <row r="640" spans="2:13">
      <c r="E640" s="4">
        <f t="shared" si="363"/>
        <v>640</v>
      </c>
      <c r="F640" s="9" t="s">
        <v>31</v>
      </c>
      <c r="L640" s="9" t="s">
        <v>135</v>
      </c>
      <c r="M640" s="23" t="s">
        <v>233</v>
      </c>
    </row>
    <row r="641" spans="2:13">
      <c r="E641" s="4">
        <f t="shared" si="363"/>
        <v>641</v>
      </c>
      <c r="F641" s="9" t="s">
        <v>143</v>
      </c>
      <c r="G641" s="23">
        <f t="shared" ref="G641" si="390">G632/2</f>
        <v>7</v>
      </c>
      <c r="H641" s="23">
        <v>-45</v>
      </c>
      <c r="I641" s="23">
        <v>-15</v>
      </c>
      <c r="J641" s="23" t="s">
        <v>234</v>
      </c>
      <c r="L641" s="9" t="s">
        <v>134</v>
      </c>
      <c r="M641" s="23">
        <f t="shared" ref="M641" si="391">IF(MOD(QUOTIENT(SUM(D631)-1,$G$17),2)=0,$G$18+$I$17*MOD(SUM(D631)-1,$G$17),$H$17+$J$17*MOD(SUM(D631)-1,$G$17))</f>
        <v>-45</v>
      </c>
    </row>
    <row r="642" spans="2:13">
      <c r="E642" s="4"/>
      <c r="G642" s="23">
        <v>45</v>
      </c>
    </row>
    <row r="643" spans="2:13">
      <c r="E643" s="4">
        <f t="shared" ref="E643" si="392">ROW(E643)</f>
        <v>643</v>
      </c>
      <c r="F643" s="9" t="s">
        <v>30</v>
      </c>
      <c r="G643" s="23">
        <v>4</v>
      </c>
      <c r="H643" s="23">
        <v>0.1</v>
      </c>
      <c r="M643" s="23">
        <f t="shared" ref="M643" si="393">$G$19+$H$19*D631</f>
        <v>8.9</v>
      </c>
    </row>
    <row r="644" spans="2:13">
      <c r="B644" s="22">
        <f t="shared" ref="B644" si="394">QUOTIENT( D644-1,G645)+1</f>
        <v>4</v>
      </c>
      <c r="C644" s="22">
        <f t="shared" ref="C644" si="395">D644-(B644-1)*G645</f>
        <v>8</v>
      </c>
      <c r="D644" s="22">
        <f>COUNT($D$6:$D643)+1</f>
        <v>50</v>
      </c>
      <c r="E644" s="4"/>
    </row>
    <row r="645" spans="2:13">
      <c r="E645" s="4">
        <f t="shared" si="363"/>
        <v>645</v>
      </c>
      <c r="F645" s="9" t="s">
        <v>93</v>
      </c>
      <c r="G645" s="23" t="s">
        <v>44</v>
      </c>
      <c r="H645" s="23" t="s">
        <v>23</v>
      </c>
      <c r="J645" s="23">
        <v>10500</v>
      </c>
      <c r="M645" s="23">
        <f t="shared" ref="M645" si="396">$J$8+D644</f>
        <v>10550</v>
      </c>
    </row>
    <row r="646" spans="2:13">
      <c r="E646" s="4">
        <f t="shared" si="363"/>
        <v>646</v>
      </c>
      <c r="F646" s="9" t="s">
        <v>144</v>
      </c>
      <c r="M646" s="23">
        <v>104000</v>
      </c>
    </row>
    <row r="647" spans="2:13">
      <c r="E647" s="4">
        <f t="shared" si="363"/>
        <v>647</v>
      </c>
      <c r="F647" s="9" t="s">
        <v>126</v>
      </c>
      <c r="G647" s="23">
        <v>10</v>
      </c>
      <c r="H647" s="23">
        <v>8</v>
      </c>
      <c r="I647" s="23" t="s">
        <v>229</v>
      </c>
      <c r="M647" s="23">
        <f t="shared" ref="M647" si="397">G647*D644+$H$10+B644*I647</f>
        <v>504</v>
      </c>
    </row>
    <row r="648" spans="2:13">
      <c r="E648" s="4">
        <f t="shared" si="363"/>
        <v>648</v>
      </c>
      <c r="F648" s="9" t="s">
        <v>35</v>
      </c>
      <c r="M648" s="23">
        <v>1000</v>
      </c>
    </row>
    <row r="649" spans="2:13">
      <c r="E649" s="4">
        <f t="shared" si="363"/>
        <v>649</v>
      </c>
      <c r="F649" s="9" t="s">
        <v>29</v>
      </c>
      <c r="M649" s="23" t="s">
        <v>231</v>
      </c>
    </row>
    <row r="650" spans="2:13">
      <c r="E650" s="4">
        <f t="shared" si="363"/>
        <v>650</v>
      </c>
      <c r="F650" s="9" t="s">
        <v>118</v>
      </c>
      <c r="M650" s="23" t="s">
        <v>232</v>
      </c>
    </row>
    <row r="651" spans="2:13">
      <c r="E651" s="4">
        <f t="shared" si="363"/>
        <v>651</v>
      </c>
      <c r="F651" s="9" t="s">
        <v>114</v>
      </c>
      <c r="M651" s="23" t="b">
        <v>1</v>
      </c>
    </row>
    <row r="652" spans="2:13">
      <c r="E652" s="4">
        <f t="shared" si="363"/>
        <v>652</v>
      </c>
      <c r="F652" s="9" t="s">
        <v>98</v>
      </c>
      <c r="K652" s="9" t="s">
        <v>137</v>
      </c>
      <c r="M652" s="23">
        <v>2</v>
      </c>
    </row>
    <row r="653" spans="2:13">
      <c r="E653" s="4">
        <f t="shared" si="363"/>
        <v>653</v>
      </c>
      <c r="F653" s="9" t="s">
        <v>31</v>
      </c>
      <c r="L653" s="9" t="s">
        <v>135</v>
      </c>
      <c r="M653" s="23" t="s">
        <v>233</v>
      </c>
    </row>
    <row r="654" spans="2:13">
      <c r="E654" s="4">
        <f t="shared" si="363"/>
        <v>654</v>
      </c>
      <c r="F654" s="9" t="s">
        <v>143</v>
      </c>
      <c r="G654" s="23">
        <f t="shared" ref="G654" si="398">G645/2</f>
        <v>7</v>
      </c>
      <c r="H654" s="23">
        <v>-45</v>
      </c>
      <c r="I654" s="23">
        <v>-15</v>
      </c>
      <c r="J654" s="23" t="s">
        <v>234</v>
      </c>
      <c r="L654" s="9" t="s">
        <v>134</v>
      </c>
      <c r="M654" s="23">
        <f t="shared" ref="M654" si="399">IF(MOD(QUOTIENT(SUM(D644)-1,$G$17),2)=0,$G$18+$I$17*MOD(SUM(D644)-1,$G$17),$H$17+$J$17*MOD(SUM(D644)-1,$G$17))</f>
        <v>-45</v>
      </c>
    </row>
    <row r="655" spans="2:13">
      <c r="E655" s="4"/>
      <c r="G655" s="23">
        <v>45</v>
      </c>
    </row>
    <row r="656" spans="2:13">
      <c r="E656" s="4">
        <f t="shared" ref="E656" si="400">ROW(E656)</f>
        <v>656</v>
      </c>
      <c r="F656" s="9" t="s">
        <v>30</v>
      </c>
      <c r="G656" s="23">
        <v>4</v>
      </c>
      <c r="H656" s="23">
        <v>0.1</v>
      </c>
      <c r="M656" s="23">
        <f t="shared" ref="M656" si="401">$G$19+$H$19*D644</f>
        <v>9</v>
      </c>
    </row>
    <row r="657" spans="2:13">
      <c r="B657" s="22">
        <f t="shared" ref="B657" si="402">QUOTIENT( D657-1,G658)+1</f>
        <v>4</v>
      </c>
      <c r="C657" s="22">
        <f t="shared" ref="C657" si="403">D657-(B657-1)*G658</f>
        <v>9</v>
      </c>
      <c r="D657" s="22">
        <f>COUNT($D$6:$D656)+1</f>
        <v>51</v>
      </c>
      <c r="E657" s="4"/>
    </row>
    <row r="658" spans="2:13">
      <c r="E658" s="4">
        <f t="shared" ref="E658:E719" si="404">ROW(E658)</f>
        <v>658</v>
      </c>
      <c r="F658" s="9" t="s">
        <v>93</v>
      </c>
      <c r="G658" s="23" t="s">
        <v>44</v>
      </c>
      <c r="H658" s="23" t="s">
        <v>23</v>
      </c>
      <c r="J658" s="23">
        <v>10500</v>
      </c>
      <c r="M658" s="23">
        <f t="shared" ref="M658" si="405">$J$8+D657</f>
        <v>10551</v>
      </c>
    </row>
    <row r="659" spans="2:13">
      <c r="E659" s="4">
        <f t="shared" si="404"/>
        <v>659</v>
      </c>
      <c r="F659" s="9" t="s">
        <v>144</v>
      </c>
      <c r="M659" s="23">
        <v>104000</v>
      </c>
    </row>
    <row r="660" spans="2:13">
      <c r="E660" s="4">
        <f t="shared" si="404"/>
        <v>660</v>
      </c>
      <c r="F660" s="9" t="s">
        <v>126</v>
      </c>
      <c r="G660" s="23">
        <v>10</v>
      </c>
      <c r="H660" s="23">
        <v>8</v>
      </c>
      <c r="I660" s="23" t="s">
        <v>229</v>
      </c>
      <c r="M660" s="23">
        <f t="shared" ref="M660" si="406">G660*D657+$H$10+B657*I660</f>
        <v>514</v>
      </c>
    </row>
    <row r="661" spans="2:13">
      <c r="E661" s="4">
        <f t="shared" si="404"/>
        <v>661</v>
      </c>
      <c r="F661" s="9" t="s">
        <v>35</v>
      </c>
      <c r="M661" s="23">
        <v>1000</v>
      </c>
    </row>
    <row r="662" spans="2:13">
      <c r="E662" s="4">
        <f t="shared" si="404"/>
        <v>662</v>
      </c>
      <c r="F662" s="9" t="s">
        <v>29</v>
      </c>
      <c r="M662" s="23" t="s">
        <v>231</v>
      </c>
    </row>
    <row r="663" spans="2:13">
      <c r="E663" s="4">
        <f t="shared" si="404"/>
        <v>663</v>
      </c>
      <c r="F663" s="9" t="s">
        <v>118</v>
      </c>
      <c r="M663" s="23" t="s">
        <v>232</v>
      </c>
    </row>
    <row r="664" spans="2:13">
      <c r="E664" s="4">
        <f t="shared" si="404"/>
        <v>664</v>
      </c>
      <c r="F664" s="9" t="s">
        <v>114</v>
      </c>
      <c r="M664" s="23" t="b">
        <v>1</v>
      </c>
    </row>
    <row r="665" spans="2:13">
      <c r="E665" s="4">
        <f t="shared" si="404"/>
        <v>665</v>
      </c>
      <c r="F665" s="9" t="s">
        <v>98</v>
      </c>
      <c r="K665" s="9" t="s">
        <v>137</v>
      </c>
      <c r="M665" s="23">
        <v>2</v>
      </c>
    </row>
    <row r="666" spans="2:13">
      <c r="E666" s="4">
        <f t="shared" si="404"/>
        <v>666</v>
      </c>
      <c r="F666" s="9" t="s">
        <v>31</v>
      </c>
      <c r="L666" s="9" t="s">
        <v>135</v>
      </c>
      <c r="M666" s="23" t="s">
        <v>233</v>
      </c>
    </row>
    <row r="667" spans="2:13">
      <c r="E667" s="4">
        <f t="shared" si="404"/>
        <v>667</v>
      </c>
      <c r="F667" s="9" t="s">
        <v>143</v>
      </c>
      <c r="G667" s="23">
        <f t="shared" ref="G667" si="407">G658/2</f>
        <v>7</v>
      </c>
      <c r="H667" s="23">
        <v>-45</v>
      </c>
      <c r="I667" s="23">
        <v>-15</v>
      </c>
      <c r="J667" s="23" t="s">
        <v>234</v>
      </c>
      <c r="L667" s="9" t="s">
        <v>134</v>
      </c>
      <c r="M667" s="23">
        <f t="shared" ref="M667" si="408">IF(MOD(QUOTIENT(SUM(D657)-1,$G$17),2)=0,$G$18+$I$17*MOD(SUM(D657)-1,$G$17),$H$17+$J$17*MOD(SUM(D657)-1,$G$17))</f>
        <v>-30</v>
      </c>
    </row>
    <row r="668" spans="2:13">
      <c r="E668" s="4"/>
      <c r="G668" s="23">
        <v>45</v>
      </c>
    </row>
    <row r="669" spans="2:13">
      <c r="E669" s="4">
        <f t="shared" ref="E669" si="409">ROW(E669)</f>
        <v>669</v>
      </c>
      <c r="F669" s="9" t="s">
        <v>30</v>
      </c>
      <c r="G669" s="23">
        <v>4</v>
      </c>
      <c r="H669" s="23">
        <v>0.1</v>
      </c>
      <c r="M669" s="23">
        <f t="shared" ref="M669" si="410">$G$19+$H$19*D657</f>
        <v>9.1000000000000014</v>
      </c>
    </row>
    <row r="670" spans="2:13">
      <c r="B670" s="22">
        <f t="shared" ref="B670" si="411">QUOTIENT( D670-1,G671)+1</f>
        <v>4</v>
      </c>
      <c r="C670" s="22">
        <f t="shared" ref="C670" si="412">D670-(B670-1)*G671</f>
        <v>10</v>
      </c>
      <c r="D670" s="22">
        <f>COUNT($D$6:$D669)+1</f>
        <v>52</v>
      </c>
      <c r="E670" s="4"/>
    </row>
    <row r="671" spans="2:13">
      <c r="E671" s="4">
        <f t="shared" si="404"/>
        <v>671</v>
      </c>
      <c r="F671" s="9" t="s">
        <v>93</v>
      </c>
      <c r="G671" s="23" t="s">
        <v>44</v>
      </c>
      <c r="H671" s="23" t="s">
        <v>23</v>
      </c>
      <c r="J671" s="23">
        <v>10500</v>
      </c>
      <c r="M671" s="23">
        <f t="shared" ref="M671" si="413">$J$8+D670</f>
        <v>10552</v>
      </c>
    </row>
    <row r="672" spans="2:13">
      <c r="E672" s="4">
        <f t="shared" si="404"/>
        <v>672</v>
      </c>
      <c r="F672" s="9" t="s">
        <v>144</v>
      </c>
      <c r="M672" s="23">
        <v>104000</v>
      </c>
    </row>
    <row r="673" spans="2:13">
      <c r="E673" s="4">
        <f t="shared" si="404"/>
        <v>673</v>
      </c>
      <c r="F673" s="9" t="s">
        <v>126</v>
      </c>
      <c r="G673" s="23">
        <v>10</v>
      </c>
      <c r="H673" s="23">
        <v>8</v>
      </c>
      <c r="I673" s="23" t="s">
        <v>229</v>
      </c>
      <c r="M673" s="23">
        <f t="shared" ref="M673" si="414">G673*D670+$H$10+B670*I673</f>
        <v>524</v>
      </c>
    </row>
    <row r="674" spans="2:13">
      <c r="E674" s="4">
        <f t="shared" si="404"/>
        <v>674</v>
      </c>
      <c r="F674" s="9" t="s">
        <v>35</v>
      </c>
      <c r="M674" s="23">
        <v>1000</v>
      </c>
    </row>
    <row r="675" spans="2:13">
      <c r="E675" s="4">
        <f t="shared" si="404"/>
        <v>675</v>
      </c>
      <c r="F675" s="9" t="s">
        <v>29</v>
      </c>
      <c r="M675" s="23" t="s">
        <v>231</v>
      </c>
    </row>
    <row r="676" spans="2:13">
      <c r="E676" s="4">
        <f t="shared" si="404"/>
        <v>676</v>
      </c>
      <c r="F676" s="9" t="s">
        <v>118</v>
      </c>
      <c r="M676" s="23" t="s">
        <v>232</v>
      </c>
    </row>
    <row r="677" spans="2:13">
      <c r="E677" s="4">
        <f t="shared" si="404"/>
        <v>677</v>
      </c>
      <c r="F677" s="9" t="s">
        <v>114</v>
      </c>
      <c r="M677" s="23" t="b">
        <v>1</v>
      </c>
    </row>
    <row r="678" spans="2:13">
      <c r="E678" s="4">
        <f t="shared" si="404"/>
        <v>678</v>
      </c>
      <c r="F678" s="9" t="s">
        <v>98</v>
      </c>
      <c r="K678" s="9" t="s">
        <v>137</v>
      </c>
      <c r="M678" s="23">
        <v>2</v>
      </c>
    </row>
    <row r="679" spans="2:13">
      <c r="E679" s="4">
        <f t="shared" si="404"/>
        <v>679</v>
      </c>
      <c r="F679" s="9" t="s">
        <v>31</v>
      </c>
      <c r="L679" s="9" t="s">
        <v>135</v>
      </c>
      <c r="M679" s="23" t="s">
        <v>233</v>
      </c>
    </row>
    <row r="680" spans="2:13">
      <c r="E680" s="4">
        <f t="shared" si="404"/>
        <v>680</v>
      </c>
      <c r="F680" s="9" t="s">
        <v>143</v>
      </c>
      <c r="G680" s="23">
        <f t="shared" ref="G680" si="415">G671/2</f>
        <v>7</v>
      </c>
      <c r="H680" s="23">
        <v>-45</v>
      </c>
      <c r="I680" s="23">
        <v>-15</v>
      </c>
      <c r="J680" s="23" t="s">
        <v>234</v>
      </c>
      <c r="L680" s="9" t="s">
        <v>134</v>
      </c>
      <c r="M680" s="23">
        <f t="shared" ref="M680" si="416">IF(MOD(QUOTIENT(SUM(D670)-1,$G$17),2)=0,$G$18+$I$17*MOD(SUM(D670)-1,$G$17),$H$17+$J$17*MOD(SUM(D670)-1,$G$17))</f>
        <v>-15</v>
      </c>
    </row>
    <row r="681" spans="2:13">
      <c r="E681" s="4"/>
      <c r="G681" s="23">
        <v>45</v>
      </c>
    </row>
    <row r="682" spans="2:13">
      <c r="E682" s="4">
        <f t="shared" ref="E682" si="417">ROW(E682)</f>
        <v>682</v>
      </c>
      <c r="F682" s="9" t="s">
        <v>30</v>
      </c>
      <c r="G682" s="23">
        <v>4</v>
      </c>
      <c r="H682" s="23">
        <v>0.1</v>
      </c>
      <c r="M682" s="23">
        <f t="shared" ref="M682" si="418">$G$19+$H$19*D670</f>
        <v>9.1999999999999993</v>
      </c>
    </row>
    <row r="683" spans="2:13">
      <c r="B683" s="22">
        <f t="shared" ref="B683" si="419">QUOTIENT( D683-1,G684)+1</f>
        <v>4</v>
      </c>
      <c r="C683" s="22">
        <f t="shared" ref="C683" si="420">D683-(B683-1)*G684</f>
        <v>11</v>
      </c>
      <c r="D683" s="22">
        <f>COUNT($D$6:$D682)+1</f>
        <v>53</v>
      </c>
      <c r="E683" s="4"/>
    </row>
    <row r="684" spans="2:13">
      <c r="E684" s="4">
        <f t="shared" si="404"/>
        <v>684</v>
      </c>
      <c r="F684" s="9" t="s">
        <v>93</v>
      </c>
      <c r="G684" s="23" t="s">
        <v>44</v>
      </c>
      <c r="H684" s="23" t="s">
        <v>23</v>
      </c>
      <c r="J684" s="23">
        <v>10500</v>
      </c>
      <c r="M684" s="23">
        <f t="shared" ref="M684" si="421">$J$8+D683</f>
        <v>10553</v>
      </c>
    </row>
    <row r="685" spans="2:13">
      <c r="E685" s="4">
        <f t="shared" si="404"/>
        <v>685</v>
      </c>
      <c r="F685" s="9" t="s">
        <v>144</v>
      </c>
      <c r="M685" s="23">
        <v>104000</v>
      </c>
    </row>
    <row r="686" spans="2:13">
      <c r="E686" s="4">
        <f t="shared" si="404"/>
        <v>686</v>
      </c>
      <c r="F686" s="9" t="s">
        <v>126</v>
      </c>
      <c r="G686" s="23">
        <v>10</v>
      </c>
      <c r="H686" s="23">
        <v>8</v>
      </c>
      <c r="I686" s="23" t="s">
        <v>229</v>
      </c>
      <c r="M686" s="23">
        <f t="shared" ref="M686" si="422">G686*D683+$H$10+B683*I686</f>
        <v>534</v>
      </c>
    </row>
    <row r="687" spans="2:13">
      <c r="E687" s="4">
        <f t="shared" si="404"/>
        <v>687</v>
      </c>
      <c r="F687" s="9" t="s">
        <v>35</v>
      </c>
      <c r="M687" s="23">
        <v>1000</v>
      </c>
    </row>
    <row r="688" spans="2:13">
      <c r="E688" s="4">
        <f t="shared" si="404"/>
        <v>688</v>
      </c>
      <c r="F688" s="9" t="s">
        <v>29</v>
      </c>
      <c r="M688" s="23" t="s">
        <v>231</v>
      </c>
    </row>
    <row r="689" spans="2:13">
      <c r="E689" s="4">
        <f t="shared" si="404"/>
        <v>689</v>
      </c>
      <c r="F689" s="9" t="s">
        <v>118</v>
      </c>
      <c r="M689" s="23" t="s">
        <v>232</v>
      </c>
    </row>
    <row r="690" spans="2:13">
      <c r="E690" s="4">
        <f t="shared" si="404"/>
        <v>690</v>
      </c>
      <c r="F690" s="9" t="s">
        <v>114</v>
      </c>
      <c r="M690" s="23" t="b">
        <v>1</v>
      </c>
    </row>
    <row r="691" spans="2:13">
      <c r="E691" s="4">
        <f t="shared" si="404"/>
        <v>691</v>
      </c>
      <c r="F691" s="9" t="s">
        <v>98</v>
      </c>
      <c r="K691" s="9" t="s">
        <v>137</v>
      </c>
      <c r="M691" s="23">
        <v>2</v>
      </c>
    </row>
    <row r="692" spans="2:13">
      <c r="E692" s="4">
        <f t="shared" si="404"/>
        <v>692</v>
      </c>
      <c r="F692" s="9" t="s">
        <v>31</v>
      </c>
      <c r="L692" s="9" t="s">
        <v>135</v>
      </c>
      <c r="M692" s="23" t="s">
        <v>233</v>
      </c>
    </row>
    <row r="693" spans="2:13">
      <c r="E693" s="4">
        <f t="shared" si="404"/>
        <v>693</v>
      </c>
      <c r="F693" s="9" t="s">
        <v>143</v>
      </c>
      <c r="G693" s="23">
        <f t="shared" ref="G693" si="423">G684/2</f>
        <v>7</v>
      </c>
      <c r="H693" s="23">
        <v>-45</v>
      </c>
      <c r="I693" s="23">
        <v>-15</v>
      </c>
      <c r="J693" s="23" t="s">
        <v>234</v>
      </c>
      <c r="L693" s="9" t="s">
        <v>134</v>
      </c>
      <c r="M693" s="23">
        <f t="shared" ref="M693" si="424">IF(MOD(QUOTIENT(SUM(D683)-1,$G$17),2)=0,$G$18+$I$17*MOD(SUM(D683)-1,$G$17),$H$17+$J$17*MOD(SUM(D683)-1,$G$17))</f>
        <v>0</v>
      </c>
    </row>
    <row r="694" spans="2:13">
      <c r="E694" s="4"/>
      <c r="G694" s="23">
        <v>45</v>
      </c>
    </row>
    <row r="695" spans="2:13">
      <c r="E695" s="4">
        <f t="shared" ref="E695" si="425">ROW(E695)</f>
        <v>695</v>
      </c>
      <c r="F695" s="9" t="s">
        <v>30</v>
      </c>
      <c r="G695" s="23">
        <v>4</v>
      </c>
      <c r="H695" s="23">
        <v>0.1</v>
      </c>
      <c r="M695" s="23">
        <f t="shared" ref="M695" si="426">$G$19+$H$19*D683</f>
        <v>9.3000000000000007</v>
      </c>
    </row>
    <row r="696" spans="2:13">
      <c r="B696" s="22">
        <f t="shared" ref="B696" si="427">QUOTIENT( D696-1,G697)+1</f>
        <v>4</v>
      </c>
      <c r="C696" s="22">
        <f t="shared" ref="C696" si="428">D696-(B696-1)*G697</f>
        <v>12</v>
      </c>
      <c r="D696" s="22">
        <f>COUNT($D$6:$D695)+1</f>
        <v>54</v>
      </c>
      <c r="E696" s="4"/>
    </row>
    <row r="697" spans="2:13">
      <c r="E697" s="4">
        <f t="shared" si="404"/>
        <v>697</v>
      </c>
      <c r="F697" s="9" t="s">
        <v>93</v>
      </c>
      <c r="G697" s="23" t="s">
        <v>44</v>
      </c>
      <c r="H697" s="23" t="s">
        <v>23</v>
      </c>
      <c r="J697" s="23">
        <v>10500</v>
      </c>
      <c r="M697" s="23">
        <f t="shared" ref="M697" si="429">$J$8+D696</f>
        <v>10554</v>
      </c>
    </row>
    <row r="698" spans="2:13">
      <c r="E698" s="4">
        <f t="shared" si="404"/>
        <v>698</v>
      </c>
      <c r="F698" s="9" t="s">
        <v>144</v>
      </c>
      <c r="M698" s="23">
        <v>104000</v>
      </c>
    </row>
    <row r="699" spans="2:13">
      <c r="E699" s="4">
        <f t="shared" si="404"/>
        <v>699</v>
      </c>
      <c r="F699" s="9" t="s">
        <v>126</v>
      </c>
      <c r="G699" s="23">
        <v>10</v>
      </c>
      <c r="H699" s="23">
        <v>8</v>
      </c>
      <c r="I699" s="23" t="s">
        <v>229</v>
      </c>
      <c r="M699" s="23">
        <f t="shared" ref="M699" si="430">G699*D696+$H$10+B696*I699</f>
        <v>544</v>
      </c>
    </row>
    <row r="700" spans="2:13">
      <c r="E700" s="4">
        <f t="shared" si="404"/>
        <v>700</v>
      </c>
      <c r="F700" s="9" t="s">
        <v>35</v>
      </c>
      <c r="M700" s="23">
        <v>1000</v>
      </c>
    </row>
    <row r="701" spans="2:13">
      <c r="E701" s="4">
        <f t="shared" si="404"/>
        <v>701</v>
      </c>
      <c r="F701" s="9" t="s">
        <v>29</v>
      </c>
      <c r="M701" s="23" t="s">
        <v>231</v>
      </c>
    </row>
    <row r="702" spans="2:13">
      <c r="E702" s="4">
        <f t="shared" si="404"/>
        <v>702</v>
      </c>
      <c r="F702" s="9" t="s">
        <v>118</v>
      </c>
      <c r="M702" s="23" t="s">
        <v>232</v>
      </c>
    </row>
    <row r="703" spans="2:13">
      <c r="E703" s="4">
        <f t="shared" si="404"/>
        <v>703</v>
      </c>
      <c r="F703" s="9" t="s">
        <v>114</v>
      </c>
      <c r="M703" s="23" t="b">
        <v>1</v>
      </c>
    </row>
    <row r="704" spans="2:13">
      <c r="E704" s="4">
        <f t="shared" si="404"/>
        <v>704</v>
      </c>
      <c r="F704" s="9" t="s">
        <v>98</v>
      </c>
      <c r="K704" s="9" t="s">
        <v>137</v>
      </c>
      <c r="M704" s="23">
        <v>2</v>
      </c>
    </row>
    <row r="705" spans="2:13">
      <c r="E705" s="4">
        <f t="shared" si="404"/>
        <v>705</v>
      </c>
      <c r="F705" s="9" t="s">
        <v>31</v>
      </c>
      <c r="L705" s="9" t="s">
        <v>135</v>
      </c>
      <c r="M705" s="23" t="s">
        <v>233</v>
      </c>
    </row>
    <row r="706" spans="2:13">
      <c r="E706" s="4">
        <f t="shared" si="404"/>
        <v>706</v>
      </c>
      <c r="F706" s="9" t="s">
        <v>143</v>
      </c>
      <c r="G706" s="23">
        <f t="shared" ref="G706" si="431">G697/2</f>
        <v>7</v>
      </c>
      <c r="H706" s="23">
        <v>-45</v>
      </c>
      <c r="I706" s="23">
        <v>-15</v>
      </c>
      <c r="J706" s="23" t="s">
        <v>234</v>
      </c>
      <c r="L706" s="9" t="s">
        <v>134</v>
      </c>
      <c r="M706" s="23">
        <f t="shared" ref="M706" si="432">IF(MOD(QUOTIENT(SUM(D696)-1,$G$17),2)=0,$G$18+$I$17*MOD(SUM(D696)-1,$G$17),$H$17+$J$17*MOD(SUM(D696)-1,$G$17))</f>
        <v>15</v>
      </c>
    </row>
    <row r="707" spans="2:13">
      <c r="E707" s="4"/>
      <c r="G707" s="23">
        <v>45</v>
      </c>
    </row>
    <row r="708" spans="2:13">
      <c r="E708" s="4">
        <f t="shared" ref="E708" si="433">ROW(E708)</f>
        <v>708</v>
      </c>
      <c r="F708" s="9" t="s">
        <v>30</v>
      </c>
      <c r="G708" s="23">
        <v>4</v>
      </c>
      <c r="H708" s="23">
        <v>0.1</v>
      </c>
      <c r="M708" s="23">
        <f t="shared" ref="M708" si="434">$G$19+$H$19*D696</f>
        <v>9.4</v>
      </c>
    </row>
    <row r="709" spans="2:13">
      <c r="B709" s="22">
        <f t="shared" ref="B709" si="435">QUOTIENT( D709-1,G710)+1</f>
        <v>4</v>
      </c>
      <c r="C709" s="22">
        <f t="shared" ref="C709" si="436">D709-(B709-1)*G710</f>
        <v>13</v>
      </c>
      <c r="D709" s="22">
        <f>COUNT($D$6:$D708)+1</f>
        <v>55</v>
      </c>
      <c r="E709" s="4"/>
    </row>
    <row r="710" spans="2:13">
      <c r="E710" s="4">
        <f t="shared" si="404"/>
        <v>710</v>
      </c>
      <c r="F710" s="9" t="s">
        <v>93</v>
      </c>
      <c r="G710" s="23" t="s">
        <v>44</v>
      </c>
      <c r="H710" s="23" t="s">
        <v>23</v>
      </c>
      <c r="J710" s="23">
        <v>10500</v>
      </c>
      <c r="M710" s="23">
        <f t="shared" ref="M710" si="437">$J$8+D709</f>
        <v>10555</v>
      </c>
    </row>
    <row r="711" spans="2:13">
      <c r="E711" s="4">
        <f t="shared" si="404"/>
        <v>711</v>
      </c>
      <c r="F711" s="9" t="s">
        <v>144</v>
      </c>
      <c r="M711" s="23">
        <v>104000</v>
      </c>
    </row>
    <row r="712" spans="2:13">
      <c r="E712" s="4">
        <f t="shared" si="404"/>
        <v>712</v>
      </c>
      <c r="F712" s="9" t="s">
        <v>126</v>
      </c>
      <c r="G712" s="23">
        <v>10</v>
      </c>
      <c r="H712" s="23">
        <v>8</v>
      </c>
      <c r="I712" s="23" t="s">
        <v>229</v>
      </c>
      <c r="M712" s="23">
        <f t="shared" ref="M712" si="438">G712*D709+$H$10+B709*I712</f>
        <v>554</v>
      </c>
    </row>
    <row r="713" spans="2:13">
      <c r="E713" s="4">
        <f t="shared" si="404"/>
        <v>713</v>
      </c>
      <c r="F713" s="9" t="s">
        <v>35</v>
      </c>
      <c r="M713" s="23">
        <v>1000</v>
      </c>
    </row>
    <row r="714" spans="2:13">
      <c r="E714" s="4">
        <f t="shared" si="404"/>
        <v>714</v>
      </c>
      <c r="F714" s="9" t="s">
        <v>29</v>
      </c>
      <c r="M714" s="23" t="s">
        <v>231</v>
      </c>
    </row>
    <row r="715" spans="2:13">
      <c r="E715" s="4">
        <f t="shared" si="404"/>
        <v>715</v>
      </c>
      <c r="F715" s="9" t="s">
        <v>118</v>
      </c>
      <c r="M715" s="23" t="s">
        <v>232</v>
      </c>
    </row>
    <row r="716" spans="2:13">
      <c r="E716" s="4">
        <f t="shared" si="404"/>
        <v>716</v>
      </c>
      <c r="F716" s="9" t="s">
        <v>114</v>
      </c>
      <c r="M716" s="23" t="b">
        <v>1</v>
      </c>
    </row>
    <row r="717" spans="2:13">
      <c r="E717" s="4">
        <f t="shared" si="404"/>
        <v>717</v>
      </c>
      <c r="F717" s="9" t="s">
        <v>98</v>
      </c>
      <c r="K717" s="9" t="s">
        <v>137</v>
      </c>
      <c r="M717" s="23">
        <v>2</v>
      </c>
    </row>
    <row r="718" spans="2:13">
      <c r="E718" s="4">
        <f t="shared" si="404"/>
        <v>718</v>
      </c>
      <c r="F718" s="9" t="s">
        <v>31</v>
      </c>
      <c r="L718" s="9" t="s">
        <v>135</v>
      </c>
      <c r="M718" s="23" t="s">
        <v>233</v>
      </c>
    </row>
    <row r="719" spans="2:13">
      <c r="E719" s="4">
        <f t="shared" si="404"/>
        <v>719</v>
      </c>
      <c r="F719" s="9" t="s">
        <v>143</v>
      </c>
      <c r="G719" s="23">
        <f t="shared" ref="G719" si="439">G710/2</f>
        <v>7</v>
      </c>
      <c r="H719" s="23">
        <v>-45</v>
      </c>
      <c r="I719" s="23">
        <v>-15</v>
      </c>
      <c r="J719" s="23" t="s">
        <v>234</v>
      </c>
      <c r="L719" s="9" t="s">
        <v>134</v>
      </c>
      <c r="M719" s="23">
        <f t="shared" ref="M719" si="440">IF(MOD(QUOTIENT(SUM(D709)-1,$G$17),2)=0,$G$18+$I$17*MOD(SUM(D709)-1,$G$17),$H$17+$J$17*MOD(SUM(D709)-1,$G$17))</f>
        <v>30</v>
      </c>
    </row>
    <row r="720" spans="2:13">
      <c r="E720" s="4"/>
      <c r="G720" s="23">
        <v>45</v>
      </c>
    </row>
    <row r="721" spans="2:13">
      <c r="E721" s="4">
        <f t="shared" ref="E721" si="441">ROW(E721)</f>
        <v>721</v>
      </c>
      <c r="F721" s="9" t="s">
        <v>30</v>
      </c>
      <c r="G721" s="23">
        <v>4</v>
      </c>
      <c r="H721" s="23">
        <v>0.1</v>
      </c>
      <c r="M721" s="23">
        <f t="shared" ref="M721" si="442">$G$19+$H$19*D709</f>
        <v>9.5</v>
      </c>
    </row>
    <row r="722" spans="2:13">
      <c r="B722" s="22">
        <f t="shared" ref="B722" si="443">QUOTIENT( D722-1,G723)+1</f>
        <v>4</v>
      </c>
      <c r="C722" s="22">
        <f t="shared" ref="C722" si="444">D722-(B722-1)*G723</f>
        <v>14</v>
      </c>
      <c r="D722" s="22">
        <f>COUNT($D$6:$D721)+1</f>
        <v>56</v>
      </c>
      <c r="E722" s="4"/>
    </row>
    <row r="723" spans="2:13">
      <c r="E723" s="4">
        <f t="shared" ref="E723:E784" si="445">ROW(E723)</f>
        <v>723</v>
      </c>
      <c r="F723" s="9" t="s">
        <v>93</v>
      </c>
      <c r="G723" s="23" t="s">
        <v>44</v>
      </c>
      <c r="H723" s="23" t="s">
        <v>23</v>
      </c>
      <c r="J723" s="23">
        <v>10500</v>
      </c>
      <c r="M723" s="23">
        <f t="shared" ref="M723" si="446">$J$8+D722</f>
        <v>10556</v>
      </c>
    </row>
    <row r="724" spans="2:13">
      <c r="E724" s="4">
        <f t="shared" si="445"/>
        <v>724</v>
      </c>
      <c r="F724" s="9" t="s">
        <v>144</v>
      </c>
      <c r="M724" s="23">
        <v>104000</v>
      </c>
    </row>
    <row r="725" spans="2:13">
      <c r="E725" s="4">
        <f t="shared" si="445"/>
        <v>725</v>
      </c>
      <c r="F725" s="9" t="s">
        <v>126</v>
      </c>
      <c r="G725" s="23">
        <v>10</v>
      </c>
      <c r="H725" s="23">
        <v>8</v>
      </c>
      <c r="I725" s="23" t="s">
        <v>229</v>
      </c>
      <c r="M725" s="23">
        <f t="shared" ref="M725" si="447">G725*D722+$H$10+B722*I725</f>
        <v>564</v>
      </c>
    </row>
    <row r="726" spans="2:13">
      <c r="E726" s="4">
        <f t="shared" si="445"/>
        <v>726</v>
      </c>
      <c r="F726" s="9" t="s">
        <v>35</v>
      </c>
      <c r="M726" s="23">
        <v>1000</v>
      </c>
    </row>
    <row r="727" spans="2:13">
      <c r="E727" s="4">
        <f t="shared" si="445"/>
        <v>727</v>
      </c>
      <c r="F727" s="9" t="s">
        <v>29</v>
      </c>
      <c r="M727" s="23" t="s">
        <v>231</v>
      </c>
    </row>
    <row r="728" spans="2:13">
      <c r="E728" s="4">
        <f t="shared" si="445"/>
        <v>728</v>
      </c>
      <c r="F728" s="9" t="s">
        <v>118</v>
      </c>
      <c r="M728" s="23" t="s">
        <v>232</v>
      </c>
    </row>
    <row r="729" spans="2:13">
      <c r="E729" s="4">
        <f t="shared" si="445"/>
        <v>729</v>
      </c>
      <c r="F729" s="9" t="s">
        <v>114</v>
      </c>
      <c r="M729" s="23" t="b">
        <v>1</v>
      </c>
    </row>
    <row r="730" spans="2:13">
      <c r="E730" s="4">
        <f t="shared" si="445"/>
        <v>730</v>
      </c>
      <c r="F730" s="9" t="s">
        <v>98</v>
      </c>
      <c r="K730" s="9" t="s">
        <v>137</v>
      </c>
      <c r="M730" s="23">
        <v>2</v>
      </c>
    </row>
    <row r="731" spans="2:13">
      <c r="E731" s="4">
        <f t="shared" si="445"/>
        <v>731</v>
      </c>
      <c r="F731" s="9" t="s">
        <v>31</v>
      </c>
      <c r="L731" s="9" t="s">
        <v>135</v>
      </c>
      <c r="M731" s="23" t="s">
        <v>233</v>
      </c>
    </row>
    <row r="732" spans="2:13">
      <c r="E732" s="4">
        <f t="shared" si="445"/>
        <v>732</v>
      </c>
      <c r="F732" s="9" t="s">
        <v>143</v>
      </c>
      <c r="G732" s="23">
        <f t="shared" ref="G732" si="448">G723/2</f>
        <v>7</v>
      </c>
      <c r="H732" s="23">
        <v>-45</v>
      </c>
      <c r="I732" s="23">
        <v>-15</v>
      </c>
      <c r="J732" s="23" t="s">
        <v>234</v>
      </c>
      <c r="L732" s="9" t="s">
        <v>134</v>
      </c>
      <c r="M732" s="23">
        <f t="shared" ref="M732" si="449">IF(MOD(QUOTIENT(SUM(D722)-1,$G$17),2)=0,$G$18+$I$17*MOD(SUM(D722)-1,$G$17),$H$17+$J$17*MOD(SUM(D722)-1,$G$17))</f>
        <v>45</v>
      </c>
    </row>
    <row r="733" spans="2:13">
      <c r="E733" s="4"/>
      <c r="G733" s="23">
        <v>45</v>
      </c>
    </row>
    <row r="734" spans="2:13">
      <c r="E734" s="4">
        <f t="shared" ref="E734" si="450">ROW(E734)</f>
        <v>734</v>
      </c>
      <c r="F734" s="9" t="s">
        <v>30</v>
      </c>
      <c r="G734" s="23">
        <v>4</v>
      </c>
      <c r="H734" s="23">
        <v>0.1</v>
      </c>
      <c r="M734" s="23">
        <f t="shared" ref="M734" si="451">$G$19+$H$19*D722</f>
        <v>9.6000000000000014</v>
      </c>
    </row>
    <row r="735" spans="2:13">
      <c r="B735" s="22">
        <f t="shared" ref="B735" si="452">QUOTIENT( D735-1,G736)+1</f>
        <v>5</v>
      </c>
      <c r="C735" s="22">
        <f t="shared" ref="C735" si="453">D735-(B735-1)*G736</f>
        <v>1</v>
      </c>
      <c r="D735" s="22">
        <f>COUNT($D$6:$D734)+1</f>
        <v>57</v>
      </c>
      <c r="E735" s="4"/>
    </row>
    <row r="736" spans="2:13">
      <c r="E736" s="4">
        <f t="shared" si="445"/>
        <v>736</v>
      </c>
      <c r="F736" s="9" t="s">
        <v>93</v>
      </c>
      <c r="G736" s="23" t="s">
        <v>44</v>
      </c>
      <c r="H736" s="23" t="s">
        <v>23</v>
      </c>
      <c r="J736" s="23">
        <v>10500</v>
      </c>
      <c r="M736" s="23">
        <f t="shared" ref="M736" si="454">$J$8+D735</f>
        <v>10557</v>
      </c>
    </row>
    <row r="737" spans="2:13">
      <c r="E737" s="4">
        <f t="shared" si="445"/>
        <v>737</v>
      </c>
      <c r="F737" s="9" t="s">
        <v>144</v>
      </c>
      <c r="M737" s="23">
        <v>104000</v>
      </c>
    </row>
    <row r="738" spans="2:13">
      <c r="E738" s="4">
        <f t="shared" si="445"/>
        <v>738</v>
      </c>
      <c r="F738" s="9" t="s">
        <v>126</v>
      </c>
      <c r="G738" s="23">
        <v>10</v>
      </c>
      <c r="H738" s="23">
        <v>8</v>
      </c>
      <c r="I738" s="23" t="s">
        <v>229</v>
      </c>
      <c r="M738" s="23">
        <f t="shared" ref="M738" si="455">G738*D735+$H$10+B735*I738</f>
        <v>573</v>
      </c>
    </row>
    <row r="739" spans="2:13">
      <c r="E739" s="4">
        <f t="shared" si="445"/>
        <v>739</v>
      </c>
      <c r="F739" s="9" t="s">
        <v>35</v>
      </c>
      <c r="M739" s="23">
        <v>1000</v>
      </c>
    </row>
    <row r="740" spans="2:13">
      <c r="E740" s="4">
        <f t="shared" si="445"/>
        <v>740</v>
      </c>
      <c r="F740" s="9" t="s">
        <v>29</v>
      </c>
      <c r="M740" s="23" t="s">
        <v>231</v>
      </c>
    </row>
    <row r="741" spans="2:13">
      <c r="E741" s="4">
        <f t="shared" si="445"/>
        <v>741</v>
      </c>
      <c r="F741" s="9" t="s">
        <v>118</v>
      </c>
      <c r="M741" s="23" t="s">
        <v>232</v>
      </c>
    </row>
    <row r="742" spans="2:13">
      <c r="E742" s="4">
        <f t="shared" si="445"/>
        <v>742</v>
      </c>
      <c r="F742" s="9" t="s">
        <v>114</v>
      </c>
      <c r="M742" s="23" t="b">
        <v>1</v>
      </c>
    </row>
    <row r="743" spans="2:13">
      <c r="E743" s="4">
        <f t="shared" si="445"/>
        <v>743</v>
      </c>
      <c r="F743" s="9" t="s">
        <v>98</v>
      </c>
      <c r="K743" s="9" t="s">
        <v>137</v>
      </c>
      <c r="M743" s="23">
        <v>2</v>
      </c>
    </row>
    <row r="744" spans="2:13">
      <c r="E744" s="4">
        <f t="shared" si="445"/>
        <v>744</v>
      </c>
      <c r="F744" s="9" t="s">
        <v>31</v>
      </c>
      <c r="L744" s="9" t="s">
        <v>135</v>
      </c>
      <c r="M744" s="23" t="s">
        <v>233</v>
      </c>
    </row>
    <row r="745" spans="2:13">
      <c r="E745" s="4">
        <f t="shared" si="445"/>
        <v>745</v>
      </c>
      <c r="F745" s="9" t="s">
        <v>143</v>
      </c>
      <c r="G745" s="23">
        <f t="shared" ref="G745" si="456">G736/2</f>
        <v>7</v>
      </c>
      <c r="H745" s="23">
        <v>-45</v>
      </c>
      <c r="I745" s="23">
        <v>-15</v>
      </c>
      <c r="J745" s="23" t="s">
        <v>234</v>
      </c>
      <c r="L745" s="9" t="s">
        <v>134</v>
      </c>
      <c r="M745" s="23">
        <f t="shared" ref="M745" si="457">IF(MOD(QUOTIENT(SUM(D735)-1,$G$17),2)=0,$G$18+$I$17*MOD(SUM(D735)-1,$G$17),$H$17+$J$17*MOD(SUM(D735)-1,$G$17))</f>
        <v>45</v>
      </c>
    </row>
    <row r="746" spans="2:13">
      <c r="E746" s="4"/>
      <c r="G746" s="23">
        <v>45</v>
      </c>
    </row>
    <row r="747" spans="2:13">
      <c r="E747" s="4">
        <f t="shared" ref="E747" si="458">ROW(E747)</f>
        <v>747</v>
      </c>
      <c r="F747" s="9" t="s">
        <v>30</v>
      </c>
      <c r="G747" s="23">
        <v>4</v>
      </c>
      <c r="H747" s="23">
        <v>0.1</v>
      </c>
      <c r="M747" s="23">
        <f t="shared" ref="M747" si="459">$G$19+$H$19*D735</f>
        <v>9.6999999999999993</v>
      </c>
    </row>
    <row r="748" spans="2:13">
      <c r="B748" s="22">
        <f t="shared" ref="B748" si="460">QUOTIENT( D748-1,G749)+1</f>
        <v>5</v>
      </c>
      <c r="C748" s="22">
        <f t="shared" ref="C748" si="461">D748-(B748-1)*G749</f>
        <v>2</v>
      </c>
      <c r="D748" s="22">
        <f>COUNT($D$6:$D747)+1</f>
        <v>58</v>
      </c>
      <c r="E748" s="4"/>
    </row>
    <row r="749" spans="2:13">
      <c r="E749" s="4">
        <f t="shared" si="445"/>
        <v>749</v>
      </c>
      <c r="F749" s="9" t="s">
        <v>93</v>
      </c>
      <c r="G749" s="23" t="s">
        <v>44</v>
      </c>
      <c r="H749" s="23" t="s">
        <v>23</v>
      </c>
      <c r="J749" s="23">
        <v>10500</v>
      </c>
      <c r="M749" s="23">
        <f t="shared" ref="M749" si="462">$J$8+D748</f>
        <v>10558</v>
      </c>
    </row>
    <row r="750" spans="2:13">
      <c r="E750" s="4">
        <f t="shared" si="445"/>
        <v>750</v>
      </c>
      <c r="F750" s="9" t="s">
        <v>144</v>
      </c>
      <c r="M750" s="23">
        <v>104000</v>
      </c>
    </row>
    <row r="751" spans="2:13">
      <c r="E751" s="4">
        <f t="shared" si="445"/>
        <v>751</v>
      </c>
      <c r="F751" s="9" t="s">
        <v>126</v>
      </c>
      <c r="G751" s="23">
        <v>10</v>
      </c>
      <c r="H751" s="23">
        <v>8</v>
      </c>
      <c r="I751" s="23" t="s">
        <v>229</v>
      </c>
      <c r="M751" s="23">
        <f t="shared" ref="M751" si="463">G751*D748+$H$10+B748*I751</f>
        <v>583</v>
      </c>
    </row>
    <row r="752" spans="2:13">
      <c r="E752" s="4">
        <f t="shared" si="445"/>
        <v>752</v>
      </c>
      <c r="F752" s="9" t="s">
        <v>35</v>
      </c>
      <c r="M752" s="23">
        <v>1000</v>
      </c>
    </row>
    <row r="753" spans="2:13">
      <c r="E753" s="4">
        <f t="shared" si="445"/>
        <v>753</v>
      </c>
      <c r="F753" s="9" t="s">
        <v>29</v>
      </c>
      <c r="M753" s="23" t="s">
        <v>231</v>
      </c>
    </row>
    <row r="754" spans="2:13">
      <c r="E754" s="4">
        <f t="shared" si="445"/>
        <v>754</v>
      </c>
      <c r="F754" s="9" t="s">
        <v>118</v>
      </c>
      <c r="M754" s="23" t="s">
        <v>232</v>
      </c>
    </row>
    <row r="755" spans="2:13">
      <c r="E755" s="4">
        <f t="shared" si="445"/>
        <v>755</v>
      </c>
      <c r="F755" s="9" t="s">
        <v>114</v>
      </c>
      <c r="M755" s="23" t="b">
        <v>1</v>
      </c>
    </row>
    <row r="756" spans="2:13">
      <c r="E756" s="4">
        <f t="shared" si="445"/>
        <v>756</v>
      </c>
      <c r="F756" s="9" t="s">
        <v>98</v>
      </c>
      <c r="K756" s="9" t="s">
        <v>137</v>
      </c>
      <c r="M756" s="23">
        <v>2</v>
      </c>
    </row>
    <row r="757" spans="2:13">
      <c r="E757" s="4">
        <f t="shared" si="445"/>
        <v>757</v>
      </c>
      <c r="F757" s="9" t="s">
        <v>31</v>
      </c>
      <c r="L757" s="9" t="s">
        <v>135</v>
      </c>
      <c r="M757" s="23" t="s">
        <v>233</v>
      </c>
    </row>
    <row r="758" spans="2:13">
      <c r="E758" s="4">
        <f t="shared" si="445"/>
        <v>758</v>
      </c>
      <c r="F758" s="9" t="s">
        <v>143</v>
      </c>
      <c r="G758" s="23">
        <f t="shared" ref="G758" si="464">G749/2</f>
        <v>7</v>
      </c>
      <c r="H758" s="23">
        <v>-45</v>
      </c>
      <c r="I758" s="23">
        <v>-15</v>
      </c>
      <c r="J758" s="23" t="s">
        <v>234</v>
      </c>
      <c r="L758" s="9" t="s">
        <v>134</v>
      </c>
      <c r="M758" s="23">
        <f t="shared" ref="M758" si="465">IF(MOD(QUOTIENT(SUM(D748)-1,$G$17),2)=0,$G$18+$I$17*MOD(SUM(D748)-1,$G$17),$H$17+$J$17*MOD(SUM(D748)-1,$G$17))</f>
        <v>30</v>
      </c>
    </row>
    <row r="759" spans="2:13">
      <c r="E759" s="4"/>
      <c r="G759" s="23">
        <v>45</v>
      </c>
    </row>
    <row r="760" spans="2:13">
      <c r="E760" s="4">
        <f t="shared" ref="E760" si="466">ROW(E760)</f>
        <v>760</v>
      </c>
      <c r="F760" s="9" t="s">
        <v>30</v>
      </c>
      <c r="G760" s="23">
        <v>4</v>
      </c>
      <c r="H760" s="23">
        <v>0.1</v>
      </c>
      <c r="M760" s="23">
        <f t="shared" ref="M760" si="467">$G$19+$H$19*D748</f>
        <v>9.8000000000000007</v>
      </c>
    </row>
    <row r="761" spans="2:13">
      <c r="B761" s="22">
        <f t="shared" ref="B761" si="468">QUOTIENT( D761-1,G762)+1</f>
        <v>5</v>
      </c>
      <c r="C761" s="22">
        <f t="shared" ref="C761" si="469">D761-(B761-1)*G762</f>
        <v>3</v>
      </c>
      <c r="D761" s="22">
        <f>COUNT($D$6:$D760)+1</f>
        <v>59</v>
      </c>
      <c r="E761" s="4"/>
    </row>
    <row r="762" spans="2:13">
      <c r="E762" s="4">
        <f t="shared" si="445"/>
        <v>762</v>
      </c>
      <c r="F762" s="9" t="s">
        <v>93</v>
      </c>
      <c r="G762" s="23" t="s">
        <v>44</v>
      </c>
      <c r="H762" s="23" t="s">
        <v>23</v>
      </c>
      <c r="J762" s="23">
        <v>10500</v>
      </c>
      <c r="M762" s="23">
        <f t="shared" ref="M762" si="470">$J$8+D761</f>
        <v>10559</v>
      </c>
    </row>
    <row r="763" spans="2:13">
      <c r="E763" s="4">
        <f t="shared" si="445"/>
        <v>763</v>
      </c>
      <c r="F763" s="9" t="s">
        <v>144</v>
      </c>
      <c r="M763" s="23">
        <v>104000</v>
      </c>
    </row>
    <row r="764" spans="2:13">
      <c r="E764" s="4">
        <f t="shared" si="445"/>
        <v>764</v>
      </c>
      <c r="F764" s="9" t="s">
        <v>126</v>
      </c>
      <c r="G764" s="23">
        <v>10</v>
      </c>
      <c r="H764" s="23">
        <v>8</v>
      </c>
      <c r="I764" s="23" t="s">
        <v>229</v>
      </c>
      <c r="M764" s="23">
        <f t="shared" ref="M764" si="471">G764*D761+$H$10+B761*I764</f>
        <v>593</v>
      </c>
    </row>
    <row r="765" spans="2:13">
      <c r="E765" s="4">
        <f t="shared" si="445"/>
        <v>765</v>
      </c>
      <c r="F765" s="9" t="s">
        <v>35</v>
      </c>
      <c r="M765" s="23">
        <v>1000</v>
      </c>
    </row>
    <row r="766" spans="2:13">
      <c r="E766" s="4">
        <f t="shared" si="445"/>
        <v>766</v>
      </c>
      <c r="F766" s="9" t="s">
        <v>29</v>
      </c>
      <c r="M766" s="23" t="s">
        <v>231</v>
      </c>
    </row>
    <row r="767" spans="2:13">
      <c r="E767" s="4">
        <f t="shared" si="445"/>
        <v>767</v>
      </c>
      <c r="F767" s="9" t="s">
        <v>118</v>
      </c>
      <c r="M767" s="23" t="s">
        <v>232</v>
      </c>
    </row>
    <row r="768" spans="2:13">
      <c r="E768" s="4">
        <f t="shared" si="445"/>
        <v>768</v>
      </c>
      <c r="F768" s="9" t="s">
        <v>114</v>
      </c>
      <c r="M768" s="23" t="b">
        <v>1</v>
      </c>
    </row>
    <row r="769" spans="2:13">
      <c r="E769" s="4">
        <f t="shared" si="445"/>
        <v>769</v>
      </c>
      <c r="F769" s="9" t="s">
        <v>98</v>
      </c>
      <c r="K769" s="9" t="s">
        <v>137</v>
      </c>
      <c r="M769" s="23">
        <v>2</v>
      </c>
    </row>
    <row r="770" spans="2:13">
      <c r="E770" s="4">
        <f t="shared" si="445"/>
        <v>770</v>
      </c>
      <c r="F770" s="9" t="s">
        <v>31</v>
      </c>
      <c r="L770" s="9" t="s">
        <v>135</v>
      </c>
      <c r="M770" s="23" t="s">
        <v>233</v>
      </c>
    </row>
    <row r="771" spans="2:13">
      <c r="E771" s="4">
        <f t="shared" si="445"/>
        <v>771</v>
      </c>
      <c r="F771" s="9" t="s">
        <v>143</v>
      </c>
      <c r="G771" s="23">
        <f t="shared" ref="G771" si="472">G762/2</f>
        <v>7</v>
      </c>
      <c r="H771" s="23">
        <v>-45</v>
      </c>
      <c r="I771" s="23">
        <v>-15</v>
      </c>
      <c r="J771" s="23" t="s">
        <v>234</v>
      </c>
      <c r="L771" s="9" t="s">
        <v>134</v>
      </c>
      <c r="M771" s="23">
        <f t="shared" ref="M771" si="473">IF(MOD(QUOTIENT(SUM(D761)-1,$G$17),2)=0,$G$18+$I$17*MOD(SUM(D761)-1,$G$17),$H$17+$J$17*MOD(SUM(D761)-1,$G$17))</f>
        <v>15</v>
      </c>
    </row>
    <row r="772" spans="2:13">
      <c r="E772" s="4"/>
      <c r="G772" s="23">
        <v>45</v>
      </c>
    </row>
    <row r="773" spans="2:13">
      <c r="E773" s="4">
        <f t="shared" ref="E773" si="474">ROW(E773)</f>
        <v>773</v>
      </c>
      <c r="F773" s="9" t="s">
        <v>30</v>
      </c>
      <c r="G773" s="23">
        <v>4</v>
      </c>
      <c r="H773" s="23">
        <v>0.1</v>
      </c>
      <c r="M773" s="23">
        <f t="shared" ref="M773" si="475">$G$19+$H$19*D761</f>
        <v>9.9</v>
      </c>
    </row>
    <row r="774" spans="2:13">
      <c r="B774" s="22">
        <f t="shared" ref="B774" si="476">QUOTIENT( D774-1,G775)+1</f>
        <v>5</v>
      </c>
      <c r="C774" s="22">
        <f t="shared" ref="C774" si="477">D774-(B774-1)*G775</f>
        <v>4</v>
      </c>
      <c r="D774" s="22">
        <f>COUNT($D$6:$D773)+1</f>
        <v>60</v>
      </c>
      <c r="E774" s="4"/>
    </row>
    <row r="775" spans="2:13">
      <c r="E775" s="4">
        <f t="shared" si="445"/>
        <v>775</v>
      </c>
      <c r="F775" s="9" t="s">
        <v>93</v>
      </c>
      <c r="G775" s="23" t="s">
        <v>44</v>
      </c>
      <c r="H775" s="23" t="s">
        <v>23</v>
      </c>
      <c r="J775" s="23">
        <v>10500</v>
      </c>
      <c r="M775" s="23">
        <f t="shared" ref="M775" si="478">$J$8+D774</f>
        <v>10560</v>
      </c>
    </row>
    <row r="776" spans="2:13">
      <c r="E776" s="4">
        <f t="shared" si="445"/>
        <v>776</v>
      </c>
      <c r="F776" s="9" t="s">
        <v>144</v>
      </c>
      <c r="M776" s="23">
        <v>104000</v>
      </c>
    </row>
    <row r="777" spans="2:13">
      <c r="E777" s="4">
        <f t="shared" si="445"/>
        <v>777</v>
      </c>
      <c r="F777" s="9" t="s">
        <v>126</v>
      </c>
      <c r="G777" s="23">
        <v>10</v>
      </c>
      <c r="H777" s="23">
        <v>8</v>
      </c>
      <c r="I777" s="23" t="s">
        <v>229</v>
      </c>
      <c r="M777" s="23">
        <f t="shared" ref="M777" si="479">G777*D774+$H$10+B774*I777</f>
        <v>603</v>
      </c>
    </row>
    <row r="778" spans="2:13">
      <c r="E778" s="4">
        <f t="shared" si="445"/>
        <v>778</v>
      </c>
      <c r="F778" s="9" t="s">
        <v>35</v>
      </c>
      <c r="M778" s="23">
        <v>1000</v>
      </c>
    </row>
    <row r="779" spans="2:13">
      <c r="E779" s="4">
        <f t="shared" si="445"/>
        <v>779</v>
      </c>
      <c r="F779" s="9" t="s">
        <v>29</v>
      </c>
      <c r="M779" s="23" t="s">
        <v>231</v>
      </c>
    </row>
    <row r="780" spans="2:13">
      <c r="E780" s="4">
        <f t="shared" si="445"/>
        <v>780</v>
      </c>
      <c r="F780" s="9" t="s">
        <v>118</v>
      </c>
      <c r="M780" s="23" t="s">
        <v>232</v>
      </c>
    </row>
    <row r="781" spans="2:13">
      <c r="E781" s="4">
        <f t="shared" si="445"/>
        <v>781</v>
      </c>
      <c r="F781" s="9" t="s">
        <v>114</v>
      </c>
      <c r="M781" s="23" t="b">
        <v>1</v>
      </c>
    </row>
    <row r="782" spans="2:13">
      <c r="E782" s="4">
        <f t="shared" si="445"/>
        <v>782</v>
      </c>
      <c r="F782" s="9" t="s">
        <v>98</v>
      </c>
      <c r="K782" s="9" t="s">
        <v>137</v>
      </c>
      <c r="M782" s="23">
        <v>2</v>
      </c>
    </row>
    <row r="783" spans="2:13">
      <c r="E783" s="4">
        <f t="shared" si="445"/>
        <v>783</v>
      </c>
      <c r="F783" s="9" t="s">
        <v>31</v>
      </c>
      <c r="L783" s="9" t="s">
        <v>135</v>
      </c>
      <c r="M783" s="23" t="s">
        <v>233</v>
      </c>
    </row>
    <row r="784" spans="2:13">
      <c r="E784" s="4">
        <f t="shared" si="445"/>
        <v>784</v>
      </c>
      <c r="F784" s="9" t="s">
        <v>143</v>
      </c>
      <c r="G784" s="23">
        <f t="shared" ref="G784" si="480">G775/2</f>
        <v>7</v>
      </c>
      <c r="H784" s="23">
        <v>-45</v>
      </c>
      <c r="I784" s="23">
        <v>-15</v>
      </c>
      <c r="J784" s="23" t="s">
        <v>234</v>
      </c>
      <c r="L784" s="9" t="s">
        <v>134</v>
      </c>
      <c r="M784" s="23">
        <f t="shared" ref="M784" si="481">IF(MOD(QUOTIENT(SUM(D774)-1,$G$17),2)=0,$G$18+$I$17*MOD(SUM(D774)-1,$G$17),$H$17+$J$17*MOD(SUM(D774)-1,$G$17))</f>
        <v>0</v>
      </c>
    </row>
    <row r="785" spans="2:13">
      <c r="E785" s="4"/>
      <c r="G785" s="23">
        <v>45</v>
      </c>
    </row>
    <row r="786" spans="2:13">
      <c r="E786" s="4">
        <f t="shared" ref="E786" si="482">ROW(E786)</f>
        <v>786</v>
      </c>
      <c r="F786" s="9" t="s">
        <v>30</v>
      </c>
      <c r="G786" s="23">
        <v>4</v>
      </c>
      <c r="H786" s="23">
        <v>0.1</v>
      </c>
      <c r="M786" s="23">
        <f t="shared" ref="M786" si="483">$G$19+$H$19*D774</f>
        <v>10</v>
      </c>
    </row>
    <row r="787" spans="2:13">
      <c r="B787" s="22">
        <f t="shared" ref="B787" si="484">QUOTIENT( D787-1,G788)+1</f>
        <v>5</v>
      </c>
      <c r="C787" s="22">
        <f t="shared" ref="C787" si="485">D787-(B787-1)*G788</f>
        <v>5</v>
      </c>
      <c r="D787" s="22">
        <f>COUNT($D$6:$D786)+1</f>
        <v>61</v>
      </c>
      <c r="E787" s="4"/>
    </row>
    <row r="788" spans="2:13">
      <c r="E788" s="4">
        <f t="shared" ref="E788:E849" si="486">ROW(E788)</f>
        <v>788</v>
      </c>
      <c r="F788" s="9" t="s">
        <v>93</v>
      </c>
      <c r="G788" s="23" t="s">
        <v>44</v>
      </c>
      <c r="H788" s="23" t="s">
        <v>23</v>
      </c>
      <c r="J788" s="23">
        <v>10500</v>
      </c>
      <c r="M788" s="23">
        <f t="shared" ref="M788" si="487">$J$8+D787</f>
        <v>10561</v>
      </c>
    </row>
    <row r="789" spans="2:13">
      <c r="E789" s="4">
        <f t="shared" si="486"/>
        <v>789</v>
      </c>
      <c r="F789" s="9" t="s">
        <v>144</v>
      </c>
      <c r="M789" s="23">
        <v>104000</v>
      </c>
    </row>
    <row r="790" spans="2:13">
      <c r="E790" s="4">
        <f t="shared" si="486"/>
        <v>790</v>
      </c>
      <c r="F790" s="9" t="s">
        <v>126</v>
      </c>
      <c r="G790" s="23">
        <v>10</v>
      </c>
      <c r="H790" s="23">
        <v>8</v>
      </c>
      <c r="I790" s="23" t="s">
        <v>229</v>
      </c>
      <c r="M790" s="23">
        <f t="shared" ref="M790" si="488">G790*D787+$H$10+B787*I790</f>
        <v>613</v>
      </c>
    </row>
    <row r="791" spans="2:13">
      <c r="E791" s="4">
        <f t="shared" si="486"/>
        <v>791</v>
      </c>
      <c r="F791" s="9" t="s">
        <v>35</v>
      </c>
      <c r="M791" s="23">
        <v>1000</v>
      </c>
    </row>
    <row r="792" spans="2:13">
      <c r="E792" s="4">
        <f t="shared" si="486"/>
        <v>792</v>
      </c>
      <c r="F792" s="9" t="s">
        <v>29</v>
      </c>
      <c r="M792" s="23" t="s">
        <v>231</v>
      </c>
    </row>
    <row r="793" spans="2:13">
      <c r="E793" s="4">
        <f t="shared" si="486"/>
        <v>793</v>
      </c>
      <c r="F793" s="9" t="s">
        <v>118</v>
      </c>
      <c r="M793" s="23" t="s">
        <v>232</v>
      </c>
    </row>
    <row r="794" spans="2:13">
      <c r="E794" s="4">
        <f t="shared" si="486"/>
        <v>794</v>
      </c>
      <c r="F794" s="9" t="s">
        <v>114</v>
      </c>
      <c r="M794" s="23" t="b">
        <v>1</v>
      </c>
    </row>
    <row r="795" spans="2:13">
      <c r="E795" s="4">
        <f t="shared" si="486"/>
        <v>795</v>
      </c>
      <c r="F795" s="9" t="s">
        <v>98</v>
      </c>
      <c r="K795" s="9" t="s">
        <v>137</v>
      </c>
      <c r="M795" s="23">
        <v>2</v>
      </c>
    </row>
    <row r="796" spans="2:13">
      <c r="E796" s="4">
        <f t="shared" si="486"/>
        <v>796</v>
      </c>
      <c r="F796" s="9" t="s">
        <v>31</v>
      </c>
      <c r="L796" s="9" t="s">
        <v>135</v>
      </c>
      <c r="M796" s="23" t="s">
        <v>233</v>
      </c>
    </row>
    <row r="797" spans="2:13">
      <c r="E797" s="4">
        <f t="shared" si="486"/>
        <v>797</v>
      </c>
      <c r="F797" s="9" t="s">
        <v>143</v>
      </c>
      <c r="G797" s="23">
        <f t="shared" ref="G797" si="489">G788/2</f>
        <v>7</v>
      </c>
      <c r="H797" s="23">
        <v>-45</v>
      </c>
      <c r="I797" s="23">
        <v>-15</v>
      </c>
      <c r="J797" s="23" t="s">
        <v>234</v>
      </c>
      <c r="L797" s="9" t="s">
        <v>134</v>
      </c>
      <c r="M797" s="23">
        <f t="shared" ref="M797" si="490">IF(MOD(QUOTIENT(SUM(D787)-1,$G$17),2)=0,$G$18+$I$17*MOD(SUM(D787)-1,$G$17),$H$17+$J$17*MOD(SUM(D787)-1,$G$17))</f>
        <v>-15</v>
      </c>
    </row>
    <row r="798" spans="2:13">
      <c r="E798" s="4"/>
      <c r="G798" s="23">
        <v>45</v>
      </c>
    </row>
    <row r="799" spans="2:13">
      <c r="E799" s="4">
        <f t="shared" ref="E799" si="491">ROW(E799)</f>
        <v>799</v>
      </c>
      <c r="F799" s="9" t="s">
        <v>30</v>
      </c>
      <c r="G799" s="23">
        <v>4</v>
      </c>
      <c r="H799" s="23">
        <v>0.1</v>
      </c>
      <c r="M799" s="23">
        <f t="shared" ref="M799" si="492">$G$19+$H$19*D787</f>
        <v>10.100000000000001</v>
      </c>
    </row>
    <row r="800" spans="2:13">
      <c r="B800" s="22">
        <f t="shared" ref="B800" si="493">QUOTIENT( D800-1,G801)+1</f>
        <v>5</v>
      </c>
      <c r="C800" s="22">
        <f t="shared" ref="C800" si="494">D800-(B800-1)*G801</f>
        <v>6</v>
      </c>
      <c r="D800" s="22">
        <f>COUNT($D$6:$D799)+1</f>
        <v>62</v>
      </c>
      <c r="E800" s="4"/>
    </row>
    <row r="801" spans="2:13">
      <c r="E801" s="4">
        <f t="shared" si="486"/>
        <v>801</v>
      </c>
      <c r="F801" s="9" t="s">
        <v>93</v>
      </c>
      <c r="G801" s="23" t="s">
        <v>44</v>
      </c>
      <c r="H801" s="23" t="s">
        <v>23</v>
      </c>
      <c r="J801" s="23">
        <v>10500</v>
      </c>
      <c r="M801" s="23">
        <f t="shared" ref="M801" si="495">$J$8+D800</f>
        <v>10562</v>
      </c>
    </row>
    <row r="802" spans="2:13">
      <c r="E802" s="4">
        <f t="shared" si="486"/>
        <v>802</v>
      </c>
      <c r="F802" s="9" t="s">
        <v>144</v>
      </c>
      <c r="M802" s="23">
        <v>104000</v>
      </c>
    </row>
    <row r="803" spans="2:13">
      <c r="E803" s="4">
        <f t="shared" si="486"/>
        <v>803</v>
      </c>
      <c r="F803" s="9" t="s">
        <v>126</v>
      </c>
      <c r="G803" s="23">
        <v>10</v>
      </c>
      <c r="H803" s="23">
        <v>8</v>
      </c>
      <c r="I803" s="23" t="s">
        <v>229</v>
      </c>
      <c r="M803" s="23">
        <f t="shared" ref="M803" si="496">G803*D800+$H$10+B800*I803</f>
        <v>623</v>
      </c>
    </row>
    <row r="804" spans="2:13">
      <c r="E804" s="4">
        <f t="shared" si="486"/>
        <v>804</v>
      </c>
      <c r="F804" s="9" t="s">
        <v>35</v>
      </c>
      <c r="M804" s="23">
        <v>1000</v>
      </c>
    </row>
    <row r="805" spans="2:13">
      <c r="E805" s="4">
        <f t="shared" si="486"/>
        <v>805</v>
      </c>
      <c r="F805" s="9" t="s">
        <v>29</v>
      </c>
      <c r="M805" s="23" t="s">
        <v>231</v>
      </c>
    </row>
    <row r="806" spans="2:13">
      <c r="E806" s="4">
        <f t="shared" si="486"/>
        <v>806</v>
      </c>
      <c r="F806" s="9" t="s">
        <v>118</v>
      </c>
      <c r="M806" s="23" t="s">
        <v>232</v>
      </c>
    </row>
    <row r="807" spans="2:13">
      <c r="E807" s="4">
        <f t="shared" si="486"/>
        <v>807</v>
      </c>
      <c r="F807" s="9" t="s">
        <v>114</v>
      </c>
      <c r="M807" s="23" t="b">
        <v>1</v>
      </c>
    </row>
    <row r="808" spans="2:13">
      <c r="E808" s="4">
        <f t="shared" si="486"/>
        <v>808</v>
      </c>
      <c r="F808" s="9" t="s">
        <v>98</v>
      </c>
      <c r="K808" s="9" t="s">
        <v>137</v>
      </c>
      <c r="M808" s="23">
        <v>2</v>
      </c>
    </row>
    <row r="809" spans="2:13">
      <c r="E809" s="4">
        <f t="shared" si="486"/>
        <v>809</v>
      </c>
      <c r="F809" s="9" t="s">
        <v>31</v>
      </c>
      <c r="L809" s="9" t="s">
        <v>135</v>
      </c>
      <c r="M809" s="23" t="s">
        <v>233</v>
      </c>
    </row>
    <row r="810" spans="2:13">
      <c r="E810" s="4">
        <f t="shared" si="486"/>
        <v>810</v>
      </c>
      <c r="F810" s="9" t="s">
        <v>143</v>
      </c>
      <c r="G810" s="23">
        <f t="shared" ref="G810" si="497">G801/2</f>
        <v>7</v>
      </c>
      <c r="H810" s="23">
        <v>-45</v>
      </c>
      <c r="I810" s="23">
        <v>-15</v>
      </c>
      <c r="J810" s="23" t="s">
        <v>234</v>
      </c>
      <c r="L810" s="9" t="s">
        <v>134</v>
      </c>
      <c r="M810" s="23">
        <f t="shared" ref="M810" si="498">IF(MOD(QUOTIENT(SUM(D800)-1,$G$17),2)=0,$G$18+$I$17*MOD(SUM(D800)-1,$G$17),$H$17+$J$17*MOD(SUM(D800)-1,$G$17))</f>
        <v>-30</v>
      </c>
    </row>
    <row r="811" spans="2:13">
      <c r="E811" s="4"/>
      <c r="G811" s="23">
        <v>45</v>
      </c>
    </row>
    <row r="812" spans="2:13">
      <c r="E812" s="4">
        <f t="shared" ref="E812" si="499">ROW(E812)</f>
        <v>812</v>
      </c>
      <c r="F812" s="9" t="s">
        <v>30</v>
      </c>
      <c r="G812" s="23">
        <v>4</v>
      </c>
      <c r="H812" s="23">
        <v>0.1</v>
      </c>
      <c r="M812" s="23">
        <f t="shared" ref="M812" si="500">$G$19+$H$19*D800</f>
        <v>10.199999999999999</v>
      </c>
    </row>
    <row r="813" spans="2:13">
      <c r="B813" s="22">
        <f t="shared" ref="B813" si="501">QUOTIENT( D813-1,G814)+1</f>
        <v>5</v>
      </c>
      <c r="C813" s="22">
        <f t="shared" ref="C813" si="502">D813-(B813-1)*G814</f>
        <v>7</v>
      </c>
      <c r="D813" s="22">
        <f>COUNT($D$6:$D812)+1</f>
        <v>63</v>
      </c>
      <c r="E813" s="4"/>
    </row>
    <row r="814" spans="2:13">
      <c r="E814" s="4">
        <f t="shared" si="486"/>
        <v>814</v>
      </c>
      <c r="F814" s="9" t="s">
        <v>93</v>
      </c>
      <c r="G814" s="23" t="s">
        <v>44</v>
      </c>
      <c r="H814" s="23" t="s">
        <v>23</v>
      </c>
      <c r="J814" s="23">
        <v>10500</v>
      </c>
      <c r="M814" s="23">
        <f t="shared" ref="M814" si="503">$J$8+D813</f>
        <v>10563</v>
      </c>
    </row>
    <row r="815" spans="2:13">
      <c r="E815" s="4">
        <f t="shared" si="486"/>
        <v>815</v>
      </c>
      <c r="F815" s="9" t="s">
        <v>144</v>
      </c>
      <c r="M815" s="23">
        <v>104000</v>
      </c>
    </row>
    <row r="816" spans="2:13">
      <c r="E816" s="4">
        <f t="shared" si="486"/>
        <v>816</v>
      </c>
      <c r="F816" s="9" t="s">
        <v>126</v>
      </c>
      <c r="G816" s="23">
        <v>10</v>
      </c>
      <c r="H816" s="23">
        <v>8</v>
      </c>
      <c r="I816" s="23" t="s">
        <v>229</v>
      </c>
      <c r="M816" s="23">
        <f t="shared" ref="M816" si="504">G816*D813+$H$10+B813*I816</f>
        <v>633</v>
      </c>
    </row>
    <row r="817" spans="2:13">
      <c r="E817" s="4">
        <f t="shared" si="486"/>
        <v>817</v>
      </c>
      <c r="F817" s="9" t="s">
        <v>35</v>
      </c>
      <c r="M817" s="23">
        <v>1000</v>
      </c>
    </row>
    <row r="818" spans="2:13">
      <c r="E818" s="4">
        <f t="shared" si="486"/>
        <v>818</v>
      </c>
      <c r="F818" s="9" t="s">
        <v>29</v>
      </c>
      <c r="M818" s="23" t="s">
        <v>231</v>
      </c>
    </row>
    <row r="819" spans="2:13">
      <c r="E819" s="4">
        <f t="shared" si="486"/>
        <v>819</v>
      </c>
      <c r="F819" s="9" t="s">
        <v>118</v>
      </c>
      <c r="M819" s="23" t="s">
        <v>232</v>
      </c>
    </row>
    <row r="820" spans="2:13">
      <c r="E820" s="4">
        <f t="shared" si="486"/>
        <v>820</v>
      </c>
      <c r="F820" s="9" t="s">
        <v>114</v>
      </c>
      <c r="M820" s="23" t="b">
        <v>1</v>
      </c>
    </row>
    <row r="821" spans="2:13">
      <c r="E821" s="4">
        <f t="shared" si="486"/>
        <v>821</v>
      </c>
      <c r="F821" s="9" t="s">
        <v>98</v>
      </c>
      <c r="K821" s="9" t="s">
        <v>137</v>
      </c>
      <c r="M821" s="23">
        <v>2</v>
      </c>
    </row>
    <row r="822" spans="2:13">
      <c r="E822" s="4">
        <f t="shared" si="486"/>
        <v>822</v>
      </c>
      <c r="F822" s="9" t="s">
        <v>31</v>
      </c>
      <c r="L822" s="9" t="s">
        <v>135</v>
      </c>
      <c r="M822" s="23" t="s">
        <v>233</v>
      </c>
    </row>
    <row r="823" spans="2:13">
      <c r="E823" s="4">
        <f t="shared" si="486"/>
        <v>823</v>
      </c>
      <c r="F823" s="9" t="s">
        <v>143</v>
      </c>
      <c r="G823" s="23">
        <f t="shared" ref="G823" si="505">G814/2</f>
        <v>7</v>
      </c>
      <c r="H823" s="23">
        <v>-45</v>
      </c>
      <c r="I823" s="23">
        <v>-15</v>
      </c>
      <c r="J823" s="23" t="s">
        <v>234</v>
      </c>
      <c r="L823" s="9" t="s">
        <v>134</v>
      </c>
      <c r="M823" s="23">
        <f t="shared" ref="M823" si="506">IF(MOD(QUOTIENT(SUM(D813)-1,$G$17),2)=0,$G$18+$I$17*MOD(SUM(D813)-1,$G$17),$H$17+$J$17*MOD(SUM(D813)-1,$G$17))</f>
        <v>-45</v>
      </c>
    </row>
    <row r="824" spans="2:13">
      <c r="E824" s="4"/>
      <c r="G824" s="23">
        <v>45</v>
      </c>
    </row>
    <row r="825" spans="2:13">
      <c r="E825" s="4">
        <f t="shared" ref="E825" si="507">ROW(E825)</f>
        <v>825</v>
      </c>
      <c r="F825" s="9" t="s">
        <v>30</v>
      </c>
      <c r="G825" s="23">
        <v>4</v>
      </c>
      <c r="H825" s="23">
        <v>0.1</v>
      </c>
      <c r="M825" s="23">
        <f t="shared" ref="M825" si="508">$G$19+$H$19*D813</f>
        <v>10.3</v>
      </c>
    </row>
    <row r="826" spans="2:13">
      <c r="B826" s="22">
        <f t="shared" ref="B826" si="509">QUOTIENT( D826-1,G827)+1</f>
        <v>5</v>
      </c>
      <c r="C826" s="22">
        <f t="shared" ref="C826" si="510">D826-(B826-1)*G827</f>
        <v>8</v>
      </c>
      <c r="D826" s="22">
        <f>COUNT($D$6:$D825)+1</f>
        <v>64</v>
      </c>
      <c r="E826" s="4"/>
    </row>
    <row r="827" spans="2:13">
      <c r="E827" s="4">
        <f t="shared" si="486"/>
        <v>827</v>
      </c>
      <c r="F827" s="9" t="s">
        <v>93</v>
      </c>
      <c r="G827" s="23" t="s">
        <v>44</v>
      </c>
      <c r="H827" s="23" t="s">
        <v>23</v>
      </c>
      <c r="J827" s="23">
        <v>10500</v>
      </c>
      <c r="M827" s="23">
        <f t="shared" ref="M827" si="511">$J$8+D826</f>
        <v>10564</v>
      </c>
    </row>
    <row r="828" spans="2:13">
      <c r="E828" s="4">
        <f t="shared" si="486"/>
        <v>828</v>
      </c>
      <c r="F828" s="9" t="s">
        <v>144</v>
      </c>
      <c r="M828" s="23">
        <v>104000</v>
      </c>
    </row>
    <row r="829" spans="2:13">
      <c r="E829" s="4">
        <f t="shared" si="486"/>
        <v>829</v>
      </c>
      <c r="F829" s="9" t="s">
        <v>126</v>
      </c>
      <c r="G829" s="23">
        <v>10</v>
      </c>
      <c r="H829" s="23">
        <v>8</v>
      </c>
      <c r="I829" s="23" t="s">
        <v>229</v>
      </c>
      <c r="M829" s="23">
        <f t="shared" ref="M829" si="512">G829*D826+$H$10+B826*I829</f>
        <v>643</v>
      </c>
    </row>
    <row r="830" spans="2:13">
      <c r="E830" s="4">
        <f t="shared" si="486"/>
        <v>830</v>
      </c>
      <c r="F830" s="9" t="s">
        <v>35</v>
      </c>
      <c r="M830" s="23">
        <v>1000</v>
      </c>
    </row>
    <row r="831" spans="2:13">
      <c r="E831" s="4">
        <f t="shared" si="486"/>
        <v>831</v>
      </c>
      <c r="F831" s="9" t="s">
        <v>29</v>
      </c>
      <c r="M831" s="23" t="s">
        <v>231</v>
      </c>
    </row>
    <row r="832" spans="2:13">
      <c r="E832" s="4">
        <f t="shared" si="486"/>
        <v>832</v>
      </c>
      <c r="F832" s="9" t="s">
        <v>118</v>
      </c>
      <c r="M832" s="23" t="s">
        <v>232</v>
      </c>
    </row>
    <row r="833" spans="2:13">
      <c r="E833" s="4">
        <f t="shared" si="486"/>
        <v>833</v>
      </c>
      <c r="F833" s="9" t="s">
        <v>114</v>
      </c>
      <c r="M833" s="23" t="b">
        <v>1</v>
      </c>
    </row>
    <row r="834" spans="2:13">
      <c r="E834" s="4">
        <f t="shared" si="486"/>
        <v>834</v>
      </c>
      <c r="F834" s="9" t="s">
        <v>98</v>
      </c>
      <c r="K834" s="9" t="s">
        <v>137</v>
      </c>
      <c r="M834" s="23">
        <v>2</v>
      </c>
    </row>
    <row r="835" spans="2:13">
      <c r="E835" s="4">
        <f t="shared" si="486"/>
        <v>835</v>
      </c>
      <c r="F835" s="9" t="s">
        <v>31</v>
      </c>
      <c r="L835" s="9" t="s">
        <v>135</v>
      </c>
      <c r="M835" s="23" t="s">
        <v>233</v>
      </c>
    </row>
    <row r="836" spans="2:13">
      <c r="E836" s="4">
        <f t="shared" si="486"/>
        <v>836</v>
      </c>
      <c r="F836" s="9" t="s">
        <v>143</v>
      </c>
      <c r="G836" s="23">
        <f t="shared" ref="G836" si="513">G827/2</f>
        <v>7</v>
      </c>
      <c r="H836" s="23">
        <v>-45</v>
      </c>
      <c r="I836" s="23">
        <v>-15</v>
      </c>
      <c r="J836" s="23" t="s">
        <v>234</v>
      </c>
      <c r="L836" s="9" t="s">
        <v>134</v>
      </c>
      <c r="M836" s="23">
        <f t="shared" ref="M836" si="514">IF(MOD(QUOTIENT(SUM(D826)-1,$G$17),2)=0,$G$18+$I$17*MOD(SUM(D826)-1,$G$17),$H$17+$J$17*MOD(SUM(D826)-1,$G$17))</f>
        <v>-45</v>
      </c>
    </row>
    <row r="837" spans="2:13">
      <c r="E837" s="4"/>
      <c r="G837" s="23">
        <v>45</v>
      </c>
    </row>
    <row r="838" spans="2:13">
      <c r="E838" s="4">
        <f t="shared" ref="E838" si="515">ROW(E838)</f>
        <v>838</v>
      </c>
      <c r="F838" s="9" t="s">
        <v>30</v>
      </c>
      <c r="G838" s="23">
        <v>4</v>
      </c>
      <c r="H838" s="23">
        <v>0.1</v>
      </c>
      <c r="M838" s="23">
        <f t="shared" ref="M838" si="516">$G$19+$H$19*D826</f>
        <v>10.4</v>
      </c>
    </row>
    <row r="839" spans="2:13">
      <c r="B839" s="22">
        <f t="shared" ref="B839" si="517">QUOTIENT( D839-1,G840)+1</f>
        <v>5</v>
      </c>
      <c r="C839" s="22">
        <f t="shared" ref="C839" si="518">D839-(B839-1)*G840</f>
        <v>9</v>
      </c>
      <c r="D839" s="22">
        <f>COUNT($D$6:$D838)+1</f>
        <v>65</v>
      </c>
      <c r="E839" s="4"/>
    </row>
    <row r="840" spans="2:13">
      <c r="E840" s="4">
        <f t="shared" si="486"/>
        <v>840</v>
      </c>
      <c r="F840" s="9" t="s">
        <v>93</v>
      </c>
      <c r="G840" s="23" t="s">
        <v>44</v>
      </c>
      <c r="H840" s="23" t="s">
        <v>23</v>
      </c>
      <c r="J840" s="23">
        <v>10500</v>
      </c>
      <c r="M840" s="23">
        <f t="shared" ref="M840" si="519">$J$8+D839</f>
        <v>10565</v>
      </c>
    </row>
    <row r="841" spans="2:13">
      <c r="E841" s="4">
        <f t="shared" si="486"/>
        <v>841</v>
      </c>
      <c r="F841" s="9" t="s">
        <v>144</v>
      </c>
      <c r="M841" s="23">
        <v>104000</v>
      </c>
    </row>
    <row r="842" spans="2:13">
      <c r="E842" s="4">
        <f t="shared" si="486"/>
        <v>842</v>
      </c>
      <c r="F842" s="9" t="s">
        <v>126</v>
      </c>
      <c r="G842" s="23">
        <v>10</v>
      </c>
      <c r="H842" s="23">
        <v>8</v>
      </c>
      <c r="I842" s="23" t="s">
        <v>229</v>
      </c>
      <c r="M842" s="23">
        <f t="shared" ref="M842" si="520">G842*D839+$H$10+B839*I842</f>
        <v>653</v>
      </c>
    </row>
    <row r="843" spans="2:13">
      <c r="E843" s="4">
        <f t="shared" si="486"/>
        <v>843</v>
      </c>
      <c r="F843" s="9" t="s">
        <v>35</v>
      </c>
      <c r="M843" s="23">
        <v>1000</v>
      </c>
    </row>
    <row r="844" spans="2:13">
      <c r="E844" s="4">
        <f t="shared" si="486"/>
        <v>844</v>
      </c>
      <c r="F844" s="9" t="s">
        <v>29</v>
      </c>
      <c r="M844" s="23" t="s">
        <v>231</v>
      </c>
    </row>
    <row r="845" spans="2:13">
      <c r="E845" s="4">
        <f t="shared" si="486"/>
        <v>845</v>
      </c>
      <c r="F845" s="9" t="s">
        <v>118</v>
      </c>
      <c r="M845" s="23" t="s">
        <v>232</v>
      </c>
    </row>
    <row r="846" spans="2:13">
      <c r="E846" s="4">
        <f t="shared" si="486"/>
        <v>846</v>
      </c>
      <c r="F846" s="9" t="s">
        <v>114</v>
      </c>
      <c r="M846" s="23" t="b">
        <v>1</v>
      </c>
    </row>
    <row r="847" spans="2:13">
      <c r="E847" s="4">
        <f t="shared" si="486"/>
        <v>847</v>
      </c>
      <c r="F847" s="9" t="s">
        <v>98</v>
      </c>
      <c r="K847" s="9" t="s">
        <v>137</v>
      </c>
      <c r="M847" s="23">
        <v>2</v>
      </c>
    </row>
    <row r="848" spans="2:13">
      <c r="E848" s="4">
        <f t="shared" si="486"/>
        <v>848</v>
      </c>
      <c r="F848" s="9" t="s">
        <v>31</v>
      </c>
      <c r="L848" s="9" t="s">
        <v>135</v>
      </c>
      <c r="M848" s="23" t="s">
        <v>233</v>
      </c>
    </row>
    <row r="849" spans="2:13">
      <c r="E849" s="4">
        <f t="shared" si="486"/>
        <v>849</v>
      </c>
      <c r="F849" s="9" t="s">
        <v>143</v>
      </c>
      <c r="G849" s="23">
        <f t="shared" ref="G849" si="521">G840/2</f>
        <v>7</v>
      </c>
      <c r="H849" s="23">
        <v>-45</v>
      </c>
      <c r="I849" s="23">
        <v>-15</v>
      </c>
      <c r="J849" s="23" t="s">
        <v>234</v>
      </c>
      <c r="L849" s="9" t="s">
        <v>134</v>
      </c>
      <c r="M849" s="23">
        <f t="shared" ref="M849" si="522">IF(MOD(QUOTIENT(SUM(D839)-1,$G$17),2)=0,$G$18+$I$17*MOD(SUM(D839)-1,$G$17),$H$17+$J$17*MOD(SUM(D839)-1,$G$17))</f>
        <v>-30</v>
      </c>
    </row>
    <row r="850" spans="2:13">
      <c r="E850" s="4"/>
      <c r="G850" s="23">
        <v>45</v>
      </c>
    </row>
    <row r="851" spans="2:13">
      <c r="E851" s="4">
        <f t="shared" ref="E851" si="523">ROW(E851)</f>
        <v>851</v>
      </c>
      <c r="F851" s="9" t="s">
        <v>30</v>
      </c>
      <c r="G851" s="23">
        <v>4</v>
      </c>
      <c r="H851" s="23">
        <v>0.1</v>
      </c>
      <c r="M851" s="23">
        <f t="shared" ref="M851" si="524">$G$19+$H$19*D839</f>
        <v>10.5</v>
      </c>
    </row>
    <row r="852" spans="2:13">
      <c r="B852" s="22">
        <f t="shared" ref="B852" si="525">QUOTIENT( D852-1,G853)+1</f>
        <v>5</v>
      </c>
      <c r="C852" s="22">
        <f t="shared" ref="C852" si="526">D852-(B852-1)*G853</f>
        <v>10</v>
      </c>
      <c r="D852" s="22">
        <f>COUNT($D$6:$D851)+1</f>
        <v>66</v>
      </c>
      <c r="E852" s="4"/>
    </row>
    <row r="853" spans="2:13">
      <c r="E853" s="4">
        <f t="shared" ref="E853:E914" si="527">ROW(E853)</f>
        <v>853</v>
      </c>
      <c r="F853" s="9" t="s">
        <v>93</v>
      </c>
      <c r="G853" s="23" t="s">
        <v>44</v>
      </c>
      <c r="H853" s="23" t="s">
        <v>23</v>
      </c>
      <c r="J853" s="23">
        <v>10500</v>
      </c>
      <c r="M853" s="23">
        <f t="shared" ref="M853" si="528">$J$8+D852</f>
        <v>10566</v>
      </c>
    </row>
    <row r="854" spans="2:13">
      <c r="E854" s="4">
        <f t="shared" si="527"/>
        <v>854</v>
      </c>
      <c r="F854" s="9" t="s">
        <v>144</v>
      </c>
      <c r="M854" s="23">
        <v>104000</v>
      </c>
    </row>
    <row r="855" spans="2:13">
      <c r="E855" s="4">
        <f t="shared" si="527"/>
        <v>855</v>
      </c>
      <c r="F855" s="9" t="s">
        <v>126</v>
      </c>
      <c r="G855" s="23">
        <v>10</v>
      </c>
      <c r="H855" s="23">
        <v>8</v>
      </c>
      <c r="I855" s="23" t="s">
        <v>229</v>
      </c>
      <c r="M855" s="23">
        <f t="shared" ref="M855" si="529">G855*D852+$H$10+B852*I855</f>
        <v>663</v>
      </c>
    </row>
    <row r="856" spans="2:13">
      <c r="E856" s="4">
        <f t="shared" si="527"/>
        <v>856</v>
      </c>
      <c r="F856" s="9" t="s">
        <v>35</v>
      </c>
      <c r="M856" s="23">
        <v>1000</v>
      </c>
    </row>
    <row r="857" spans="2:13">
      <c r="E857" s="4">
        <f t="shared" si="527"/>
        <v>857</v>
      </c>
      <c r="F857" s="9" t="s">
        <v>29</v>
      </c>
      <c r="M857" s="23" t="s">
        <v>231</v>
      </c>
    </row>
    <row r="858" spans="2:13">
      <c r="E858" s="4">
        <f t="shared" si="527"/>
        <v>858</v>
      </c>
      <c r="F858" s="9" t="s">
        <v>118</v>
      </c>
      <c r="M858" s="23" t="s">
        <v>232</v>
      </c>
    </row>
    <row r="859" spans="2:13">
      <c r="E859" s="4">
        <f t="shared" si="527"/>
        <v>859</v>
      </c>
      <c r="F859" s="9" t="s">
        <v>114</v>
      </c>
      <c r="M859" s="23" t="b">
        <v>1</v>
      </c>
    </row>
    <row r="860" spans="2:13">
      <c r="E860" s="4">
        <f t="shared" si="527"/>
        <v>860</v>
      </c>
      <c r="F860" s="9" t="s">
        <v>98</v>
      </c>
      <c r="K860" s="9" t="s">
        <v>137</v>
      </c>
      <c r="M860" s="23">
        <v>2</v>
      </c>
    </row>
    <row r="861" spans="2:13">
      <c r="E861" s="4">
        <f t="shared" si="527"/>
        <v>861</v>
      </c>
      <c r="F861" s="9" t="s">
        <v>31</v>
      </c>
      <c r="L861" s="9" t="s">
        <v>135</v>
      </c>
      <c r="M861" s="23" t="s">
        <v>233</v>
      </c>
    </row>
    <row r="862" spans="2:13">
      <c r="E862" s="4">
        <f t="shared" si="527"/>
        <v>862</v>
      </c>
      <c r="F862" s="9" t="s">
        <v>143</v>
      </c>
      <c r="G862" s="23">
        <f t="shared" ref="G862" si="530">G853/2</f>
        <v>7</v>
      </c>
      <c r="H862" s="23">
        <v>-45</v>
      </c>
      <c r="I862" s="23">
        <v>-15</v>
      </c>
      <c r="J862" s="23" t="s">
        <v>234</v>
      </c>
      <c r="L862" s="9" t="s">
        <v>134</v>
      </c>
      <c r="M862" s="23">
        <f t="shared" ref="M862" si="531">IF(MOD(QUOTIENT(SUM(D852)-1,$G$17),2)=0,$G$18+$I$17*MOD(SUM(D852)-1,$G$17),$H$17+$J$17*MOD(SUM(D852)-1,$G$17))</f>
        <v>-15</v>
      </c>
    </row>
    <row r="863" spans="2:13">
      <c r="E863" s="4"/>
      <c r="G863" s="23">
        <v>45</v>
      </c>
    </row>
    <row r="864" spans="2:13">
      <c r="E864" s="4">
        <f t="shared" ref="E864" si="532">ROW(E864)</f>
        <v>864</v>
      </c>
      <c r="F864" s="9" t="s">
        <v>30</v>
      </c>
      <c r="G864" s="23">
        <v>4</v>
      </c>
      <c r="H864" s="23">
        <v>0.1</v>
      </c>
      <c r="M864" s="23">
        <f t="shared" ref="M864" si="533">$G$19+$H$19*D852</f>
        <v>10.600000000000001</v>
      </c>
    </row>
    <row r="865" spans="2:13">
      <c r="B865" s="22">
        <f t="shared" ref="B865" si="534">QUOTIENT( D865-1,G866)+1</f>
        <v>5</v>
      </c>
      <c r="C865" s="22">
        <f t="shared" ref="C865" si="535">D865-(B865-1)*G866</f>
        <v>11</v>
      </c>
      <c r="D865" s="22">
        <f>COUNT($D$6:$D864)+1</f>
        <v>67</v>
      </c>
      <c r="E865" s="4"/>
    </row>
    <row r="866" spans="2:13">
      <c r="E866" s="4">
        <f t="shared" si="527"/>
        <v>866</v>
      </c>
      <c r="F866" s="9" t="s">
        <v>93</v>
      </c>
      <c r="G866" s="23" t="s">
        <v>44</v>
      </c>
      <c r="H866" s="23" t="s">
        <v>23</v>
      </c>
      <c r="J866" s="23">
        <v>10500</v>
      </c>
      <c r="M866" s="23">
        <f t="shared" ref="M866" si="536">$J$8+D865</f>
        <v>10567</v>
      </c>
    </row>
    <row r="867" spans="2:13">
      <c r="E867" s="4">
        <f t="shared" si="527"/>
        <v>867</v>
      </c>
      <c r="F867" s="9" t="s">
        <v>144</v>
      </c>
      <c r="M867" s="23">
        <v>104000</v>
      </c>
    </row>
    <row r="868" spans="2:13">
      <c r="E868" s="4">
        <f t="shared" si="527"/>
        <v>868</v>
      </c>
      <c r="F868" s="9" t="s">
        <v>126</v>
      </c>
      <c r="G868" s="23">
        <v>10</v>
      </c>
      <c r="H868" s="23">
        <v>8</v>
      </c>
      <c r="I868" s="23" t="s">
        <v>229</v>
      </c>
      <c r="M868" s="23">
        <f t="shared" ref="M868" si="537">G868*D865+$H$10+B865*I868</f>
        <v>673</v>
      </c>
    </row>
    <row r="869" spans="2:13">
      <c r="E869" s="4">
        <f t="shared" si="527"/>
        <v>869</v>
      </c>
      <c r="F869" s="9" t="s">
        <v>35</v>
      </c>
      <c r="M869" s="23">
        <v>1000</v>
      </c>
    </row>
    <row r="870" spans="2:13">
      <c r="E870" s="4">
        <f t="shared" si="527"/>
        <v>870</v>
      </c>
      <c r="F870" s="9" t="s">
        <v>29</v>
      </c>
      <c r="M870" s="23" t="s">
        <v>231</v>
      </c>
    </row>
    <row r="871" spans="2:13">
      <c r="E871" s="4">
        <f t="shared" si="527"/>
        <v>871</v>
      </c>
      <c r="F871" s="9" t="s">
        <v>118</v>
      </c>
      <c r="M871" s="23" t="s">
        <v>232</v>
      </c>
    </row>
    <row r="872" spans="2:13">
      <c r="E872" s="4">
        <f t="shared" si="527"/>
        <v>872</v>
      </c>
      <c r="F872" s="9" t="s">
        <v>114</v>
      </c>
      <c r="M872" s="23" t="b">
        <v>1</v>
      </c>
    </row>
    <row r="873" spans="2:13">
      <c r="E873" s="4">
        <f t="shared" si="527"/>
        <v>873</v>
      </c>
      <c r="F873" s="9" t="s">
        <v>98</v>
      </c>
      <c r="K873" s="9" t="s">
        <v>137</v>
      </c>
      <c r="M873" s="23">
        <v>2</v>
      </c>
    </row>
    <row r="874" spans="2:13">
      <c r="E874" s="4">
        <f t="shared" si="527"/>
        <v>874</v>
      </c>
      <c r="F874" s="9" t="s">
        <v>31</v>
      </c>
      <c r="L874" s="9" t="s">
        <v>135</v>
      </c>
      <c r="M874" s="23" t="s">
        <v>233</v>
      </c>
    </row>
    <row r="875" spans="2:13">
      <c r="E875" s="4">
        <f t="shared" si="527"/>
        <v>875</v>
      </c>
      <c r="F875" s="9" t="s">
        <v>143</v>
      </c>
      <c r="G875" s="23">
        <f t="shared" ref="G875" si="538">G866/2</f>
        <v>7</v>
      </c>
      <c r="H875" s="23">
        <v>-45</v>
      </c>
      <c r="I875" s="23">
        <v>-15</v>
      </c>
      <c r="J875" s="23" t="s">
        <v>234</v>
      </c>
      <c r="L875" s="9" t="s">
        <v>134</v>
      </c>
      <c r="M875" s="23">
        <f t="shared" ref="M875" si="539">IF(MOD(QUOTIENT(SUM(D865)-1,$G$17),2)=0,$G$18+$I$17*MOD(SUM(D865)-1,$G$17),$H$17+$J$17*MOD(SUM(D865)-1,$G$17))</f>
        <v>0</v>
      </c>
    </row>
    <row r="876" spans="2:13">
      <c r="E876" s="4"/>
      <c r="G876" s="23">
        <v>45</v>
      </c>
    </row>
    <row r="877" spans="2:13">
      <c r="E877" s="4">
        <f t="shared" ref="E877" si="540">ROW(E877)</f>
        <v>877</v>
      </c>
      <c r="F877" s="9" t="s">
        <v>30</v>
      </c>
      <c r="G877" s="23">
        <v>4</v>
      </c>
      <c r="H877" s="23">
        <v>0.1</v>
      </c>
      <c r="M877" s="23">
        <f t="shared" ref="M877" si="541">$G$19+$H$19*D865</f>
        <v>10.7</v>
      </c>
    </row>
    <row r="878" spans="2:13">
      <c r="B878" s="22">
        <f t="shared" ref="B878" si="542">QUOTIENT( D878-1,G879)+1</f>
        <v>5</v>
      </c>
      <c r="C878" s="22">
        <f t="shared" ref="C878" si="543">D878-(B878-1)*G879</f>
        <v>12</v>
      </c>
      <c r="D878" s="22">
        <f>COUNT($D$6:$D877)+1</f>
        <v>68</v>
      </c>
      <c r="E878" s="4"/>
    </row>
    <row r="879" spans="2:13">
      <c r="E879" s="4">
        <f t="shared" si="527"/>
        <v>879</v>
      </c>
      <c r="F879" s="9" t="s">
        <v>93</v>
      </c>
      <c r="G879" s="23" t="s">
        <v>44</v>
      </c>
      <c r="H879" s="23" t="s">
        <v>23</v>
      </c>
      <c r="J879" s="23">
        <v>10500</v>
      </c>
      <c r="M879" s="23">
        <f t="shared" ref="M879" si="544">$J$8+D878</f>
        <v>10568</v>
      </c>
    </row>
    <row r="880" spans="2:13">
      <c r="E880" s="4">
        <f t="shared" si="527"/>
        <v>880</v>
      </c>
      <c r="F880" s="9" t="s">
        <v>144</v>
      </c>
      <c r="M880" s="23">
        <v>104000</v>
      </c>
    </row>
    <row r="881" spans="2:13">
      <c r="E881" s="4">
        <f t="shared" si="527"/>
        <v>881</v>
      </c>
      <c r="F881" s="9" t="s">
        <v>126</v>
      </c>
      <c r="G881" s="23">
        <v>10</v>
      </c>
      <c r="H881" s="23">
        <v>8</v>
      </c>
      <c r="I881" s="23" t="s">
        <v>229</v>
      </c>
      <c r="M881" s="23">
        <f t="shared" ref="M881" si="545">G881*D878+$H$10+B878*I881</f>
        <v>683</v>
      </c>
    </row>
    <row r="882" spans="2:13">
      <c r="E882" s="4">
        <f t="shared" si="527"/>
        <v>882</v>
      </c>
      <c r="F882" s="9" t="s">
        <v>35</v>
      </c>
      <c r="M882" s="23">
        <v>1000</v>
      </c>
    </row>
    <row r="883" spans="2:13">
      <c r="E883" s="4">
        <f t="shared" si="527"/>
        <v>883</v>
      </c>
      <c r="F883" s="9" t="s">
        <v>29</v>
      </c>
      <c r="M883" s="23" t="s">
        <v>231</v>
      </c>
    </row>
    <row r="884" spans="2:13">
      <c r="E884" s="4">
        <f t="shared" si="527"/>
        <v>884</v>
      </c>
      <c r="F884" s="9" t="s">
        <v>118</v>
      </c>
      <c r="M884" s="23" t="s">
        <v>232</v>
      </c>
    </row>
    <row r="885" spans="2:13">
      <c r="E885" s="4">
        <f t="shared" si="527"/>
        <v>885</v>
      </c>
      <c r="F885" s="9" t="s">
        <v>114</v>
      </c>
      <c r="M885" s="23" t="b">
        <v>1</v>
      </c>
    </row>
    <row r="886" spans="2:13">
      <c r="E886" s="4">
        <f t="shared" si="527"/>
        <v>886</v>
      </c>
      <c r="F886" s="9" t="s">
        <v>98</v>
      </c>
      <c r="K886" s="9" t="s">
        <v>137</v>
      </c>
      <c r="M886" s="23">
        <v>2</v>
      </c>
    </row>
    <row r="887" spans="2:13">
      <c r="E887" s="4">
        <f t="shared" si="527"/>
        <v>887</v>
      </c>
      <c r="F887" s="9" t="s">
        <v>31</v>
      </c>
      <c r="L887" s="9" t="s">
        <v>135</v>
      </c>
      <c r="M887" s="23" t="s">
        <v>233</v>
      </c>
    </row>
    <row r="888" spans="2:13">
      <c r="E888" s="4">
        <f t="shared" si="527"/>
        <v>888</v>
      </c>
      <c r="F888" s="9" t="s">
        <v>143</v>
      </c>
      <c r="G888" s="23">
        <f t="shared" ref="G888" si="546">G879/2</f>
        <v>7</v>
      </c>
      <c r="H888" s="23">
        <v>-45</v>
      </c>
      <c r="I888" s="23">
        <v>-15</v>
      </c>
      <c r="J888" s="23" t="s">
        <v>234</v>
      </c>
      <c r="L888" s="9" t="s">
        <v>134</v>
      </c>
      <c r="M888" s="23">
        <f t="shared" ref="M888" si="547">IF(MOD(QUOTIENT(SUM(D878)-1,$G$17),2)=0,$G$18+$I$17*MOD(SUM(D878)-1,$G$17),$H$17+$J$17*MOD(SUM(D878)-1,$G$17))</f>
        <v>15</v>
      </c>
    </row>
    <row r="889" spans="2:13">
      <c r="E889" s="4"/>
      <c r="G889" s="23">
        <v>45</v>
      </c>
    </row>
    <row r="890" spans="2:13">
      <c r="E890" s="4">
        <f t="shared" ref="E890" si="548">ROW(E890)</f>
        <v>890</v>
      </c>
      <c r="F890" s="9" t="s">
        <v>30</v>
      </c>
      <c r="G890" s="23">
        <v>4</v>
      </c>
      <c r="H890" s="23">
        <v>0.1</v>
      </c>
      <c r="M890" s="23">
        <f t="shared" ref="M890" si="549">$G$19+$H$19*D878</f>
        <v>10.8</v>
      </c>
    </row>
    <row r="891" spans="2:13">
      <c r="B891" s="22">
        <f t="shared" ref="B891" si="550">QUOTIENT( D891-1,G892)+1</f>
        <v>5</v>
      </c>
      <c r="C891" s="22">
        <f t="shared" ref="C891" si="551">D891-(B891-1)*G892</f>
        <v>13</v>
      </c>
      <c r="D891" s="22">
        <f>COUNT($D$6:$D890)+1</f>
        <v>69</v>
      </c>
      <c r="E891" s="4"/>
    </row>
    <row r="892" spans="2:13">
      <c r="E892" s="4">
        <f t="shared" si="527"/>
        <v>892</v>
      </c>
      <c r="F892" s="9" t="s">
        <v>93</v>
      </c>
      <c r="G892" s="23" t="s">
        <v>44</v>
      </c>
      <c r="H892" s="23" t="s">
        <v>23</v>
      </c>
      <c r="J892" s="23">
        <v>10500</v>
      </c>
      <c r="M892" s="23">
        <f t="shared" ref="M892" si="552">$J$8+D891</f>
        <v>10569</v>
      </c>
    </row>
    <row r="893" spans="2:13">
      <c r="E893" s="4">
        <f t="shared" si="527"/>
        <v>893</v>
      </c>
      <c r="F893" s="9" t="s">
        <v>144</v>
      </c>
      <c r="M893" s="23">
        <v>104000</v>
      </c>
    </row>
    <row r="894" spans="2:13">
      <c r="E894" s="4">
        <f t="shared" si="527"/>
        <v>894</v>
      </c>
      <c r="F894" s="9" t="s">
        <v>126</v>
      </c>
      <c r="G894" s="23">
        <v>10</v>
      </c>
      <c r="H894" s="23">
        <v>8</v>
      </c>
      <c r="I894" s="23" t="s">
        <v>229</v>
      </c>
      <c r="M894" s="23">
        <f t="shared" ref="M894" si="553">G894*D891+$H$10+B891*I894</f>
        <v>693</v>
      </c>
    </row>
    <row r="895" spans="2:13">
      <c r="E895" s="4">
        <f t="shared" si="527"/>
        <v>895</v>
      </c>
      <c r="F895" s="9" t="s">
        <v>35</v>
      </c>
      <c r="M895" s="23">
        <v>1000</v>
      </c>
    </row>
    <row r="896" spans="2:13">
      <c r="E896" s="4">
        <f t="shared" si="527"/>
        <v>896</v>
      </c>
      <c r="F896" s="9" t="s">
        <v>29</v>
      </c>
      <c r="M896" s="23" t="s">
        <v>231</v>
      </c>
    </row>
    <row r="897" spans="2:13">
      <c r="E897" s="4">
        <f t="shared" si="527"/>
        <v>897</v>
      </c>
      <c r="F897" s="9" t="s">
        <v>118</v>
      </c>
      <c r="M897" s="23" t="s">
        <v>232</v>
      </c>
    </row>
    <row r="898" spans="2:13">
      <c r="E898" s="4">
        <f t="shared" si="527"/>
        <v>898</v>
      </c>
      <c r="F898" s="9" t="s">
        <v>114</v>
      </c>
      <c r="M898" s="23" t="b">
        <v>1</v>
      </c>
    </row>
    <row r="899" spans="2:13">
      <c r="E899" s="4">
        <f t="shared" si="527"/>
        <v>899</v>
      </c>
      <c r="F899" s="9" t="s">
        <v>98</v>
      </c>
      <c r="K899" s="9" t="s">
        <v>137</v>
      </c>
      <c r="M899" s="23">
        <v>2</v>
      </c>
    </row>
    <row r="900" spans="2:13">
      <c r="E900" s="4">
        <f t="shared" si="527"/>
        <v>900</v>
      </c>
      <c r="F900" s="9" t="s">
        <v>31</v>
      </c>
      <c r="L900" s="9" t="s">
        <v>135</v>
      </c>
      <c r="M900" s="23" t="s">
        <v>233</v>
      </c>
    </row>
    <row r="901" spans="2:13">
      <c r="E901" s="4">
        <f t="shared" si="527"/>
        <v>901</v>
      </c>
      <c r="F901" s="9" t="s">
        <v>143</v>
      </c>
      <c r="G901" s="23">
        <f t="shared" ref="G901" si="554">G892/2</f>
        <v>7</v>
      </c>
      <c r="H901" s="23">
        <v>-45</v>
      </c>
      <c r="I901" s="23">
        <v>-15</v>
      </c>
      <c r="J901" s="23" t="s">
        <v>234</v>
      </c>
      <c r="L901" s="9" t="s">
        <v>134</v>
      </c>
      <c r="M901" s="23">
        <f t="shared" ref="M901" si="555">IF(MOD(QUOTIENT(SUM(D891)-1,$G$17),2)=0,$G$18+$I$17*MOD(SUM(D891)-1,$G$17),$H$17+$J$17*MOD(SUM(D891)-1,$G$17))</f>
        <v>30</v>
      </c>
    </row>
    <row r="902" spans="2:13">
      <c r="E902" s="4"/>
      <c r="G902" s="23">
        <v>45</v>
      </c>
    </row>
    <row r="903" spans="2:13">
      <c r="E903" s="4">
        <f t="shared" ref="E903" si="556">ROW(E903)</f>
        <v>903</v>
      </c>
      <c r="F903" s="9" t="s">
        <v>30</v>
      </c>
      <c r="G903" s="23">
        <v>4</v>
      </c>
      <c r="H903" s="23">
        <v>0.1</v>
      </c>
      <c r="M903" s="23">
        <f t="shared" ref="M903" si="557">$G$19+$H$19*D891</f>
        <v>10.9</v>
      </c>
    </row>
    <row r="904" spans="2:13">
      <c r="B904" s="22">
        <f t="shared" ref="B904" si="558">QUOTIENT( D904-1,G905)+1</f>
        <v>5</v>
      </c>
      <c r="C904" s="22">
        <f t="shared" ref="C904" si="559">D904-(B904-1)*G905</f>
        <v>14</v>
      </c>
      <c r="D904" s="22">
        <f>COUNT($D$6:$D903)+1</f>
        <v>70</v>
      </c>
      <c r="E904" s="4"/>
    </row>
    <row r="905" spans="2:13">
      <c r="E905" s="4">
        <f t="shared" si="527"/>
        <v>905</v>
      </c>
      <c r="F905" s="9" t="s">
        <v>93</v>
      </c>
      <c r="G905" s="23" t="s">
        <v>44</v>
      </c>
      <c r="H905" s="23" t="s">
        <v>23</v>
      </c>
      <c r="J905" s="23">
        <v>10500</v>
      </c>
      <c r="M905" s="23">
        <f t="shared" ref="M905" si="560">$J$8+D904</f>
        <v>10570</v>
      </c>
    </row>
    <row r="906" spans="2:13">
      <c r="E906" s="4">
        <f t="shared" si="527"/>
        <v>906</v>
      </c>
      <c r="F906" s="9" t="s">
        <v>144</v>
      </c>
      <c r="M906" s="23">
        <v>104000</v>
      </c>
    </row>
    <row r="907" spans="2:13">
      <c r="E907" s="4">
        <f t="shared" si="527"/>
        <v>907</v>
      </c>
      <c r="F907" s="9" t="s">
        <v>126</v>
      </c>
      <c r="G907" s="23">
        <v>10</v>
      </c>
      <c r="H907" s="23">
        <v>8</v>
      </c>
      <c r="I907" s="23" t="s">
        <v>229</v>
      </c>
      <c r="M907" s="23">
        <f t="shared" ref="M907" si="561">G907*D904+$H$10+B904*I907</f>
        <v>703</v>
      </c>
    </row>
    <row r="908" spans="2:13">
      <c r="E908" s="4">
        <f t="shared" si="527"/>
        <v>908</v>
      </c>
      <c r="F908" s="9" t="s">
        <v>35</v>
      </c>
      <c r="M908" s="23">
        <v>1000</v>
      </c>
    </row>
    <row r="909" spans="2:13">
      <c r="E909" s="4">
        <f t="shared" si="527"/>
        <v>909</v>
      </c>
      <c r="F909" s="9" t="s">
        <v>29</v>
      </c>
      <c r="M909" s="23" t="s">
        <v>231</v>
      </c>
    </row>
    <row r="910" spans="2:13">
      <c r="E910" s="4">
        <f t="shared" si="527"/>
        <v>910</v>
      </c>
      <c r="F910" s="9" t="s">
        <v>118</v>
      </c>
      <c r="M910" s="23" t="s">
        <v>232</v>
      </c>
    </row>
    <row r="911" spans="2:13">
      <c r="E911" s="4">
        <f t="shared" si="527"/>
        <v>911</v>
      </c>
      <c r="F911" s="9" t="s">
        <v>114</v>
      </c>
      <c r="M911" s="23" t="b">
        <v>1</v>
      </c>
    </row>
    <row r="912" spans="2:13">
      <c r="E912" s="4">
        <f t="shared" si="527"/>
        <v>912</v>
      </c>
      <c r="F912" s="9" t="s">
        <v>98</v>
      </c>
      <c r="K912" s="9" t="s">
        <v>137</v>
      </c>
      <c r="M912" s="23">
        <v>2</v>
      </c>
    </row>
    <row r="913" spans="5:13">
      <c r="E913" s="4">
        <f t="shared" si="527"/>
        <v>913</v>
      </c>
      <c r="F913" s="9" t="s">
        <v>31</v>
      </c>
      <c r="L913" s="9" t="s">
        <v>135</v>
      </c>
      <c r="M913" s="23" t="s">
        <v>233</v>
      </c>
    </row>
    <row r="914" spans="5:13">
      <c r="E914" s="4">
        <f t="shared" si="527"/>
        <v>914</v>
      </c>
      <c r="F914" s="9" t="s">
        <v>143</v>
      </c>
      <c r="G914" s="23">
        <f t="shared" ref="G914" si="562">G905/2</f>
        <v>7</v>
      </c>
      <c r="H914" s="23">
        <v>-45</v>
      </c>
      <c r="I914" s="23">
        <v>-15</v>
      </c>
      <c r="J914" s="23" t="s">
        <v>234</v>
      </c>
      <c r="L914" s="9" t="s">
        <v>134</v>
      </c>
      <c r="M914" s="23">
        <f t="shared" ref="M914" si="563">IF(MOD(QUOTIENT(SUM(D904)-1,$G$17),2)=0,$G$18+$I$17*MOD(SUM(D904)-1,$G$17),$H$17+$J$17*MOD(SUM(D904)-1,$G$17))</f>
        <v>45</v>
      </c>
    </row>
    <row r="915" spans="5:13">
      <c r="E915" s="4"/>
      <c r="G915" s="23">
        <v>45</v>
      </c>
    </row>
    <row r="916" spans="5:13">
      <c r="E916" s="4">
        <f t="shared" ref="E916" si="564">ROW(E916)</f>
        <v>916</v>
      </c>
      <c r="F916" s="9" t="s">
        <v>30</v>
      </c>
      <c r="G916" s="23">
        <v>4</v>
      </c>
      <c r="H916" s="23">
        <v>0.1</v>
      </c>
      <c r="M916" s="23">
        <f t="shared" ref="M916" si="565">$G$19+$H$19*D904</f>
        <v>11</v>
      </c>
    </row>
  </sheetData>
  <phoneticPr fontId="2" type="noConversion"/>
  <conditionalFormatting sqref="N1:BD1">
    <cfRule type="duplicateValues" dxfId="59" priority="592"/>
  </conditionalFormatting>
  <conditionalFormatting sqref="BE1:XFD1 E1:L1">
    <cfRule type="duplicateValues" dxfId="58" priority="672"/>
  </conditionalFormatting>
  <conditionalFormatting sqref="F1 F7:F10 F21:F24 F34:F37 F47:F50 F60:F63 F73:F76 F86:F89 F99:F102 F112:F115 F125:F128 F138:F141 F151:F154 F164:F167 F177:F180 F26:F32 F39:F45 F52:F58 F65:F71 F78:F84 F91:F97 F104:F110 F117:F123 F130:F136 F143:F149 F156:F162 F169:F175 F182:F188 F190:F193 F372:F375 F554:F557 F736:F739 F195:F201 F377:F383 F559:F565 F741:F747 F203:F206 F385:F388 F567:F570 F749:F752 F216:F219 F398:F401 F580:F583 F762:F765 F229:F232 F411:F414 F593:F596 F775:F778 F242:F245 F424:F427 F606:F609 F788:F791 F255:F258 F437:F440 F619:F622 F801:F804 F268:F271 F450:F453 F632:F635 F814:F817 F281:F284 F463:F466 F645:F648 F827:F830 F294:F297 F476:F479 F658:F661 F840:F843 F307:F310 F489:F492 F671:F674 F853:F856 F320:F323 F502:F505 F684:F687 F866:F869 F333:F336 F515:F518 F697:F700 F879:F882 F346:F349 F528:F531 F710:F713 F892:F895 F359:F362 F541:F544 F723:F726 F905:F908 F208:F214 F390:F396 F572:F578 F754:F760 F221:F227 F403:F409 F585:F591 F767:F773 F234:F240 F416:F422 F598:F604 F780:F786 F247:F253 F429:F435 F611:F617 F793:F799 F260:F266 F442:F448 F624:F630 F806:F812 F273:F279 F455:F461 F637:F643 F819:F825 F286:F292 F468:F474 F650:F656 F832:F838 F299:F305 F481:F487 F663:F669 F845:F851 F312:F318 F494:F500 F676:F682 F858:F864 F325:F331 F507:F513 F689:F695 F871:F877 F338:F344 F520:F526 F702:F708 F884:F890 F351:F357 F533:F539 F715:F721 F897:F903 F364:F370 F546:F552 F728:F734 F910:F916 F12:F19">
    <cfRule type="cellIs" dxfId="57" priority="165" operator="equal">
      <formula>"行動ID"</formula>
    </cfRule>
    <cfRule type="cellIs" dxfId="56" priority="173" operator="equal">
      <formula>"ID"</formula>
    </cfRule>
    <cfRule type="cellIs" dxfId="55" priority="588" operator="equal">
      <formula>"行動序號"</formula>
    </cfRule>
  </conditionalFormatting>
  <conditionalFormatting sqref="J17:J19">
    <cfRule type="expression" dxfId="54" priority="895">
      <formula>#REF!="行動序號"</formula>
    </cfRule>
  </conditionalFormatting>
  <conditionalFormatting sqref="J17:J19">
    <cfRule type="expression" dxfId="53" priority="900">
      <formula>OR(#REF!="行動序號",#REF!="ID")</formula>
    </cfRule>
  </conditionalFormatting>
  <conditionalFormatting sqref="F15:F19">
    <cfRule type="cellIs" dxfId="52" priority="35" operator="equal">
      <formula>"行動ID"</formula>
    </cfRule>
  </conditionalFormatting>
  <conditionalFormatting sqref="F1 F7 F21 F34 F47 F60 F73 F86 F99 F112 F125 F138 F151 F164 F177 F190 F372 F554 F736 F203 F385 F567 F749 F216 F398 F580 F762 F229 F411 F593 F775 F242 F424 F606 F788 F255 F437 F619 F801 F268 F450 F632 F814 F281 F463 F645 F827 F294 F476 F658 F840 F307 F489 F671 F853 F320 F502 F684 F866 F333 F515 F697 F879 F346 F528 F710 F892 F359 F541 F723 F905">
    <cfRule type="cellIs" dxfId="51" priority="31" operator="equal">
      <formula>"行動ID"</formula>
    </cfRule>
  </conditionalFormatting>
  <conditionalFormatting sqref="F8:F12 F22:F26 F35:F39 F48:F52 F61:F65 F74:F78 F87:F91 F100:F104 F113:F117 F126:F130 F139:F143 F152:F156 F165:F169 F178:F182 F29:F32 F42:F45 F55:F58 F68:F71 F81:F84 F94:F97 F107:F110 F120:F123 F133:F136 F146:F149 F159:F162 F172:F175 F185:F188 F191:F195 F373:F377 F555:F559 F737:F741 F198:F201 F380:F383 F562:F565 F744:F747 F204:F208 F386:F390 F568:F572 F750:F754 F217:F221 F399:F403 F581:F585 F763:F767 F230:F234 F412:F416 F594:F598 F776:F780 F243:F247 F425:F429 F607:F611 F789:F793 F256:F260 F438:F442 F620:F624 F802:F806 F269:F273 F451:F455 F633:F637 F815:F819 F282:F286 F464:F468 F646:F650 F828:F832 F295:F299 F477:F481 F659:F663 F841:F845 F308:F312 F490:F494 F672:F676 F854:F858 F321:F325 F503:F507 F685:F689 F867:F871 F334:F338 F516:F520 F698:F702 F880:F884 F347:F351 F529:F533 F711:F715 F893:F897 F360:F364 F542:F546 F724:F728 F906:F910 F211:F214 F393:F396 F575:F578 F757:F760 F224:F227 F406:F409 F588:F591 F770:F773 F237:F240 F419:F422 F601:F604 F783:F786 F250:F253 F432:F435 F614:F617 F796:F799 F263:F266 F445:F448 F627:F630 F809:F812 F276:F279 F458:F461 F640:F643 F822:F825 F289:F292 F471:F474 F653:F656 F835:F838 F302:F305 F484:F487 F666:F669 F848:F851 F315:F318 F497:F500 F679:F682 F861:F864 F328:F331 F510:F513 F692:F695 F874:F877 F341:F344 F523:F526 F705:F708 F887:F890 F354:F357 F536:F539 F718:F721 F900:F903 F367:F370 F549:F552 F731:F734 F913:F916">
    <cfRule type="cellIs" dxfId="50" priority="24" operator="equal">
      <formula>"行動ID"</formula>
    </cfRule>
  </conditionalFormatting>
  <conditionalFormatting sqref="F13 F27 F40 F53 F66 F79 F92 F105 F118 F131 F144 F157 F170 F183 F196 F378 F560 F742 F209 F391 F573 F755 F222 F404 F586 F768 F235 F417 F599 F781 F248 F430 F612 F794 F261 F443 F625 F807 F274 F456 F638 F820 F287 F469 F651 F833 F300 F482 F664 F846 F313 F495 F677 F859 F326 F508 F690 F872 F339 F521 F703 F885 F352 F534 F716 F898 F365 F547 F729 F911">
    <cfRule type="cellIs" dxfId="49" priority="12" operator="equal">
      <formula>"行動ID"</formula>
    </cfRule>
  </conditionalFormatting>
  <conditionalFormatting sqref="F14 F28 F41 F54 F67 F80 F93 F106 F119 F132 F145 F158 F171 F184 F197 F379 F561 F743 F210 F392 F574 F756 F223 F405 F587 F769 F236 F418 F600 F782 F249 F431 F613 F795 F262 F444 F626 F808 F275 F457 F639 F821 F288 F470 F652 F834 F301 F483 F665 F847 F314 F496 F678 F860 F327 F509 F691 F873 F340 F522 F704 F886 F353 F535 F717 F899 F366 F548 F730 F912">
    <cfRule type="cellIs" dxfId="48" priority="8" operator="equal">
      <formula>"行動ID"</formula>
    </cfRule>
  </conditionalFormatting>
  <conditionalFormatting sqref="M1:M1048576">
    <cfRule type="expression" dxfId="47" priority="7">
      <formula>OR(#REF!="行動序號",#REF!="ID")</formula>
    </cfRule>
  </conditionalFormatting>
  <conditionalFormatting sqref="G18:G19 M1:M1048576">
    <cfRule type="expression" dxfId="46" priority="6">
      <formula>_xlfn.ISFORMULA(G1)</formula>
    </cfRule>
  </conditionalFormatting>
  <conditionalFormatting sqref="M1:M1048576">
    <cfRule type="expression" dxfId="45" priority="5">
      <formula>#REF!="行動ID"</formula>
    </cfRule>
  </conditionalFormatting>
  <conditionalFormatting sqref="G1:J1">
    <cfRule type="cellIs" dxfId="44" priority="2" operator="equal">
      <formula>"行動ID"</formula>
    </cfRule>
    <cfRule type="cellIs" dxfId="43" priority="3" operator="equal">
      <formula>"ID"</formula>
    </cfRule>
    <cfRule type="cellIs" dxfId="42" priority="4" operator="equal">
      <formula>"行動序號"</formula>
    </cfRule>
  </conditionalFormatting>
  <conditionalFormatting sqref="G1:J1">
    <cfRule type="cellIs" dxfId="41" priority="1" operator="equal">
      <formula>"行動ID"</formula>
    </cfRule>
  </conditionalFormatting>
  <conditionalFormatting sqref="G18:G19">
    <cfRule type="expression" dxfId="40" priority="905">
      <formula>OR(#REF!="行動序號",#REF!="ID")</formula>
    </cfRule>
  </conditionalFormatting>
  <conditionalFormatting sqref="G18:G19">
    <cfRule type="expression" dxfId="39" priority="911">
      <formula>#REF!="行動ID"</formula>
    </cfRule>
  </conditionalFormatting>
  <dataValidations count="1">
    <dataValidation type="list" allowBlank="1" showInputMessage="1" showErrorMessage="1" sqref="L8" xr:uid="{0EB0627A-79C4-42A2-85BE-5E25B5D9ED53}">
      <formula1>_OPTION_</formula1>
    </dataValidation>
  </dataValidations>
  <pageMargins left="0.75" right="0.75" top="1" bottom="1" header="0.5" footer="0.5"/>
  <pageSetup paperSize="9" orientation="portrait" horizontalDpi="200" verticalDpi="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A5E24B-C066-4189-929B-C3C18927DC69}">
  <sheetPr codeName="AliasSheet"/>
  <dimension ref="A1:E84"/>
  <sheetViews>
    <sheetView workbookViewId="0">
      <selection activeCell="F12" sqref="F12"/>
    </sheetView>
  </sheetViews>
  <sheetFormatPr defaultRowHeight="16.5"/>
  <cols>
    <col min="1" max="1" width="9" style="9"/>
    <col min="2" max="2" width="13.25" style="9" bestFit="1" customWidth="1"/>
    <col min="3" max="3" width="13.875" style="9" bestFit="1" customWidth="1"/>
    <col min="4" max="4" width="13.875" style="9" customWidth="1"/>
    <col min="5" max="5" width="13" bestFit="1" customWidth="1"/>
  </cols>
  <sheetData>
    <row r="1" spans="1:5" s="6" customFormat="1" ht="19.5">
      <c r="A1" s="17" t="s">
        <v>49</v>
      </c>
      <c r="B1" s="17" t="s">
        <v>27</v>
      </c>
      <c r="C1" s="17" t="s">
        <v>141</v>
      </c>
      <c r="D1" s="17" t="s">
        <v>140</v>
      </c>
      <c r="E1" s="6" t="s">
        <v>36</v>
      </c>
    </row>
    <row r="2" spans="1:5">
      <c r="A2" s="9" t="s">
        <v>50</v>
      </c>
      <c r="B2" s="9" t="s">
        <v>28</v>
      </c>
      <c r="C2" s="9" t="s">
        <v>141</v>
      </c>
      <c r="D2" s="9" t="s">
        <v>139</v>
      </c>
      <c r="E2" s="9" t="s">
        <v>36</v>
      </c>
    </row>
    <row r="56" spans="1:4">
      <c r="A56" s="14"/>
      <c r="B56" s="14"/>
      <c r="C56" s="14"/>
      <c r="D56" s="14"/>
    </row>
    <row r="63" spans="1:4">
      <c r="A63" s="14"/>
      <c r="B63" s="14"/>
      <c r="C63" s="14"/>
      <c r="D63" s="14"/>
    </row>
    <row r="73" spans="1:4">
      <c r="A73" s="14"/>
      <c r="B73" s="14"/>
      <c r="C73" s="14"/>
      <c r="D73" s="14"/>
    </row>
    <row r="84" spans="1:4">
      <c r="A84" s="13"/>
      <c r="B84" s="13"/>
      <c r="C84" s="13"/>
      <c r="D84" s="13"/>
    </row>
  </sheetData>
  <phoneticPr fontId="2" type="noConversion"/>
  <conditionalFormatting sqref="E1:XFD1">
    <cfRule type="duplicateValues" dxfId="38" priority="1"/>
  </conditionalFormatting>
  <conditionalFormatting sqref="A1:D1">
    <cfRule type="duplicateValues" dxfId="37" priority="2"/>
  </conditionalFormatting>
  <dataValidations count="1">
    <dataValidation type="list" allowBlank="1" showInputMessage="1" showErrorMessage="1" sqref="B2" xr:uid="{913CBDAE-D0D6-42CB-B98E-F3836345153D}">
      <formula1>_OPTION_</formula1>
    </dataValidation>
  </dataValidations>
  <pageMargins left="0.75" right="0.75" top="1" bottom="1" header="0.5" footer="0.5"/>
  <pageSetup paperSize="9" orientation="portrait" horizontalDpi="200" verticalDpi="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26CB9-682B-46AE-B720-3EE82D8D9C27}">
  <sheetPr codeName="DefineSheet"/>
  <dimension ref="A1:L116"/>
  <sheetViews>
    <sheetView topLeftCell="A94" workbookViewId="0">
      <selection activeCell="B116" sqref="B116"/>
    </sheetView>
  </sheetViews>
  <sheetFormatPr defaultRowHeight="16.5"/>
  <cols>
    <col min="1" max="1" width="19.75" style="7" bestFit="1" customWidth="1"/>
    <col min="2" max="2" width="20.625" style="7" customWidth="1"/>
    <col min="3" max="3" width="24.625" style="7" bestFit="1" customWidth="1"/>
    <col min="4" max="4" width="9" style="7"/>
    <col min="6" max="16384" width="9" style="7"/>
  </cols>
  <sheetData>
    <row r="1" spans="1:12" s="6" customFormat="1">
      <c r="A1" s="6" t="s">
        <v>1</v>
      </c>
      <c r="B1" s="6" t="s">
        <v>18</v>
      </c>
      <c r="C1" s="6" t="s">
        <v>17</v>
      </c>
      <c r="E1" s="5"/>
      <c r="L1" s="7"/>
    </row>
    <row r="3" spans="1:12">
      <c r="A3" s="7" t="s">
        <v>27</v>
      </c>
      <c r="B3" t="s">
        <v>145</v>
      </c>
      <c r="C3" s="7" t="s">
        <v>21</v>
      </c>
      <c r="E3" t="str">
        <f t="shared" ref="E3:E88" si="0">B3&amp;","</f>
        <v>ID,</v>
      </c>
      <c r="H3"/>
      <c r="J3"/>
    </row>
    <row r="4" spans="1:12">
      <c r="A4" s="7" t="s">
        <v>27</v>
      </c>
      <c r="B4" s="7" t="s">
        <v>101</v>
      </c>
      <c r="C4" s="7" t="s">
        <v>37</v>
      </c>
      <c r="E4" t="str">
        <f t="shared" si="0"/>
        <v>行動ID,</v>
      </c>
      <c r="H4"/>
    </row>
    <row r="5" spans="1:12">
      <c r="A5" s="7" t="s">
        <v>27</v>
      </c>
      <c r="B5" s="7" t="s">
        <v>99</v>
      </c>
      <c r="C5" s="7" t="s">
        <v>38</v>
      </c>
      <c r="E5" t="str">
        <f t="shared" si="0"/>
        <v>玩家,</v>
      </c>
      <c r="H5"/>
    </row>
    <row r="6" spans="1:12">
      <c r="A6" s="7" t="s">
        <v>27</v>
      </c>
      <c r="B6" s="7" t="s">
        <v>102</v>
      </c>
      <c r="C6" s="7" t="s">
        <v>22</v>
      </c>
      <c r="E6" t="str">
        <f t="shared" si="0"/>
        <v>玩家子彈,</v>
      </c>
      <c r="H6"/>
    </row>
    <row r="7" spans="1:12">
      <c r="A7" s="7" t="s">
        <v>27</v>
      </c>
      <c r="B7" s="7" t="s">
        <v>48</v>
      </c>
      <c r="C7" s="7" t="s">
        <v>23</v>
      </c>
      <c r="E7" t="str">
        <f t="shared" si="0"/>
        <v>BOSS,</v>
      </c>
      <c r="H7"/>
      <c r="I7" s="10"/>
    </row>
    <row r="8" spans="1:12">
      <c r="A8" s="7" t="s">
        <v>27</v>
      </c>
      <c r="B8" s="7" t="s">
        <v>146</v>
      </c>
      <c r="C8" s="7" t="s">
        <v>32</v>
      </c>
      <c r="E8" t="str">
        <f t="shared" si="0"/>
        <v>復位,</v>
      </c>
      <c r="H8"/>
      <c r="I8" s="11"/>
    </row>
    <row r="9" spans="1:12">
      <c r="A9" s="7" t="s">
        <v>27</v>
      </c>
      <c r="B9" s="7" t="s">
        <v>110</v>
      </c>
      <c r="C9" s="7" t="s">
        <v>39</v>
      </c>
      <c r="E9" t="str">
        <f t="shared" si="0"/>
        <v>BOSSDEAD,</v>
      </c>
      <c r="H9"/>
      <c r="I9" s="11"/>
    </row>
    <row r="10" spans="1:12">
      <c r="A10" s="7" t="s">
        <v>27</v>
      </c>
      <c r="B10" s="7" t="s">
        <v>236</v>
      </c>
      <c r="C10" s="7" t="s">
        <v>33</v>
      </c>
      <c r="E10" t="str">
        <f t="shared" si="0"/>
        <v>BOSSLEAVE,</v>
      </c>
      <c r="H10"/>
      <c r="I10" s="11"/>
    </row>
    <row r="11" spans="1:12">
      <c r="A11" s="7" t="s">
        <v>27</v>
      </c>
      <c r="B11" s="7" t="s">
        <v>147</v>
      </c>
      <c r="C11" s="7" t="s">
        <v>40</v>
      </c>
      <c r="E11" t="str">
        <f t="shared" si="0"/>
        <v>Power,</v>
      </c>
      <c r="H11"/>
      <c r="I11" s="11"/>
    </row>
    <row r="12" spans="1:12">
      <c r="A12" s="7" t="s">
        <v>27</v>
      </c>
      <c r="B12" s="7" t="s">
        <v>45</v>
      </c>
      <c r="C12" s="7" t="s">
        <v>34</v>
      </c>
      <c r="E12" t="str">
        <f t="shared" si="0"/>
        <v>符卡,</v>
      </c>
      <c r="H12"/>
      <c r="I12" s="11"/>
    </row>
    <row r="13" spans="1:12">
      <c r="A13" s="7" t="s">
        <v>27</v>
      </c>
      <c r="B13" s="7" t="s">
        <v>103</v>
      </c>
      <c r="C13" s="7" t="s">
        <v>41</v>
      </c>
      <c r="E13" t="str">
        <f t="shared" si="0"/>
        <v>標題,</v>
      </c>
      <c r="H13"/>
      <c r="I13" s="11"/>
    </row>
    <row r="14" spans="1:12">
      <c r="A14" s="7" t="s">
        <v>27</v>
      </c>
      <c r="B14" s="7" t="s">
        <v>104</v>
      </c>
      <c r="C14" s="7" t="s">
        <v>42</v>
      </c>
      <c r="E14" t="str">
        <f t="shared" si="0"/>
        <v>對話,</v>
      </c>
      <c r="H14"/>
    </row>
    <row r="15" spans="1:12">
      <c r="A15" s="7" t="s">
        <v>27</v>
      </c>
      <c r="B15" s="7" t="s">
        <v>130</v>
      </c>
      <c r="C15" s="7" t="s">
        <v>43</v>
      </c>
      <c r="E15" t="str">
        <f t="shared" si="0"/>
        <v>播放音樂,</v>
      </c>
      <c r="H15"/>
    </row>
    <row r="16" spans="1:12">
      <c r="A16" s="7" t="s">
        <v>27</v>
      </c>
      <c r="B16" s="7" t="s">
        <v>131</v>
      </c>
      <c r="C16" s="7" t="s">
        <v>44</v>
      </c>
      <c r="E16" t="str">
        <f t="shared" si="0"/>
        <v>關卡結束,</v>
      </c>
      <c r="H16"/>
    </row>
    <row r="17" spans="1:8">
      <c r="A17" s="7" t="s">
        <v>27</v>
      </c>
      <c r="B17" s="7" t="s">
        <v>148</v>
      </c>
      <c r="C17" s="7" t="s">
        <v>234</v>
      </c>
      <c r="E17" t="str">
        <f t="shared" si="0"/>
        <v>下一關,</v>
      </c>
      <c r="H17"/>
    </row>
    <row r="18" spans="1:8">
      <c r="H18"/>
    </row>
    <row r="19" spans="1:8">
      <c r="H19"/>
    </row>
    <row r="20" spans="1:8">
      <c r="A20" s="7" t="s">
        <v>27</v>
      </c>
      <c r="B20" s="7" t="s">
        <v>144</v>
      </c>
      <c r="C20" s="7" t="s">
        <v>149</v>
      </c>
      <c r="E20" t="str">
        <f t="shared" si="0"/>
        <v>啟動依ID,</v>
      </c>
      <c r="H20"/>
    </row>
    <row r="21" spans="1:8">
      <c r="A21" s="7" t="s">
        <v>27</v>
      </c>
      <c r="B21" s="7" t="s">
        <v>150</v>
      </c>
      <c r="C21" s="7" t="s">
        <v>151</v>
      </c>
      <c r="E21" t="str">
        <f t="shared" si="0"/>
        <v>啟動依遊戲時間,</v>
      </c>
      <c r="H21"/>
    </row>
    <row r="22" spans="1:8">
      <c r="A22" s="7" t="s">
        <v>27</v>
      </c>
      <c r="B22" s="7" t="s">
        <v>126</v>
      </c>
      <c r="C22" s="7" t="s">
        <v>152</v>
      </c>
      <c r="E22" t="str">
        <f t="shared" si="0"/>
        <v>啟動依開始時間後,</v>
      </c>
      <c r="H22"/>
    </row>
    <row r="23" spans="1:8">
      <c r="A23" s="7" t="s">
        <v>27</v>
      </c>
      <c r="B23" s="7" t="s">
        <v>127</v>
      </c>
      <c r="C23" s="7" t="s">
        <v>153</v>
      </c>
      <c r="E23" t="str">
        <f t="shared" si="0"/>
        <v>啟動依結束時間前,</v>
      </c>
      <c r="H23"/>
    </row>
    <row r="24" spans="1:8">
      <c r="A24" s="7" t="s">
        <v>27</v>
      </c>
      <c r="B24" s="7" t="s">
        <v>128</v>
      </c>
      <c r="C24" s="7" t="s">
        <v>154</v>
      </c>
      <c r="E24" t="str">
        <f t="shared" si="0"/>
        <v>啟動依位置,</v>
      </c>
      <c r="H24"/>
    </row>
    <row r="25" spans="1:8">
      <c r="A25" s="7" t="s">
        <v>27</v>
      </c>
      <c r="B25" s="7" t="s">
        <v>129</v>
      </c>
      <c r="C25" s="7" t="s">
        <v>155</v>
      </c>
      <c r="E25" t="str">
        <f t="shared" si="0"/>
        <v>啟動依位置距離,</v>
      </c>
      <c r="H25"/>
    </row>
    <row r="26" spans="1:8">
      <c r="A26" s="7" t="s">
        <v>27</v>
      </c>
      <c r="B26" s="7" t="s">
        <v>156</v>
      </c>
      <c r="C26" s="7" t="s">
        <v>157</v>
      </c>
      <c r="E26" t="str">
        <f t="shared" si="0"/>
        <v>啟動依玩家死亡,</v>
      </c>
      <c r="H26"/>
    </row>
    <row r="27" spans="1:8">
      <c r="A27" s="7" t="s">
        <v>27</v>
      </c>
      <c r="B27" s="7" t="s">
        <v>158</v>
      </c>
      <c r="C27" s="7" t="s">
        <v>159</v>
      </c>
      <c r="E27" t="str">
        <f t="shared" si="0"/>
        <v>啟動位置是活動,</v>
      </c>
      <c r="H27"/>
    </row>
    <row r="28" spans="1:8">
      <c r="H28"/>
    </row>
    <row r="29" spans="1:8">
      <c r="H29"/>
    </row>
    <row r="30" spans="1:8">
      <c r="A30" s="7" t="s">
        <v>27</v>
      </c>
      <c r="B30" s="7" t="s">
        <v>29</v>
      </c>
      <c r="C30" s="7" t="s">
        <v>160</v>
      </c>
      <c r="E30" t="str">
        <f t="shared" si="0"/>
        <v>物件,</v>
      </c>
      <c r="H30"/>
    </row>
    <row r="31" spans="1:8">
      <c r="A31" s="7" t="s">
        <v>27</v>
      </c>
      <c r="B31" s="7" t="s">
        <v>118</v>
      </c>
      <c r="C31" s="7" t="s">
        <v>161</v>
      </c>
      <c r="E31" t="str">
        <f t="shared" si="0"/>
        <v>Sprite,</v>
      </c>
      <c r="H31"/>
    </row>
    <row r="32" spans="1:8">
      <c r="A32" s="7" t="s">
        <v>27</v>
      </c>
      <c r="B32" s="7" t="s">
        <v>100</v>
      </c>
      <c r="C32" s="7" t="s">
        <v>162</v>
      </c>
      <c r="E32" t="str">
        <f t="shared" si="0"/>
        <v>動畫,</v>
      </c>
      <c r="H32"/>
    </row>
    <row r="33" spans="1:8">
      <c r="A33" s="7" t="s">
        <v>27</v>
      </c>
      <c r="B33" s="7" t="s">
        <v>106</v>
      </c>
      <c r="C33" s="7" t="s">
        <v>163</v>
      </c>
      <c r="E33" t="str">
        <f t="shared" si="0"/>
        <v>Name,</v>
      </c>
      <c r="F33" s="4"/>
      <c r="H33"/>
    </row>
    <row r="34" spans="1:8">
      <c r="A34" s="7" t="s">
        <v>27</v>
      </c>
      <c r="B34" s="7" t="s">
        <v>105</v>
      </c>
      <c r="C34" s="7" t="s">
        <v>164</v>
      </c>
      <c r="E34" t="str">
        <f t="shared" si="0"/>
        <v>傷害,</v>
      </c>
      <c r="F34" s="4"/>
      <c r="H34"/>
    </row>
    <row r="35" spans="1:8">
      <c r="A35" s="7" t="s">
        <v>27</v>
      </c>
      <c r="B35" s="7" t="s">
        <v>46</v>
      </c>
      <c r="C35" s="7" t="s">
        <v>165</v>
      </c>
      <c r="E35" t="str">
        <f t="shared" si="0"/>
        <v>HP,</v>
      </c>
      <c r="F35" s="4"/>
      <c r="H35"/>
    </row>
    <row r="36" spans="1:8">
      <c r="A36" s="7" t="s">
        <v>27</v>
      </c>
      <c r="B36" s="7" t="s">
        <v>166</v>
      </c>
      <c r="C36" s="7" t="s">
        <v>167</v>
      </c>
      <c r="E36" t="str">
        <f t="shared" si="0"/>
        <v>Power掉落,</v>
      </c>
      <c r="F36" s="4"/>
      <c r="H36"/>
    </row>
    <row r="37" spans="1:8">
      <c r="A37" s="7" t="s">
        <v>27</v>
      </c>
      <c r="B37" s="7" t="s">
        <v>168</v>
      </c>
      <c r="C37" s="7" t="s">
        <v>169</v>
      </c>
      <c r="E37" t="str">
        <f t="shared" si="0"/>
        <v>加ID,</v>
      </c>
      <c r="F37" s="4"/>
      <c r="H37"/>
    </row>
    <row r="38" spans="1:8">
      <c r="F38" s="4"/>
      <c r="H38"/>
    </row>
    <row r="39" spans="1:8">
      <c r="F39" s="4"/>
      <c r="H39"/>
    </row>
    <row r="40" spans="1:8">
      <c r="A40" s="7" t="s">
        <v>27</v>
      </c>
      <c r="B40" s="7" t="s">
        <v>35</v>
      </c>
      <c r="C40" s="7" t="s">
        <v>170</v>
      </c>
      <c r="E40" t="str">
        <f t="shared" si="0"/>
        <v>行動時間,</v>
      </c>
      <c r="F40" s="4"/>
      <c r="H40"/>
    </row>
    <row r="41" spans="1:8">
      <c r="A41" s="7" t="s">
        <v>27</v>
      </c>
      <c r="B41" s="7" t="s">
        <v>97</v>
      </c>
      <c r="C41" s="7" t="s">
        <v>171</v>
      </c>
      <c r="E41" t="str">
        <f t="shared" si="0"/>
        <v>回收時間,</v>
      </c>
      <c r="H41"/>
    </row>
    <row r="42" spans="1:8">
      <c r="A42" s="7" t="s">
        <v>27</v>
      </c>
      <c r="B42" s="7" t="s">
        <v>107</v>
      </c>
      <c r="C42" s="7" t="s">
        <v>172</v>
      </c>
      <c r="E42" t="str">
        <f t="shared" si="0"/>
        <v>死亡時間,</v>
      </c>
      <c r="H42"/>
    </row>
    <row r="43" spans="1:8">
      <c r="A43" s="7" t="s">
        <v>27</v>
      </c>
      <c r="B43" s="7" t="s">
        <v>225</v>
      </c>
      <c r="C43" s="7" t="s">
        <v>226</v>
      </c>
      <c r="E43" t="str">
        <f t="shared" si="0"/>
        <v>符卡時間,</v>
      </c>
      <c r="H43"/>
    </row>
    <row r="44" spans="1:8">
      <c r="B44" s="26"/>
      <c r="H44"/>
    </row>
    <row r="45" spans="1:8">
      <c r="H45"/>
    </row>
    <row r="46" spans="1:8">
      <c r="A46" s="7" t="s">
        <v>27</v>
      </c>
      <c r="B46" s="7" t="s">
        <v>98</v>
      </c>
      <c r="C46" s="7" t="s">
        <v>173</v>
      </c>
      <c r="E46" t="str">
        <f t="shared" si="0"/>
        <v>移位置,</v>
      </c>
      <c r="H46"/>
    </row>
    <row r="47" spans="1:8">
      <c r="A47" s="7" t="s">
        <v>27</v>
      </c>
      <c r="B47" s="7" t="s">
        <v>116</v>
      </c>
      <c r="C47" s="7" t="s">
        <v>174</v>
      </c>
      <c r="E47" t="str">
        <f t="shared" si="0"/>
        <v>相對位置,</v>
      </c>
      <c r="H47"/>
    </row>
    <row r="48" spans="1:8">
      <c r="A48" s="7" t="s">
        <v>27</v>
      </c>
      <c r="B48" s="7" t="s">
        <v>133</v>
      </c>
      <c r="C48" s="7" t="s">
        <v>175</v>
      </c>
      <c r="E48" t="str">
        <f t="shared" si="0"/>
        <v>位置參數,</v>
      </c>
      <c r="H48"/>
    </row>
    <row r="49" spans="1:8">
      <c r="A49" s="7" t="s">
        <v>27</v>
      </c>
      <c r="B49" s="7" t="s">
        <v>176</v>
      </c>
      <c r="C49" s="7" t="s">
        <v>177</v>
      </c>
      <c r="E49" t="str">
        <f t="shared" si="0"/>
        <v>加位置,</v>
      </c>
      <c r="H49"/>
    </row>
    <row r="50" spans="1:8">
      <c r="A50" s="7" t="s">
        <v>27</v>
      </c>
      <c r="B50" s="7" t="s">
        <v>242</v>
      </c>
      <c r="C50" s="7" t="s">
        <v>243</v>
      </c>
      <c r="E50" t="str">
        <f t="shared" si="0"/>
        <v>記錄位置,</v>
      </c>
      <c r="H50"/>
    </row>
    <row r="51" spans="1:8">
      <c r="A51" s="7" t="s">
        <v>27</v>
      </c>
      <c r="B51" s="7" t="s">
        <v>244</v>
      </c>
      <c r="C51" s="7" t="s">
        <v>245</v>
      </c>
      <c r="E51" t="str">
        <f t="shared" si="0"/>
        <v>記錄位置序號,</v>
      </c>
      <c r="H51"/>
    </row>
    <row r="52" spans="1:8">
      <c r="H52"/>
    </row>
    <row r="53" spans="1:8">
      <c r="H53"/>
    </row>
    <row r="54" spans="1:8">
      <c r="A54" s="7" t="s">
        <v>27</v>
      </c>
      <c r="B54" s="7" t="s">
        <v>31</v>
      </c>
      <c r="C54" s="7" t="s">
        <v>178</v>
      </c>
      <c r="E54" t="str">
        <f t="shared" si="0"/>
        <v>移動角度,</v>
      </c>
      <c r="H54"/>
    </row>
    <row r="55" spans="1:8">
      <c r="A55" s="7" t="s">
        <v>27</v>
      </c>
      <c r="B55" s="7" t="s">
        <v>111</v>
      </c>
      <c r="C55" s="7" t="s">
        <v>179</v>
      </c>
      <c r="E55" t="str">
        <f t="shared" si="0"/>
        <v>加移動角度,</v>
      </c>
      <c r="F55" s="9"/>
      <c r="H55"/>
    </row>
    <row r="56" spans="1:8">
      <c r="A56" s="7" t="s">
        <v>27</v>
      </c>
      <c r="B56" s="7" t="s">
        <v>112</v>
      </c>
      <c r="C56" s="7" t="s">
        <v>180</v>
      </c>
      <c r="E56" t="str">
        <f t="shared" si="0"/>
        <v>旋轉角度,</v>
      </c>
      <c r="F56" s="9"/>
      <c r="H56"/>
    </row>
    <row r="57" spans="1:8">
      <c r="A57" s="7" t="s">
        <v>27</v>
      </c>
      <c r="B57" s="7" t="s">
        <v>113</v>
      </c>
      <c r="C57" s="7" t="s">
        <v>181</v>
      </c>
      <c r="E57" t="str">
        <f t="shared" si="0"/>
        <v>加旋轉角度,</v>
      </c>
      <c r="F57" s="9"/>
      <c r="H57"/>
    </row>
    <row r="58" spans="1:8">
      <c r="A58" s="7" t="s">
        <v>27</v>
      </c>
      <c r="B58" s="7" t="s">
        <v>132</v>
      </c>
      <c r="C58" s="7" t="s">
        <v>182</v>
      </c>
      <c r="E58" t="str">
        <f t="shared" si="0"/>
        <v>角度參數,</v>
      </c>
      <c r="F58" s="9"/>
      <c r="H58"/>
    </row>
    <row r="59" spans="1:8">
      <c r="A59" s="7" t="s">
        <v>27</v>
      </c>
      <c r="B59" s="7" t="s">
        <v>143</v>
      </c>
      <c r="C59" s="7" t="s">
        <v>183</v>
      </c>
      <c r="E59" t="str">
        <f t="shared" si="0"/>
        <v>加角度,</v>
      </c>
      <c r="F59" s="9"/>
      <c r="H59"/>
    </row>
    <row r="60" spans="1:8">
      <c r="A60" s="7" t="s">
        <v>27</v>
      </c>
      <c r="B60" s="7" t="s">
        <v>114</v>
      </c>
      <c r="C60" s="7" t="s">
        <v>184</v>
      </c>
      <c r="E60" t="str">
        <f t="shared" si="0"/>
        <v>旋轉是移動角度,</v>
      </c>
      <c r="H60"/>
    </row>
    <row r="61" spans="1:8">
      <c r="A61" s="7" t="s">
        <v>27</v>
      </c>
      <c r="B61" s="27" t="s">
        <v>237</v>
      </c>
      <c r="C61" s="7" t="s">
        <v>238</v>
      </c>
      <c r="E61" t="str">
        <f t="shared" si="0"/>
        <v>子旋轉角度,</v>
      </c>
      <c r="H61"/>
    </row>
    <row r="62" spans="1:8">
      <c r="A62" s="7" t="s">
        <v>27</v>
      </c>
      <c r="B62" s="27" t="s">
        <v>239</v>
      </c>
      <c r="C62" s="7" t="s">
        <v>240</v>
      </c>
      <c r="E62" t="str">
        <f t="shared" si="0"/>
        <v>子加旋轉角度,</v>
      </c>
      <c r="H62"/>
    </row>
    <row r="63" spans="1:8">
      <c r="A63" s="7" t="s">
        <v>27</v>
      </c>
      <c r="B63" s="7" t="s">
        <v>246</v>
      </c>
      <c r="C63" s="7" t="s">
        <v>247</v>
      </c>
      <c r="E63" t="str">
        <f t="shared" si="0"/>
        <v>記錄角度,</v>
      </c>
      <c r="H63"/>
    </row>
    <row r="64" spans="1:8">
      <c r="A64" s="7" t="s">
        <v>27</v>
      </c>
      <c r="B64" s="7" t="s">
        <v>249</v>
      </c>
      <c r="C64" s="7" t="s">
        <v>248</v>
      </c>
      <c r="E64" t="str">
        <f t="shared" si="0"/>
        <v>記錄角度ID,</v>
      </c>
      <c r="H64"/>
    </row>
    <row r="65" spans="1:11">
      <c r="B65" s="27"/>
      <c r="H65"/>
    </row>
    <row r="66" spans="1:11">
      <c r="H66"/>
    </row>
    <row r="67" spans="1:11">
      <c r="A67" s="7" t="s">
        <v>27</v>
      </c>
      <c r="B67" s="7" t="s">
        <v>30</v>
      </c>
      <c r="C67" s="7" t="s">
        <v>185</v>
      </c>
      <c r="E67" t="str">
        <f t="shared" si="0"/>
        <v>速度,</v>
      </c>
      <c r="H67"/>
    </row>
    <row r="68" spans="1:11">
      <c r="A68" s="7" t="s">
        <v>27</v>
      </c>
      <c r="B68" s="7" t="s">
        <v>115</v>
      </c>
      <c r="C68" s="7" t="s">
        <v>186</v>
      </c>
      <c r="E68" t="str">
        <f t="shared" si="0"/>
        <v>加速度,</v>
      </c>
      <c r="H68"/>
    </row>
    <row r="69" spans="1:11">
      <c r="A69" s="7" t="s">
        <v>27</v>
      </c>
      <c r="B69" s="7" t="s">
        <v>108</v>
      </c>
      <c r="C69" s="7" t="s">
        <v>187</v>
      </c>
      <c r="E69" t="str">
        <f t="shared" si="0"/>
        <v>最小速度,</v>
      </c>
      <c r="H69"/>
    </row>
    <row r="70" spans="1:11">
      <c r="A70" s="7" t="s">
        <v>27</v>
      </c>
      <c r="B70" s="7" t="s">
        <v>109</v>
      </c>
      <c r="C70" s="7" t="s">
        <v>188</v>
      </c>
      <c r="E70" t="str">
        <f t="shared" si="0"/>
        <v>最大速度,</v>
      </c>
      <c r="H70"/>
    </row>
    <row r="71" spans="1:11">
      <c r="H71"/>
    </row>
    <row r="72" spans="1:11">
      <c r="H72"/>
    </row>
    <row r="73" spans="1:11">
      <c r="A73" s="7" t="s">
        <v>27</v>
      </c>
      <c r="B73" s="7" t="s">
        <v>189</v>
      </c>
      <c r="C73" s="7" t="s">
        <v>190</v>
      </c>
      <c r="E73" t="str">
        <f t="shared" si="0"/>
        <v>是界內,</v>
      </c>
      <c r="H73"/>
    </row>
    <row r="74" spans="1:11">
      <c r="A74" s="7" t="s">
        <v>27</v>
      </c>
      <c r="B74" s="7" t="s">
        <v>47</v>
      </c>
      <c r="C74" s="7" t="s">
        <v>191</v>
      </c>
      <c r="E74" t="str">
        <f t="shared" si="0"/>
        <v>無敵,</v>
      </c>
      <c r="H74"/>
    </row>
    <row r="75" spans="1:11">
      <c r="A75" s="7" t="s">
        <v>27</v>
      </c>
      <c r="B75" s="7" t="s">
        <v>117</v>
      </c>
      <c r="C75" s="7" t="s">
        <v>192</v>
      </c>
      <c r="E75" t="str">
        <f t="shared" si="0"/>
        <v>貫穿,</v>
      </c>
      <c r="H75"/>
    </row>
    <row r="76" spans="1:11">
      <c r="A76" s="7" t="s">
        <v>27</v>
      </c>
      <c r="B76" s="7" t="s">
        <v>125</v>
      </c>
      <c r="C76" s="7" t="s">
        <v>193</v>
      </c>
      <c r="E76" t="str">
        <f t="shared" si="0"/>
        <v>回收距離,</v>
      </c>
      <c r="H76"/>
    </row>
    <row r="77" spans="1:11">
      <c r="A77" s="7" t="s">
        <v>27</v>
      </c>
      <c r="B77" s="7" t="s">
        <v>194</v>
      </c>
      <c r="C77" s="7" t="s">
        <v>195</v>
      </c>
      <c r="E77" t="str">
        <f t="shared" si="0"/>
        <v>出生動畫速率,</v>
      </c>
      <c r="H77"/>
    </row>
    <row r="78" spans="1:11">
      <c r="A78" s="7" t="s">
        <v>27</v>
      </c>
      <c r="B78" s="7" t="s">
        <v>196</v>
      </c>
      <c r="C78" s="7" t="s">
        <v>197</v>
      </c>
      <c r="E78" t="str">
        <f t="shared" si="0"/>
        <v>出生動畫時間,</v>
      </c>
      <c r="H78"/>
    </row>
    <row r="79" spans="1:11">
      <c r="A79" s="7" t="s">
        <v>27</v>
      </c>
      <c r="B79" s="7" t="s">
        <v>198</v>
      </c>
      <c r="C79" s="7" t="s">
        <v>199</v>
      </c>
      <c r="E79" t="str">
        <f t="shared" si="0"/>
        <v>出生動畫開始,</v>
      </c>
      <c r="H79"/>
    </row>
    <row r="80" spans="1:11">
      <c r="A80" s="7" t="s">
        <v>27</v>
      </c>
      <c r="B80" s="7" t="s">
        <v>200</v>
      </c>
      <c r="C80" s="7" t="s">
        <v>201</v>
      </c>
      <c r="E80" t="str">
        <f t="shared" si="0"/>
        <v>行動ID結束,</v>
      </c>
      <c r="H80"/>
      <c r="K80" s="4"/>
    </row>
    <row r="81" spans="1:11">
      <c r="H81"/>
      <c r="K81" s="4"/>
    </row>
    <row r="82" spans="1:11">
      <c r="H82"/>
      <c r="K82" s="4"/>
    </row>
    <row r="83" spans="1:11">
      <c r="A83" s="7" t="s">
        <v>27</v>
      </c>
      <c r="B83" s="7" t="s">
        <v>119</v>
      </c>
      <c r="C83" s="7" t="s">
        <v>202</v>
      </c>
      <c r="E83" t="str">
        <f t="shared" si="0"/>
        <v>時位時間,</v>
      </c>
      <c r="H83"/>
      <c r="K83" s="4"/>
    </row>
    <row r="84" spans="1:11">
      <c r="A84" s="7" t="s">
        <v>27</v>
      </c>
      <c r="B84" s="7" t="s">
        <v>120</v>
      </c>
      <c r="C84" s="7" t="s">
        <v>203</v>
      </c>
      <c r="E84" t="str">
        <f t="shared" si="0"/>
        <v>時位位置,</v>
      </c>
      <c r="H84"/>
      <c r="K84" s="4"/>
    </row>
    <row r="85" spans="1:11">
      <c r="A85" s="7" t="s">
        <v>27</v>
      </c>
      <c r="B85" s="7" t="s">
        <v>121</v>
      </c>
      <c r="C85" s="7" t="s">
        <v>204</v>
      </c>
      <c r="E85" t="str">
        <f t="shared" si="0"/>
        <v>時位變速點,</v>
      </c>
      <c r="H85"/>
      <c r="K85" s="9"/>
    </row>
    <row r="86" spans="1:11">
      <c r="A86" s="7" t="s">
        <v>27</v>
      </c>
      <c r="B86" s="7" t="s">
        <v>122</v>
      </c>
      <c r="C86" s="7" t="s">
        <v>205</v>
      </c>
      <c r="E86" t="str">
        <f t="shared" si="0"/>
        <v>時位開始速度,</v>
      </c>
      <c r="H86"/>
      <c r="K86" s="9"/>
    </row>
    <row r="87" spans="1:11">
      <c r="A87" s="7" t="s">
        <v>27</v>
      </c>
      <c r="B87" s="7" t="s">
        <v>123</v>
      </c>
      <c r="C87" s="7" t="s">
        <v>206</v>
      </c>
      <c r="E87" t="str">
        <f t="shared" si="0"/>
        <v>時位結束速度,</v>
      </c>
      <c r="H87"/>
      <c r="K87" s="9"/>
    </row>
    <row r="88" spans="1:11">
      <c r="A88" s="7" t="s">
        <v>27</v>
      </c>
      <c r="B88" s="7" t="s">
        <v>124</v>
      </c>
      <c r="C88" s="7" t="s">
        <v>207</v>
      </c>
      <c r="E88" t="str">
        <f t="shared" si="0"/>
        <v>時位移動角度,</v>
      </c>
      <c r="H88"/>
    </row>
    <row r="89" spans="1:11">
      <c r="H89"/>
    </row>
    <row r="90" spans="1:11">
      <c r="H90"/>
    </row>
    <row r="91" spans="1:11">
      <c r="A91" s="7" t="s">
        <v>27</v>
      </c>
      <c r="B91" s="7" t="s">
        <v>208</v>
      </c>
      <c r="C91" s="7" t="s">
        <v>209</v>
      </c>
      <c r="E91" t="str">
        <f t="shared" ref="E91:E95" si="1">B91&amp;","</f>
        <v>玩家遊戲時間,</v>
      </c>
      <c r="H91"/>
    </row>
    <row r="92" spans="1:11">
      <c r="A92" s="7" t="s">
        <v>27</v>
      </c>
      <c r="B92" s="7" t="s">
        <v>210</v>
      </c>
      <c r="C92" s="7" t="s">
        <v>211</v>
      </c>
      <c r="E92" t="str">
        <f t="shared" si="1"/>
        <v>玩家子彈間隔,</v>
      </c>
      <c r="H92"/>
    </row>
    <row r="93" spans="1:11">
      <c r="A93" s="7" t="s">
        <v>27</v>
      </c>
      <c r="B93" s="7" t="s">
        <v>212</v>
      </c>
      <c r="C93" s="7" t="s">
        <v>213</v>
      </c>
      <c r="E93" t="str">
        <f t="shared" si="1"/>
        <v>玩家Power需求,</v>
      </c>
      <c r="H93"/>
    </row>
    <row r="94" spans="1:11">
      <c r="A94" s="7" t="s">
        <v>27</v>
      </c>
      <c r="B94" s="7" t="s">
        <v>214</v>
      </c>
      <c r="C94" s="7" t="s">
        <v>215</v>
      </c>
      <c r="E94" t="str">
        <f t="shared" si="1"/>
        <v>玩家Shift,</v>
      </c>
      <c r="H94"/>
    </row>
    <row r="95" spans="1:11">
      <c r="A95" s="7" t="s">
        <v>27</v>
      </c>
      <c r="B95" s="7" t="s">
        <v>216</v>
      </c>
      <c r="C95" s="7" t="s">
        <v>217</v>
      </c>
      <c r="E95" t="str">
        <f t="shared" si="1"/>
        <v>玩家子彈延遲,</v>
      </c>
      <c r="H95"/>
    </row>
    <row r="96" spans="1:11">
      <c r="H96"/>
    </row>
    <row r="97" spans="1:12">
      <c r="H97"/>
    </row>
    <row r="98" spans="1:12">
      <c r="H98"/>
    </row>
    <row r="99" spans="1:12">
      <c r="H99"/>
    </row>
    <row r="100" spans="1:12">
      <c r="H100"/>
    </row>
    <row r="101" spans="1:12">
      <c r="H101"/>
    </row>
    <row r="102" spans="1:12">
      <c r="H102"/>
    </row>
    <row r="103" spans="1:12">
      <c r="A103" s="7" t="s">
        <v>140</v>
      </c>
      <c r="B103" s="7" t="s">
        <v>136</v>
      </c>
      <c r="C103" s="7" t="s">
        <v>21</v>
      </c>
      <c r="H103"/>
    </row>
    <row r="104" spans="1:12" customFormat="1">
      <c r="A104" s="7" t="s">
        <v>140</v>
      </c>
      <c r="B104" t="s">
        <v>137</v>
      </c>
      <c r="C104" s="7" t="s">
        <v>25</v>
      </c>
      <c r="D104" s="7"/>
      <c r="L104" s="7"/>
    </row>
    <row r="105" spans="1:12" customFormat="1">
      <c r="A105" s="7" t="s">
        <v>140</v>
      </c>
      <c r="B105" t="s">
        <v>138</v>
      </c>
      <c r="C105" s="7" t="s">
        <v>26</v>
      </c>
      <c r="D105" s="7"/>
      <c r="L105" s="7"/>
    </row>
    <row r="106" spans="1:12" customFormat="1">
      <c r="A106" s="7" t="s">
        <v>140</v>
      </c>
      <c r="B106" t="s">
        <v>218</v>
      </c>
      <c r="C106" s="7" t="s">
        <v>96</v>
      </c>
      <c r="D106" s="7"/>
      <c r="L106" s="7"/>
    </row>
    <row r="107" spans="1:12" customFormat="1">
      <c r="A107" s="7" t="s">
        <v>140</v>
      </c>
      <c r="B107" t="s">
        <v>219</v>
      </c>
      <c r="C107" s="7" t="s">
        <v>23</v>
      </c>
      <c r="D107" s="7"/>
      <c r="L107" s="7"/>
    </row>
    <row r="108" spans="1:12" customFormat="1">
      <c r="A108" s="7" t="s">
        <v>140</v>
      </c>
      <c r="B108" t="s">
        <v>220</v>
      </c>
      <c r="C108" s="7" t="s">
        <v>24</v>
      </c>
      <c r="D108" s="7"/>
      <c r="L108" s="7"/>
    </row>
    <row r="109" spans="1:12" customFormat="1">
      <c r="A109" s="7"/>
      <c r="C109" s="7"/>
      <c r="D109" s="7"/>
      <c r="L109" s="7"/>
    </row>
    <row r="110" spans="1:12" customFormat="1">
      <c r="A110" s="7"/>
      <c r="C110" s="7"/>
      <c r="D110" s="7"/>
      <c r="L110" s="7"/>
    </row>
    <row r="111" spans="1:12" customFormat="1">
      <c r="A111" s="7" t="s">
        <v>141</v>
      </c>
      <c r="B111" t="s">
        <v>134</v>
      </c>
      <c r="C111" s="7" t="s">
        <v>21</v>
      </c>
      <c r="D111" s="4"/>
      <c r="L111" s="7"/>
    </row>
    <row r="112" spans="1:12" customFormat="1">
      <c r="A112" s="7" t="s">
        <v>141</v>
      </c>
      <c r="B112" t="s">
        <v>135</v>
      </c>
      <c r="C112" s="7" t="s">
        <v>37</v>
      </c>
      <c r="D112" s="7"/>
      <c r="L112" s="7"/>
    </row>
    <row r="113" spans="1:12" customFormat="1">
      <c r="A113" s="7" t="s">
        <v>141</v>
      </c>
      <c r="B113" t="s">
        <v>142</v>
      </c>
      <c r="C113" s="7" t="s">
        <v>38</v>
      </c>
      <c r="D113" s="7"/>
      <c r="L113" s="7"/>
    </row>
    <row r="114" spans="1:12" customFormat="1">
      <c r="A114" s="7" t="s">
        <v>141</v>
      </c>
      <c r="B114" t="s">
        <v>221</v>
      </c>
      <c r="C114" s="7" t="s">
        <v>22</v>
      </c>
      <c r="D114" s="7"/>
      <c r="L114" s="7"/>
    </row>
    <row r="115" spans="1:12">
      <c r="A115" s="7" t="s">
        <v>141</v>
      </c>
      <c r="B115" s="7" t="s">
        <v>222</v>
      </c>
      <c r="C115" s="7" t="s">
        <v>23</v>
      </c>
      <c r="H115"/>
    </row>
    <row r="116" spans="1:12">
      <c r="A116" s="7" t="s">
        <v>141</v>
      </c>
      <c r="B116" s="7" t="s">
        <v>250</v>
      </c>
      <c r="C116" s="7" t="s">
        <v>24</v>
      </c>
      <c r="H116"/>
    </row>
  </sheetData>
  <phoneticPr fontId="2" type="noConversion"/>
  <conditionalFormatting sqref="K85:K87">
    <cfRule type="cellIs" dxfId="36" priority="1" operator="equal">
      <formula>"行動序號"</formula>
    </cfRule>
  </conditionalFormatting>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909DC-99A4-42C4-A396-C71E5DDA5ABC}">
  <sheetPr codeName="OptionSheet"/>
  <dimension ref="A1:J112"/>
  <sheetViews>
    <sheetView topLeftCell="A40" zoomScale="115" zoomScaleNormal="115" workbookViewId="0">
      <selection activeCell="A52" sqref="A52"/>
    </sheetView>
  </sheetViews>
  <sheetFormatPr defaultRowHeight="16.5"/>
  <cols>
    <col min="1" max="1" width="20.5" style="20" bestFit="1" customWidth="1"/>
    <col min="2" max="2" width="18.375" style="4" customWidth="1"/>
    <col min="3" max="3" width="16.5" style="4" customWidth="1"/>
    <col min="4" max="4" width="20.875" style="4" bestFit="1" customWidth="1"/>
    <col min="5" max="5" width="20.875" style="4" customWidth="1"/>
    <col min="6" max="6" width="20.875" style="4" bestFit="1" customWidth="1"/>
    <col min="7" max="7" width="13.875" style="4" bestFit="1" customWidth="1"/>
    <col min="8" max="10" width="18.625" style="4" bestFit="1" customWidth="1"/>
    <col min="11" max="16384" width="9" style="4"/>
  </cols>
  <sheetData>
    <row r="1" spans="1:10" s="5" customFormat="1" ht="19.5">
      <c r="A1" s="17" t="s">
        <v>27</v>
      </c>
      <c r="B1" s="6" t="s">
        <v>140</v>
      </c>
      <c r="C1" s="6" t="s">
        <v>141</v>
      </c>
      <c r="D1" s="8"/>
      <c r="E1" s="8"/>
      <c r="F1" s="8"/>
      <c r="G1" s="6"/>
      <c r="H1" s="8"/>
      <c r="I1" s="8"/>
      <c r="J1" s="8"/>
    </row>
    <row r="2" spans="1:10" ht="85.5">
      <c r="B2" s="20" t="s">
        <v>136</v>
      </c>
      <c r="C2" s="20" t="s">
        <v>134</v>
      </c>
      <c r="D2" s="20"/>
      <c r="G2" s="24" t="s">
        <v>223</v>
      </c>
    </row>
    <row r="3" spans="1:10">
      <c r="A3" s="20" t="s">
        <v>93</v>
      </c>
      <c r="B3" s="20" t="s">
        <v>137</v>
      </c>
      <c r="C3" s="20" t="s">
        <v>135</v>
      </c>
      <c r="D3" s="20"/>
      <c r="G3" s="9"/>
    </row>
    <row r="4" spans="1:10">
      <c r="A4" s="20" t="s">
        <v>101</v>
      </c>
      <c r="B4" s="20" t="s">
        <v>138</v>
      </c>
      <c r="C4" s="20" t="s">
        <v>224</v>
      </c>
      <c r="D4" s="20"/>
      <c r="G4" s="9"/>
      <c r="H4" s="18"/>
    </row>
    <row r="5" spans="1:10" ht="17.25" customHeight="1">
      <c r="A5" s="20" t="s">
        <v>99</v>
      </c>
      <c r="B5" s="20" t="s">
        <v>218</v>
      </c>
      <c r="C5" s="20" t="s">
        <v>221</v>
      </c>
      <c r="D5" s="20"/>
      <c r="G5" s="9"/>
    </row>
    <row r="6" spans="1:10">
      <c r="A6" s="20" t="s">
        <v>102</v>
      </c>
      <c r="B6" s="20" t="s">
        <v>219</v>
      </c>
      <c r="C6" s="20" t="s">
        <v>222</v>
      </c>
      <c r="D6" s="20"/>
      <c r="G6" s="9"/>
    </row>
    <row r="7" spans="1:10">
      <c r="A7" s="20" t="s">
        <v>48</v>
      </c>
      <c r="B7" s="20" t="s">
        <v>220</v>
      </c>
      <c r="C7" s="26" t="s">
        <v>250</v>
      </c>
      <c r="D7" s="20"/>
      <c r="G7" s="9"/>
    </row>
    <row r="8" spans="1:10">
      <c r="A8" s="20" t="s">
        <v>146</v>
      </c>
      <c r="B8" s="26"/>
      <c r="C8" s="20"/>
      <c r="D8" s="20"/>
      <c r="G8" s="9"/>
    </row>
    <row r="9" spans="1:10">
      <c r="A9" s="20" t="s">
        <v>110</v>
      </c>
      <c r="B9" s="20"/>
      <c r="C9" s="20"/>
      <c r="D9" s="20"/>
      <c r="G9" s="9"/>
    </row>
    <row r="10" spans="1:10">
      <c r="A10" s="20" t="s">
        <v>236</v>
      </c>
      <c r="B10" s="20"/>
      <c r="C10" s="20"/>
      <c r="D10" s="20"/>
      <c r="G10" s="9"/>
    </row>
    <row r="11" spans="1:10">
      <c r="A11" s="20" t="s">
        <v>147</v>
      </c>
      <c r="G11" s="9"/>
    </row>
    <row r="12" spans="1:10">
      <c r="A12" s="20" t="s">
        <v>45</v>
      </c>
      <c r="G12" s="9"/>
    </row>
    <row r="13" spans="1:10">
      <c r="A13" s="20" t="s">
        <v>103</v>
      </c>
      <c r="G13" s="9"/>
    </row>
    <row r="14" spans="1:10">
      <c r="A14" s="20" t="s">
        <v>104</v>
      </c>
      <c r="C14" s="9"/>
      <c r="G14" s="9"/>
    </row>
    <row r="15" spans="1:10">
      <c r="A15" s="20" t="s">
        <v>130</v>
      </c>
      <c r="G15" s="9"/>
    </row>
    <row r="16" spans="1:10">
      <c r="A16" s="20" t="s">
        <v>131</v>
      </c>
      <c r="C16"/>
      <c r="G16" s="9"/>
    </row>
    <row r="17" spans="1:7">
      <c r="A17" s="20" t="s">
        <v>148</v>
      </c>
      <c r="C17"/>
      <c r="G17" s="9"/>
    </row>
    <row r="18" spans="1:7">
      <c r="C18"/>
      <c r="G18" s="9"/>
    </row>
    <row r="19" spans="1:7">
      <c r="C19"/>
      <c r="G19" s="9"/>
    </row>
    <row r="20" spans="1:7">
      <c r="A20" s="20" t="s">
        <v>144</v>
      </c>
      <c r="C20"/>
      <c r="G20" s="9"/>
    </row>
    <row r="21" spans="1:7">
      <c r="A21" s="20" t="s">
        <v>150</v>
      </c>
      <c r="C21"/>
      <c r="G21" s="9"/>
    </row>
    <row r="22" spans="1:7">
      <c r="A22" s="20" t="s">
        <v>126</v>
      </c>
      <c r="C22"/>
      <c r="G22" s="9"/>
    </row>
    <row r="23" spans="1:7">
      <c r="A23" s="20" t="s">
        <v>127</v>
      </c>
      <c r="C23"/>
      <c r="G23" s="9"/>
    </row>
    <row r="24" spans="1:7">
      <c r="A24" s="20" t="s">
        <v>128</v>
      </c>
      <c r="C24"/>
      <c r="G24" s="9"/>
    </row>
    <row r="25" spans="1:7" s="9" customFormat="1">
      <c r="A25" s="20" t="s">
        <v>129</v>
      </c>
      <c r="C25"/>
      <c r="F25" s="4"/>
    </row>
    <row r="26" spans="1:7">
      <c r="A26" s="20" t="s">
        <v>156</v>
      </c>
      <c r="C26"/>
      <c r="G26" s="9"/>
    </row>
    <row r="27" spans="1:7">
      <c r="A27" s="20" t="s">
        <v>158</v>
      </c>
      <c r="B27" s="9"/>
      <c r="C27"/>
      <c r="G27" s="9"/>
    </row>
    <row r="28" spans="1:7">
      <c r="C28"/>
      <c r="G28" s="9"/>
    </row>
    <row r="29" spans="1:7">
      <c r="C29"/>
      <c r="G29" s="9"/>
    </row>
    <row r="30" spans="1:7">
      <c r="A30" s="20" t="s">
        <v>29</v>
      </c>
      <c r="C30"/>
      <c r="G30" s="9"/>
    </row>
    <row r="31" spans="1:7">
      <c r="A31" s="20" t="s">
        <v>118</v>
      </c>
      <c r="C31"/>
      <c r="G31" s="9"/>
    </row>
    <row r="32" spans="1:7">
      <c r="A32" s="20" t="s">
        <v>100</v>
      </c>
      <c r="C32"/>
      <c r="G32" s="9"/>
    </row>
    <row r="33" spans="1:7">
      <c r="A33" s="20" t="s">
        <v>106</v>
      </c>
      <c r="C33"/>
      <c r="G33" s="9"/>
    </row>
    <row r="34" spans="1:7">
      <c r="A34" s="20" t="s">
        <v>105</v>
      </c>
      <c r="C34"/>
      <c r="G34" s="9"/>
    </row>
    <row r="35" spans="1:7">
      <c r="A35" s="20" t="s">
        <v>46</v>
      </c>
      <c r="C35"/>
      <c r="G35" s="9"/>
    </row>
    <row r="36" spans="1:7">
      <c r="A36" s="20" t="s">
        <v>166</v>
      </c>
      <c r="C36"/>
    </row>
    <row r="37" spans="1:7">
      <c r="A37" s="20" t="s">
        <v>168</v>
      </c>
      <c r="C37"/>
      <c r="G37" s="9"/>
    </row>
    <row r="38" spans="1:7">
      <c r="C38"/>
      <c r="G38" s="9"/>
    </row>
    <row r="39" spans="1:7">
      <c r="C39"/>
      <c r="G39" s="9"/>
    </row>
    <row r="40" spans="1:7">
      <c r="A40" s="20" t="s">
        <v>35</v>
      </c>
      <c r="C40"/>
      <c r="G40" s="9"/>
    </row>
    <row r="41" spans="1:7">
      <c r="A41" s="20" t="s">
        <v>97</v>
      </c>
      <c r="C41"/>
      <c r="G41" s="9"/>
    </row>
    <row r="42" spans="1:7">
      <c r="A42" s="20" t="s">
        <v>107</v>
      </c>
      <c r="C42"/>
      <c r="G42" s="9"/>
    </row>
    <row r="43" spans="1:7">
      <c r="A43" s="26" t="s">
        <v>225</v>
      </c>
      <c r="C43"/>
      <c r="G43" s="9"/>
    </row>
    <row r="44" spans="1:7">
      <c r="C44"/>
      <c r="G44" s="9"/>
    </row>
    <row r="45" spans="1:7">
      <c r="C45"/>
      <c r="G45" s="9"/>
    </row>
    <row r="46" spans="1:7">
      <c r="A46" s="20" t="s">
        <v>98</v>
      </c>
      <c r="C46"/>
      <c r="G46" s="9"/>
    </row>
    <row r="47" spans="1:7">
      <c r="A47" s="20" t="s">
        <v>116</v>
      </c>
      <c r="C47"/>
      <c r="G47" s="9"/>
    </row>
    <row r="48" spans="1:7">
      <c r="A48" s="20" t="s">
        <v>133</v>
      </c>
      <c r="C48"/>
      <c r="G48" s="9"/>
    </row>
    <row r="49" spans="1:8">
      <c r="A49" s="20" t="s">
        <v>176</v>
      </c>
      <c r="C49"/>
      <c r="G49" s="9"/>
    </row>
    <row r="50" spans="1:8">
      <c r="A50" s="27" t="s">
        <v>246</v>
      </c>
      <c r="C50"/>
      <c r="G50" s="9"/>
    </row>
    <row r="51" spans="1:8">
      <c r="A51" s="27" t="s">
        <v>251</v>
      </c>
      <c r="C51"/>
      <c r="G51" s="9"/>
    </row>
    <row r="52" spans="1:8">
      <c r="A52" s="27"/>
      <c r="C52"/>
      <c r="G52" s="9"/>
    </row>
    <row r="53" spans="1:8">
      <c r="C53"/>
      <c r="G53" s="9"/>
    </row>
    <row r="54" spans="1:8">
      <c r="A54" s="20" t="s">
        <v>31</v>
      </c>
      <c r="C54"/>
      <c r="G54" s="9"/>
      <c r="H54" s="10"/>
    </row>
    <row r="55" spans="1:8">
      <c r="A55" s="20" t="s">
        <v>111</v>
      </c>
      <c r="C55"/>
      <c r="G55" s="9"/>
      <c r="H55" s="11"/>
    </row>
    <row r="56" spans="1:8">
      <c r="A56" s="20" t="s">
        <v>112</v>
      </c>
      <c r="C56"/>
      <c r="G56" s="9"/>
      <c r="H56" s="11"/>
    </row>
    <row r="57" spans="1:8">
      <c r="A57" s="28" t="s">
        <v>241</v>
      </c>
      <c r="C57"/>
      <c r="G57" s="9"/>
    </row>
    <row r="58" spans="1:8">
      <c r="A58" s="20" t="s">
        <v>132</v>
      </c>
      <c r="G58" s="9"/>
    </row>
    <row r="59" spans="1:8">
      <c r="A59" s="20" t="s">
        <v>143</v>
      </c>
      <c r="G59" s="9"/>
    </row>
    <row r="60" spans="1:8">
      <c r="A60" s="20" t="s">
        <v>114</v>
      </c>
      <c r="G60" s="9"/>
    </row>
    <row r="61" spans="1:8">
      <c r="A61" s="27" t="s">
        <v>237</v>
      </c>
      <c r="G61" s="9"/>
    </row>
    <row r="62" spans="1:8">
      <c r="A62" s="27" t="s">
        <v>239</v>
      </c>
      <c r="G62" s="9"/>
    </row>
    <row r="63" spans="1:8">
      <c r="A63" s="27" t="s">
        <v>246</v>
      </c>
      <c r="G63" s="9"/>
    </row>
    <row r="64" spans="1:8">
      <c r="A64" s="27" t="s">
        <v>249</v>
      </c>
      <c r="G64" s="9"/>
    </row>
    <row r="65" spans="1:7">
      <c r="A65" s="27"/>
      <c r="G65" s="9"/>
    </row>
    <row r="66" spans="1:7">
      <c r="G66" s="9"/>
    </row>
    <row r="67" spans="1:7">
      <c r="A67" s="20" t="s">
        <v>30</v>
      </c>
      <c r="G67" s="9"/>
    </row>
    <row r="68" spans="1:7">
      <c r="A68" s="20" t="s">
        <v>115</v>
      </c>
      <c r="C68"/>
      <c r="G68" s="9"/>
    </row>
    <row r="69" spans="1:7">
      <c r="A69" s="20" t="s">
        <v>108</v>
      </c>
      <c r="C69"/>
      <c r="G69" s="9"/>
    </row>
    <row r="70" spans="1:7">
      <c r="A70" s="20" t="s">
        <v>109</v>
      </c>
      <c r="G70" s="9"/>
    </row>
    <row r="71" spans="1:7">
      <c r="G71" s="9"/>
    </row>
    <row r="72" spans="1:7">
      <c r="G72" s="9"/>
    </row>
    <row r="73" spans="1:7">
      <c r="A73" s="20" t="s">
        <v>189</v>
      </c>
    </row>
    <row r="74" spans="1:7">
      <c r="A74" s="20" t="s">
        <v>47</v>
      </c>
    </row>
    <row r="75" spans="1:7">
      <c r="A75" s="20" t="s">
        <v>117</v>
      </c>
    </row>
    <row r="76" spans="1:7">
      <c r="A76" s="20" t="s">
        <v>125</v>
      </c>
      <c r="G76" s="9"/>
    </row>
    <row r="77" spans="1:7">
      <c r="A77" s="20" t="s">
        <v>194</v>
      </c>
      <c r="G77" s="9"/>
    </row>
    <row r="78" spans="1:7">
      <c r="A78" s="20" t="s">
        <v>196</v>
      </c>
      <c r="G78" s="9"/>
    </row>
    <row r="79" spans="1:7">
      <c r="A79" s="20" t="s">
        <v>198</v>
      </c>
    </row>
    <row r="80" spans="1:7">
      <c r="A80" s="20" t="s">
        <v>200</v>
      </c>
    </row>
    <row r="83" spans="1:1">
      <c r="A83" s="20" t="s">
        <v>119</v>
      </c>
    </row>
    <row r="84" spans="1:1">
      <c r="A84" s="20" t="s">
        <v>120</v>
      </c>
    </row>
    <row r="85" spans="1:1">
      <c r="A85" s="20" t="s">
        <v>121</v>
      </c>
    </row>
    <row r="86" spans="1:1">
      <c r="A86" s="20" t="s">
        <v>122</v>
      </c>
    </row>
    <row r="87" spans="1:1">
      <c r="A87" s="20" t="s">
        <v>123</v>
      </c>
    </row>
    <row r="88" spans="1:1">
      <c r="A88" s="20" t="s">
        <v>124</v>
      </c>
    </row>
    <row r="91" spans="1:1">
      <c r="A91" s="20" t="s">
        <v>208</v>
      </c>
    </row>
    <row r="92" spans="1:1">
      <c r="A92" s="20" t="s">
        <v>210</v>
      </c>
    </row>
    <row r="93" spans="1:1">
      <c r="A93" s="20" t="s">
        <v>212</v>
      </c>
    </row>
    <row r="94" spans="1:1">
      <c r="A94" s="20" t="s">
        <v>214</v>
      </c>
    </row>
    <row r="95" spans="1:1">
      <c r="A95" s="20" t="s">
        <v>216</v>
      </c>
    </row>
    <row r="112" spans="2:2">
      <c r="B112" s="9"/>
    </row>
  </sheetData>
  <phoneticPr fontId="2" type="noConversion"/>
  <conditionalFormatting sqref="D1:F1">
    <cfRule type="duplicateValues" dxfId="35" priority="32"/>
  </conditionalFormatting>
  <conditionalFormatting sqref="G1">
    <cfRule type="duplicateValues" dxfId="34" priority="31"/>
  </conditionalFormatting>
  <conditionalFormatting sqref="H1:J1">
    <cfRule type="duplicateValues" dxfId="33" priority="30"/>
  </conditionalFormatting>
  <conditionalFormatting sqref="F1">
    <cfRule type="duplicateValues" dxfId="32" priority="29"/>
  </conditionalFormatting>
  <conditionalFormatting sqref="D1:E1">
    <cfRule type="duplicateValues" dxfId="31" priority="28"/>
  </conditionalFormatting>
  <conditionalFormatting sqref="G28">
    <cfRule type="cellIs" dxfId="30" priority="27" operator="equal">
      <formula>"行動序號"</formula>
    </cfRule>
  </conditionalFormatting>
  <conditionalFormatting sqref="G29">
    <cfRule type="cellIs" dxfId="29" priority="26" operator="equal">
      <formula>"行動序號"</formula>
    </cfRule>
  </conditionalFormatting>
  <conditionalFormatting sqref="G46">
    <cfRule type="cellIs" dxfId="28" priority="25" operator="equal">
      <formula>"行動序號"</formula>
    </cfRule>
  </conditionalFormatting>
  <conditionalFormatting sqref="G47">
    <cfRule type="cellIs" dxfId="27" priority="24" operator="equal">
      <formula>"行動序號"</formula>
    </cfRule>
  </conditionalFormatting>
  <conditionalFormatting sqref="G30:G31">
    <cfRule type="cellIs" dxfId="26" priority="23" operator="equal">
      <formula>"行動序號"</formula>
    </cfRule>
  </conditionalFormatting>
  <conditionalFormatting sqref="G32">
    <cfRule type="cellIs" dxfId="25" priority="22" operator="equal">
      <formula>"行動序號"</formula>
    </cfRule>
  </conditionalFormatting>
  <conditionalFormatting sqref="G58:G59">
    <cfRule type="cellIs" dxfId="24" priority="21" operator="equal">
      <formula>"行動序號"</formula>
    </cfRule>
  </conditionalFormatting>
  <conditionalFormatting sqref="G54:G57">
    <cfRule type="cellIs" dxfId="23" priority="20" operator="equal">
      <formula>"行動序號"</formula>
    </cfRule>
  </conditionalFormatting>
  <conditionalFormatting sqref="G17">
    <cfRule type="cellIs" dxfId="22" priority="19" operator="equal">
      <formula>"行動序號"</formula>
    </cfRule>
  </conditionalFormatting>
  <conditionalFormatting sqref="G60:G65">
    <cfRule type="cellIs" dxfId="21" priority="18" operator="equal">
      <formula>"行動序號"</formula>
    </cfRule>
  </conditionalFormatting>
  <conditionalFormatting sqref="G66:G67">
    <cfRule type="cellIs" dxfId="20" priority="17" operator="equal">
      <formula>"行動序號"</formula>
    </cfRule>
  </conditionalFormatting>
  <conditionalFormatting sqref="G76:G78">
    <cfRule type="cellIs" dxfId="19" priority="16" operator="equal">
      <formula>"行動序號"</formula>
    </cfRule>
  </conditionalFormatting>
  <conditionalFormatting sqref="A99">
    <cfRule type="cellIs" dxfId="18" priority="15" operator="equal">
      <formula>"行動序號"</formula>
    </cfRule>
  </conditionalFormatting>
  <conditionalFormatting sqref="A100">
    <cfRule type="cellIs" dxfId="17" priority="14" operator="equal">
      <formula>"行動序號"</formula>
    </cfRule>
  </conditionalFormatting>
  <conditionalFormatting sqref="A117">
    <cfRule type="cellIs" dxfId="16" priority="13" operator="equal">
      <formula>"行動序號"</formula>
    </cfRule>
  </conditionalFormatting>
  <conditionalFormatting sqref="A118">
    <cfRule type="cellIs" dxfId="15" priority="12" operator="equal">
      <formula>"行動序號"</formula>
    </cfRule>
  </conditionalFormatting>
  <conditionalFormatting sqref="A101:A102">
    <cfRule type="cellIs" dxfId="14" priority="11" operator="equal">
      <formula>"行動序號"</formula>
    </cfRule>
  </conditionalFormatting>
  <conditionalFormatting sqref="A103">
    <cfRule type="cellIs" dxfId="13" priority="10" operator="equal">
      <formula>"行動序號"</formula>
    </cfRule>
  </conditionalFormatting>
  <conditionalFormatting sqref="A127:A128">
    <cfRule type="cellIs" dxfId="12" priority="9" operator="equal">
      <formula>"行動序號"</formula>
    </cfRule>
  </conditionalFormatting>
  <conditionalFormatting sqref="A123:A126">
    <cfRule type="cellIs" dxfId="11" priority="8" operator="equal">
      <formula>"行動序號"</formula>
    </cfRule>
  </conditionalFormatting>
  <conditionalFormatting sqref="A129:A130">
    <cfRule type="cellIs" dxfId="10" priority="7" operator="equal">
      <formula>"行動序號"</formula>
    </cfRule>
  </conditionalFormatting>
  <conditionalFormatting sqref="A131:A132">
    <cfRule type="cellIs" dxfId="9" priority="6" operator="equal">
      <formula>"行動序號"</formula>
    </cfRule>
  </conditionalFormatting>
  <conditionalFormatting sqref="A141:A143">
    <cfRule type="cellIs" dxfId="8" priority="5" operator="equal">
      <formula>"行動序號"</formula>
    </cfRule>
  </conditionalFormatting>
  <conditionalFormatting sqref="A112:A1048576 A86:A87 A89:A95 A99:A110">
    <cfRule type="duplicateValues" dxfId="7" priority="4"/>
  </conditionalFormatting>
  <conditionalFormatting sqref="A111">
    <cfRule type="duplicateValues" dxfId="6" priority="3"/>
  </conditionalFormatting>
  <conditionalFormatting sqref="A72:A73">
    <cfRule type="cellIs" dxfId="5" priority="2" operator="equal">
      <formula>"行動序號"</formula>
    </cfRule>
  </conditionalFormatting>
  <conditionalFormatting sqref="A96:A97">
    <cfRule type="cellIs" dxfId="4" priority="1" operator="equal">
      <formula>"行動序號"</formula>
    </cfRule>
  </conditionalFormatting>
  <conditionalFormatting sqref="A1">
    <cfRule type="duplicateValues" dxfId="3" priority="33"/>
  </conditionalFormatting>
  <conditionalFormatting sqref="B112">
    <cfRule type="duplicateValues" dxfId="2" priority="34"/>
  </conditionalFormatting>
  <conditionalFormatting sqref="A99:A1048576 A86:A87 A89:A95">
    <cfRule type="duplicateValues" dxfId="1" priority="35"/>
  </conditionalFormatting>
  <conditionalFormatting sqref="A98">
    <cfRule type="duplicateValues" dxfId="0" priority="36"/>
  </conditionalFormatting>
  <dataValidations count="1">
    <dataValidation type="list" allowBlank="1" showInputMessage="1" showErrorMessage="1" sqref="A99 D25:E25 J25:XFD25 G50:G52 G28 A121 B25 B27" xr:uid="{F780E137-EA79-4F65-B2B4-EB637977AC6D}">
      <formula1>_OPTION_</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A4C050-A872-4BF2-9088-550C868368CD}">
  <sheetPr codeName="ParamTitleSheet"/>
  <dimension ref="A1:C15"/>
  <sheetViews>
    <sheetView workbookViewId="0">
      <selection activeCell="G19" sqref="G19"/>
    </sheetView>
  </sheetViews>
  <sheetFormatPr defaultRowHeight="16.5"/>
  <cols>
    <col min="1" max="2" width="18.375" bestFit="1" customWidth="1"/>
    <col min="3" max="3" width="27.25" bestFit="1" customWidth="1"/>
    <col min="4" max="4" width="16.125" bestFit="1" customWidth="1"/>
    <col min="5" max="5" width="11.625" bestFit="1" customWidth="1"/>
  </cols>
  <sheetData>
    <row r="1" spans="1:3" s="5" customFormat="1">
      <c r="A1" s="5" t="s">
        <v>1</v>
      </c>
      <c r="B1" s="5" t="s">
        <v>2</v>
      </c>
      <c r="C1" s="5" t="s">
        <v>3</v>
      </c>
    </row>
    <row r="2" spans="1:3">
      <c r="B2" s="4"/>
    </row>
    <row r="3" spans="1:3">
      <c r="B3" s="4"/>
    </row>
    <row r="4" spans="1:3">
      <c r="B4" s="4"/>
    </row>
    <row r="5" spans="1:3">
      <c r="B5" s="4"/>
    </row>
    <row r="6" spans="1:3">
      <c r="B6" s="4"/>
    </row>
    <row r="7" spans="1:3">
      <c r="B7" s="4"/>
    </row>
    <row r="8" spans="1:3">
      <c r="B8" s="4"/>
    </row>
    <row r="9" spans="1:3">
      <c r="B9" s="4"/>
    </row>
    <row r="10" spans="1:3">
      <c r="B10" s="4"/>
    </row>
    <row r="11" spans="1:3">
      <c r="B11" s="4"/>
    </row>
    <row r="12" spans="1:3">
      <c r="B12" s="4"/>
    </row>
    <row r="13" spans="1:3">
      <c r="B13" s="4"/>
    </row>
    <row r="14" spans="1:3">
      <c r="B14" s="4"/>
    </row>
    <row r="15" spans="1:3">
      <c r="B15" s="4"/>
    </row>
  </sheetData>
  <phoneticPr fontId="2" type="noConversion"/>
  <pageMargins left="0.75" right="0.75" top="1" bottom="1" header="0.5" footer="0.5"/>
  <pageSetup orientation="portrait" horizontalDpi="200" verticalDpi="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20359-0CFC-43C4-8102-9E6F8B1407F1}">
  <sheetPr codeName="OutputSheet"/>
  <dimension ref="A1:A2"/>
  <sheetViews>
    <sheetView workbookViewId="0">
      <selection activeCell="G19" sqref="G19"/>
    </sheetView>
  </sheetViews>
  <sheetFormatPr defaultRowHeight="16.5"/>
  <cols>
    <col min="1" max="1" width="64.625" customWidth="1"/>
  </cols>
  <sheetData>
    <row r="1" spans="1:1">
      <c r="A1" s="1" t="s">
        <v>11</v>
      </c>
    </row>
    <row r="2" spans="1:1">
      <c r="A2" t="s">
        <v>20</v>
      </c>
    </row>
  </sheetData>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F6B35-DF79-4F9D-A85C-E3C14D9713FA}">
  <sheetPr codeName="HelpSheet"/>
  <dimension ref="A1:A15"/>
  <sheetViews>
    <sheetView tabSelected="1" topLeftCell="A4" workbookViewId="0">
      <selection activeCell="G19" sqref="G19"/>
    </sheetView>
  </sheetViews>
  <sheetFormatPr defaultRowHeight="16.5"/>
  <cols>
    <col min="1" max="1" width="146.25" customWidth="1"/>
  </cols>
  <sheetData>
    <row r="1" spans="1:1" ht="66">
      <c r="A1" s="3" t="s">
        <v>4</v>
      </c>
    </row>
    <row r="2" spans="1:1" ht="99">
      <c r="A2" s="3" t="s">
        <v>6</v>
      </c>
    </row>
    <row r="3" spans="1:1" ht="49.5">
      <c r="A3" s="3" t="s">
        <v>5</v>
      </c>
    </row>
    <row r="4" spans="1:1" ht="82.5">
      <c r="A4" s="3" t="s">
        <v>14</v>
      </c>
    </row>
    <row r="5" spans="1:1" ht="82.5">
      <c r="A5" s="3" t="s">
        <v>7</v>
      </c>
    </row>
    <row r="6" spans="1:1" ht="66">
      <c r="A6" s="3" t="s">
        <v>12</v>
      </c>
    </row>
    <row r="7" spans="1:1">
      <c r="A7" s="2"/>
    </row>
    <row r="8" spans="1:1">
      <c r="A8" t="s">
        <v>0</v>
      </c>
    </row>
    <row r="9" spans="1:1">
      <c r="A9" t="s">
        <v>16</v>
      </c>
    </row>
    <row r="10" spans="1:1">
      <c r="A10" s="2" t="s">
        <v>8</v>
      </c>
    </row>
    <row r="11" spans="1:1" ht="82.5">
      <c r="A11" s="2" t="s">
        <v>19</v>
      </c>
    </row>
    <row r="12" spans="1:1">
      <c r="A12" s="2" t="s">
        <v>15</v>
      </c>
    </row>
    <row r="13" spans="1:1" ht="82.5">
      <c r="A13" s="2" t="s">
        <v>13</v>
      </c>
    </row>
    <row r="14" spans="1:1">
      <c r="A14" s="2" t="s">
        <v>10</v>
      </c>
    </row>
    <row r="15" spans="1:1">
      <c r="A15" t="s">
        <v>9</v>
      </c>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7</vt:i4>
      </vt:variant>
      <vt:variant>
        <vt:lpstr>具名範圍</vt:lpstr>
      </vt:variant>
      <vt:variant>
        <vt:i4>1</vt:i4>
      </vt:variant>
    </vt:vector>
  </HeadingPairs>
  <TitlesOfParts>
    <vt:vector size="8" baseType="lpstr">
      <vt:lpstr>stage7_3</vt:lpstr>
      <vt:lpstr>#ALIAS</vt:lpstr>
      <vt:lpstr>#DEFINE</vt:lpstr>
      <vt:lpstr>#OPTION</vt:lpstr>
      <vt:lpstr>#PARAM</vt:lpstr>
      <vt:lpstr>#OUTPUT</vt:lpstr>
      <vt:lpstr>#使用說明</vt:lpstr>
      <vt:lpstr>'#OPTION'!_OPTION_</vt:lpstr>
    </vt:vector>
  </TitlesOfParts>
  <Company>CMT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WORK00</dc:creator>
  <cp:lastModifiedBy>霆豫 韓</cp:lastModifiedBy>
  <dcterms:created xsi:type="dcterms:W3CDTF">2015-05-05T13:05:01Z</dcterms:created>
  <dcterms:modified xsi:type="dcterms:W3CDTF">2025-04-16T06:38:26Z</dcterms:modified>
</cp:coreProperties>
</file>