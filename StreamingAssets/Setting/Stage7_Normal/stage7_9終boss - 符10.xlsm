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treamingAssets\Setting\Stage7_Normal\"/>
    </mc:Choice>
  </mc:AlternateContent>
  <xr:revisionPtr revIDLastSave="0" documentId="13_ncr:1_{CC7EEB9D-91FA-40AA-AE88-6FEAA8A1B10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tage7_card10" sheetId="1" r:id="rId1"/>
    <sheet name="#ALIAS" sheetId="92" r:id="rId2"/>
    <sheet name="#DEFINE" sheetId="93" r:id="rId3"/>
    <sheet name="#OPTION" sheetId="94" r:id="rId4"/>
    <sheet name="#PARAM" sheetId="95" r:id="rId5"/>
    <sheet name="#OUTPUT" sheetId="96" r:id="rId6"/>
    <sheet name="#使用說明" sheetId="97" r:id="rId7"/>
  </sheets>
  <functionGroups builtInGroupCount="19"/>
  <definedNames>
    <definedName name="_xlnm._FilterDatabase" localSheetId="0" hidden="1">stage7_card10!$D$1:$D$12</definedName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一般物品">#REF!</definedName>
    <definedName name="無償商城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8" i="1" l="1"/>
  <c r="E20" i="1" l="1"/>
  <c r="M33" i="1" l="1"/>
  <c r="M36" i="1" s="1"/>
  <c r="E38" i="1"/>
  <c r="E37" i="1"/>
  <c r="E36" i="1"/>
  <c r="E35" i="1"/>
  <c r="E34" i="1"/>
  <c r="E33" i="1"/>
  <c r="E32" i="1"/>
  <c r="E31" i="1"/>
  <c r="E30" i="1"/>
  <c r="E29" i="1"/>
  <c r="M28" i="1"/>
  <c r="M34" i="1" s="1"/>
  <c r="E28" i="1"/>
  <c r="M27" i="1"/>
  <c r="M30" i="1" s="1"/>
  <c r="E27" i="1"/>
  <c r="E25" i="1"/>
  <c r="E24" i="1"/>
  <c r="M23" i="1"/>
  <c r="E23" i="1"/>
  <c r="M22" i="1"/>
  <c r="E22" i="1"/>
  <c r="E7" i="1" l="1"/>
  <c r="E8" i="1"/>
  <c r="E9" i="1"/>
  <c r="E10" i="1"/>
  <c r="E11" i="1"/>
  <c r="E6" i="1"/>
  <c r="E95" i="93"/>
  <c r="E94" i="93"/>
  <c r="E93" i="93"/>
  <c r="E92" i="93"/>
  <c r="E91" i="93"/>
  <c r="E88" i="93"/>
  <c r="E87" i="93"/>
  <c r="E86" i="93"/>
  <c r="E85" i="93"/>
  <c r="E84" i="93"/>
  <c r="E83" i="93"/>
  <c r="E80" i="93"/>
  <c r="E79" i="93"/>
  <c r="E78" i="93"/>
  <c r="E77" i="93"/>
  <c r="E76" i="93"/>
  <c r="E75" i="93"/>
  <c r="E74" i="93"/>
  <c r="E73" i="93"/>
  <c r="E70" i="93"/>
  <c r="E69" i="93"/>
  <c r="E68" i="93"/>
  <c r="E67" i="93"/>
  <c r="E64" i="93"/>
  <c r="E63" i="93"/>
  <c r="E62" i="93"/>
  <c r="E61" i="93"/>
  <c r="E60" i="93"/>
  <c r="E59" i="93"/>
  <c r="E58" i="93"/>
  <c r="E57" i="93"/>
  <c r="E56" i="93"/>
  <c r="E55" i="93"/>
  <c r="E54" i="93"/>
  <c r="E51" i="93"/>
  <c r="E50" i="93"/>
  <c r="E49" i="93"/>
  <c r="E48" i="93"/>
  <c r="E47" i="93"/>
  <c r="E46" i="93"/>
  <c r="E43" i="93"/>
  <c r="E42" i="93"/>
  <c r="E41" i="93"/>
  <c r="E40" i="93"/>
  <c r="E37" i="93"/>
  <c r="E36" i="93"/>
  <c r="E35" i="93"/>
  <c r="E34" i="93"/>
  <c r="E33" i="93"/>
  <c r="E32" i="93"/>
  <c r="E31" i="93"/>
  <c r="E30" i="93"/>
  <c r="E27" i="93"/>
  <c r="E26" i="93"/>
  <c r="E25" i="93"/>
  <c r="E24" i="93"/>
  <c r="E23" i="93"/>
  <c r="E22" i="93"/>
  <c r="E21" i="93"/>
  <c r="E20" i="93"/>
  <c r="E17" i="93"/>
  <c r="E16" i="93"/>
  <c r="E15" i="93"/>
  <c r="E14" i="93"/>
  <c r="E13" i="93"/>
  <c r="E12" i="93"/>
  <c r="E11" i="93"/>
  <c r="E10" i="93"/>
  <c r="E9" i="93"/>
  <c r="E8" i="93"/>
  <c r="E7" i="93"/>
  <c r="E6" i="93"/>
  <c r="E5" i="93"/>
  <c r="E4" i="93"/>
  <c r="E3" i="93"/>
  <c r="M19" i="1" l="1"/>
  <c r="E19" i="1"/>
  <c r="E16" i="1" l="1"/>
  <c r="E17" i="1"/>
  <c r="E21" i="1"/>
  <c r="E15" i="1" l="1"/>
</calcChain>
</file>

<file path=xl/sharedStrings.xml><?xml version="1.0" encoding="utf-8"?>
<sst xmlns="http://schemas.openxmlformats.org/spreadsheetml/2006/main" count="471" uniqueCount="259">
  <si>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</si>
  <si>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</si>
  <si>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</si>
  <si>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</si>
  <si>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</si>
  <si>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</si>
  <si>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</si>
  <si>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</si>
  <si>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</si>
  <si>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</si>
  <si>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</si>
  <si>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</si>
  <si>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</si>
  <si>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</si>
  <si>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</si>
  <si>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</si>
  <si>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</si>
  <si>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</si>
  <si>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</si>
  <si>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</si>
  <si>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</si>
  <si>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</si>
  <si>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</si>
  <si>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</si>
  <si>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</si>
  <si>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</si>
  <si>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</si>
  <si>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</si>
  <si>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</si>
  <si>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</si>
  <si>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</si>
  <si>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</si>
  <si>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</si>
  <si>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</si>
  <si>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</si>
  <si>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</si>
  <si>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</si>
  <si>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</si>
  <si>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</si>
  <si>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</si>
  <si>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</si>
  <si>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</si>
  <si>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</si>
  <si>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</si>
  <si>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</si>
  <si>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</si>
  <si>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</si>
  <si>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</si>
  <si>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</si>
  <si>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</si>
  <si>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</si>
  <si>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</si>
  <si>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</si>
  <si>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</si>
  <si>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</si>
  <si>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</si>
  <si>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</si>
  <si>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</si>
  <si>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</si>
  <si>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</si>
  <si>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</si>
  <si>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</si>
  <si>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</si>
  <si>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</si>
  <si>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</si>
  <si>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</si>
  <si>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</si>
  <si>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</si>
  <si>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</si>
  <si>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</si>
  <si>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</si>
  <si>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</si>
  <si>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</si>
  <si>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</si>
  <si>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</si>
  <si>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</si>
  <si>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</si>
  <si>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</si>
  <si>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</si>
  <si>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</si>
  <si>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</si>
  <si>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</si>
  <si>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</si>
  <si>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</si>
  <si>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</si>
  <si>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</si>
  <si>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</si>
  <si>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</si>
  <si>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</si>
  <si>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</si>
  <si>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</si>
  <si>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</si>
  <si>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</si>
  <si>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</si>
  <si>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</si>
  <si>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</si>
  <si>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4</t>
    <phoneticPr fontId="2" type="noConversion"/>
  </si>
  <si>
    <t>回收時間</t>
  </si>
  <si>
    <t>移位置</t>
  </si>
  <si>
    <t>時位變速點</t>
    <phoneticPr fontId="2" type="noConversion"/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</si>
  <si>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</si>
  <si>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</si>
  <si>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</si>
  <si>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</si>
  <si>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</si>
  <si>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</si>
  <si>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</si>
  <si>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</si>
  <si>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</si>
  <si>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</si>
  <si>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</si>
  <si>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</si>
  <si>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</si>
  <si>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</si>
  <si>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</si>
  <si>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</si>
  <si>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</si>
  <si>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</si>
  <si>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</si>
  <si>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</si>
  <si>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</si>
  <si>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</si>
  <si>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</si>
  <si>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</si>
  <si>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</si>
  <si>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</si>
  <si>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</si>
  <si>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</si>
  <si>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</si>
  <si>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</si>
  <si>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</si>
  <si>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</si>
  <si>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</si>
  <si>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</si>
  <si>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</si>
  <si>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</si>
  <si>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</si>
  <si>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</si>
  <si>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</si>
  <si>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</si>
  <si>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無行動時間=永久</t>
    <phoneticPr fontId="2" type="noConversion"/>
  </si>
  <si>
    <t>角度預設為角度值</t>
    <phoneticPr fontId="2" type="noConversion"/>
  </si>
  <si>
    <t>移動角度速度預設繼承父終值</t>
    <phoneticPr fontId="2" type="noConversion"/>
  </si>
  <si>
    <t>PosParamType</t>
    <phoneticPr fontId="2" type="noConversion"/>
  </si>
  <si>
    <t>AngleParamType</t>
    <phoneticPr fontId="2" type="noConversion"/>
  </si>
  <si>
    <t>PosParamType</t>
  </si>
  <si>
    <t>啟動依ID</t>
  </si>
  <si>
    <t>新參照位置12</t>
    <phoneticPr fontId="2" type="noConversion"/>
  </si>
  <si>
    <t>行動時間</t>
    <phoneticPr fontId="2" type="noConversion"/>
  </si>
  <si>
    <t>HP</t>
    <phoneticPr fontId="2" type="noConversion"/>
  </si>
  <si>
    <t>無敵</t>
    <phoneticPr fontId="2" type="noConversion"/>
  </si>
  <si>
    <t>Name</t>
    <phoneticPr fontId="2" type="noConversion"/>
  </si>
  <si>
    <t>動畫</t>
    <phoneticPr fontId="2" type="noConversion"/>
  </si>
  <si>
    <t>復位</t>
    <phoneticPr fontId="2" type="noConversion"/>
  </si>
  <si>
    <t>0</t>
    <phoneticPr fontId="2" type="noConversion"/>
  </si>
  <si>
    <t>30</t>
    <phoneticPr fontId="2" type="noConversion"/>
  </si>
  <si>
    <t>啟動依遊戲時間</t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</si>
  <si>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</si>
  <si>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</si>
  <si>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</si>
  <si>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</si>
  <si>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</si>
  <si>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</si>
  <si>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</si>
  <si>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</si>
  <si>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</si>
  <si>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</si>
  <si>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</si>
  <si>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</si>
  <si>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</si>
  <si>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</si>
  <si>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</si>
  <si>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</si>
  <si>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</si>
  <si>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</si>
  <si>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</si>
  <si>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</si>
  <si>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</si>
  <si>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</si>
  <si>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</si>
  <si>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</si>
  <si>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</si>
  <si>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</si>
  <si>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</si>
  <si>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</si>
  <si>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</si>
  <si>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</si>
  <si>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</si>
  <si>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</si>
  <si>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</si>
  <si>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</si>
  <si>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</si>
  <si>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</si>
  <si>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</si>
  <si>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</si>
  <si>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</si>
  <si>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</si>
  <si>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</si>
  <si>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</si>
  <si>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</si>
  <si>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</si>
  <si>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</si>
  <si>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</si>
  <si>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</si>
  <si>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</si>
  <si>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</si>
  <si>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</si>
  <si>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</si>
  <si>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</si>
  <si>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</si>
  <si>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</si>
  <si>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</si>
  <si>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</si>
  <si>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</si>
  <si>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</si>
  <si>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</si>
  <si>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</si>
  <si>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</si>
  <si>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</si>
  <si>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</si>
  <si>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</si>
  <si>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</si>
  <si>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</si>
  <si>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</si>
  <si>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</si>
  <si>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</si>
  <si>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</si>
  <si>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</si>
  <si>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</si>
  <si>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</si>
  <si>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</si>
  <si>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</si>
  <si>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</si>
  <si>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</si>
  <si>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</si>
  <si>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Self = 1,
Parent = 2,
Player = 3,
Boss = 4,
Center=5,
BossHome=6,</t>
    <phoneticPr fontId="2" type="noConversion"/>
  </si>
  <si>
    <t>新參照位置12</t>
  </si>
  <si>
    <t>符卡時間</t>
    <phoneticPr fontId="2" type="noConversion"/>
  </si>
  <si>
    <t>304</t>
  </si>
  <si>
    <t>Sera</t>
    <phoneticPr fontId="2" type="noConversion"/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</si>
  <si>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</si>
  <si>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</si>
  <si>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</si>
  <si>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</si>
  <si>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</si>
  <si>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</si>
  <si>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</si>
  <si>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</si>
  <si>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</si>
  <si>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</si>
  <si>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</si>
  <si>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</si>
  <si>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</si>
  <si>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</si>
  <si>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</si>
  <si>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</si>
  <si>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</si>
  <si>
    <t>迴響「包圍網」</t>
    <phoneticPr fontId="2" type="noConversion"/>
  </si>
  <si>
    <t>0,6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</si>
</sst>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49" fontId="26" fillId="24" borderId="0" xfId="0" applyNumberFormat="1" applyFont="1" applyFill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29" fillId="24" borderId="0" xfId="0" applyNumberFormat="1" applyFont="1" applyFill="1" applyAlignment="1">
      <alignment horizontal="left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6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BH38"/>
  <sheetViews>
    <sheetView tabSelected="1" zoomScale="115" zoomScaleNormal="115" workbookViewId="0">
      <pane ySplit="1" topLeftCell="A8" activePane="bottomLeft" state="frozen"/>
      <selection pane="bottomLeft" activeCell="M18" sqref="M18"/>
    </sheetView>
  </sheetViews>
  <sheetFormatPr defaultRowHeight="19.5"/>
  <cols>
    <col min="1" max="2" width="9" style="9"/>
    <col min="3" max="3" width="5.875" style="22" customWidth="1"/>
    <col min="4" max="4" width="6.125" style="22" customWidth="1"/>
    <col min="5" max="5" width="9" style="22"/>
    <col min="6" max="6" width="16.125" style="9" bestFit="1" customWidth="1"/>
    <col min="7" max="7" width="7.375" style="22" customWidth="1"/>
    <col min="8" max="8" width="5" style="22" customWidth="1"/>
    <col min="9" max="9" width="5.125" style="22" customWidth="1"/>
    <col min="10" max="10" width="9" style="9"/>
    <col min="11" max="11" width="17.5" style="9" bestFit="1" customWidth="1"/>
    <col min="12" max="12" width="20.25" style="9" bestFit="1" customWidth="1"/>
    <col min="13" max="13" width="24.375" style="22" bestFit="1" customWidth="1"/>
    <col min="14" max="14" width="16.125" style="9" bestFit="1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3:56" s="17" customFormat="1">
      <c r="C1" s="23"/>
      <c r="D1" s="23"/>
      <c r="E1" s="23" t="s">
        <v>49</v>
      </c>
      <c r="F1" s="19" t="s">
        <v>27</v>
      </c>
      <c r="G1" s="23"/>
      <c r="H1" s="23"/>
      <c r="I1" s="23"/>
      <c r="K1" s="17" t="s">
        <v>143</v>
      </c>
      <c r="L1" s="17" t="s">
        <v>144</v>
      </c>
      <c r="M1" s="22" t="s">
        <v>94</v>
      </c>
      <c r="N1" s="6" t="s">
        <v>95</v>
      </c>
      <c r="O1" s="6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</row>
    <row r="2" spans="3:56">
      <c r="C2" s="22" t="s">
        <v>140</v>
      </c>
    </row>
    <row r="3" spans="3:56">
      <c r="C3" s="22" t="s">
        <v>141</v>
      </c>
    </row>
    <row r="4" spans="3:56">
      <c r="C4" s="22" t="s">
        <v>142</v>
      </c>
    </row>
    <row r="6" spans="3:56">
      <c r="E6" s="22">
        <f>ROW(E6)</f>
        <v>6</v>
      </c>
      <c r="F6" s="9" t="s">
        <v>153</v>
      </c>
      <c r="M6" s="22">
        <v>18600</v>
      </c>
    </row>
    <row r="7" spans="3:56">
      <c r="E7" s="22">
        <f t="shared" ref="E7:E11" si="0">ROW(E7)</f>
        <v>7</v>
      </c>
      <c r="F7" s="9" t="s">
        <v>156</v>
      </c>
      <c r="M7" s="22">
        <v>9500</v>
      </c>
      <c r="N7" s="22"/>
    </row>
    <row r="8" spans="3:56">
      <c r="E8" s="22">
        <f t="shared" si="0"/>
        <v>8</v>
      </c>
      <c r="F8" s="9" t="s">
        <v>35</v>
      </c>
      <c r="M8" s="22">
        <v>30</v>
      </c>
    </row>
    <row r="9" spans="3:56">
      <c r="E9" s="22">
        <f t="shared" si="0"/>
        <v>9</v>
      </c>
      <c r="F9" s="9" t="s">
        <v>120</v>
      </c>
      <c r="M9" s="22" t="s">
        <v>155</v>
      </c>
    </row>
    <row r="10" spans="3:56">
      <c r="E10" s="22">
        <f t="shared" si="0"/>
        <v>10</v>
      </c>
      <c r="F10" s="9" t="s">
        <v>99</v>
      </c>
      <c r="M10" s="22" t="s">
        <v>154</v>
      </c>
    </row>
    <row r="11" spans="3:56">
      <c r="E11" s="22">
        <f t="shared" si="0"/>
        <v>11</v>
      </c>
      <c r="F11" s="9" t="s">
        <v>121</v>
      </c>
      <c r="K11" s="9" t="s">
        <v>137</v>
      </c>
      <c r="M11" s="22" t="s">
        <v>258</v>
      </c>
    </row>
    <row r="15" spans="3:56">
      <c r="E15" s="22">
        <f>ROW(E15)</f>
        <v>15</v>
      </c>
      <c r="F15" s="9" t="s">
        <v>45</v>
      </c>
      <c r="G15" s="22">
        <v>1</v>
      </c>
      <c r="M15" s="22">
        <v>18610</v>
      </c>
      <c r="N15" s="22"/>
    </row>
    <row r="16" spans="3:56">
      <c r="E16" s="22">
        <f t="shared" ref="E16:E29" si="1">ROW(E16)</f>
        <v>16</v>
      </c>
      <c r="F16" s="9" t="s">
        <v>156</v>
      </c>
      <c r="M16" s="22">
        <v>9600</v>
      </c>
      <c r="N16" s="22"/>
    </row>
    <row r="17" spans="5:14">
      <c r="E17" s="22">
        <f t="shared" si="1"/>
        <v>17</v>
      </c>
      <c r="F17" s="9" t="s">
        <v>152</v>
      </c>
      <c r="M17" s="22" t="s">
        <v>239</v>
      </c>
      <c r="N17" s="22"/>
    </row>
    <row r="18" spans="5:14">
      <c r="E18" s="22">
        <f t="shared" si="1"/>
        <v>18</v>
      </c>
      <c r="F18" s="9" t="s">
        <v>149</v>
      </c>
      <c r="M18" s="22">
        <v>1</v>
      </c>
    </row>
    <row r="19" spans="5:14">
      <c r="E19" s="22">
        <f t="shared" si="1"/>
        <v>19</v>
      </c>
      <c r="F19" s="9" t="s">
        <v>237</v>
      </c>
      <c r="G19" s="22">
        <v>40</v>
      </c>
      <c r="M19" s="22">
        <f>G19*60</f>
        <v>2400</v>
      </c>
    </row>
    <row r="20" spans="5:14">
      <c r="E20" s="22">
        <f t="shared" si="1"/>
        <v>20</v>
      </c>
      <c r="F20" s="9" t="s">
        <v>151</v>
      </c>
      <c r="M20" s="22" t="s">
        <v>257</v>
      </c>
    </row>
    <row r="21" spans="5:14">
      <c r="E21" s="22">
        <f t="shared" si="1"/>
        <v>21</v>
      </c>
      <c r="F21" s="9" t="s">
        <v>148</v>
      </c>
      <c r="M21" s="22">
        <v>120</v>
      </c>
      <c r="N21" s="22"/>
    </row>
    <row r="22" spans="5:14">
      <c r="E22" s="22">
        <f t="shared" si="1"/>
        <v>22</v>
      </c>
      <c r="F22" s="9" t="s">
        <v>102</v>
      </c>
      <c r="M22" s="22">
        <f>M15*10+1</f>
        <v>186101</v>
      </c>
      <c r="N22" s="22"/>
    </row>
    <row r="23" spans="5:14">
      <c r="E23" s="22">
        <f t="shared" si="1"/>
        <v>23</v>
      </c>
      <c r="F23" s="9" t="s">
        <v>146</v>
      </c>
      <c r="M23" s="22">
        <f>M15</f>
        <v>18610</v>
      </c>
      <c r="N23" s="22"/>
    </row>
    <row r="24" spans="5:14">
      <c r="E24" s="22">
        <f t="shared" si="1"/>
        <v>24</v>
      </c>
      <c r="F24" s="9" t="s">
        <v>128</v>
      </c>
      <c r="M24" s="22">
        <v>0</v>
      </c>
      <c r="N24" s="22"/>
    </row>
    <row r="25" spans="5:14">
      <c r="E25" s="22">
        <f t="shared" si="1"/>
        <v>25</v>
      </c>
      <c r="F25" s="9" t="s">
        <v>148</v>
      </c>
      <c r="M25" s="22">
        <v>120</v>
      </c>
      <c r="N25" s="22"/>
    </row>
    <row r="26" spans="5:14">
      <c r="F26" s="9" t="s">
        <v>150</v>
      </c>
      <c r="M26" s="22" t="b">
        <v>0</v>
      </c>
      <c r="N26" s="22"/>
    </row>
    <row r="27" spans="5:14">
      <c r="E27" s="22">
        <f t="shared" si="1"/>
        <v>27</v>
      </c>
      <c r="F27" s="9" t="s">
        <v>102</v>
      </c>
      <c r="M27" s="22">
        <f>M15*10+9</f>
        <v>186109</v>
      </c>
    </row>
    <row r="28" spans="5:14">
      <c r="E28" s="22">
        <f t="shared" si="1"/>
        <v>28</v>
      </c>
      <c r="F28" s="9" t="s">
        <v>146</v>
      </c>
      <c r="M28" s="22">
        <f>M15</f>
        <v>18610</v>
      </c>
    </row>
    <row r="29" spans="5:14">
      <c r="E29" s="22">
        <f t="shared" si="1"/>
        <v>29</v>
      </c>
      <c r="F29" s="9" t="s">
        <v>127</v>
      </c>
      <c r="M29" s="22">
        <v>360</v>
      </c>
    </row>
    <row r="30" spans="5:14">
      <c r="E30" s="22">
        <f>ROW(E30)</f>
        <v>30</v>
      </c>
      <c r="F30" s="9" t="s">
        <v>146</v>
      </c>
      <c r="M30" s="22">
        <f>M27</f>
        <v>186109</v>
      </c>
    </row>
    <row r="31" spans="5:14">
      <c r="E31" s="22">
        <f>ROW(E31)</f>
        <v>31</v>
      </c>
      <c r="F31" s="9" t="s">
        <v>128</v>
      </c>
      <c r="M31" s="22">
        <v>0</v>
      </c>
    </row>
    <row r="32" spans="5:14">
      <c r="E32" s="22">
        <f t="shared" ref="E32:E35" si="2">ROW(E32)</f>
        <v>32</v>
      </c>
      <c r="F32" s="9" t="s">
        <v>148</v>
      </c>
      <c r="M32" s="22">
        <v>120</v>
      </c>
      <c r="N32" s="22"/>
    </row>
    <row r="33" spans="5:14">
      <c r="E33" s="22">
        <f t="shared" si="2"/>
        <v>33</v>
      </c>
      <c r="F33" s="9" t="s">
        <v>102</v>
      </c>
      <c r="M33" s="22">
        <f>M15*10+8</f>
        <v>186108</v>
      </c>
    </row>
    <row r="34" spans="5:14">
      <c r="E34" s="22">
        <f t="shared" si="2"/>
        <v>34</v>
      </c>
      <c r="F34" s="9" t="s">
        <v>146</v>
      </c>
      <c r="M34" s="22">
        <f>M28</f>
        <v>18610</v>
      </c>
    </row>
    <row r="35" spans="5:14">
      <c r="E35" s="22">
        <f t="shared" si="2"/>
        <v>35</v>
      </c>
      <c r="F35" s="9" t="s">
        <v>127</v>
      </c>
      <c r="M35" s="22">
        <v>240</v>
      </c>
    </row>
    <row r="36" spans="5:14">
      <c r="E36" s="22">
        <f>ROW(E36)</f>
        <v>36</v>
      </c>
      <c r="F36" s="9" t="s">
        <v>146</v>
      </c>
      <c r="M36" s="22">
        <f>M33</f>
        <v>186108</v>
      </c>
    </row>
    <row r="37" spans="5:14">
      <c r="E37" s="22">
        <f>ROW(E37)</f>
        <v>37</v>
      </c>
      <c r="F37" s="9" t="s">
        <v>128</v>
      </c>
      <c r="M37" s="22">
        <v>0</v>
      </c>
    </row>
    <row r="38" spans="5:14">
      <c r="E38" s="22">
        <f t="shared" ref="E38" si="3">ROW(E38)</f>
        <v>38</v>
      </c>
      <c r="F38" s="9" t="s">
        <v>148</v>
      </c>
      <c r="M38" s="22">
        <v>60</v>
      </c>
      <c r="N38" s="22"/>
    </row>
  </sheetData>
  <autoFilter ref="D1:D12" xr:uid="{00000000-0001-0000-0000-000000000000}"/>
  <phoneticPr fontId="2" type="noConversion"/>
  <conditionalFormatting sqref="N1:BD1">
    <cfRule type="duplicateValues" dxfId="62" priority="565"/>
  </conditionalFormatting>
  <conditionalFormatting sqref="BE1:XFD1 E1:I1">
    <cfRule type="duplicateValues" dxfId="61" priority="645"/>
  </conditionalFormatting>
  <conditionalFormatting sqref="F1:F5 F12:F38">
    <cfRule type="cellIs" dxfId="60" priority="146" operator="equal">
      <formula>"ID"</formula>
    </cfRule>
    <cfRule type="cellIs" dxfId="59" priority="561" operator="equal">
      <formula>"行動序號"</formula>
    </cfRule>
  </conditionalFormatting>
  <conditionalFormatting sqref="N15:N17 N21 M22:N26">
    <cfRule type="expression" dxfId="58" priority="648">
      <formula>OR($F15="行動序號",$F15="ID")</formula>
    </cfRule>
  </conditionalFormatting>
  <conditionalFormatting sqref="N15:N17 N21 M22:N26">
    <cfRule type="expression" dxfId="57" priority="560">
      <formula>$F15="行動ID"</formula>
    </cfRule>
  </conditionalFormatting>
  <conditionalFormatting sqref="J1">
    <cfRule type="duplicateValues" dxfId="56" priority="144"/>
  </conditionalFormatting>
  <conditionalFormatting sqref="K1:L1">
    <cfRule type="duplicateValues" dxfId="55" priority="141"/>
  </conditionalFormatting>
  <conditionalFormatting sqref="F18:F20">
    <cfRule type="cellIs" dxfId="54" priority="43" operator="equal">
      <formula>"行動ID"</formula>
    </cfRule>
    <cfRule type="cellIs" dxfId="53" priority="44" operator="equal">
      <formula>"ID"</formula>
    </cfRule>
    <cfRule type="cellIs" dxfId="52" priority="45" operator="equal">
      <formula>"行動序號"</formula>
    </cfRule>
  </conditionalFormatting>
  <conditionalFormatting sqref="F7">
    <cfRule type="cellIs" dxfId="51" priority="19" operator="equal">
      <formula>"ID"</formula>
    </cfRule>
    <cfRule type="cellIs" dxfId="50" priority="21" operator="equal">
      <formula>"行動序號"</formula>
    </cfRule>
  </conditionalFormatting>
  <conditionalFormatting sqref="N7">
    <cfRule type="expression" dxfId="49" priority="22">
      <formula>OR($F7="行動序號",$F7="ID")</formula>
    </cfRule>
  </conditionalFormatting>
  <conditionalFormatting sqref="N7">
    <cfRule type="expression" dxfId="48" priority="20">
      <formula>$F7="行動ID"</formula>
    </cfRule>
  </conditionalFormatting>
  <conditionalFormatting sqref="F10">
    <cfRule type="cellIs" dxfId="47" priority="15" operator="equal">
      <formula>"行動ID"</formula>
    </cfRule>
    <cfRule type="cellIs" dxfId="46" priority="16" operator="equal">
      <formula>"ID"</formula>
    </cfRule>
    <cfRule type="cellIs" dxfId="45" priority="18" operator="equal">
      <formula>"行動序號"</formula>
    </cfRule>
  </conditionalFormatting>
  <conditionalFormatting sqref="F10">
    <cfRule type="cellIs" dxfId="44" priority="17" operator="equal">
      <formula>"行動序號"</formula>
    </cfRule>
  </conditionalFormatting>
  <conditionalFormatting sqref="M39:M1048576 M1:M21">
    <cfRule type="expression" dxfId="43" priority="6">
      <formula>AND(_xlfn.ISFORMULA(M1),OR($F1="行動ID", $F1="ID"))</formula>
    </cfRule>
    <cfRule type="expression" dxfId="42" priority="8">
      <formula>OR($F1="行動ID", $F1="ID")</formula>
    </cfRule>
  </conditionalFormatting>
  <conditionalFormatting sqref="M1:M1048576">
    <cfRule type="expression" dxfId="41" priority="7">
      <formula>_xlfn.ISFORMULA(M1)</formula>
    </cfRule>
  </conditionalFormatting>
  <conditionalFormatting sqref="M32:N32 M27:M31 M38:N38 M33:M37">
    <cfRule type="expression" dxfId="40" priority="5">
      <formula>OR($F27="行動序號",$F27="ID")</formula>
    </cfRule>
  </conditionalFormatting>
  <conditionalFormatting sqref="M32:N32 M27:M31 M38:N38 M33:M37">
    <cfRule type="expression" dxfId="39" priority="3">
      <formula>$F27="行動ID"</formula>
    </cfRule>
  </conditionalFormatting>
  <dataValidations count="1">
    <dataValidation type="list" allowBlank="1" showInputMessage="1" showErrorMessage="1" sqref="K32 K17 K7 F16 F19:F20 L14:L16 K19:L20 L40 K12:L13 L10 L26 F3 L4:L5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FA037-4A91-4431-9BB7-C1E0E36D8BD3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144</v>
      </c>
      <c r="D1" s="17" t="s">
        <v>143</v>
      </c>
      <c r="E1" s="6" t="s">
        <v>36</v>
      </c>
    </row>
    <row r="2" spans="1:5">
      <c r="A2" s="9" t="s">
        <v>50</v>
      </c>
      <c r="B2" s="9" t="s">
        <v>28</v>
      </c>
      <c r="C2" s="9" t="s">
        <v>144</v>
      </c>
      <c r="D2" s="9" t="s">
        <v>145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B6B971F3-2949-4690-AF19-33B6AC951474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E63F5-685F-47BF-8F99-95231A1B050D}">
  <sheetPr codeName="DefineSheet"/>
  <dimension ref="A1:L116"/>
  <sheetViews>
    <sheetView topLeftCell="A94" workbookViewId="0">
      <selection activeCell="B116" sqref="B116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157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102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100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103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158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111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240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159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104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105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131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132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160</v>
      </c>
      <c r="C17" s="7" t="s">
        <v>241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146</v>
      </c>
      <c r="C20" s="7" t="s">
        <v>161</v>
      </c>
      <c r="E20" t="str">
        <f t="shared" si="0"/>
        <v>啟動依ID,</v>
      </c>
      <c r="H20"/>
    </row>
    <row r="21" spans="1:8">
      <c r="A21" s="7" t="s">
        <v>27</v>
      </c>
      <c r="B21" s="7" t="s">
        <v>156</v>
      </c>
      <c r="C21" s="7" t="s">
        <v>162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127</v>
      </c>
      <c r="C22" s="7" t="s">
        <v>163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128</v>
      </c>
      <c r="C23" s="7" t="s">
        <v>164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129</v>
      </c>
      <c r="C24" s="7" t="s">
        <v>165</v>
      </c>
      <c r="E24" t="str">
        <f t="shared" si="0"/>
        <v>啟動依位置,</v>
      </c>
      <c r="H24"/>
    </row>
    <row r="25" spans="1:8">
      <c r="A25" s="7" t="s">
        <v>27</v>
      </c>
      <c r="B25" s="7" t="s">
        <v>130</v>
      </c>
      <c r="C25" s="7" t="s">
        <v>166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167</v>
      </c>
      <c r="C26" s="7" t="s">
        <v>168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169</v>
      </c>
      <c r="C27" s="7" t="s">
        <v>170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171</v>
      </c>
      <c r="E30" t="str">
        <f t="shared" si="0"/>
        <v>物件,</v>
      </c>
      <c r="H30"/>
    </row>
    <row r="31" spans="1:8">
      <c r="A31" s="7" t="s">
        <v>27</v>
      </c>
      <c r="B31" s="7" t="s">
        <v>119</v>
      </c>
      <c r="C31" s="7" t="s">
        <v>172</v>
      </c>
      <c r="E31" t="str">
        <f t="shared" si="0"/>
        <v>Sprite,</v>
      </c>
      <c r="H31"/>
    </row>
    <row r="32" spans="1:8">
      <c r="A32" s="7" t="s">
        <v>27</v>
      </c>
      <c r="B32" s="7" t="s">
        <v>101</v>
      </c>
      <c r="C32" s="7" t="s">
        <v>173</v>
      </c>
      <c r="E32" t="str">
        <f t="shared" si="0"/>
        <v>動畫,</v>
      </c>
      <c r="H32"/>
    </row>
    <row r="33" spans="1:8">
      <c r="A33" s="7" t="s">
        <v>27</v>
      </c>
      <c r="B33" s="7" t="s">
        <v>107</v>
      </c>
      <c r="C33" s="7" t="s">
        <v>174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106</v>
      </c>
      <c r="C34" s="7" t="s">
        <v>175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176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177</v>
      </c>
      <c r="C36" s="7" t="s">
        <v>178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179</v>
      </c>
      <c r="C37" s="7" t="s">
        <v>180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181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97</v>
      </c>
      <c r="C41" s="7" t="s">
        <v>182</v>
      </c>
      <c r="E41" t="str">
        <f t="shared" si="0"/>
        <v>回收時間,</v>
      </c>
      <c r="H41"/>
    </row>
    <row r="42" spans="1:8">
      <c r="A42" s="7" t="s">
        <v>27</v>
      </c>
      <c r="B42" s="7" t="s">
        <v>108</v>
      </c>
      <c r="C42" s="7" t="s">
        <v>183</v>
      </c>
      <c r="E42" t="str">
        <f t="shared" si="0"/>
        <v>死亡時間,</v>
      </c>
      <c r="H42"/>
    </row>
    <row r="43" spans="1:8">
      <c r="A43" s="7" t="s">
        <v>27</v>
      </c>
      <c r="B43" s="7" t="s">
        <v>237</v>
      </c>
      <c r="C43" s="7" t="s">
        <v>238</v>
      </c>
      <c r="E43" t="str">
        <f t="shared" si="0"/>
        <v>符卡時間,</v>
      </c>
      <c r="H43"/>
    </row>
    <row r="44" spans="1:8">
      <c r="B44" s="24"/>
      <c r="H44"/>
    </row>
    <row r="45" spans="1:8">
      <c r="H45"/>
    </row>
    <row r="46" spans="1:8">
      <c r="A46" s="7" t="s">
        <v>27</v>
      </c>
      <c r="B46" s="7" t="s">
        <v>98</v>
      </c>
      <c r="C46" s="7" t="s">
        <v>184</v>
      </c>
      <c r="E46" t="str">
        <f t="shared" si="0"/>
        <v>移位置,</v>
      </c>
      <c r="H46"/>
    </row>
    <row r="47" spans="1:8">
      <c r="A47" s="7" t="s">
        <v>27</v>
      </c>
      <c r="B47" s="7" t="s">
        <v>117</v>
      </c>
      <c r="C47" s="7" t="s">
        <v>185</v>
      </c>
      <c r="E47" t="str">
        <f t="shared" si="0"/>
        <v>相對位置,</v>
      </c>
      <c r="H47"/>
    </row>
    <row r="48" spans="1:8">
      <c r="A48" s="7" t="s">
        <v>27</v>
      </c>
      <c r="B48" s="7" t="s">
        <v>134</v>
      </c>
      <c r="C48" s="7" t="s">
        <v>186</v>
      </c>
      <c r="E48" t="str">
        <f t="shared" si="0"/>
        <v>位置參數,</v>
      </c>
      <c r="H48"/>
    </row>
    <row r="49" spans="1:8">
      <c r="A49" s="7" t="s">
        <v>27</v>
      </c>
      <c r="B49" s="7" t="s">
        <v>187</v>
      </c>
      <c r="C49" s="7" t="s">
        <v>188</v>
      </c>
      <c r="E49" t="str">
        <f t="shared" si="0"/>
        <v>加位置,</v>
      </c>
      <c r="H49"/>
    </row>
    <row r="50" spans="1:8">
      <c r="A50" s="7" t="s">
        <v>27</v>
      </c>
      <c r="B50" s="7" t="s">
        <v>247</v>
      </c>
      <c r="C50" s="7" t="s">
        <v>248</v>
      </c>
      <c r="E50" t="str">
        <f t="shared" si="0"/>
        <v>記錄位置,</v>
      </c>
      <c r="H50"/>
    </row>
    <row r="51" spans="1:8">
      <c r="A51" s="7" t="s">
        <v>27</v>
      </c>
      <c r="B51" s="7" t="s">
        <v>249</v>
      </c>
      <c r="C51" s="7" t="s">
        <v>250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189</v>
      </c>
      <c r="E54" t="str">
        <f t="shared" si="0"/>
        <v>移動角度,</v>
      </c>
      <c r="H54"/>
    </row>
    <row r="55" spans="1:8">
      <c r="A55" s="7" t="s">
        <v>27</v>
      </c>
      <c r="B55" s="7" t="s">
        <v>112</v>
      </c>
      <c r="C55" s="7" t="s">
        <v>190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113</v>
      </c>
      <c r="C56" s="7" t="s">
        <v>191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114</v>
      </c>
      <c r="C57" s="7" t="s">
        <v>192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133</v>
      </c>
      <c r="C58" s="7" t="s">
        <v>193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194</v>
      </c>
      <c r="C59" s="7" t="s">
        <v>195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115</v>
      </c>
      <c r="C60" s="7" t="s">
        <v>196</v>
      </c>
      <c r="E60" t="str">
        <f t="shared" si="0"/>
        <v>旋轉是移動角度,</v>
      </c>
      <c r="H60"/>
    </row>
    <row r="61" spans="1:8">
      <c r="A61" s="7" t="s">
        <v>27</v>
      </c>
      <c r="B61" s="25" t="s">
        <v>242</v>
      </c>
      <c r="C61" s="7" t="s">
        <v>243</v>
      </c>
      <c r="E61" t="str">
        <f t="shared" si="0"/>
        <v>子旋轉角度,</v>
      </c>
      <c r="H61"/>
    </row>
    <row r="62" spans="1:8">
      <c r="A62" s="7" t="s">
        <v>27</v>
      </c>
      <c r="B62" s="25" t="s">
        <v>244</v>
      </c>
      <c r="C62" s="7" t="s">
        <v>245</v>
      </c>
      <c r="E62" t="str">
        <f t="shared" si="0"/>
        <v>子加旋轉角度,</v>
      </c>
      <c r="H62"/>
    </row>
    <row r="63" spans="1:8">
      <c r="A63" s="7" t="s">
        <v>27</v>
      </c>
      <c r="B63" s="7" t="s">
        <v>251</v>
      </c>
      <c r="C63" s="7" t="s">
        <v>252</v>
      </c>
      <c r="E63" t="str">
        <f t="shared" si="0"/>
        <v>記錄角度,</v>
      </c>
      <c r="H63"/>
    </row>
    <row r="64" spans="1:8">
      <c r="A64" s="7" t="s">
        <v>27</v>
      </c>
      <c r="B64" s="7" t="s">
        <v>254</v>
      </c>
      <c r="C64" s="7" t="s">
        <v>253</v>
      </c>
      <c r="E64" t="str">
        <f t="shared" si="0"/>
        <v>記錄角度ID,</v>
      </c>
      <c r="H64"/>
    </row>
    <row r="65" spans="1:11">
      <c r="B65" s="25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197</v>
      </c>
      <c r="E67" t="str">
        <f t="shared" si="0"/>
        <v>速度,</v>
      </c>
      <c r="H67"/>
    </row>
    <row r="68" spans="1:11">
      <c r="A68" s="7" t="s">
        <v>27</v>
      </c>
      <c r="B68" s="7" t="s">
        <v>116</v>
      </c>
      <c r="C68" s="7" t="s">
        <v>198</v>
      </c>
      <c r="E68" t="str">
        <f t="shared" si="0"/>
        <v>加速度,</v>
      </c>
      <c r="H68"/>
    </row>
    <row r="69" spans="1:11">
      <c r="A69" s="7" t="s">
        <v>27</v>
      </c>
      <c r="B69" s="7" t="s">
        <v>109</v>
      </c>
      <c r="C69" s="7" t="s">
        <v>199</v>
      </c>
      <c r="E69" t="str">
        <f t="shared" si="0"/>
        <v>最小速度,</v>
      </c>
      <c r="H69"/>
    </row>
    <row r="70" spans="1:11">
      <c r="A70" s="7" t="s">
        <v>27</v>
      </c>
      <c r="B70" s="7" t="s">
        <v>110</v>
      </c>
      <c r="C70" s="7" t="s">
        <v>200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201</v>
      </c>
      <c r="C73" s="7" t="s">
        <v>202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203</v>
      </c>
      <c r="E74" t="str">
        <f t="shared" si="0"/>
        <v>無敵,</v>
      </c>
      <c r="H74"/>
    </row>
    <row r="75" spans="1:11">
      <c r="A75" s="7" t="s">
        <v>27</v>
      </c>
      <c r="B75" s="7" t="s">
        <v>118</v>
      </c>
      <c r="C75" s="7" t="s">
        <v>204</v>
      </c>
      <c r="E75" t="str">
        <f t="shared" si="0"/>
        <v>貫穿,</v>
      </c>
      <c r="H75"/>
    </row>
    <row r="76" spans="1:11">
      <c r="A76" s="7" t="s">
        <v>27</v>
      </c>
      <c r="B76" s="7" t="s">
        <v>126</v>
      </c>
      <c r="C76" s="7" t="s">
        <v>205</v>
      </c>
      <c r="E76" t="str">
        <f t="shared" si="0"/>
        <v>回收距離,</v>
      </c>
      <c r="H76"/>
    </row>
    <row r="77" spans="1:11">
      <c r="A77" s="7" t="s">
        <v>27</v>
      </c>
      <c r="B77" s="7" t="s">
        <v>206</v>
      </c>
      <c r="C77" s="7" t="s">
        <v>207</v>
      </c>
      <c r="E77" t="str">
        <f t="shared" si="0"/>
        <v>出生動畫速率,</v>
      </c>
      <c r="H77"/>
    </row>
    <row r="78" spans="1:11">
      <c r="A78" s="7" t="s">
        <v>27</v>
      </c>
      <c r="B78" s="7" t="s">
        <v>208</v>
      </c>
      <c r="C78" s="7" t="s">
        <v>209</v>
      </c>
      <c r="E78" t="str">
        <f t="shared" si="0"/>
        <v>出生動畫時間,</v>
      </c>
      <c r="H78"/>
    </row>
    <row r="79" spans="1:11">
      <c r="A79" s="7" t="s">
        <v>27</v>
      </c>
      <c r="B79" s="7" t="s">
        <v>210</v>
      </c>
      <c r="C79" s="7" t="s">
        <v>211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212</v>
      </c>
      <c r="C80" s="7" t="s">
        <v>213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120</v>
      </c>
      <c r="C83" s="7" t="s">
        <v>214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121</v>
      </c>
      <c r="C84" s="7" t="s">
        <v>215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122</v>
      </c>
      <c r="C85" s="7" t="s">
        <v>216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123</v>
      </c>
      <c r="C86" s="7" t="s">
        <v>217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124</v>
      </c>
      <c r="C87" s="7" t="s">
        <v>218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125</v>
      </c>
      <c r="C88" s="7" t="s">
        <v>219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220</v>
      </c>
      <c r="C91" s="7" t="s">
        <v>221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222</v>
      </c>
      <c r="C92" s="7" t="s">
        <v>223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224</v>
      </c>
      <c r="C93" s="7" t="s">
        <v>225</v>
      </c>
      <c r="E93" t="str">
        <f t="shared" si="1"/>
        <v>玩家Power需求,</v>
      </c>
      <c r="H93"/>
    </row>
    <row r="94" spans="1:11">
      <c r="A94" s="7" t="s">
        <v>27</v>
      </c>
      <c r="B94" s="7" t="s">
        <v>226</v>
      </c>
      <c r="C94" s="7" t="s">
        <v>227</v>
      </c>
      <c r="E94" t="str">
        <f t="shared" si="1"/>
        <v>玩家Shift,</v>
      </c>
      <c r="H94"/>
    </row>
    <row r="95" spans="1:11">
      <c r="A95" s="7" t="s">
        <v>27</v>
      </c>
      <c r="B95" s="7" t="s">
        <v>228</v>
      </c>
      <c r="C95" s="7" t="s">
        <v>229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143</v>
      </c>
      <c r="B103" s="7" t="s">
        <v>137</v>
      </c>
      <c r="C103" s="7" t="s">
        <v>21</v>
      </c>
      <c r="H103"/>
    </row>
    <row r="104" spans="1:12" customFormat="1">
      <c r="A104" s="7" t="s">
        <v>143</v>
      </c>
      <c r="B104" t="s">
        <v>138</v>
      </c>
      <c r="C104" s="7" t="s">
        <v>25</v>
      </c>
      <c r="D104" s="7"/>
      <c r="L104" s="7"/>
    </row>
    <row r="105" spans="1:12" customFormat="1">
      <c r="A105" s="7" t="s">
        <v>143</v>
      </c>
      <c r="B105" t="s">
        <v>139</v>
      </c>
      <c r="C105" s="7" t="s">
        <v>26</v>
      </c>
      <c r="D105" s="7"/>
      <c r="L105" s="7"/>
    </row>
    <row r="106" spans="1:12" customFormat="1">
      <c r="A106" s="7" t="s">
        <v>143</v>
      </c>
      <c r="B106" t="s">
        <v>230</v>
      </c>
      <c r="C106" s="7" t="s">
        <v>96</v>
      </c>
      <c r="D106" s="7"/>
      <c r="L106" s="7"/>
    </row>
    <row r="107" spans="1:12" customFormat="1">
      <c r="A107" s="7" t="s">
        <v>143</v>
      </c>
      <c r="B107" t="s">
        <v>231</v>
      </c>
      <c r="C107" s="7" t="s">
        <v>23</v>
      </c>
      <c r="D107" s="7"/>
      <c r="L107" s="7"/>
    </row>
    <row r="108" spans="1:12" customFormat="1">
      <c r="A108" s="7" t="s">
        <v>143</v>
      </c>
      <c r="B108" t="s">
        <v>232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144</v>
      </c>
      <c r="B111" t="s">
        <v>135</v>
      </c>
      <c r="C111" s="7" t="s">
        <v>21</v>
      </c>
      <c r="D111" s="4"/>
      <c r="L111" s="7"/>
    </row>
    <row r="112" spans="1:12" customFormat="1">
      <c r="A112" s="7" t="s">
        <v>144</v>
      </c>
      <c r="B112" t="s">
        <v>136</v>
      </c>
      <c r="C112" s="7" t="s">
        <v>37</v>
      </c>
      <c r="D112" s="7"/>
      <c r="L112" s="7"/>
    </row>
    <row r="113" spans="1:12" customFormat="1">
      <c r="A113" s="7" t="s">
        <v>144</v>
      </c>
      <c r="B113" t="s">
        <v>147</v>
      </c>
      <c r="C113" s="7" t="s">
        <v>38</v>
      </c>
      <c r="D113" s="7"/>
      <c r="L113" s="7"/>
    </row>
    <row r="114" spans="1:12" customFormat="1">
      <c r="A114" s="7" t="s">
        <v>144</v>
      </c>
      <c r="B114" t="s">
        <v>233</v>
      </c>
      <c r="C114" s="7" t="s">
        <v>22</v>
      </c>
      <c r="D114" s="7"/>
      <c r="L114" s="7"/>
    </row>
    <row r="115" spans="1:12">
      <c r="A115" s="7" t="s">
        <v>144</v>
      </c>
      <c r="B115" s="7" t="s">
        <v>234</v>
      </c>
      <c r="C115" s="7" t="s">
        <v>23</v>
      </c>
      <c r="H115"/>
    </row>
    <row r="116" spans="1:12">
      <c r="A116" s="7" t="s">
        <v>144</v>
      </c>
      <c r="B116" s="7" t="s">
        <v>255</v>
      </c>
      <c r="C116" s="7" t="s">
        <v>24</v>
      </c>
      <c r="H116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932BF-0CD2-4D4F-B20A-4D77AA41F58D}">
  <sheetPr codeName="OptionSheet"/>
  <dimension ref="A1:J112"/>
  <sheetViews>
    <sheetView zoomScale="115" zoomScaleNormal="115" workbookViewId="0">
      <selection activeCell="A52" sqref="A52"/>
    </sheetView>
  </sheetViews>
  <sheetFormatPr defaultRowHeight="16.5"/>
  <cols>
    <col min="1" max="1" width="20.5" style="20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143</v>
      </c>
      <c r="C1" s="6" t="s">
        <v>144</v>
      </c>
      <c r="D1" s="8"/>
      <c r="E1" s="8"/>
      <c r="F1" s="8"/>
      <c r="G1" s="6"/>
      <c r="H1" s="8"/>
      <c r="I1" s="8"/>
      <c r="J1" s="8"/>
    </row>
    <row r="2" spans="1:10" ht="85.5">
      <c r="B2" s="20" t="s">
        <v>137</v>
      </c>
      <c r="C2" s="20" t="s">
        <v>135</v>
      </c>
      <c r="D2" s="20"/>
      <c r="G2" s="21" t="s">
        <v>235</v>
      </c>
    </row>
    <row r="3" spans="1:10">
      <c r="A3" s="20" t="s">
        <v>93</v>
      </c>
      <c r="B3" s="20" t="s">
        <v>138</v>
      </c>
      <c r="C3" s="20" t="s">
        <v>136</v>
      </c>
      <c r="D3" s="20"/>
      <c r="G3" s="9"/>
    </row>
    <row r="4" spans="1:10">
      <c r="A4" s="20" t="s">
        <v>102</v>
      </c>
      <c r="B4" s="20" t="s">
        <v>139</v>
      </c>
      <c r="C4" s="20" t="s">
        <v>236</v>
      </c>
      <c r="D4" s="20"/>
      <c r="G4" s="9"/>
      <c r="H4" s="18"/>
    </row>
    <row r="5" spans="1:10" ht="17.25" customHeight="1">
      <c r="A5" s="20" t="s">
        <v>100</v>
      </c>
      <c r="B5" s="20" t="s">
        <v>230</v>
      </c>
      <c r="C5" s="20" t="s">
        <v>233</v>
      </c>
      <c r="D5" s="20"/>
      <c r="G5" s="9"/>
    </row>
    <row r="6" spans="1:10">
      <c r="A6" s="20" t="s">
        <v>103</v>
      </c>
      <c r="B6" s="20" t="s">
        <v>231</v>
      </c>
      <c r="C6" s="20" t="s">
        <v>234</v>
      </c>
      <c r="D6" s="20"/>
      <c r="G6" s="9"/>
    </row>
    <row r="7" spans="1:10">
      <c r="A7" s="20" t="s">
        <v>48</v>
      </c>
      <c r="B7" s="20" t="s">
        <v>232</v>
      </c>
      <c r="C7" s="24" t="s">
        <v>255</v>
      </c>
      <c r="D7" s="20"/>
      <c r="G7" s="9"/>
    </row>
    <row r="8" spans="1:10">
      <c r="A8" s="20" t="s">
        <v>158</v>
      </c>
      <c r="B8" s="24"/>
      <c r="C8" s="20"/>
      <c r="D8" s="20"/>
      <c r="G8" s="9"/>
    </row>
    <row r="9" spans="1:10">
      <c r="A9" s="20" t="s">
        <v>111</v>
      </c>
      <c r="B9" s="20"/>
      <c r="C9" s="20"/>
      <c r="D9" s="20"/>
      <c r="G9" s="9"/>
    </row>
    <row r="10" spans="1:10">
      <c r="A10" s="20" t="s">
        <v>240</v>
      </c>
      <c r="B10" s="20"/>
      <c r="C10" s="20"/>
      <c r="D10" s="20"/>
      <c r="G10" s="9"/>
    </row>
    <row r="11" spans="1:10">
      <c r="A11" s="20" t="s">
        <v>159</v>
      </c>
      <c r="G11" s="9"/>
    </row>
    <row r="12" spans="1:10">
      <c r="A12" s="20" t="s">
        <v>45</v>
      </c>
      <c r="G12" s="9"/>
    </row>
    <row r="13" spans="1:10">
      <c r="A13" s="20" t="s">
        <v>104</v>
      </c>
      <c r="G13" s="9"/>
    </row>
    <row r="14" spans="1:10">
      <c r="A14" s="20" t="s">
        <v>105</v>
      </c>
      <c r="C14" s="9"/>
      <c r="G14" s="9"/>
    </row>
    <row r="15" spans="1:10">
      <c r="A15" s="20" t="s">
        <v>131</v>
      </c>
      <c r="G15" s="9"/>
    </row>
    <row r="16" spans="1:10">
      <c r="A16" s="20" t="s">
        <v>132</v>
      </c>
      <c r="C16"/>
      <c r="G16" s="9"/>
    </row>
    <row r="17" spans="1:7">
      <c r="A17" s="20" t="s">
        <v>160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20" t="s">
        <v>146</v>
      </c>
      <c r="C20"/>
      <c r="G20" s="9"/>
    </row>
    <row r="21" spans="1:7">
      <c r="A21" s="20" t="s">
        <v>156</v>
      </c>
      <c r="C21"/>
      <c r="G21" s="9"/>
    </row>
    <row r="22" spans="1:7">
      <c r="A22" s="20" t="s">
        <v>127</v>
      </c>
      <c r="C22"/>
      <c r="G22" s="9"/>
    </row>
    <row r="23" spans="1:7">
      <c r="A23" s="20" t="s">
        <v>128</v>
      </c>
      <c r="C23"/>
      <c r="G23" s="9"/>
    </row>
    <row r="24" spans="1:7">
      <c r="A24" s="20" t="s">
        <v>129</v>
      </c>
      <c r="C24"/>
      <c r="G24" s="9"/>
    </row>
    <row r="25" spans="1:7" s="9" customFormat="1">
      <c r="A25" s="20" t="s">
        <v>130</v>
      </c>
      <c r="C25"/>
      <c r="F25" s="4"/>
    </row>
    <row r="26" spans="1:7">
      <c r="A26" s="20" t="s">
        <v>167</v>
      </c>
      <c r="C26"/>
      <c r="G26" s="9"/>
    </row>
    <row r="27" spans="1:7">
      <c r="A27" s="20" t="s">
        <v>169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20" t="s">
        <v>29</v>
      </c>
      <c r="C30"/>
      <c r="G30" s="9"/>
    </row>
    <row r="31" spans="1:7">
      <c r="A31" s="20" t="s">
        <v>119</v>
      </c>
      <c r="C31"/>
      <c r="G31" s="9"/>
    </row>
    <row r="32" spans="1:7">
      <c r="A32" s="20" t="s">
        <v>101</v>
      </c>
      <c r="C32"/>
      <c r="G32" s="9"/>
    </row>
    <row r="33" spans="1:7">
      <c r="A33" s="20" t="s">
        <v>107</v>
      </c>
      <c r="C33"/>
      <c r="G33" s="9"/>
    </row>
    <row r="34" spans="1:7">
      <c r="A34" s="20" t="s">
        <v>106</v>
      </c>
      <c r="C34"/>
      <c r="G34" s="9"/>
    </row>
    <row r="35" spans="1:7">
      <c r="A35" s="20" t="s">
        <v>46</v>
      </c>
      <c r="C35"/>
      <c r="G35" s="9"/>
    </row>
    <row r="36" spans="1:7">
      <c r="A36" s="20" t="s">
        <v>177</v>
      </c>
      <c r="C36"/>
    </row>
    <row r="37" spans="1:7">
      <c r="A37" s="20" t="s">
        <v>179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20" t="s">
        <v>35</v>
      </c>
      <c r="C40"/>
      <c r="G40" s="9"/>
    </row>
    <row r="41" spans="1:7">
      <c r="A41" s="20" t="s">
        <v>97</v>
      </c>
      <c r="C41"/>
      <c r="G41" s="9"/>
    </row>
    <row r="42" spans="1:7">
      <c r="A42" s="20" t="s">
        <v>108</v>
      </c>
      <c r="C42"/>
      <c r="G42" s="9"/>
    </row>
    <row r="43" spans="1:7">
      <c r="A43" s="24" t="s">
        <v>237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20" t="s">
        <v>98</v>
      </c>
      <c r="C46"/>
      <c r="G46" s="9"/>
    </row>
    <row r="47" spans="1:7">
      <c r="A47" s="20" t="s">
        <v>117</v>
      </c>
      <c r="C47"/>
      <c r="G47" s="9"/>
    </row>
    <row r="48" spans="1:7">
      <c r="A48" s="20" t="s">
        <v>134</v>
      </c>
      <c r="C48"/>
      <c r="G48" s="9"/>
    </row>
    <row r="49" spans="1:8">
      <c r="A49" s="20" t="s">
        <v>187</v>
      </c>
      <c r="C49"/>
      <c r="G49" s="9"/>
    </row>
    <row r="50" spans="1:8">
      <c r="A50" s="25" t="s">
        <v>251</v>
      </c>
      <c r="C50"/>
      <c r="G50" s="9"/>
    </row>
    <row r="51" spans="1:8">
      <c r="A51" s="25" t="s">
        <v>256</v>
      </c>
      <c r="C51"/>
      <c r="G51" s="9"/>
    </row>
    <row r="52" spans="1:8">
      <c r="A52" s="25"/>
      <c r="C52"/>
      <c r="G52" s="9"/>
    </row>
    <row r="53" spans="1:8">
      <c r="C53"/>
      <c r="G53" s="9"/>
    </row>
    <row r="54" spans="1:8">
      <c r="A54" s="20" t="s">
        <v>31</v>
      </c>
      <c r="C54"/>
      <c r="G54" s="9"/>
      <c r="H54" s="10"/>
    </row>
    <row r="55" spans="1:8">
      <c r="A55" s="20" t="s">
        <v>112</v>
      </c>
      <c r="C55"/>
      <c r="G55" s="9"/>
      <c r="H55" s="11"/>
    </row>
    <row r="56" spans="1:8">
      <c r="A56" s="20" t="s">
        <v>113</v>
      </c>
      <c r="C56"/>
      <c r="G56" s="9"/>
      <c r="H56" s="11"/>
    </row>
    <row r="57" spans="1:8">
      <c r="A57" s="26" t="s">
        <v>246</v>
      </c>
      <c r="C57"/>
      <c r="G57" s="9"/>
    </row>
    <row r="58" spans="1:8">
      <c r="A58" s="20" t="s">
        <v>133</v>
      </c>
      <c r="G58" s="9"/>
    </row>
    <row r="59" spans="1:8">
      <c r="A59" s="20" t="s">
        <v>194</v>
      </c>
      <c r="G59" s="9"/>
    </row>
    <row r="60" spans="1:8">
      <c r="A60" s="20" t="s">
        <v>115</v>
      </c>
      <c r="G60" s="9"/>
    </row>
    <row r="61" spans="1:8">
      <c r="A61" s="25" t="s">
        <v>242</v>
      </c>
      <c r="G61" s="9"/>
    </row>
    <row r="62" spans="1:8">
      <c r="A62" s="25" t="s">
        <v>244</v>
      </c>
      <c r="G62" s="9"/>
    </row>
    <row r="63" spans="1:8">
      <c r="A63" s="25" t="s">
        <v>251</v>
      </c>
      <c r="G63" s="9"/>
    </row>
    <row r="64" spans="1:8">
      <c r="A64" s="25" t="s">
        <v>254</v>
      </c>
      <c r="G64" s="9"/>
    </row>
    <row r="65" spans="1:7">
      <c r="A65" s="25"/>
      <c r="G65" s="9"/>
    </row>
    <row r="66" spans="1:7">
      <c r="G66" s="9"/>
    </row>
    <row r="67" spans="1:7">
      <c r="A67" s="20" t="s">
        <v>30</v>
      </c>
      <c r="G67" s="9"/>
    </row>
    <row r="68" spans="1:7">
      <c r="A68" s="20" t="s">
        <v>116</v>
      </c>
      <c r="C68"/>
      <c r="G68" s="9"/>
    </row>
    <row r="69" spans="1:7">
      <c r="A69" s="20" t="s">
        <v>109</v>
      </c>
      <c r="C69"/>
      <c r="G69" s="9"/>
    </row>
    <row r="70" spans="1:7">
      <c r="A70" s="20" t="s">
        <v>110</v>
      </c>
      <c r="G70" s="9"/>
    </row>
    <row r="71" spans="1:7">
      <c r="G71" s="9"/>
    </row>
    <row r="72" spans="1:7">
      <c r="G72" s="9"/>
    </row>
    <row r="73" spans="1:7">
      <c r="A73" s="20" t="s">
        <v>201</v>
      </c>
    </row>
    <row r="74" spans="1:7">
      <c r="A74" s="20" t="s">
        <v>47</v>
      </c>
    </row>
    <row r="75" spans="1:7">
      <c r="A75" s="20" t="s">
        <v>118</v>
      </c>
    </row>
    <row r="76" spans="1:7">
      <c r="A76" s="20" t="s">
        <v>126</v>
      </c>
      <c r="G76" s="9"/>
    </row>
    <row r="77" spans="1:7">
      <c r="A77" s="20" t="s">
        <v>206</v>
      </c>
      <c r="G77" s="9"/>
    </row>
    <row r="78" spans="1:7">
      <c r="A78" s="20" t="s">
        <v>208</v>
      </c>
      <c r="G78" s="9"/>
    </row>
    <row r="79" spans="1:7">
      <c r="A79" s="20" t="s">
        <v>210</v>
      </c>
    </row>
    <row r="80" spans="1:7">
      <c r="A80" s="20" t="s">
        <v>212</v>
      </c>
    </row>
    <row r="83" spans="1:1">
      <c r="A83" s="20" t="s">
        <v>120</v>
      </c>
    </row>
    <row r="84" spans="1:1">
      <c r="A84" s="20" t="s">
        <v>121</v>
      </c>
    </row>
    <row r="85" spans="1:1">
      <c r="A85" s="20" t="s">
        <v>122</v>
      </c>
    </row>
    <row r="86" spans="1:1">
      <c r="A86" s="20" t="s">
        <v>123</v>
      </c>
    </row>
    <row r="87" spans="1:1">
      <c r="A87" s="20" t="s">
        <v>124</v>
      </c>
    </row>
    <row r="88" spans="1:1">
      <c r="A88" s="20" t="s">
        <v>125</v>
      </c>
    </row>
    <row r="91" spans="1:1">
      <c r="A91" s="20" t="s">
        <v>220</v>
      </c>
    </row>
    <row r="92" spans="1:1">
      <c r="A92" s="20" t="s">
        <v>222</v>
      </c>
    </row>
    <row r="93" spans="1:1">
      <c r="A93" s="20" t="s">
        <v>224</v>
      </c>
    </row>
    <row r="94" spans="1:1">
      <c r="A94" s="20" t="s">
        <v>226</v>
      </c>
    </row>
    <row r="95" spans="1:1">
      <c r="A95" s="20" t="s">
        <v>228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4F3CC94E-0A07-46FF-BB95-526785FF50D9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C4208-2C4E-494B-9119-15E140562571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7273F-4BF0-404E-8B39-CCFBD510AC5D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1D1A2-05CF-4146-8806-237C7C91B28D}">
  <sheetPr codeName="HelpSheet"/>
  <dimension ref="A1:A15"/>
  <sheetViews>
    <sheetView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stage7_card10</vt:lpstr>
      <vt:lpstr>#ALIAS</vt:lpstr>
      <vt:lpstr>#DEFINE</vt:lpstr>
      <vt:lpstr>#OPTION</vt:lpstr>
      <vt:lpstr>#PARAM</vt:lpstr>
      <vt:lpstr>#OUTPUT</vt:lpstr>
      <vt:lpstr>#使用說明</vt:lpstr>
      <vt:lpstr>'#OPTION'!_OPTION_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2025-04-24T12:33:01Z</dcterms:modified>
</cp:coreProperties>
</file>