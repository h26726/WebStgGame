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3567D05D-B8E8-4034-877A-F35EADC49EC2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card1shot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externalReferences>
    <externalReference r:id="rId8"/>
  </externalReferences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E571" i="1" l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D476" i="1"/>
  <c r="M477" i="1" s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M461" i="1"/>
  <c r="E461" i="1"/>
  <c r="D460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D230" i="1"/>
  <c r="M470" i="1" l="1"/>
  <c r="B476" i="1"/>
  <c r="C476" i="1" s="1"/>
  <c r="D508" i="1"/>
  <c r="M486" i="1"/>
  <c r="D524" i="1"/>
  <c r="B460" i="1"/>
  <c r="C460" i="1" s="1"/>
  <c r="D492" i="1"/>
  <c r="D540" i="1" s="1"/>
  <c r="M231" i="1"/>
  <c r="D251" i="1"/>
  <c r="B230" i="1"/>
  <c r="C230" i="1" s="1"/>
  <c r="M241" i="1"/>
  <c r="M550" i="1" l="1"/>
  <c r="B540" i="1"/>
  <c r="C540" i="1" s="1"/>
  <c r="M541" i="1"/>
  <c r="M525" i="1"/>
  <c r="M534" i="1"/>
  <c r="B524" i="1"/>
  <c r="C524" i="1" s="1"/>
  <c r="D556" i="1"/>
  <c r="B508" i="1"/>
  <c r="C508" i="1" s="1"/>
  <c r="M509" i="1"/>
  <c r="M518" i="1"/>
  <c r="M502" i="1"/>
  <c r="B492" i="1"/>
  <c r="C492" i="1"/>
  <c r="M493" i="1"/>
  <c r="D293" i="1"/>
  <c r="M252" i="1"/>
  <c r="B251" i="1"/>
  <c r="M262" i="1"/>
  <c r="C251" i="1"/>
  <c r="M246" i="1"/>
  <c r="M245" i="1"/>
  <c r="D272" i="1"/>
  <c r="B556" i="1" l="1"/>
  <c r="C556" i="1" s="1"/>
  <c r="M557" i="1"/>
  <c r="M566" i="1"/>
  <c r="M294" i="1"/>
  <c r="B293" i="1"/>
  <c r="M304" i="1"/>
  <c r="C293" i="1"/>
  <c r="D314" i="1"/>
  <c r="M283" i="1"/>
  <c r="B272" i="1"/>
  <c r="C272" i="1" s="1"/>
  <c r="M273" i="1"/>
  <c r="M267" i="1"/>
  <c r="M266" i="1"/>
  <c r="C314" i="1" l="1"/>
  <c r="B314" i="1"/>
  <c r="M315" i="1"/>
  <c r="M325" i="1"/>
  <c r="D377" i="1"/>
  <c r="D356" i="1"/>
  <c r="M287" i="1"/>
  <c r="M288" i="1"/>
  <c r="D335" i="1"/>
  <c r="M309" i="1"/>
  <c r="M308" i="1"/>
  <c r="C356" i="1" l="1"/>
  <c r="B356" i="1"/>
  <c r="M357" i="1"/>
  <c r="M367" i="1"/>
  <c r="M336" i="1"/>
  <c r="M346" i="1"/>
  <c r="C335" i="1"/>
  <c r="B335" i="1"/>
  <c r="D398" i="1"/>
  <c r="M329" i="1"/>
  <c r="M330" i="1"/>
  <c r="M378" i="1"/>
  <c r="M388" i="1"/>
  <c r="B377" i="1"/>
  <c r="C377" i="1" s="1"/>
  <c r="M393" i="1" l="1"/>
  <c r="M392" i="1"/>
  <c r="B398" i="1"/>
  <c r="C398" i="1" s="1"/>
  <c r="M399" i="1"/>
  <c r="M409" i="1"/>
  <c r="M371" i="1"/>
  <c r="M372" i="1"/>
  <c r="M351" i="1"/>
  <c r="M350" i="1"/>
  <c r="M413" i="1" l="1"/>
  <c r="M414" i="1"/>
  <c r="M210" i="1" l="1"/>
  <c r="E165" i="1" l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M198" i="1"/>
  <c r="M191" i="1"/>
  <c r="M199" i="1" s="1"/>
  <c r="M192" i="1"/>
  <c r="M23" i="1"/>
  <c r="M29" i="1"/>
  <c r="M22" i="1"/>
  <c r="M30" i="1" s="1"/>
  <c r="E13" i="1" l="1"/>
  <c r="E12" i="1"/>
  <c r="D444" i="1" l="1"/>
  <c r="A443" i="1"/>
  <c r="M225" i="1"/>
  <c r="D209" i="1"/>
  <c r="B209" i="1" s="1"/>
  <c r="C209" i="1" s="1"/>
  <c r="A208" i="1"/>
  <c r="D38" i="1"/>
  <c r="A37" i="1"/>
  <c r="D54" i="1" l="1"/>
  <c r="D70" i="1" s="1"/>
  <c r="M39" i="1"/>
  <c r="B444" i="1"/>
  <c r="C444" i="1" s="1"/>
  <c r="M445" i="1"/>
  <c r="B38" i="1"/>
  <c r="C38" i="1" s="1"/>
  <c r="M48" i="1" s="1"/>
  <c r="M454" i="1"/>
  <c r="M224" i="1"/>
  <c r="M220" i="1"/>
  <c r="E459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M71" i="1" l="1"/>
  <c r="B70" i="1"/>
  <c r="C70" i="1" s="1"/>
  <c r="M80" i="1" s="1"/>
  <c r="D86" i="1"/>
  <c r="D118" i="1"/>
  <c r="B118" i="1" s="1"/>
  <c r="C118" i="1" s="1"/>
  <c r="M128" i="1" s="1"/>
  <c r="D134" i="1"/>
  <c r="B134" i="1" s="1"/>
  <c r="D102" i="1"/>
  <c r="B54" i="1"/>
  <c r="C54" i="1" s="1"/>
  <c r="M64" i="1" s="1"/>
  <c r="M55" i="1"/>
  <c r="M119" i="1" l="1"/>
  <c r="M103" i="1"/>
  <c r="B102" i="1"/>
  <c r="C102" i="1" s="1"/>
  <c r="M112" i="1" s="1"/>
  <c r="C134" i="1"/>
  <c r="M144" i="1" s="1"/>
  <c r="B86" i="1"/>
  <c r="C86" i="1" s="1"/>
  <c r="M96" i="1" s="1"/>
  <c r="M87" i="1"/>
  <c r="D150" i="1"/>
  <c r="M135" i="1"/>
  <c r="B150" i="1"/>
  <c r="C150" i="1" s="1"/>
  <c r="M160" i="1" s="1"/>
  <c r="M151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22" i="1"/>
  <c r="E21" i="1"/>
  <c r="E223" i="1"/>
  <c r="E224" i="1"/>
  <c r="E222" i="1"/>
  <c r="E225" i="1"/>
  <c r="E226" i="1"/>
  <c r="E227" i="1"/>
  <c r="E228" i="1"/>
  <c r="E229" i="1"/>
  <c r="E183" i="1"/>
  <c r="E182" i="1"/>
  <c r="E187" i="1"/>
  <c r="E186" i="1"/>
  <c r="E181" i="1"/>
  <c r="E180" i="1"/>
  <c r="E179" i="1"/>
  <c r="E178" i="1"/>
  <c r="E176" i="1"/>
  <c r="E177" i="1"/>
  <c r="E184" i="1"/>
  <c r="M428" i="1" l="1"/>
  <c r="M436" i="1" s="1"/>
  <c r="M429" i="1"/>
  <c r="M435" i="1" s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185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175" i="1"/>
  <c r="E18" i="1"/>
  <c r="E11" i="1"/>
  <c r="E14" i="1"/>
  <c r="E15" i="1"/>
  <c r="E19" i="1"/>
  <c r="E20" i="1"/>
  <c r="E22" i="1"/>
  <c r="E23" i="1"/>
  <c r="E24" i="1"/>
  <c r="E25" i="1"/>
  <c r="E26" i="1"/>
  <c r="E27" i="1"/>
  <c r="E28" i="1"/>
  <c r="E29" i="1"/>
  <c r="E30" i="1"/>
  <c r="E31" i="1"/>
  <c r="E32" i="1"/>
  <c r="E33" i="1"/>
  <c r="E49" i="1" l="1"/>
  <c r="E45" i="1"/>
  <c r="E53" i="1"/>
  <c r="E52" i="1" l="1"/>
  <c r="E47" i="1"/>
  <c r="E51" i="1"/>
  <c r="E40" i="1"/>
  <c r="E41" i="1"/>
  <c r="E42" i="1"/>
  <c r="E43" i="1"/>
  <c r="E44" i="1"/>
  <c r="E46" i="1"/>
  <c r="E48" i="1"/>
  <c r="E50" i="1"/>
  <c r="E39" i="1"/>
</calcChain>
</file>

<file path=xl/sharedStrings.xml><?xml version="1.0" encoding="utf-8"?>
<sst xmlns="http://schemas.openxmlformats.org/spreadsheetml/2006/main" count="1123" uniqueCount="264">
  <si>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</si>
  <si>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</si>
  <si>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</si>
  <si>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</si>
  <si>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</si>
  <si>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</si>
  <si>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</si>
  <si>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</si>
  <si>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</si>
  <si>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</si>
  <si>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</si>
  <si>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</si>
  <si>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</si>
  <si>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</si>
  <si>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</si>
  <si>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</si>
  <si>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</si>
  <si>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</si>
  <si>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</si>
  <si>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</si>
  <si>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</si>
  <si>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</si>
  <si>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</si>
  <si>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</si>
  <si>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</si>
  <si>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</si>
  <si>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</si>
  <si>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</si>
  <si>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</si>
  <si>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</si>
  <si>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</si>
  <si>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</si>
  <si>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</si>
  <si>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</si>
  <si>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</si>
  <si>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</si>
  <si>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</si>
  <si>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</si>
  <si>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</si>
  <si>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</si>
  <si>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</si>
  <si>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</si>
  <si>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</si>
  <si>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</si>
  <si>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</si>
  <si>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</si>
  <si>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</si>
  <si>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</si>
  <si>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</si>
  <si>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</si>
  <si>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</si>
  <si>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</si>
  <si>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</si>
  <si>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</si>
  <si>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</si>
  <si>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</si>
  <si>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</si>
  <si>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</si>
  <si>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</si>
  <si>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</si>
  <si>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</si>
  <si>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</si>
  <si>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</si>
  <si>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</si>
  <si>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</si>
  <si>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</si>
  <si>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</si>
  <si>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</si>
  <si>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</si>
  <si>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</si>
  <si>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</si>
  <si>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</si>
  <si>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</si>
  <si>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</si>
  <si>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</si>
  <si>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</si>
  <si>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</si>
  <si>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</si>
  <si>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</si>
  <si>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</si>
  <si>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</si>
  <si>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</si>
  <si>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</si>
  <si>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</si>
  <si>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</si>
  <si>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</si>
  <si>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</si>
  <si>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</si>
  <si>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</si>
  <si>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</si>
  <si>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</si>
  <si>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</si>
  <si>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</si>
  <si>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</si>
  <si>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</si>
  <si>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</si>
  <si>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</si>
  <si>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</si>
  <si>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</si>
  <si>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</si>
  <si>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時位時間</t>
    <phoneticPr fontId="2" type="noConversion"/>
  </si>
  <si>
    <t>時位位置</t>
    <phoneticPr fontId="2" type="noConversion"/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</si>
  <si>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</si>
  <si>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</si>
  <si>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</si>
  <si>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</si>
  <si>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</si>
  <si>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</si>
  <si>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</si>
  <si>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</si>
  <si>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</si>
  <si>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</si>
  <si>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</si>
  <si>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</si>
  <si>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</si>
  <si>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</si>
  <si>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</si>
  <si>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</si>
  <si>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</si>
  <si>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</si>
  <si>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</si>
  <si>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</si>
  <si>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</si>
  <si>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</si>
  <si>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</si>
  <si>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</si>
  <si>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</si>
  <si>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</si>
  <si>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</si>
  <si>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</si>
  <si>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</si>
  <si>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</si>
  <si>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</si>
  <si>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</si>
  <si>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</si>
  <si>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</si>
  <si>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</si>
  <si>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</si>
  <si>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</si>
  <si>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</si>
  <si>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</si>
  <si>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</si>
  <si>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</si>
  <si>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</si>
  <si>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</si>
  <si>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</si>
  <si>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</si>
  <si>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</si>
  <si>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</si>
  <si>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移位置</t>
    <phoneticPr fontId="2" type="noConversion"/>
  </si>
  <si>
    <t>EnemyShot3</t>
  </si>
  <si>
    <t>Shot3_blue</t>
    <phoneticPr fontId="2" type="noConversion"/>
  </si>
  <si>
    <t>回收距離</t>
    <phoneticPr fontId="2" type="noConversion"/>
  </si>
  <si>
    <t>加速度</t>
    <phoneticPr fontId="2" type="noConversion"/>
  </si>
  <si>
    <t>Empty</t>
    <phoneticPr fontId="2" type="noConversion"/>
  </si>
  <si>
    <t>Empty</t>
  </si>
  <si>
    <t>旋轉是移動角度</t>
    <phoneticPr fontId="2" type="noConversion"/>
  </si>
  <si>
    <t>回收距離</t>
    <phoneticPr fontId="2" type="noConversion"/>
  </si>
  <si>
    <t>Shot3_blue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</si>
  <si>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</si>
  <si>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</si>
  <si>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</si>
  <si>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</si>
  <si>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</si>
  <si>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</si>
  <si>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</si>
  <si>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</si>
  <si>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</si>
  <si>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</si>
  <si>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</si>
  <si>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</si>
  <si>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</si>
  <si>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</si>
  <si>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</si>
  <si>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</si>
  <si>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</si>
  <si>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</si>
  <si>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</si>
  <si>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</si>
  <si>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</si>
  <si>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</si>
  <si>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</si>
  <si>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</si>
  <si>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</si>
  <si>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</si>
  <si>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</si>
  <si>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</si>
  <si>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</si>
  <si>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</si>
  <si>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</si>
  <si>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</si>
  <si>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</si>
  <si>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</si>
  <si>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</si>
  <si>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</si>
  <si>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</si>
  <si>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</si>
  <si>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</si>
  <si>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</si>
  <si>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</si>
  <si>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</si>
  <si>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</si>
  <si>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</si>
  <si>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</si>
  <si>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</si>
  <si>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</si>
  <si>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</si>
  <si>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</si>
  <si>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</si>
  <si>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</si>
  <si>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</si>
  <si>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</si>
  <si>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</si>
  <si>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</si>
  <si>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</si>
  <si>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</si>
  <si>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</si>
  <si>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</si>
  <si>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</si>
  <si>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</si>
  <si>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</si>
  <si>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</si>
  <si>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</si>
  <si>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</si>
  <si>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</si>
  <si>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</si>
  <si>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</si>
  <si>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</si>
  <si>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</si>
  <si>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</si>
  <si>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</si>
  <si>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</si>
  <si>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</si>
  <si>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</si>
  <si>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</si>
  <si>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</si>
  <si>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</si>
  <si>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</si>
  <si>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</si>
  <si>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</si>
  <si>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</si>
  <si>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</si>
  <si>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</si>
  <si>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EnemyShot1</t>
  </si>
  <si>
    <t>Shot1_bluegreen</t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</si>
  <si>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</si>
  <si>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</si>
  <si>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</si>
  <si>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</si>
  <si>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</si>
  <si>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</si>
  <si>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</si>
  <si>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11400</t>
    <phoneticPr fontId="2" type="noConversion"/>
  </si>
  <si>
    <t>啟動依ID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</si>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</sst>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10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571"/>
  <sheetViews>
    <sheetView zoomScale="115" zoomScaleNormal="115" workbookViewId="0">
      <pane ySplit="1" topLeftCell="A577" activePane="bottomLeft" state="frozen"/>
      <selection pane="bottomLeft" activeCell="A444" sqref="A444:M571"/>
    </sheetView>
  </sheetViews>
  <sheetFormatPr defaultRowHeight="19.5"/>
  <cols>
    <col min="1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23"/>
      <c r="B1" s="23"/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56">
      <c r="E11" s="22">
        <f t="shared" ref="E11:E33" si="0">ROW(E11)</f>
        <v>11</v>
      </c>
      <c r="F11" s="9" t="s">
        <v>93</v>
      </c>
      <c r="G11" s="22">
        <v>1</v>
      </c>
      <c r="J11" s="9" t="s">
        <v>252</v>
      </c>
      <c r="M11" s="22">
        <v>11400</v>
      </c>
      <c r="N11" s="22"/>
    </row>
    <row r="12" spans="1:56">
      <c r="E12" s="22">
        <f t="shared" si="0"/>
        <v>12</v>
      </c>
      <c r="F12" s="9" t="s">
        <v>253</v>
      </c>
      <c r="M12" s="22">
        <v>113019</v>
      </c>
      <c r="N12" s="22"/>
    </row>
    <row r="13" spans="1:56">
      <c r="E13" s="22">
        <f t="shared" si="0"/>
        <v>13</v>
      </c>
      <c r="F13" s="9" t="s">
        <v>131</v>
      </c>
      <c r="M13" s="22">
        <v>240</v>
      </c>
      <c r="N13" s="22"/>
    </row>
    <row r="14" spans="1:56">
      <c r="E14" s="22">
        <f t="shared" si="0"/>
        <v>14</v>
      </c>
      <c r="F14" s="9" t="s">
        <v>146</v>
      </c>
      <c r="M14" s="22">
        <v>113019</v>
      </c>
      <c r="N14" s="22"/>
    </row>
    <row r="15" spans="1:56">
      <c r="E15" s="22">
        <f t="shared" si="0"/>
        <v>15</v>
      </c>
      <c r="F15" s="9" t="s">
        <v>131</v>
      </c>
      <c r="M15" s="22">
        <v>120</v>
      </c>
      <c r="N15" s="22"/>
    </row>
    <row r="16" spans="1:56">
      <c r="F16" s="9" t="s">
        <v>146</v>
      </c>
      <c r="M16" s="22">
        <v>113019</v>
      </c>
      <c r="N16" s="22"/>
    </row>
    <row r="17" spans="5:14">
      <c r="F17" s="9" t="s">
        <v>131</v>
      </c>
      <c r="M17" s="22">
        <v>60</v>
      </c>
      <c r="N17" s="22"/>
    </row>
    <row r="18" spans="5:14">
      <c r="E18" s="22">
        <f t="shared" si="0"/>
        <v>18</v>
      </c>
      <c r="F18" s="9" t="s">
        <v>96</v>
      </c>
      <c r="M18" s="22" t="s">
        <v>155</v>
      </c>
      <c r="N18" s="22"/>
    </row>
    <row r="19" spans="5:14">
      <c r="E19" s="22">
        <f t="shared" si="0"/>
        <v>19</v>
      </c>
      <c r="F19" s="9" t="s">
        <v>149</v>
      </c>
      <c r="K19" s="9" t="s">
        <v>141</v>
      </c>
      <c r="M19" s="22">
        <v>2</v>
      </c>
      <c r="N19" s="22"/>
    </row>
    <row r="20" spans="5:14">
      <c r="E20" s="22">
        <f t="shared" si="0"/>
        <v>20</v>
      </c>
      <c r="F20" s="9" t="s">
        <v>148</v>
      </c>
      <c r="M20" s="22">
        <v>0</v>
      </c>
      <c r="N20" s="22"/>
    </row>
    <row r="21" spans="5:14">
      <c r="E21" s="22">
        <f t="shared" si="0"/>
        <v>21</v>
      </c>
      <c r="F21" s="9" t="s">
        <v>129</v>
      </c>
      <c r="M21" s="22">
        <v>100</v>
      </c>
      <c r="N21" s="22"/>
    </row>
    <row r="22" spans="5:14">
      <c r="E22" s="22">
        <f t="shared" si="0"/>
        <v>22</v>
      </c>
      <c r="F22" s="9" t="s">
        <v>105</v>
      </c>
      <c r="M22" s="22">
        <f>M11*10+1</f>
        <v>114001</v>
      </c>
      <c r="N22" s="22"/>
    </row>
    <row r="23" spans="5:14">
      <c r="E23" s="22">
        <f t="shared" si="0"/>
        <v>23</v>
      </c>
      <c r="F23" s="9" t="s">
        <v>146</v>
      </c>
      <c r="M23" s="22">
        <f>M11</f>
        <v>11400</v>
      </c>
      <c r="N23" s="22"/>
    </row>
    <row r="24" spans="5:14">
      <c r="E24" s="22">
        <f t="shared" si="0"/>
        <v>24</v>
      </c>
      <c r="F24" s="9" t="s">
        <v>131</v>
      </c>
      <c r="M24" s="22">
        <v>0</v>
      </c>
      <c r="N24" s="22"/>
    </row>
    <row r="25" spans="5:14">
      <c r="E25" s="22">
        <f t="shared" si="0"/>
        <v>25</v>
      </c>
      <c r="F25" s="9" t="s">
        <v>100</v>
      </c>
      <c r="M25" s="22">
        <v>180</v>
      </c>
      <c r="N25" s="22"/>
    </row>
    <row r="26" spans="5:14">
      <c r="E26" s="22">
        <f t="shared" si="0"/>
        <v>26</v>
      </c>
      <c r="F26" s="9" t="s">
        <v>102</v>
      </c>
      <c r="M26" s="22">
        <v>0</v>
      </c>
      <c r="N26" s="22"/>
    </row>
    <row r="27" spans="5:14">
      <c r="E27" s="22">
        <f t="shared" si="0"/>
        <v>27</v>
      </c>
      <c r="F27" s="9" t="s">
        <v>101</v>
      </c>
      <c r="K27" s="9" t="s">
        <v>141</v>
      </c>
      <c r="M27" s="22">
        <v>3</v>
      </c>
      <c r="N27" s="22"/>
    </row>
    <row r="28" spans="5:14">
      <c r="E28" s="22">
        <f t="shared" si="0"/>
        <v>28</v>
      </c>
      <c r="F28" s="9" t="s">
        <v>148</v>
      </c>
      <c r="M28" s="22">
        <v>180</v>
      </c>
      <c r="N28" s="22"/>
    </row>
    <row r="29" spans="5:14">
      <c r="E29" s="22">
        <f t="shared" si="0"/>
        <v>29</v>
      </c>
      <c r="F29" s="9" t="s">
        <v>105</v>
      </c>
      <c r="M29" s="22">
        <f>M11*10+2</f>
        <v>114002</v>
      </c>
      <c r="N29" s="22"/>
    </row>
    <row r="30" spans="5:14">
      <c r="E30" s="22">
        <f t="shared" si="0"/>
        <v>30</v>
      </c>
      <c r="F30" s="9" t="s">
        <v>146</v>
      </c>
      <c r="M30" s="22">
        <f>M22</f>
        <v>114001</v>
      </c>
      <c r="N30" s="22"/>
    </row>
    <row r="31" spans="5:14">
      <c r="E31" s="22">
        <f t="shared" si="0"/>
        <v>31</v>
      </c>
      <c r="F31" s="9" t="s">
        <v>131</v>
      </c>
      <c r="M31" s="22">
        <v>0</v>
      </c>
      <c r="N31" s="22"/>
    </row>
    <row r="32" spans="5:14">
      <c r="E32" s="22">
        <f t="shared" si="0"/>
        <v>32</v>
      </c>
      <c r="F32" s="9" t="s">
        <v>30</v>
      </c>
      <c r="M32" s="22">
        <v>0</v>
      </c>
      <c r="N32" s="22"/>
    </row>
    <row r="33" spans="1:14">
      <c r="E33" s="22">
        <f t="shared" si="0"/>
        <v>33</v>
      </c>
      <c r="F33" s="9" t="s">
        <v>98</v>
      </c>
      <c r="M33" s="22">
        <v>900</v>
      </c>
      <c r="N33" s="22"/>
    </row>
    <row r="37" spans="1:14">
      <c r="A37" s="22">
        <f>G39*H39</f>
        <v>8</v>
      </c>
      <c r="B37" s="9"/>
      <c r="C37" s="9"/>
      <c r="D37" s="9"/>
    </row>
    <row r="38" spans="1:14">
      <c r="A38" s="9" t="s">
        <v>242</v>
      </c>
      <c r="B38" s="22">
        <f>QUOTIENT( D38-1,G39)+1</f>
        <v>1</v>
      </c>
      <c r="C38" s="22">
        <f>D38-(B38-1)*G39</f>
        <v>1</v>
      </c>
      <c r="D38" s="22">
        <f>COUNT($D37:$D$37)+1</f>
        <v>1</v>
      </c>
    </row>
    <row r="39" spans="1:14">
      <c r="E39" s="22">
        <f t="shared" ref="E39:E101" si="1">ROW(E39)</f>
        <v>39</v>
      </c>
      <c r="F39" s="9" t="s">
        <v>93</v>
      </c>
      <c r="G39" s="22">
        <v>8</v>
      </c>
      <c r="H39" s="22">
        <v>1</v>
      </c>
      <c r="J39" s="22">
        <v>11400</v>
      </c>
      <c r="M39" s="22">
        <f>J39+D38</f>
        <v>11401</v>
      </c>
    </row>
    <row r="40" spans="1:14">
      <c r="E40" s="22">
        <f t="shared" si="1"/>
        <v>40</v>
      </c>
      <c r="F40" s="9" t="s">
        <v>146</v>
      </c>
      <c r="M40" s="22">
        <v>11400</v>
      </c>
    </row>
    <row r="41" spans="1:14">
      <c r="E41" s="22">
        <f t="shared" si="1"/>
        <v>41</v>
      </c>
      <c r="F41" s="9" t="s">
        <v>131</v>
      </c>
      <c r="M41" s="22">
        <v>0</v>
      </c>
    </row>
    <row r="42" spans="1:14">
      <c r="E42" s="22">
        <f t="shared" si="1"/>
        <v>42</v>
      </c>
      <c r="F42" s="9" t="s">
        <v>96</v>
      </c>
      <c r="M42" s="22" t="s">
        <v>150</v>
      </c>
    </row>
    <row r="43" spans="1:14">
      <c r="E43" s="22">
        <f t="shared" si="1"/>
        <v>43</v>
      </c>
      <c r="F43" s="9" t="s">
        <v>122</v>
      </c>
      <c r="M43" s="22" t="s">
        <v>158</v>
      </c>
    </row>
    <row r="44" spans="1:14">
      <c r="E44" s="22">
        <f t="shared" si="1"/>
        <v>44</v>
      </c>
      <c r="F44" s="9" t="s">
        <v>149</v>
      </c>
      <c r="K44" s="9" t="s">
        <v>141</v>
      </c>
      <c r="M44" s="22">
        <v>2</v>
      </c>
    </row>
    <row r="45" spans="1:14">
      <c r="E45" s="22">
        <f t="shared" si="1"/>
        <v>45</v>
      </c>
      <c r="F45" s="9" t="s">
        <v>113</v>
      </c>
      <c r="M45" s="22">
        <v>1.5</v>
      </c>
    </row>
    <row r="46" spans="1:14">
      <c r="E46" s="22">
        <f t="shared" si="1"/>
        <v>46</v>
      </c>
      <c r="F46" s="9" t="s">
        <v>30</v>
      </c>
      <c r="M46" s="22">
        <v>1.5</v>
      </c>
    </row>
    <row r="47" spans="1:14">
      <c r="E47" s="22">
        <f t="shared" si="1"/>
        <v>47</v>
      </c>
      <c r="F47" s="9" t="s">
        <v>153</v>
      </c>
      <c r="M47" s="22">
        <v>0.5</v>
      </c>
    </row>
    <row r="48" spans="1:14">
      <c r="E48" s="22">
        <f t="shared" si="1"/>
        <v>48</v>
      </c>
      <c r="F48" s="9" t="s">
        <v>31</v>
      </c>
      <c r="G48" s="22">
        <v>45</v>
      </c>
      <c r="L48" s="9" t="s">
        <v>138</v>
      </c>
      <c r="M48" s="22">
        <f>$G$48*C38</f>
        <v>45</v>
      </c>
    </row>
    <row r="49" spans="1:13">
      <c r="E49" s="22">
        <f t="shared" si="1"/>
        <v>49</v>
      </c>
      <c r="F49" s="9" t="s">
        <v>115</v>
      </c>
      <c r="L49" s="9" t="s">
        <v>138</v>
      </c>
      <c r="M49" s="22">
        <v>85.94</v>
      </c>
    </row>
    <row r="50" spans="1:13">
      <c r="E50" s="22">
        <f t="shared" si="1"/>
        <v>50</v>
      </c>
      <c r="F50" s="9" t="s">
        <v>120</v>
      </c>
      <c r="K50" s="9" t="s">
        <v>141</v>
      </c>
      <c r="M50" s="22">
        <v>2</v>
      </c>
    </row>
    <row r="51" spans="1:13">
      <c r="E51" s="22">
        <f t="shared" si="1"/>
        <v>51</v>
      </c>
      <c r="F51" s="9" t="s">
        <v>152</v>
      </c>
      <c r="M51" s="22">
        <v>10000</v>
      </c>
    </row>
    <row r="52" spans="1:13">
      <c r="E52" s="22">
        <f t="shared" si="1"/>
        <v>52</v>
      </c>
      <c r="F52" s="9" t="s">
        <v>111</v>
      </c>
      <c r="M52" s="22">
        <v>250</v>
      </c>
    </row>
    <row r="53" spans="1:13">
      <c r="E53" s="22">
        <f t="shared" si="1"/>
        <v>53</v>
      </c>
      <c r="F53" s="9" t="s">
        <v>121</v>
      </c>
      <c r="M53" s="22" t="b">
        <v>1</v>
      </c>
    </row>
    <row r="54" spans="1:13">
      <c r="A54" s="22" t="s">
        <v>242</v>
      </c>
      <c r="B54" s="22">
        <f t="shared" ref="B54" si="2">QUOTIENT( D54-1,G55)+1</f>
        <v>1</v>
      </c>
      <c r="C54" s="22">
        <f t="shared" ref="C54" si="3">D54-(B54-1)*G55</f>
        <v>2</v>
      </c>
      <c r="D54" s="22">
        <f>COUNT($D$37:$D53)+1</f>
        <v>2</v>
      </c>
    </row>
    <row r="55" spans="1:13">
      <c r="E55" s="22">
        <f t="shared" si="1"/>
        <v>55</v>
      </c>
      <c r="F55" s="9" t="s">
        <v>93</v>
      </c>
      <c r="G55" s="22">
        <v>8</v>
      </c>
      <c r="H55" s="22">
        <v>1</v>
      </c>
      <c r="J55" s="9">
        <v>11400</v>
      </c>
      <c r="M55" s="22">
        <f t="shared" ref="M55" si="4">J55+D54</f>
        <v>11402</v>
      </c>
    </row>
    <row r="56" spans="1:13">
      <c r="E56" s="22">
        <f t="shared" si="1"/>
        <v>56</v>
      </c>
      <c r="F56" s="9" t="s">
        <v>146</v>
      </c>
      <c r="M56" s="22">
        <v>11400</v>
      </c>
    </row>
    <row r="57" spans="1:13">
      <c r="E57" s="22">
        <f t="shared" si="1"/>
        <v>57</v>
      </c>
      <c r="F57" s="9" t="s">
        <v>131</v>
      </c>
      <c r="M57" s="22">
        <v>0</v>
      </c>
    </row>
    <row r="58" spans="1:13">
      <c r="E58" s="22">
        <f t="shared" si="1"/>
        <v>58</v>
      </c>
      <c r="F58" s="9" t="s">
        <v>29</v>
      </c>
      <c r="M58" s="22" t="s">
        <v>150</v>
      </c>
    </row>
    <row r="59" spans="1:13">
      <c r="E59" s="22">
        <f t="shared" si="1"/>
        <v>59</v>
      </c>
      <c r="F59" s="9" t="s">
        <v>122</v>
      </c>
      <c r="M59" s="22" t="s">
        <v>158</v>
      </c>
    </row>
    <row r="60" spans="1:13">
      <c r="E60" s="22">
        <f t="shared" si="1"/>
        <v>60</v>
      </c>
      <c r="F60" s="9" t="s">
        <v>99</v>
      </c>
      <c r="K60" s="9" t="s">
        <v>141</v>
      </c>
      <c r="M60" s="22">
        <v>2</v>
      </c>
    </row>
    <row r="61" spans="1:13">
      <c r="E61" s="22">
        <f t="shared" si="1"/>
        <v>61</v>
      </c>
      <c r="F61" s="9" t="s">
        <v>113</v>
      </c>
      <c r="M61" s="22">
        <v>1.5</v>
      </c>
    </row>
    <row r="62" spans="1:13">
      <c r="E62" s="22">
        <f t="shared" si="1"/>
        <v>62</v>
      </c>
      <c r="F62" s="9" t="s">
        <v>30</v>
      </c>
      <c r="M62" s="22">
        <v>1.5</v>
      </c>
    </row>
    <row r="63" spans="1:13">
      <c r="E63" s="22">
        <f t="shared" si="1"/>
        <v>63</v>
      </c>
      <c r="F63" s="9" t="s">
        <v>119</v>
      </c>
      <c r="M63" s="22">
        <v>0.5</v>
      </c>
    </row>
    <row r="64" spans="1:13">
      <c r="E64" s="22">
        <f t="shared" si="1"/>
        <v>64</v>
      </c>
      <c r="F64" s="9" t="s">
        <v>31</v>
      </c>
      <c r="G64" s="22">
        <v>45</v>
      </c>
      <c r="L64" s="9" t="s">
        <v>138</v>
      </c>
      <c r="M64" s="22">
        <f t="shared" ref="M64" si="5">$G$48*C54</f>
        <v>90</v>
      </c>
    </row>
    <row r="65" spans="1:13">
      <c r="E65" s="22">
        <f t="shared" si="1"/>
        <v>65</v>
      </c>
      <c r="F65" s="9" t="s">
        <v>115</v>
      </c>
      <c r="L65" s="9" t="s">
        <v>138</v>
      </c>
      <c r="M65" s="22">
        <v>85.94</v>
      </c>
    </row>
    <row r="66" spans="1:13">
      <c r="E66" s="22">
        <f t="shared" si="1"/>
        <v>66</v>
      </c>
      <c r="F66" s="9" t="s">
        <v>120</v>
      </c>
      <c r="K66" s="9" t="s">
        <v>141</v>
      </c>
      <c r="M66" s="22">
        <v>2</v>
      </c>
    </row>
    <row r="67" spans="1:13">
      <c r="E67" s="22">
        <f t="shared" si="1"/>
        <v>67</v>
      </c>
      <c r="F67" s="9" t="s">
        <v>129</v>
      </c>
      <c r="M67" s="22">
        <v>10000</v>
      </c>
    </row>
    <row r="68" spans="1:13">
      <c r="E68" s="22">
        <f t="shared" si="1"/>
        <v>68</v>
      </c>
      <c r="F68" s="9" t="s">
        <v>111</v>
      </c>
      <c r="M68" s="22">
        <v>250</v>
      </c>
    </row>
    <row r="69" spans="1:13">
      <c r="E69" s="22">
        <f t="shared" si="1"/>
        <v>69</v>
      </c>
      <c r="F69" s="9" t="s">
        <v>121</v>
      </c>
      <c r="M69" s="22" t="b">
        <v>1</v>
      </c>
    </row>
    <row r="70" spans="1:13">
      <c r="A70" s="22" t="s">
        <v>242</v>
      </c>
      <c r="B70" s="22">
        <f t="shared" ref="B70" si="6">QUOTIENT( D70-1,G71)+1</f>
        <v>1</v>
      </c>
      <c r="C70" s="22">
        <f t="shared" ref="C70" si="7">D70-(B70-1)*G71</f>
        <v>3</v>
      </c>
      <c r="D70" s="22">
        <f>COUNT($D$37:$D69)+1</f>
        <v>3</v>
      </c>
    </row>
    <row r="71" spans="1:13">
      <c r="E71" s="22">
        <f t="shared" si="1"/>
        <v>71</v>
      </c>
      <c r="F71" s="9" t="s">
        <v>93</v>
      </c>
      <c r="G71" s="22">
        <v>8</v>
      </c>
      <c r="H71" s="22">
        <v>1</v>
      </c>
      <c r="J71" s="9">
        <v>11400</v>
      </c>
      <c r="M71" s="22">
        <f t="shared" ref="M71" si="8">J71+D70</f>
        <v>11403</v>
      </c>
    </row>
    <row r="72" spans="1:13">
      <c r="E72" s="22">
        <f t="shared" si="1"/>
        <v>72</v>
      </c>
      <c r="F72" s="9" t="s">
        <v>146</v>
      </c>
      <c r="M72" s="22">
        <v>11400</v>
      </c>
    </row>
    <row r="73" spans="1:13">
      <c r="E73" s="22">
        <f t="shared" si="1"/>
        <v>73</v>
      </c>
      <c r="F73" s="9" t="s">
        <v>131</v>
      </c>
      <c r="M73" s="22">
        <v>0</v>
      </c>
    </row>
    <row r="74" spans="1:13">
      <c r="E74" s="22">
        <f t="shared" si="1"/>
        <v>74</v>
      </c>
      <c r="F74" s="9" t="s">
        <v>29</v>
      </c>
      <c r="M74" s="22" t="s">
        <v>150</v>
      </c>
    </row>
    <row r="75" spans="1:13">
      <c r="E75" s="22">
        <f t="shared" si="1"/>
        <v>75</v>
      </c>
      <c r="F75" s="9" t="s">
        <v>122</v>
      </c>
      <c r="M75" s="22" t="s">
        <v>158</v>
      </c>
    </row>
    <row r="76" spans="1:13">
      <c r="E76" s="22">
        <f t="shared" si="1"/>
        <v>76</v>
      </c>
      <c r="F76" s="9" t="s">
        <v>99</v>
      </c>
      <c r="K76" s="9" t="s">
        <v>141</v>
      </c>
      <c r="M76" s="22">
        <v>2</v>
      </c>
    </row>
    <row r="77" spans="1:13">
      <c r="E77" s="22">
        <f t="shared" si="1"/>
        <v>77</v>
      </c>
      <c r="F77" s="9" t="s">
        <v>113</v>
      </c>
      <c r="M77" s="22">
        <v>1.5</v>
      </c>
    </row>
    <row r="78" spans="1:13">
      <c r="E78" s="22">
        <f t="shared" si="1"/>
        <v>78</v>
      </c>
      <c r="F78" s="9" t="s">
        <v>30</v>
      </c>
      <c r="M78" s="22">
        <v>1.5</v>
      </c>
    </row>
    <row r="79" spans="1:13">
      <c r="E79" s="22">
        <f t="shared" si="1"/>
        <v>79</v>
      </c>
      <c r="F79" s="9" t="s">
        <v>119</v>
      </c>
      <c r="M79" s="22">
        <v>0.5</v>
      </c>
    </row>
    <row r="80" spans="1:13">
      <c r="E80" s="22">
        <f t="shared" si="1"/>
        <v>80</v>
      </c>
      <c r="F80" s="9" t="s">
        <v>31</v>
      </c>
      <c r="G80" s="22">
        <v>45</v>
      </c>
      <c r="L80" s="9" t="s">
        <v>138</v>
      </c>
      <c r="M80" s="22">
        <f t="shared" ref="M80" si="9">$G$48*C70</f>
        <v>135</v>
      </c>
    </row>
    <row r="81" spans="1:13">
      <c r="E81" s="22">
        <f t="shared" si="1"/>
        <v>81</v>
      </c>
      <c r="F81" s="9" t="s">
        <v>115</v>
      </c>
      <c r="L81" s="9" t="s">
        <v>138</v>
      </c>
      <c r="M81" s="22">
        <v>85.94</v>
      </c>
    </row>
    <row r="82" spans="1:13">
      <c r="E82" s="22">
        <f t="shared" si="1"/>
        <v>82</v>
      </c>
      <c r="F82" s="9" t="s">
        <v>120</v>
      </c>
      <c r="K82" s="9" t="s">
        <v>141</v>
      </c>
      <c r="M82" s="22">
        <v>2</v>
      </c>
    </row>
    <row r="83" spans="1:13">
      <c r="E83" s="22">
        <f t="shared" si="1"/>
        <v>83</v>
      </c>
      <c r="F83" s="9" t="s">
        <v>129</v>
      </c>
      <c r="M83" s="22">
        <v>10000</v>
      </c>
    </row>
    <row r="84" spans="1:13">
      <c r="E84" s="22">
        <f t="shared" si="1"/>
        <v>84</v>
      </c>
      <c r="F84" s="9" t="s">
        <v>111</v>
      </c>
      <c r="M84" s="22">
        <v>250</v>
      </c>
    </row>
    <row r="85" spans="1:13">
      <c r="E85" s="22">
        <f t="shared" si="1"/>
        <v>85</v>
      </c>
      <c r="F85" s="9" t="s">
        <v>121</v>
      </c>
      <c r="M85" s="22" t="b">
        <v>1</v>
      </c>
    </row>
    <row r="86" spans="1:13">
      <c r="A86" s="22" t="s">
        <v>242</v>
      </c>
      <c r="B86" s="22">
        <f t="shared" ref="B86" si="10">QUOTIENT( D86-1,G87)+1</f>
        <v>1</v>
      </c>
      <c r="C86" s="22">
        <f t="shared" ref="C86" si="11">D86-(B86-1)*G87</f>
        <v>4</v>
      </c>
      <c r="D86" s="22">
        <f>COUNT($D$37:$D85)+1</f>
        <v>4</v>
      </c>
    </row>
    <row r="87" spans="1:13">
      <c r="E87" s="22">
        <f t="shared" si="1"/>
        <v>87</v>
      </c>
      <c r="F87" s="9" t="s">
        <v>93</v>
      </c>
      <c r="G87" s="22">
        <v>8</v>
      </c>
      <c r="H87" s="22">
        <v>1</v>
      </c>
      <c r="J87" s="9">
        <v>11400</v>
      </c>
      <c r="M87" s="22">
        <f t="shared" ref="M87" si="12">J87+D86</f>
        <v>11404</v>
      </c>
    </row>
    <row r="88" spans="1:13">
      <c r="E88" s="22">
        <f t="shared" si="1"/>
        <v>88</v>
      </c>
      <c r="F88" s="9" t="s">
        <v>146</v>
      </c>
      <c r="M88" s="22">
        <v>11400</v>
      </c>
    </row>
    <row r="89" spans="1:13">
      <c r="E89" s="22">
        <f t="shared" si="1"/>
        <v>89</v>
      </c>
      <c r="F89" s="9" t="s">
        <v>131</v>
      </c>
      <c r="M89" s="22">
        <v>0</v>
      </c>
    </row>
    <row r="90" spans="1:13">
      <c r="E90" s="22">
        <f t="shared" si="1"/>
        <v>90</v>
      </c>
      <c r="F90" s="9" t="s">
        <v>29</v>
      </c>
      <c r="M90" s="22" t="s">
        <v>150</v>
      </c>
    </row>
    <row r="91" spans="1:13">
      <c r="E91" s="22">
        <f t="shared" si="1"/>
        <v>91</v>
      </c>
      <c r="F91" s="9" t="s">
        <v>122</v>
      </c>
      <c r="M91" s="22" t="s">
        <v>158</v>
      </c>
    </row>
    <row r="92" spans="1:13">
      <c r="E92" s="22">
        <f t="shared" si="1"/>
        <v>92</v>
      </c>
      <c r="F92" s="9" t="s">
        <v>99</v>
      </c>
      <c r="K92" s="9" t="s">
        <v>141</v>
      </c>
      <c r="M92" s="22">
        <v>2</v>
      </c>
    </row>
    <row r="93" spans="1:13">
      <c r="E93" s="22">
        <f t="shared" si="1"/>
        <v>93</v>
      </c>
      <c r="F93" s="9" t="s">
        <v>113</v>
      </c>
      <c r="M93" s="22">
        <v>1.5</v>
      </c>
    </row>
    <row r="94" spans="1:13">
      <c r="E94" s="22">
        <f t="shared" si="1"/>
        <v>94</v>
      </c>
      <c r="F94" s="9" t="s">
        <v>30</v>
      </c>
      <c r="M94" s="22">
        <v>1.5</v>
      </c>
    </row>
    <row r="95" spans="1:13">
      <c r="E95" s="22">
        <f t="shared" si="1"/>
        <v>95</v>
      </c>
      <c r="F95" s="9" t="s">
        <v>119</v>
      </c>
      <c r="M95" s="22">
        <v>0.5</v>
      </c>
    </row>
    <row r="96" spans="1:13">
      <c r="E96" s="22">
        <f t="shared" si="1"/>
        <v>96</v>
      </c>
      <c r="F96" s="9" t="s">
        <v>31</v>
      </c>
      <c r="G96" s="22">
        <v>45</v>
      </c>
      <c r="L96" s="9" t="s">
        <v>138</v>
      </c>
      <c r="M96" s="22">
        <f t="shared" ref="M96" si="13">$G$48*C86</f>
        <v>180</v>
      </c>
    </row>
    <row r="97" spans="1:13">
      <c r="E97" s="22">
        <f t="shared" si="1"/>
        <v>97</v>
      </c>
      <c r="F97" s="9" t="s">
        <v>115</v>
      </c>
      <c r="L97" s="9" t="s">
        <v>138</v>
      </c>
      <c r="M97" s="22">
        <v>85.94</v>
      </c>
    </row>
    <row r="98" spans="1:13">
      <c r="E98" s="22">
        <f t="shared" si="1"/>
        <v>98</v>
      </c>
      <c r="F98" s="9" t="s">
        <v>120</v>
      </c>
      <c r="K98" s="9" t="s">
        <v>141</v>
      </c>
      <c r="M98" s="22">
        <v>2</v>
      </c>
    </row>
    <row r="99" spans="1:13">
      <c r="E99" s="22">
        <f t="shared" si="1"/>
        <v>99</v>
      </c>
      <c r="F99" s="9" t="s">
        <v>129</v>
      </c>
      <c r="M99" s="22">
        <v>10000</v>
      </c>
    </row>
    <row r="100" spans="1:13">
      <c r="E100" s="22">
        <f t="shared" si="1"/>
        <v>100</v>
      </c>
      <c r="F100" s="9" t="s">
        <v>111</v>
      </c>
      <c r="M100" s="22">
        <v>250</v>
      </c>
    </row>
    <row r="101" spans="1:13">
      <c r="E101" s="22">
        <f t="shared" si="1"/>
        <v>101</v>
      </c>
      <c r="F101" s="9" t="s">
        <v>121</v>
      </c>
      <c r="M101" s="22" t="b">
        <v>1</v>
      </c>
    </row>
    <row r="102" spans="1:13">
      <c r="A102" s="22" t="s">
        <v>242</v>
      </c>
      <c r="B102" s="22">
        <f t="shared" ref="B102" si="14">QUOTIENT( D102-1,G103)+1</f>
        <v>1</v>
      </c>
      <c r="C102" s="22">
        <f t="shared" ref="C102" si="15">D102-(B102-1)*G103</f>
        <v>5</v>
      </c>
      <c r="D102" s="22">
        <f>COUNT($D$37:$D101)+1</f>
        <v>5</v>
      </c>
    </row>
    <row r="103" spans="1:13">
      <c r="E103" s="22">
        <f t="shared" ref="E103:E165" si="16">ROW(E103)</f>
        <v>103</v>
      </c>
      <c r="F103" s="9" t="s">
        <v>93</v>
      </c>
      <c r="G103" s="22">
        <v>8</v>
      </c>
      <c r="H103" s="22">
        <v>1</v>
      </c>
      <c r="J103" s="9">
        <v>11400</v>
      </c>
      <c r="M103" s="22">
        <f t="shared" ref="M103" si="17">J103+D102</f>
        <v>11405</v>
      </c>
    </row>
    <row r="104" spans="1:13">
      <c r="E104" s="22">
        <f t="shared" si="16"/>
        <v>104</v>
      </c>
      <c r="F104" s="9" t="s">
        <v>146</v>
      </c>
      <c r="M104" s="22">
        <v>11400</v>
      </c>
    </row>
    <row r="105" spans="1:13">
      <c r="E105" s="22">
        <f t="shared" si="16"/>
        <v>105</v>
      </c>
      <c r="F105" s="9" t="s">
        <v>131</v>
      </c>
      <c r="M105" s="22">
        <v>0</v>
      </c>
    </row>
    <row r="106" spans="1:13">
      <c r="E106" s="22">
        <f t="shared" si="16"/>
        <v>106</v>
      </c>
      <c r="F106" s="9" t="s">
        <v>29</v>
      </c>
      <c r="M106" s="22" t="s">
        <v>150</v>
      </c>
    </row>
    <row r="107" spans="1:13">
      <c r="E107" s="22">
        <f t="shared" si="16"/>
        <v>107</v>
      </c>
      <c r="F107" s="9" t="s">
        <v>122</v>
      </c>
      <c r="M107" s="22" t="s">
        <v>158</v>
      </c>
    </row>
    <row r="108" spans="1:13">
      <c r="E108" s="22">
        <f t="shared" si="16"/>
        <v>108</v>
      </c>
      <c r="F108" s="9" t="s">
        <v>99</v>
      </c>
      <c r="K108" s="9" t="s">
        <v>141</v>
      </c>
      <c r="M108" s="22">
        <v>2</v>
      </c>
    </row>
    <row r="109" spans="1:13">
      <c r="E109" s="22">
        <f t="shared" si="16"/>
        <v>109</v>
      </c>
      <c r="F109" s="9" t="s">
        <v>113</v>
      </c>
      <c r="M109" s="22">
        <v>1.5</v>
      </c>
    </row>
    <row r="110" spans="1:13">
      <c r="E110" s="22">
        <f t="shared" si="16"/>
        <v>110</v>
      </c>
      <c r="F110" s="9" t="s">
        <v>30</v>
      </c>
      <c r="M110" s="22">
        <v>1.5</v>
      </c>
    </row>
    <row r="111" spans="1:13">
      <c r="E111" s="22">
        <f t="shared" si="16"/>
        <v>111</v>
      </c>
      <c r="F111" s="9" t="s">
        <v>119</v>
      </c>
      <c r="M111" s="22">
        <v>0.5</v>
      </c>
    </row>
    <row r="112" spans="1:13">
      <c r="E112" s="22">
        <f t="shared" si="16"/>
        <v>112</v>
      </c>
      <c r="F112" s="9" t="s">
        <v>31</v>
      </c>
      <c r="G112" s="22">
        <v>45</v>
      </c>
      <c r="L112" s="9" t="s">
        <v>138</v>
      </c>
      <c r="M112" s="22">
        <f t="shared" ref="M112" si="18">$G$48*C102</f>
        <v>225</v>
      </c>
    </row>
    <row r="113" spans="1:13">
      <c r="E113" s="22">
        <f t="shared" si="16"/>
        <v>113</v>
      </c>
      <c r="F113" s="9" t="s">
        <v>115</v>
      </c>
      <c r="L113" s="9" t="s">
        <v>138</v>
      </c>
      <c r="M113" s="22">
        <v>85.94</v>
      </c>
    </row>
    <row r="114" spans="1:13">
      <c r="E114" s="22">
        <f t="shared" si="16"/>
        <v>114</v>
      </c>
      <c r="F114" s="9" t="s">
        <v>120</v>
      </c>
      <c r="K114" s="9" t="s">
        <v>141</v>
      </c>
      <c r="M114" s="22">
        <v>2</v>
      </c>
    </row>
    <row r="115" spans="1:13">
      <c r="E115" s="22">
        <f t="shared" si="16"/>
        <v>115</v>
      </c>
      <c r="F115" s="9" t="s">
        <v>129</v>
      </c>
      <c r="M115" s="22">
        <v>10000</v>
      </c>
    </row>
    <row r="116" spans="1:13">
      <c r="E116" s="22">
        <f t="shared" si="16"/>
        <v>116</v>
      </c>
      <c r="F116" s="9" t="s">
        <v>111</v>
      </c>
      <c r="M116" s="22">
        <v>250</v>
      </c>
    </row>
    <row r="117" spans="1:13">
      <c r="E117" s="22">
        <f t="shared" si="16"/>
        <v>117</v>
      </c>
      <c r="F117" s="9" t="s">
        <v>121</v>
      </c>
      <c r="M117" s="22" t="b">
        <v>1</v>
      </c>
    </row>
    <row r="118" spans="1:13">
      <c r="A118" s="22" t="s">
        <v>242</v>
      </c>
      <c r="B118" s="22">
        <f t="shared" ref="B118" si="19">QUOTIENT( D118-1,G119)+1</f>
        <v>1</v>
      </c>
      <c r="C118" s="22">
        <f t="shared" ref="C118" si="20">D118-(B118-1)*G119</f>
        <v>6</v>
      </c>
      <c r="D118" s="22">
        <f>COUNT($D$37:$D117)+1</f>
        <v>6</v>
      </c>
    </row>
    <row r="119" spans="1:13">
      <c r="E119" s="22">
        <f t="shared" si="16"/>
        <v>119</v>
      </c>
      <c r="F119" s="9" t="s">
        <v>93</v>
      </c>
      <c r="G119" s="22">
        <v>8</v>
      </c>
      <c r="H119" s="22">
        <v>1</v>
      </c>
      <c r="J119" s="9">
        <v>11400</v>
      </c>
      <c r="M119" s="22">
        <f t="shared" ref="M119" si="21">J119+D118</f>
        <v>11406</v>
      </c>
    </row>
    <row r="120" spans="1:13">
      <c r="E120" s="22">
        <f t="shared" si="16"/>
        <v>120</v>
      </c>
      <c r="F120" s="9" t="s">
        <v>146</v>
      </c>
      <c r="M120" s="22">
        <v>11400</v>
      </c>
    </row>
    <row r="121" spans="1:13">
      <c r="E121" s="22">
        <f t="shared" si="16"/>
        <v>121</v>
      </c>
      <c r="F121" s="9" t="s">
        <v>131</v>
      </c>
      <c r="M121" s="22">
        <v>0</v>
      </c>
    </row>
    <row r="122" spans="1:13">
      <c r="E122" s="22">
        <f t="shared" si="16"/>
        <v>122</v>
      </c>
      <c r="F122" s="9" t="s">
        <v>29</v>
      </c>
      <c r="M122" s="22" t="s">
        <v>150</v>
      </c>
    </row>
    <row r="123" spans="1:13">
      <c r="E123" s="22">
        <f t="shared" si="16"/>
        <v>123</v>
      </c>
      <c r="F123" s="9" t="s">
        <v>122</v>
      </c>
      <c r="M123" s="22" t="s">
        <v>158</v>
      </c>
    </row>
    <row r="124" spans="1:13">
      <c r="E124" s="22">
        <f t="shared" si="16"/>
        <v>124</v>
      </c>
      <c r="F124" s="9" t="s">
        <v>99</v>
      </c>
      <c r="K124" s="9" t="s">
        <v>141</v>
      </c>
      <c r="M124" s="22">
        <v>2</v>
      </c>
    </row>
    <row r="125" spans="1:13">
      <c r="E125" s="22">
        <f t="shared" si="16"/>
        <v>125</v>
      </c>
      <c r="F125" s="9" t="s">
        <v>113</v>
      </c>
      <c r="M125" s="22">
        <v>1.5</v>
      </c>
    </row>
    <row r="126" spans="1:13">
      <c r="E126" s="22">
        <f t="shared" si="16"/>
        <v>126</v>
      </c>
      <c r="F126" s="9" t="s">
        <v>30</v>
      </c>
      <c r="M126" s="22">
        <v>1.5</v>
      </c>
    </row>
    <row r="127" spans="1:13">
      <c r="E127" s="22">
        <f t="shared" si="16"/>
        <v>127</v>
      </c>
      <c r="F127" s="9" t="s">
        <v>119</v>
      </c>
      <c r="M127" s="22">
        <v>0.5</v>
      </c>
    </row>
    <row r="128" spans="1:13">
      <c r="E128" s="22">
        <f t="shared" si="16"/>
        <v>128</v>
      </c>
      <c r="F128" s="9" t="s">
        <v>31</v>
      </c>
      <c r="G128" s="22">
        <v>45</v>
      </c>
      <c r="L128" s="9" t="s">
        <v>138</v>
      </c>
      <c r="M128" s="22">
        <f t="shared" ref="M128" si="22">$G$48*C118</f>
        <v>270</v>
      </c>
    </row>
    <row r="129" spans="1:13">
      <c r="E129" s="22">
        <f t="shared" si="16"/>
        <v>129</v>
      </c>
      <c r="F129" s="9" t="s">
        <v>115</v>
      </c>
      <c r="L129" s="9" t="s">
        <v>138</v>
      </c>
      <c r="M129" s="22">
        <v>85.94</v>
      </c>
    </row>
    <row r="130" spans="1:13">
      <c r="E130" s="22">
        <f t="shared" si="16"/>
        <v>130</v>
      </c>
      <c r="F130" s="9" t="s">
        <v>120</v>
      </c>
      <c r="K130" s="9" t="s">
        <v>141</v>
      </c>
      <c r="M130" s="22">
        <v>2</v>
      </c>
    </row>
    <row r="131" spans="1:13">
      <c r="E131" s="22">
        <f t="shared" si="16"/>
        <v>131</v>
      </c>
      <c r="F131" s="9" t="s">
        <v>129</v>
      </c>
      <c r="M131" s="22">
        <v>10000</v>
      </c>
    </row>
    <row r="132" spans="1:13">
      <c r="E132" s="22">
        <f t="shared" si="16"/>
        <v>132</v>
      </c>
      <c r="F132" s="9" t="s">
        <v>111</v>
      </c>
      <c r="M132" s="22">
        <v>250</v>
      </c>
    </row>
    <row r="133" spans="1:13">
      <c r="E133" s="22">
        <f t="shared" si="16"/>
        <v>133</v>
      </c>
      <c r="F133" s="9" t="s">
        <v>121</v>
      </c>
      <c r="M133" s="22" t="b">
        <v>1</v>
      </c>
    </row>
    <row r="134" spans="1:13">
      <c r="A134" s="22" t="s">
        <v>242</v>
      </c>
      <c r="B134" s="22">
        <f t="shared" ref="B134" si="23">QUOTIENT( D134-1,G135)+1</f>
        <v>1</v>
      </c>
      <c r="C134" s="22">
        <f t="shared" ref="C134" si="24">D134-(B134-1)*G135</f>
        <v>7</v>
      </c>
      <c r="D134" s="22">
        <f>COUNT($D$37:$D133)+1</f>
        <v>7</v>
      </c>
    </row>
    <row r="135" spans="1:13">
      <c r="E135" s="22">
        <f t="shared" si="16"/>
        <v>135</v>
      </c>
      <c r="F135" s="9" t="s">
        <v>93</v>
      </c>
      <c r="G135" s="22">
        <v>8</v>
      </c>
      <c r="H135" s="22">
        <v>1</v>
      </c>
      <c r="J135" s="9">
        <v>11400</v>
      </c>
      <c r="M135" s="22">
        <f t="shared" ref="M135" si="25">J135+D134</f>
        <v>11407</v>
      </c>
    </row>
    <row r="136" spans="1:13">
      <c r="E136" s="22">
        <f t="shared" si="16"/>
        <v>136</v>
      </c>
      <c r="F136" s="9" t="s">
        <v>146</v>
      </c>
      <c r="M136" s="22">
        <v>11400</v>
      </c>
    </row>
    <row r="137" spans="1:13">
      <c r="E137" s="22">
        <f t="shared" si="16"/>
        <v>137</v>
      </c>
      <c r="F137" s="9" t="s">
        <v>131</v>
      </c>
      <c r="M137" s="22">
        <v>0</v>
      </c>
    </row>
    <row r="138" spans="1:13">
      <c r="E138" s="22">
        <f t="shared" si="16"/>
        <v>138</v>
      </c>
      <c r="F138" s="9" t="s">
        <v>29</v>
      </c>
      <c r="M138" s="22" t="s">
        <v>150</v>
      </c>
    </row>
    <row r="139" spans="1:13">
      <c r="E139" s="22">
        <f t="shared" si="16"/>
        <v>139</v>
      </c>
      <c r="F139" s="9" t="s">
        <v>122</v>
      </c>
      <c r="M139" s="22" t="s">
        <v>158</v>
      </c>
    </row>
    <row r="140" spans="1:13">
      <c r="E140" s="22">
        <f t="shared" si="16"/>
        <v>140</v>
      </c>
      <c r="F140" s="9" t="s">
        <v>99</v>
      </c>
      <c r="K140" s="9" t="s">
        <v>141</v>
      </c>
      <c r="M140" s="22">
        <v>2</v>
      </c>
    </row>
    <row r="141" spans="1:13">
      <c r="E141" s="22">
        <f t="shared" si="16"/>
        <v>141</v>
      </c>
      <c r="F141" s="9" t="s">
        <v>113</v>
      </c>
      <c r="M141" s="22">
        <v>1.5</v>
      </c>
    </row>
    <row r="142" spans="1:13">
      <c r="E142" s="22">
        <f t="shared" si="16"/>
        <v>142</v>
      </c>
      <c r="F142" s="9" t="s">
        <v>30</v>
      </c>
      <c r="M142" s="22">
        <v>1.5</v>
      </c>
    </row>
    <row r="143" spans="1:13">
      <c r="E143" s="22">
        <f t="shared" si="16"/>
        <v>143</v>
      </c>
      <c r="F143" s="9" t="s">
        <v>119</v>
      </c>
      <c r="M143" s="22">
        <v>0.5</v>
      </c>
    </row>
    <row r="144" spans="1:13">
      <c r="E144" s="22">
        <f t="shared" si="16"/>
        <v>144</v>
      </c>
      <c r="F144" s="9" t="s">
        <v>31</v>
      </c>
      <c r="G144" s="22">
        <v>45</v>
      </c>
      <c r="L144" s="9" t="s">
        <v>138</v>
      </c>
      <c r="M144" s="22">
        <f t="shared" ref="M144" si="26">$G$48*C134</f>
        <v>315</v>
      </c>
    </row>
    <row r="145" spans="1:13">
      <c r="E145" s="22">
        <f t="shared" si="16"/>
        <v>145</v>
      </c>
      <c r="F145" s="9" t="s">
        <v>115</v>
      </c>
      <c r="L145" s="9" t="s">
        <v>138</v>
      </c>
      <c r="M145" s="22">
        <v>85.94</v>
      </c>
    </row>
    <row r="146" spans="1:13">
      <c r="E146" s="22">
        <f t="shared" si="16"/>
        <v>146</v>
      </c>
      <c r="F146" s="9" t="s">
        <v>120</v>
      </c>
      <c r="K146" s="9" t="s">
        <v>141</v>
      </c>
      <c r="M146" s="22">
        <v>2</v>
      </c>
    </row>
    <row r="147" spans="1:13">
      <c r="E147" s="22">
        <f t="shared" si="16"/>
        <v>147</v>
      </c>
      <c r="F147" s="9" t="s">
        <v>129</v>
      </c>
      <c r="M147" s="22">
        <v>10000</v>
      </c>
    </row>
    <row r="148" spans="1:13">
      <c r="E148" s="22">
        <f t="shared" si="16"/>
        <v>148</v>
      </c>
      <c r="F148" s="9" t="s">
        <v>111</v>
      </c>
      <c r="M148" s="22">
        <v>250</v>
      </c>
    </row>
    <row r="149" spans="1:13">
      <c r="E149" s="22">
        <f t="shared" si="16"/>
        <v>149</v>
      </c>
      <c r="F149" s="9" t="s">
        <v>121</v>
      </c>
      <c r="M149" s="22" t="b">
        <v>1</v>
      </c>
    </row>
    <row r="150" spans="1:13">
      <c r="A150" s="22" t="s">
        <v>242</v>
      </c>
      <c r="B150" s="22">
        <f t="shared" ref="B150" si="27">QUOTIENT( D150-1,G151)+1</f>
        <v>1</v>
      </c>
      <c r="C150" s="22">
        <f t="shared" ref="C150" si="28">D150-(B150-1)*G151</f>
        <v>8</v>
      </c>
      <c r="D150" s="22">
        <f>COUNT($D$37:$D149)+1</f>
        <v>8</v>
      </c>
    </row>
    <row r="151" spans="1:13">
      <c r="E151" s="22">
        <f t="shared" si="16"/>
        <v>151</v>
      </c>
      <c r="F151" s="9" t="s">
        <v>93</v>
      </c>
      <c r="G151" s="22">
        <v>8</v>
      </c>
      <c r="H151" s="22">
        <v>1</v>
      </c>
      <c r="J151" s="9">
        <v>11400</v>
      </c>
      <c r="M151" s="22">
        <f t="shared" ref="M151" si="29">J151+D150</f>
        <v>11408</v>
      </c>
    </row>
    <row r="152" spans="1:13">
      <c r="E152" s="22">
        <f t="shared" si="16"/>
        <v>152</v>
      </c>
      <c r="F152" s="9" t="s">
        <v>146</v>
      </c>
      <c r="M152" s="22">
        <v>11400</v>
      </c>
    </row>
    <row r="153" spans="1:13">
      <c r="E153" s="22">
        <f t="shared" si="16"/>
        <v>153</v>
      </c>
      <c r="F153" s="9" t="s">
        <v>131</v>
      </c>
      <c r="M153" s="22">
        <v>0</v>
      </c>
    </row>
    <row r="154" spans="1:13">
      <c r="E154" s="22">
        <f t="shared" si="16"/>
        <v>154</v>
      </c>
      <c r="F154" s="9" t="s">
        <v>29</v>
      </c>
      <c r="M154" s="22" t="s">
        <v>150</v>
      </c>
    </row>
    <row r="155" spans="1:13">
      <c r="E155" s="22">
        <f t="shared" si="16"/>
        <v>155</v>
      </c>
      <c r="F155" s="9" t="s">
        <v>122</v>
      </c>
      <c r="M155" s="22" t="s">
        <v>158</v>
      </c>
    </row>
    <row r="156" spans="1:13">
      <c r="E156" s="22">
        <f t="shared" si="16"/>
        <v>156</v>
      </c>
      <c r="F156" s="9" t="s">
        <v>99</v>
      </c>
      <c r="K156" s="9" t="s">
        <v>141</v>
      </c>
      <c r="M156" s="22">
        <v>2</v>
      </c>
    </row>
    <row r="157" spans="1:13">
      <c r="E157" s="22">
        <f t="shared" si="16"/>
        <v>157</v>
      </c>
      <c r="F157" s="9" t="s">
        <v>113</v>
      </c>
      <c r="M157" s="22">
        <v>1.5</v>
      </c>
    </row>
    <row r="158" spans="1:13">
      <c r="E158" s="22">
        <f t="shared" si="16"/>
        <v>158</v>
      </c>
      <c r="F158" s="9" t="s">
        <v>30</v>
      </c>
      <c r="M158" s="22">
        <v>1.5</v>
      </c>
    </row>
    <row r="159" spans="1:13">
      <c r="E159" s="22">
        <f t="shared" si="16"/>
        <v>159</v>
      </c>
      <c r="F159" s="9" t="s">
        <v>119</v>
      </c>
      <c r="M159" s="22">
        <v>0.5</v>
      </c>
    </row>
    <row r="160" spans="1:13">
      <c r="E160" s="22">
        <f t="shared" si="16"/>
        <v>160</v>
      </c>
      <c r="F160" s="9" t="s">
        <v>31</v>
      </c>
      <c r="G160" s="22">
        <v>45</v>
      </c>
      <c r="L160" s="9" t="s">
        <v>138</v>
      </c>
      <c r="M160" s="22">
        <f t="shared" ref="M160" si="30">$G$48*C150</f>
        <v>360</v>
      </c>
    </row>
    <row r="161" spans="1:31">
      <c r="E161" s="22">
        <f t="shared" si="16"/>
        <v>161</v>
      </c>
      <c r="F161" s="9" t="s">
        <v>115</v>
      </c>
      <c r="L161" s="9" t="s">
        <v>138</v>
      </c>
      <c r="M161" s="22">
        <v>85.94</v>
      </c>
    </row>
    <row r="162" spans="1:31">
      <c r="E162" s="22">
        <f t="shared" si="16"/>
        <v>162</v>
      </c>
      <c r="F162" s="9" t="s">
        <v>120</v>
      </c>
      <c r="K162" s="9" t="s">
        <v>141</v>
      </c>
      <c r="M162" s="22">
        <v>2</v>
      </c>
    </row>
    <row r="163" spans="1:31">
      <c r="E163" s="22">
        <f t="shared" si="16"/>
        <v>163</v>
      </c>
      <c r="F163" s="9" t="s">
        <v>129</v>
      </c>
      <c r="M163" s="22">
        <v>10000</v>
      </c>
    </row>
    <row r="164" spans="1:31">
      <c r="E164" s="22">
        <f t="shared" si="16"/>
        <v>164</v>
      </c>
      <c r="F164" s="9" t="s">
        <v>111</v>
      </c>
      <c r="M164" s="22">
        <v>250</v>
      </c>
    </row>
    <row r="165" spans="1:31">
      <c r="E165" s="22">
        <f t="shared" si="16"/>
        <v>165</v>
      </c>
      <c r="F165" s="9" t="s">
        <v>121</v>
      </c>
      <c r="M165" s="22" t="b">
        <v>1</v>
      </c>
    </row>
    <row r="175" spans="1:31">
      <c r="E175" s="22">
        <f t="shared" ref="E175:E202" si="31">ROW(E175)</f>
        <v>175</v>
      </c>
      <c r="F175" s="9" t="s">
        <v>93</v>
      </c>
      <c r="G175" s="22">
        <v>1</v>
      </c>
      <c r="M175" s="22">
        <v>11500</v>
      </c>
    </row>
    <row r="176" spans="1:31" s="16" customFormat="1">
      <c r="A176" s="22"/>
      <c r="B176" s="22"/>
      <c r="C176" s="22"/>
      <c r="D176" s="22"/>
      <c r="E176" s="22">
        <f t="shared" si="31"/>
        <v>176</v>
      </c>
      <c r="F176" s="9" t="s">
        <v>146</v>
      </c>
      <c r="G176" s="22"/>
      <c r="H176" s="22"/>
      <c r="I176" s="22"/>
      <c r="J176" s="9"/>
      <c r="K176" s="9"/>
      <c r="L176" s="9"/>
      <c r="M176" s="22">
        <v>11301</v>
      </c>
      <c r="N176" s="9"/>
      <c r="O176" s="9"/>
      <c r="P176" s="9"/>
      <c r="Q176" s="9"/>
      <c r="R176" s="9"/>
      <c r="S176" s="12"/>
      <c r="T176" s="9"/>
      <c r="U176" s="9"/>
      <c r="V176" s="12"/>
      <c r="W176" s="12"/>
      <c r="X176" s="12"/>
      <c r="Y176" s="15"/>
      <c r="Z176" s="15"/>
      <c r="AA176" s="15"/>
      <c r="AB176" s="15"/>
      <c r="AC176" s="15"/>
      <c r="AD176" s="15"/>
      <c r="AE176" s="15"/>
    </row>
    <row r="177" spans="1:31" s="16" customFormat="1">
      <c r="A177" s="22"/>
      <c r="B177" s="22"/>
      <c r="C177" s="22"/>
      <c r="D177" s="22"/>
      <c r="E177" s="22">
        <f t="shared" si="31"/>
        <v>177</v>
      </c>
      <c r="F177" s="9" t="s">
        <v>130</v>
      </c>
      <c r="G177" s="22"/>
      <c r="H177" s="22"/>
      <c r="I177" s="22"/>
      <c r="J177" s="9"/>
      <c r="K177" s="9"/>
      <c r="L177" s="9"/>
      <c r="M177" s="22">
        <v>240</v>
      </c>
      <c r="N177" s="9"/>
      <c r="O177" s="9"/>
      <c r="P177" s="9"/>
      <c r="Q177" s="9"/>
      <c r="R177" s="9"/>
      <c r="S177" s="12"/>
      <c r="T177" s="9"/>
      <c r="U177" s="9"/>
      <c r="V177" s="12"/>
      <c r="W177" s="12"/>
      <c r="X177" s="12"/>
      <c r="Y177" s="15"/>
      <c r="Z177" s="15"/>
      <c r="AA177" s="15"/>
      <c r="AB177" s="15"/>
      <c r="AC177" s="15"/>
      <c r="AD177" s="15"/>
      <c r="AE177" s="15"/>
    </row>
    <row r="178" spans="1:31" s="16" customFormat="1">
      <c r="A178" s="22"/>
      <c r="B178" s="22"/>
      <c r="C178" s="22"/>
      <c r="D178" s="22"/>
      <c r="E178" s="22">
        <f t="shared" si="31"/>
        <v>178</v>
      </c>
      <c r="F178" s="9" t="s">
        <v>146</v>
      </c>
      <c r="G178" s="22"/>
      <c r="H178" s="22"/>
      <c r="I178" s="22"/>
      <c r="J178" s="9"/>
      <c r="K178" s="9"/>
      <c r="L178" s="9"/>
      <c r="M178" s="22">
        <v>11301</v>
      </c>
      <c r="N178" s="9"/>
      <c r="O178" s="9"/>
      <c r="P178" s="9"/>
      <c r="Q178" s="9"/>
      <c r="R178" s="9"/>
      <c r="S178" s="12"/>
      <c r="T178" s="9"/>
      <c r="U178" s="9"/>
      <c r="V178" s="12"/>
      <c r="W178" s="12"/>
      <c r="X178" s="12"/>
      <c r="Y178" s="15"/>
      <c r="Z178" s="15"/>
      <c r="AA178" s="15"/>
      <c r="AB178" s="15"/>
      <c r="AC178" s="15"/>
      <c r="AD178" s="15"/>
      <c r="AE178" s="15"/>
    </row>
    <row r="179" spans="1:31" s="16" customFormat="1">
      <c r="A179" s="22"/>
      <c r="B179" s="22"/>
      <c r="C179" s="22"/>
      <c r="D179" s="22"/>
      <c r="E179" s="22">
        <f t="shared" si="31"/>
        <v>179</v>
      </c>
      <c r="F179" s="9" t="s">
        <v>130</v>
      </c>
      <c r="G179" s="22"/>
      <c r="H179" s="22"/>
      <c r="I179" s="22"/>
      <c r="J179" s="9"/>
      <c r="K179" s="9"/>
      <c r="L179" s="9"/>
      <c r="M179" s="22">
        <v>270</v>
      </c>
      <c r="N179" s="9"/>
      <c r="O179" s="9"/>
      <c r="P179" s="9"/>
      <c r="Q179" s="9"/>
      <c r="R179" s="9"/>
      <c r="S179" s="12"/>
      <c r="T179" s="9"/>
      <c r="U179" s="9"/>
      <c r="V179" s="12"/>
      <c r="W179" s="12"/>
      <c r="X179" s="12"/>
      <c r="Y179" s="15"/>
      <c r="Z179" s="15"/>
      <c r="AA179" s="15"/>
      <c r="AB179" s="15"/>
      <c r="AC179" s="15"/>
      <c r="AD179" s="15"/>
      <c r="AE179" s="15"/>
    </row>
    <row r="180" spans="1:31" s="16" customFormat="1">
      <c r="A180" s="22"/>
      <c r="B180" s="22"/>
      <c r="C180" s="22"/>
      <c r="D180" s="22"/>
      <c r="E180" s="22">
        <f t="shared" si="31"/>
        <v>180</v>
      </c>
      <c r="F180" s="9" t="s">
        <v>146</v>
      </c>
      <c r="G180" s="22"/>
      <c r="H180" s="22"/>
      <c r="I180" s="22"/>
      <c r="J180" s="9"/>
      <c r="K180" s="9"/>
      <c r="L180" s="9"/>
      <c r="M180" s="22">
        <v>11301</v>
      </c>
      <c r="N180" s="9"/>
      <c r="O180" s="9"/>
      <c r="P180" s="9"/>
      <c r="Q180" s="9"/>
      <c r="R180" s="9"/>
      <c r="S180" s="12"/>
      <c r="T180" s="9"/>
      <c r="U180" s="9"/>
      <c r="V180" s="12"/>
      <c r="W180" s="12"/>
      <c r="X180" s="12"/>
      <c r="Y180" s="15"/>
      <c r="Z180" s="15"/>
      <c r="AA180" s="15"/>
      <c r="AB180" s="15"/>
      <c r="AC180" s="15"/>
      <c r="AD180" s="15"/>
      <c r="AE180" s="15"/>
    </row>
    <row r="181" spans="1:31" s="16" customFormat="1">
      <c r="A181" s="22"/>
      <c r="B181" s="22"/>
      <c r="C181" s="22"/>
      <c r="D181" s="22"/>
      <c r="E181" s="22">
        <f t="shared" si="31"/>
        <v>181</v>
      </c>
      <c r="F181" s="9" t="s">
        <v>130</v>
      </c>
      <c r="G181" s="22"/>
      <c r="H181" s="22"/>
      <c r="I181" s="22"/>
      <c r="J181" s="9"/>
      <c r="K181" s="9"/>
      <c r="L181" s="9"/>
      <c r="M181" s="22">
        <v>300</v>
      </c>
      <c r="N181" s="9"/>
      <c r="O181" s="9"/>
      <c r="P181" s="9"/>
      <c r="Q181" s="9"/>
      <c r="R181" s="9"/>
      <c r="S181" s="12"/>
      <c r="T181" s="9"/>
      <c r="U181" s="9"/>
      <c r="V181" s="12"/>
      <c r="W181" s="12"/>
      <c r="X181" s="12"/>
      <c r="Y181" s="15"/>
      <c r="Z181" s="15"/>
      <c r="AA181" s="15"/>
      <c r="AB181" s="15"/>
      <c r="AC181" s="15"/>
      <c r="AD181" s="15"/>
      <c r="AE181" s="15"/>
    </row>
    <row r="182" spans="1:31">
      <c r="E182" s="22">
        <f t="shared" si="31"/>
        <v>182</v>
      </c>
      <c r="F182" s="9" t="s">
        <v>146</v>
      </c>
      <c r="M182" s="22">
        <v>113019</v>
      </c>
    </row>
    <row r="183" spans="1:31">
      <c r="E183" s="22">
        <f t="shared" si="31"/>
        <v>183</v>
      </c>
      <c r="F183" s="9" t="s">
        <v>131</v>
      </c>
      <c r="M183" s="22">
        <v>60</v>
      </c>
    </row>
    <row r="184" spans="1:31">
      <c r="E184" s="22">
        <f t="shared" si="31"/>
        <v>184</v>
      </c>
      <c r="F184" s="9" t="s">
        <v>146</v>
      </c>
      <c r="M184" s="22">
        <v>113019</v>
      </c>
    </row>
    <row r="185" spans="1:31">
      <c r="E185" s="22">
        <f t="shared" si="31"/>
        <v>185</v>
      </c>
      <c r="F185" s="9" t="s">
        <v>131</v>
      </c>
      <c r="M185" s="22">
        <v>30</v>
      </c>
    </row>
    <row r="186" spans="1:31">
      <c r="E186" s="22">
        <f t="shared" si="31"/>
        <v>186</v>
      </c>
      <c r="F186" s="9" t="s">
        <v>146</v>
      </c>
      <c r="M186" s="22">
        <v>113019</v>
      </c>
    </row>
    <row r="187" spans="1:31">
      <c r="E187" s="22">
        <f t="shared" si="31"/>
        <v>187</v>
      </c>
      <c r="F187" s="9" t="s">
        <v>131</v>
      </c>
      <c r="M187" s="22">
        <v>0</v>
      </c>
    </row>
    <row r="188" spans="1:31">
      <c r="E188" s="22">
        <f t="shared" si="31"/>
        <v>188</v>
      </c>
      <c r="F188" s="9" t="s">
        <v>96</v>
      </c>
      <c r="M188" s="22" t="s">
        <v>155</v>
      </c>
    </row>
    <row r="189" spans="1:31">
      <c r="E189" s="22">
        <f t="shared" si="31"/>
        <v>189</v>
      </c>
      <c r="F189" s="9" t="s">
        <v>149</v>
      </c>
      <c r="K189" s="9" t="s">
        <v>141</v>
      </c>
      <c r="M189" s="22">
        <v>2</v>
      </c>
    </row>
    <row r="190" spans="1:31">
      <c r="E190" s="22">
        <f t="shared" si="31"/>
        <v>190</v>
      </c>
      <c r="F190" s="9" t="s">
        <v>148</v>
      </c>
      <c r="M190" s="22">
        <v>0</v>
      </c>
    </row>
    <row r="191" spans="1:31">
      <c r="E191" s="22">
        <f t="shared" si="31"/>
        <v>191</v>
      </c>
      <c r="F191" s="9" t="s">
        <v>105</v>
      </c>
      <c r="M191" s="22">
        <f>M175*10+1</f>
        <v>115001</v>
      </c>
    </row>
    <row r="192" spans="1:31">
      <c r="E192" s="22">
        <f t="shared" si="31"/>
        <v>192</v>
      </c>
      <c r="F192" s="9" t="s">
        <v>146</v>
      </c>
      <c r="M192" s="22">
        <f>M175</f>
        <v>11500</v>
      </c>
    </row>
    <row r="193" spans="1:13">
      <c r="E193" s="22">
        <f t="shared" si="31"/>
        <v>193</v>
      </c>
      <c r="F193" s="9" t="s">
        <v>131</v>
      </c>
      <c r="M193" s="22">
        <v>0</v>
      </c>
    </row>
    <row r="194" spans="1:13">
      <c r="E194" s="22">
        <f t="shared" si="31"/>
        <v>194</v>
      </c>
      <c r="F194" s="9" t="s">
        <v>100</v>
      </c>
      <c r="M194" s="22">
        <v>240</v>
      </c>
    </row>
    <row r="195" spans="1:13">
      <c r="E195" s="22">
        <f t="shared" si="31"/>
        <v>195</v>
      </c>
      <c r="F195" s="9" t="s">
        <v>102</v>
      </c>
      <c r="M195" s="22">
        <v>0</v>
      </c>
    </row>
    <row r="196" spans="1:13">
      <c r="E196" s="22">
        <f t="shared" si="31"/>
        <v>196</v>
      </c>
      <c r="F196" s="9" t="s">
        <v>101</v>
      </c>
      <c r="K196" s="9" t="s">
        <v>141</v>
      </c>
      <c r="M196" s="22">
        <v>3</v>
      </c>
    </row>
    <row r="197" spans="1:13">
      <c r="E197" s="22">
        <f t="shared" si="31"/>
        <v>197</v>
      </c>
      <c r="F197" s="9" t="s">
        <v>148</v>
      </c>
      <c r="M197" s="22">
        <v>240</v>
      </c>
    </row>
    <row r="198" spans="1:13">
      <c r="E198" s="22">
        <f t="shared" si="31"/>
        <v>198</v>
      </c>
      <c r="F198" s="9" t="s">
        <v>105</v>
      </c>
      <c r="M198" s="22">
        <f>M175*10+2</f>
        <v>115002</v>
      </c>
    </row>
    <row r="199" spans="1:13">
      <c r="E199" s="22">
        <f t="shared" si="31"/>
        <v>199</v>
      </c>
      <c r="F199" s="9" t="s">
        <v>146</v>
      </c>
      <c r="M199" s="22">
        <f>M191</f>
        <v>115001</v>
      </c>
    </row>
    <row r="200" spans="1:13">
      <c r="E200" s="22">
        <f t="shared" si="31"/>
        <v>200</v>
      </c>
      <c r="F200" s="9" t="s">
        <v>131</v>
      </c>
      <c r="M200" s="22">
        <v>0</v>
      </c>
    </row>
    <row r="201" spans="1:13">
      <c r="E201" s="22">
        <f t="shared" si="31"/>
        <v>201</v>
      </c>
      <c r="F201" s="9" t="s">
        <v>30</v>
      </c>
      <c r="M201" s="22">
        <v>0</v>
      </c>
    </row>
    <row r="202" spans="1:13">
      <c r="E202" s="22">
        <f t="shared" si="31"/>
        <v>202</v>
      </c>
      <c r="F202" s="9" t="s">
        <v>98</v>
      </c>
      <c r="M202" s="22">
        <v>900</v>
      </c>
    </row>
    <row r="208" spans="1:13">
      <c r="A208" s="22">
        <f>G210*H210</f>
        <v>10</v>
      </c>
      <c r="B208" s="9"/>
      <c r="C208" s="9"/>
      <c r="D208" s="9"/>
    </row>
    <row r="209" spans="1:13">
      <c r="A209" s="9" t="s">
        <v>242</v>
      </c>
      <c r="B209" s="22">
        <f>QUOTIENT( D209-1,G210)+1</f>
        <v>1</v>
      </c>
      <c r="C209" s="22">
        <f>D209-(B209-1)*G210</f>
        <v>1</v>
      </c>
      <c r="D209" s="22">
        <f>COUNT($D$208:$D208)+1</f>
        <v>1</v>
      </c>
    </row>
    <row r="210" spans="1:13">
      <c r="E210" s="22">
        <f t="shared" ref="E210:E273" si="32">ROW(E210)</f>
        <v>210</v>
      </c>
      <c r="F210" s="9" t="s">
        <v>93</v>
      </c>
      <c r="G210" s="22">
        <v>10</v>
      </c>
      <c r="H210" s="22">
        <v>1</v>
      </c>
      <c r="J210" s="22">
        <v>11600</v>
      </c>
      <c r="M210" s="22">
        <f>J210+D209</f>
        <v>11601</v>
      </c>
    </row>
    <row r="211" spans="1:13">
      <c r="E211" s="22">
        <f t="shared" si="32"/>
        <v>211</v>
      </c>
      <c r="F211" s="9" t="s">
        <v>146</v>
      </c>
      <c r="M211" s="22">
        <v>11500</v>
      </c>
    </row>
    <row r="212" spans="1:13">
      <c r="E212" s="22">
        <f t="shared" si="32"/>
        <v>212</v>
      </c>
      <c r="F212" s="9" t="s">
        <v>131</v>
      </c>
      <c r="M212" s="22">
        <v>0</v>
      </c>
    </row>
    <row r="213" spans="1:13">
      <c r="E213" s="22">
        <f t="shared" si="32"/>
        <v>213</v>
      </c>
      <c r="F213" s="9" t="s">
        <v>35</v>
      </c>
      <c r="M213" s="22">
        <v>240</v>
      </c>
    </row>
    <row r="214" spans="1:13">
      <c r="E214" s="22">
        <f t="shared" si="32"/>
        <v>214</v>
      </c>
      <c r="F214" s="9" t="s">
        <v>96</v>
      </c>
      <c r="M214" s="22" t="s">
        <v>243</v>
      </c>
    </row>
    <row r="215" spans="1:13">
      <c r="E215" s="22">
        <f t="shared" si="32"/>
        <v>215</v>
      </c>
      <c r="F215" s="9" t="s">
        <v>122</v>
      </c>
      <c r="M215" s="22" t="s">
        <v>244</v>
      </c>
    </row>
    <row r="216" spans="1:13">
      <c r="E216" s="22">
        <f t="shared" si="32"/>
        <v>216</v>
      </c>
      <c r="F216" s="9" t="s">
        <v>149</v>
      </c>
      <c r="K216" s="9" t="s">
        <v>141</v>
      </c>
      <c r="M216" s="22">
        <v>2</v>
      </c>
    </row>
    <row r="217" spans="1:13">
      <c r="E217" s="22">
        <f t="shared" si="32"/>
        <v>217</v>
      </c>
      <c r="F217" s="9" t="s">
        <v>113</v>
      </c>
      <c r="M217" s="22">
        <v>0</v>
      </c>
    </row>
    <row r="218" spans="1:13">
      <c r="E218" s="22">
        <f t="shared" si="32"/>
        <v>218</v>
      </c>
      <c r="F218" s="9" t="s">
        <v>30</v>
      </c>
      <c r="M218" s="22">
        <v>-1.5</v>
      </c>
    </row>
    <row r="219" spans="1:13">
      <c r="E219" s="22">
        <f t="shared" si="32"/>
        <v>219</v>
      </c>
      <c r="F219" s="9" t="s">
        <v>153</v>
      </c>
      <c r="M219" s="22">
        <v>1.5</v>
      </c>
    </row>
    <row r="220" spans="1:13">
      <c r="E220" s="22">
        <f t="shared" si="32"/>
        <v>220</v>
      </c>
      <c r="F220" s="9" t="s">
        <v>31</v>
      </c>
      <c r="G220" s="22">
        <v>36</v>
      </c>
      <c r="L220" s="9" t="s">
        <v>138</v>
      </c>
      <c r="M220" s="22">
        <f>$G$220*D209</f>
        <v>36</v>
      </c>
    </row>
    <row r="221" spans="1:13">
      <c r="E221" s="22">
        <f t="shared" si="32"/>
        <v>221</v>
      </c>
      <c r="F221" s="9" t="s">
        <v>120</v>
      </c>
      <c r="K221" s="9" t="s">
        <v>141</v>
      </c>
      <c r="M221" s="22">
        <v>2</v>
      </c>
    </row>
    <row r="222" spans="1:13" ht="20.25" customHeight="1">
      <c r="E222" s="22">
        <f t="shared" si="32"/>
        <v>222</v>
      </c>
      <c r="F222" s="9" t="s">
        <v>156</v>
      </c>
      <c r="M222" s="22" t="b">
        <v>1</v>
      </c>
    </row>
    <row r="223" spans="1:13" ht="20.25" customHeight="1">
      <c r="E223" s="22">
        <f t="shared" si="32"/>
        <v>223</v>
      </c>
      <c r="F223" s="9" t="s">
        <v>157</v>
      </c>
      <c r="M223" s="22">
        <v>5</v>
      </c>
    </row>
    <row r="224" spans="1:13">
      <c r="E224" s="22">
        <f t="shared" si="32"/>
        <v>224</v>
      </c>
      <c r="F224" s="9" t="s">
        <v>105</v>
      </c>
      <c r="M224" s="22">
        <f>M210*10+1</f>
        <v>116011</v>
      </c>
    </row>
    <row r="225" spans="1:13">
      <c r="E225" s="22">
        <f t="shared" si="32"/>
        <v>225</v>
      </c>
      <c r="F225" s="9" t="s">
        <v>146</v>
      </c>
      <c r="M225" s="22">
        <f>M210</f>
        <v>11601</v>
      </c>
    </row>
    <row r="226" spans="1:13">
      <c r="E226" s="22">
        <f t="shared" si="32"/>
        <v>226</v>
      </c>
      <c r="F226" s="9" t="s">
        <v>131</v>
      </c>
      <c r="M226" s="22">
        <v>0</v>
      </c>
    </row>
    <row r="227" spans="1:13">
      <c r="E227" s="22">
        <f t="shared" si="32"/>
        <v>227</v>
      </c>
      <c r="F227" s="9" t="s">
        <v>113</v>
      </c>
      <c r="M227" s="22">
        <v>100</v>
      </c>
    </row>
    <row r="228" spans="1:13">
      <c r="E228" s="22">
        <f t="shared" si="32"/>
        <v>228</v>
      </c>
      <c r="F228" s="9" t="s">
        <v>153</v>
      </c>
      <c r="M228" s="22">
        <v>1.5</v>
      </c>
    </row>
    <row r="229" spans="1:13" ht="20.25" customHeight="1">
      <c r="E229" s="22">
        <f t="shared" si="32"/>
        <v>229</v>
      </c>
      <c r="F229" s="9" t="s">
        <v>156</v>
      </c>
      <c r="M229" s="22" t="b">
        <v>1</v>
      </c>
    </row>
    <row r="230" spans="1:13">
      <c r="A230" s="22" t="s">
        <v>242</v>
      </c>
      <c r="B230" s="22">
        <f t="shared" ref="B230" si="33">QUOTIENT( D230-1,G231)+1</f>
        <v>1</v>
      </c>
      <c r="C230" s="22">
        <f t="shared" ref="C230" si="34">D230-(B230-1)*G231</f>
        <v>2</v>
      </c>
      <c r="D230" s="22">
        <f>COUNT($D$208:$D229)+1</f>
        <v>2</v>
      </c>
    </row>
    <row r="231" spans="1:13">
      <c r="E231" s="22">
        <f t="shared" si="32"/>
        <v>231</v>
      </c>
      <c r="F231" s="9" t="s">
        <v>93</v>
      </c>
      <c r="G231" s="22">
        <v>10</v>
      </c>
      <c r="H231" s="22">
        <v>1</v>
      </c>
      <c r="J231" s="9">
        <v>11600</v>
      </c>
      <c r="M231" s="22">
        <f t="shared" ref="M231" si="35">J231+D230</f>
        <v>11602</v>
      </c>
    </row>
    <row r="232" spans="1:13">
      <c r="E232" s="22">
        <f t="shared" si="32"/>
        <v>232</v>
      </c>
      <c r="F232" s="9" t="s">
        <v>146</v>
      </c>
      <c r="M232" s="22">
        <v>11500</v>
      </c>
    </row>
    <row r="233" spans="1:13">
      <c r="E233" s="22">
        <f t="shared" si="32"/>
        <v>233</v>
      </c>
      <c r="F233" s="9" t="s">
        <v>131</v>
      </c>
      <c r="M233" s="22">
        <v>0</v>
      </c>
    </row>
    <row r="234" spans="1:13">
      <c r="E234" s="22">
        <f t="shared" si="32"/>
        <v>234</v>
      </c>
      <c r="F234" s="9" t="s">
        <v>35</v>
      </c>
      <c r="M234" s="22">
        <v>240</v>
      </c>
    </row>
    <row r="235" spans="1:13">
      <c r="E235" s="22">
        <f t="shared" si="32"/>
        <v>235</v>
      </c>
      <c r="F235" s="9" t="s">
        <v>29</v>
      </c>
      <c r="M235" s="22" t="s">
        <v>243</v>
      </c>
    </row>
    <row r="236" spans="1:13">
      <c r="E236" s="22">
        <f t="shared" si="32"/>
        <v>236</v>
      </c>
      <c r="F236" s="9" t="s">
        <v>122</v>
      </c>
      <c r="M236" s="22" t="s">
        <v>244</v>
      </c>
    </row>
    <row r="237" spans="1:13">
      <c r="E237" s="22">
        <f t="shared" si="32"/>
        <v>237</v>
      </c>
      <c r="F237" s="9" t="s">
        <v>99</v>
      </c>
      <c r="K237" s="9" t="s">
        <v>141</v>
      </c>
      <c r="M237" s="22">
        <v>2</v>
      </c>
    </row>
    <row r="238" spans="1:13">
      <c r="E238" s="22">
        <f t="shared" si="32"/>
        <v>238</v>
      </c>
      <c r="F238" s="9" t="s">
        <v>113</v>
      </c>
      <c r="M238" s="22">
        <v>0</v>
      </c>
    </row>
    <row r="239" spans="1:13">
      <c r="E239" s="22">
        <f t="shared" si="32"/>
        <v>239</v>
      </c>
      <c r="F239" s="9" t="s">
        <v>30</v>
      </c>
      <c r="M239" s="22">
        <v>-1.5</v>
      </c>
    </row>
    <row r="240" spans="1:13">
      <c r="E240" s="22">
        <f t="shared" si="32"/>
        <v>240</v>
      </c>
      <c r="F240" s="9" t="s">
        <v>119</v>
      </c>
      <c r="M240" s="22">
        <v>1.5</v>
      </c>
    </row>
    <row r="241" spans="1:13">
      <c r="E241" s="22">
        <f t="shared" si="32"/>
        <v>241</v>
      </c>
      <c r="F241" s="9" t="s">
        <v>31</v>
      </c>
      <c r="G241" s="22">
        <v>36</v>
      </c>
      <c r="L241" s="9" t="s">
        <v>138</v>
      </c>
      <c r="M241" s="22">
        <f t="shared" ref="M241" si="36">$G$220*D230</f>
        <v>72</v>
      </c>
    </row>
    <row r="242" spans="1:13">
      <c r="E242" s="22">
        <f t="shared" si="32"/>
        <v>242</v>
      </c>
      <c r="F242" s="9" t="s">
        <v>120</v>
      </c>
      <c r="K242" s="9" t="s">
        <v>141</v>
      </c>
      <c r="M242" s="22">
        <v>2</v>
      </c>
    </row>
    <row r="243" spans="1:13">
      <c r="E243" s="22">
        <f t="shared" si="32"/>
        <v>243</v>
      </c>
      <c r="F243" s="9" t="s">
        <v>118</v>
      </c>
      <c r="M243" s="22" t="b">
        <v>1</v>
      </c>
    </row>
    <row r="244" spans="1:13">
      <c r="E244" s="22">
        <f t="shared" si="32"/>
        <v>244</v>
      </c>
      <c r="F244" s="9" t="s">
        <v>129</v>
      </c>
      <c r="M244" s="22">
        <v>5</v>
      </c>
    </row>
    <row r="245" spans="1:13">
      <c r="E245" s="22">
        <f t="shared" si="32"/>
        <v>245</v>
      </c>
      <c r="F245" s="9" t="s">
        <v>105</v>
      </c>
      <c r="M245" s="22">
        <f t="shared" ref="M245" si="37">M231*10+1</f>
        <v>116021</v>
      </c>
    </row>
    <row r="246" spans="1:13">
      <c r="E246" s="22">
        <f t="shared" si="32"/>
        <v>246</v>
      </c>
      <c r="F246" s="9" t="s">
        <v>146</v>
      </c>
      <c r="M246" s="22">
        <f t="shared" ref="M246" si="38">M231</f>
        <v>11602</v>
      </c>
    </row>
    <row r="247" spans="1:13">
      <c r="E247" s="22">
        <f t="shared" si="32"/>
        <v>247</v>
      </c>
      <c r="F247" s="9" t="s">
        <v>131</v>
      </c>
      <c r="M247" s="22">
        <v>0</v>
      </c>
    </row>
    <row r="248" spans="1:13">
      <c r="E248" s="22">
        <f t="shared" si="32"/>
        <v>248</v>
      </c>
      <c r="F248" s="9" t="s">
        <v>113</v>
      </c>
      <c r="M248" s="22">
        <v>100</v>
      </c>
    </row>
    <row r="249" spans="1:13">
      <c r="E249" s="22">
        <f t="shared" si="32"/>
        <v>249</v>
      </c>
      <c r="F249" s="9" t="s">
        <v>119</v>
      </c>
      <c r="M249" s="22">
        <v>1.5</v>
      </c>
    </row>
    <row r="250" spans="1:13">
      <c r="E250" s="22">
        <f t="shared" si="32"/>
        <v>250</v>
      </c>
      <c r="F250" s="9" t="s">
        <v>118</v>
      </c>
      <c r="M250" s="22" t="b">
        <v>1</v>
      </c>
    </row>
    <row r="251" spans="1:13">
      <c r="A251" s="22" t="s">
        <v>242</v>
      </c>
      <c r="B251" s="22">
        <f t="shared" ref="B251" si="39">QUOTIENT( D251-1,G252)+1</f>
        <v>1</v>
      </c>
      <c r="C251" s="22">
        <f t="shared" ref="C251" si="40">D251-(B251-1)*G252</f>
        <v>3</v>
      </c>
      <c r="D251" s="22">
        <f>COUNT($D$208:$D250)+1</f>
        <v>3</v>
      </c>
    </row>
    <row r="252" spans="1:13">
      <c r="E252" s="22">
        <f t="shared" si="32"/>
        <v>252</v>
      </c>
      <c r="F252" s="9" t="s">
        <v>93</v>
      </c>
      <c r="G252" s="22">
        <v>10</v>
      </c>
      <c r="H252" s="22">
        <v>1</v>
      </c>
      <c r="J252" s="9">
        <v>11600</v>
      </c>
      <c r="M252" s="22">
        <f t="shared" ref="M252" si="41">J252+D251</f>
        <v>11603</v>
      </c>
    </row>
    <row r="253" spans="1:13">
      <c r="E253" s="22">
        <f t="shared" si="32"/>
        <v>253</v>
      </c>
      <c r="F253" s="9" t="s">
        <v>146</v>
      </c>
      <c r="M253" s="22">
        <v>11500</v>
      </c>
    </row>
    <row r="254" spans="1:13">
      <c r="E254" s="22">
        <f t="shared" si="32"/>
        <v>254</v>
      </c>
      <c r="F254" s="9" t="s">
        <v>131</v>
      </c>
      <c r="M254" s="22">
        <v>0</v>
      </c>
    </row>
    <row r="255" spans="1:13">
      <c r="E255" s="22">
        <f t="shared" si="32"/>
        <v>255</v>
      </c>
      <c r="F255" s="9" t="s">
        <v>35</v>
      </c>
      <c r="M255" s="22">
        <v>240</v>
      </c>
    </row>
    <row r="256" spans="1:13">
      <c r="E256" s="22">
        <f t="shared" si="32"/>
        <v>256</v>
      </c>
      <c r="F256" s="9" t="s">
        <v>29</v>
      </c>
      <c r="M256" s="22" t="s">
        <v>243</v>
      </c>
    </row>
    <row r="257" spans="1:13">
      <c r="E257" s="22">
        <f t="shared" si="32"/>
        <v>257</v>
      </c>
      <c r="F257" s="9" t="s">
        <v>122</v>
      </c>
      <c r="M257" s="22" t="s">
        <v>244</v>
      </c>
    </row>
    <row r="258" spans="1:13">
      <c r="E258" s="22">
        <f t="shared" si="32"/>
        <v>258</v>
      </c>
      <c r="F258" s="9" t="s">
        <v>99</v>
      </c>
      <c r="K258" s="9" t="s">
        <v>141</v>
      </c>
      <c r="M258" s="22">
        <v>2</v>
      </c>
    </row>
    <row r="259" spans="1:13">
      <c r="E259" s="22">
        <f t="shared" si="32"/>
        <v>259</v>
      </c>
      <c r="F259" s="9" t="s">
        <v>113</v>
      </c>
      <c r="M259" s="22">
        <v>0</v>
      </c>
    </row>
    <row r="260" spans="1:13">
      <c r="E260" s="22">
        <f t="shared" si="32"/>
        <v>260</v>
      </c>
      <c r="F260" s="9" t="s">
        <v>30</v>
      </c>
      <c r="M260" s="22">
        <v>-1.5</v>
      </c>
    </row>
    <row r="261" spans="1:13">
      <c r="E261" s="22">
        <f t="shared" si="32"/>
        <v>261</v>
      </c>
      <c r="F261" s="9" t="s">
        <v>119</v>
      </c>
      <c r="M261" s="22">
        <v>1.5</v>
      </c>
    </row>
    <row r="262" spans="1:13">
      <c r="E262" s="22">
        <f t="shared" si="32"/>
        <v>262</v>
      </c>
      <c r="F262" s="9" t="s">
        <v>31</v>
      </c>
      <c r="G262" s="22">
        <v>36</v>
      </c>
      <c r="L262" s="9" t="s">
        <v>138</v>
      </c>
      <c r="M262" s="22">
        <f t="shared" ref="M262" si="42">$G$220*D251</f>
        <v>108</v>
      </c>
    </row>
    <row r="263" spans="1:13">
      <c r="E263" s="22">
        <f t="shared" si="32"/>
        <v>263</v>
      </c>
      <c r="F263" s="9" t="s">
        <v>120</v>
      </c>
      <c r="K263" s="9" t="s">
        <v>141</v>
      </c>
      <c r="M263" s="22">
        <v>2</v>
      </c>
    </row>
    <row r="264" spans="1:13">
      <c r="E264" s="22">
        <f t="shared" si="32"/>
        <v>264</v>
      </c>
      <c r="F264" s="9" t="s">
        <v>118</v>
      </c>
      <c r="M264" s="22" t="b">
        <v>1</v>
      </c>
    </row>
    <row r="265" spans="1:13">
      <c r="E265" s="22">
        <f t="shared" si="32"/>
        <v>265</v>
      </c>
      <c r="F265" s="9" t="s">
        <v>129</v>
      </c>
      <c r="M265" s="22">
        <v>5</v>
      </c>
    </row>
    <row r="266" spans="1:13">
      <c r="E266" s="22">
        <f t="shared" si="32"/>
        <v>266</v>
      </c>
      <c r="F266" s="9" t="s">
        <v>105</v>
      </c>
      <c r="M266" s="22">
        <f t="shared" ref="M266" si="43">M252*10+1</f>
        <v>116031</v>
      </c>
    </row>
    <row r="267" spans="1:13">
      <c r="E267" s="22">
        <f t="shared" si="32"/>
        <v>267</v>
      </c>
      <c r="F267" s="9" t="s">
        <v>146</v>
      </c>
      <c r="M267" s="22">
        <f t="shared" ref="M267" si="44">M252</f>
        <v>11603</v>
      </c>
    </row>
    <row r="268" spans="1:13">
      <c r="E268" s="22">
        <f t="shared" si="32"/>
        <v>268</v>
      </c>
      <c r="F268" s="9" t="s">
        <v>131</v>
      </c>
      <c r="M268" s="22">
        <v>0</v>
      </c>
    </row>
    <row r="269" spans="1:13">
      <c r="E269" s="22">
        <f t="shared" si="32"/>
        <v>269</v>
      </c>
      <c r="F269" s="9" t="s">
        <v>113</v>
      </c>
      <c r="M269" s="22">
        <v>100</v>
      </c>
    </row>
    <row r="270" spans="1:13">
      <c r="E270" s="22">
        <f t="shared" si="32"/>
        <v>270</v>
      </c>
      <c r="F270" s="9" t="s">
        <v>119</v>
      </c>
      <c r="M270" s="22">
        <v>1.5</v>
      </c>
    </row>
    <row r="271" spans="1:13">
      <c r="E271" s="22">
        <f t="shared" si="32"/>
        <v>271</v>
      </c>
      <c r="F271" s="9" t="s">
        <v>118</v>
      </c>
      <c r="M271" s="22" t="b">
        <v>1</v>
      </c>
    </row>
    <row r="272" spans="1:13">
      <c r="A272" s="22" t="s">
        <v>242</v>
      </c>
      <c r="B272" s="22">
        <f t="shared" ref="B272" si="45">QUOTIENT( D272-1,G273)+1</f>
        <v>1</v>
      </c>
      <c r="C272" s="22">
        <f t="shared" ref="C272" si="46">D272-(B272-1)*G273</f>
        <v>4</v>
      </c>
      <c r="D272" s="22">
        <f>COUNT($D$208:$D271)+1</f>
        <v>4</v>
      </c>
    </row>
    <row r="273" spans="5:13">
      <c r="E273" s="22">
        <f t="shared" si="32"/>
        <v>273</v>
      </c>
      <c r="F273" s="9" t="s">
        <v>93</v>
      </c>
      <c r="G273" s="22">
        <v>10</v>
      </c>
      <c r="H273" s="22">
        <v>1</v>
      </c>
      <c r="J273" s="9">
        <v>11600</v>
      </c>
      <c r="M273" s="22">
        <f t="shared" ref="M273" si="47">J273+D272</f>
        <v>11604</v>
      </c>
    </row>
    <row r="274" spans="5:13">
      <c r="E274" s="22">
        <f t="shared" ref="E274:E337" si="48">ROW(E274)</f>
        <v>274</v>
      </c>
      <c r="F274" s="9" t="s">
        <v>146</v>
      </c>
      <c r="M274" s="22">
        <v>11500</v>
      </c>
    </row>
    <row r="275" spans="5:13">
      <c r="E275" s="22">
        <f t="shared" si="48"/>
        <v>275</v>
      </c>
      <c r="F275" s="9" t="s">
        <v>131</v>
      </c>
      <c r="M275" s="22">
        <v>0</v>
      </c>
    </row>
    <row r="276" spans="5:13">
      <c r="E276" s="22">
        <f t="shared" si="48"/>
        <v>276</v>
      </c>
      <c r="F276" s="9" t="s">
        <v>35</v>
      </c>
      <c r="M276" s="22">
        <v>240</v>
      </c>
    </row>
    <row r="277" spans="5:13">
      <c r="E277" s="22">
        <f t="shared" si="48"/>
        <v>277</v>
      </c>
      <c r="F277" s="9" t="s">
        <v>29</v>
      </c>
      <c r="M277" s="22" t="s">
        <v>243</v>
      </c>
    </row>
    <row r="278" spans="5:13">
      <c r="E278" s="22">
        <f t="shared" si="48"/>
        <v>278</v>
      </c>
      <c r="F278" s="9" t="s">
        <v>122</v>
      </c>
      <c r="M278" s="22" t="s">
        <v>244</v>
      </c>
    </row>
    <row r="279" spans="5:13">
      <c r="E279" s="22">
        <f t="shared" si="48"/>
        <v>279</v>
      </c>
      <c r="F279" s="9" t="s">
        <v>99</v>
      </c>
      <c r="K279" s="9" t="s">
        <v>141</v>
      </c>
      <c r="M279" s="22">
        <v>2</v>
      </c>
    </row>
    <row r="280" spans="5:13">
      <c r="E280" s="22">
        <f t="shared" si="48"/>
        <v>280</v>
      </c>
      <c r="F280" s="9" t="s">
        <v>113</v>
      </c>
      <c r="M280" s="22">
        <v>0</v>
      </c>
    </row>
    <row r="281" spans="5:13">
      <c r="E281" s="22">
        <f t="shared" si="48"/>
        <v>281</v>
      </c>
      <c r="F281" s="9" t="s">
        <v>30</v>
      </c>
      <c r="M281" s="22">
        <v>-1.5</v>
      </c>
    </row>
    <row r="282" spans="5:13">
      <c r="E282" s="22">
        <f t="shared" si="48"/>
        <v>282</v>
      </c>
      <c r="F282" s="9" t="s">
        <v>119</v>
      </c>
      <c r="M282" s="22">
        <v>1.5</v>
      </c>
    </row>
    <row r="283" spans="5:13">
      <c r="E283" s="22">
        <f t="shared" si="48"/>
        <v>283</v>
      </c>
      <c r="F283" s="9" t="s">
        <v>31</v>
      </c>
      <c r="G283" s="22">
        <v>36</v>
      </c>
      <c r="L283" s="9" t="s">
        <v>138</v>
      </c>
      <c r="M283" s="22">
        <f t="shared" ref="M283" si="49">$G$220*D272</f>
        <v>144</v>
      </c>
    </row>
    <row r="284" spans="5:13">
      <c r="E284" s="22">
        <f t="shared" si="48"/>
        <v>284</v>
      </c>
      <c r="F284" s="9" t="s">
        <v>120</v>
      </c>
      <c r="K284" s="9" t="s">
        <v>141</v>
      </c>
      <c r="M284" s="22">
        <v>2</v>
      </c>
    </row>
    <row r="285" spans="5:13">
      <c r="E285" s="22">
        <f t="shared" si="48"/>
        <v>285</v>
      </c>
      <c r="F285" s="9" t="s">
        <v>118</v>
      </c>
      <c r="M285" s="22" t="b">
        <v>1</v>
      </c>
    </row>
    <row r="286" spans="5:13">
      <c r="E286" s="22">
        <f t="shared" si="48"/>
        <v>286</v>
      </c>
      <c r="F286" s="9" t="s">
        <v>129</v>
      </c>
      <c r="M286" s="22">
        <v>5</v>
      </c>
    </row>
    <row r="287" spans="5:13">
      <c r="E287" s="22">
        <f t="shared" si="48"/>
        <v>287</v>
      </c>
      <c r="F287" s="9" t="s">
        <v>105</v>
      </c>
      <c r="M287" s="22">
        <f t="shared" ref="M287" si="50">M273*10+1</f>
        <v>116041</v>
      </c>
    </row>
    <row r="288" spans="5:13">
      <c r="E288" s="22">
        <f t="shared" si="48"/>
        <v>288</v>
      </c>
      <c r="F288" s="9" t="s">
        <v>146</v>
      </c>
      <c r="M288" s="22">
        <f t="shared" ref="M288" si="51">M273</f>
        <v>11604</v>
      </c>
    </row>
    <row r="289" spans="1:13">
      <c r="E289" s="22">
        <f t="shared" si="48"/>
        <v>289</v>
      </c>
      <c r="F289" s="9" t="s">
        <v>131</v>
      </c>
      <c r="M289" s="22">
        <v>0</v>
      </c>
    </row>
    <row r="290" spans="1:13">
      <c r="E290" s="22">
        <f t="shared" si="48"/>
        <v>290</v>
      </c>
      <c r="F290" s="9" t="s">
        <v>113</v>
      </c>
      <c r="M290" s="22">
        <v>100</v>
      </c>
    </row>
    <row r="291" spans="1:13">
      <c r="E291" s="22">
        <f t="shared" si="48"/>
        <v>291</v>
      </c>
      <c r="F291" s="9" t="s">
        <v>119</v>
      </c>
      <c r="M291" s="22">
        <v>1.5</v>
      </c>
    </row>
    <row r="292" spans="1:13">
      <c r="E292" s="22">
        <f t="shared" si="48"/>
        <v>292</v>
      </c>
      <c r="F292" s="9" t="s">
        <v>118</v>
      </c>
      <c r="M292" s="22" t="b">
        <v>1</v>
      </c>
    </row>
    <row r="293" spans="1:13">
      <c r="A293" s="22" t="s">
        <v>242</v>
      </c>
      <c r="B293" s="22">
        <f t="shared" ref="B293" si="52">QUOTIENT( D293-1,G294)+1</f>
        <v>1</v>
      </c>
      <c r="C293" s="22">
        <f t="shared" ref="C293" si="53">D293-(B293-1)*G294</f>
        <v>5</v>
      </c>
      <c r="D293" s="22">
        <f>COUNT($D$208:$D292)+1</f>
        <v>5</v>
      </c>
    </row>
    <row r="294" spans="1:13">
      <c r="E294" s="22">
        <f t="shared" si="48"/>
        <v>294</v>
      </c>
      <c r="F294" s="9" t="s">
        <v>93</v>
      </c>
      <c r="G294" s="22">
        <v>10</v>
      </c>
      <c r="H294" s="22">
        <v>1</v>
      </c>
      <c r="J294" s="9">
        <v>11600</v>
      </c>
      <c r="M294" s="22">
        <f t="shared" ref="M294" si="54">J294+D293</f>
        <v>11605</v>
      </c>
    </row>
    <row r="295" spans="1:13">
      <c r="E295" s="22">
        <f t="shared" si="48"/>
        <v>295</v>
      </c>
      <c r="F295" s="9" t="s">
        <v>146</v>
      </c>
      <c r="M295" s="22">
        <v>11500</v>
      </c>
    </row>
    <row r="296" spans="1:13">
      <c r="E296" s="22">
        <f t="shared" si="48"/>
        <v>296</v>
      </c>
      <c r="F296" s="9" t="s">
        <v>131</v>
      </c>
      <c r="M296" s="22">
        <v>0</v>
      </c>
    </row>
    <row r="297" spans="1:13">
      <c r="E297" s="22">
        <f t="shared" si="48"/>
        <v>297</v>
      </c>
      <c r="F297" s="9" t="s">
        <v>35</v>
      </c>
      <c r="M297" s="22">
        <v>240</v>
      </c>
    </row>
    <row r="298" spans="1:13">
      <c r="E298" s="22">
        <f t="shared" si="48"/>
        <v>298</v>
      </c>
      <c r="F298" s="9" t="s">
        <v>29</v>
      </c>
      <c r="M298" s="22" t="s">
        <v>243</v>
      </c>
    </row>
    <row r="299" spans="1:13">
      <c r="E299" s="22">
        <f t="shared" si="48"/>
        <v>299</v>
      </c>
      <c r="F299" s="9" t="s">
        <v>122</v>
      </c>
      <c r="M299" s="22" t="s">
        <v>244</v>
      </c>
    </row>
    <row r="300" spans="1:13">
      <c r="E300" s="22">
        <f t="shared" si="48"/>
        <v>300</v>
      </c>
      <c r="F300" s="9" t="s">
        <v>99</v>
      </c>
      <c r="K300" s="9" t="s">
        <v>141</v>
      </c>
      <c r="M300" s="22">
        <v>2</v>
      </c>
    </row>
    <row r="301" spans="1:13">
      <c r="E301" s="22">
        <f t="shared" si="48"/>
        <v>301</v>
      </c>
      <c r="F301" s="9" t="s">
        <v>113</v>
      </c>
      <c r="M301" s="22">
        <v>0</v>
      </c>
    </row>
    <row r="302" spans="1:13">
      <c r="E302" s="22">
        <f t="shared" si="48"/>
        <v>302</v>
      </c>
      <c r="F302" s="9" t="s">
        <v>30</v>
      </c>
      <c r="M302" s="22">
        <v>-1.5</v>
      </c>
    </row>
    <row r="303" spans="1:13">
      <c r="E303" s="22">
        <f t="shared" si="48"/>
        <v>303</v>
      </c>
      <c r="F303" s="9" t="s">
        <v>119</v>
      </c>
      <c r="M303" s="22">
        <v>1.5</v>
      </c>
    </row>
    <row r="304" spans="1:13">
      <c r="E304" s="22">
        <f t="shared" si="48"/>
        <v>304</v>
      </c>
      <c r="F304" s="9" t="s">
        <v>31</v>
      </c>
      <c r="G304" s="22">
        <v>36</v>
      </c>
      <c r="L304" s="9" t="s">
        <v>138</v>
      </c>
      <c r="M304" s="22">
        <f t="shared" ref="M304" si="55">$G$220*D293</f>
        <v>180</v>
      </c>
    </row>
    <row r="305" spans="1:13">
      <c r="E305" s="22">
        <f t="shared" si="48"/>
        <v>305</v>
      </c>
      <c r="F305" s="9" t="s">
        <v>120</v>
      </c>
      <c r="K305" s="9" t="s">
        <v>141</v>
      </c>
      <c r="M305" s="22">
        <v>2</v>
      </c>
    </row>
    <row r="306" spans="1:13">
      <c r="E306" s="22">
        <f t="shared" si="48"/>
        <v>306</v>
      </c>
      <c r="F306" s="9" t="s">
        <v>118</v>
      </c>
      <c r="M306" s="22" t="b">
        <v>1</v>
      </c>
    </row>
    <row r="307" spans="1:13">
      <c r="E307" s="22">
        <f t="shared" si="48"/>
        <v>307</v>
      </c>
      <c r="F307" s="9" t="s">
        <v>129</v>
      </c>
      <c r="M307" s="22">
        <v>5</v>
      </c>
    </row>
    <row r="308" spans="1:13">
      <c r="E308" s="22">
        <f t="shared" si="48"/>
        <v>308</v>
      </c>
      <c r="F308" s="9" t="s">
        <v>105</v>
      </c>
      <c r="M308" s="22">
        <f t="shared" ref="M308" si="56">M294*10+1</f>
        <v>116051</v>
      </c>
    </row>
    <row r="309" spans="1:13">
      <c r="E309" s="22">
        <f t="shared" si="48"/>
        <v>309</v>
      </c>
      <c r="F309" s="9" t="s">
        <v>146</v>
      </c>
      <c r="M309" s="22">
        <f t="shared" ref="M309" si="57">M294</f>
        <v>11605</v>
      </c>
    </row>
    <row r="310" spans="1:13">
      <c r="E310" s="22">
        <f t="shared" si="48"/>
        <v>310</v>
      </c>
      <c r="F310" s="9" t="s">
        <v>131</v>
      </c>
      <c r="M310" s="22">
        <v>0</v>
      </c>
    </row>
    <row r="311" spans="1:13">
      <c r="E311" s="22">
        <f t="shared" si="48"/>
        <v>311</v>
      </c>
      <c r="F311" s="9" t="s">
        <v>113</v>
      </c>
      <c r="M311" s="22">
        <v>100</v>
      </c>
    </row>
    <row r="312" spans="1:13">
      <c r="E312" s="22">
        <f t="shared" si="48"/>
        <v>312</v>
      </c>
      <c r="F312" s="9" t="s">
        <v>119</v>
      </c>
      <c r="M312" s="22">
        <v>1.5</v>
      </c>
    </row>
    <row r="313" spans="1:13">
      <c r="E313" s="22">
        <f t="shared" si="48"/>
        <v>313</v>
      </c>
      <c r="F313" s="9" t="s">
        <v>118</v>
      </c>
      <c r="M313" s="22" t="b">
        <v>1</v>
      </c>
    </row>
    <row r="314" spans="1:13">
      <c r="A314" s="22" t="s">
        <v>242</v>
      </c>
      <c r="B314" s="22">
        <f t="shared" ref="B314" si="58">QUOTIENT( D314-1,G315)+1</f>
        <v>1</v>
      </c>
      <c r="C314" s="22">
        <f t="shared" ref="C314" si="59">D314-(B314-1)*G315</f>
        <v>6</v>
      </c>
      <c r="D314" s="22">
        <f>COUNT($D$208:$D313)+1</f>
        <v>6</v>
      </c>
    </row>
    <row r="315" spans="1:13">
      <c r="E315" s="22">
        <f t="shared" si="48"/>
        <v>315</v>
      </c>
      <c r="F315" s="9" t="s">
        <v>93</v>
      </c>
      <c r="G315" s="22">
        <v>10</v>
      </c>
      <c r="H315" s="22">
        <v>1</v>
      </c>
      <c r="J315" s="9">
        <v>11600</v>
      </c>
      <c r="M315" s="22">
        <f t="shared" ref="M315" si="60">J315+D314</f>
        <v>11606</v>
      </c>
    </row>
    <row r="316" spans="1:13">
      <c r="E316" s="22">
        <f t="shared" si="48"/>
        <v>316</v>
      </c>
      <c r="F316" s="9" t="s">
        <v>146</v>
      </c>
      <c r="M316" s="22">
        <v>11500</v>
      </c>
    </row>
    <row r="317" spans="1:13">
      <c r="E317" s="22">
        <f t="shared" si="48"/>
        <v>317</v>
      </c>
      <c r="F317" s="9" t="s">
        <v>131</v>
      </c>
      <c r="M317" s="22">
        <v>0</v>
      </c>
    </row>
    <row r="318" spans="1:13">
      <c r="E318" s="22">
        <f t="shared" si="48"/>
        <v>318</v>
      </c>
      <c r="F318" s="9" t="s">
        <v>35</v>
      </c>
      <c r="M318" s="22">
        <v>240</v>
      </c>
    </row>
    <row r="319" spans="1:13">
      <c r="E319" s="22">
        <f t="shared" si="48"/>
        <v>319</v>
      </c>
      <c r="F319" s="9" t="s">
        <v>29</v>
      </c>
      <c r="M319" s="22" t="s">
        <v>243</v>
      </c>
    </row>
    <row r="320" spans="1:13">
      <c r="E320" s="22">
        <f t="shared" si="48"/>
        <v>320</v>
      </c>
      <c r="F320" s="9" t="s">
        <v>122</v>
      </c>
      <c r="M320" s="22" t="s">
        <v>244</v>
      </c>
    </row>
    <row r="321" spans="1:13">
      <c r="E321" s="22">
        <f t="shared" si="48"/>
        <v>321</v>
      </c>
      <c r="F321" s="9" t="s">
        <v>99</v>
      </c>
      <c r="K321" s="9" t="s">
        <v>141</v>
      </c>
      <c r="M321" s="22">
        <v>2</v>
      </c>
    </row>
    <row r="322" spans="1:13">
      <c r="E322" s="22">
        <f t="shared" si="48"/>
        <v>322</v>
      </c>
      <c r="F322" s="9" t="s">
        <v>113</v>
      </c>
      <c r="M322" s="22">
        <v>0</v>
      </c>
    </row>
    <row r="323" spans="1:13">
      <c r="E323" s="22">
        <f t="shared" si="48"/>
        <v>323</v>
      </c>
      <c r="F323" s="9" t="s">
        <v>30</v>
      </c>
      <c r="M323" s="22">
        <v>-1.5</v>
      </c>
    </row>
    <row r="324" spans="1:13">
      <c r="E324" s="22">
        <f t="shared" si="48"/>
        <v>324</v>
      </c>
      <c r="F324" s="9" t="s">
        <v>119</v>
      </c>
      <c r="M324" s="22">
        <v>1.5</v>
      </c>
    </row>
    <row r="325" spans="1:13">
      <c r="E325" s="22">
        <f t="shared" si="48"/>
        <v>325</v>
      </c>
      <c r="F325" s="9" t="s">
        <v>31</v>
      </c>
      <c r="G325" s="22">
        <v>36</v>
      </c>
      <c r="L325" s="9" t="s">
        <v>138</v>
      </c>
      <c r="M325" s="22">
        <f t="shared" ref="M325" si="61">$G$220*D314</f>
        <v>216</v>
      </c>
    </row>
    <row r="326" spans="1:13">
      <c r="E326" s="22">
        <f t="shared" si="48"/>
        <v>326</v>
      </c>
      <c r="F326" s="9" t="s">
        <v>120</v>
      </c>
      <c r="K326" s="9" t="s">
        <v>141</v>
      </c>
      <c r="M326" s="22">
        <v>2</v>
      </c>
    </row>
    <row r="327" spans="1:13">
      <c r="E327" s="22">
        <f t="shared" si="48"/>
        <v>327</v>
      </c>
      <c r="F327" s="9" t="s">
        <v>118</v>
      </c>
      <c r="M327" s="22" t="b">
        <v>1</v>
      </c>
    </row>
    <row r="328" spans="1:13">
      <c r="E328" s="22">
        <f t="shared" si="48"/>
        <v>328</v>
      </c>
      <c r="F328" s="9" t="s">
        <v>129</v>
      </c>
      <c r="M328" s="22">
        <v>5</v>
      </c>
    </row>
    <row r="329" spans="1:13">
      <c r="E329" s="22">
        <f t="shared" si="48"/>
        <v>329</v>
      </c>
      <c r="F329" s="9" t="s">
        <v>105</v>
      </c>
      <c r="M329" s="22">
        <f t="shared" ref="M329" si="62">M315*10+1</f>
        <v>116061</v>
      </c>
    </row>
    <row r="330" spans="1:13">
      <c r="E330" s="22">
        <f t="shared" si="48"/>
        <v>330</v>
      </c>
      <c r="F330" s="9" t="s">
        <v>146</v>
      </c>
      <c r="M330" s="22">
        <f t="shared" ref="M330" si="63">M315</f>
        <v>11606</v>
      </c>
    </row>
    <row r="331" spans="1:13">
      <c r="E331" s="22">
        <f t="shared" si="48"/>
        <v>331</v>
      </c>
      <c r="F331" s="9" t="s">
        <v>131</v>
      </c>
      <c r="M331" s="22">
        <v>0</v>
      </c>
    </row>
    <row r="332" spans="1:13">
      <c r="E332" s="22">
        <f t="shared" si="48"/>
        <v>332</v>
      </c>
      <c r="F332" s="9" t="s">
        <v>113</v>
      </c>
      <c r="M332" s="22">
        <v>100</v>
      </c>
    </row>
    <row r="333" spans="1:13">
      <c r="E333" s="22">
        <f t="shared" si="48"/>
        <v>333</v>
      </c>
      <c r="F333" s="9" t="s">
        <v>119</v>
      </c>
      <c r="M333" s="22">
        <v>1.5</v>
      </c>
    </row>
    <row r="334" spans="1:13">
      <c r="E334" s="22">
        <f t="shared" si="48"/>
        <v>334</v>
      </c>
      <c r="F334" s="9" t="s">
        <v>118</v>
      </c>
      <c r="M334" s="22" t="b">
        <v>1</v>
      </c>
    </row>
    <row r="335" spans="1:13">
      <c r="A335" s="22" t="s">
        <v>242</v>
      </c>
      <c r="B335" s="22">
        <f t="shared" ref="B335" si="64">QUOTIENT( D335-1,G336)+1</f>
        <v>1</v>
      </c>
      <c r="C335" s="22">
        <f t="shared" ref="C335" si="65">D335-(B335-1)*G336</f>
        <v>7</v>
      </c>
      <c r="D335" s="22">
        <f>COUNT($D$208:$D334)+1</f>
        <v>7</v>
      </c>
    </row>
    <row r="336" spans="1:13">
      <c r="E336" s="22">
        <f t="shared" si="48"/>
        <v>336</v>
      </c>
      <c r="F336" s="9" t="s">
        <v>93</v>
      </c>
      <c r="G336" s="22">
        <v>10</v>
      </c>
      <c r="H336" s="22">
        <v>1</v>
      </c>
      <c r="J336" s="9">
        <v>11600</v>
      </c>
      <c r="M336" s="22">
        <f t="shared" ref="M336" si="66">J336+D335</f>
        <v>11607</v>
      </c>
    </row>
    <row r="337" spans="5:13">
      <c r="E337" s="22">
        <f t="shared" si="48"/>
        <v>337</v>
      </c>
      <c r="F337" s="9" t="s">
        <v>146</v>
      </c>
      <c r="M337" s="22">
        <v>11500</v>
      </c>
    </row>
    <row r="338" spans="5:13">
      <c r="E338" s="22">
        <f t="shared" ref="E338:E401" si="67">ROW(E338)</f>
        <v>338</v>
      </c>
      <c r="F338" s="9" t="s">
        <v>131</v>
      </c>
      <c r="M338" s="22">
        <v>0</v>
      </c>
    </row>
    <row r="339" spans="5:13">
      <c r="E339" s="22">
        <f t="shared" si="67"/>
        <v>339</v>
      </c>
      <c r="F339" s="9" t="s">
        <v>35</v>
      </c>
      <c r="M339" s="22">
        <v>240</v>
      </c>
    </row>
    <row r="340" spans="5:13">
      <c r="E340" s="22">
        <f t="shared" si="67"/>
        <v>340</v>
      </c>
      <c r="F340" s="9" t="s">
        <v>29</v>
      </c>
      <c r="M340" s="22" t="s">
        <v>243</v>
      </c>
    </row>
    <row r="341" spans="5:13">
      <c r="E341" s="22">
        <f t="shared" si="67"/>
        <v>341</v>
      </c>
      <c r="F341" s="9" t="s">
        <v>122</v>
      </c>
      <c r="M341" s="22" t="s">
        <v>244</v>
      </c>
    </row>
    <row r="342" spans="5:13">
      <c r="E342" s="22">
        <f t="shared" si="67"/>
        <v>342</v>
      </c>
      <c r="F342" s="9" t="s">
        <v>99</v>
      </c>
      <c r="K342" s="9" t="s">
        <v>141</v>
      </c>
      <c r="M342" s="22">
        <v>2</v>
      </c>
    </row>
    <row r="343" spans="5:13">
      <c r="E343" s="22">
        <f t="shared" si="67"/>
        <v>343</v>
      </c>
      <c r="F343" s="9" t="s">
        <v>113</v>
      </c>
      <c r="M343" s="22">
        <v>0</v>
      </c>
    </row>
    <row r="344" spans="5:13">
      <c r="E344" s="22">
        <f t="shared" si="67"/>
        <v>344</v>
      </c>
      <c r="F344" s="9" t="s">
        <v>30</v>
      </c>
      <c r="M344" s="22">
        <v>-1.5</v>
      </c>
    </row>
    <row r="345" spans="5:13">
      <c r="E345" s="22">
        <f t="shared" si="67"/>
        <v>345</v>
      </c>
      <c r="F345" s="9" t="s">
        <v>119</v>
      </c>
      <c r="M345" s="22">
        <v>1.5</v>
      </c>
    </row>
    <row r="346" spans="5:13">
      <c r="E346" s="22">
        <f t="shared" si="67"/>
        <v>346</v>
      </c>
      <c r="F346" s="9" t="s">
        <v>31</v>
      </c>
      <c r="G346" s="22">
        <v>36</v>
      </c>
      <c r="L346" s="9" t="s">
        <v>138</v>
      </c>
      <c r="M346" s="22">
        <f t="shared" ref="M346" si="68">$G$220*D335</f>
        <v>252</v>
      </c>
    </row>
    <row r="347" spans="5:13">
      <c r="E347" s="22">
        <f t="shared" si="67"/>
        <v>347</v>
      </c>
      <c r="F347" s="9" t="s">
        <v>120</v>
      </c>
      <c r="K347" s="9" t="s">
        <v>141</v>
      </c>
      <c r="M347" s="22">
        <v>2</v>
      </c>
    </row>
    <row r="348" spans="5:13">
      <c r="E348" s="22">
        <f t="shared" si="67"/>
        <v>348</v>
      </c>
      <c r="F348" s="9" t="s">
        <v>118</v>
      </c>
      <c r="M348" s="22" t="b">
        <v>1</v>
      </c>
    </row>
    <row r="349" spans="5:13">
      <c r="E349" s="22">
        <f t="shared" si="67"/>
        <v>349</v>
      </c>
      <c r="F349" s="9" t="s">
        <v>129</v>
      </c>
      <c r="M349" s="22">
        <v>5</v>
      </c>
    </row>
    <row r="350" spans="5:13">
      <c r="E350" s="22">
        <f t="shared" si="67"/>
        <v>350</v>
      </c>
      <c r="F350" s="9" t="s">
        <v>105</v>
      </c>
      <c r="M350" s="22">
        <f t="shared" ref="M350" si="69">M336*10+1</f>
        <v>116071</v>
      </c>
    </row>
    <row r="351" spans="5:13">
      <c r="E351" s="22">
        <f t="shared" si="67"/>
        <v>351</v>
      </c>
      <c r="F351" s="9" t="s">
        <v>146</v>
      </c>
      <c r="M351" s="22">
        <f t="shared" ref="M351" si="70">M336</f>
        <v>11607</v>
      </c>
    </row>
    <row r="352" spans="5:13">
      <c r="E352" s="22">
        <f t="shared" si="67"/>
        <v>352</v>
      </c>
      <c r="F352" s="9" t="s">
        <v>131</v>
      </c>
      <c r="M352" s="22">
        <v>0</v>
      </c>
    </row>
    <row r="353" spans="1:13">
      <c r="E353" s="22">
        <f t="shared" si="67"/>
        <v>353</v>
      </c>
      <c r="F353" s="9" t="s">
        <v>113</v>
      </c>
      <c r="M353" s="22">
        <v>100</v>
      </c>
    </row>
    <row r="354" spans="1:13">
      <c r="E354" s="22">
        <f t="shared" si="67"/>
        <v>354</v>
      </c>
      <c r="F354" s="9" t="s">
        <v>119</v>
      </c>
      <c r="M354" s="22">
        <v>1.5</v>
      </c>
    </row>
    <row r="355" spans="1:13">
      <c r="E355" s="22">
        <f t="shared" si="67"/>
        <v>355</v>
      </c>
      <c r="F355" s="9" t="s">
        <v>118</v>
      </c>
      <c r="M355" s="22" t="b">
        <v>1</v>
      </c>
    </row>
    <row r="356" spans="1:13">
      <c r="A356" s="22" t="s">
        <v>242</v>
      </c>
      <c r="B356" s="22">
        <f t="shared" ref="B356" si="71">QUOTIENT( D356-1,G357)+1</f>
        <v>1</v>
      </c>
      <c r="C356" s="22">
        <f t="shared" ref="C356" si="72">D356-(B356-1)*G357</f>
        <v>8</v>
      </c>
      <c r="D356" s="22">
        <f>COUNT($D$208:$D355)+1</f>
        <v>8</v>
      </c>
    </row>
    <row r="357" spans="1:13">
      <c r="E357" s="22">
        <f t="shared" si="67"/>
        <v>357</v>
      </c>
      <c r="F357" s="9" t="s">
        <v>93</v>
      </c>
      <c r="G357" s="22">
        <v>10</v>
      </c>
      <c r="H357" s="22">
        <v>1</v>
      </c>
      <c r="J357" s="9">
        <v>11600</v>
      </c>
      <c r="M357" s="22">
        <f t="shared" ref="M357" si="73">J357+D356</f>
        <v>11608</v>
      </c>
    </row>
    <row r="358" spans="1:13">
      <c r="E358" s="22">
        <f t="shared" si="67"/>
        <v>358</v>
      </c>
      <c r="F358" s="9" t="s">
        <v>146</v>
      </c>
      <c r="M358" s="22">
        <v>11500</v>
      </c>
    </row>
    <row r="359" spans="1:13">
      <c r="E359" s="22">
        <f t="shared" si="67"/>
        <v>359</v>
      </c>
      <c r="F359" s="9" t="s">
        <v>131</v>
      </c>
      <c r="M359" s="22">
        <v>0</v>
      </c>
    </row>
    <row r="360" spans="1:13">
      <c r="E360" s="22">
        <f t="shared" si="67"/>
        <v>360</v>
      </c>
      <c r="F360" s="9" t="s">
        <v>35</v>
      </c>
      <c r="M360" s="22">
        <v>240</v>
      </c>
    </row>
    <row r="361" spans="1:13">
      <c r="E361" s="22">
        <f t="shared" si="67"/>
        <v>361</v>
      </c>
      <c r="F361" s="9" t="s">
        <v>29</v>
      </c>
      <c r="M361" s="22" t="s">
        <v>243</v>
      </c>
    </row>
    <row r="362" spans="1:13">
      <c r="E362" s="22">
        <f t="shared" si="67"/>
        <v>362</v>
      </c>
      <c r="F362" s="9" t="s">
        <v>122</v>
      </c>
      <c r="M362" s="22" t="s">
        <v>244</v>
      </c>
    </row>
    <row r="363" spans="1:13">
      <c r="E363" s="22">
        <f t="shared" si="67"/>
        <v>363</v>
      </c>
      <c r="F363" s="9" t="s">
        <v>99</v>
      </c>
      <c r="K363" s="9" t="s">
        <v>141</v>
      </c>
      <c r="M363" s="22">
        <v>2</v>
      </c>
    </row>
    <row r="364" spans="1:13">
      <c r="E364" s="22">
        <f t="shared" si="67"/>
        <v>364</v>
      </c>
      <c r="F364" s="9" t="s">
        <v>113</v>
      </c>
      <c r="M364" s="22">
        <v>0</v>
      </c>
    </row>
    <row r="365" spans="1:13">
      <c r="E365" s="22">
        <f t="shared" si="67"/>
        <v>365</v>
      </c>
      <c r="F365" s="9" t="s">
        <v>30</v>
      </c>
      <c r="M365" s="22">
        <v>-1.5</v>
      </c>
    </row>
    <row r="366" spans="1:13">
      <c r="E366" s="22">
        <f t="shared" si="67"/>
        <v>366</v>
      </c>
      <c r="F366" s="9" t="s">
        <v>119</v>
      </c>
      <c r="M366" s="22">
        <v>1.5</v>
      </c>
    </row>
    <row r="367" spans="1:13">
      <c r="E367" s="22">
        <f t="shared" si="67"/>
        <v>367</v>
      </c>
      <c r="F367" s="9" t="s">
        <v>31</v>
      </c>
      <c r="G367" s="22">
        <v>36</v>
      </c>
      <c r="L367" s="9" t="s">
        <v>138</v>
      </c>
      <c r="M367" s="22">
        <f t="shared" ref="M367" si="74">$G$220*D356</f>
        <v>288</v>
      </c>
    </row>
    <row r="368" spans="1:13">
      <c r="E368" s="22">
        <f t="shared" si="67"/>
        <v>368</v>
      </c>
      <c r="F368" s="9" t="s">
        <v>120</v>
      </c>
      <c r="K368" s="9" t="s">
        <v>141</v>
      </c>
      <c r="M368" s="22">
        <v>2</v>
      </c>
    </row>
    <row r="369" spans="1:13">
      <c r="E369" s="22">
        <f t="shared" si="67"/>
        <v>369</v>
      </c>
      <c r="F369" s="9" t="s">
        <v>118</v>
      </c>
      <c r="M369" s="22" t="b">
        <v>1</v>
      </c>
    </row>
    <row r="370" spans="1:13">
      <c r="E370" s="22">
        <f t="shared" si="67"/>
        <v>370</v>
      </c>
      <c r="F370" s="9" t="s">
        <v>129</v>
      </c>
      <c r="M370" s="22">
        <v>5</v>
      </c>
    </row>
    <row r="371" spans="1:13">
      <c r="E371" s="22">
        <f t="shared" si="67"/>
        <v>371</v>
      </c>
      <c r="F371" s="9" t="s">
        <v>105</v>
      </c>
      <c r="M371" s="22">
        <f t="shared" ref="M371" si="75">M357*10+1</f>
        <v>116081</v>
      </c>
    </row>
    <row r="372" spans="1:13">
      <c r="E372" s="22">
        <f t="shared" si="67"/>
        <v>372</v>
      </c>
      <c r="F372" s="9" t="s">
        <v>146</v>
      </c>
      <c r="M372" s="22">
        <f t="shared" ref="M372" si="76">M357</f>
        <v>11608</v>
      </c>
    </row>
    <row r="373" spans="1:13">
      <c r="E373" s="22">
        <f t="shared" si="67"/>
        <v>373</v>
      </c>
      <c r="F373" s="9" t="s">
        <v>131</v>
      </c>
      <c r="M373" s="22">
        <v>0</v>
      </c>
    </row>
    <row r="374" spans="1:13">
      <c r="E374" s="22">
        <f t="shared" si="67"/>
        <v>374</v>
      </c>
      <c r="F374" s="9" t="s">
        <v>113</v>
      </c>
      <c r="M374" s="22">
        <v>100</v>
      </c>
    </row>
    <row r="375" spans="1:13">
      <c r="E375" s="22">
        <f t="shared" si="67"/>
        <v>375</v>
      </c>
      <c r="F375" s="9" t="s">
        <v>119</v>
      </c>
      <c r="M375" s="22">
        <v>1.5</v>
      </c>
    </row>
    <row r="376" spans="1:13">
      <c r="E376" s="22">
        <f t="shared" si="67"/>
        <v>376</v>
      </c>
      <c r="F376" s="9" t="s">
        <v>118</v>
      </c>
      <c r="M376" s="22" t="b">
        <v>1</v>
      </c>
    </row>
    <row r="377" spans="1:13">
      <c r="A377" s="22" t="s">
        <v>242</v>
      </c>
      <c r="B377" s="22">
        <f t="shared" ref="B377" si="77">QUOTIENT( D377-1,G378)+1</f>
        <v>1</v>
      </c>
      <c r="C377" s="22">
        <f t="shared" ref="C377" si="78">D377-(B377-1)*G378</f>
        <v>9</v>
      </c>
      <c r="D377" s="22">
        <f>COUNT($D$208:$D376)+1</f>
        <v>9</v>
      </c>
    </row>
    <row r="378" spans="1:13">
      <c r="E378" s="22">
        <f t="shared" si="67"/>
        <v>378</v>
      </c>
      <c r="F378" s="9" t="s">
        <v>93</v>
      </c>
      <c r="G378" s="22">
        <v>10</v>
      </c>
      <c r="H378" s="22">
        <v>1</v>
      </c>
      <c r="J378" s="9">
        <v>11600</v>
      </c>
      <c r="M378" s="22">
        <f t="shared" ref="M378" si="79">J378+D377</f>
        <v>11609</v>
      </c>
    </row>
    <row r="379" spans="1:13">
      <c r="E379" s="22">
        <f t="shared" si="67"/>
        <v>379</v>
      </c>
      <c r="F379" s="9" t="s">
        <v>146</v>
      </c>
      <c r="M379" s="22">
        <v>11500</v>
      </c>
    </row>
    <row r="380" spans="1:13">
      <c r="E380" s="22">
        <f t="shared" si="67"/>
        <v>380</v>
      </c>
      <c r="F380" s="9" t="s">
        <v>131</v>
      </c>
      <c r="M380" s="22">
        <v>0</v>
      </c>
    </row>
    <row r="381" spans="1:13">
      <c r="E381" s="22">
        <f t="shared" si="67"/>
        <v>381</v>
      </c>
      <c r="F381" s="9" t="s">
        <v>35</v>
      </c>
      <c r="M381" s="22">
        <v>240</v>
      </c>
    </row>
    <row r="382" spans="1:13">
      <c r="E382" s="22">
        <f t="shared" si="67"/>
        <v>382</v>
      </c>
      <c r="F382" s="9" t="s">
        <v>29</v>
      </c>
      <c r="M382" s="22" t="s">
        <v>243</v>
      </c>
    </row>
    <row r="383" spans="1:13">
      <c r="E383" s="22">
        <f t="shared" si="67"/>
        <v>383</v>
      </c>
      <c r="F383" s="9" t="s">
        <v>122</v>
      </c>
      <c r="M383" s="22" t="s">
        <v>244</v>
      </c>
    </row>
    <row r="384" spans="1:13">
      <c r="E384" s="22">
        <f t="shared" si="67"/>
        <v>384</v>
      </c>
      <c r="F384" s="9" t="s">
        <v>99</v>
      </c>
      <c r="K384" s="9" t="s">
        <v>141</v>
      </c>
      <c r="M384" s="22">
        <v>2</v>
      </c>
    </row>
    <row r="385" spans="1:13">
      <c r="E385" s="22">
        <f t="shared" si="67"/>
        <v>385</v>
      </c>
      <c r="F385" s="9" t="s">
        <v>113</v>
      </c>
      <c r="M385" s="22">
        <v>0</v>
      </c>
    </row>
    <row r="386" spans="1:13">
      <c r="E386" s="22">
        <f t="shared" si="67"/>
        <v>386</v>
      </c>
      <c r="F386" s="9" t="s">
        <v>30</v>
      </c>
      <c r="M386" s="22">
        <v>-1.5</v>
      </c>
    </row>
    <row r="387" spans="1:13">
      <c r="E387" s="22">
        <f t="shared" si="67"/>
        <v>387</v>
      </c>
      <c r="F387" s="9" t="s">
        <v>119</v>
      </c>
      <c r="M387" s="22">
        <v>1.5</v>
      </c>
    </row>
    <row r="388" spans="1:13">
      <c r="E388" s="22">
        <f t="shared" si="67"/>
        <v>388</v>
      </c>
      <c r="F388" s="9" t="s">
        <v>31</v>
      </c>
      <c r="G388" s="22">
        <v>36</v>
      </c>
      <c r="L388" s="9" t="s">
        <v>138</v>
      </c>
      <c r="M388" s="22">
        <f t="shared" ref="M388" si="80">$G$220*D377</f>
        <v>324</v>
      </c>
    </row>
    <row r="389" spans="1:13">
      <c r="E389" s="22">
        <f t="shared" si="67"/>
        <v>389</v>
      </c>
      <c r="F389" s="9" t="s">
        <v>120</v>
      </c>
      <c r="K389" s="9" t="s">
        <v>141</v>
      </c>
      <c r="M389" s="22">
        <v>2</v>
      </c>
    </row>
    <row r="390" spans="1:13">
      <c r="E390" s="22">
        <f t="shared" si="67"/>
        <v>390</v>
      </c>
      <c r="F390" s="9" t="s">
        <v>118</v>
      </c>
      <c r="M390" s="22" t="b">
        <v>1</v>
      </c>
    </row>
    <row r="391" spans="1:13">
      <c r="E391" s="22">
        <f t="shared" si="67"/>
        <v>391</v>
      </c>
      <c r="F391" s="9" t="s">
        <v>129</v>
      </c>
      <c r="M391" s="22">
        <v>5</v>
      </c>
    </row>
    <row r="392" spans="1:13">
      <c r="E392" s="22">
        <f t="shared" si="67"/>
        <v>392</v>
      </c>
      <c r="F392" s="9" t="s">
        <v>105</v>
      </c>
      <c r="M392" s="22">
        <f t="shared" ref="M392" si="81">M378*10+1</f>
        <v>116091</v>
      </c>
    </row>
    <row r="393" spans="1:13">
      <c r="E393" s="22">
        <f t="shared" si="67"/>
        <v>393</v>
      </c>
      <c r="F393" s="9" t="s">
        <v>146</v>
      </c>
      <c r="M393" s="22">
        <f t="shared" ref="M393" si="82">M378</f>
        <v>11609</v>
      </c>
    </row>
    <row r="394" spans="1:13">
      <c r="E394" s="22">
        <f t="shared" si="67"/>
        <v>394</v>
      </c>
      <c r="F394" s="9" t="s">
        <v>131</v>
      </c>
      <c r="M394" s="22">
        <v>0</v>
      </c>
    </row>
    <row r="395" spans="1:13">
      <c r="E395" s="22">
        <f t="shared" si="67"/>
        <v>395</v>
      </c>
      <c r="F395" s="9" t="s">
        <v>113</v>
      </c>
      <c r="M395" s="22">
        <v>100</v>
      </c>
    </row>
    <row r="396" spans="1:13">
      <c r="E396" s="22">
        <f t="shared" si="67"/>
        <v>396</v>
      </c>
      <c r="F396" s="9" t="s">
        <v>119</v>
      </c>
      <c r="M396" s="22">
        <v>1.5</v>
      </c>
    </row>
    <row r="397" spans="1:13">
      <c r="E397" s="22">
        <f t="shared" si="67"/>
        <v>397</v>
      </c>
      <c r="F397" s="9" t="s">
        <v>118</v>
      </c>
      <c r="M397" s="22" t="b">
        <v>1</v>
      </c>
    </row>
    <row r="398" spans="1:13">
      <c r="A398" s="22" t="s">
        <v>242</v>
      </c>
      <c r="B398" s="22">
        <f t="shared" ref="B398" si="83">QUOTIENT( D398-1,G399)+1</f>
        <v>1</v>
      </c>
      <c r="C398" s="22">
        <f t="shared" ref="C398" si="84">D398-(B398-1)*G399</f>
        <v>10</v>
      </c>
      <c r="D398" s="22">
        <f>COUNT($D$208:$D397)+1</f>
        <v>10</v>
      </c>
    </row>
    <row r="399" spans="1:13">
      <c r="E399" s="22">
        <f t="shared" si="67"/>
        <v>399</v>
      </c>
      <c r="F399" s="9" t="s">
        <v>93</v>
      </c>
      <c r="G399" s="22">
        <v>10</v>
      </c>
      <c r="H399" s="22">
        <v>1</v>
      </c>
      <c r="J399" s="9">
        <v>11600</v>
      </c>
      <c r="M399" s="22">
        <f t="shared" ref="M399" si="85">J399+D398</f>
        <v>11610</v>
      </c>
    </row>
    <row r="400" spans="1:13">
      <c r="E400" s="22">
        <f t="shared" si="67"/>
        <v>400</v>
      </c>
      <c r="F400" s="9" t="s">
        <v>146</v>
      </c>
      <c r="M400" s="22">
        <v>11500</v>
      </c>
    </row>
    <row r="401" spans="5:13">
      <c r="E401" s="22">
        <f t="shared" si="67"/>
        <v>401</v>
      </c>
      <c r="F401" s="9" t="s">
        <v>131</v>
      </c>
      <c r="M401" s="22">
        <v>0</v>
      </c>
    </row>
    <row r="402" spans="5:13">
      <c r="E402" s="22">
        <f t="shared" ref="E402:E418" si="86">ROW(E402)</f>
        <v>402</v>
      </c>
      <c r="F402" s="9" t="s">
        <v>35</v>
      </c>
      <c r="M402" s="22">
        <v>240</v>
      </c>
    </row>
    <row r="403" spans="5:13">
      <c r="E403" s="22">
        <f t="shared" si="86"/>
        <v>403</v>
      </c>
      <c r="F403" s="9" t="s">
        <v>29</v>
      </c>
      <c r="M403" s="22" t="s">
        <v>243</v>
      </c>
    </row>
    <row r="404" spans="5:13">
      <c r="E404" s="22">
        <f t="shared" si="86"/>
        <v>404</v>
      </c>
      <c r="F404" s="9" t="s">
        <v>122</v>
      </c>
      <c r="M404" s="22" t="s">
        <v>244</v>
      </c>
    </row>
    <row r="405" spans="5:13">
      <c r="E405" s="22">
        <f t="shared" si="86"/>
        <v>405</v>
      </c>
      <c r="F405" s="9" t="s">
        <v>99</v>
      </c>
      <c r="K405" s="9" t="s">
        <v>141</v>
      </c>
      <c r="M405" s="22">
        <v>2</v>
      </c>
    </row>
    <row r="406" spans="5:13">
      <c r="E406" s="22">
        <f t="shared" si="86"/>
        <v>406</v>
      </c>
      <c r="F406" s="9" t="s">
        <v>113</v>
      </c>
      <c r="M406" s="22">
        <v>0</v>
      </c>
    </row>
    <row r="407" spans="5:13">
      <c r="E407" s="22">
        <f t="shared" si="86"/>
        <v>407</v>
      </c>
      <c r="F407" s="9" t="s">
        <v>30</v>
      </c>
      <c r="M407" s="22">
        <v>-1.5</v>
      </c>
    </row>
    <row r="408" spans="5:13">
      <c r="E408" s="22">
        <f t="shared" si="86"/>
        <v>408</v>
      </c>
      <c r="F408" s="9" t="s">
        <v>119</v>
      </c>
      <c r="M408" s="22">
        <v>1.5</v>
      </c>
    </row>
    <row r="409" spans="5:13">
      <c r="E409" s="22">
        <f t="shared" si="86"/>
        <v>409</v>
      </c>
      <c r="F409" s="9" t="s">
        <v>31</v>
      </c>
      <c r="G409" s="22">
        <v>36</v>
      </c>
      <c r="L409" s="9" t="s">
        <v>138</v>
      </c>
      <c r="M409" s="22">
        <f t="shared" ref="M409" si="87">$G$220*D398</f>
        <v>360</v>
      </c>
    </row>
    <row r="410" spans="5:13">
      <c r="E410" s="22">
        <f t="shared" si="86"/>
        <v>410</v>
      </c>
      <c r="F410" s="9" t="s">
        <v>120</v>
      </c>
      <c r="K410" s="9" t="s">
        <v>141</v>
      </c>
      <c r="M410" s="22">
        <v>2</v>
      </c>
    </row>
    <row r="411" spans="5:13">
      <c r="E411" s="22">
        <f t="shared" si="86"/>
        <v>411</v>
      </c>
      <c r="F411" s="9" t="s">
        <v>118</v>
      </c>
      <c r="M411" s="22" t="b">
        <v>1</v>
      </c>
    </row>
    <row r="412" spans="5:13">
      <c r="E412" s="22">
        <f t="shared" si="86"/>
        <v>412</v>
      </c>
      <c r="F412" s="9" t="s">
        <v>129</v>
      </c>
      <c r="M412" s="22">
        <v>5</v>
      </c>
    </row>
    <row r="413" spans="5:13">
      <c r="E413" s="22">
        <f t="shared" si="86"/>
        <v>413</v>
      </c>
      <c r="F413" s="9" t="s">
        <v>105</v>
      </c>
      <c r="M413" s="22">
        <f t="shared" ref="M413" si="88">M399*10+1</f>
        <v>116101</v>
      </c>
    </row>
    <row r="414" spans="5:13">
      <c r="E414" s="22">
        <f t="shared" si="86"/>
        <v>414</v>
      </c>
      <c r="F414" s="9" t="s">
        <v>146</v>
      </c>
      <c r="M414" s="22">
        <f t="shared" ref="M414" si="89">M399</f>
        <v>11610</v>
      </c>
    </row>
    <row r="415" spans="5:13">
      <c r="E415" s="22">
        <f t="shared" si="86"/>
        <v>415</v>
      </c>
      <c r="F415" s="9" t="s">
        <v>131</v>
      </c>
      <c r="M415" s="22">
        <v>0</v>
      </c>
    </row>
    <row r="416" spans="5:13">
      <c r="E416" s="22">
        <f t="shared" si="86"/>
        <v>416</v>
      </c>
      <c r="F416" s="9" t="s">
        <v>113</v>
      </c>
      <c r="M416" s="22">
        <v>100</v>
      </c>
    </row>
    <row r="417" spans="1:31">
      <c r="E417" s="22">
        <f t="shared" si="86"/>
        <v>417</v>
      </c>
      <c r="F417" s="9" t="s">
        <v>119</v>
      </c>
      <c r="M417" s="22">
        <v>1.5</v>
      </c>
    </row>
    <row r="418" spans="1:31">
      <c r="E418" s="22">
        <f t="shared" si="86"/>
        <v>418</v>
      </c>
      <c r="F418" s="9" t="s">
        <v>118</v>
      </c>
      <c r="M418" s="22" t="b">
        <v>1</v>
      </c>
    </row>
    <row r="422" spans="1:31" s="16" customFormat="1">
      <c r="A422" s="22"/>
      <c r="B422" s="22"/>
      <c r="C422" s="22"/>
      <c r="D422" s="22"/>
      <c r="E422" s="22">
        <f t="shared" ref="E422:E439" si="90">ROW(E422)</f>
        <v>422</v>
      </c>
      <c r="F422" s="9" t="s">
        <v>93</v>
      </c>
      <c r="G422" s="22">
        <v>1</v>
      </c>
      <c r="H422" s="22"/>
      <c r="I422" s="22"/>
      <c r="J422" s="9"/>
      <c r="K422" s="9"/>
      <c r="L422" s="9"/>
      <c r="M422" s="22">
        <v>11700</v>
      </c>
      <c r="N422" s="22"/>
      <c r="O422" s="9"/>
      <c r="P422" s="9"/>
      <c r="Q422" s="9"/>
      <c r="R422" s="9"/>
      <c r="S422" s="12"/>
      <c r="T422" s="9"/>
      <c r="U422" s="9"/>
      <c r="V422" s="12"/>
      <c r="W422" s="12"/>
      <c r="X422" s="12"/>
      <c r="Y422" s="15"/>
      <c r="Z422" s="15"/>
      <c r="AA422" s="15"/>
      <c r="AB422" s="15"/>
      <c r="AC422" s="15"/>
      <c r="AD422" s="15"/>
      <c r="AE422" s="15"/>
    </row>
    <row r="423" spans="1:31" s="16" customFormat="1">
      <c r="A423" s="22"/>
      <c r="B423" s="22"/>
      <c r="C423" s="22"/>
      <c r="D423" s="22"/>
      <c r="E423" s="22">
        <f t="shared" si="90"/>
        <v>423</v>
      </c>
      <c r="F423" s="9" t="s">
        <v>146</v>
      </c>
      <c r="G423" s="22"/>
      <c r="H423" s="22"/>
      <c r="I423" s="22"/>
      <c r="J423" s="9"/>
      <c r="K423" s="9"/>
      <c r="L423" s="9"/>
      <c r="M423" s="22">
        <v>11301</v>
      </c>
      <c r="N423" s="22"/>
      <c r="O423" s="9"/>
      <c r="P423" s="9"/>
      <c r="Q423" s="9"/>
      <c r="R423" s="9"/>
      <c r="S423" s="12"/>
      <c r="T423" s="9"/>
      <c r="U423" s="9"/>
      <c r="V423" s="12"/>
      <c r="W423" s="12"/>
      <c r="X423" s="12"/>
      <c r="Y423" s="15"/>
      <c r="Z423" s="15"/>
      <c r="AA423" s="15"/>
      <c r="AB423" s="15"/>
      <c r="AC423" s="15"/>
      <c r="AD423" s="15"/>
      <c r="AE423" s="15"/>
    </row>
    <row r="424" spans="1:31" s="16" customFormat="1">
      <c r="A424" s="22"/>
      <c r="B424" s="22"/>
      <c r="C424" s="22"/>
      <c r="D424" s="22"/>
      <c r="E424" s="22">
        <f t="shared" si="90"/>
        <v>424</v>
      </c>
      <c r="F424" s="9" t="s">
        <v>130</v>
      </c>
      <c r="G424" s="22"/>
      <c r="H424" s="22"/>
      <c r="I424" s="22"/>
      <c r="J424" s="9"/>
      <c r="K424" s="9"/>
      <c r="L424" s="9"/>
      <c r="M424" s="22">
        <v>120</v>
      </c>
      <c r="N424" s="22"/>
      <c r="O424" s="9"/>
      <c r="P424" s="9"/>
      <c r="Q424" s="9"/>
      <c r="R424" s="9"/>
      <c r="S424" s="12"/>
      <c r="T424" s="9"/>
      <c r="U424" s="9"/>
      <c r="V424" s="12"/>
      <c r="W424" s="12"/>
      <c r="X424" s="12"/>
      <c r="Y424" s="15"/>
      <c r="Z424" s="15"/>
      <c r="AA424" s="15"/>
      <c r="AB424" s="15"/>
      <c r="AC424" s="15"/>
      <c r="AD424" s="15"/>
      <c r="AE424" s="15"/>
    </row>
    <row r="425" spans="1:31" s="16" customFormat="1">
      <c r="A425" s="22"/>
      <c r="B425" s="22"/>
      <c r="C425" s="22"/>
      <c r="D425" s="22"/>
      <c r="E425" s="22">
        <f t="shared" si="90"/>
        <v>425</v>
      </c>
      <c r="F425" s="9" t="s">
        <v>96</v>
      </c>
      <c r="G425" s="22"/>
      <c r="H425" s="22"/>
      <c r="I425" s="22"/>
      <c r="J425" s="9"/>
      <c r="K425" s="9"/>
      <c r="L425" s="9"/>
      <c r="M425" s="22" t="s">
        <v>154</v>
      </c>
      <c r="N425" s="22"/>
      <c r="O425" s="9"/>
      <c r="P425" s="9"/>
      <c r="Q425" s="9"/>
      <c r="R425" s="9"/>
      <c r="S425" s="12"/>
      <c r="T425" s="9"/>
      <c r="U425" s="9"/>
      <c r="V425" s="12"/>
      <c r="W425" s="12"/>
      <c r="X425" s="12"/>
      <c r="Y425" s="15"/>
      <c r="Z425" s="15"/>
      <c r="AA425" s="15"/>
      <c r="AB425" s="15"/>
      <c r="AC425" s="15"/>
      <c r="AD425" s="15"/>
      <c r="AE425" s="15"/>
    </row>
    <row r="426" spans="1:31" s="16" customFormat="1">
      <c r="A426" s="22"/>
      <c r="B426" s="22"/>
      <c r="C426" s="22"/>
      <c r="D426" s="22"/>
      <c r="E426" s="22">
        <f t="shared" si="90"/>
        <v>426</v>
      </c>
      <c r="F426" s="9" t="s">
        <v>149</v>
      </c>
      <c r="G426" s="22"/>
      <c r="H426" s="22"/>
      <c r="I426" s="22"/>
      <c r="J426" s="9"/>
      <c r="K426" s="9" t="s">
        <v>141</v>
      </c>
      <c r="L426" s="9"/>
      <c r="M426" s="22">
        <v>2</v>
      </c>
      <c r="N426" s="22"/>
      <c r="O426" s="9"/>
      <c r="P426" s="9"/>
      <c r="Q426" s="9"/>
      <c r="R426" s="9"/>
      <c r="S426" s="12"/>
      <c r="T426" s="9"/>
      <c r="U426" s="9"/>
      <c r="V426" s="12"/>
      <c r="W426" s="12"/>
      <c r="X426" s="12"/>
      <c r="Y426" s="15"/>
      <c r="Z426" s="15"/>
      <c r="AA426" s="15"/>
      <c r="AB426" s="15"/>
      <c r="AC426" s="15"/>
      <c r="AD426" s="15"/>
      <c r="AE426" s="15"/>
    </row>
    <row r="427" spans="1:31" s="16" customFormat="1">
      <c r="A427" s="22"/>
      <c r="B427" s="22"/>
      <c r="C427" s="22"/>
      <c r="D427" s="22"/>
      <c r="E427" s="22">
        <f t="shared" si="90"/>
        <v>427</v>
      </c>
      <c r="F427" s="9" t="s">
        <v>148</v>
      </c>
      <c r="G427" s="22"/>
      <c r="H427" s="22"/>
      <c r="I427" s="22"/>
      <c r="J427" s="9"/>
      <c r="K427" s="9"/>
      <c r="L427" s="9"/>
      <c r="M427" s="22">
        <v>0</v>
      </c>
      <c r="N427" s="22"/>
      <c r="O427" s="9"/>
      <c r="P427" s="9"/>
      <c r="Q427" s="9"/>
      <c r="R427" s="9"/>
      <c r="S427" s="12"/>
      <c r="T427" s="9"/>
      <c r="U427" s="9"/>
      <c r="V427" s="12"/>
      <c r="W427" s="12"/>
      <c r="X427" s="12"/>
      <c r="Y427" s="15"/>
      <c r="Z427" s="15"/>
      <c r="AA427" s="15"/>
      <c r="AB427" s="15"/>
      <c r="AC427" s="15"/>
      <c r="AD427" s="15"/>
      <c r="AE427" s="15"/>
    </row>
    <row r="428" spans="1:31" s="16" customFormat="1">
      <c r="A428" s="22"/>
      <c r="B428" s="22"/>
      <c r="C428" s="22"/>
      <c r="D428" s="22"/>
      <c r="E428" s="22">
        <f t="shared" si="90"/>
        <v>428</v>
      </c>
      <c r="F428" s="9" t="s">
        <v>105</v>
      </c>
      <c r="G428" s="22"/>
      <c r="H428" s="22"/>
      <c r="I428" s="22"/>
      <c r="J428" s="9"/>
      <c r="K428" s="9"/>
      <c r="L428" s="9"/>
      <c r="M428" s="22">
        <f>M422*10+1</f>
        <v>117001</v>
      </c>
      <c r="N428" s="22"/>
      <c r="O428" s="9"/>
      <c r="P428" s="9"/>
      <c r="Q428" s="9"/>
      <c r="R428" s="9"/>
      <c r="S428" s="12"/>
      <c r="T428" s="9"/>
      <c r="U428" s="9"/>
      <c r="V428" s="12"/>
      <c r="W428" s="12"/>
      <c r="X428" s="12"/>
      <c r="Y428" s="15"/>
      <c r="Z428" s="15"/>
      <c r="AA428" s="15"/>
      <c r="AB428" s="15"/>
      <c r="AC428" s="15"/>
      <c r="AD428" s="15"/>
      <c r="AE428" s="15"/>
    </row>
    <row r="429" spans="1:31">
      <c r="E429" s="22">
        <f t="shared" si="90"/>
        <v>429</v>
      </c>
      <c r="F429" s="9" t="s">
        <v>146</v>
      </c>
      <c r="M429" s="22">
        <f>M422</f>
        <v>11700</v>
      </c>
      <c r="N429" s="22"/>
    </row>
    <row r="430" spans="1:31">
      <c r="E430" s="22">
        <f t="shared" si="90"/>
        <v>430</v>
      </c>
      <c r="F430" s="9" t="s">
        <v>131</v>
      </c>
      <c r="M430" s="22">
        <v>0</v>
      </c>
      <c r="N430" s="22"/>
    </row>
    <row r="431" spans="1:31">
      <c r="E431" s="22">
        <f t="shared" si="90"/>
        <v>431</v>
      </c>
      <c r="F431" s="9" t="s">
        <v>100</v>
      </c>
      <c r="M431" s="22">
        <v>180</v>
      </c>
      <c r="N431" s="22"/>
    </row>
    <row r="432" spans="1:31">
      <c r="E432" s="22">
        <f t="shared" si="90"/>
        <v>432</v>
      </c>
      <c r="F432" s="9" t="s">
        <v>102</v>
      </c>
      <c r="M432" s="22">
        <v>0</v>
      </c>
      <c r="N432" s="22"/>
    </row>
    <row r="433" spans="1:14">
      <c r="E433" s="22">
        <f t="shared" si="90"/>
        <v>433</v>
      </c>
      <c r="F433" s="9" t="s">
        <v>101</v>
      </c>
      <c r="K433" s="9" t="s">
        <v>141</v>
      </c>
      <c r="M433" s="22">
        <v>5</v>
      </c>
      <c r="N433" s="22"/>
    </row>
    <row r="434" spans="1:14">
      <c r="E434" s="22">
        <f t="shared" si="90"/>
        <v>434</v>
      </c>
      <c r="F434" s="9" t="s">
        <v>148</v>
      </c>
      <c r="M434" s="22">
        <v>180</v>
      </c>
      <c r="N434" s="22"/>
    </row>
    <row r="435" spans="1:14">
      <c r="E435" s="22">
        <f t="shared" si="90"/>
        <v>435</v>
      </c>
      <c r="F435" s="9" t="s">
        <v>105</v>
      </c>
      <c r="M435" s="22">
        <f>M429*10+2</f>
        <v>117002</v>
      </c>
      <c r="N435" s="22"/>
    </row>
    <row r="436" spans="1:14">
      <c r="E436" s="22">
        <f t="shared" si="90"/>
        <v>436</v>
      </c>
      <c r="F436" s="9" t="s">
        <v>146</v>
      </c>
      <c r="M436" s="22">
        <f>M428</f>
        <v>117001</v>
      </c>
      <c r="N436" s="22"/>
    </row>
    <row r="437" spans="1:14">
      <c r="E437" s="22">
        <f t="shared" si="90"/>
        <v>437</v>
      </c>
      <c r="F437" s="9" t="s">
        <v>131</v>
      </c>
      <c r="M437" s="22">
        <v>0</v>
      </c>
      <c r="N437" s="22"/>
    </row>
    <row r="438" spans="1:14">
      <c r="E438" s="22">
        <f t="shared" si="90"/>
        <v>438</v>
      </c>
      <c r="F438" s="9" t="s">
        <v>30</v>
      </c>
      <c r="M438" s="22">
        <v>0</v>
      </c>
      <c r="N438" s="22"/>
    </row>
    <row r="439" spans="1:14">
      <c r="E439" s="22">
        <f t="shared" si="90"/>
        <v>439</v>
      </c>
      <c r="F439" s="9" t="s">
        <v>98</v>
      </c>
      <c r="M439" s="22">
        <v>900</v>
      </c>
      <c r="N439" s="22"/>
    </row>
    <row r="443" spans="1:14">
      <c r="A443" s="22">
        <f>G445*H445</f>
        <v>8</v>
      </c>
      <c r="B443" s="9"/>
      <c r="C443" s="9"/>
      <c r="D443" s="9"/>
      <c r="M443" s="9"/>
    </row>
    <row r="444" spans="1:14">
      <c r="A444" s="9" t="s">
        <v>242</v>
      </c>
      <c r="B444" s="22">
        <f>QUOTIENT( D444-1,G445)+1</f>
        <v>1</v>
      </c>
      <c r="C444" s="22">
        <f>D444-(B444-1)*G445</f>
        <v>1</v>
      </c>
      <c r="D444" s="22">
        <f>COUNT($D$443:$D443)+1</f>
        <v>1</v>
      </c>
    </row>
    <row r="445" spans="1:14">
      <c r="E445" s="22">
        <f t="shared" ref="E445:E458" si="91">ROW(E445)</f>
        <v>445</v>
      </c>
      <c r="F445" s="9" t="s">
        <v>93</v>
      </c>
      <c r="G445" s="22">
        <v>8</v>
      </c>
      <c r="H445" s="22">
        <v>1</v>
      </c>
      <c r="J445" s="22">
        <v>11800</v>
      </c>
      <c r="M445" s="22">
        <f>$J$445+D444</f>
        <v>11801</v>
      </c>
    </row>
    <row r="446" spans="1:14">
      <c r="E446" s="22">
        <f t="shared" si="91"/>
        <v>446</v>
      </c>
      <c r="F446" s="9" t="s">
        <v>146</v>
      </c>
      <c r="M446" s="22">
        <v>11700</v>
      </c>
    </row>
    <row r="447" spans="1:14">
      <c r="E447" s="22">
        <f t="shared" si="91"/>
        <v>447</v>
      </c>
      <c r="F447" s="9" t="s">
        <v>131</v>
      </c>
      <c r="M447" s="22">
        <v>0</v>
      </c>
    </row>
    <row r="448" spans="1:14">
      <c r="E448" s="22">
        <f t="shared" si="91"/>
        <v>448</v>
      </c>
      <c r="F448" s="9" t="s">
        <v>96</v>
      </c>
      <c r="M448" s="22" t="s">
        <v>150</v>
      </c>
    </row>
    <row r="449" spans="1:60">
      <c r="E449" s="22">
        <f t="shared" si="91"/>
        <v>449</v>
      </c>
      <c r="F449" s="9" t="s">
        <v>122</v>
      </c>
      <c r="M449" s="22" t="s">
        <v>151</v>
      </c>
    </row>
    <row r="450" spans="1:60">
      <c r="E450" s="22">
        <f t="shared" si="91"/>
        <v>450</v>
      </c>
      <c r="F450" s="9" t="s">
        <v>149</v>
      </c>
      <c r="K450" s="9" t="s">
        <v>141</v>
      </c>
      <c r="M450" s="22">
        <v>2</v>
      </c>
    </row>
    <row r="451" spans="1:60">
      <c r="E451" s="22">
        <f t="shared" si="91"/>
        <v>451</v>
      </c>
      <c r="F451" s="9" t="s">
        <v>113</v>
      </c>
      <c r="M451" s="22">
        <v>3</v>
      </c>
    </row>
    <row r="452" spans="1:60">
      <c r="E452" s="22">
        <f t="shared" si="91"/>
        <v>452</v>
      </c>
      <c r="F452" s="9" t="s">
        <v>30</v>
      </c>
      <c r="M452" s="22">
        <v>3</v>
      </c>
    </row>
    <row r="453" spans="1:60">
      <c r="E453" s="22">
        <f t="shared" si="91"/>
        <v>453</v>
      </c>
      <c r="F453" s="9" t="s">
        <v>153</v>
      </c>
      <c r="M453" s="22">
        <v>1.5</v>
      </c>
    </row>
    <row r="454" spans="1:60">
      <c r="E454" s="22">
        <f t="shared" si="91"/>
        <v>454</v>
      </c>
      <c r="F454" s="9" t="s">
        <v>31</v>
      </c>
      <c r="G454" s="22">
        <v>45</v>
      </c>
      <c r="L454" s="9" t="s">
        <v>138</v>
      </c>
      <c r="M454" s="22">
        <f>G454*D444</f>
        <v>45</v>
      </c>
    </row>
    <row r="455" spans="1:60">
      <c r="E455" s="22">
        <f t="shared" si="91"/>
        <v>455</v>
      </c>
      <c r="F455" s="9" t="s">
        <v>115</v>
      </c>
      <c r="L455" s="9" t="s">
        <v>138</v>
      </c>
      <c r="M455" s="22">
        <v>85.94</v>
      </c>
    </row>
    <row r="456" spans="1:60" s="22" customFormat="1">
      <c r="E456" s="22">
        <f t="shared" si="91"/>
        <v>456</v>
      </c>
      <c r="F456" s="9" t="s">
        <v>120</v>
      </c>
      <c r="J456" s="9"/>
      <c r="K456" s="9" t="s">
        <v>141</v>
      </c>
      <c r="L456" s="9"/>
      <c r="M456" s="22">
        <v>2</v>
      </c>
      <c r="N456" s="9"/>
      <c r="O456" s="9"/>
      <c r="P456" s="9"/>
      <c r="Q456" s="9"/>
      <c r="R456" s="9"/>
      <c r="S456" s="12"/>
      <c r="T456" s="9"/>
      <c r="U456" s="9"/>
      <c r="V456" s="12"/>
      <c r="W456" s="12"/>
      <c r="X456" s="12"/>
      <c r="Y456" s="15"/>
      <c r="Z456" s="15"/>
      <c r="AA456" s="15"/>
      <c r="AB456" s="15"/>
      <c r="AC456" s="15"/>
      <c r="AD456" s="15"/>
      <c r="AE456" s="15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</row>
    <row r="457" spans="1:60" s="22" customFormat="1">
      <c r="E457" s="22">
        <f t="shared" si="91"/>
        <v>457</v>
      </c>
      <c r="F457" s="9" t="s">
        <v>152</v>
      </c>
      <c r="J457" s="9"/>
      <c r="K457" s="9"/>
      <c r="L457" s="9"/>
      <c r="M457" s="22">
        <v>10000</v>
      </c>
      <c r="N457" s="9"/>
      <c r="O457" s="9"/>
      <c r="P457" s="9"/>
      <c r="Q457" s="9"/>
      <c r="R457" s="9"/>
      <c r="S457" s="12"/>
      <c r="T457" s="9"/>
      <c r="U457" s="9"/>
      <c r="V457" s="12"/>
      <c r="W457" s="12"/>
      <c r="X457" s="12"/>
      <c r="Y457" s="15"/>
      <c r="Z457" s="15"/>
      <c r="AA457" s="15"/>
      <c r="AB457" s="15"/>
      <c r="AC457" s="15"/>
      <c r="AD457" s="15"/>
      <c r="AE457" s="15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</row>
    <row r="458" spans="1:60" s="22" customFormat="1">
      <c r="E458" s="22">
        <f t="shared" si="91"/>
        <v>458</v>
      </c>
      <c r="F458" s="9" t="s">
        <v>121</v>
      </c>
      <c r="J458" s="9"/>
      <c r="K458" s="9"/>
      <c r="L458" s="9"/>
      <c r="M458" s="22" t="b">
        <v>1</v>
      </c>
      <c r="N458" s="9"/>
      <c r="O458" s="9"/>
      <c r="P458" s="9"/>
      <c r="Q458" s="9"/>
      <c r="R458" s="9"/>
      <c r="S458" s="12"/>
      <c r="T458" s="9"/>
      <c r="U458" s="9"/>
      <c r="V458" s="12"/>
      <c r="W458" s="12"/>
      <c r="X458" s="12"/>
      <c r="Y458" s="15"/>
      <c r="Z458" s="15"/>
      <c r="AA458" s="15"/>
      <c r="AB458" s="15"/>
      <c r="AC458" s="15"/>
      <c r="AD458" s="15"/>
      <c r="AE458" s="15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</row>
    <row r="459" spans="1:60">
      <c r="E459" s="22">
        <f t="shared" ref="E459" si="92">ROW(E459)</f>
        <v>459</v>
      </c>
      <c r="F459" s="9" t="s">
        <v>111</v>
      </c>
      <c r="M459" s="22">
        <v>240</v>
      </c>
    </row>
    <row r="460" spans="1:60" s="22" customFormat="1">
      <c r="A460" s="22" t="s">
        <v>242</v>
      </c>
      <c r="B460" s="22">
        <f t="shared" ref="B460" si="93">QUOTIENT( D460-1,G461)+1</f>
        <v>1</v>
      </c>
      <c r="C460" s="22">
        <f t="shared" ref="C460" si="94">D460-(B460-1)*G461</f>
        <v>2</v>
      </c>
      <c r="D460" s="22">
        <f>COUNT($D$443:$D459)+1</f>
        <v>2</v>
      </c>
      <c r="F460" s="9"/>
      <c r="J460" s="9"/>
      <c r="K460" s="9"/>
      <c r="L460" s="9"/>
      <c r="N460" s="9"/>
      <c r="O460" s="9"/>
      <c r="P460" s="9"/>
      <c r="Q460" s="9"/>
      <c r="R460" s="9"/>
      <c r="S460" s="12"/>
      <c r="T460" s="9"/>
      <c r="U460" s="9"/>
      <c r="V460" s="12"/>
      <c r="W460" s="12"/>
      <c r="X460" s="12"/>
      <c r="Y460" s="15"/>
      <c r="Z460" s="15"/>
      <c r="AA460" s="15"/>
      <c r="AB460" s="15"/>
      <c r="AC460" s="15"/>
      <c r="AD460" s="15"/>
      <c r="AE460" s="15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</row>
    <row r="461" spans="1:60" s="22" customFormat="1">
      <c r="E461" s="22">
        <f t="shared" ref="E461:E523" si="95">ROW(E461)</f>
        <v>461</v>
      </c>
      <c r="F461" s="9" t="s">
        <v>93</v>
      </c>
      <c r="G461" s="22">
        <v>8</v>
      </c>
      <c r="H461" s="22">
        <v>1</v>
      </c>
      <c r="J461" s="9">
        <v>11800</v>
      </c>
      <c r="K461" s="9"/>
      <c r="L461" s="9"/>
      <c r="M461" s="22">
        <f t="shared" ref="M461" si="96">$J$445+D460</f>
        <v>11802</v>
      </c>
      <c r="N461" s="9"/>
      <c r="O461" s="9"/>
      <c r="P461" s="9"/>
      <c r="Q461" s="9"/>
      <c r="R461" s="9"/>
      <c r="S461" s="12"/>
      <c r="T461" s="9"/>
      <c r="U461" s="9"/>
      <c r="V461" s="12"/>
      <c r="W461" s="12"/>
      <c r="X461" s="12"/>
      <c r="Y461" s="15"/>
      <c r="Z461" s="15"/>
      <c r="AA461" s="15"/>
      <c r="AB461" s="15"/>
      <c r="AC461" s="15"/>
      <c r="AD461" s="15"/>
      <c r="AE461" s="15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</row>
    <row r="462" spans="1:60" s="22" customFormat="1">
      <c r="E462" s="22">
        <f t="shared" si="95"/>
        <v>462</v>
      </c>
      <c r="F462" s="9" t="s">
        <v>146</v>
      </c>
      <c r="J462" s="9"/>
      <c r="K462" s="9"/>
      <c r="L462" s="9"/>
      <c r="M462" s="22">
        <v>11700</v>
      </c>
      <c r="N462" s="9"/>
      <c r="O462" s="9"/>
      <c r="P462" s="9"/>
      <c r="Q462" s="9"/>
      <c r="R462" s="9"/>
      <c r="S462" s="12"/>
      <c r="T462" s="9"/>
      <c r="U462" s="9"/>
      <c r="V462" s="12"/>
      <c r="W462" s="12"/>
      <c r="X462" s="12"/>
      <c r="Y462" s="15"/>
      <c r="Z462" s="15"/>
      <c r="AA462" s="15"/>
      <c r="AB462" s="15"/>
      <c r="AC462" s="15"/>
      <c r="AD462" s="15"/>
      <c r="AE462" s="15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</row>
    <row r="463" spans="1:60" s="22" customFormat="1">
      <c r="E463" s="22">
        <f t="shared" si="95"/>
        <v>463</v>
      </c>
      <c r="F463" s="9" t="s">
        <v>131</v>
      </c>
      <c r="J463" s="9"/>
      <c r="K463" s="9"/>
      <c r="L463" s="9"/>
      <c r="M463" s="22">
        <v>0</v>
      </c>
      <c r="N463" s="9"/>
      <c r="O463" s="9"/>
      <c r="P463" s="9"/>
      <c r="Q463" s="9"/>
      <c r="R463" s="9"/>
      <c r="S463" s="12"/>
      <c r="T463" s="9"/>
      <c r="U463" s="9"/>
      <c r="V463" s="12"/>
      <c r="W463" s="12"/>
      <c r="X463" s="12"/>
      <c r="Y463" s="15"/>
      <c r="Z463" s="15"/>
      <c r="AA463" s="15"/>
      <c r="AB463" s="15"/>
      <c r="AC463" s="15"/>
      <c r="AD463" s="15"/>
      <c r="AE463" s="15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</row>
    <row r="464" spans="1:60" s="22" customFormat="1">
      <c r="E464" s="22">
        <f t="shared" si="95"/>
        <v>464</v>
      </c>
      <c r="F464" s="9" t="s">
        <v>29</v>
      </c>
      <c r="J464" s="9"/>
      <c r="K464" s="9"/>
      <c r="L464" s="9"/>
      <c r="M464" s="22" t="s">
        <v>150</v>
      </c>
      <c r="N464" s="9"/>
      <c r="O464" s="9"/>
      <c r="P464" s="9"/>
      <c r="Q464" s="9"/>
      <c r="R464" s="9"/>
      <c r="S464" s="12"/>
      <c r="T464" s="9"/>
      <c r="U464" s="9"/>
      <c r="V464" s="12"/>
      <c r="W464" s="12"/>
      <c r="X464" s="12"/>
      <c r="Y464" s="15"/>
      <c r="Z464" s="15"/>
      <c r="AA464" s="15"/>
      <c r="AB464" s="15"/>
      <c r="AC464" s="15"/>
      <c r="AD464" s="15"/>
      <c r="AE464" s="15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</row>
    <row r="465" spans="1:60" s="22" customFormat="1">
      <c r="E465" s="22">
        <f t="shared" si="95"/>
        <v>465</v>
      </c>
      <c r="F465" s="9" t="s">
        <v>122</v>
      </c>
      <c r="J465" s="9"/>
      <c r="K465" s="9"/>
      <c r="L465" s="9"/>
      <c r="M465" s="22" t="s">
        <v>158</v>
      </c>
      <c r="N465" s="9"/>
      <c r="O465" s="9"/>
      <c r="P465" s="9"/>
      <c r="Q465" s="9"/>
      <c r="R465" s="9"/>
      <c r="S465" s="12"/>
      <c r="T465" s="9"/>
      <c r="U465" s="9"/>
      <c r="V465" s="12"/>
      <c r="W465" s="12"/>
      <c r="X465" s="12"/>
      <c r="Y465" s="15"/>
      <c r="Z465" s="15"/>
      <c r="AA465" s="15"/>
      <c r="AB465" s="15"/>
      <c r="AC465" s="15"/>
      <c r="AD465" s="15"/>
      <c r="AE465" s="15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</row>
    <row r="466" spans="1:60" s="22" customFormat="1">
      <c r="E466" s="22">
        <f t="shared" si="95"/>
        <v>466</v>
      </c>
      <c r="F466" s="9" t="s">
        <v>99</v>
      </c>
      <c r="J466" s="9"/>
      <c r="K466" s="9" t="s">
        <v>141</v>
      </c>
      <c r="L466" s="9"/>
      <c r="M466" s="22">
        <v>2</v>
      </c>
      <c r="N466" s="9"/>
      <c r="O466" s="9"/>
      <c r="P466" s="9"/>
      <c r="Q466" s="9"/>
      <c r="R466" s="9"/>
      <c r="S466" s="12"/>
      <c r="T466" s="9"/>
      <c r="U466" s="9"/>
      <c r="V466" s="12"/>
      <c r="W466" s="12"/>
      <c r="X466" s="12"/>
      <c r="Y466" s="15"/>
      <c r="Z466" s="15"/>
      <c r="AA466" s="15"/>
      <c r="AB466" s="15"/>
      <c r="AC466" s="15"/>
      <c r="AD466" s="15"/>
      <c r="AE466" s="15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</row>
    <row r="467" spans="1:60" s="22" customFormat="1">
      <c r="E467" s="22">
        <f t="shared" si="95"/>
        <v>467</v>
      </c>
      <c r="F467" s="9" t="s">
        <v>113</v>
      </c>
      <c r="J467" s="9"/>
      <c r="K467" s="9"/>
      <c r="L467" s="9"/>
      <c r="M467" s="22">
        <v>3</v>
      </c>
      <c r="N467" s="9"/>
      <c r="O467" s="9"/>
      <c r="P467" s="9"/>
      <c r="Q467" s="9"/>
      <c r="R467" s="9"/>
      <c r="S467" s="12"/>
      <c r="T467" s="9"/>
      <c r="U467" s="9"/>
      <c r="V467" s="12"/>
      <c r="W467" s="12"/>
      <c r="X467" s="12"/>
      <c r="Y467" s="15"/>
      <c r="Z467" s="15"/>
      <c r="AA467" s="15"/>
      <c r="AB467" s="15"/>
      <c r="AC467" s="15"/>
      <c r="AD467" s="15"/>
      <c r="AE467" s="15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</row>
    <row r="468" spans="1:60" s="22" customFormat="1">
      <c r="E468" s="22">
        <f t="shared" si="95"/>
        <v>468</v>
      </c>
      <c r="F468" s="9" t="s">
        <v>30</v>
      </c>
      <c r="J468" s="9"/>
      <c r="K468" s="9"/>
      <c r="L468" s="9"/>
      <c r="M468" s="22">
        <v>3</v>
      </c>
      <c r="N468" s="9"/>
      <c r="O468" s="9"/>
      <c r="P468" s="9"/>
      <c r="Q468" s="9"/>
      <c r="R468" s="9"/>
      <c r="S468" s="12"/>
      <c r="T468" s="9"/>
      <c r="U468" s="9"/>
      <c r="V468" s="12"/>
      <c r="W468" s="12"/>
      <c r="X468" s="12"/>
      <c r="Y468" s="15"/>
      <c r="Z468" s="15"/>
      <c r="AA468" s="15"/>
      <c r="AB468" s="15"/>
      <c r="AC468" s="15"/>
      <c r="AD468" s="15"/>
      <c r="AE468" s="15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</row>
    <row r="469" spans="1:60" s="22" customFormat="1">
      <c r="E469" s="22">
        <f t="shared" si="95"/>
        <v>469</v>
      </c>
      <c r="F469" s="9" t="s">
        <v>119</v>
      </c>
      <c r="J469" s="9"/>
      <c r="K469" s="9"/>
      <c r="L469" s="9"/>
      <c r="M469" s="22">
        <v>1.5</v>
      </c>
      <c r="N469" s="9"/>
      <c r="O469" s="9"/>
      <c r="P469" s="9"/>
      <c r="Q469" s="9"/>
      <c r="R469" s="9"/>
      <c r="S469" s="12"/>
      <c r="T469" s="9"/>
      <c r="U469" s="9"/>
      <c r="V469" s="12"/>
      <c r="W469" s="12"/>
      <c r="X469" s="12"/>
      <c r="Y469" s="15"/>
      <c r="Z469" s="15"/>
      <c r="AA469" s="15"/>
      <c r="AB469" s="15"/>
      <c r="AC469" s="15"/>
      <c r="AD469" s="15"/>
      <c r="AE469" s="15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</row>
    <row r="470" spans="1:60" s="22" customFormat="1">
      <c r="E470" s="22">
        <f t="shared" si="95"/>
        <v>470</v>
      </c>
      <c r="F470" s="9" t="s">
        <v>31</v>
      </c>
      <c r="G470" s="22">
        <v>45</v>
      </c>
      <c r="J470" s="9"/>
      <c r="K470" s="9"/>
      <c r="L470" s="9" t="s">
        <v>138</v>
      </c>
      <c r="M470" s="22">
        <f t="shared" ref="M470" si="97">G470*D460</f>
        <v>90</v>
      </c>
      <c r="N470" s="9"/>
      <c r="O470" s="9"/>
      <c r="P470" s="9"/>
      <c r="Q470" s="9"/>
      <c r="R470" s="9"/>
      <c r="S470" s="12"/>
      <c r="T470" s="9"/>
      <c r="U470" s="9"/>
      <c r="V470" s="12"/>
      <c r="W470" s="12"/>
      <c r="X470" s="12"/>
      <c r="Y470" s="15"/>
      <c r="Z470" s="15"/>
      <c r="AA470" s="15"/>
      <c r="AB470" s="15"/>
      <c r="AC470" s="15"/>
      <c r="AD470" s="15"/>
      <c r="AE470" s="15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</row>
    <row r="471" spans="1:60" s="22" customFormat="1">
      <c r="E471" s="22">
        <f t="shared" si="95"/>
        <v>471</v>
      </c>
      <c r="F471" s="9" t="s">
        <v>115</v>
      </c>
      <c r="J471" s="9"/>
      <c r="K471" s="9"/>
      <c r="L471" s="9" t="s">
        <v>138</v>
      </c>
      <c r="M471" s="22">
        <v>85.94</v>
      </c>
      <c r="N471" s="9"/>
      <c r="O471" s="9"/>
      <c r="P471" s="9"/>
      <c r="Q471" s="9"/>
      <c r="R471" s="9"/>
      <c r="S471" s="12"/>
      <c r="T471" s="9"/>
      <c r="U471" s="9"/>
      <c r="V471" s="12"/>
      <c r="W471" s="12"/>
      <c r="X471" s="12"/>
      <c r="Y471" s="15"/>
      <c r="Z471" s="15"/>
      <c r="AA471" s="15"/>
      <c r="AB471" s="15"/>
      <c r="AC471" s="15"/>
      <c r="AD471" s="15"/>
      <c r="AE471" s="15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</row>
    <row r="472" spans="1:60" s="22" customFormat="1">
      <c r="E472" s="22">
        <f t="shared" si="95"/>
        <v>472</v>
      </c>
      <c r="F472" s="9" t="s">
        <v>120</v>
      </c>
      <c r="J472" s="9"/>
      <c r="K472" s="9" t="s">
        <v>141</v>
      </c>
      <c r="L472" s="9"/>
      <c r="M472" s="22">
        <v>2</v>
      </c>
      <c r="N472" s="9"/>
      <c r="O472" s="9"/>
      <c r="P472" s="9"/>
      <c r="Q472" s="9"/>
      <c r="R472" s="9"/>
      <c r="S472" s="12"/>
      <c r="T472" s="9"/>
      <c r="U472" s="9"/>
      <c r="V472" s="12"/>
      <c r="W472" s="12"/>
      <c r="X472" s="12"/>
      <c r="Y472" s="15"/>
      <c r="Z472" s="15"/>
      <c r="AA472" s="15"/>
      <c r="AB472" s="15"/>
      <c r="AC472" s="15"/>
      <c r="AD472" s="15"/>
      <c r="AE472" s="15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</row>
    <row r="473" spans="1:60" s="22" customFormat="1">
      <c r="E473" s="22">
        <f t="shared" si="95"/>
        <v>473</v>
      </c>
      <c r="F473" s="9" t="s">
        <v>129</v>
      </c>
      <c r="J473" s="9"/>
      <c r="K473" s="9"/>
      <c r="L473" s="9"/>
      <c r="M473" s="22">
        <v>10000</v>
      </c>
      <c r="N473" s="9"/>
      <c r="O473" s="9"/>
      <c r="P473" s="9"/>
      <c r="Q473" s="9"/>
      <c r="R473" s="9"/>
      <c r="S473" s="12"/>
      <c r="T473" s="9"/>
      <c r="U473" s="9"/>
      <c r="V473" s="12"/>
      <c r="W473" s="12"/>
      <c r="X473" s="12"/>
      <c r="Y473" s="15"/>
      <c r="Z473" s="15"/>
      <c r="AA473" s="15"/>
      <c r="AB473" s="15"/>
      <c r="AC473" s="15"/>
      <c r="AD473" s="15"/>
      <c r="AE473" s="15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</row>
    <row r="474" spans="1:60" s="22" customFormat="1">
      <c r="E474" s="22">
        <f t="shared" si="95"/>
        <v>474</v>
      </c>
      <c r="F474" s="9" t="s">
        <v>121</v>
      </c>
      <c r="J474" s="9"/>
      <c r="K474" s="9"/>
      <c r="L474" s="9"/>
      <c r="M474" s="22" t="b">
        <v>1</v>
      </c>
      <c r="N474" s="9"/>
      <c r="O474" s="9"/>
      <c r="P474" s="9"/>
      <c r="Q474" s="9"/>
      <c r="R474" s="9"/>
      <c r="S474" s="12"/>
      <c r="T474" s="9"/>
      <c r="U474" s="9"/>
      <c r="V474" s="12"/>
      <c r="W474" s="12"/>
      <c r="X474" s="12"/>
      <c r="Y474" s="15"/>
      <c r="Z474" s="15"/>
      <c r="AA474" s="15"/>
      <c r="AB474" s="15"/>
      <c r="AC474" s="15"/>
      <c r="AD474" s="15"/>
      <c r="AE474" s="15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</row>
    <row r="475" spans="1:60" s="22" customFormat="1">
      <c r="E475" s="22">
        <f t="shared" si="95"/>
        <v>475</v>
      </c>
      <c r="F475" s="9" t="s">
        <v>111</v>
      </c>
      <c r="J475" s="9"/>
      <c r="K475" s="9"/>
      <c r="L475" s="9"/>
      <c r="M475" s="22">
        <v>240</v>
      </c>
      <c r="N475" s="9"/>
      <c r="O475" s="9"/>
      <c r="P475" s="9"/>
      <c r="Q475" s="9"/>
      <c r="R475" s="9"/>
      <c r="S475" s="12"/>
      <c r="T475" s="9"/>
      <c r="U475" s="9"/>
      <c r="V475" s="12"/>
      <c r="W475" s="12"/>
      <c r="X475" s="12"/>
      <c r="Y475" s="15"/>
      <c r="Z475" s="15"/>
      <c r="AA475" s="15"/>
      <c r="AB475" s="15"/>
      <c r="AC475" s="15"/>
      <c r="AD475" s="15"/>
      <c r="AE475" s="15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</row>
    <row r="476" spans="1:60" s="22" customFormat="1">
      <c r="A476" s="22" t="s">
        <v>242</v>
      </c>
      <c r="B476" s="22">
        <f t="shared" ref="B476" si="98">QUOTIENT( D476-1,G477)+1</f>
        <v>1</v>
      </c>
      <c r="C476" s="22">
        <f t="shared" ref="C476" si="99">D476-(B476-1)*G477</f>
        <v>3</v>
      </c>
      <c r="D476" s="22">
        <f>COUNT($D$443:$D475)+1</f>
        <v>3</v>
      </c>
      <c r="F476" s="9"/>
      <c r="J476" s="9"/>
      <c r="K476" s="9"/>
      <c r="L476" s="9"/>
      <c r="N476" s="9"/>
      <c r="O476" s="9"/>
      <c r="P476" s="9"/>
      <c r="Q476" s="9"/>
      <c r="R476" s="9"/>
      <c r="S476" s="12"/>
      <c r="T476" s="9"/>
      <c r="U476" s="9"/>
      <c r="V476" s="12"/>
      <c r="W476" s="12"/>
      <c r="X476" s="12"/>
      <c r="Y476" s="15"/>
      <c r="Z476" s="15"/>
      <c r="AA476" s="15"/>
      <c r="AB476" s="15"/>
      <c r="AC476" s="15"/>
      <c r="AD476" s="15"/>
      <c r="AE476" s="15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</row>
    <row r="477" spans="1:60" s="22" customFormat="1">
      <c r="E477" s="22">
        <f t="shared" si="95"/>
        <v>477</v>
      </c>
      <c r="F477" s="9" t="s">
        <v>93</v>
      </c>
      <c r="G477" s="22">
        <v>8</v>
      </c>
      <c r="H477" s="22">
        <v>1</v>
      </c>
      <c r="J477" s="9">
        <v>11800</v>
      </c>
      <c r="K477" s="9"/>
      <c r="L477" s="9"/>
      <c r="M477" s="22">
        <f t="shared" ref="M477" si="100">$J$445+D476</f>
        <v>11803</v>
      </c>
      <c r="N477" s="9"/>
      <c r="O477" s="9"/>
      <c r="P477" s="9"/>
      <c r="Q477" s="9"/>
      <c r="R477" s="9"/>
      <c r="S477" s="12"/>
      <c r="T477" s="9"/>
      <c r="U477" s="9"/>
      <c r="V477" s="12"/>
      <c r="W477" s="12"/>
      <c r="X477" s="12"/>
      <c r="Y477" s="15"/>
      <c r="Z477" s="15"/>
      <c r="AA477" s="15"/>
      <c r="AB477" s="15"/>
      <c r="AC477" s="15"/>
      <c r="AD477" s="15"/>
      <c r="AE477" s="15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</row>
    <row r="478" spans="1:60" s="22" customFormat="1">
      <c r="E478" s="22">
        <f t="shared" si="95"/>
        <v>478</v>
      </c>
      <c r="F478" s="9" t="s">
        <v>146</v>
      </c>
      <c r="J478" s="9"/>
      <c r="K478" s="9"/>
      <c r="L478" s="9"/>
      <c r="M478" s="22">
        <v>11700</v>
      </c>
      <c r="N478" s="9"/>
      <c r="O478" s="9"/>
      <c r="P478" s="9"/>
      <c r="Q478" s="9"/>
      <c r="R478" s="9"/>
      <c r="S478" s="12"/>
      <c r="T478" s="9"/>
      <c r="U478" s="9"/>
      <c r="V478" s="12"/>
      <c r="W478" s="12"/>
      <c r="X478" s="12"/>
      <c r="Y478" s="15"/>
      <c r="Z478" s="15"/>
      <c r="AA478" s="15"/>
      <c r="AB478" s="15"/>
      <c r="AC478" s="15"/>
      <c r="AD478" s="15"/>
      <c r="AE478" s="15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</row>
    <row r="479" spans="1:60" s="22" customFormat="1">
      <c r="E479" s="22">
        <f t="shared" si="95"/>
        <v>479</v>
      </c>
      <c r="F479" s="9" t="s">
        <v>131</v>
      </c>
      <c r="J479" s="9"/>
      <c r="K479" s="9"/>
      <c r="L479" s="9"/>
      <c r="M479" s="22">
        <v>0</v>
      </c>
      <c r="N479" s="9"/>
      <c r="O479" s="9"/>
      <c r="P479" s="9"/>
      <c r="Q479" s="9"/>
      <c r="R479" s="9"/>
      <c r="S479" s="12"/>
      <c r="T479" s="9"/>
      <c r="U479" s="9"/>
      <c r="V479" s="12"/>
      <c r="W479" s="12"/>
      <c r="X479" s="12"/>
      <c r="Y479" s="15"/>
      <c r="Z479" s="15"/>
      <c r="AA479" s="15"/>
      <c r="AB479" s="15"/>
      <c r="AC479" s="15"/>
      <c r="AD479" s="15"/>
      <c r="AE479" s="15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</row>
    <row r="480" spans="1:60" s="22" customFormat="1">
      <c r="E480" s="22">
        <f t="shared" si="95"/>
        <v>480</v>
      </c>
      <c r="F480" s="9" t="s">
        <v>29</v>
      </c>
      <c r="J480" s="9"/>
      <c r="K480" s="9"/>
      <c r="L480" s="9"/>
      <c r="M480" s="22" t="s">
        <v>150</v>
      </c>
      <c r="N480" s="9"/>
      <c r="O480" s="9"/>
      <c r="P480" s="9"/>
      <c r="Q480" s="9"/>
      <c r="R480" s="9"/>
      <c r="S480" s="12"/>
      <c r="T480" s="9"/>
      <c r="U480" s="9"/>
      <c r="V480" s="12"/>
      <c r="W480" s="12"/>
      <c r="X480" s="12"/>
      <c r="Y480" s="15"/>
      <c r="Z480" s="15"/>
      <c r="AA480" s="15"/>
      <c r="AB480" s="15"/>
      <c r="AC480" s="15"/>
      <c r="AD480" s="15"/>
      <c r="AE480" s="15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</row>
    <row r="481" spans="1:60" s="22" customFormat="1">
      <c r="E481" s="22">
        <f t="shared" si="95"/>
        <v>481</v>
      </c>
      <c r="F481" s="9" t="s">
        <v>122</v>
      </c>
      <c r="J481" s="9"/>
      <c r="K481" s="9"/>
      <c r="L481" s="9"/>
      <c r="M481" s="22" t="s">
        <v>158</v>
      </c>
      <c r="N481" s="9"/>
      <c r="O481" s="9"/>
      <c r="P481" s="9"/>
      <c r="Q481" s="9"/>
      <c r="R481" s="9"/>
      <c r="S481" s="12"/>
      <c r="T481" s="9"/>
      <c r="U481" s="9"/>
      <c r="V481" s="12"/>
      <c r="W481" s="12"/>
      <c r="X481" s="12"/>
      <c r="Y481" s="15"/>
      <c r="Z481" s="15"/>
      <c r="AA481" s="15"/>
      <c r="AB481" s="15"/>
      <c r="AC481" s="15"/>
      <c r="AD481" s="15"/>
      <c r="AE481" s="15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</row>
    <row r="482" spans="1:60" s="22" customFormat="1">
      <c r="E482" s="22">
        <f t="shared" si="95"/>
        <v>482</v>
      </c>
      <c r="F482" s="9" t="s">
        <v>99</v>
      </c>
      <c r="J482" s="9"/>
      <c r="K482" s="9" t="s">
        <v>141</v>
      </c>
      <c r="L482" s="9"/>
      <c r="M482" s="22">
        <v>2</v>
      </c>
      <c r="N482" s="9"/>
      <c r="O482" s="9"/>
      <c r="P482" s="9"/>
      <c r="Q482" s="9"/>
      <c r="R482" s="9"/>
      <c r="S482" s="12"/>
      <c r="T482" s="9"/>
      <c r="U482" s="9"/>
      <c r="V482" s="12"/>
      <c r="W482" s="12"/>
      <c r="X482" s="12"/>
      <c r="Y482" s="15"/>
      <c r="Z482" s="15"/>
      <c r="AA482" s="15"/>
      <c r="AB482" s="15"/>
      <c r="AC482" s="15"/>
      <c r="AD482" s="15"/>
      <c r="AE482" s="15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</row>
    <row r="483" spans="1:60" s="22" customFormat="1">
      <c r="E483" s="22">
        <f t="shared" si="95"/>
        <v>483</v>
      </c>
      <c r="F483" s="9" t="s">
        <v>113</v>
      </c>
      <c r="J483" s="9"/>
      <c r="K483" s="9"/>
      <c r="L483" s="9"/>
      <c r="M483" s="22">
        <v>3</v>
      </c>
      <c r="N483" s="9"/>
      <c r="O483" s="9"/>
      <c r="P483" s="9"/>
      <c r="Q483" s="9"/>
      <c r="R483" s="9"/>
      <c r="S483" s="12"/>
      <c r="T483" s="9"/>
      <c r="U483" s="9"/>
      <c r="V483" s="12"/>
      <c r="W483" s="12"/>
      <c r="X483" s="12"/>
      <c r="Y483" s="15"/>
      <c r="Z483" s="15"/>
      <c r="AA483" s="15"/>
      <c r="AB483" s="15"/>
      <c r="AC483" s="15"/>
      <c r="AD483" s="15"/>
      <c r="AE483" s="15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</row>
    <row r="484" spans="1:60" s="22" customFormat="1">
      <c r="E484" s="22">
        <f t="shared" si="95"/>
        <v>484</v>
      </c>
      <c r="F484" s="9" t="s">
        <v>30</v>
      </c>
      <c r="J484" s="9"/>
      <c r="K484" s="9"/>
      <c r="L484" s="9"/>
      <c r="M484" s="22">
        <v>3</v>
      </c>
      <c r="N484" s="9"/>
      <c r="O484" s="9"/>
      <c r="P484" s="9"/>
      <c r="Q484" s="9"/>
      <c r="R484" s="9"/>
      <c r="S484" s="12"/>
      <c r="T484" s="9"/>
      <c r="U484" s="9"/>
      <c r="V484" s="12"/>
      <c r="W484" s="12"/>
      <c r="X484" s="12"/>
      <c r="Y484" s="15"/>
      <c r="Z484" s="15"/>
      <c r="AA484" s="15"/>
      <c r="AB484" s="15"/>
      <c r="AC484" s="15"/>
      <c r="AD484" s="15"/>
      <c r="AE484" s="15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</row>
    <row r="485" spans="1:60" s="22" customFormat="1">
      <c r="E485" s="22">
        <f t="shared" si="95"/>
        <v>485</v>
      </c>
      <c r="F485" s="9" t="s">
        <v>119</v>
      </c>
      <c r="J485" s="9"/>
      <c r="K485" s="9"/>
      <c r="L485" s="9"/>
      <c r="M485" s="22">
        <v>1.5</v>
      </c>
      <c r="N485" s="9"/>
      <c r="O485" s="9"/>
      <c r="P485" s="9"/>
      <c r="Q485" s="9"/>
      <c r="R485" s="9"/>
      <c r="S485" s="12"/>
      <c r="T485" s="9"/>
      <c r="U485" s="9"/>
      <c r="V485" s="12"/>
      <c r="W485" s="12"/>
      <c r="X485" s="12"/>
      <c r="Y485" s="15"/>
      <c r="Z485" s="15"/>
      <c r="AA485" s="15"/>
      <c r="AB485" s="15"/>
      <c r="AC485" s="15"/>
      <c r="AD485" s="15"/>
      <c r="AE485" s="15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</row>
    <row r="486" spans="1:60" s="22" customFormat="1">
      <c r="E486" s="22">
        <f t="shared" si="95"/>
        <v>486</v>
      </c>
      <c r="F486" s="9" t="s">
        <v>31</v>
      </c>
      <c r="G486" s="22">
        <v>45</v>
      </c>
      <c r="J486" s="9"/>
      <c r="K486" s="9"/>
      <c r="L486" s="9" t="s">
        <v>138</v>
      </c>
      <c r="M486" s="22">
        <f t="shared" ref="M486" si="101">G486*D476</f>
        <v>135</v>
      </c>
      <c r="N486" s="9"/>
      <c r="O486" s="9"/>
      <c r="P486" s="9"/>
      <c r="Q486" s="9"/>
      <c r="R486" s="9"/>
      <c r="S486" s="12"/>
      <c r="T486" s="9"/>
      <c r="U486" s="9"/>
      <c r="V486" s="12"/>
      <c r="W486" s="12"/>
      <c r="X486" s="12"/>
      <c r="Y486" s="15"/>
      <c r="Z486" s="15"/>
      <c r="AA486" s="15"/>
      <c r="AB486" s="15"/>
      <c r="AC486" s="15"/>
      <c r="AD486" s="15"/>
      <c r="AE486" s="15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</row>
    <row r="487" spans="1:60" s="22" customFormat="1">
      <c r="E487" s="22">
        <f t="shared" si="95"/>
        <v>487</v>
      </c>
      <c r="F487" s="9" t="s">
        <v>115</v>
      </c>
      <c r="J487" s="9"/>
      <c r="K487" s="9"/>
      <c r="L487" s="9" t="s">
        <v>138</v>
      </c>
      <c r="M487" s="22">
        <v>85.94</v>
      </c>
      <c r="N487" s="9"/>
      <c r="O487" s="9"/>
      <c r="P487" s="9"/>
      <c r="Q487" s="9"/>
      <c r="R487" s="9"/>
      <c r="S487" s="12"/>
      <c r="T487" s="9"/>
      <c r="U487" s="9"/>
      <c r="V487" s="12"/>
      <c r="W487" s="12"/>
      <c r="X487" s="12"/>
      <c r="Y487" s="15"/>
      <c r="Z487" s="15"/>
      <c r="AA487" s="15"/>
      <c r="AB487" s="15"/>
      <c r="AC487" s="15"/>
      <c r="AD487" s="15"/>
      <c r="AE487" s="15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</row>
    <row r="488" spans="1:60" s="22" customFormat="1">
      <c r="E488" s="22">
        <f t="shared" si="95"/>
        <v>488</v>
      </c>
      <c r="F488" s="9" t="s">
        <v>120</v>
      </c>
      <c r="J488" s="9"/>
      <c r="K488" s="9" t="s">
        <v>141</v>
      </c>
      <c r="L488" s="9"/>
      <c r="M488" s="22">
        <v>2</v>
      </c>
      <c r="N488" s="9"/>
      <c r="O488" s="9"/>
      <c r="P488" s="9"/>
      <c r="Q488" s="9"/>
      <c r="R488" s="9"/>
      <c r="S488" s="12"/>
      <c r="T488" s="9"/>
      <c r="U488" s="9"/>
      <c r="V488" s="12"/>
      <c r="W488" s="12"/>
      <c r="X488" s="12"/>
      <c r="Y488" s="15"/>
      <c r="Z488" s="15"/>
      <c r="AA488" s="15"/>
      <c r="AB488" s="15"/>
      <c r="AC488" s="15"/>
      <c r="AD488" s="15"/>
      <c r="AE488" s="15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</row>
    <row r="489" spans="1:60" s="22" customFormat="1">
      <c r="E489" s="22">
        <f t="shared" si="95"/>
        <v>489</v>
      </c>
      <c r="F489" s="9" t="s">
        <v>129</v>
      </c>
      <c r="J489" s="9"/>
      <c r="K489" s="9"/>
      <c r="L489" s="9"/>
      <c r="M489" s="22">
        <v>10000</v>
      </c>
      <c r="N489" s="9"/>
      <c r="O489" s="9"/>
      <c r="P489" s="9"/>
      <c r="Q489" s="9"/>
      <c r="R489" s="9"/>
      <c r="S489" s="12"/>
      <c r="T489" s="9"/>
      <c r="U489" s="9"/>
      <c r="V489" s="12"/>
      <c r="W489" s="12"/>
      <c r="X489" s="12"/>
      <c r="Y489" s="15"/>
      <c r="Z489" s="15"/>
      <c r="AA489" s="15"/>
      <c r="AB489" s="15"/>
      <c r="AC489" s="15"/>
      <c r="AD489" s="15"/>
      <c r="AE489" s="15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</row>
    <row r="490" spans="1:60" s="22" customFormat="1">
      <c r="E490" s="22">
        <f t="shared" si="95"/>
        <v>490</v>
      </c>
      <c r="F490" s="9" t="s">
        <v>121</v>
      </c>
      <c r="J490" s="9"/>
      <c r="K490" s="9"/>
      <c r="L490" s="9"/>
      <c r="M490" s="22" t="b">
        <v>1</v>
      </c>
      <c r="N490" s="9"/>
      <c r="O490" s="9"/>
      <c r="P490" s="9"/>
      <c r="Q490" s="9"/>
      <c r="R490" s="9"/>
      <c r="S490" s="12"/>
      <c r="T490" s="9"/>
      <c r="U490" s="9"/>
      <c r="V490" s="12"/>
      <c r="W490" s="12"/>
      <c r="X490" s="12"/>
      <c r="Y490" s="15"/>
      <c r="Z490" s="15"/>
      <c r="AA490" s="15"/>
      <c r="AB490" s="15"/>
      <c r="AC490" s="15"/>
      <c r="AD490" s="15"/>
      <c r="AE490" s="15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</row>
    <row r="491" spans="1:60" s="22" customFormat="1">
      <c r="E491" s="22">
        <f t="shared" si="95"/>
        <v>491</v>
      </c>
      <c r="F491" s="9" t="s">
        <v>111</v>
      </c>
      <c r="J491" s="9"/>
      <c r="K491" s="9"/>
      <c r="L491" s="9"/>
      <c r="M491" s="22">
        <v>240</v>
      </c>
      <c r="N491" s="9"/>
      <c r="O491" s="9"/>
      <c r="P491" s="9"/>
      <c r="Q491" s="9"/>
      <c r="R491" s="9"/>
      <c r="S491" s="12"/>
      <c r="T491" s="9"/>
      <c r="U491" s="9"/>
      <c r="V491" s="12"/>
      <c r="W491" s="12"/>
      <c r="X491" s="12"/>
      <c r="Y491" s="15"/>
      <c r="Z491" s="15"/>
      <c r="AA491" s="15"/>
      <c r="AB491" s="15"/>
      <c r="AC491" s="15"/>
      <c r="AD491" s="15"/>
      <c r="AE491" s="15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</row>
    <row r="492" spans="1:60" s="22" customFormat="1">
      <c r="A492" s="22" t="s">
        <v>242</v>
      </c>
      <c r="B492" s="22">
        <f t="shared" ref="B492" si="102">QUOTIENT( D492-1,G493)+1</f>
        <v>1</v>
      </c>
      <c r="C492" s="22">
        <f t="shared" ref="C492" si="103">D492-(B492-1)*G493</f>
        <v>4</v>
      </c>
      <c r="D492" s="22">
        <f>COUNT($D$443:$D491)+1</f>
        <v>4</v>
      </c>
      <c r="F492" s="9"/>
      <c r="J492" s="9"/>
      <c r="K492" s="9"/>
      <c r="L492" s="9"/>
      <c r="N492" s="9"/>
      <c r="O492" s="9"/>
      <c r="P492" s="9"/>
      <c r="Q492" s="9"/>
      <c r="R492" s="9"/>
      <c r="S492" s="12"/>
      <c r="T492" s="9"/>
      <c r="U492" s="9"/>
      <c r="V492" s="12"/>
      <c r="W492" s="12"/>
      <c r="X492" s="12"/>
      <c r="Y492" s="15"/>
      <c r="Z492" s="15"/>
      <c r="AA492" s="15"/>
      <c r="AB492" s="15"/>
      <c r="AC492" s="15"/>
      <c r="AD492" s="15"/>
      <c r="AE492" s="15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</row>
    <row r="493" spans="1:60" s="22" customFormat="1">
      <c r="E493" s="22">
        <f t="shared" si="95"/>
        <v>493</v>
      </c>
      <c r="F493" s="9" t="s">
        <v>93</v>
      </c>
      <c r="G493" s="22">
        <v>8</v>
      </c>
      <c r="H493" s="22">
        <v>1</v>
      </c>
      <c r="J493" s="9">
        <v>11800</v>
      </c>
      <c r="K493" s="9"/>
      <c r="L493" s="9"/>
      <c r="M493" s="22">
        <f t="shared" ref="M493" si="104">$J$445+D492</f>
        <v>11804</v>
      </c>
      <c r="N493" s="9"/>
      <c r="O493" s="9"/>
      <c r="P493" s="9"/>
      <c r="Q493" s="9"/>
      <c r="R493" s="9"/>
      <c r="S493" s="12"/>
      <c r="T493" s="9"/>
      <c r="U493" s="9"/>
      <c r="V493" s="12"/>
      <c r="W493" s="12"/>
      <c r="X493" s="12"/>
      <c r="Y493" s="15"/>
      <c r="Z493" s="15"/>
      <c r="AA493" s="15"/>
      <c r="AB493" s="15"/>
      <c r="AC493" s="15"/>
      <c r="AD493" s="15"/>
      <c r="AE493" s="15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</row>
    <row r="494" spans="1:60" s="22" customFormat="1">
      <c r="E494" s="22">
        <f t="shared" si="95"/>
        <v>494</v>
      </c>
      <c r="F494" s="9" t="s">
        <v>146</v>
      </c>
      <c r="J494" s="9"/>
      <c r="K494" s="9"/>
      <c r="L494" s="9"/>
      <c r="M494" s="22">
        <v>11700</v>
      </c>
      <c r="N494" s="9"/>
      <c r="O494" s="9"/>
      <c r="P494" s="9"/>
      <c r="Q494" s="9"/>
      <c r="R494" s="9"/>
      <c r="S494" s="12"/>
      <c r="T494" s="9"/>
      <c r="U494" s="9"/>
      <c r="V494" s="12"/>
      <c r="W494" s="12"/>
      <c r="X494" s="12"/>
      <c r="Y494" s="15"/>
      <c r="Z494" s="15"/>
      <c r="AA494" s="15"/>
      <c r="AB494" s="15"/>
      <c r="AC494" s="15"/>
      <c r="AD494" s="15"/>
      <c r="AE494" s="15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</row>
    <row r="495" spans="1:60" s="22" customFormat="1">
      <c r="E495" s="22">
        <f t="shared" si="95"/>
        <v>495</v>
      </c>
      <c r="F495" s="9" t="s">
        <v>131</v>
      </c>
      <c r="J495" s="9"/>
      <c r="K495" s="9"/>
      <c r="L495" s="9"/>
      <c r="M495" s="22">
        <v>0</v>
      </c>
      <c r="N495" s="9"/>
      <c r="O495" s="9"/>
      <c r="P495" s="9"/>
      <c r="Q495" s="9"/>
      <c r="R495" s="9"/>
      <c r="S495" s="12"/>
      <c r="T495" s="9"/>
      <c r="U495" s="9"/>
      <c r="V495" s="12"/>
      <c r="W495" s="12"/>
      <c r="X495" s="12"/>
      <c r="Y495" s="15"/>
      <c r="Z495" s="15"/>
      <c r="AA495" s="15"/>
      <c r="AB495" s="15"/>
      <c r="AC495" s="15"/>
      <c r="AD495" s="15"/>
      <c r="AE495" s="15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</row>
    <row r="496" spans="1:60" s="22" customFormat="1">
      <c r="E496" s="22">
        <f t="shared" si="95"/>
        <v>496</v>
      </c>
      <c r="F496" s="9" t="s">
        <v>29</v>
      </c>
      <c r="J496" s="9"/>
      <c r="K496" s="9"/>
      <c r="L496" s="9"/>
      <c r="M496" s="22" t="s">
        <v>150</v>
      </c>
      <c r="N496" s="9"/>
      <c r="O496" s="9"/>
      <c r="P496" s="9"/>
      <c r="Q496" s="9"/>
      <c r="R496" s="9"/>
      <c r="S496" s="12"/>
      <c r="T496" s="9"/>
      <c r="U496" s="9"/>
      <c r="V496" s="12"/>
      <c r="W496" s="12"/>
      <c r="X496" s="12"/>
      <c r="Y496" s="15"/>
      <c r="Z496" s="15"/>
      <c r="AA496" s="15"/>
      <c r="AB496" s="15"/>
      <c r="AC496" s="15"/>
      <c r="AD496" s="15"/>
      <c r="AE496" s="15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</row>
    <row r="497" spans="1:60" s="22" customFormat="1">
      <c r="E497" s="22">
        <f t="shared" si="95"/>
        <v>497</v>
      </c>
      <c r="F497" s="9" t="s">
        <v>122</v>
      </c>
      <c r="J497" s="9"/>
      <c r="K497" s="9"/>
      <c r="L497" s="9"/>
      <c r="M497" s="22" t="s">
        <v>158</v>
      </c>
      <c r="N497" s="9"/>
      <c r="O497" s="9"/>
      <c r="P497" s="9"/>
      <c r="Q497" s="9"/>
      <c r="R497" s="9"/>
      <c r="S497" s="12"/>
      <c r="T497" s="9"/>
      <c r="U497" s="9"/>
      <c r="V497" s="12"/>
      <c r="W497" s="12"/>
      <c r="X497" s="12"/>
      <c r="Y497" s="15"/>
      <c r="Z497" s="15"/>
      <c r="AA497" s="15"/>
      <c r="AB497" s="15"/>
      <c r="AC497" s="15"/>
      <c r="AD497" s="15"/>
      <c r="AE497" s="15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</row>
    <row r="498" spans="1:60" s="22" customFormat="1">
      <c r="E498" s="22">
        <f t="shared" si="95"/>
        <v>498</v>
      </c>
      <c r="F498" s="9" t="s">
        <v>99</v>
      </c>
      <c r="J498" s="9"/>
      <c r="K498" s="9" t="s">
        <v>141</v>
      </c>
      <c r="L498" s="9"/>
      <c r="M498" s="22">
        <v>2</v>
      </c>
      <c r="N498" s="9"/>
      <c r="O498" s="9"/>
      <c r="P498" s="9"/>
      <c r="Q498" s="9"/>
      <c r="R498" s="9"/>
      <c r="S498" s="12"/>
      <c r="T498" s="9"/>
      <c r="U498" s="9"/>
      <c r="V498" s="12"/>
      <c r="W498" s="12"/>
      <c r="X498" s="12"/>
      <c r="Y498" s="15"/>
      <c r="Z498" s="15"/>
      <c r="AA498" s="15"/>
      <c r="AB498" s="15"/>
      <c r="AC498" s="15"/>
      <c r="AD498" s="15"/>
      <c r="AE498" s="15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</row>
    <row r="499" spans="1:60" s="22" customFormat="1">
      <c r="E499" s="22">
        <f t="shared" si="95"/>
        <v>499</v>
      </c>
      <c r="F499" s="9" t="s">
        <v>113</v>
      </c>
      <c r="J499" s="9"/>
      <c r="K499" s="9"/>
      <c r="L499" s="9"/>
      <c r="M499" s="22">
        <v>3</v>
      </c>
      <c r="N499" s="9"/>
      <c r="O499" s="9"/>
      <c r="P499" s="9"/>
      <c r="Q499" s="9"/>
      <c r="R499" s="9"/>
      <c r="S499" s="12"/>
      <c r="T499" s="9"/>
      <c r="U499" s="9"/>
      <c r="V499" s="12"/>
      <c r="W499" s="12"/>
      <c r="X499" s="12"/>
      <c r="Y499" s="15"/>
      <c r="Z499" s="15"/>
      <c r="AA499" s="15"/>
      <c r="AB499" s="15"/>
      <c r="AC499" s="15"/>
      <c r="AD499" s="15"/>
      <c r="AE499" s="15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</row>
    <row r="500" spans="1:60" s="22" customFormat="1">
      <c r="E500" s="22">
        <f t="shared" si="95"/>
        <v>500</v>
      </c>
      <c r="F500" s="9" t="s">
        <v>30</v>
      </c>
      <c r="J500" s="9"/>
      <c r="K500" s="9"/>
      <c r="L500" s="9"/>
      <c r="M500" s="22">
        <v>3</v>
      </c>
      <c r="N500" s="9"/>
      <c r="O500" s="9"/>
      <c r="P500" s="9"/>
      <c r="Q500" s="9"/>
      <c r="R500" s="9"/>
      <c r="S500" s="12"/>
      <c r="T500" s="9"/>
      <c r="U500" s="9"/>
      <c r="V500" s="12"/>
      <c r="W500" s="12"/>
      <c r="X500" s="12"/>
      <c r="Y500" s="15"/>
      <c r="Z500" s="15"/>
      <c r="AA500" s="15"/>
      <c r="AB500" s="15"/>
      <c r="AC500" s="15"/>
      <c r="AD500" s="15"/>
      <c r="AE500" s="15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</row>
    <row r="501" spans="1:60" s="22" customFormat="1">
      <c r="E501" s="22">
        <f t="shared" si="95"/>
        <v>501</v>
      </c>
      <c r="F501" s="9" t="s">
        <v>119</v>
      </c>
      <c r="J501" s="9"/>
      <c r="K501" s="9"/>
      <c r="L501" s="9"/>
      <c r="M501" s="22">
        <v>1.5</v>
      </c>
      <c r="N501" s="9"/>
      <c r="O501" s="9"/>
      <c r="P501" s="9"/>
      <c r="Q501" s="9"/>
      <c r="R501" s="9"/>
      <c r="S501" s="12"/>
      <c r="T501" s="9"/>
      <c r="U501" s="9"/>
      <c r="V501" s="12"/>
      <c r="W501" s="12"/>
      <c r="X501" s="12"/>
      <c r="Y501" s="15"/>
      <c r="Z501" s="15"/>
      <c r="AA501" s="15"/>
      <c r="AB501" s="15"/>
      <c r="AC501" s="15"/>
      <c r="AD501" s="15"/>
      <c r="AE501" s="15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</row>
    <row r="502" spans="1:60" s="22" customFormat="1">
      <c r="E502" s="22">
        <f t="shared" si="95"/>
        <v>502</v>
      </c>
      <c r="F502" s="9" t="s">
        <v>31</v>
      </c>
      <c r="G502" s="22">
        <v>45</v>
      </c>
      <c r="J502" s="9"/>
      <c r="K502" s="9"/>
      <c r="L502" s="9" t="s">
        <v>138</v>
      </c>
      <c r="M502" s="22">
        <f t="shared" ref="M502" si="105">G502*D492</f>
        <v>180</v>
      </c>
      <c r="N502" s="9"/>
      <c r="O502" s="9"/>
      <c r="P502" s="9"/>
      <c r="Q502" s="9"/>
      <c r="R502" s="9"/>
      <c r="S502" s="12"/>
      <c r="T502" s="9"/>
      <c r="U502" s="9"/>
      <c r="V502" s="12"/>
      <c r="W502" s="12"/>
      <c r="X502" s="12"/>
      <c r="Y502" s="15"/>
      <c r="Z502" s="15"/>
      <c r="AA502" s="15"/>
      <c r="AB502" s="15"/>
      <c r="AC502" s="15"/>
      <c r="AD502" s="15"/>
      <c r="AE502" s="15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</row>
    <row r="503" spans="1:60" s="22" customFormat="1">
      <c r="E503" s="22">
        <f t="shared" si="95"/>
        <v>503</v>
      </c>
      <c r="F503" s="9" t="s">
        <v>115</v>
      </c>
      <c r="J503" s="9"/>
      <c r="K503" s="9"/>
      <c r="L503" s="9" t="s">
        <v>138</v>
      </c>
      <c r="M503" s="22">
        <v>85.94</v>
      </c>
      <c r="N503" s="9"/>
      <c r="O503" s="9"/>
      <c r="P503" s="9"/>
      <c r="Q503" s="9"/>
      <c r="R503" s="9"/>
      <c r="S503" s="12"/>
      <c r="T503" s="9"/>
      <c r="U503" s="9"/>
      <c r="V503" s="12"/>
      <c r="W503" s="12"/>
      <c r="X503" s="12"/>
      <c r="Y503" s="15"/>
      <c r="Z503" s="15"/>
      <c r="AA503" s="15"/>
      <c r="AB503" s="15"/>
      <c r="AC503" s="15"/>
      <c r="AD503" s="15"/>
      <c r="AE503" s="15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</row>
    <row r="504" spans="1:60" s="22" customFormat="1">
      <c r="E504" s="22">
        <f t="shared" si="95"/>
        <v>504</v>
      </c>
      <c r="F504" s="9" t="s">
        <v>120</v>
      </c>
      <c r="J504" s="9"/>
      <c r="K504" s="9" t="s">
        <v>141</v>
      </c>
      <c r="L504" s="9"/>
      <c r="M504" s="22">
        <v>2</v>
      </c>
      <c r="N504" s="9"/>
      <c r="O504" s="9"/>
      <c r="P504" s="9"/>
      <c r="Q504" s="9"/>
      <c r="R504" s="9"/>
      <c r="S504" s="12"/>
      <c r="T504" s="9"/>
      <c r="U504" s="9"/>
      <c r="V504" s="12"/>
      <c r="W504" s="12"/>
      <c r="X504" s="12"/>
      <c r="Y504" s="15"/>
      <c r="Z504" s="15"/>
      <c r="AA504" s="15"/>
      <c r="AB504" s="15"/>
      <c r="AC504" s="15"/>
      <c r="AD504" s="15"/>
      <c r="AE504" s="15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</row>
    <row r="505" spans="1:60" s="22" customFormat="1">
      <c r="E505" s="22">
        <f t="shared" si="95"/>
        <v>505</v>
      </c>
      <c r="F505" s="9" t="s">
        <v>129</v>
      </c>
      <c r="J505" s="9"/>
      <c r="K505" s="9"/>
      <c r="L505" s="9"/>
      <c r="M505" s="22">
        <v>10000</v>
      </c>
      <c r="N505" s="9"/>
      <c r="O505" s="9"/>
      <c r="P505" s="9"/>
      <c r="Q505" s="9"/>
      <c r="R505" s="9"/>
      <c r="S505" s="12"/>
      <c r="T505" s="9"/>
      <c r="U505" s="9"/>
      <c r="V505" s="12"/>
      <c r="W505" s="12"/>
      <c r="X505" s="12"/>
      <c r="Y505" s="15"/>
      <c r="Z505" s="15"/>
      <c r="AA505" s="15"/>
      <c r="AB505" s="15"/>
      <c r="AC505" s="15"/>
      <c r="AD505" s="15"/>
      <c r="AE505" s="15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</row>
    <row r="506" spans="1:60" s="22" customFormat="1">
      <c r="E506" s="22">
        <f t="shared" si="95"/>
        <v>506</v>
      </c>
      <c r="F506" s="9" t="s">
        <v>121</v>
      </c>
      <c r="J506" s="9"/>
      <c r="K506" s="9"/>
      <c r="L506" s="9"/>
      <c r="M506" s="22" t="b">
        <v>1</v>
      </c>
      <c r="N506" s="9"/>
      <c r="O506" s="9"/>
      <c r="P506" s="9"/>
      <c r="Q506" s="9"/>
      <c r="R506" s="9"/>
      <c r="S506" s="12"/>
      <c r="T506" s="9"/>
      <c r="U506" s="9"/>
      <c r="V506" s="12"/>
      <c r="W506" s="12"/>
      <c r="X506" s="12"/>
      <c r="Y506" s="15"/>
      <c r="Z506" s="15"/>
      <c r="AA506" s="15"/>
      <c r="AB506" s="15"/>
      <c r="AC506" s="15"/>
      <c r="AD506" s="15"/>
      <c r="AE506" s="15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</row>
    <row r="507" spans="1:60" s="22" customFormat="1">
      <c r="E507" s="22">
        <f t="shared" si="95"/>
        <v>507</v>
      </c>
      <c r="F507" s="9" t="s">
        <v>111</v>
      </c>
      <c r="J507" s="9"/>
      <c r="K507" s="9"/>
      <c r="L507" s="9"/>
      <c r="M507" s="22">
        <v>240</v>
      </c>
      <c r="N507" s="9"/>
      <c r="O507" s="9"/>
      <c r="P507" s="9"/>
      <c r="Q507" s="9"/>
      <c r="R507" s="9"/>
      <c r="S507" s="12"/>
      <c r="T507" s="9"/>
      <c r="U507" s="9"/>
      <c r="V507" s="12"/>
      <c r="W507" s="12"/>
      <c r="X507" s="12"/>
      <c r="Y507" s="15"/>
      <c r="Z507" s="15"/>
      <c r="AA507" s="15"/>
      <c r="AB507" s="15"/>
      <c r="AC507" s="15"/>
      <c r="AD507" s="15"/>
      <c r="AE507" s="15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</row>
    <row r="508" spans="1:60" s="22" customFormat="1">
      <c r="A508" s="22" t="s">
        <v>242</v>
      </c>
      <c r="B508" s="22">
        <f t="shared" ref="B508" si="106">QUOTIENT( D508-1,G509)+1</f>
        <v>1</v>
      </c>
      <c r="C508" s="22">
        <f t="shared" ref="C508" si="107">D508-(B508-1)*G509</f>
        <v>5</v>
      </c>
      <c r="D508" s="22">
        <f>COUNT($D$443:$D507)+1</f>
        <v>5</v>
      </c>
      <c r="F508" s="9"/>
      <c r="J508" s="9"/>
      <c r="K508" s="9"/>
      <c r="L508" s="9"/>
      <c r="N508" s="9"/>
      <c r="O508" s="9"/>
      <c r="P508" s="9"/>
      <c r="Q508" s="9"/>
      <c r="R508" s="9"/>
      <c r="S508" s="12"/>
      <c r="T508" s="9"/>
      <c r="U508" s="9"/>
      <c r="V508" s="12"/>
      <c r="W508" s="12"/>
      <c r="X508" s="12"/>
      <c r="Y508" s="15"/>
      <c r="Z508" s="15"/>
      <c r="AA508" s="15"/>
      <c r="AB508" s="15"/>
      <c r="AC508" s="15"/>
      <c r="AD508" s="15"/>
      <c r="AE508" s="15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</row>
    <row r="509" spans="1:60" s="22" customFormat="1">
      <c r="E509" s="22">
        <f t="shared" si="95"/>
        <v>509</v>
      </c>
      <c r="F509" s="9" t="s">
        <v>93</v>
      </c>
      <c r="G509" s="22">
        <v>8</v>
      </c>
      <c r="H509" s="22">
        <v>1</v>
      </c>
      <c r="J509" s="9">
        <v>11800</v>
      </c>
      <c r="K509" s="9"/>
      <c r="L509" s="9"/>
      <c r="M509" s="22">
        <f t="shared" ref="M509" si="108">$J$445+D508</f>
        <v>11805</v>
      </c>
      <c r="N509" s="9"/>
      <c r="O509" s="9"/>
      <c r="P509" s="9"/>
      <c r="Q509" s="9"/>
      <c r="R509" s="9"/>
      <c r="S509" s="12"/>
      <c r="T509" s="9"/>
      <c r="U509" s="9"/>
      <c r="V509" s="12"/>
      <c r="W509" s="12"/>
      <c r="X509" s="12"/>
      <c r="Y509" s="15"/>
      <c r="Z509" s="15"/>
      <c r="AA509" s="15"/>
      <c r="AB509" s="15"/>
      <c r="AC509" s="15"/>
      <c r="AD509" s="15"/>
      <c r="AE509" s="15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</row>
    <row r="510" spans="1:60" s="22" customFormat="1">
      <c r="E510" s="22">
        <f t="shared" si="95"/>
        <v>510</v>
      </c>
      <c r="F510" s="9" t="s">
        <v>146</v>
      </c>
      <c r="J510" s="9"/>
      <c r="K510" s="9"/>
      <c r="L510" s="9"/>
      <c r="M510" s="22">
        <v>11700</v>
      </c>
      <c r="N510" s="9"/>
      <c r="O510" s="9"/>
      <c r="P510" s="9"/>
      <c r="Q510" s="9"/>
      <c r="R510" s="9"/>
      <c r="S510" s="12"/>
      <c r="T510" s="9"/>
      <c r="U510" s="9"/>
      <c r="V510" s="12"/>
      <c r="W510" s="12"/>
      <c r="X510" s="12"/>
      <c r="Y510" s="15"/>
      <c r="Z510" s="15"/>
      <c r="AA510" s="15"/>
      <c r="AB510" s="15"/>
      <c r="AC510" s="15"/>
      <c r="AD510" s="15"/>
      <c r="AE510" s="15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</row>
    <row r="511" spans="1:60" s="22" customFormat="1">
      <c r="E511" s="22">
        <f t="shared" si="95"/>
        <v>511</v>
      </c>
      <c r="F511" s="9" t="s">
        <v>131</v>
      </c>
      <c r="J511" s="9"/>
      <c r="K511" s="9"/>
      <c r="L511" s="9"/>
      <c r="M511" s="22">
        <v>0</v>
      </c>
      <c r="N511" s="9"/>
      <c r="O511" s="9"/>
      <c r="P511" s="9"/>
      <c r="Q511" s="9"/>
      <c r="R511" s="9"/>
      <c r="S511" s="12"/>
      <c r="T511" s="9"/>
      <c r="U511" s="9"/>
      <c r="V511" s="12"/>
      <c r="W511" s="12"/>
      <c r="X511" s="12"/>
      <c r="Y511" s="15"/>
      <c r="Z511" s="15"/>
      <c r="AA511" s="15"/>
      <c r="AB511" s="15"/>
      <c r="AC511" s="15"/>
      <c r="AD511" s="15"/>
      <c r="AE511" s="15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</row>
    <row r="512" spans="1:60" s="22" customFormat="1">
      <c r="E512" s="22">
        <f t="shared" si="95"/>
        <v>512</v>
      </c>
      <c r="F512" s="9" t="s">
        <v>29</v>
      </c>
      <c r="J512" s="9"/>
      <c r="K512" s="9"/>
      <c r="L512" s="9"/>
      <c r="M512" s="22" t="s">
        <v>150</v>
      </c>
      <c r="N512" s="9"/>
      <c r="O512" s="9"/>
      <c r="P512" s="9"/>
      <c r="Q512" s="9"/>
      <c r="R512" s="9"/>
      <c r="S512" s="12"/>
      <c r="T512" s="9"/>
      <c r="U512" s="9"/>
      <c r="V512" s="12"/>
      <c r="W512" s="12"/>
      <c r="X512" s="12"/>
      <c r="Y512" s="15"/>
      <c r="Z512" s="15"/>
      <c r="AA512" s="15"/>
      <c r="AB512" s="15"/>
      <c r="AC512" s="15"/>
      <c r="AD512" s="15"/>
      <c r="AE512" s="15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</row>
    <row r="513" spans="1:60" s="22" customFormat="1">
      <c r="E513" s="22">
        <f t="shared" si="95"/>
        <v>513</v>
      </c>
      <c r="F513" s="9" t="s">
        <v>122</v>
      </c>
      <c r="J513" s="9"/>
      <c r="K513" s="9"/>
      <c r="L513" s="9"/>
      <c r="M513" s="22" t="s">
        <v>158</v>
      </c>
      <c r="N513" s="9"/>
      <c r="O513" s="9"/>
      <c r="P513" s="9"/>
      <c r="Q513" s="9"/>
      <c r="R513" s="9"/>
      <c r="S513" s="12"/>
      <c r="T513" s="9"/>
      <c r="U513" s="9"/>
      <c r="V513" s="12"/>
      <c r="W513" s="12"/>
      <c r="X513" s="12"/>
      <c r="Y513" s="15"/>
      <c r="Z513" s="15"/>
      <c r="AA513" s="15"/>
      <c r="AB513" s="15"/>
      <c r="AC513" s="15"/>
      <c r="AD513" s="15"/>
      <c r="AE513" s="15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</row>
    <row r="514" spans="1:60" s="22" customFormat="1">
      <c r="E514" s="22">
        <f t="shared" si="95"/>
        <v>514</v>
      </c>
      <c r="F514" s="9" t="s">
        <v>99</v>
      </c>
      <c r="J514" s="9"/>
      <c r="K514" s="9" t="s">
        <v>141</v>
      </c>
      <c r="L514" s="9"/>
      <c r="M514" s="22">
        <v>2</v>
      </c>
      <c r="N514" s="9"/>
      <c r="O514" s="9"/>
      <c r="P514" s="9"/>
      <c r="Q514" s="9"/>
      <c r="R514" s="9"/>
      <c r="S514" s="12"/>
      <c r="T514" s="9"/>
      <c r="U514" s="9"/>
      <c r="V514" s="12"/>
      <c r="W514" s="12"/>
      <c r="X514" s="12"/>
      <c r="Y514" s="15"/>
      <c r="Z514" s="15"/>
      <c r="AA514" s="15"/>
      <c r="AB514" s="15"/>
      <c r="AC514" s="15"/>
      <c r="AD514" s="15"/>
      <c r="AE514" s="15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</row>
    <row r="515" spans="1:60" s="22" customFormat="1">
      <c r="E515" s="22">
        <f t="shared" si="95"/>
        <v>515</v>
      </c>
      <c r="F515" s="9" t="s">
        <v>113</v>
      </c>
      <c r="J515" s="9"/>
      <c r="K515" s="9"/>
      <c r="L515" s="9"/>
      <c r="M515" s="22">
        <v>3</v>
      </c>
      <c r="N515" s="9"/>
      <c r="O515" s="9"/>
      <c r="P515" s="9"/>
      <c r="Q515" s="9"/>
      <c r="R515" s="9"/>
      <c r="S515" s="12"/>
      <c r="T515" s="9"/>
      <c r="U515" s="9"/>
      <c r="V515" s="12"/>
      <c r="W515" s="12"/>
      <c r="X515" s="12"/>
      <c r="Y515" s="15"/>
      <c r="Z515" s="15"/>
      <c r="AA515" s="15"/>
      <c r="AB515" s="15"/>
      <c r="AC515" s="15"/>
      <c r="AD515" s="15"/>
      <c r="AE515" s="15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</row>
    <row r="516" spans="1:60" s="22" customFormat="1">
      <c r="E516" s="22">
        <f t="shared" si="95"/>
        <v>516</v>
      </c>
      <c r="F516" s="9" t="s">
        <v>30</v>
      </c>
      <c r="J516" s="9"/>
      <c r="K516" s="9"/>
      <c r="L516" s="9"/>
      <c r="M516" s="22">
        <v>3</v>
      </c>
      <c r="N516" s="9"/>
      <c r="O516" s="9"/>
      <c r="P516" s="9"/>
      <c r="Q516" s="9"/>
      <c r="R516" s="9"/>
      <c r="S516" s="12"/>
      <c r="T516" s="9"/>
      <c r="U516" s="9"/>
      <c r="V516" s="12"/>
      <c r="W516" s="12"/>
      <c r="X516" s="12"/>
      <c r="Y516" s="15"/>
      <c r="Z516" s="15"/>
      <c r="AA516" s="15"/>
      <c r="AB516" s="15"/>
      <c r="AC516" s="15"/>
      <c r="AD516" s="15"/>
      <c r="AE516" s="15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</row>
    <row r="517" spans="1:60" s="22" customFormat="1">
      <c r="E517" s="22">
        <f t="shared" si="95"/>
        <v>517</v>
      </c>
      <c r="F517" s="9" t="s">
        <v>119</v>
      </c>
      <c r="J517" s="9"/>
      <c r="K517" s="9"/>
      <c r="L517" s="9"/>
      <c r="M517" s="22">
        <v>1.5</v>
      </c>
      <c r="N517" s="9"/>
      <c r="O517" s="9"/>
      <c r="P517" s="9"/>
      <c r="Q517" s="9"/>
      <c r="R517" s="9"/>
      <c r="S517" s="12"/>
      <c r="T517" s="9"/>
      <c r="U517" s="9"/>
      <c r="V517" s="12"/>
      <c r="W517" s="12"/>
      <c r="X517" s="12"/>
      <c r="Y517" s="15"/>
      <c r="Z517" s="15"/>
      <c r="AA517" s="15"/>
      <c r="AB517" s="15"/>
      <c r="AC517" s="15"/>
      <c r="AD517" s="15"/>
      <c r="AE517" s="15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</row>
    <row r="518" spans="1:60" s="22" customFormat="1">
      <c r="E518" s="22">
        <f t="shared" si="95"/>
        <v>518</v>
      </c>
      <c r="F518" s="9" t="s">
        <v>31</v>
      </c>
      <c r="G518" s="22">
        <v>45</v>
      </c>
      <c r="J518" s="9"/>
      <c r="K518" s="9"/>
      <c r="L518" s="9" t="s">
        <v>138</v>
      </c>
      <c r="M518" s="22">
        <f t="shared" ref="M518" si="109">G518*D508</f>
        <v>225</v>
      </c>
      <c r="N518" s="9"/>
      <c r="O518" s="9"/>
      <c r="P518" s="9"/>
      <c r="Q518" s="9"/>
      <c r="R518" s="9"/>
      <c r="S518" s="12"/>
      <c r="T518" s="9"/>
      <c r="U518" s="9"/>
      <c r="V518" s="12"/>
      <c r="W518" s="12"/>
      <c r="X518" s="12"/>
      <c r="Y518" s="15"/>
      <c r="Z518" s="15"/>
      <c r="AA518" s="15"/>
      <c r="AB518" s="15"/>
      <c r="AC518" s="15"/>
      <c r="AD518" s="15"/>
      <c r="AE518" s="15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</row>
    <row r="519" spans="1:60" s="22" customFormat="1">
      <c r="E519" s="22">
        <f t="shared" si="95"/>
        <v>519</v>
      </c>
      <c r="F519" s="9" t="s">
        <v>115</v>
      </c>
      <c r="J519" s="9"/>
      <c r="K519" s="9"/>
      <c r="L519" s="9" t="s">
        <v>138</v>
      </c>
      <c r="M519" s="22">
        <v>85.94</v>
      </c>
      <c r="N519" s="9"/>
      <c r="O519" s="9"/>
      <c r="P519" s="9"/>
      <c r="Q519" s="9"/>
      <c r="R519" s="9"/>
      <c r="S519" s="12"/>
      <c r="T519" s="9"/>
      <c r="U519" s="9"/>
      <c r="V519" s="12"/>
      <c r="W519" s="12"/>
      <c r="X519" s="12"/>
      <c r="Y519" s="15"/>
      <c r="Z519" s="15"/>
      <c r="AA519" s="15"/>
      <c r="AB519" s="15"/>
      <c r="AC519" s="15"/>
      <c r="AD519" s="15"/>
      <c r="AE519" s="15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</row>
    <row r="520" spans="1:60" s="22" customFormat="1">
      <c r="E520" s="22">
        <f t="shared" si="95"/>
        <v>520</v>
      </c>
      <c r="F520" s="9" t="s">
        <v>120</v>
      </c>
      <c r="J520" s="9"/>
      <c r="K520" s="9" t="s">
        <v>141</v>
      </c>
      <c r="L520" s="9"/>
      <c r="M520" s="22">
        <v>2</v>
      </c>
      <c r="N520" s="9"/>
      <c r="O520" s="9"/>
      <c r="P520" s="9"/>
      <c r="Q520" s="9"/>
      <c r="R520" s="9"/>
      <c r="S520" s="12"/>
      <c r="T520" s="9"/>
      <c r="U520" s="9"/>
      <c r="V520" s="12"/>
      <c r="W520" s="12"/>
      <c r="X520" s="12"/>
      <c r="Y520" s="15"/>
      <c r="Z520" s="15"/>
      <c r="AA520" s="15"/>
      <c r="AB520" s="15"/>
      <c r="AC520" s="15"/>
      <c r="AD520" s="15"/>
      <c r="AE520" s="15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</row>
    <row r="521" spans="1:60" s="22" customFormat="1">
      <c r="E521" s="22">
        <f t="shared" si="95"/>
        <v>521</v>
      </c>
      <c r="F521" s="9" t="s">
        <v>129</v>
      </c>
      <c r="J521" s="9"/>
      <c r="K521" s="9"/>
      <c r="L521" s="9"/>
      <c r="M521" s="22">
        <v>10000</v>
      </c>
      <c r="N521" s="9"/>
      <c r="O521" s="9"/>
      <c r="P521" s="9"/>
      <c r="Q521" s="9"/>
      <c r="R521" s="9"/>
      <c r="S521" s="12"/>
      <c r="T521" s="9"/>
      <c r="U521" s="9"/>
      <c r="V521" s="12"/>
      <c r="W521" s="12"/>
      <c r="X521" s="12"/>
      <c r="Y521" s="15"/>
      <c r="Z521" s="15"/>
      <c r="AA521" s="15"/>
      <c r="AB521" s="15"/>
      <c r="AC521" s="15"/>
      <c r="AD521" s="15"/>
      <c r="AE521" s="15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</row>
    <row r="522" spans="1:60" s="22" customFormat="1">
      <c r="E522" s="22">
        <f t="shared" si="95"/>
        <v>522</v>
      </c>
      <c r="F522" s="9" t="s">
        <v>121</v>
      </c>
      <c r="J522" s="9"/>
      <c r="K522" s="9"/>
      <c r="L522" s="9"/>
      <c r="M522" s="22" t="b">
        <v>1</v>
      </c>
      <c r="N522" s="9"/>
      <c r="O522" s="9"/>
      <c r="P522" s="9"/>
      <c r="Q522" s="9"/>
      <c r="R522" s="9"/>
      <c r="S522" s="12"/>
      <c r="T522" s="9"/>
      <c r="U522" s="9"/>
      <c r="V522" s="12"/>
      <c r="W522" s="12"/>
      <c r="X522" s="12"/>
      <c r="Y522" s="15"/>
      <c r="Z522" s="15"/>
      <c r="AA522" s="15"/>
      <c r="AB522" s="15"/>
      <c r="AC522" s="15"/>
      <c r="AD522" s="15"/>
      <c r="AE522" s="15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</row>
    <row r="523" spans="1:60" s="22" customFormat="1">
      <c r="E523" s="22">
        <f t="shared" si="95"/>
        <v>523</v>
      </c>
      <c r="F523" s="9" t="s">
        <v>111</v>
      </c>
      <c r="J523" s="9"/>
      <c r="K523" s="9"/>
      <c r="L523" s="9"/>
      <c r="M523" s="22">
        <v>240</v>
      </c>
      <c r="N523" s="9"/>
      <c r="O523" s="9"/>
      <c r="P523" s="9"/>
      <c r="Q523" s="9"/>
      <c r="R523" s="9"/>
      <c r="S523" s="12"/>
      <c r="T523" s="9"/>
      <c r="U523" s="9"/>
      <c r="V523" s="12"/>
      <c r="W523" s="12"/>
      <c r="X523" s="12"/>
      <c r="Y523" s="15"/>
      <c r="Z523" s="15"/>
      <c r="AA523" s="15"/>
      <c r="AB523" s="15"/>
      <c r="AC523" s="15"/>
      <c r="AD523" s="15"/>
      <c r="AE523" s="15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</row>
    <row r="524" spans="1:60" s="22" customFormat="1">
      <c r="A524" s="22" t="s">
        <v>242</v>
      </c>
      <c r="B524" s="22">
        <f t="shared" ref="B524" si="110">QUOTIENT( D524-1,G525)+1</f>
        <v>1</v>
      </c>
      <c r="C524" s="22">
        <f t="shared" ref="C524" si="111">D524-(B524-1)*G525</f>
        <v>6</v>
      </c>
      <c r="D524" s="22">
        <f>COUNT($D$443:$D523)+1</f>
        <v>6</v>
      </c>
      <c r="F524" s="9"/>
      <c r="J524" s="9"/>
      <c r="K524" s="9"/>
      <c r="L524" s="9"/>
      <c r="N524" s="9"/>
      <c r="O524" s="9"/>
      <c r="P524" s="9"/>
      <c r="Q524" s="9"/>
      <c r="R524" s="9"/>
      <c r="S524" s="12"/>
      <c r="T524" s="9"/>
      <c r="U524" s="9"/>
      <c r="V524" s="12"/>
      <c r="W524" s="12"/>
      <c r="X524" s="12"/>
      <c r="Y524" s="15"/>
      <c r="Z524" s="15"/>
      <c r="AA524" s="15"/>
      <c r="AB524" s="15"/>
      <c r="AC524" s="15"/>
      <c r="AD524" s="15"/>
      <c r="AE524" s="15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</row>
    <row r="525" spans="1:60" s="22" customFormat="1">
      <c r="E525" s="22">
        <f t="shared" ref="E525:E571" si="112">ROW(E525)</f>
        <v>525</v>
      </c>
      <c r="F525" s="9" t="s">
        <v>93</v>
      </c>
      <c r="G525" s="22">
        <v>8</v>
      </c>
      <c r="H525" s="22">
        <v>1</v>
      </c>
      <c r="J525" s="9">
        <v>11800</v>
      </c>
      <c r="K525" s="9"/>
      <c r="L525" s="9"/>
      <c r="M525" s="22">
        <f t="shared" ref="M525" si="113">$J$445+D524</f>
        <v>11806</v>
      </c>
      <c r="N525" s="9"/>
      <c r="O525" s="9"/>
      <c r="P525" s="9"/>
      <c r="Q525" s="9"/>
      <c r="R525" s="9"/>
      <c r="S525" s="12"/>
      <c r="T525" s="9"/>
      <c r="U525" s="9"/>
      <c r="V525" s="12"/>
      <c r="W525" s="12"/>
      <c r="X525" s="12"/>
      <c r="Y525" s="15"/>
      <c r="Z525" s="15"/>
      <c r="AA525" s="15"/>
      <c r="AB525" s="15"/>
      <c r="AC525" s="15"/>
      <c r="AD525" s="15"/>
      <c r="AE525" s="15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</row>
    <row r="526" spans="1:60" s="22" customFormat="1">
      <c r="E526" s="22">
        <f t="shared" si="112"/>
        <v>526</v>
      </c>
      <c r="F526" s="9" t="s">
        <v>146</v>
      </c>
      <c r="J526" s="9"/>
      <c r="K526" s="9"/>
      <c r="L526" s="9"/>
      <c r="M526" s="22">
        <v>11700</v>
      </c>
      <c r="N526" s="9"/>
      <c r="O526" s="9"/>
      <c r="P526" s="9"/>
      <c r="Q526" s="9"/>
      <c r="R526" s="9"/>
      <c r="S526" s="12"/>
      <c r="T526" s="9"/>
      <c r="U526" s="9"/>
      <c r="V526" s="12"/>
      <c r="W526" s="12"/>
      <c r="X526" s="12"/>
      <c r="Y526" s="15"/>
      <c r="Z526" s="15"/>
      <c r="AA526" s="15"/>
      <c r="AB526" s="15"/>
      <c r="AC526" s="15"/>
      <c r="AD526" s="15"/>
      <c r="AE526" s="15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</row>
    <row r="527" spans="1:60" s="22" customFormat="1">
      <c r="E527" s="22">
        <f t="shared" si="112"/>
        <v>527</v>
      </c>
      <c r="F527" s="9" t="s">
        <v>131</v>
      </c>
      <c r="J527" s="9"/>
      <c r="K527" s="9"/>
      <c r="L527" s="9"/>
      <c r="M527" s="22">
        <v>0</v>
      </c>
      <c r="N527" s="9"/>
      <c r="O527" s="9"/>
      <c r="P527" s="9"/>
      <c r="Q527" s="9"/>
      <c r="R527" s="9"/>
      <c r="S527" s="12"/>
      <c r="T527" s="9"/>
      <c r="U527" s="9"/>
      <c r="V527" s="12"/>
      <c r="W527" s="12"/>
      <c r="X527" s="12"/>
      <c r="Y527" s="15"/>
      <c r="Z527" s="15"/>
      <c r="AA527" s="15"/>
      <c r="AB527" s="15"/>
      <c r="AC527" s="15"/>
      <c r="AD527" s="15"/>
      <c r="AE527" s="15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</row>
    <row r="528" spans="1:60" s="22" customFormat="1">
      <c r="E528" s="22">
        <f t="shared" si="112"/>
        <v>528</v>
      </c>
      <c r="F528" s="9" t="s">
        <v>29</v>
      </c>
      <c r="J528" s="9"/>
      <c r="K528" s="9"/>
      <c r="L528" s="9"/>
      <c r="M528" s="22" t="s">
        <v>150</v>
      </c>
      <c r="N528" s="9"/>
      <c r="O528" s="9"/>
      <c r="P528" s="9"/>
      <c r="Q528" s="9"/>
      <c r="R528" s="9"/>
      <c r="S528" s="12"/>
      <c r="T528" s="9"/>
      <c r="U528" s="9"/>
      <c r="V528" s="12"/>
      <c r="W528" s="12"/>
      <c r="X528" s="12"/>
      <c r="Y528" s="15"/>
      <c r="Z528" s="15"/>
      <c r="AA528" s="15"/>
      <c r="AB528" s="15"/>
      <c r="AC528" s="15"/>
      <c r="AD528" s="15"/>
      <c r="AE528" s="15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</row>
    <row r="529" spans="1:60" s="22" customFormat="1">
      <c r="E529" s="22">
        <f t="shared" si="112"/>
        <v>529</v>
      </c>
      <c r="F529" s="9" t="s">
        <v>122</v>
      </c>
      <c r="J529" s="9"/>
      <c r="K529" s="9"/>
      <c r="L529" s="9"/>
      <c r="M529" s="22" t="s">
        <v>158</v>
      </c>
      <c r="N529" s="9"/>
      <c r="O529" s="9"/>
      <c r="P529" s="9"/>
      <c r="Q529" s="9"/>
      <c r="R529" s="9"/>
      <c r="S529" s="12"/>
      <c r="T529" s="9"/>
      <c r="U529" s="9"/>
      <c r="V529" s="12"/>
      <c r="W529" s="12"/>
      <c r="X529" s="12"/>
      <c r="Y529" s="15"/>
      <c r="Z529" s="15"/>
      <c r="AA529" s="15"/>
      <c r="AB529" s="15"/>
      <c r="AC529" s="15"/>
      <c r="AD529" s="15"/>
      <c r="AE529" s="15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</row>
    <row r="530" spans="1:60" s="22" customFormat="1">
      <c r="E530" s="22">
        <f t="shared" si="112"/>
        <v>530</v>
      </c>
      <c r="F530" s="9" t="s">
        <v>99</v>
      </c>
      <c r="J530" s="9"/>
      <c r="K530" s="9" t="s">
        <v>141</v>
      </c>
      <c r="L530" s="9"/>
      <c r="M530" s="22">
        <v>2</v>
      </c>
      <c r="N530" s="9"/>
      <c r="O530" s="9"/>
      <c r="P530" s="9"/>
      <c r="Q530" s="9"/>
      <c r="R530" s="9"/>
      <c r="S530" s="12"/>
      <c r="T530" s="9"/>
      <c r="U530" s="9"/>
      <c r="V530" s="12"/>
      <c r="W530" s="12"/>
      <c r="X530" s="12"/>
      <c r="Y530" s="15"/>
      <c r="Z530" s="15"/>
      <c r="AA530" s="15"/>
      <c r="AB530" s="15"/>
      <c r="AC530" s="15"/>
      <c r="AD530" s="15"/>
      <c r="AE530" s="15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</row>
    <row r="531" spans="1:60" s="22" customFormat="1">
      <c r="E531" s="22">
        <f t="shared" si="112"/>
        <v>531</v>
      </c>
      <c r="F531" s="9" t="s">
        <v>113</v>
      </c>
      <c r="J531" s="9"/>
      <c r="K531" s="9"/>
      <c r="L531" s="9"/>
      <c r="M531" s="22">
        <v>3</v>
      </c>
      <c r="N531" s="9"/>
      <c r="O531" s="9"/>
      <c r="P531" s="9"/>
      <c r="Q531" s="9"/>
      <c r="R531" s="9"/>
      <c r="S531" s="12"/>
      <c r="T531" s="9"/>
      <c r="U531" s="9"/>
      <c r="V531" s="12"/>
      <c r="W531" s="12"/>
      <c r="X531" s="12"/>
      <c r="Y531" s="15"/>
      <c r="Z531" s="15"/>
      <c r="AA531" s="15"/>
      <c r="AB531" s="15"/>
      <c r="AC531" s="15"/>
      <c r="AD531" s="15"/>
      <c r="AE531" s="15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</row>
    <row r="532" spans="1:60" s="22" customFormat="1">
      <c r="E532" s="22">
        <f t="shared" si="112"/>
        <v>532</v>
      </c>
      <c r="F532" s="9" t="s">
        <v>30</v>
      </c>
      <c r="J532" s="9"/>
      <c r="K532" s="9"/>
      <c r="L532" s="9"/>
      <c r="M532" s="22">
        <v>3</v>
      </c>
      <c r="N532" s="9"/>
      <c r="O532" s="9"/>
      <c r="P532" s="9"/>
      <c r="Q532" s="9"/>
      <c r="R532" s="9"/>
      <c r="S532" s="12"/>
      <c r="T532" s="9"/>
      <c r="U532" s="9"/>
      <c r="V532" s="12"/>
      <c r="W532" s="12"/>
      <c r="X532" s="12"/>
      <c r="Y532" s="15"/>
      <c r="Z532" s="15"/>
      <c r="AA532" s="15"/>
      <c r="AB532" s="15"/>
      <c r="AC532" s="15"/>
      <c r="AD532" s="15"/>
      <c r="AE532" s="15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</row>
    <row r="533" spans="1:60" s="22" customFormat="1">
      <c r="E533" s="22">
        <f t="shared" si="112"/>
        <v>533</v>
      </c>
      <c r="F533" s="9" t="s">
        <v>119</v>
      </c>
      <c r="J533" s="9"/>
      <c r="K533" s="9"/>
      <c r="L533" s="9"/>
      <c r="M533" s="22">
        <v>1.5</v>
      </c>
      <c r="N533" s="9"/>
      <c r="O533" s="9"/>
      <c r="P533" s="9"/>
      <c r="Q533" s="9"/>
      <c r="R533" s="9"/>
      <c r="S533" s="12"/>
      <c r="T533" s="9"/>
      <c r="U533" s="9"/>
      <c r="V533" s="12"/>
      <c r="W533" s="12"/>
      <c r="X533" s="12"/>
      <c r="Y533" s="15"/>
      <c r="Z533" s="15"/>
      <c r="AA533" s="15"/>
      <c r="AB533" s="15"/>
      <c r="AC533" s="15"/>
      <c r="AD533" s="15"/>
      <c r="AE533" s="15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</row>
    <row r="534" spans="1:60" s="22" customFormat="1">
      <c r="E534" s="22">
        <f t="shared" si="112"/>
        <v>534</v>
      </c>
      <c r="F534" s="9" t="s">
        <v>31</v>
      </c>
      <c r="G534" s="22">
        <v>45</v>
      </c>
      <c r="J534" s="9"/>
      <c r="K534" s="9"/>
      <c r="L534" s="9" t="s">
        <v>138</v>
      </c>
      <c r="M534" s="22">
        <f t="shared" ref="M534" si="114">G534*D524</f>
        <v>270</v>
      </c>
      <c r="N534" s="9"/>
      <c r="O534" s="9"/>
      <c r="P534" s="9"/>
      <c r="Q534" s="9"/>
      <c r="R534" s="9"/>
      <c r="S534" s="12"/>
      <c r="T534" s="9"/>
      <c r="U534" s="9"/>
      <c r="V534" s="12"/>
      <c r="W534" s="12"/>
      <c r="X534" s="12"/>
      <c r="Y534" s="15"/>
      <c r="Z534" s="15"/>
      <c r="AA534" s="15"/>
      <c r="AB534" s="15"/>
      <c r="AC534" s="15"/>
      <c r="AD534" s="15"/>
      <c r="AE534" s="15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</row>
    <row r="535" spans="1:60" s="22" customFormat="1">
      <c r="E535" s="22">
        <f t="shared" si="112"/>
        <v>535</v>
      </c>
      <c r="F535" s="9" t="s">
        <v>115</v>
      </c>
      <c r="J535" s="9"/>
      <c r="K535" s="9"/>
      <c r="L535" s="9" t="s">
        <v>138</v>
      </c>
      <c r="M535" s="22">
        <v>85.94</v>
      </c>
      <c r="N535" s="9"/>
      <c r="O535" s="9"/>
      <c r="P535" s="9"/>
      <c r="Q535" s="9"/>
      <c r="R535" s="9"/>
      <c r="S535" s="12"/>
      <c r="T535" s="9"/>
      <c r="U535" s="9"/>
      <c r="V535" s="12"/>
      <c r="W535" s="12"/>
      <c r="X535" s="12"/>
      <c r="Y535" s="15"/>
      <c r="Z535" s="15"/>
      <c r="AA535" s="15"/>
      <c r="AB535" s="15"/>
      <c r="AC535" s="15"/>
      <c r="AD535" s="15"/>
      <c r="AE535" s="15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</row>
    <row r="536" spans="1:60" s="22" customFormat="1">
      <c r="E536" s="22">
        <f t="shared" si="112"/>
        <v>536</v>
      </c>
      <c r="F536" s="9" t="s">
        <v>120</v>
      </c>
      <c r="J536" s="9"/>
      <c r="K536" s="9" t="s">
        <v>141</v>
      </c>
      <c r="L536" s="9"/>
      <c r="M536" s="22">
        <v>2</v>
      </c>
      <c r="N536" s="9"/>
      <c r="O536" s="9"/>
      <c r="P536" s="9"/>
      <c r="Q536" s="9"/>
      <c r="R536" s="9"/>
      <c r="S536" s="12"/>
      <c r="T536" s="9"/>
      <c r="U536" s="9"/>
      <c r="V536" s="12"/>
      <c r="W536" s="12"/>
      <c r="X536" s="12"/>
      <c r="Y536" s="15"/>
      <c r="Z536" s="15"/>
      <c r="AA536" s="15"/>
      <c r="AB536" s="15"/>
      <c r="AC536" s="15"/>
      <c r="AD536" s="15"/>
      <c r="AE536" s="15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</row>
    <row r="537" spans="1:60" s="22" customFormat="1">
      <c r="E537" s="22">
        <f t="shared" si="112"/>
        <v>537</v>
      </c>
      <c r="F537" s="9" t="s">
        <v>129</v>
      </c>
      <c r="J537" s="9"/>
      <c r="K537" s="9"/>
      <c r="L537" s="9"/>
      <c r="M537" s="22">
        <v>10000</v>
      </c>
      <c r="N537" s="9"/>
      <c r="O537" s="9"/>
      <c r="P537" s="9"/>
      <c r="Q537" s="9"/>
      <c r="R537" s="9"/>
      <c r="S537" s="12"/>
      <c r="T537" s="9"/>
      <c r="U537" s="9"/>
      <c r="V537" s="12"/>
      <c r="W537" s="12"/>
      <c r="X537" s="12"/>
      <c r="Y537" s="15"/>
      <c r="Z537" s="15"/>
      <c r="AA537" s="15"/>
      <c r="AB537" s="15"/>
      <c r="AC537" s="15"/>
      <c r="AD537" s="15"/>
      <c r="AE537" s="15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</row>
    <row r="538" spans="1:60" s="22" customFormat="1">
      <c r="E538" s="22">
        <f t="shared" si="112"/>
        <v>538</v>
      </c>
      <c r="F538" s="9" t="s">
        <v>121</v>
      </c>
      <c r="J538" s="9"/>
      <c r="K538" s="9"/>
      <c r="L538" s="9"/>
      <c r="M538" s="22" t="b">
        <v>1</v>
      </c>
      <c r="N538" s="9"/>
      <c r="O538" s="9"/>
      <c r="P538" s="9"/>
      <c r="Q538" s="9"/>
      <c r="R538" s="9"/>
      <c r="S538" s="12"/>
      <c r="T538" s="9"/>
      <c r="U538" s="9"/>
      <c r="V538" s="12"/>
      <c r="W538" s="12"/>
      <c r="X538" s="12"/>
      <c r="Y538" s="15"/>
      <c r="Z538" s="15"/>
      <c r="AA538" s="15"/>
      <c r="AB538" s="15"/>
      <c r="AC538" s="15"/>
      <c r="AD538" s="15"/>
      <c r="AE538" s="15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</row>
    <row r="539" spans="1:60" s="22" customFormat="1">
      <c r="E539" s="22">
        <f t="shared" si="112"/>
        <v>539</v>
      </c>
      <c r="F539" s="9" t="s">
        <v>111</v>
      </c>
      <c r="J539" s="9"/>
      <c r="K539" s="9"/>
      <c r="L539" s="9"/>
      <c r="M539" s="22">
        <v>240</v>
      </c>
      <c r="N539" s="9"/>
      <c r="O539" s="9"/>
      <c r="P539" s="9"/>
      <c r="Q539" s="9"/>
      <c r="R539" s="9"/>
      <c r="S539" s="12"/>
      <c r="T539" s="9"/>
      <c r="U539" s="9"/>
      <c r="V539" s="12"/>
      <c r="W539" s="12"/>
      <c r="X539" s="12"/>
      <c r="Y539" s="15"/>
      <c r="Z539" s="15"/>
      <c r="AA539" s="15"/>
      <c r="AB539" s="15"/>
      <c r="AC539" s="15"/>
      <c r="AD539" s="15"/>
      <c r="AE539" s="15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</row>
    <row r="540" spans="1:60" s="22" customFormat="1">
      <c r="A540" s="22" t="s">
        <v>242</v>
      </c>
      <c r="B540" s="22">
        <f t="shared" ref="B540" si="115">QUOTIENT( D540-1,G541)+1</f>
        <v>1</v>
      </c>
      <c r="C540" s="22">
        <f t="shared" ref="C540" si="116">D540-(B540-1)*G541</f>
        <v>7</v>
      </c>
      <c r="D540" s="22">
        <f>COUNT($D$443:$D539)+1</f>
        <v>7</v>
      </c>
      <c r="F540" s="9"/>
      <c r="J540" s="9"/>
      <c r="K540" s="9"/>
      <c r="L540" s="9"/>
      <c r="N540" s="9"/>
      <c r="O540" s="9"/>
      <c r="P540" s="9"/>
      <c r="Q540" s="9"/>
      <c r="R540" s="9"/>
      <c r="S540" s="12"/>
      <c r="T540" s="9"/>
      <c r="U540" s="9"/>
      <c r="V540" s="12"/>
      <c r="W540" s="12"/>
      <c r="X540" s="12"/>
      <c r="Y540" s="15"/>
      <c r="Z540" s="15"/>
      <c r="AA540" s="15"/>
      <c r="AB540" s="15"/>
      <c r="AC540" s="15"/>
      <c r="AD540" s="15"/>
      <c r="AE540" s="15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</row>
    <row r="541" spans="1:60" s="22" customFormat="1">
      <c r="E541" s="22">
        <f t="shared" si="112"/>
        <v>541</v>
      </c>
      <c r="F541" s="9" t="s">
        <v>93</v>
      </c>
      <c r="G541" s="22">
        <v>8</v>
      </c>
      <c r="H541" s="22">
        <v>1</v>
      </c>
      <c r="J541" s="9">
        <v>11800</v>
      </c>
      <c r="K541" s="9"/>
      <c r="L541" s="9"/>
      <c r="M541" s="22">
        <f t="shared" ref="M541" si="117">$J$445+D540</f>
        <v>11807</v>
      </c>
      <c r="N541" s="9"/>
      <c r="O541" s="9"/>
      <c r="P541" s="9"/>
      <c r="Q541" s="9"/>
      <c r="R541" s="9"/>
      <c r="S541" s="12"/>
      <c r="T541" s="9"/>
      <c r="U541" s="9"/>
      <c r="V541" s="12"/>
      <c r="W541" s="12"/>
      <c r="X541" s="12"/>
      <c r="Y541" s="15"/>
      <c r="Z541" s="15"/>
      <c r="AA541" s="15"/>
      <c r="AB541" s="15"/>
      <c r="AC541" s="15"/>
      <c r="AD541" s="15"/>
      <c r="AE541" s="15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</row>
    <row r="542" spans="1:60" s="22" customFormat="1">
      <c r="E542" s="22">
        <f t="shared" si="112"/>
        <v>542</v>
      </c>
      <c r="F542" s="9" t="s">
        <v>146</v>
      </c>
      <c r="J542" s="9"/>
      <c r="K542" s="9"/>
      <c r="L542" s="9"/>
      <c r="M542" s="22">
        <v>11700</v>
      </c>
      <c r="N542" s="9"/>
      <c r="O542" s="9"/>
      <c r="P542" s="9"/>
      <c r="Q542" s="9"/>
      <c r="R542" s="9"/>
      <c r="S542" s="12"/>
      <c r="T542" s="9"/>
      <c r="U542" s="9"/>
      <c r="V542" s="12"/>
      <c r="W542" s="12"/>
      <c r="X542" s="12"/>
      <c r="Y542" s="15"/>
      <c r="Z542" s="15"/>
      <c r="AA542" s="15"/>
      <c r="AB542" s="15"/>
      <c r="AC542" s="15"/>
      <c r="AD542" s="15"/>
      <c r="AE542" s="15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</row>
    <row r="543" spans="1:60" s="22" customFormat="1">
      <c r="E543" s="22">
        <f t="shared" si="112"/>
        <v>543</v>
      </c>
      <c r="F543" s="9" t="s">
        <v>131</v>
      </c>
      <c r="J543" s="9"/>
      <c r="K543" s="9"/>
      <c r="L543" s="9"/>
      <c r="M543" s="22">
        <v>0</v>
      </c>
      <c r="N543" s="9"/>
      <c r="O543" s="9"/>
      <c r="P543" s="9"/>
      <c r="Q543" s="9"/>
      <c r="R543" s="9"/>
      <c r="S543" s="12"/>
      <c r="T543" s="9"/>
      <c r="U543" s="9"/>
      <c r="V543" s="12"/>
      <c r="W543" s="12"/>
      <c r="X543" s="12"/>
      <c r="Y543" s="15"/>
      <c r="Z543" s="15"/>
      <c r="AA543" s="15"/>
      <c r="AB543" s="15"/>
      <c r="AC543" s="15"/>
      <c r="AD543" s="15"/>
      <c r="AE543" s="15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</row>
    <row r="544" spans="1:60" s="22" customFormat="1">
      <c r="E544" s="22">
        <f t="shared" si="112"/>
        <v>544</v>
      </c>
      <c r="F544" s="9" t="s">
        <v>29</v>
      </c>
      <c r="J544" s="9"/>
      <c r="K544" s="9"/>
      <c r="L544" s="9"/>
      <c r="M544" s="22" t="s">
        <v>150</v>
      </c>
      <c r="N544" s="9"/>
      <c r="O544" s="9"/>
      <c r="P544" s="9"/>
      <c r="Q544" s="9"/>
      <c r="R544" s="9"/>
      <c r="S544" s="12"/>
      <c r="T544" s="9"/>
      <c r="U544" s="9"/>
      <c r="V544" s="12"/>
      <c r="W544" s="12"/>
      <c r="X544" s="12"/>
      <c r="Y544" s="15"/>
      <c r="Z544" s="15"/>
      <c r="AA544" s="15"/>
      <c r="AB544" s="15"/>
      <c r="AC544" s="15"/>
      <c r="AD544" s="15"/>
      <c r="AE544" s="15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</row>
    <row r="545" spans="1:60" s="22" customFormat="1">
      <c r="E545" s="22">
        <f t="shared" si="112"/>
        <v>545</v>
      </c>
      <c r="F545" s="9" t="s">
        <v>122</v>
      </c>
      <c r="J545" s="9"/>
      <c r="K545" s="9"/>
      <c r="L545" s="9"/>
      <c r="M545" s="22" t="s">
        <v>158</v>
      </c>
      <c r="N545" s="9"/>
      <c r="O545" s="9"/>
      <c r="P545" s="9"/>
      <c r="Q545" s="9"/>
      <c r="R545" s="9"/>
      <c r="S545" s="12"/>
      <c r="T545" s="9"/>
      <c r="U545" s="9"/>
      <c r="V545" s="12"/>
      <c r="W545" s="12"/>
      <c r="X545" s="12"/>
      <c r="Y545" s="15"/>
      <c r="Z545" s="15"/>
      <c r="AA545" s="15"/>
      <c r="AB545" s="15"/>
      <c r="AC545" s="15"/>
      <c r="AD545" s="15"/>
      <c r="AE545" s="15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</row>
    <row r="546" spans="1:60" s="22" customFormat="1">
      <c r="E546" s="22">
        <f t="shared" si="112"/>
        <v>546</v>
      </c>
      <c r="F546" s="9" t="s">
        <v>99</v>
      </c>
      <c r="J546" s="9"/>
      <c r="K546" s="9" t="s">
        <v>141</v>
      </c>
      <c r="L546" s="9"/>
      <c r="M546" s="22">
        <v>2</v>
      </c>
      <c r="N546" s="9"/>
      <c r="O546" s="9"/>
      <c r="P546" s="9"/>
      <c r="Q546" s="9"/>
      <c r="R546" s="9"/>
      <c r="S546" s="12"/>
      <c r="T546" s="9"/>
      <c r="U546" s="9"/>
      <c r="V546" s="12"/>
      <c r="W546" s="12"/>
      <c r="X546" s="12"/>
      <c r="Y546" s="15"/>
      <c r="Z546" s="15"/>
      <c r="AA546" s="15"/>
      <c r="AB546" s="15"/>
      <c r="AC546" s="15"/>
      <c r="AD546" s="15"/>
      <c r="AE546" s="15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</row>
    <row r="547" spans="1:60" s="22" customFormat="1">
      <c r="E547" s="22">
        <f t="shared" si="112"/>
        <v>547</v>
      </c>
      <c r="F547" s="9" t="s">
        <v>113</v>
      </c>
      <c r="J547" s="9"/>
      <c r="K547" s="9"/>
      <c r="L547" s="9"/>
      <c r="M547" s="22">
        <v>3</v>
      </c>
      <c r="N547" s="9"/>
      <c r="O547" s="9"/>
      <c r="P547" s="9"/>
      <c r="Q547" s="9"/>
      <c r="R547" s="9"/>
      <c r="S547" s="12"/>
      <c r="T547" s="9"/>
      <c r="U547" s="9"/>
      <c r="V547" s="12"/>
      <c r="W547" s="12"/>
      <c r="X547" s="12"/>
      <c r="Y547" s="15"/>
      <c r="Z547" s="15"/>
      <c r="AA547" s="15"/>
      <c r="AB547" s="15"/>
      <c r="AC547" s="15"/>
      <c r="AD547" s="15"/>
      <c r="AE547" s="15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</row>
    <row r="548" spans="1:60" s="22" customFormat="1">
      <c r="E548" s="22">
        <f t="shared" si="112"/>
        <v>548</v>
      </c>
      <c r="F548" s="9" t="s">
        <v>30</v>
      </c>
      <c r="J548" s="9"/>
      <c r="K548" s="9"/>
      <c r="L548" s="9"/>
      <c r="M548" s="22">
        <v>3</v>
      </c>
      <c r="N548" s="9"/>
      <c r="O548" s="9"/>
      <c r="P548" s="9"/>
      <c r="Q548" s="9"/>
      <c r="R548" s="9"/>
      <c r="S548" s="12"/>
      <c r="T548" s="9"/>
      <c r="U548" s="9"/>
      <c r="V548" s="12"/>
      <c r="W548" s="12"/>
      <c r="X548" s="12"/>
      <c r="Y548" s="15"/>
      <c r="Z548" s="15"/>
      <c r="AA548" s="15"/>
      <c r="AB548" s="15"/>
      <c r="AC548" s="15"/>
      <c r="AD548" s="15"/>
      <c r="AE548" s="15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</row>
    <row r="549" spans="1:60" s="22" customFormat="1">
      <c r="E549" s="22">
        <f t="shared" si="112"/>
        <v>549</v>
      </c>
      <c r="F549" s="9" t="s">
        <v>119</v>
      </c>
      <c r="J549" s="9"/>
      <c r="K549" s="9"/>
      <c r="L549" s="9"/>
      <c r="M549" s="22">
        <v>1.5</v>
      </c>
      <c r="N549" s="9"/>
      <c r="O549" s="9"/>
      <c r="P549" s="9"/>
      <c r="Q549" s="9"/>
      <c r="R549" s="9"/>
      <c r="S549" s="12"/>
      <c r="T549" s="9"/>
      <c r="U549" s="9"/>
      <c r="V549" s="12"/>
      <c r="W549" s="12"/>
      <c r="X549" s="12"/>
      <c r="Y549" s="15"/>
      <c r="Z549" s="15"/>
      <c r="AA549" s="15"/>
      <c r="AB549" s="15"/>
      <c r="AC549" s="15"/>
      <c r="AD549" s="15"/>
      <c r="AE549" s="15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</row>
    <row r="550" spans="1:60" s="22" customFormat="1">
      <c r="E550" s="22">
        <f t="shared" si="112"/>
        <v>550</v>
      </c>
      <c r="F550" s="9" t="s">
        <v>31</v>
      </c>
      <c r="G550" s="22">
        <v>45</v>
      </c>
      <c r="J550" s="9"/>
      <c r="K550" s="9"/>
      <c r="L550" s="9" t="s">
        <v>138</v>
      </c>
      <c r="M550" s="22">
        <f t="shared" ref="M550" si="118">G550*D540</f>
        <v>315</v>
      </c>
      <c r="N550" s="9"/>
      <c r="O550" s="9"/>
      <c r="P550" s="9"/>
      <c r="Q550" s="9"/>
      <c r="R550" s="9"/>
      <c r="S550" s="12"/>
      <c r="T550" s="9"/>
      <c r="U550" s="9"/>
      <c r="V550" s="12"/>
      <c r="W550" s="12"/>
      <c r="X550" s="12"/>
      <c r="Y550" s="15"/>
      <c r="Z550" s="15"/>
      <c r="AA550" s="15"/>
      <c r="AB550" s="15"/>
      <c r="AC550" s="15"/>
      <c r="AD550" s="15"/>
      <c r="AE550" s="15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</row>
    <row r="551" spans="1:60" s="22" customFormat="1">
      <c r="E551" s="22">
        <f t="shared" si="112"/>
        <v>551</v>
      </c>
      <c r="F551" s="9" t="s">
        <v>115</v>
      </c>
      <c r="J551" s="9"/>
      <c r="K551" s="9"/>
      <c r="L551" s="9" t="s">
        <v>138</v>
      </c>
      <c r="M551" s="22">
        <v>85.94</v>
      </c>
      <c r="N551" s="9"/>
      <c r="O551" s="9"/>
      <c r="P551" s="9"/>
      <c r="Q551" s="9"/>
      <c r="R551" s="9"/>
      <c r="S551" s="12"/>
      <c r="T551" s="9"/>
      <c r="U551" s="9"/>
      <c r="V551" s="12"/>
      <c r="W551" s="12"/>
      <c r="X551" s="12"/>
      <c r="Y551" s="15"/>
      <c r="Z551" s="15"/>
      <c r="AA551" s="15"/>
      <c r="AB551" s="15"/>
      <c r="AC551" s="15"/>
      <c r="AD551" s="15"/>
      <c r="AE551" s="15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</row>
    <row r="552" spans="1:60" s="22" customFormat="1">
      <c r="E552" s="22">
        <f t="shared" si="112"/>
        <v>552</v>
      </c>
      <c r="F552" s="9" t="s">
        <v>120</v>
      </c>
      <c r="J552" s="9"/>
      <c r="K552" s="9" t="s">
        <v>141</v>
      </c>
      <c r="L552" s="9"/>
      <c r="M552" s="22">
        <v>2</v>
      </c>
      <c r="N552" s="9"/>
      <c r="O552" s="9"/>
      <c r="P552" s="9"/>
      <c r="Q552" s="9"/>
      <c r="R552" s="9"/>
      <c r="S552" s="12"/>
      <c r="T552" s="9"/>
      <c r="U552" s="9"/>
      <c r="V552" s="12"/>
      <c r="W552" s="12"/>
      <c r="X552" s="12"/>
      <c r="Y552" s="15"/>
      <c r="Z552" s="15"/>
      <c r="AA552" s="15"/>
      <c r="AB552" s="15"/>
      <c r="AC552" s="15"/>
      <c r="AD552" s="15"/>
      <c r="AE552" s="15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</row>
    <row r="553" spans="1:60" s="22" customFormat="1">
      <c r="E553" s="22">
        <f t="shared" si="112"/>
        <v>553</v>
      </c>
      <c r="F553" s="9" t="s">
        <v>129</v>
      </c>
      <c r="J553" s="9"/>
      <c r="K553" s="9"/>
      <c r="L553" s="9"/>
      <c r="M553" s="22">
        <v>10000</v>
      </c>
      <c r="N553" s="9"/>
      <c r="O553" s="9"/>
      <c r="P553" s="9"/>
      <c r="Q553" s="9"/>
      <c r="R553" s="9"/>
      <c r="S553" s="12"/>
      <c r="T553" s="9"/>
      <c r="U553" s="9"/>
      <c r="V553" s="12"/>
      <c r="W553" s="12"/>
      <c r="X553" s="12"/>
      <c r="Y553" s="15"/>
      <c r="Z553" s="15"/>
      <c r="AA553" s="15"/>
      <c r="AB553" s="15"/>
      <c r="AC553" s="15"/>
      <c r="AD553" s="15"/>
      <c r="AE553" s="15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</row>
    <row r="554" spans="1:60" s="22" customFormat="1">
      <c r="E554" s="22">
        <f t="shared" si="112"/>
        <v>554</v>
      </c>
      <c r="F554" s="9" t="s">
        <v>121</v>
      </c>
      <c r="J554" s="9"/>
      <c r="K554" s="9"/>
      <c r="L554" s="9"/>
      <c r="M554" s="22" t="b">
        <v>1</v>
      </c>
      <c r="N554" s="9"/>
      <c r="O554" s="9"/>
      <c r="P554" s="9"/>
      <c r="Q554" s="9"/>
      <c r="R554" s="9"/>
      <c r="S554" s="12"/>
      <c r="T554" s="9"/>
      <c r="U554" s="9"/>
      <c r="V554" s="12"/>
      <c r="W554" s="12"/>
      <c r="X554" s="12"/>
      <c r="Y554" s="15"/>
      <c r="Z554" s="15"/>
      <c r="AA554" s="15"/>
      <c r="AB554" s="15"/>
      <c r="AC554" s="15"/>
      <c r="AD554" s="15"/>
      <c r="AE554" s="15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</row>
    <row r="555" spans="1:60" s="22" customFormat="1">
      <c r="E555" s="22">
        <f t="shared" si="112"/>
        <v>555</v>
      </c>
      <c r="F555" s="9" t="s">
        <v>111</v>
      </c>
      <c r="J555" s="9"/>
      <c r="K555" s="9"/>
      <c r="L555" s="9"/>
      <c r="M555" s="22">
        <v>240</v>
      </c>
      <c r="N555" s="9"/>
      <c r="O555" s="9"/>
      <c r="P555" s="9"/>
      <c r="Q555" s="9"/>
      <c r="R555" s="9"/>
      <c r="S555" s="12"/>
      <c r="T555" s="9"/>
      <c r="U555" s="9"/>
      <c r="V555" s="12"/>
      <c r="W555" s="12"/>
      <c r="X555" s="12"/>
      <c r="Y555" s="15"/>
      <c r="Z555" s="15"/>
      <c r="AA555" s="15"/>
      <c r="AB555" s="15"/>
      <c r="AC555" s="15"/>
      <c r="AD555" s="15"/>
      <c r="AE555" s="15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</row>
    <row r="556" spans="1:60" s="22" customFormat="1">
      <c r="A556" s="22" t="s">
        <v>242</v>
      </c>
      <c r="B556" s="22">
        <f t="shared" ref="B556" si="119">QUOTIENT( D556-1,G557)+1</f>
        <v>1</v>
      </c>
      <c r="C556" s="22">
        <f t="shared" ref="C556" si="120">D556-(B556-1)*G557</f>
        <v>8</v>
      </c>
      <c r="D556" s="22">
        <f>COUNT($D$443:$D555)+1</f>
        <v>8</v>
      </c>
      <c r="F556" s="9"/>
      <c r="J556" s="9"/>
      <c r="K556" s="9"/>
      <c r="L556" s="9"/>
      <c r="N556" s="9"/>
      <c r="O556" s="9"/>
      <c r="P556" s="9"/>
      <c r="Q556" s="9"/>
      <c r="R556" s="9"/>
      <c r="S556" s="12"/>
      <c r="T556" s="9"/>
      <c r="U556" s="9"/>
      <c r="V556" s="12"/>
      <c r="W556" s="12"/>
      <c r="X556" s="12"/>
      <c r="Y556" s="15"/>
      <c r="Z556" s="15"/>
      <c r="AA556" s="15"/>
      <c r="AB556" s="15"/>
      <c r="AC556" s="15"/>
      <c r="AD556" s="15"/>
      <c r="AE556" s="15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</row>
    <row r="557" spans="1:60" s="22" customFormat="1">
      <c r="E557" s="22">
        <f t="shared" si="112"/>
        <v>557</v>
      </c>
      <c r="F557" s="9" t="s">
        <v>93</v>
      </c>
      <c r="G557" s="22">
        <v>8</v>
      </c>
      <c r="H557" s="22">
        <v>1</v>
      </c>
      <c r="J557" s="9">
        <v>11800</v>
      </c>
      <c r="K557" s="9"/>
      <c r="L557" s="9"/>
      <c r="M557" s="22">
        <f t="shared" ref="M557" si="121">$J$445+D556</f>
        <v>11808</v>
      </c>
      <c r="N557" s="9"/>
      <c r="O557" s="9"/>
      <c r="P557" s="9"/>
      <c r="Q557" s="9"/>
      <c r="R557" s="9"/>
      <c r="S557" s="12"/>
      <c r="T557" s="9"/>
      <c r="U557" s="9"/>
      <c r="V557" s="12"/>
      <c r="W557" s="12"/>
      <c r="X557" s="12"/>
      <c r="Y557" s="15"/>
      <c r="Z557" s="15"/>
      <c r="AA557" s="15"/>
      <c r="AB557" s="15"/>
      <c r="AC557" s="15"/>
      <c r="AD557" s="15"/>
      <c r="AE557" s="15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</row>
    <row r="558" spans="1:60" s="22" customFormat="1">
      <c r="E558" s="22">
        <f t="shared" si="112"/>
        <v>558</v>
      </c>
      <c r="F558" s="9" t="s">
        <v>146</v>
      </c>
      <c r="J558" s="9"/>
      <c r="K558" s="9"/>
      <c r="L558" s="9"/>
      <c r="M558" s="22">
        <v>11700</v>
      </c>
      <c r="N558" s="9"/>
      <c r="O558" s="9"/>
      <c r="P558" s="9"/>
      <c r="Q558" s="9"/>
      <c r="R558" s="9"/>
      <c r="S558" s="12"/>
      <c r="T558" s="9"/>
      <c r="U558" s="9"/>
      <c r="V558" s="12"/>
      <c r="W558" s="12"/>
      <c r="X558" s="12"/>
      <c r="Y558" s="15"/>
      <c r="Z558" s="15"/>
      <c r="AA558" s="15"/>
      <c r="AB558" s="15"/>
      <c r="AC558" s="15"/>
      <c r="AD558" s="15"/>
      <c r="AE558" s="15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</row>
    <row r="559" spans="1:60" s="22" customFormat="1">
      <c r="E559" s="22">
        <f t="shared" si="112"/>
        <v>559</v>
      </c>
      <c r="F559" s="9" t="s">
        <v>131</v>
      </c>
      <c r="J559" s="9"/>
      <c r="K559" s="9"/>
      <c r="L559" s="9"/>
      <c r="M559" s="22">
        <v>0</v>
      </c>
      <c r="N559" s="9"/>
      <c r="O559" s="9"/>
      <c r="P559" s="9"/>
      <c r="Q559" s="9"/>
      <c r="R559" s="9"/>
      <c r="S559" s="12"/>
      <c r="T559" s="9"/>
      <c r="U559" s="9"/>
      <c r="V559" s="12"/>
      <c r="W559" s="12"/>
      <c r="X559" s="12"/>
      <c r="Y559" s="15"/>
      <c r="Z559" s="15"/>
      <c r="AA559" s="15"/>
      <c r="AB559" s="15"/>
      <c r="AC559" s="15"/>
      <c r="AD559" s="15"/>
      <c r="AE559" s="15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</row>
    <row r="560" spans="1:60" s="22" customFormat="1">
      <c r="E560" s="22">
        <f t="shared" si="112"/>
        <v>560</v>
      </c>
      <c r="F560" s="9" t="s">
        <v>29</v>
      </c>
      <c r="J560" s="9"/>
      <c r="K560" s="9"/>
      <c r="L560" s="9"/>
      <c r="M560" s="22" t="s">
        <v>150</v>
      </c>
      <c r="N560" s="9"/>
      <c r="O560" s="9"/>
      <c r="P560" s="9"/>
      <c r="Q560" s="9"/>
      <c r="R560" s="9"/>
      <c r="S560" s="12"/>
      <c r="T560" s="9"/>
      <c r="U560" s="9"/>
      <c r="V560" s="12"/>
      <c r="W560" s="12"/>
      <c r="X560" s="12"/>
      <c r="Y560" s="15"/>
      <c r="Z560" s="15"/>
      <c r="AA560" s="15"/>
      <c r="AB560" s="15"/>
      <c r="AC560" s="15"/>
      <c r="AD560" s="15"/>
      <c r="AE560" s="15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</row>
    <row r="561" spans="5:60" s="22" customFormat="1">
      <c r="E561" s="22">
        <f t="shared" si="112"/>
        <v>561</v>
      </c>
      <c r="F561" s="9" t="s">
        <v>122</v>
      </c>
      <c r="J561" s="9"/>
      <c r="K561" s="9"/>
      <c r="L561" s="9"/>
      <c r="M561" s="22" t="s">
        <v>158</v>
      </c>
      <c r="N561" s="9"/>
      <c r="O561" s="9"/>
      <c r="P561" s="9"/>
      <c r="Q561" s="9"/>
      <c r="R561" s="9"/>
      <c r="S561" s="12"/>
      <c r="T561" s="9"/>
      <c r="U561" s="9"/>
      <c r="V561" s="12"/>
      <c r="W561" s="12"/>
      <c r="X561" s="12"/>
      <c r="Y561" s="15"/>
      <c r="Z561" s="15"/>
      <c r="AA561" s="15"/>
      <c r="AB561" s="15"/>
      <c r="AC561" s="15"/>
      <c r="AD561" s="15"/>
      <c r="AE561" s="15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</row>
    <row r="562" spans="5:60" s="22" customFormat="1">
      <c r="E562" s="22">
        <f t="shared" si="112"/>
        <v>562</v>
      </c>
      <c r="F562" s="9" t="s">
        <v>99</v>
      </c>
      <c r="J562" s="9"/>
      <c r="K562" s="9" t="s">
        <v>141</v>
      </c>
      <c r="L562" s="9"/>
      <c r="M562" s="22">
        <v>2</v>
      </c>
      <c r="N562" s="9"/>
      <c r="O562" s="9"/>
      <c r="P562" s="9"/>
      <c r="Q562" s="9"/>
      <c r="R562" s="9"/>
      <c r="S562" s="12"/>
      <c r="T562" s="9"/>
      <c r="U562" s="9"/>
      <c r="V562" s="12"/>
      <c r="W562" s="12"/>
      <c r="X562" s="12"/>
      <c r="Y562" s="15"/>
      <c r="Z562" s="15"/>
      <c r="AA562" s="15"/>
      <c r="AB562" s="15"/>
      <c r="AC562" s="15"/>
      <c r="AD562" s="15"/>
      <c r="AE562" s="15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</row>
    <row r="563" spans="5:60" s="22" customFormat="1">
      <c r="E563" s="22">
        <f t="shared" si="112"/>
        <v>563</v>
      </c>
      <c r="F563" s="9" t="s">
        <v>113</v>
      </c>
      <c r="J563" s="9"/>
      <c r="K563" s="9"/>
      <c r="L563" s="9"/>
      <c r="M563" s="22">
        <v>3</v>
      </c>
      <c r="N563" s="9"/>
      <c r="O563" s="9"/>
      <c r="P563" s="9"/>
      <c r="Q563" s="9"/>
      <c r="R563" s="9"/>
      <c r="S563" s="12"/>
      <c r="T563" s="9"/>
      <c r="U563" s="9"/>
      <c r="V563" s="12"/>
      <c r="W563" s="12"/>
      <c r="X563" s="12"/>
      <c r="Y563" s="15"/>
      <c r="Z563" s="15"/>
      <c r="AA563" s="15"/>
      <c r="AB563" s="15"/>
      <c r="AC563" s="15"/>
      <c r="AD563" s="15"/>
      <c r="AE563" s="15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</row>
    <row r="564" spans="5:60" s="22" customFormat="1">
      <c r="E564" s="22">
        <f t="shared" si="112"/>
        <v>564</v>
      </c>
      <c r="F564" s="9" t="s">
        <v>30</v>
      </c>
      <c r="J564" s="9"/>
      <c r="K564" s="9"/>
      <c r="L564" s="9"/>
      <c r="M564" s="22">
        <v>3</v>
      </c>
      <c r="N564" s="9"/>
      <c r="O564" s="9"/>
      <c r="P564" s="9"/>
      <c r="Q564" s="9"/>
      <c r="R564" s="9"/>
      <c r="S564" s="12"/>
      <c r="T564" s="9"/>
      <c r="U564" s="9"/>
      <c r="V564" s="12"/>
      <c r="W564" s="12"/>
      <c r="X564" s="12"/>
      <c r="Y564" s="15"/>
      <c r="Z564" s="15"/>
      <c r="AA564" s="15"/>
      <c r="AB564" s="15"/>
      <c r="AC564" s="15"/>
      <c r="AD564" s="15"/>
      <c r="AE564" s="15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</row>
    <row r="565" spans="5:60">
      <c r="E565" s="22">
        <f t="shared" si="112"/>
        <v>565</v>
      </c>
      <c r="F565" s="9" t="s">
        <v>119</v>
      </c>
      <c r="M565" s="22">
        <v>1.5</v>
      </c>
    </row>
    <row r="566" spans="5:60">
      <c r="E566" s="22">
        <f t="shared" si="112"/>
        <v>566</v>
      </c>
      <c r="F566" s="9" t="s">
        <v>31</v>
      </c>
      <c r="G566" s="22">
        <v>45</v>
      </c>
      <c r="L566" s="9" t="s">
        <v>138</v>
      </c>
      <c r="M566" s="22">
        <f t="shared" ref="M566" si="122">G566*D556</f>
        <v>360</v>
      </c>
    </row>
    <row r="567" spans="5:60">
      <c r="E567" s="22">
        <f t="shared" si="112"/>
        <v>567</v>
      </c>
      <c r="F567" s="9" t="s">
        <v>115</v>
      </c>
      <c r="L567" s="9" t="s">
        <v>138</v>
      </c>
      <c r="M567" s="22">
        <v>85.94</v>
      </c>
    </row>
    <row r="568" spans="5:60">
      <c r="E568" s="22">
        <f t="shared" si="112"/>
        <v>568</v>
      </c>
      <c r="F568" s="9" t="s">
        <v>120</v>
      </c>
      <c r="K568" s="9" t="s">
        <v>141</v>
      </c>
      <c r="M568" s="22">
        <v>2</v>
      </c>
    </row>
    <row r="569" spans="5:60">
      <c r="E569" s="22">
        <f t="shared" si="112"/>
        <v>569</v>
      </c>
      <c r="F569" s="9" t="s">
        <v>129</v>
      </c>
      <c r="M569" s="22">
        <v>10000</v>
      </c>
    </row>
    <row r="570" spans="5:60">
      <c r="E570" s="22">
        <f t="shared" si="112"/>
        <v>570</v>
      </c>
      <c r="F570" s="9" t="s">
        <v>121</v>
      </c>
      <c r="M570" s="22" t="b">
        <v>1</v>
      </c>
    </row>
    <row r="571" spans="5:60">
      <c r="E571" s="22">
        <f t="shared" si="112"/>
        <v>571</v>
      </c>
      <c r="F571" s="9" t="s">
        <v>111</v>
      </c>
      <c r="M571" s="22">
        <v>240</v>
      </c>
    </row>
  </sheetData>
  <phoneticPr fontId="2" type="noConversion"/>
  <conditionalFormatting sqref="BE1:XFD1 E1:I1">
    <cfRule type="duplicateValues" dxfId="108" priority="1687"/>
  </conditionalFormatting>
  <conditionalFormatting sqref="F28:F33 F434:F440 F172:F193 F420:F430 F1:F24 F197:F205">
    <cfRule type="cellIs" dxfId="107" priority="1188" operator="equal">
      <formula>"ID"</formula>
    </cfRule>
    <cfRule type="cellIs" dxfId="106" priority="1603" operator="equal">
      <formula>"行動序號"</formula>
    </cfRule>
  </conditionalFormatting>
  <conditionalFormatting sqref="N11 N422:N439 M1:M11 N14:N33 M12:N13 M444:M1048576 M14:M442">
    <cfRule type="expression" dxfId="105" priority="1607">
      <formula>OR($F1="行動序號",$F1="ID")</formula>
    </cfRule>
  </conditionalFormatting>
  <conditionalFormatting sqref="N11 N422:N439 M1:M11 N14:N33 M12:N13 M444:M1048576 M14:M442">
    <cfRule type="expression" dxfId="104" priority="1074">
      <formula>$F1="行動ID"</formula>
    </cfRule>
  </conditionalFormatting>
  <conditionalFormatting sqref="J1">
    <cfRule type="duplicateValues" dxfId="103" priority="1186"/>
  </conditionalFormatting>
  <conditionalFormatting sqref="K1:L1">
    <cfRule type="duplicateValues" dxfId="102" priority="1183"/>
  </conditionalFormatting>
  <conditionalFormatting sqref="F39:F40 F42:F44 F48 F46 F56:F57 F73:F74 F90:F91 F107:F108 F124:F125 F141:F142 F158:F159 F59:F61 F76:F78 F93:F95 F110:F112 F127:F129 F144:F146 F161:F163 F65 F82 F99 F116 F133 F150 F63 F80 F97 F114 F131 F148 F165">
    <cfRule type="cellIs" dxfId="101" priority="1053" operator="equal">
      <formula>"ID"</formula>
    </cfRule>
    <cfRule type="cellIs" dxfId="100" priority="1055" operator="equal">
      <formula>"行動序號"</formula>
    </cfRule>
  </conditionalFormatting>
  <conditionalFormatting sqref="F50:F51 F67:F68 F84:F85 F101:F102 F118:F119 F135:F136 F152:F153">
    <cfRule type="cellIs" dxfId="99" priority="1047" operator="equal">
      <formula>"ID"</formula>
    </cfRule>
    <cfRule type="cellIs" dxfId="98" priority="1048" operator="equal">
      <formula>"行動序號"</formula>
    </cfRule>
  </conditionalFormatting>
  <conditionalFormatting sqref="F41 F58 F75 F92 F109 F126 F143 F160">
    <cfRule type="cellIs" dxfId="97" priority="1037" operator="equal">
      <formula>"ID"</formula>
    </cfRule>
    <cfRule type="cellIs" dxfId="96" priority="1038" operator="equal">
      <formula>"行動序號"</formula>
    </cfRule>
  </conditionalFormatting>
  <conditionalFormatting sqref="F47 F64 F81 F98 F115 F132 F149">
    <cfRule type="cellIs" dxfId="95" priority="1035" operator="equal">
      <formula>"ID"</formula>
    </cfRule>
    <cfRule type="cellIs" dxfId="94" priority="1036" operator="equal">
      <formula>"行動序號"</formula>
    </cfRule>
  </conditionalFormatting>
  <conditionalFormatting sqref="F52 F69 F86 F103 F120 F137 F154">
    <cfRule type="cellIs" dxfId="93" priority="1029" operator="equal">
      <formula>"ID"</formula>
    </cfRule>
    <cfRule type="cellIs" dxfId="92" priority="1030" operator="equal">
      <formula>"行動序號"</formula>
    </cfRule>
  </conditionalFormatting>
  <conditionalFormatting sqref="N422:N439 N11:N33">
    <cfRule type="expression" dxfId="91" priority="1690">
      <formula>$E11&gt;0</formula>
    </cfRule>
  </conditionalFormatting>
  <conditionalFormatting sqref="F53 F70 F87 F104 F121 F138 F155">
    <cfRule type="cellIs" dxfId="90" priority="1025" operator="equal">
      <formula>"ID"</formula>
    </cfRule>
    <cfRule type="cellIs" dxfId="89" priority="1026" operator="equal">
      <formula>"行動序號"</formula>
    </cfRule>
  </conditionalFormatting>
  <conditionalFormatting sqref="F45 F62 F79 F96 F113 F130 F147 F164">
    <cfRule type="cellIs" dxfId="88" priority="1022" operator="equal">
      <formula>"ID"</formula>
    </cfRule>
    <cfRule type="cellIs" dxfId="87" priority="1023" operator="equal">
      <formula>"行動序號"</formula>
    </cfRule>
  </conditionalFormatting>
  <conditionalFormatting sqref="F25:F27">
    <cfRule type="cellIs" dxfId="86" priority="850" operator="equal">
      <formula>"行動ID"</formula>
    </cfRule>
    <cfRule type="cellIs" dxfId="85" priority="851" operator="equal">
      <formula>"ID"</formula>
    </cfRule>
    <cfRule type="cellIs" dxfId="84" priority="853" operator="equal">
      <formula>"行動序號"</formula>
    </cfRule>
  </conditionalFormatting>
  <conditionalFormatting sqref="F25:F27">
    <cfRule type="cellIs" dxfId="83" priority="852" operator="equal">
      <formula>"行動序號"</formula>
    </cfRule>
  </conditionalFormatting>
  <conditionalFormatting sqref="J39 G48 J210 G220 M444:M1048576 J445 M1:M442">
    <cfRule type="expression" dxfId="82" priority="798">
      <formula>_xlfn.ISFORMULA(G1)</formula>
    </cfRule>
  </conditionalFormatting>
  <conditionalFormatting sqref="F227:F228 F249:F250 F271:F272 F293:F294 F315:F316 F337:F338 F359:F360 F381:F382 F403:F404">
    <cfRule type="cellIs" dxfId="81" priority="650" operator="equal">
      <formula>"ID"</formula>
    </cfRule>
    <cfRule type="cellIs" dxfId="80" priority="651" operator="equal">
      <formula>"行動序號"</formula>
    </cfRule>
  </conditionalFormatting>
  <conditionalFormatting sqref="F210:F220 F232:F242 F254:F264 F276:F286 F298:F308 F320:F330 F342:F352 F364:F374 F386:F396 F408:F418">
    <cfRule type="cellIs" dxfId="79" priority="647" operator="equal">
      <formula>"ID"</formula>
    </cfRule>
    <cfRule type="cellIs" dxfId="78" priority="648" operator="equal">
      <formula>"行動序號"</formula>
    </cfRule>
  </conditionalFormatting>
  <conditionalFormatting sqref="F221 F243 F265 F287 F309 F331 F353 F375 F397 F419">
    <cfRule type="cellIs" dxfId="77" priority="640" operator="equal">
      <formula>"ID"</formula>
    </cfRule>
    <cfRule type="cellIs" dxfId="76" priority="641" operator="equal">
      <formula>"行動序號"</formula>
    </cfRule>
  </conditionalFormatting>
  <conditionalFormatting sqref="F224:F226 F246:F248 F268:F270 F290:F292 F312:F314 F334:F336 F356:F358 F378:F380 F400:F402">
    <cfRule type="cellIs" dxfId="75" priority="637" operator="equal">
      <formula>"ID"</formula>
    </cfRule>
    <cfRule type="cellIs" dxfId="74" priority="638" operator="equal">
      <formula>"行動序號"</formula>
    </cfRule>
  </conditionalFormatting>
  <conditionalFormatting sqref="F194:F196">
    <cfRule type="cellIs" dxfId="73" priority="622" operator="equal">
      <formula>"行動ID"</formula>
    </cfRule>
    <cfRule type="cellIs" dxfId="72" priority="623" operator="equal">
      <formula>"ID"</formula>
    </cfRule>
    <cfRule type="cellIs" dxfId="71" priority="625" operator="equal">
      <formula>"行動序號"</formula>
    </cfRule>
  </conditionalFormatting>
  <conditionalFormatting sqref="F194:F196">
    <cfRule type="cellIs" dxfId="70" priority="624" operator="equal">
      <formula>"行動序號"</formula>
    </cfRule>
  </conditionalFormatting>
  <conditionalFormatting sqref="F622:F624">
    <cfRule type="cellIs" dxfId="69" priority="236" operator="equal">
      <formula>"ID"</formula>
    </cfRule>
    <cfRule type="cellIs" dxfId="68" priority="237" operator="equal">
      <formula>"行動序號"</formula>
    </cfRule>
  </conditionalFormatting>
  <conditionalFormatting sqref="F431:F433">
    <cfRule type="cellIs" dxfId="67" priority="232" operator="equal">
      <formula>"行動ID"</formula>
    </cfRule>
    <cfRule type="cellIs" dxfId="66" priority="233" operator="equal">
      <formula>"ID"</formula>
    </cfRule>
    <cfRule type="cellIs" dxfId="65" priority="235" operator="equal">
      <formula>"行動序號"</formula>
    </cfRule>
  </conditionalFormatting>
  <conditionalFormatting sqref="F431:F433">
    <cfRule type="cellIs" dxfId="64" priority="234" operator="equal">
      <formula>"行動序號"</formula>
    </cfRule>
  </conditionalFormatting>
  <conditionalFormatting sqref="F634">
    <cfRule type="cellIs" dxfId="63" priority="70" operator="equal">
      <formula>"ID"</formula>
    </cfRule>
    <cfRule type="cellIs" dxfId="62" priority="71" operator="equal">
      <formula>"行動序號"</formula>
    </cfRule>
  </conditionalFormatting>
  <conditionalFormatting sqref="F222 F244 F266 F288 F310 F332 F354 F376 F398">
    <cfRule type="cellIs" dxfId="61" priority="58" operator="equal">
      <formula>"ID"</formula>
    </cfRule>
    <cfRule type="cellIs" dxfId="60" priority="59" operator="equal">
      <formula>"行動序號"</formula>
    </cfRule>
  </conditionalFormatting>
  <conditionalFormatting sqref="F229 F251 F273 F295 F317 F339 F361 F383 F405">
    <cfRule type="cellIs" dxfId="59" priority="49" operator="equal">
      <formula>"ID"</formula>
    </cfRule>
    <cfRule type="cellIs" dxfId="58" priority="50" operator="equal">
      <formula>"行動序號"</formula>
    </cfRule>
  </conditionalFormatting>
  <conditionalFormatting sqref="F223 F245 F267 F289 F311 F333 F355 F377 F399">
    <cfRule type="cellIs" dxfId="57" priority="38" operator="equal">
      <formula>"ID"</formula>
    </cfRule>
    <cfRule type="cellIs" dxfId="56" priority="39" operator="equal">
      <formula>"行動序號"</formula>
    </cfRule>
  </conditionalFormatting>
  <conditionalFormatting sqref="F458 F474 F489 F504 F519 F534 F549 F564">
    <cfRule type="cellIs" dxfId="55" priority="32" operator="equal">
      <formula>"ID"</formula>
    </cfRule>
    <cfRule type="cellIs" dxfId="54" priority="33" operator="equal">
      <formula>"行動序號"</formula>
    </cfRule>
  </conditionalFormatting>
  <conditionalFormatting sqref="F445:F454 F461:F470 F476:F485 F491:F500 F506:F515 F521:F530 F536:F545 F551:F560">
    <cfRule type="cellIs" dxfId="53" priority="27" operator="equal">
      <formula>"ID"</formula>
    </cfRule>
    <cfRule type="cellIs" dxfId="52" priority="28" operator="equal">
      <formula>"行動序號"</formula>
    </cfRule>
  </conditionalFormatting>
  <conditionalFormatting sqref="F456 F472 F487 F502 F517 F532 F547 F562">
    <cfRule type="cellIs" dxfId="51" priority="20" operator="equal">
      <formula>"ID"</formula>
    </cfRule>
    <cfRule type="cellIs" dxfId="50" priority="21" operator="equal">
      <formula>"行動序號"</formula>
    </cfRule>
  </conditionalFormatting>
  <conditionalFormatting sqref="F457 F473 F488 F503 F518 F533 F548 F563">
    <cfRule type="cellIs" dxfId="49" priority="17" operator="equal">
      <formula>"ID"</formula>
    </cfRule>
    <cfRule type="cellIs" dxfId="48" priority="18" operator="equal">
      <formula>"行動序號"</formula>
    </cfRule>
  </conditionalFormatting>
  <conditionalFormatting sqref="F459">
    <cfRule type="cellIs" dxfId="47" priority="5" operator="equal">
      <formula>"ID"</formula>
    </cfRule>
    <cfRule type="cellIs" dxfId="46" priority="6" operator="equal">
      <formula>"行動序號"</formula>
    </cfRule>
  </conditionalFormatting>
  <conditionalFormatting sqref="J39 G48 G220">
    <cfRule type="expression" dxfId="45" priority="1694">
      <formula>OR(#REF!="行動序號",#REF!="ID")</formula>
    </cfRule>
  </conditionalFormatting>
  <conditionalFormatting sqref="J39 G48 G220">
    <cfRule type="expression" dxfId="44" priority="1696">
      <formula>#REF!="行動ID"</formula>
    </cfRule>
  </conditionalFormatting>
  <conditionalFormatting sqref="J210">
    <cfRule type="expression" dxfId="43" priority="1700">
      <formula>OR(#REF!="行動序號",#REF!="ID")</formula>
    </cfRule>
  </conditionalFormatting>
  <conditionalFormatting sqref="J210">
    <cfRule type="expression" dxfId="42" priority="1702">
      <formula>#REF!="行動ID"</formula>
    </cfRule>
  </conditionalFormatting>
  <conditionalFormatting sqref="N1:BD1">
    <cfRule type="duplicateValues" dxfId="41" priority="1703"/>
  </conditionalFormatting>
  <conditionalFormatting sqref="J445">
    <cfRule type="expression" dxfId="40" priority="1707">
      <formula>OR($F443="行動序號",$F443="ID")</formula>
    </cfRule>
  </conditionalFormatting>
  <conditionalFormatting sqref="J445">
    <cfRule type="expression" dxfId="39" priority="1709">
      <formula>$F443="行動ID"</formula>
    </cfRule>
  </conditionalFormatting>
  <dataValidations count="1">
    <dataValidation type="list" allowBlank="1" showInputMessage="1" showErrorMessage="1" sqref="J204:J205 L426 L441 L5:L6 K424:L424 F424 F30 N27:O33 F16 F189:L202 N23:O25 F23 L171 F26 F175:L175 N16:O20 L34 L429 F11 O11 F14 H11:I11 K11:L11 K34:K35 K8 F12 G16:L20 F17:F20 G23:L25 F24:F25 G27:L33 F27:F29 F31:F33 J203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28626-7C55-4F0C-A612-AAC9C2CEEA84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FD0A5CAB-A620-4649-8A36-E709243170F3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49C69-4738-49B7-AE81-EA860A45D51F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159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105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103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106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160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114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245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161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107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108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134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135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162</v>
      </c>
      <c r="C17" s="7" t="s">
        <v>246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163</v>
      </c>
      <c r="E20" t="str">
        <f t="shared" si="0"/>
        <v>啟動依ID,</v>
      </c>
      <c r="H20"/>
    </row>
    <row r="21" spans="1:8">
      <c r="A21" s="7" t="s">
        <v>27</v>
      </c>
      <c r="B21" s="7" t="s">
        <v>164</v>
      </c>
      <c r="C21" s="7" t="s">
        <v>165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130</v>
      </c>
      <c r="C22" s="7" t="s">
        <v>166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131</v>
      </c>
      <c r="C23" s="7" t="s">
        <v>167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132</v>
      </c>
      <c r="C24" s="7" t="s">
        <v>168</v>
      </c>
      <c r="E24" t="str">
        <f t="shared" si="0"/>
        <v>啟動依位置,</v>
      </c>
      <c r="H24"/>
    </row>
    <row r="25" spans="1:8">
      <c r="A25" s="7" t="s">
        <v>27</v>
      </c>
      <c r="B25" s="7" t="s">
        <v>133</v>
      </c>
      <c r="C25" s="7" t="s">
        <v>169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170</v>
      </c>
      <c r="C26" s="7" t="s">
        <v>171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172</v>
      </c>
      <c r="C27" s="7" t="s">
        <v>173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174</v>
      </c>
      <c r="E30" t="str">
        <f t="shared" si="0"/>
        <v>物件,</v>
      </c>
      <c r="H30"/>
    </row>
    <row r="31" spans="1:8">
      <c r="A31" s="7" t="s">
        <v>27</v>
      </c>
      <c r="B31" s="7" t="s">
        <v>122</v>
      </c>
      <c r="C31" s="7" t="s">
        <v>175</v>
      </c>
      <c r="E31" t="str">
        <f t="shared" si="0"/>
        <v>Sprite,</v>
      </c>
      <c r="H31"/>
    </row>
    <row r="32" spans="1:8">
      <c r="A32" s="7" t="s">
        <v>27</v>
      </c>
      <c r="B32" s="7" t="s">
        <v>104</v>
      </c>
      <c r="C32" s="7" t="s">
        <v>176</v>
      </c>
      <c r="E32" t="str">
        <f t="shared" si="0"/>
        <v>動畫,</v>
      </c>
      <c r="H32"/>
    </row>
    <row r="33" spans="1:8">
      <c r="A33" s="7" t="s">
        <v>27</v>
      </c>
      <c r="B33" s="7" t="s">
        <v>110</v>
      </c>
      <c r="C33" s="7" t="s">
        <v>177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109</v>
      </c>
      <c r="C34" s="7" t="s">
        <v>178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179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180</v>
      </c>
      <c r="C36" s="7" t="s">
        <v>181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182</v>
      </c>
      <c r="C37" s="7" t="s">
        <v>183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184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185</v>
      </c>
      <c r="E41" t="str">
        <f t="shared" si="0"/>
        <v>回收時間,</v>
      </c>
      <c r="H41"/>
    </row>
    <row r="42" spans="1:8">
      <c r="A42" s="7" t="s">
        <v>27</v>
      </c>
      <c r="B42" s="7" t="s">
        <v>111</v>
      </c>
      <c r="C42" s="7" t="s">
        <v>186</v>
      </c>
      <c r="E42" t="str">
        <f t="shared" si="0"/>
        <v>死亡時間,</v>
      </c>
      <c r="H42"/>
    </row>
    <row r="43" spans="1:8">
      <c r="A43" s="7" t="s">
        <v>27</v>
      </c>
      <c r="B43" s="7" t="s">
        <v>240</v>
      </c>
      <c r="C43" s="7" t="s">
        <v>241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187</v>
      </c>
      <c r="E46" t="str">
        <f t="shared" si="0"/>
        <v>移位置,</v>
      </c>
      <c r="H46"/>
    </row>
    <row r="47" spans="1:8">
      <c r="A47" s="7" t="s">
        <v>27</v>
      </c>
      <c r="B47" s="7" t="s">
        <v>120</v>
      </c>
      <c r="C47" s="7" t="s">
        <v>188</v>
      </c>
      <c r="E47" t="str">
        <f t="shared" si="0"/>
        <v>相對位置,</v>
      </c>
      <c r="H47"/>
    </row>
    <row r="48" spans="1:8">
      <c r="A48" s="7" t="s">
        <v>27</v>
      </c>
      <c r="B48" s="7" t="s">
        <v>137</v>
      </c>
      <c r="C48" s="7" t="s">
        <v>189</v>
      </c>
      <c r="E48" t="str">
        <f t="shared" si="0"/>
        <v>位置參數,</v>
      </c>
      <c r="H48"/>
    </row>
    <row r="49" spans="1:8">
      <c r="A49" s="7" t="s">
        <v>27</v>
      </c>
      <c r="B49" s="7" t="s">
        <v>190</v>
      </c>
      <c r="C49" s="7" t="s">
        <v>191</v>
      </c>
      <c r="E49" t="str">
        <f t="shared" si="0"/>
        <v>加位置,</v>
      </c>
      <c r="H49"/>
    </row>
    <row r="50" spans="1:8">
      <c r="A50" s="7" t="s">
        <v>27</v>
      </c>
      <c r="B50" s="7" t="s">
        <v>254</v>
      </c>
      <c r="C50" s="7" t="s">
        <v>255</v>
      </c>
      <c r="E50" t="str">
        <f t="shared" si="0"/>
        <v>記錄位置,</v>
      </c>
      <c r="H50"/>
    </row>
    <row r="51" spans="1:8">
      <c r="A51" s="7" t="s">
        <v>27</v>
      </c>
      <c r="B51" s="7" t="s">
        <v>256</v>
      </c>
      <c r="C51" s="7" t="s">
        <v>257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192</v>
      </c>
      <c r="E54" t="str">
        <f t="shared" si="0"/>
        <v>移動角度,</v>
      </c>
      <c r="H54"/>
    </row>
    <row r="55" spans="1:8">
      <c r="A55" s="7" t="s">
        <v>27</v>
      </c>
      <c r="B55" s="7" t="s">
        <v>115</v>
      </c>
      <c r="C55" s="7" t="s">
        <v>193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116</v>
      </c>
      <c r="C56" s="7" t="s">
        <v>194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117</v>
      </c>
      <c r="C57" s="7" t="s">
        <v>195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136</v>
      </c>
      <c r="C58" s="7" t="s">
        <v>196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197</v>
      </c>
      <c r="C59" s="7" t="s">
        <v>198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118</v>
      </c>
      <c r="C60" s="7" t="s">
        <v>199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247</v>
      </c>
      <c r="C61" s="7" t="s">
        <v>248</v>
      </c>
      <c r="E61" t="str">
        <f t="shared" si="0"/>
        <v>子旋轉角度,</v>
      </c>
      <c r="H61"/>
    </row>
    <row r="62" spans="1:8">
      <c r="A62" s="7" t="s">
        <v>27</v>
      </c>
      <c r="B62" s="25" t="s">
        <v>249</v>
      </c>
      <c r="C62" s="7" t="s">
        <v>250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258</v>
      </c>
      <c r="C63" s="7" t="s">
        <v>259</v>
      </c>
      <c r="E63" t="str">
        <f t="shared" si="0"/>
        <v>記錄角度,</v>
      </c>
      <c r="H63"/>
    </row>
    <row r="64" spans="1:8">
      <c r="A64" s="7" t="s">
        <v>27</v>
      </c>
      <c r="B64" s="7" t="s">
        <v>261</v>
      </c>
      <c r="C64" s="7" t="s">
        <v>260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200</v>
      </c>
      <c r="E67" t="str">
        <f t="shared" si="0"/>
        <v>速度,</v>
      </c>
      <c r="H67"/>
    </row>
    <row r="68" spans="1:11">
      <c r="A68" s="7" t="s">
        <v>27</v>
      </c>
      <c r="B68" s="7" t="s">
        <v>119</v>
      </c>
      <c r="C68" s="7" t="s">
        <v>201</v>
      </c>
      <c r="E68" t="str">
        <f t="shared" si="0"/>
        <v>加速度,</v>
      </c>
      <c r="H68"/>
    </row>
    <row r="69" spans="1:11">
      <c r="A69" s="7" t="s">
        <v>27</v>
      </c>
      <c r="B69" s="7" t="s">
        <v>112</v>
      </c>
      <c r="C69" s="7" t="s">
        <v>202</v>
      </c>
      <c r="E69" t="str">
        <f t="shared" si="0"/>
        <v>最小速度,</v>
      </c>
      <c r="H69"/>
    </row>
    <row r="70" spans="1:11">
      <c r="A70" s="7" t="s">
        <v>27</v>
      </c>
      <c r="B70" s="7" t="s">
        <v>113</v>
      </c>
      <c r="C70" s="7" t="s">
        <v>203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204</v>
      </c>
      <c r="C73" s="7" t="s">
        <v>205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206</v>
      </c>
      <c r="E74" t="str">
        <f t="shared" si="0"/>
        <v>無敵,</v>
      </c>
      <c r="H74"/>
    </row>
    <row r="75" spans="1:11">
      <c r="A75" s="7" t="s">
        <v>27</v>
      </c>
      <c r="B75" s="7" t="s">
        <v>121</v>
      </c>
      <c r="C75" s="7" t="s">
        <v>207</v>
      </c>
      <c r="E75" t="str">
        <f t="shared" si="0"/>
        <v>貫穿,</v>
      </c>
      <c r="H75"/>
    </row>
    <row r="76" spans="1:11">
      <c r="A76" s="7" t="s">
        <v>27</v>
      </c>
      <c r="B76" s="7" t="s">
        <v>129</v>
      </c>
      <c r="C76" s="7" t="s">
        <v>208</v>
      </c>
      <c r="E76" t="str">
        <f t="shared" si="0"/>
        <v>回收距離,</v>
      </c>
      <c r="H76"/>
    </row>
    <row r="77" spans="1:11">
      <c r="A77" s="7" t="s">
        <v>27</v>
      </c>
      <c r="B77" s="7" t="s">
        <v>209</v>
      </c>
      <c r="C77" s="7" t="s">
        <v>210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211</v>
      </c>
      <c r="C78" s="7" t="s">
        <v>212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213</v>
      </c>
      <c r="C79" s="7" t="s">
        <v>214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215</v>
      </c>
      <c r="C80" s="7" t="s">
        <v>216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123</v>
      </c>
      <c r="C83" s="7" t="s">
        <v>217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124</v>
      </c>
      <c r="C84" s="7" t="s">
        <v>218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125</v>
      </c>
      <c r="C85" s="7" t="s">
        <v>219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126</v>
      </c>
      <c r="C86" s="7" t="s">
        <v>220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127</v>
      </c>
      <c r="C87" s="7" t="s">
        <v>221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128</v>
      </c>
      <c r="C88" s="7" t="s">
        <v>222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223</v>
      </c>
      <c r="C91" s="7" t="s">
        <v>224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225</v>
      </c>
      <c r="C92" s="7" t="s">
        <v>226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227</v>
      </c>
      <c r="C93" s="7" t="s">
        <v>228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229</v>
      </c>
      <c r="C94" s="7" t="s">
        <v>230</v>
      </c>
      <c r="E94" t="str">
        <f t="shared" si="1"/>
        <v>玩家Shift,</v>
      </c>
      <c r="H94"/>
    </row>
    <row r="95" spans="1:11">
      <c r="A95" s="7" t="s">
        <v>27</v>
      </c>
      <c r="B95" s="7" t="s">
        <v>231</v>
      </c>
      <c r="C95" s="7" t="s">
        <v>232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140</v>
      </c>
      <c r="C103" s="7" t="s">
        <v>21</v>
      </c>
      <c r="H103"/>
    </row>
    <row r="104" spans="1:12" customFormat="1">
      <c r="A104" s="7" t="s">
        <v>143</v>
      </c>
      <c r="B104" t="s">
        <v>141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142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233</v>
      </c>
      <c r="C106" s="7" t="s">
        <v>97</v>
      </c>
      <c r="D106" s="7"/>
      <c r="L106" s="7"/>
    </row>
    <row r="107" spans="1:12" customFormat="1">
      <c r="A107" s="7" t="s">
        <v>143</v>
      </c>
      <c r="B107" t="s">
        <v>234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235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138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139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236</v>
      </c>
      <c r="C114" s="7" t="s">
        <v>22</v>
      </c>
      <c r="D114" s="7"/>
      <c r="L114" s="7"/>
    </row>
    <row r="115" spans="1:12">
      <c r="A115" s="7" t="s">
        <v>144</v>
      </c>
      <c r="B115" s="7" t="s">
        <v>237</v>
      </c>
      <c r="C115" s="7" t="s">
        <v>23</v>
      </c>
      <c r="H115"/>
    </row>
    <row r="116" spans="1:12">
      <c r="A116" s="7" t="s">
        <v>144</v>
      </c>
      <c r="B116" s="7" t="s">
        <v>262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F3EBF-2D09-4F3D-A740-90242590E975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140</v>
      </c>
      <c r="C2" s="20" t="s">
        <v>138</v>
      </c>
      <c r="D2" s="20"/>
      <c r="G2" s="21" t="s">
        <v>238</v>
      </c>
    </row>
    <row r="3" spans="1:10">
      <c r="A3" s="20" t="s">
        <v>93</v>
      </c>
      <c r="B3" s="20" t="s">
        <v>141</v>
      </c>
      <c r="C3" s="20" t="s">
        <v>139</v>
      </c>
      <c r="D3" s="20"/>
      <c r="G3" s="9"/>
    </row>
    <row r="4" spans="1:10">
      <c r="A4" s="20" t="s">
        <v>105</v>
      </c>
      <c r="B4" s="20" t="s">
        <v>142</v>
      </c>
      <c r="C4" s="20" t="s">
        <v>239</v>
      </c>
      <c r="D4" s="20"/>
      <c r="G4" s="9"/>
      <c r="H4" s="18"/>
    </row>
    <row r="5" spans="1:10" ht="17.25" customHeight="1">
      <c r="A5" s="20" t="s">
        <v>103</v>
      </c>
      <c r="B5" s="20" t="s">
        <v>233</v>
      </c>
      <c r="C5" s="20" t="s">
        <v>236</v>
      </c>
      <c r="D5" s="20"/>
      <c r="G5" s="9"/>
    </row>
    <row r="6" spans="1:10">
      <c r="A6" s="20" t="s">
        <v>106</v>
      </c>
      <c r="B6" s="20" t="s">
        <v>234</v>
      </c>
      <c r="C6" s="20" t="s">
        <v>237</v>
      </c>
      <c r="D6" s="20"/>
      <c r="G6" s="9"/>
    </row>
    <row r="7" spans="1:10">
      <c r="A7" s="20" t="s">
        <v>48</v>
      </c>
      <c r="B7" s="20" t="s">
        <v>235</v>
      </c>
      <c r="C7" s="24" t="s">
        <v>262</v>
      </c>
      <c r="D7" s="20"/>
      <c r="G7" s="9"/>
    </row>
    <row r="8" spans="1:10">
      <c r="A8" s="20" t="s">
        <v>160</v>
      </c>
      <c r="B8" s="24"/>
      <c r="C8" s="20"/>
      <c r="D8" s="20"/>
      <c r="G8" s="9"/>
    </row>
    <row r="9" spans="1:10">
      <c r="A9" s="20" t="s">
        <v>114</v>
      </c>
      <c r="B9" s="20"/>
      <c r="C9" s="20"/>
      <c r="D9" s="20"/>
      <c r="G9" s="9"/>
    </row>
    <row r="10" spans="1:10">
      <c r="A10" s="20" t="s">
        <v>245</v>
      </c>
      <c r="B10" s="20"/>
      <c r="C10" s="20"/>
      <c r="D10" s="20"/>
      <c r="G10" s="9"/>
    </row>
    <row r="11" spans="1:10">
      <c r="A11" s="20" t="s">
        <v>161</v>
      </c>
      <c r="G11" s="9"/>
    </row>
    <row r="12" spans="1:10">
      <c r="A12" s="20" t="s">
        <v>45</v>
      </c>
      <c r="G12" s="9"/>
    </row>
    <row r="13" spans="1:10">
      <c r="A13" s="20" t="s">
        <v>107</v>
      </c>
      <c r="G13" s="9"/>
    </row>
    <row r="14" spans="1:10">
      <c r="A14" s="20" t="s">
        <v>108</v>
      </c>
      <c r="C14" s="9"/>
      <c r="G14" s="9"/>
    </row>
    <row r="15" spans="1:10">
      <c r="A15" s="20" t="s">
        <v>134</v>
      </c>
      <c r="G15" s="9"/>
    </row>
    <row r="16" spans="1:10">
      <c r="A16" s="20" t="s">
        <v>135</v>
      </c>
      <c r="C16"/>
      <c r="G16" s="9"/>
    </row>
    <row r="17" spans="1:7">
      <c r="A17" s="20" t="s">
        <v>162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164</v>
      </c>
      <c r="C21"/>
      <c r="G21" s="9"/>
    </row>
    <row r="22" spans="1:7">
      <c r="A22" s="20" t="s">
        <v>130</v>
      </c>
      <c r="C22"/>
      <c r="G22" s="9"/>
    </row>
    <row r="23" spans="1:7">
      <c r="A23" s="20" t="s">
        <v>131</v>
      </c>
      <c r="C23"/>
      <c r="G23" s="9"/>
    </row>
    <row r="24" spans="1:7">
      <c r="A24" s="20" t="s">
        <v>132</v>
      </c>
      <c r="C24"/>
      <c r="G24" s="9"/>
    </row>
    <row r="25" spans="1:7" s="9" customFormat="1">
      <c r="A25" s="20" t="s">
        <v>133</v>
      </c>
      <c r="C25"/>
      <c r="F25" s="4"/>
    </row>
    <row r="26" spans="1:7">
      <c r="A26" s="20" t="s">
        <v>170</v>
      </c>
      <c r="C26"/>
      <c r="G26" s="9"/>
    </row>
    <row r="27" spans="1:7">
      <c r="A27" s="20" t="s">
        <v>172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122</v>
      </c>
      <c r="C31"/>
      <c r="G31" s="9"/>
    </row>
    <row r="32" spans="1:7">
      <c r="A32" s="20" t="s">
        <v>104</v>
      </c>
      <c r="C32"/>
      <c r="G32" s="9"/>
    </row>
    <row r="33" spans="1:7">
      <c r="A33" s="20" t="s">
        <v>110</v>
      </c>
      <c r="C33"/>
      <c r="G33" s="9"/>
    </row>
    <row r="34" spans="1:7">
      <c r="A34" s="20" t="s">
        <v>109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180</v>
      </c>
      <c r="C36"/>
    </row>
    <row r="37" spans="1:7">
      <c r="A37" s="20" t="s">
        <v>182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98</v>
      </c>
      <c r="C41"/>
      <c r="G41" s="9"/>
    </row>
    <row r="42" spans="1:7">
      <c r="A42" s="20" t="s">
        <v>111</v>
      </c>
      <c r="C42"/>
      <c r="G42" s="9"/>
    </row>
    <row r="43" spans="1:7">
      <c r="A43" s="24" t="s">
        <v>240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99</v>
      </c>
      <c r="C46"/>
      <c r="G46" s="9"/>
    </row>
    <row r="47" spans="1:7">
      <c r="A47" s="20" t="s">
        <v>120</v>
      </c>
      <c r="C47"/>
      <c r="G47" s="9"/>
    </row>
    <row r="48" spans="1:7">
      <c r="A48" s="20" t="s">
        <v>137</v>
      </c>
      <c r="C48"/>
      <c r="G48" s="9"/>
    </row>
    <row r="49" spans="1:8">
      <c r="A49" s="20" t="s">
        <v>190</v>
      </c>
      <c r="C49"/>
      <c r="G49" s="9"/>
    </row>
    <row r="50" spans="1:8">
      <c r="A50" s="25" t="s">
        <v>258</v>
      </c>
      <c r="C50"/>
      <c r="G50" s="9"/>
    </row>
    <row r="51" spans="1:8">
      <c r="A51" s="25" t="s">
        <v>263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115</v>
      </c>
      <c r="C55"/>
      <c r="G55" s="9"/>
      <c r="H55" s="11"/>
    </row>
    <row r="56" spans="1:8">
      <c r="A56" s="20" t="s">
        <v>116</v>
      </c>
      <c r="C56"/>
      <c r="G56" s="9"/>
      <c r="H56" s="11"/>
    </row>
    <row r="57" spans="1:8">
      <c r="A57" s="26" t="s">
        <v>251</v>
      </c>
      <c r="C57"/>
      <c r="G57" s="9"/>
    </row>
    <row r="58" spans="1:8">
      <c r="A58" s="20" t="s">
        <v>136</v>
      </c>
      <c r="G58" s="9"/>
    </row>
    <row r="59" spans="1:8">
      <c r="A59" s="20" t="s">
        <v>197</v>
      </c>
      <c r="G59" s="9"/>
    </row>
    <row r="60" spans="1:8">
      <c r="A60" s="20" t="s">
        <v>118</v>
      </c>
      <c r="G60" s="9"/>
    </row>
    <row r="61" spans="1:8">
      <c r="A61" s="25" t="s">
        <v>247</v>
      </c>
      <c r="G61" s="9"/>
    </row>
    <row r="62" spans="1:8">
      <c r="A62" s="25" t="s">
        <v>249</v>
      </c>
      <c r="G62" s="9"/>
    </row>
    <row r="63" spans="1:8">
      <c r="A63" s="25" t="s">
        <v>258</v>
      </c>
      <c r="G63" s="9"/>
    </row>
    <row r="64" spans="1:8">
      <c r="A64" s="25" t="s">
        <v>261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119</v>
      </c>
      <c r="C68"/>
      <c r="G68" s="9"/>
    </row>
    <row r="69" spans="1:7">
      <c r="A69" s="20" t="s">
        <v>112</v>
      </c>
      <c r="C69"/>
      <c r="G69" s="9"/>
    </row>
    <row r="70" spans="1:7">
      <c r="A70" s="20" t="s">
        <v>113</v>
      </c>
      <c r="G70" s="9"/>
    </row>
    <row r="71" spans="1:7">
      <c r="G71" s="9"/>
    </row>
    <row r="72" spans="1:7">
      <c r="G72" s="9"/>
    </row>
    <row r="73" spans="1:7">
      <c r="A73" s="20" t="s">
        <v>204</v>
      </c>
    </row>
    <row r="74" spans="1:7">
      <c r="A74" s="20" t="s">
        <v>47</v>
      </c>
    </row>
    <row r="75" spans="1:7">
      <c r="A75" s="20" t="s">
        <v>121</v>
      </c>
    </row>
    <row r="76" spans="1:7">
      <c r="A76" s="20" t="s">
        <v>129</v>
      </c>
      <c r="G76" s="9"/>
    </row>
    <row r="77" spans="1:7">
      <c r="A77" s="20" t="s">
        <v>209</v>
      </c>
      <c r="G77" s="9"/>
    </row>
    <row r="78" spans="1:7">
      <c r="A78" s="20" t="s">
        <v>211</v>
      </c>
      <c r="G78" s="9"/>
    </row>
    <row r="79" spans="1:7">
      <c r="A79" s="20" t="s">
        <v>213</v>
      </c>
    </row>
    <row r="80" spans="1:7">
      <c r="A80" s="20" t="s">
        <v>215</v>
      </c>
    </row>
    <row r="83" spans="1:1">
      <c r="A83" s="20" t="s">
        <v>123</v>
      </c>
    </row>
    <row r="84" spans="1:1">
      <c r="A84" s="20" t="s">
        <v>124</v>
      </c>
    </row>
    <row r="85" spans="1:1">
      <c r="A85" s="20" t="s">
        <v>125</v>
      </c>
    </row>
    <row r="86" spans="1:1">
      <c r="A86" s="20" t="s">
        <v>126</v>
      </c>
    </row>
    <row r="87" spans="1:1">
      <c r="A87" s="20" t="s">
        <v>127</v>
      </c>
    </row>
    <row r="88" spans="1:1">
      <c r="A88" s="20" t="s">
        <v>128</v>
      </c>
    </row>
    <row r="91" spans="1:1">
      <c r="A91" s="20" t="s">
        <v>223</v>
      </c>
    </row>
    <row r="92" spans="1:1">
      <c r="A92" s="20" t="s">
        <v>225</v>
      </c>
    </row>
    <row r="93" spans="1:1">
      <c r="A93" s="20" t="s">
        <v>227</v>
      </c>
    </row>
    <row r="94" spans="1:1">
      <c r="A94" s="20" t="s">
        <v>229</v>
      </c>
    </row>
    <row r="95" spans="1:1">
      <c r="A95" s="20" t="s">
        <v>231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85A8DE4D-ABB2-4E57-B60E-84D743F677C7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DC02E-A386-44E0-BA92-10C13027E14A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9D325-236F-475B-B289-12C762213F80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10DF1-C1E5-4C28-8F75-4B880FBDFE2D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stage7_card1shot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2025-04-16T06:38:22Z</dcterms:modified>
</cp:coreProperties>
</file>