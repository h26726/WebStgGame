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2570D910-C2B2-4DD2-B66E-81B139D39C3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7shot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15" i="1" l="1"/>
  <c r="M414" i="1"/>
  <c r="E414" i="1"/>
  <c r="E413" i="1"/>
  <c r="E412" i="1"/>
  <c r="E411" i="1"/>
  <c r="E410" i="1"/>
  <c r="E409" i="1"/>
  <c r="E408" i="1"/>
  <c r="E407" i="1"/>
  <c r="E406" i="1"/>
  <c r="E405" i="1"/>
  <c r="H404" i="1"/>
  <c r="E404" i="1"/>
  <c r="E402" i="1"/>
  <c r="E401" i="1"/>
  <c r="E400" i="1"/>
  <c r="E399" i="1"/>
  <c r="E397" i="1"/>
  <c r="M396" i="1"/>
  <c r="E396" i="1"/>
  <c r="E395" i="1"/>
  <c r="E394" i="1"/>
  <c r="E393" i="1"/>
  <c r="E392" i="1"/>
  <c r="E391" i="1"/>
  <c r="E390" i="1"/>
  <c r="E389" i="1"/>
  <c r="E388" i="1"/>
  <c r="E387" i="1"/>
  <c r="H386" i="1"/>
  <c r="E386" i="1"/>
  <c r="E384" i="1"/>
  <c r="E383" i="1"/>
  <c r="E382" i="1"/>
  <c r="E381" i="1"/>
  <c r="E379" i="1"/>
  <c r="M378" i="1"/>
  <c r="E378" i="1"/>
  <c r="E377" i="1"/>
  <c r="E376" i="1"/>
  <c r="E375" i="1"/>
  <c r="E374" i="1"/>
  <c r="E373" i="1"/>
  <c r="E372" i="1"/>
  <c r="E371" i="1"/>
  <c r="E370" i="1"/>
  <c r="E369" i="1"/>
  <c r="H368" i="1"/>
  <c r="E368" i="1"/>
  <c r="E366" i="1"/>
  <c r="E365" i="1"/>
  <c r="E364" i="1"/>
  <c r="E363" i="1"/>
  <c r="E361" i="1"/>
  <c r="M360" i="1"/>
  <c r="E360" i="1"/>
  <c r="E359" i="1"/>
  <c r="E358" i="1"/>
  <c r="E357" i="1"/>
  <c r="E356" i="1"/>
  <c r="E355" i="1"/>
  <c r="E354" i="1"/>
  <c r="E353" i="1"/>
  <c r="E352" i="1"/>
  <c r="E351" i="1"/>
  <c r="H350" i="1"/>
  <c r="E350" i="1"/>
  <c r="E348" i="1"/>
  <c r="E347" i="1"/>
  <c r="E346" i="1"/>
  <c r="E345" i="1"/>
  <c r="E343" i="1"/>
  <c r="M342" i="1"/>
  <c r="E342" i="1"/>
  <c r="E341" i="1"/>
  <c r="E340" i="1"/>
  <c r="E339" i="1"/>
  <c r="E338" i="1"/>
  <c r="E337" i="1"/>
  <c r="E336" i="1"/>
  <c r="E335" i="1"/>
  <c r="E334" i="1"/>
  <c r="E333" i="1"/>
  <c r="H332" i="1"/>
  <c r="E332" i="1"/>
  <c r="E330" i="1"/>
  <c r="E329" i="1"/>
  <c r="E328" i="1"/>
  <c r="E327" i="1"/>
  <c r="E325" i="1"/>
  <c r="M324" i="1"/>
  <c r="E324" i="1"/>
  <c r="E323" i="1"/>
  <c r="E322" i="1"/>
  <c r="E321" i="1"/>
  <c r="E320" i="1"/>
  <c r="E319" i="1"/>
  <c r="E318" i="1"/>
  <c r="E317" i="1"/>
  <c r="E316" i="1"/>
  <c r="E315" i="1"/>
  <c r="H314" i="1"/>
  <c r="E314" i="1"/>
  <c r="E312" i="1"/>
  <c r="E311" i="1"/>
  <c r="E310" i="1"/>
  <c r="E309" i="1"/>
  <c r="E307" i="1"/>
  <c r="M306" i="1"/>
  <c r="E306" i="1"/>
  <c r="E305" i="1"/>
  <c r="E304" i="1"/>
  <c r="E303" i="1"/>
  <c r="E302" i="1"/>
  <c r="E301" i="1"/>
  <c r="E300" i="1"/>
  <c r="E299" i="1"/>
  <c r="E298" i="1"/>
  <c r="E297" i="1"/>
  <c r="H296" i="1"/>
  <c r="E296" i="1"/>
  <c r="E294" i="1"/>
  <c r="E293" i="1"/>
  <c r="E292" i="1"/>
  <c r="E291" i="1"/>
  <c r="E289" i="1"/>
  <c r="M288" i="1"/>
  <c r="E288" i="1"/>
  <c r="E287" i="1"/>
  <c r="E286" i="1"/>
  <c r="E285" i="1"/>
  <c r="E284" i="1"/>
  <c r="E283" i="1"/>
  <c r="E282" i="1"/>
  <c r="E281" i="1"/>
  <c r="E280" i="1"/>
  <c r="E279" i="1"/>
  <c r="H278" i="1"/>
  <c r="E278" i="1"/>
  <c r="E276" i="1"/>
  <c r="E275" i="1"/>
  <c r="E274" i="1"/>
  <c r="E273" i="1"/>
  <c r="E271" i="1"/>
  <c r="M270" i="1"/>
  <c r="E270" i="1"/>
  <c r="E269" i="1"/>
  <c r="E268" i="1"/>
  <c r="E267" i="1"/>
  <c r="E266" i="1"/>
  <c r="E265" i="1"/>
  <c r="E264" i="1"/>
  <c r="E263" i="1"/>
  <c r="E262" i="1"/>
  <c r="E261" i="1"/>
  <c r="H260" i="1"/>
  <c r="E260" i="1"/>
  <c r="E258" i="1"/>
  <c r="E257" i="1"/>
  <c r="E256" i="1"/>
  <c r="E255" i="1"/>
  <c r="E253" i="1"/>
  <c r="M252" i="1"/>
  <c r="E252" i="1"/>
  <c r="E251" i="1"/>
  <c r="E250" i="1"/>
  <c r="E249" i="1"/>
  <c r="E248" i="1"/>
  <c r="E247" i="1"/>
  <c r="E246" i="1"/>
  <c r="E245" i="1"/>
  <c r="E244" i="1"/>
  <c r="E243" i="1"/>
  <c r="H242" i="1"/>
  <c r="E242" i="1"/>
  <c r="E240" i="1"/>
  <c r="E239" i="1"/>
  <c r="E238" i="1"/>
  <c r="E237" i="1"/>
  <c r="E235" i="1"/>
  <c r="M234" i="1"/>
  <c r="E234" i="1"/>
  <c r="E233" i="1"/>
  <c r="E232" i="1"/>
  <c r="E231" i="1"/>
  <c r="E230" i="1"/>
  <c r="E229" i="1"/>
  <c r="E228" i="1"/>
  <c r="E227" i="1"/>
  <c r="E226" i="1"/>
  <c r="E225" i="1"/>
  <c r="H224" i="1"/>
  <c r="E224" i="1"/>
  <c r="E222" i="1"/>
  <c r="E221" i="1"/>
  <c r="E220" i="1"/>
  <c r="E219" i="1"/>
  <c r="E217" i="1"/>
  <c r="M216" i="1"/>
  <c r="E216" i="1"/>
  <c r="E215" i="1"/>
  <c r="E214" i="1"/>
  <c r="E213" i="1"/>
  <c r="E212" i="1"/>
  <c r="E211" i="1"/>
  <c r="E210" i="1"/>
  <c r="E209" i="1"/>
  <c r="E208" i="1"/>
  <c r="E207" i="1"/>
  <c r="H206" i="1"/>
  <c r="E206" i="1"/>
  <c r="E204" i="1"/>
  <c r="E203" i="1"/>
  <c r="E202" i="1"/>
  <c r="E201" i="1"/>
  <c r="E199" i="1"/>
  <c r="M198" i="1"/>
  <c r="E198" i="1"/>
  <c r="E197" i="1"/>
  <c r="E196" i="1"/>
  <c r="E195" i="1"/>
  <c r="E194" i="1"/>
  <c r="E193" i="1"/>
  <c r="E192" i="1"/>
  <c r="E191" i="1"/>
  <c r="E190" i="1"/>
  <c r="E189" i="1"/>
  <c r="H188" i="1"/>
  <c r="E188" i="1"/>
  <c r="E186" i="1"/>
  <c r="E185" i="1"/>
  <c r="E184" i="1"/>
  <c r="E183" i="1"/>
  <c r="E181" i="1"/>
  <c r="M180" i="1"/>
  <c r="E180" i="1"/>
  <c r="E179" i="1"/>
  <c r="E178" i="1"/>
  <c r="E177" i="1"/>
  <c r="E176" i="1"/>
  <c r="E175" i="1"/>
  <c r="E174" i="1"/>
  <c r="E173" i="1"/>
  <c r="E172" i="1"/>
  <c r="E171" i="1"/>
  <c r="H170" i="1"/>
  <c r="E170" i="1"/>
  <c r="E168" i="1"/>
  <c r="E167" i="1"/>
  <c r="E166" i="1"/>
  <c r="E165" i="1"/>
  <c r="E163" i="1"/>
  <c r="M162" i="1"/>
  <c r="E162" i="1"/>
  <c r="E161" i="1"/>
  <c r="E160" i="1"/>
  <c r="E159" i="1"/>
  <c r="E158" i="1"/>
  <c r="E157" i="1"/>
  <c r="E156" i="1"/>
  <c r="E155" i="1"/>
  <c r="E154" i="1"/>
  <c r="E153" i="1"/>
  <c r="H152" i="1"/>
  <c r="E152" i="1"/>
  <c r="E150" i="1"/>
  <c r="E149" i="1"/>
  <c r="E148" i="1"/>
  <c r="E147" i="1"/>
  <c r="E145" i="1"/>
  <c r="M144" i="1"/>
  <c r="E144" i="1"/>
  <c r="E143" i="1"/>
  <c r="E142" i="1"/>
  <c r="E141" i="1"/>
  <c r="E140" i="1"/>
  <c r="E139" i="1"/>
  <c r="E138" i="1"/>
  <c r="E137" i="1"/>
  <c r="E136" i="1"/>
  <c r="E135" i="1"/>
  <c r="H134" i="1"/>
  <c r="E134" i="1"/>
  <c r="E132" i="1"/>
  <c r="E131" i="1"/>
  <c r="E130" i="1"/>
  <c r="E129" i="1"/>
  <c r="E127" i="1"/>
  <c r="M126" i="1"/>
  <c r="E126" i="1"/>
  <c r="E125" i="1"/>
  <c r="E124" i="1"/>
  <c r="E123" i="1"/>
  <c r="E122" i="1"/>
  <c r="E121" i="1"/>
  <c r="E120" i="1"/>
  <c r="E119" i="1"/>
  <c r="E118" i="1"/>
  <c r="E117" i="1"/>
  <c r="H116" i="1"/>
  <c r="E116" i="1"/>
  <c r="E114" i="1"/>
  <c r="E113" i="1"/>
  <c r="E112" i="1"/>
  <c r="E111" i="1"/>
  <c r="E109" i="1"/>
  <c r="M108" i="1"/>
  <c r="E108" i="1"/>
  <c r="E107" i="1"/>
  <c r="E106" i="1"/>
  <c r="E105" i="1"/>
  <c r="E104" i="1"/>
  <c r="E103" i="1"/>
  <c r="E102" i="1"/>
  <c r="E101" i="1"/>
  <c r="E100" i="1"/>
  <c r="E99" i="1"/>
  <c r="H98" i="1"/>
  <c r="E98" i="1"/>
  <c r="E96" i="1"/>
  <c r="E95" i="1"/>
  <c r="E94" i="1"/>
  <c r="E93" i="1"/>
  <c r="E91" i="1"/>
  <c r="M90" i="1"/>
  <c r="E90" i="1"/>
  <c r="E89" i="1"/>
  <c r="E88" i="1"/>
  <c r="E87" i="1"/>
  <c r="E86" i="1"/>
  <c r="E85" i="1"/>
  <c r="E84" i="1"/>
  <c r="E83" i="1"/>
  <c r="E82" i="1"/>
  <c r="E81" i="1"/>
  <c r="H80" i="1"/>
  <c r="E80" i="1"/>
  <c r="E78" i="1"/>
  <c r="E77" i="1"/>
  <c r="E76" i="1"/>
  <c r="E75" i="1"/>
  <c r="E73" i="1"/>
  <c r="M72" i="1"/>
  <c r="E72" i="1"/>
  <c r="E71" i="1"/>
  <c r="E70" i="1"/>
  <c r="E69" i="1"/>
  <c r="E68" i="1"/>
  <c r="E67" i="1"/>
  <c r="E66" i="1"/>
  <c r="E65" i="1"/>
  <c r="E64" i="1"/>
  <c r="E63" i="1"/>
  <c r="H62" i="1"/>
  <c r="E62" i="1"/>
  <c r="E60" i="1"/>
  <c r="E59" i="1"/>
  <c r="E58" i="1"/>
  <c r="E57" i="1"/>
  <c r="E55" i="1"/>
  <c r="M54" i="1"/>
  <c r="E54" i="1"/>
  <c r="E53" i="1"/>
  <c r="E52" i="1"/>
  <c r="E51" i="1"/>
  <c r="E50" i="1"/>
  <c r="E49" i="1"/>
  <c r="E48" i="1"/>
  <c r="E47" i="1"/>
  <c r="E46" i="1"/>
  <c r="E45" i="1"/>
  <c r="H44" i="1"/>
  <c r="E44" i="1"/>
  <c r="E42" i="1"/>
  <c r="E41" i="1"/>
  <c r="E40" i="1"/>
  <c r="M39" i="1"/>
  <c r="M50" i="1" s="1"/>
  <c r="E39" i="1"/>
  <c r="D38" i="1"/>
  <c r="M22" i="1"/>
  <c r="M49" i="1" l="1"/>
  <c r="M52" i="1" s="1"/>
  <c r="D56" i="1"/>
  <c r="B38" i="1"/>
  <c r="M40" i="1"/>
  <c r="C38" i="1"/>
  <c r="I44" i="1" s="1"/>
  <c r="J44" i="1" s="1"/>
  <c r="M48" i="1"/>
  <c r="E37" i="1"/>
  <c r="E35" i="1"/>
  <c r="E34" i="1"/>
  <c r="E33" i="1"/>
  <c r="E32" i="1"/>
  <c r="E31" i="1"/>
  <c r="M66" i="1" l="1"/>
  <c r="M58" i="1"/>
  <c r="B56" i="1"/>
  <c r="M57" i="1"/>
  <c r="D74" i="1"/>
  <c r="M44" i="1"/>
  <c r="M41" i="1"/>
  <c r="H26" i="1"/>
  <c r="E30" i="1"/>
  <c r="M68" i="1" l="1"/>
  <c r="M67" i="1"/>
  <c r="M70" i="1" s="1"/>
  <c r="M76" i="1"/>
  <c r="B74" i="1"/>
  <c r="M75" i="1"/>
  <c r="M84" i="1"/>
  <c r="M59" i="1"/>
  <c r="C56" i="1"/>
  <c r="I62" i="1" s="1"/>
  <c r="J62" i="1" s="1"/>
  <c r="D92" i="1"/>
  <c r="M36" i="1"/>
  <c r="E36" i="1"/>
  <c r="E29" i="1"/>
  <c r="M85" i="1" l="1"/>
  <c r="M88" i="1" s="1"/>
  <c r="M86" i="1"/>
  <c r="M80" i="1"/>
  <c r="M77" i="1"/>
  <c r="M93" i="1"/>
  <c r="C92" i="1"/>
  <c r="I98" i="1" s="1"/>
  <c r="J98" i="1" s="1"/>
  <c r="M94" i="1"/>
  <c r="B92" i="1"/>
  <c r="M102" i="1"/>
  <c r="D128" i="1"/>
  <c r="M62" i="1"/>
  <c r="D110" i="1"/>
  <c r="C74" i="1"/>
  <c r="I80" i="1" s="1"/>
  <c r="J80" i="1" s="1"/>
  <c r="E28" i="1"/>
  <c r="E27" i="1"/>
  <c r="E26" i="1"/>
  <c r="E24" i="1"/>
  <c r="E23" i="1"/>
  <c r="E22" i="1"/>
  <c r="E21" i="1"/>
  <c r="D20" i="1"/>
  <c r="A19" i="1"/>
  <c r="M130" i="1" l="1"/>
  <c r="M138" i="1"/>
  <c r="B128" i="1"/>
  <c r="M129" i="1"/>
  <c r="M104" i="1"/>
  <c r="M103" i="1"/>
  <c r="M106" i="1" s="1"/>
  <c r="M111" i="1"/>
  <c r="M120" i="1"/>
  <c r="C110" i="1"/>
  <c r="I116" i="1" s="1"/>
  <c r="J116" i="1" s="1"/>
  <c r="M112" i="1"/>
  <c r="B110" i="1"/>
  <c r="D146" i="1"/>
  <c r="D182" i="1"/>
  <c r="D164" i="1"/>
  <c r="M95" i="1"/>
  <c r="M98" i="1"/>
  <c r="M30" i="1"/>
  <c r="M21" i="1"/>
  <c r="B20" i="1"/>
  <c r="M131" i="1" l="1"/>
  <c r="M121" i="1"/>
  <c r="M124" i="1" s="1"/>
  <c r="M122" i="1"/>
  <c r="M184" i="1"/>
  <c r="B182" i="1"/>
  <c r="M183" i="1"/>
  <c r="M192" i="1"/>
  <c r="C128" i="1"/>
  <c r="I134" i="1" s="1"/>
  <c r="J134" i="1" s="1"/>
  <c r="M174" i="1"/>
  <c r="C164" i="1"/>
  <c r="I170" i="1" s="1"/>
  <c r="J170" i="1" s="1"/>
  <c r="M166" i="1"/>
  <c r="B164" i="1"/>
  <c r="M165" i="1"/>
  <c r="M156" i="1"/>
  <c r="C146" i="1"/>
  <c r="I152" i="1" s="1"/>
  <c r="J152" i="1" s="1"/>
  <c r="M148" i="1"/>
  <c r="B146" i="1"/>
  <c r="M147" i="1"/>
  <c r="D200" i="1"/>
  <c r="M116" i="1"/>
  <c r="M113" i="1"/>
  <c r="M139" i="1"/>
  <c r="M142" i="1" s="1"/>
  <c r="M140" i="1"/>
  <c r="M32" i="1"/>
  <c r="M31" i="1"/>
  <c r="M34" i="1" s="1"/>
  <c r="M23" i="1"/>
  <c r="C20" i="1"/>
  <c r="I26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201" i="1" l="1"/>
  <c r="M210" i="1"/>
  <c r="M202" i="1"/>
  <c r="B200" i="1"/>
  <c r="C200" i="1" s="1"/>
  <c r="I206" i="1" s="1"/>
  <c r="J206" i="1" s="1"/>
  <c r="D218" i="1"/>
  <c r="M185" i="1"/>
  <c r="M157" i="1"/>
  <c r="M160" i="1" s="1"/>
  <c r="M158" i="1"/>
  <c r="M176" i="1"/>
  <c r="M175" i="1"/>
  <c r="M178" i="1" s="1"/>
  <c r="C182" i="1"/>
  <c r="I188" i="1" s="1"/>
  <c r="J188" i="1" s="1"/>
  <c r="D236" i="1"/>
  <c r="M152" i="1"/>
  <c r="M149" i="1"/>
  <c r="M170" i="1"/>
  <c r="M167" i="1"/>
  <c r="D254" i="1"/>
  <c r="M194" i="1"/>
  <c r="M193" i="1"/>
  <c r="M196" i="1" s="1"/>
  <c r="M134" i="1"/>
  <c r="M26" i="1"/>
  <c r="M188" i="1" l="1"/>
  <c r="M264" i="1"/>
  <c r="M256" i="1"/>
  <c r="B254" i="1"/>
  <c r="M255" i="1"/>
  <c r="D272" i="1"/>
  <c r="M246" i="1"/>
  <c r="M238" i="1"/>
  <c r="M237" i="1"/>
  <c r="B236" i="1"/>
  <c r="M219" i="1"/>
  <c r="B218" i="1"/>
  <c r="M228" i="1"/>
  <c r="M220" i="1"/>
  <c r="C218" i="1"/>
  <c r="I224" i="1" s="1"/>
  <c r="J224" i="1" s="1"/>
  <c r="M203" i="1"/>
  <c r="M206" i="1"/>
  <c r="M212" i="1"/>
  <c r="M211" i="1"/>
  <c r="M214" i="1" s="1"/>
  <c r="J26" i="1"/>
  <c r="M257" i="1" l="1"/>
  <c r="M239" i="1"/>
  <c r="M266" i="1"/>
  <c r="M265" i="1"/>
  <c r="M268" i="1" s="1"/>
  <c r="M247" i="1"/>
  <c r="M250" i="1" s="1"/>
  <c r="M248" i="1"/>
  <c r="C236" i="1"/>
  <c r="I242" i="1" s="1"/>
  <c r="J242" i="1" s="1"/>
  <c r="M242" i="1" s="1"/>
  <c r="C254" i="1"/>
  <c r="I260" i="1" s="1"/>
  <c r="J260" i="1" s="1"/>
  <c r="M260" i="1" s="1"/>
  <c r="M224" i="1"/>
  <c r="M221" i="1"/>
  <c r="M229" i="1"/>
  <c r="M232" i="1" s="1"/>
  <c r="M230" i="1"/>
  <c r="M282" i="1"/>
  <c r="M274" i="1"/>
  <c r="B272" i="1"/>
  <c r="M273" i="1"/>
  <c r="D290" i="1"/>
  <c r="M275" i="1" l="1"/>
  <c r="C272" i="1"/>
  <c r="I278" i="1" s="1"/>
  <c r="J278" i="1" s="1"/>
  <c r="M278" i="1" s="1"/>
  <c r="M292" i="1"/>
  <c r="B290" i="1"/>
  <c r="C290" i="1" s="1"/>
  <c r="I296" i="1" s="1"/>
  <c r="J296" i="1" s="1"/>
  <c r="M291" i="1"/>
  <c r="M300" i="1"/>
  <c r="D308" i="1"/>
  <c r="M284" i="1"/>
  <c r="M283" i="1"/>
  <c r="M286" i="1" s="1"/>
  <c r="M301" i="1" l="1"/>
  <c r="M304" i="1" s="1"/>
  <c r="M302" i="1"/>
  <c r="M309" i="1"/>
  <c r="M318" i="1"/>
  <c r="C308" i="1"/>
  <c r="I314" i="1" s="1"/>
  <c r="J314" i="1" s="1"/>
  <c r="M310" i="1"/>
  <c r="B308" i="1"/>
  <c r="D326" i="1"/>
  <c r="M293" i="1"/>
  <c r="M296" i="1"/>
  <c r="M320" i="1" l="1"/>
  <c r="M319" i="1"/>
  <c r="M322" i="1" s="1"/>
  <c r="M327" i="1"/>
  <c r="B326" i="1"/>
  <c r="M336" i="1"/>
  <c r="C326" i="1"/>
  <c r="I332" i="1" s="1"/>
  <c r="J332" i="1" s="1"/>
  <c r="M328" i="1"/>
  <c r="D344" i="1"/>
  <c r="M314" i="1"/>
  <c r="M311" i="1"/>
  <c r="M332" i="1" l="1"/>
  <c r="M329" i="1"/>
  <c r="M337" i="1"/>
  <c r="M340" i="1" s="1"/>
  <c r="M338" i="1"/>
  <c r="M354" i="1"/>
  <c r="B344" i="1"/>
  <c r="C344" i="1" s="1"/>
  <c r="I350" i="1" s="1"/>
  <c r="J350" i="1" s="1"/>
  <c r="M345" i="1"/>
  <c r="M346" i="1"/>
  <c r="D362" i="1"/>
  <c r="M372" i="1" l="1"/>
  <c r="M364" i="1"/>
  <c r="B362" i="1"/>
  <c r="M363" i="1"/>
  <c r="D380" i="1"/>
  <c r="M355" i="1"/>
  <c r="M358" i="1" s="1"/>
  <c r="M356" i="1"/>
  <c r="M350" i="1"/>
  <c r="M347" i="1"/>
  <c r="M365" i="1" l="1"/>
  <c r="M374" i="1"/>
  <c r="M373" i="1"/>
  <c r="M376" i="1" s="1"/>
  <c r="M390" i="1"/>
  <c r="C380" i="1"/>
  <c r="I386" i="1" s="1"/>
  <c r="J386" i="1" s="1"/>
  <c r="M381" i="1"/>
  <c r="M382" i="1"/>
  <c r="B380" i="1"/>
  <c r="D398" i="1"/>
  <c r="C362" i="1"/>
  <c r="I368" i="1" s="1"/>
  <c r="J368" i="1" s="1"/>
  <c r="M368" i="1" s="1"/>
  <c r="M400" i="1" l="1"/>
  <c r="B398" i="1"/>
  <c r="C398" i="1" s="1"/>
  <c r="I404" i="1" s="1"/>
  <c r="J404" i="1" s="1"/>
  <c r="M399" i="1"/>
  <c r="M408" i="1"/>
  <c r="M386" i="1"/>
  <c r="M383" i="1"/>
  <c r="M392" i="1"/>
  <c r="M391" i="1"/>
  <c r="M394" i="1" s="1"/>
  <c r="M410" i="1" l="1"/>
  <c r="M409" i="1"/>
  <c r="M412" i="1" s="1"/>
  <c r="M404" i="1"/>
  <c r="M401" i="1"/>
</calcChain>
</file>

<file path=xl/sharedStrings.xml><?xml version="1.0" encoding="utf-8"?>
<sst xmlns="http://schemas.openxmlformats.org/spreadsheetml/2006/main" count="920" uniqueCount="254">
  <si>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</si>
  <si>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</si>
  <si>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</si>
  <si>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</si>
  <si>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</si>
  <si>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</si>
  <si>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</si>
  <si>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</si>
  <si>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</si>
  <si>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</si>
  <si>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</si>
  <si>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</si>
  <si>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</si>
  <si>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</si>
  <si>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</si>
  <si>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</si>
  <si>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</si>
  <si>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</si>
  <si>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</si>
  <si>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</si>
  <si>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</si>
  <si>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</si>
  <si>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</si>
  <si>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</si>
  <si>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</si>
  <si>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</si>
  <si>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</si>
  <si>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</si>
  <si>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</si>
  <si>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</si>
  <si>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</si>
  <si>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</si>
  <si>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</si>
  <si>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</si>
  <si>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</si>
  <si>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</si>
  <si>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</si>
  <si>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</si>
  <si>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</si>
  <si>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</si>
  <si>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</si>
  <si>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</si>
  <si>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</si>
  <si>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</si>
  <si>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</si>
  <si>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</si>
  <si>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</si>
  <si>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</si>
  <si>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</si>
  <si>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</si>
  <si>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</si>
  <si>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</si>
  <si>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</si>
  <si>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</si>
  <si>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</si>
  <si>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</si>
  <si>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</si>
  <si>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</si>
  <si>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</si>
  <si>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</si>
  <si>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</si>
  <si>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</si>
  <si>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</si>
  <si>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</si>
  <si>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</si>
  <si>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</si>
  <si>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</si>
  <si>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</si>
  <si>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</si>
  <si>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</si>
  <si>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</si>
  <si>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</si>
  <si>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</si>
  <si>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</si>
  <si>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</si>
  <si>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</si>
  <si>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</si>
  <si>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</si>
  <si>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</si>
  <si>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</si>
  <si>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</si>
  <si>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</si>
  <si>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</si>
  <si>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</si>
  <si>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</si>
  <si>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</si>
  <si>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</si>
  <si>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</si>
  <si>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</si>
  <si>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</si>
  <si>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</si>
  <si>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</si>
  <si>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</si>
  <si>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</si>
  <si>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</si>
  <si>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</si>
  <si>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</si>
  <si>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</si>
  <si>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</si>
  <si>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</si>
  <si>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</si>
  <si>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</si>
  <si>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</si>
  <si>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</si>
  <si>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</si>
  <si>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</si>
  <si>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</si>
  <si>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</si>
  <si>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</si>
  <si>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</si>
  <si>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</si>
  <si>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</si>
  <si>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</si>
  <si>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</si>
  <si>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</si>
  <si>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</si>
  <si>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</si>
  <si>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</si>
  <si>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</si>
  <si>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</si>
  <si>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</si>
  <si>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</si>
  <si>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</si>
  <si>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</si>
  <si>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</si>
  <si>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</si>
  <si>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</si>
  <si>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</si>
  <si>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</si>
  <si>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</si>
  <si>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</si>
  <si>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</si>
  <si>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</si>
  <si>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</si>
  <si>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</si>
  <si>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</si>
  <si>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</si>
  <si>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</si>
  <si>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</si>
  <si>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</si>
  <si>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</si>
  <si>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</si>
  <si>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</si>
  <si>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</si>
  <si>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</si>
  <si>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</si>
  <si>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</si>
  <si>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</si>
  <si>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</si>
  <si>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</si>
  <si>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</si>
  <si>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</si>
  <si>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</si>
  <si>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</si>
  <si>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</si>
  <si>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</si>
  <si>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</si>
  <si>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</si>
  <si>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</si>
  <si>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</si>
  <si>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</si>
  <si>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</si>
  <si>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</si>
  <si>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</si>
  <si>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</si>
  <si>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</si>
  <si>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</si>
  <si>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</si>
  <si>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</si>
  <si>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</si>
  <si>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</si>
  <si>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</si>
  <si>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</si>
  <si>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</si>
  <si>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</si>
  <si>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</si>
  <si>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</si>
  <si>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</si>
  <si>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</si>
  <si>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</si>
  <si>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</si>
  <si>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</si>
  <si>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</si>
  <si>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</si>
  <si>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</si>
  <si>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</si>
  <si>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</si>
  <si>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</si>
  <si>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</si>
  <si>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</si>
  <si>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</si>
  <si>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</si>
  <si>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</si>
  <si>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</si>
  <si>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</si>
  <si>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</si>
  <si>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</si>
  <si>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</si>
  <si>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</si>
  <si>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</si>
  <si>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</si>
  <si>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</si>
  <si>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</si>
  <si>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</si>
  <si>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</si>
  <si>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</si>
  <si>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</si>
  <si>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</si>
  <si>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</si>
  <si>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</si>
  <si>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</si>
  <si>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</si>
  <si>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</si>
  <si>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</si>
  <si>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</si>
  <si>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</si>
  <si>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</si>
  <si>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</si>
  <si>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</si>
  <si>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</si>
  <si>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</si>
  <si>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</si>
  <si>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</si>
  <si>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</si>
  <si>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</si>
  <si>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</si>
  <si>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</si>
  <si>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</si>
  <si>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</si>
  <si>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</si>
  <si>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</si>
  <si>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</si>
  <si>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</si>
  <si>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</si>
  <si>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</si>
  <si>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</si>
  <si>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</si>
  <si>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</si>
  <si>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</si>
  <si>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</si>
  <si>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</si>
  <si>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</si>
  <si>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</si>
  <si>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</si>
  <si>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</si>
  <si>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</si>
  <si>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</si>
  <si>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</si>
  <si>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位置xy</t>
    <phoneticPr fontId="2" type="noConversion"/>
  </si>
  <si>
    <t>回收時間</t>
    <phoneticPr fontId="2" type="noConversion"/>
  </si>
  <si>
    <t>Shot4_purple</t>
  </si>
  <si>
    <t>Shot4_purple</t>
    <phoneticPr fontId="2" type="noConversion"/>
  </si>
  <si>
    <t>Empty</t>
  </si>
  <si>
    <t>Empty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</si>
</sst>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415"/>
  <sheetViews>
    <sheetView tabSelected="1" zoomScale="115" zoomScaleNormal="115" workbookViewId="0">
      <pane ySplit="1" topLeftCell="A35" activePane="bottomLeft" state="frozen"/>
      <selection pane="bottomLeft" activeCell="M45" sqref="M45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19" spans="1:60">
      <c r="A19" s="21">
        <f>G21*H21</f>
        <v>22</v>
      </c>
      <c r="B19" s="9"/>
      <c r="C19" s="9"/>
      <c r="D19" s="9"/>
      <c r="R19" s="12"/>
      <c r="S19" s="9"/>
      <c r="U19" s="12"/>
      <c r="X19" s="15"/>
      <c r="AE19" s="16"/>
      <c r="BH19" s="9"/>
    </row>
    <row r="20" spans="1:60">
      <c r="A20" s="9" t="s">
        <v>228</v>
      </c>
      <c r="B20" s="21">
        <f>QUOTIENT( D20-1,G21)+1</f>
        <v>1</v>
      </c>
      <c r="C20" s="21">
        <f>D20-(B20-1)*G21</f>
        <v>1</v>
      </c>
      <c r="D20" s="21">
        <f>COUNT($D$14:$D19)+1</f>
        <v>1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93</v>
      </c>
      <c r="G21" s="21">
        <v>11</v>
      </c>
      <c r="H21" s="21">
        <v>2</v>
      </c>
      <c r="J21" s="21">
        <v>16500</v>
      </c>
      <c r="M21" s="21">
        <f>J21+D20</f>
        <v>16501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 t="shared" ref="E22:E29" si="0">ROW(E22)</f>
        <v>22</v>
      </c>
      <c r="F22" s="9" t="s">
        <v>143</v>
      </c>
      <c r="G22" s="21">
        <v>164108</v>
      </c>
      <c r="H22" s="21">
        <v>99999</v>
      </c>
      <c r="M22" s="21">
        <f>IF(D20=G21*H21,H22,G22)</f>
        <v>164108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 t="shared" si="0"/>
        <v>23</v>
      </c>
      <c r="F23" s="9" t="s">
        <v>128</v>
      </c>
      <c r="G23" s="21">
        <v>0</v>
      </c>
      <c r="H23" s="21">
        <v>30</v>
      </c>
      <c r="M23" s="27">
        <f>IF(B20=1,G23,H23)</f>
        <v>0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si="0"/>
        <v>24</v>
      </c>
      <c r="F24" s="9" t="s">
        <v>96</v>
      </c>
      <c r="M24" s="21" t="s">
        <v>253</v>
      </c>
      <c r="R24" s="12"/>
      <c r="S24" s="9"/>
      <c r="U24" s="12"/>
      <c r="X24" s="15"/>
      <c r="AE24" s="16"/>
      <c r="BH24" s="9"/>
    </row>
    <row r="25" spans="1:60">
      <c r="A25" s="9"/>
      <c r="B25" s="9"/>
      <c r="F25" s="9" t="s">
        <v>119</v>
      </c>
      <c r="M25" s="21" t="s">
        <v>251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99</v>
      </c>
      <c r="G26" s="26">
        <v>4.4000000000000004</v>
      </c>
      <c r="H26" s="28">
        <f>G26*2/(G21-1)</f>
        <v>0.88000000000000012</v>
      </c>
      <c r="I26" s="27">
        <f>(C20-1)*H26+G26*-1</f>
        <v>-4.4000000000000004</v>
      </c>
      <c r="J26" s="27">
        <f>I26+H26/2</f>
        <v>-3.9600000000000004</v>
      </c>
      <c r="K26" s="9" t="s">
        <v>248</v>
      </c>
      <c r="M26" s="27" t="str">
        <f>IF(B20=1,I26,J26)&amp;",6"</f>
        <v>-4.4,6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30</v>
      </c>
      <c r="M27" s="26">
        <v>2.8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31</v>
      </c>
      <c r="L28" s="9" t="s">
        <v>135</v>
      </c>
      <c r="M28" s="21">
        <v>270</v>
      </c>
      <c r="R28" s="12"/>
      <c r="S28" s="9"/>
      <c r="U28" s="12"/>
      <c r="X28" s="15"/>
      <c r="AE28" s="16"/>
      <c r="BH28" s="9"/>
    </row>
    <row r="29" spans="1:60" s="21" customFormat="1">
      <c r="A29" s="9"/>
      <c r="B29" s="9"/>
      <c r="E29" s="21">
        <f t="shared" si="0"/>
        <v>29</v>
      </c>
      <c r="F29" s="9" t="s">
        <v>118</v>
      </c>
      <c r="J29" s="9"/>
      <c r="K29" s="9"/>
      <c r="L29" s="9"/>
      <c r="M29" s="21" t="b">
        <v>1</v>
      </c>
      <c r="N29" s="9"/>
      <c r="O29" s="9"/>
      <c r="P29" s="9"/>
      <c r="Q29" s="9"/>
      <c r="R29" s="12"/>
      <c r="S29" s="9"/>
      <c r="T29" s="9"/>
      <c r="U29" s="12"/>
      <c r="V29" s="12"/>
      <c r="W29" s="12"/>
      <c r="X29" s="15"/>
      <c r="Y29" s="15"/>
      <c r="Z29" s="15"/>
      <c r="AA29" s="15"/>
      <c r="AB29" s="15"/>
      <c r="AC29" s="15"/>
      <c r="AD29" s="15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</row>
    <row r="30" spans="1:60">
      <c r="E30" s="21">
        <f>ROW(E30)</f>
        <v>30</v>
      </c>
      <c r="F30" s="9" t="s">
        <v>249</v>
      </c>
      <c r="G30" s="21">
        <v>260</v>
      </c>
      <c r="H30" s="21">
        <v>1</v>
      </c>
      <c r="M30" s="21">
        <f>IF(D20=G21*H21,H30,G30)</f>
        <v>260</v>
      </c>
    </row>
    <row r="31" spans="1:60">
      <c r="A31" s="9"/>
      <c r="B31" s="9"/>
      <c r="E31" s="21">
        <f>ROW(E31)</f>
        <v>31</v>
      </c>
      <c r="F31" s="9" t="s">
        <v>102</v>
      </c>
      <c r="J31" s="21"/>
      <c r="M31" s="21">
        <f>M21*10+9</f>
        <v>165019</v>
      </c>
      <c r="R31" s="12"/>
      <c r="S31" s="9"/>
      <c r="U31" s="12"/>
      <c r="X31" s="15"/>
      <c r="AE31" s="16"/>
      <c r="BH31" s="9"/>
    </row>
    <row r="32" spans="1:60">
      <c r="A32" s="9"/>
      <c r="B32" s="9"/>
      <c r="E32" s="21">
        <f t="shared" ref="E32:E35" si="1">ROW(E32)</f>
        <v>32</v>
      </c>
      <c r="F32" s="9" t="s">
        <v>143</v>
      </c>
      <c r="M32" s="21">
        <f>M21</f>
        <v>16501</v>
      </c>
      <c r="R32" s="12"/>
      <c r="S32" s="9"/>
      <c r="U32" s="12"/>
      <c r="X32" s="15"/>
      <c r="AE32" s="16"/>
      <c r="BH32" s="9"/>
    </row>
    <row r="33" spans="1:60">
      <c r="A33" s="9"/>
      <c r="B33" s="9"/>
      <c r="E33" s="21">
        <f t="shared" si="1"/>
        <v>33</v>
      </c>
      <c r="F33" s="9" t="s">
        <v>127</v>
      </c>
      <c r="M33" s="27">
        <v>0</v>
      </c>
      <c r="R33" s="12"/>
      <c r="S33" s="9"/>
      <c r="U33" s="12"/>
      <c r="X33" s="15"/>
      <c r="AE33" s="16"/>
      <c r="BH33" s="9"/>
    </row>
    <row r="34" spans="1:60">
      <c r="A34" s="9"/>
      <c r="B34" s="9"/>
      <c r="E34" s="21">
        <f t="shared" si="1"/>
        <v>34</v>
      </c>
      <c r="F34" s="9" t="s">
        <v>143</v>
      </c>
      <c r="M34" s="21">
        <f>M31</f>
        <v>165019</v>
      </c>
      <c r="R34" s="12"/>
      <c r="S34" s="9"/>
      <c r="U34" s="12"/>
      <c r="X34" s="15"/>
      <c r="AE34" s="16"/>
      <c r="BH34" s="9"/>
    </row>
    <row r="35" spans="1:60">
      <c r="A35" s="9"/>
      <c r="B35" s="9"/>
      <c r="E35" s="21">
        <f t="shared" si="1"/>
        <v>35</v>
      </c>
      <c r="F35" s="9" t="s">
        <v>128</v>
      </c>
      <c r="M35" s="27">
        <v>0</v>
      </c>
      <c r="R35" s="12"/>
      <c r="S35" s="9"/>
      <c r="U35" s="12"/>
      <c r="X35" s="15"/>
      <c r="AE35" s="16"/>
      <c r="BH35" s="9"/>
    </row>
    <row r="36" spans="1:60">
      <c r="A36" s="9"/>
      <c r="B36" s="9"/>
      <c r="E36" s="21">
        <f>ROW(E36)</f>
        <v>36</v>
      </c>
      <c r="F36" s="9" t="s">
        <v>168</v>
      </c>
      <c r="M36" s="21">
        <f>J21</f>
        <v>16500</v>
      </c>
      <c r="R36" s="12"/>
      <c r="S36" s="9"/>
      <c r="U36" s="12"/>
      <c r="X36" s="15"/>
      <c r="AE36" s="16"/>
      <c r="BH36" s="9"/>
    </row>
    <row r="37" spans="1:60">
      <c r="E37" s="21">
        <f>ROW(E37)</f>
        <v>37</v>
      </c>
      <c r="F37" s="9" t="s">
        <v>35</v>
      </c>
      <c r="M37" s="21">
        <v>20</v>
      </c>
    </row>
    <row r="38" spans="1:60">
      <c r="A38" s="21" t="s">
        <v>228</v>
      </c>
      <c r="B38" s="21">
        <f t="shared" ref="B38" si="2">QUOTIENT( D38-1,G39)+1</f>
        <v>1</v>
      </c>
      <c r="C38" s="21">
        <f t="shared" ref="C38" si="3">D38-(B38-1)*G39</f>
        <v>2</v>
      </c>
      <c r="D38" s="21">
        <f>COUNT($D$14:$D37)+1</f>
        <v>2</v>
      </c>
    </row>
    <row r="39" spans="1:60">
      <c r="E39" s="21">
        <f t="shared" ref="E39:E102" si="4">ROW(E39)</f>
        <v>39</v>
      </c>
      <c r="F39" s="9" t="s">
        <v>93</v>
      </c>
      <c r="G39" s="21">
        <v>11</v>
      </c>
      <c r="H39" s="21">
        <v>2</v>
      </c>
      <c r="J39" s="9">
        <v>16500</v>
      </c>
      <c r="M39" s="21">
        <f t="shared" ref="M39" si="5">J39+D38</f>
        <v>16502</v>
      </c>
    </row>
    <row r="40" spans="1:60">
      <c r="E40" s="21">
        <f t="shared" si="4"/>
        <v>40</v>
      </c>
      <c r="F40" s="9" t="s">
        <v>143</v>
      </c>
      <c r="G40" s="21">
        <v>164108</v>
      </c>
      <c r="H40" s="21">
        <v>99999</v>
      </c>
      <c r="M40" s="21">
        <f t="shared" ref="M40" si="6">IF(D38=G39*H39,H40,G40)</f>
        <v>164108</v>
      </c>
    </row>
    <row r="41" spans="1:60">
      <c r="E41" s="21">
        <f t="shared" si="4"/>
        <v>41</v>
      </c>
      <c r="F41" s="9" t="s">
        <v>128</v>
      </c>
      <c r="G41" s="21">
        <v>0</v>
      </c>
      <c r="H41" s="21">
        <v>30</v>
      </c>
      <c r="M41" s="21">
        <f t="shared" ref="M41" si="7">IF(B38=1,G41,H41)</f>
        <v>0</v>
      </c>
    </row>
    <row r="42" spans="1:60">
      <c r="E42" s="21">
        <f t="shared" si="4"/>
        <v>42</v>
      </c>
      <c r="F42" s="9" t="s">
        <v>29</v>
      </c>
      <c r="M42" s="21" t="s">
        <v>252</v>
      </c>
    </row>
    <row r="43" spans="1:60">
      <c r="F43" s="9" t="s">
        <v>119</v>
      </c>
      <c r="M43" s="21" t="s">
        <v>250</v>
      </c>
    </row>
    <row r="44" spans="1:60">
      <c r="E44" s="21">
        <f t="shared" si="4"/>
        <v>44</v>
      </c>
      <c r="F44" s="9" t="s">
        <v>99</v>
      </c>
      <c r="G44" s="21">
        <v>4.4000000000000004</v>
      </c>
      <c r="H44" s="21">
        <f t="shared" ref="H44" si="8">G44*2/(G39-1)</f>
        <v>0.88000000000000012</v>
      </c>
      <c r="I44" s="21">
        <f t="shared" ref="I44" si="9">(C38-1)*H44+G44*-1</f>
        <v>-3.5200000000000005</v>
      </c>
      <c r="J44" s="9">
        <f t="shared" ref="J44" si="10">I44+H44/2</f>
        <v>-3.0800000000000005</v>
      </c>
      <c r="K44" s="9" t="s">
        <v>137</v>
      </c>
      <c r="M44" s="21" t="str">
        <f t="shared" ref="M44" si="11">IF(B38=1,I44,J44)&amp;",6"</f>
        <v>-3.52,6</v>
      </c>
    </row>
    <row r="45" spans="1:60">
      <c r="E45" s="21">
        <f t="shared" si="4"/>
        <v>45</v>
      </c>
      <c r="F45" s="9" t="s">
        <v>30</v>
      </c>
      <c r="M45" s="26">
        <v>2.8</v>
      </c>
    </row>
    <row r="46" spans="1:60">
      <c r="E46" s="21">
        <f t="shared" si="4"/>
        <v>46</v>
      </c>
      <c r="F46" s="9" t="s">
        <v>31</v>
      </c>
      <c r="L46" s="9" t="s">
        <v>135</v>
      </c>
      <c r="M46" s="21">
        <v>270</v>
      </c>
    </row>
    <row r="47" spans="1:60">
      <c r="E47" s="21">
        <f t="shared" si="4"/>
        <v>47</v>
      </c>
      <c r="F47" s="9" t="s">
        <v>118</v>
      </c>
      <c r="M47" s="21" t="b">
        <v>1</v>
      </c>
    </row>
    <row r="48" spans="1:60">
      <c r="E48" s="21">
        <f t="shared" si="4"/>
        <v>48</v>
      </c>
      <c r="F48" s="9" t="s">
        <v>98</v>
      </c>
      <c r="G48" s="21">
        <v>260</v>
      </c>
      <c r="H48" s="21">
        <v>1</v>
      </c>
      <c r="M48" s="21">
        <f t="shared" ref="M48" si="12">IF(D38=G39*H39,H48,G48)</f>
        <v>260</v>
      </c>
    </row>
    <row r="49" spans="1:13">
      <c r="E49" s="21">
        <f t="shared" si="4"/>
        <v>49</v>
      </c>
      <c r="F49" s="9" t="s">
        <v>102</v>
      </c>
      <c r="M49" s="21">
        <f t="shared" ref="M49" si="13">M39*10+9</f>
        <v>165029</v>
      </c>
    </row>
    <row r="50" spans="1:13">
      <c r="E50" s="21">
        <f t="shared" si="4"/>
        <v>50</v>
      </c>
      <c r="F50" s="9" t="s">
        <v>143</v>
      </c>
      <c r="M50" s="21">
        <f t="shared" ref="M50" si="14">M39</f>
        <v>16502</v>
      </c>
    </row>
    <row r="51" spans="1:13">
      <c r="E51" s="21">
        <f t="shared" si="4"/>
        <v>51</v>
      </c>
      <c r="F51" s="9" t="s">
        <v>127</v>
      </c>
      <c r="M51" s="21">
        <v>0</v>
      </c>
    </row>
    <row r="52" spans="1:13">
      <c r="E52" s="21">
        <f t="shared" si="4"/>
        <v>52</v>
      </c>
      <c r="F52" s="9" t="s">
        <v>143</v>
      </c>
      <c r="M52" s="21">
        <f t="shared" ref="M52" si="15">M49</f>
        <v>165029</v>
      </c>
    </row>
    <row r="53" spans="1:13">
      <c r="E53" s="21">
        <f t="shared" si="4"/>
        <v>53</v>
      </c>
      <c r="F53" s="9" t="s">
        <v>128</v>
      </c>
      <c r="M53" s="21">
        <v>0</v>
      </c>
    </row>
    <row r="54" spans="1:13">
      <c r="E54" s="21">
        <f t="shared" si="4"/>
        <v>54</v>
      </c>
      <c r="F54" s="9" t="s">
        <v>168</v>
      </c>
      <c r="M54" s="21">
        <f t="shared" ref="M54" si="16">J39</f>
        <v>16500</v>
      </c>
    </row>
    <row r="55" spans="1:13">
      <c r="E55" s="21">
        <f t="shared" si="4"/>
        <v>55</v>
      </c>
      <c r="F55" s="9" t="s">
        <v>35</v>
      </c>
      <c r="M55" s="21">
        <v>20</v>
      </c>
    </row>
    <row r="56" spans="1:13">
      <c r="A56" s="21" t="s">
        <v>228</v>
      </c>
      <c r="B56" s="21">
        <f t="shared" ref="B56" si="17">QUOTIENT( D56-1,G57)+1</f>
        <v>1</v>
      </c>
      <c r="C56" s="21">
        <f t="shared" ref="C56" si="18">D56-(B56-1)*G57</f>
        <v>3</v>
      </c>
      <c r="D56" s="21">
        <f>COUNT($D$14:$D55)+1</f>
        <v>3</v>
      </c>
    </row>
    <row r="57" spans="1:13">
      <c r="E57" s="21">
        <f t="shared" ref="E57" si="19">ROW(E57)</f>
        <v>57</v>
      </c>
      <c r="F57" s="9" t="s">
        <v>93</v>
      </c>
      <c r="G57" s="21">
        <v>11</v>
      </c>
      <c r="H57" s="21">
        <v>2</v>
      </c>
      <c r="J57" s="9">
        <v>16500</v>
      </c>
      <c r="M57" s="21">
        <f t="shared" ref="M57" si="20">J57+D56</f>
        <v>16503</v>
      </c>
    </row>
    <row r="58" spans="1:13">
      <c r="E58" s="21">
        <f t="shared" si="4"/>
        <v>58</v>
      </c>
      <c r="F58" s="9" t="s">
        <v>143</v>
      </c>
      <c r="G58" s="21">
        <v>164108</v>
      </c>
      <c r="H58" s="21">
        <v>99999</v>
      </c>
      <c r="M58" s="21">
        <f t="shared" ref="M58" si="21">IF(D56=G57*H57,H58,G58)</f>
        <v>164108</v>
      </c>
    </row>
    <row r="59" spans="1:13">
      <c r="E59" s="21">
        <f t="shared" si="4"/>
        <v>59</v>
      </c>
      <c r="F59" s="9" t="s">
        <v>128</v>
      </c>
      <c r="G59" s="21">
        <v>0</v>
      </c>
      <c r="H59" s="21">
        <v>30</v>
      </c>
      <c r="M59" s="21">
        <f t="shared" ref="M59" si="22">IF(B56=1,G59,H59)</f>
        <v>0</v>
      </c>
    </row>
    <row r="60" spans="1:13">
      <c r="E60" s="21">
        <f t="shared" si="4"/>
        <v>60</v>
      </c>
      <c r="F60" s="9" t="s">
        <v>29</v>
      </c>
      <c r="M60" s="21" t="s">
        <v>252</v>
      </c>
    </row>
    <row r="61" spans="1:13">
      <c r="F61" s="9" t="s">
        <v>119</v>
      </c>
      <c r="M61" s="21" t="s">
        <v>250</v>
      </c>
    </row>
    <row r="62" spans="1:13">
      <c r="E62" s="21">
        <f t="shared" si="4"/>
        <v>62</v>
      </c>
      <c r="F62" s="9" t="s">
        <v>99</v>
      </c>
      <c r="G62" s="21">
        <v>4.4000000000000004</v>
      </c>
      <c r="H62" s="21">
        <f t="shared" ref="H62" si="23">G62*2/(G57-1)</f>
        <v>0.88000000000000012</v>
      </c>
      <c r="I62" s="21">
        <f t="shared" ref="I62" si="24">(C56-1)*H62+G62*-1</f>
        <v>-2.64</v>
      </c>
      <c r="J62" s="9">
        <f t="shared" ref="J62" si="25">I62+H62/2</f>
        <v>-2.2000000000000002</v>
      </c>
      <c r="K62" s="9" t="s">
        <v>137</v>
      </c>
      <c r="M62" s="21" t="str">
        <f t="shared" ref="M62" si="26">IF(B56=1,I62,J62)&amp;",6"</f>
        <v>-2.64,6</v>
      </c>
    </row>
    <row r="63" spans="1:13">
      <c r="E63" s="21">
        <f t="shared" si="4"/>
        <v>63</v>
      </c>
      <c r="F63" s="9" t="s">
        <v>30</v>
      </c>
      <c r="M63" s="21">
        <v>2.8</v>
      </c>
    </row>
    <row r="64" spans="1:13">
      <c r="E64" s="21">
        <f t="shared" si="4"/>
        <v>64</v>
      </c>
      <c r="F64" s="9" t="s">
        <v>31</v>
      </c>
      <c r="L64" s="9" t="s">
        <v>135</v>
      </c>
      <c r="M64" s="21">
        <v>270</v>
      </c>
    </row>
    <row r="65" spans="1:13">
      <c r="E65" s="21">
        <f t="shared" si="4"/>
        <v>65</v>
      </c>
      <c r="F65" s="9" t="s">
        <v>118</v>
      </c>
      <c r="M65" s="21" t="b">
        <v>1</v>
      </c>
    </row>
    <row r="66" spans="1:13">
      <c r="E66" s="21">
        <f t="shared" si="4"/>
        <v>66</v>
      </c>
      <c r="F66" s="9" t="s">
        <v>98</v>
      </c>
      <c r="G66" s="21">
        <v>260</v>
      </c>
      <c r="H66" s="21">
        <v>1</v>
      </c>
      <c r="M66" s="21">
        <f t="shared" ref="M66" si="27">IF(D56=G57*H57,H66,G66)</f>
        <v>260</v>
      </c>
    </row>
    <row r="67" spans="1:13">
      <c r="E67" s="21">
        <f t="shared" si="4"/>
        <v>67</v>
      </c>
      <c r="F67" s="9" t="s">
        <v>102</v>
      </c>
      <c r="M67" s="21">
        <f t="shared" ref="M67" si="28">M57*10+9</f>
        <v>165039</v>
      </c>
    </row>
    <row r="68" spans="1:13">
      <c r="E68" s="21">
        <f t="shared" si="4"/>
        <v>68</v>
      </c>
      <c r="F68" s="9" t="s">
        <v>143</v>
      </c>
      <c r="M68" s="21">
        <f t="shared" ref="M68" si="29">M57</f>
        <v>16503</v>
      </c>
    </row>
    <row r="69" spans="1:13">
      <c r="E69" s="21">
        <f t="shared" si="4"/>
        <v>69</v>
      </c>
      <c r="F69" s="9" t="s">
        <v>127</v>
      </c>
      <c r="M69" s="21">
        <v>0</v>
      </c>
    </row>
    <row r="70" spans="1:13">
      <c r="E70" s="21">
        <f t="shared" si="4"/>
        <v>70</v>
      </c>
      <c r="F70" s="9" t="s">
        <v>143</v>
      </c>
      <c r="M70" s="21">
        <f t="shared" ref="M70" si="30">M67</f>
        <v>165039</v>
      </c>
    </row>
    <row r="71" spans="1:13">
      <c r="E71" s="21">
        <f t="shared" si="4"/>
        <v>71</v>
      </c>
      <c r="F71" s="9" t="s">
        <v>128</v>
      </c>
      <c r="M71" s="21">
        <v>0</v>
      </c>
    </row>
    <row r="72" spans="1:13">
      <c r="E72" s="21">
        <f t="shared" si="4"/>
        <v>72</v>
      </c>
      <c r="F72" s="9" t="s">
        <v>168</v>
      </c>
      <c r="M72" s="21">
        <f t="shared" ref="M72" si="31">J57</f>
        <v>16500</v>
      </c>
    </row>
    <row r="73" spans="1:13">
      <c r="E73" s="21">
        <f t="shared" si="4"/>
        <v>73</v>
      </c>
      <c r="F73" s="9" t="s">
        <v>35</v>
      </c>
      <c r="M73" s="21">
        <v>20</v>
      </c>
    </row>
    <row r="74" spans="1:13">
      <c r="A74" s="21" t="s">
        <v>228</v>
      </c>
      <c r="B74" s="21">
        <f t="shared" ref="B74" si="32">QUOTIENT( D74-1,G75)+1</f>
        <v>1</v>
      </c>
      <c r="C74" s="21">
        <f t="shared" ref="C74" si="33">D74-(B74-1)*G75</f>
        <v>4</v>
      </c>
      <c r="D74" s="21">
        <f>COUNT($D$14:$D73)+1</f>
        <v>4</v>
      </c>
    </row>
    <row r="75" spans="1:13">
      <c r="E75" s="21">
        <f t="shared" ref="E75" si="34">ROW(E75)</f>
        <v>75</v>
      </c>
      <c r="F75" s="9" t="s">
        <v>93</v>
      </c>
      <c r="G75" s="21">
        <v>11</v>
      </c>
      <c r="H75" s="21">
        <v>2</v>
      </c>
      <c r="J75" s="9">
        <v>16500</v>
      </c>
      <c r="M75" s="21">
        <f t="shared" ref="M75" si="35">J75+D74</f>
        <v>16504</v>
      </c>
    </row>
    <row r="76" spans="1:13">
      <c r="E76" s="21">
        <f t="shared" si="4"/>
        <v>76</v>
      </c>
      <c r="F76" s="9" t="s">
        <v>143</v>
      </c>
      <c r="G76" s="21">
        <v>164108</v>
      </c>
      <c r="H76" s="21">
        <v>99999</v>
      </c>
      <c r="M76" s="21">
        <f t="shared" ref="M76" si="36">IF(D74=G75*H75,H76,G76)</f>
        <v>164108</v>
      </c>
    </row>
    <row r="77" spans="1:13">
      <c r="E77" s="21">
        <f t="shared" si="4"/>
        <v>77</v>
      </c>
      <c r="F77" s="9" t="s">
        <v>128</v>
      </c>
      <c r="G77" s="21">
        <v>0</v>
      </c>
      <c r="H77" s="21">
        <v>30</v>
      </c>
      <c r="M77" s="21">
        <f t="shared" ref="M77" si="37">IF(B74=1,G77,H77)</f>
        <v>0</v>
      </c>
    </row>
    <row r="78" spans="1:13">
      <c r="E78" s="21">
        <f t="shared" si="4"/>
        <v>78</v>
      </c>
      <c r="F78" s="9" t="s">
        <v>29</v>
      </c>
      <c r="M78" s="21" t="s">
        <v>252</v>
      </c>
    </row>
    <row r="79" spans="1:13">
      <c r="F79" s="9" t="s">
        <v>119</v>
      </c>
      <c r="M79" s="21" t="s">
        <v>250</v>
      </c>
    </row>
    <row r="80" spans="1:13">
      <c r="E80" s="21">
        <f t="shared" si="4"/>
        <v>80</v>
      </c>
      <c r="F80" s="9" t="s">
        <v>99</v>
      </c>
      <c r="G80" s="21">
        <v>4.4000000000000004</v>
      </c>
      <c r="H80" s="21">
        <f t="shared" ref="H80" si="38">G80*2/(G75-1)</f>
        <v>0.88000000000000012</v>
      </c>
      <c r="I80" s="21">
        <f t="shared" ref="I80" si="39">(C74-1)*H80+G80*-1</f>
        <v>-1.7599999999999998</v>
      </c>
      <c r="J80" s="9">
        <f t="shared" ref="J80" si="40">I80+H80/2</f>
        <v>-1.3199999999999998</v>
      </c>
      <c r="K80" s="9" t="s">
        <v>137</v>
      </c>
      <c r="M80" s="21" t="str">
        <f t="shared" ref="M80" si="41">IF(B74=1,I80,J80)&amp;",6"</f>
        <v>-1.76,6</v>
      </c>
    </row>
    <row r="81" spans="1:13">
      <c r="E81" s="21">
        <f t="shared" si="4"/>
        <v>81</v>
      </c>
      <c r="F81" s="9" t="s">
        <v>30</v>
      </c>
      <c r="M81" s="21">
        <v>2.8</v>
      </c>
    </row>
    <row r="82" spans="1:13">
      <c r="E82" s="21">
        <f t="shared" si="4"/>
        <v>82</v>
      </c>
      <c r="F82" s="9" t="s">
        <v>31</v>
      </c>
      <c r="L82" s="9" t="s">
        <v>135</v>
      </c>
      <c r="M82" s="21">
        <v>270</v>
      </c>
    </row>
    <row r="83" spans="1:13">
      <c r="E83" s="21">
        <f t="shared" si="4"/>
        <v>83</v>
      </c>
      <c r="F83" s="9" t="s">
        <v>118</v>
      </c>
      <c r="M83" s="21" t="b">
        <v>1</v>
      </c>
    </row>
    <row r="84" spans="1:13">
      <c r="E84" s="21">
        <f t="shared" si="4"/>
        <v>84</v>
      </c>
      <c r="F84" s="9" t="s">
        <v>98</v>
      </c>
      <c r="G84" s="21">
        <v>260</v>
      </c>
      <c r="H84" s="21">
        <v>1</v>
      </c>
      <c r="M84" s="21">
        <f t="shared" ref="M84" si="42">IF(D74=G75*H75,H84,G84)</f>
        <v>260</v>
      </c>
    </row>
    <row r="85" spans="1:13">
      <c r="E85" s="21">
        <f t="shared" si="4"/>
        <v>85</v>
      </c>
      <c r="F85" s="9" t="s">
        <v>102</v>
      </c>
      <c r="M85" s="21">
        <f t="shared" ref="M85" si="43">M75*10+9</f>
        <v>165049</v>
      </c>
    </row>
    <row r="86" spans="1:13">
      <c r="E86" s="21">
        <f t="shared" si="4"/>
        <v>86</v>
      </c>
      <c r="F86" s="9" t="s">
        <v>143</v>
      </c>
      <c r="M86" s="21">
        <f t="shared" ref="M86" si="44">M75</f>
        <v>16504</v>
      </c>
    </row>
    <row r="87" spans="1:13">
      <c r="E87" s="21">
        <f t="shared" si="4"/>
        <v>87</v>
      </c>
      <c r="F87" s="9" t="s">
        <v>127</v>
      </c>
      <c r="M87" s="21">
        <v>0</v>
      </c>
    </row>
    <row r="88" spans="1:13">
      <c r="E88" s="21">
        <f t="shared" si="4"/>
        <v>88</v>
      </c>
      <c r="F88" s="9" t="s">
        <v>143</v>
      </c>
      <c r="M88" s="21">
        <f t="shared" ref="M88" si="45">M85</f>
        <v>165049</v>
      </c>
    </row>
    <row r="89" spans="1:13">
      <c r="E89" s="21">
        <f t="shared" si="4"/>
        <v>89</v>
      </c>
      <c r="F89" s="9" t="s">
        <v>128</v>
      </c>
      <c r="M89" s="21">
        <v>0</v>
      </c>
    </row>
    <row r="90" spans="1:13">
      <c r="E90" s="21">
        <f t="shared" si="4"/>
        <v>90</v>
      </c>
      <c r="F90" s="9" t="s">
        <v>168</v>
      </c>
      <c r="M90" s="21">
        <f t="shared" ref="M90" si="46">J75</f>
        <v>16500</v>
      </c>
    </row>
    <row r="91" spans="1:13">
      <c r="E91" s="21">
        <f t="shared" si="4"/>
        <v>91</v>
      </c>
      <c r="F91" s="9" t="s">
        <v>35</v>
      </c>
      <c r="M91" s="21">
        <v>20</v>
      </c>
    </row>
    <row r="92" spans="1:13">
      <c r="A92" s="21" t="s">
        <v>228</v>
      </c>
      <c r="B92" s="21">
        <f t="shared" ref="B92" si="47">QUOTIENT( D92-1,G93)+1</f>
        <v>1</v>
      </c>
      <c r="C92" s="21">
        <f t="shared" ref="C92" si="48">D92-(B92-1)*G93</f>
        <v>5</v>
      </c>
      <c r="D92" s="21">
        <f>COUNT($D$14:$D91)+1</f>
        <v>5</v>
      </c>
    </row>
    <row r="93" spans="1:13">
      <c r="E93" s="21">
        <f t="shared" ref="E93" si="49">ROW(E93)</f>
        <v>93</v>
      </c>
      <c r="F93" s="9" t="s">
        <v>93</v>
      </c>
      <c r="G93" s="21">
        <v>11</v>
      </c>
      <c r="H93" s="21">
        <v>2</v>
      </c>
      <c r="J93" s="9">
        <v>16500</v>
      </c>
      <c r="M93" s="21">
        <f t="shared" ref="M93" si="50">J93+D92</f>
        <v>16505</v>
      </c>
    </row>
    <row r="94" spans="1:13">
      <c r="E94" s="21">
        <f t="shared" si="4"/>
        <v>94</v>
      </c>
      <c r="F94" s="9" t="s">
        <v>143</v>
      </c>
      <c r="G94" s="21">
        <v>164108</v>
      </c>
      <c r="H94" s="21">
        <v>99999</v>
      </c>
      <c r="M94" s="21">
        <f t="shared" ref="M94" si="51">IF(D92=G93*H93,H94,G94)</f>
        <v>164108</v>
      </c>
    </row>
    <row r="95" spans="1:13">
      <c r="E95" s="21">
        <f t="shared" si="4"/>
        <v>95</v>
      </c>
      <c r="F95" s="9" t="s">
        <v>128</v>
      </c>
      <c r="G95" s="21">
        <v>0</v>
      </c>
      <c r="H95" s="21">
        <v>30</v>
      </c>
      <c r="M95" s="21">
        <f t="shared" ref="M95" si="52">IF(B92=1,G95,H95)</f>
        <v>0</v>
      </c>
    </row>
    <row r="96" spans="1:13">
      <c r="E96" s="21">
        <f t="shared" si="4"/>
        <v>96</v>
      </c>
      <c r="F96" s="9" t="s">
        <v>29</v>
      </c>
      <c r="M96" s="21" t="s">
        <v>252</v>
      </c>
    </row>
    <row r="97" spans="1:13">
      <c r="F97" s="9" t="s">
        <v>119</v>
      </c>
      <c r="M97" s="21" t="s">
        <v>250</v>
      </c>
    </row>
    <row r="98" spans="1:13">
      <c r="E98" s="21">
        <f t="shared" si="4"/>
        <v>98</v>
      </c>
      <c r="F98" s="9" t="s">
        <v>99</v>
      </c>
      <c r="G98" s="21">
        <v>4.4000000000000004</v>
      </c>
      <c r="H98" s="21">
        <f t="shared" ref="H98" si="53">G98*2/(G93-1)</f>
        <v>0.88000000000000012</v>
      </c>
      <c r="I98" s="21">
        <f t="shared" ref="I98" si="54">(C92-1)*H98+G98*-1</f>
        <v>-0.87999999999999989</v>
      </c>
      <c r="J98" s="9">
        <f t="shared" ref="J98" si="55">I98+H98/2</f>
        <v>-0.43999999999999984</v>
      </c>
      <c r="K98" s="9" t="s">
        <v>137</v>
      </c>
      <c r="M98" s="21" t="str">
        <f t="shared" ref="M98" si="56">IF(B92=1,I98,J98)&amp;",6"</f>
        <v>-0.88,6</v>
      </c>
    </row>
    <row r="99" spans="1:13">
      <c r="E99" s="21">
        <f t="shared" si="4"/>
        <v>99</v>
      </c>
      <c r="F99" s="9" t="s">
        <v>30</v>
      </c>
      <c r="M99" s="21">
        <v>2.8</v>
      </c>
    </row>
    <row r="100" spans="1:13">
      <c r="E100" s="21">
        <f t="shared" si="4"/>
        <v>100</v>
      </c>
      <c r="F100" s="9" t="s">
        <v>31</v>
      </c>
      <c r="L100" s="9" t="s">
        <v>135</v>
      </c>
      <c r="M100" s="21">
        <v>270</v>
      </c>
    </row>
    <row r="101" spans="1:13">
      <c r="E101" s="21">
        <f t="shared" si="4"/>
        <v>101</v>
      </c>
      <c r="F101" s="9" t="s">
        <v>118</v>
      </c>
      <c r="M101" s="21" t="b">
        <v>1</v>
      </c>
    </row>
    <row r="102" spans="1:13">
      <c r="E102" s="21">
        <f t="shared" si="4"/>
        <v>102</v>
      </c>
      <c r="F102" s="9" t="s">
        <v>98</v>
      </c>
      <c r="G102" s="21">
        <v>260</v>
      </c>
      <c r="H102" s="21">
        <v>1</v>
      </c>
      <c r="M102" s="21">
        <f t="shared" ref="M102" si="57">IF(D92=G93*H93,H102,G102)</f>
        <v>260</v>
      </c>
    </row>
    <row r="103" spans="1:13">
      <c r="E103" s="21">
        <f t="shared" ref="E103:E163" si="58">ROW(E103)</f>
        <v>103</v>
      </c>
      <c r="F103" s="9" t="s">
        <v>102</v>
      </c>
      <c r="M103" s="21">
        <f t="shared" ref="M103" si="59">M93*10+9</f>
        <v>165059</v>
      </c>
    </row>
    <row r="104" spans="1:13">
      <c r="E104" s="21">
        <f t="shared" si="58"/>
        <v>104</v>
      </c>
      <c r="F104" s="9" t="s">
        <v>143</v>
      </c>
      <c r="M104" s="21">
        <f t="shared" ref="M104" si="60">M93</f>
        <v>16505</v>
      </c>
    </row>
    <row r="105" spans="1:13">
      <c r="E105" s="21">
        <f t="shared" si="58"/>
        <v>105</v>
      </c>
      <c r="F105" s="9" t="s">
        <v>127</v>
      </c>
      <c r="M105" s="21">
        <v>0</v>
      </c>
    </row>
    <row r="106" spans="1:13">
      <c r="E106" s="21">
        <f t="shared" si="58"/>
        <v>106</v>
      </c>
      <c r="F106" s="9" t="s">
        <v>143</v>
      </c>
      <c r="M106" s="21">
        <f t="shared" ref="M106" si="61">M103</f>
        <v>165059</v>
      </c>
    </row>
    <row r="107" spans="1:13">
      <c r="E107" s="21">
        <f t="shared" si="58"/>
        <v>107</v>
      </c>
      <c r="F107" s="9" t="s">
        <v>128</v>
      </c>
      <c r="M107" s="21">
        <v>0</v>
      </c>
    </row>
    <row r="108" spans="1:13">
      <c r="E108" s="21">
        <f t="shared" si="58"/>
        <v>108</v>
      </c>
      <c r="F108" s="9" t="s">
        <v>168</v>
      </c>
      <c r="M108" s="21">
        <f t="shared" ref="M108" si="62">J93</f>
        <v>16500</v>
      </c>
    </row>
    <row r="109" spans="1:13">
      <c r="E109" s="21">
        <f t="shared" si="58"/>
        <v>109</v>
      </c>
      <c r="F109" s="9" t="s">
        <v>35</v>
      </c>
      <c r="M109" s="21">
        <v>20</v>
      </c>
    </row>
    <row r="110" spans="1:13">
      <c r="A110" s="21" t="s">
        <v>228</v>
      </c>
      <c r="B110" s="21">
        <f t="shared" ref="B110" si="63">QUOTIENT( D110-1,G111)+1</f>
        <v>1</v>
      </c>
      <c r="C110" s="21">
        <f t="shared" ref="C110" si="64">D110-(B110-1)*G111</f>
        <v>6</v>
      </c>
      <c r="D110" s="21">
        <f>COUNT($D$14:$D109)+1</f>
        <v>6</v>
      </c>
    </row>
    <row r="111" spans="1:13">
      <c r="E111" s="21">
        <f t="shared" ref="E111:E174" si="65">ROW(E111)</f>
        <v>111</v>
      </c>
      <c r="F111" s="9" t="s">
        <v>93</v>
      </c>
      <c r="G111" s="21">
        <v>11</v>
      </c>
      <c r="H111" s="21">
        <v>2</v>
      </c>
      <c r="J111" s="9">
        <v>16500</v>
      </c>
      <c r="M111" s="21">
        <f t="shared" ref="M111" si="66">J111+D110</f>
        <v>16506</v>
      </c>
    </row>
    <row r="112" spans="1:13">
      <c r="E112" s="21">
        <f t="shared" si="65"/>
        <v>112</v>
      </c>
      <c r="F112" s="9" t="s">
        <v>143</v>
      </c>
      <c r="G112" s="21">
        <v>164108</v>
      </c>
      <c r="H112" s="21">
        <v>99999</v>
      </c>
      <c r="M112" s="21">
        <f t="shared" ref="M112" si="67">IF(D110=G111*H111,H112,G112)</f>
        <v>164108</v>
      </c>
    </row>
    <row r="113" spans="1:13">
      <c r="E113" s="21">
        <f t="shared" si="65"/>
        <v>113</v>
      </c>
      <c r="F113" s="9" t="s">
        <v>128</v>
      </c>
      <c r="G113" s="21">
        <v>0</v>
      </c>
      <c r="H113" s="21">
        <v>30</v>
      </c>
      <c r="M113" s="21">
        <f t="shared" ref="M113" si="68">IF(B110=1,G113,H113)</f>
        <v>0</v>
      </c>
    </row>
    <row r="114" spans="1:13">
      <c r="E114" s="21">
        <f t="shared" si="65"/>
        <v>114</v>
      </c>
      <c r="F114" s="9" t="s">
        <v>29</v>
      </c>
      <c r="M114" s="21" t="s">
        <v>252</v>
      </c>
    </row>
    <row r="115" spans="1:13">
      <c r="F115" s="9" t="s">
        <v>119</v>
      </c>
      <c r="M115" s="21" t="s">
        <v>250</v>
      </c>
    </row>
    <row r="116" spans="1:13">
      <c r="E116" s="21">
        <f t="shared" si="65"/>
        <v>116</v>
      </c>
      <c r="F116" s="9" t="s">
        <v>99</v>
      </c>
      <c r="G116" s="21">
        <v>4.4000000000000004</v>
      </c>
      <c r="H116" s="21">
        <f t="shared" ref="H116" si="69">G116*2/(G111-1)</f>
        <v>0.88000000000000012</v>
      </c>
      <c r="I116" s="21">
        <f t="shared" ref="I116" si="70">(C110-1)*H116+G116*-1</f>
        <v>0</v>
      </c>
      <c r="J116" s="9">
        <f t="shared" ref="J116" si="71">I116+H116/2</f>
        <v>0.44000000000000006</v>
      </c>
      <c r="K116" s="9" t="s">
        <v>137</v>
      </c>
      <c r="M116" s="21" t="str">
        <f t="shared" ref="M116" si="72">IF(B110=1,I116,J116)&amp;",6"</f>
        <v>0,6</v>
      </c>
    </row>
    <row r="117" spans="1:13">
      <c r="E117" s="21">
        <f t="shared" si="65"/>
        <v>117</v>
      </c>
      <c r="F117" s="9" t="s">
        <v>30</v>
      </c>
      <c r="M117" s="21">
        <v>2.8</v>
      </c>
    </row>
    <row r="118" spans="1:13">
      <c r="E118" s="21">
        <f t="shared" si="65"/>
        <v>118</v>
      </c>
      <c r="F118" s="9" t="s">
        <v>31</v>
      </c>
      <c r="L118" s="9" t="s">
        <v>135</v>
      </c>
      <c r="M118" s="21">
        <v>270</v>
      </c>
    </row>
    <row r="119" spans="1:13">
      <c r="E119" s="21">
        <f t="shared" si="65"/>
        <v>119</v>
      </c>
      <c r="F119" s="9" t="s">
        <v>118</v>
      </c>
      <c r="M119" s="21" t="b">
        <v>1</v>
      </c>
    </row>
    <row r="120" spans="1:13">
      <c r="E120" s="21">
        <f t="shared" si="65"/>
        <v>120</v>
      </c>
      <c r="F120" s="9" t="s">
        <v>98</v>
      </c>
      <c r="G120" s="21">
        <v>260</v>
      </c>
      <c r="H120" s="21">
        <v>1</v>
      </c>
      <c r="M120" s="21">
        <f t="shared" ref="M120" si="73">IF(D110=G111*H111,H120,G120)</f>
        <v>260</v>
      </c>
    </row>
    <row r="121" spans="1:13">
      <c r="E121" s="21">
        <f t="shared" si="65"/>
        <v>121</v>
      </c>
      <c r="F121" s="9" t="s">
        <v>102</v>
      </c>
      <c r="M121" s="21">
        <f t="shared" ref="M121" si="74">M111*10+9</f>
        <v>165069</v>
      </c>
    </row>
    <row r="122" spans="1:13">
      <c r="E122" s="21">
        <f t="shared" si="58"/>
        <v>122</v>
      </c>
      <c r="F122" s="9" t="s">
        <v>143</v>
      </c>
      <c r="M122" s="21">
        <f t="shared" ref="M122" si="75">M111</f>
        <v>16506</v>
      </c>
    </row>
    <row r="123" spans="1:13">
      <c r="E123" s="21">
        <f t="shared" si="58"/>
        <v>123</v>
      </c>
      <c r="F123" s="9" t="s">
        <v>127</v>
      </c>
      <c r="M123" s="21">
        <v>0</v>
      </c>
    </row>
    <row r="124" spans="1:13">
      <c r="E124" s="21">
        <f t="shared" si="58"/>
        <v>124</v>
      </c>
      <c r="F124" s="9" t="s">
        <v>143</v>
      </c>
      <c r="M124" s="21">
        <f t="shared" ref="M124" si="76">M121</f>
        <v>165069</v>
      </c>
    </row>
    <row r="125" spans="1:13">
      <c r="E125" s="21">
        <f t="shared" si="58"/>
        <v>125</v>
      </c>
      <c r="F125" s="9" t="s">
        <v>128</v>
      </c>
      <c r="M125" s="21">
        <v>0</v>
      </c>
    </row>
    <row r="126" spans="1:13">
      <c r="E126" s="21">
        <f t="shared" si="58"/>
        <v>126</v>
      </c>
      <c r="F126" s="9" t="s">
        <v>168</v>
      </c>
      <c r="M126" s="21">
        <f t="shared" ref="M126" si="77">J111</f>
        <v>16500</v>
      </c>
    </row>
    <row r="127" spans="1:13">
      <c r="E127" s="21">
        <f t="shared" si="58"/>
        <v>127</v>
      </c>
      <c r="F127" s="9" t="s">
        <v>35</v>
      </c>
      <c r="M127" s="21">
        <v>20</v>
      </c>
    </row>
    <row r="128" spans="1:13">
      <c r="A128" s="21" t="s">
        <v>228</v>
      </c>
      <c r="B128" s="21">
        <f t="shared" ref="B128" si="78">QUOTIENT( D128-1,G129)+1</f>
        <v>1</v>
      </c>
      <c r="C128" s="21">
        <f t="shared" ref="C128" si="79">D128-(B128-1)*G129</f>
        <v>7</v>
      </c>
      <c r="D128" s="21">
        <f>COUNT($D$14:$D127)+1</f>
        <v>7</v>
      </c>
    </row>
    <row r="129" spans="5:13">
      <c r="E129" s="21">
        <f t="shared" ref="E129" si="80">ROW(E129)</f>
        <v>129</v>
      </c>
      <c r="F129" s="9" t="s">
        <v>93</v>
      </c>
      <c r="G129" s="21">
        <v>11</v>
      </c>
      <c r="H129" s="21">
        <v>2</v>
      </c>
      <c r="J129" s="9">
        <v>16500</v>
      </c>
      <c r="M129" s="21">
        <f t="shared" ref="M129" si="81">J129+D128</f>
        <v>16507</v>
      </c>
    </row>
    <row r="130" spans="5:13">
      <c r="E130" s="21">
        <f t="shared" si="65"/>
        <v>130</v>
      </c>
      <c r="F130" s="9" t="s">
        <v>143</v>
      </c>
      <c r="G130" s="21">
        <v>164108</v>
      </c>
      <c r="H130" s="21">
        <v>99999</v>
      </c>
      <c r="M130" s="21">
        <f t="shared" ref="M130" si="82">IF(D128=G129*H129,H130,G130)</f>
        <v>164108</v>
      </c>
    </row>
    <row r="131" spans="5:13">
      <c r="E131" s="21">
        <f t="shared" si="65"/>
        <v>131</v>
      </c>
      <c r="F131" s="9" t="s">
        <v>128</v>
      </c>
      <c r="G131" s="21">
        <v>0</v>
      </c>
      <c r="H131" s="21">
        <v>30</v>
      </c>
      <c r="M131" s="21">
        <f t="shared" ref="M131" si="83">IF(B128=1,G131,H131)</f>
        <v>0</v>
      </c>
    </row>
    <row r="132" spans="5:13">
      <c r="E132" s="21">
        <f t="shared" si="65"/>
        <v>132</v>
      </c>
      <c r="F132" s="9" t="s">
        <v>29</v>
      </c>
      <c r="M132" s="21" t="s">
        <v>252</v>
      </c>
    </row>
    <row r="133" spans="5:13">
      <c r="F133" s="9" t="s">
        <v>119</v>
      </c>
      <c r="M133" s="21" t="s">
        <v>250</v>
      </c>
    </row>
    <row r="134" spans="5:13">
      <c r="E134" s="21">
        <f t="shared" si="65"/>
        <v>134</v>
      </c>
      <c r="F134" s="9" t="s">
        <v>99</v>
      </c>
      <c r="G134" s="21">
        <v>4.4000000000000004</v>
      </c>
      <c r="H134" s="21">
        <f t="shared" ref="H134" si="84">G134*2/(G129-1)</f>
        <v>0.88000000000000012</v>
      </c>
      <c r="I134" s="21">
        <f t="shared" ref="I134" si="85">(C128-1)*H134+G134*-1</f>
        <v>0.88000000000000078</v>
      </c>
      <c r="J134" s="9">
        <f t="shared" ref="J134" si="86">I134+H134/2</f>
        <v>1.3200000000000007</v>
      </c>
      <c r="K134" s="9" t="s">
        <v>137</v>
      </c>
      <c r="M134" s="21" t="str">
        <f t="shared" ref="M134" si="87">IF(B128=1,I134,J134)&amp;",6"</f>
        <v>0.880000000000001,6</v>
      </c>
    </row>
    <row r="135" spans="5:13">
      <c r="E135" s="21">
        <f t="shared" si="65"/>
        <v>135</v>
      </c>
      <c r="F135" s="9" t="s">
        <v>30</v>
      </c>
      <c r="M135" s="21">
        <v>2.8</v>
      </c>
    </row>
    <row r="136" spans="5:13">
      <c r="E136" s="21">
        <f t="shared" si="65"/>
        <v>136</v>
      </c>
      <c r="F136" s="9" t="s">
        <v>31</v>
      </c>
      <c r="L136" s="9" t="s">
        <v>135</v>
      </c>
      <c r="M136" s="21">
        <v>270</v>
      </c>
    </row>
    <row r="137" spans="5:13">
      <c r="E137" s="21">
        <f t="shared" si="65"/>
        <v>137</v>
      </c>
      <c r="F137" s="9" t="s">
        <v>118</v>
      </c>
      <c r="M137" s="21" t="b">
        <v>1</v>
      </c>
    </row>
    <row r="138" spans="5:13">
      <c r="E138" s="21">
        <f t="shared" si="65"/>
        <v>138</v>
      </c>
      <c r="F138" s="9" t="s">
        <v>98</v>
      </c>
      <c r="G138" s="21">
        <v>260</v>
      </c>
      <c r="H138" s="21">
        <v>1</v>
      </c>
      <c r="M138" s="21">
        <f t="shared" ref="M138" si="88">IF(D128=G129*H129,H138,G138)</f>
        <v>260</v>
      </c>
    </row>
    <row r="139" spans="5:13">
      <c r="E139" s="21">
        <f t="shared" si="65"/>
        <v>139</v>
      </c>
      <c r="F139" s="9" t="s">
        <v>102</v>
      </c>
      <c r="M139" s="21">
        <f t="shared" ref="M139" si="89">M129*10+9</f>
        <v>165079</v>
      </c>
    </row>
    <row r="140" spans="5:13">
      <c r="E140" s="21">
        <f t="shared" si="58"/>
        <v>140</v>
      </c>
      <c r="F140" s="9" t="s">
        <v>143</v>
      </c>
      <c r="M140" s="21">
        <f t="shared" ref="M140" si="90">M129</f>
        <v>16507</v>
      </c>
    </row>
    <row r="141" spans="5:13">
      <c r="E141" s="21">
        <f t="shared" si="58"/>
        <v>141</v>
      </c>
      <c r="F141" s="9" t="s">
        <v>127</v>
      </c>
      <c r="M141" s="21">
        <v>0</v>
      </c>
    </row>
    <row r="142" spans="5:13">
      <c r="E142" s="21">
        <f t="shared" si="58"/>
        <v>142</v>
      </c>
      <c r="F142" s="9" t="s">
        <v>143</v>
      </c>
      <c r="M142" s="21">
        <f t="shared" ref="M142" si="91">M139</f>
        <v>165079</v>
      </c>
    </row>
    <row r="143" spans="5:13">
      <c r="E143" s="21">
        <f t="shared" si="58"/>
        <v>143</v>
      </c>
      <c r="F143" s="9" t="s">
        <v>128</v>
      </c>
      <c r="M143" s="21">
        <v>0</v>
      </c>
    </row>
    <row r="144" spans="5:13">
      <c r="E144" s="21">
        <f t="shared" si="58"/>
        <v>144</v>
      </c>
      <c r="F144" s="9" t="s">
        <v>168</v>
      </c>
      <c r="M144" s="21">
        <f t="shared" ref="M144" si="92">J129</f>
        <v>16500</v>
      </c>
    </row>
    <row r="145" spans="1:13">
      <c r="E145" s="21">
        <f t="shared" si="58"/>
        <v>145</v>
      </c>
      <c r="F145" s="9" t="s">
        <v>35</v>
      </c>
      <c r="M145" s="21">
        <v>20</v>
      </c>
    </row>
    <row r="146" spans="1:13">
      <c r="A146" s="21" t="s">
        <v>228</v>
      </c>
      <c r="B146" s="21">
        <f t="shared" ref="B146" si="93">QUOTIENT( D146-1,G147)+1</f>
        <v>1</v>
      </c>
      <c r="C146" s="21">
        <f t="shared" ref="C146" si="94">D146-(B146-1)*G147</f>
        <v>8</v>
      </c>
      <c r="D146" s="21">
        <f>COUNT($D$14:$D145)+1</f>
        <v>8</v>
      </c>
    </row>
    <row r="147" spans="1:13">
      <c r="E147" s="21">
        <f t="shared" ref="E147" si="95">ROW(E147)</f>
        <v>147</v>
      </c>
      <c r="F147" s="9" t="s">
        <v>93</v>
      </c>
      <c r="G147" s="21">
        <v>11</v>
      </c>
      <c r="H147" s="21">
        <v>2</v>
      </c>
      <c r="J147" s="9">
        <v>16500</v>
      </c>
      <c r="M147" s="21">
        <f t="shared" ref="M147" si="96">J147+D146</f>
        <v>16508</v>
      </c>
    </row>
    <row r="148" spans="1:13">
      <c r="E148" s="21">
        <f t="shared" si="65"/>
        <v>148</v>
      </c>
      <c r="F148" s="9" t="s">
        <v>143</v>
      </c>
      <c r="G148" s="21">
        <v>164108</v>
      </c>
      <c r="H148" s="21">
        <v>99999</v>
      </c>
      <c r="M148" s="21">
        <f t="shared" ref="M148" si="97">IF(D146=G147*H147,H148,G148)</f>
        <v>164108</v>
      </c>
    </row>
    <row r="149" spans="1:13">
      <c r="E149" s="21">
        <f t="shared" si="65"/>
        <v>149</v>
      </c>
      <c r="F149" s="9" t="s">
        <v>128</v>
      </c>
      <c r="G149" s="21">
        <v>0</v>
      </c>
      <c r="H149" s="21">
        <v>30</v>
      </c>
      <c r="M149" s="21">
        <f t="shared" ref="M149" si="98">IF(B146=1,G149,H149)</f>
        <v>0</v>
      </c>
    </row>
    <row r="150" spans="1:13">
      <c r="E150" s="21">
        <f t="shared" si="65"/>
        <v>150</v>
      </c>
      <c r="F150" s="9" t="s">
        <v>29</v>
      </c>
      <c r="M150" s="21" t="s">
        <v>252</v>
      </c>
    </row>
    <row r="151" spans="1:13">
      <c r="F151" s="9" t="s">
        <v>119</v>
      </c>
      <c r="M151" s="21" t="s">
        <v>250</v>
      </c>
    </row>
    <row r="152" spans="1:13">
      <c r="E152" s="21">
        <f t="shared" si="65"/>
        <v>152</v>
      </c>
      <c r="F152" s="9" t="s">
        <v>99</v>
      </c>
      <c r="G152" s="21">
        <v>4.4000000000000004</v>
      </c>
      <c r="H152" s="21">
        <f t="shared" ref="H152" si="99">G152*2/(G147-1)</f>
        <v>0.88000000000000012</v>
      </c>
      <c r="I152" s="21">
        <f t="shared" ref="I152" si="100">(C146-1)*H152+G152*-1</f>
        <v>1.7600000000000007</v>
      </c>
      <c r="J152" s="9">
        <f t="shared" ref="J152" si="101">I152+H152/2</f>
        <v>2.2000000000000006</v>
      </c>
      <c r="K152" s="9" t="s">
        <v>137</v>
      </c>
      <c r="M152" s="21" t="str">
        <f t="shared" ref="M152" si="102">IF(B146=1,I152,J152)&amp;",6"</f>
        <v>1.76,6</v>
      </c>
    </row>
    <row r="153" spans="1:13">
      <c r="E153" s="21">
        <f t="shared" si="65"/>
        <v>153</v>
      </c>
      <c r="F153" s="9" t="s">
        <v>30</v>
      </c>
      <c r="M153" s="21">
        <v>2.8</v>
      </c>
    </row>
    <row r="154" spans="1:13">
      <c r="E154" s="21">
        <f t="shared" si="65"/>
        <v>154</v>
      </c>
      <c r="F154" s="9" t="s">
        <v>31</v>
      </c>
      <c r="L154" s="9" t="s">
        <v>135</v>
      </c>
      <c r="M154" s="21">
        <v>270</v>
      </c>
    </row>
    <row r="155" spans="1:13">
      <c r="E155" s="21">
        <f t="shared" si="65"/>
        <v>155</v>
      </c>
      <c r="F155" s="9" t="s">
        <v>118</v>
      </c>
      <c r="M155" s="21" t="b">
        <v>1</v>
      </c>
    </row>
    <row r="156" spans="1:13">
      <c r="E156" s="21">
        <f t="shared" si="65"/>
        <v>156</v>
      </c>
      <c r="F156" s="9" t="s">
        <v>98</v>
      </c>
      <c r="G156" s="21">
        <v>260</v>
      </c>
      <c r="H156" s="21">
        <v>1</v>
      </c>
      <c r="M156" s="21">
        <f t="shared" ref="M156" si="103">IF(D146=G147*H147,H156,G156)</f>
        <v>260</v>
      </c>
    </row>
    <row r="157" spans="1:13">
      <c r="E157" s="21">
        <f t="shared" si="65"/>
        <v>157</v>
      </c>
      <c r="F157" s="9" t="s">
        <v>102</v>
      </c>
      <c r="M157" s="21">
        <f t="shared" ref="M157" si="104">M147*10+9</f>
        <v>165089</v>
      </c>
    </row>
    <row r="158" spans="1:13">
      <c r="E158" s="21">
        <f t="shared" si="58"/>
        <v>158</v>
      </c>
      <c r="F158" s="9" t="s">
        <v>143</v>
      </c>
      <c r="M158" s="21">
        <f t="shared" ref="M158" si="105">M147</f>
        <v>16508</v>
      </c>
    </row>
    <row r="159" spans="1:13">
      <c r="E159" s="21">
        <f t="shared" si="58"/>
        <v>159</v>
      </c>
      <c r="F159" s="9" t="s">
        <v>127</v>
      </c>
      <c r="M159" s="21">
        <v>0</v>
      </c>
    </row>
    <row r="160" spans="1:13">
      <c r="E160" s="21">
        <f t="shared" si="58"/>
        <v>160</v>
      </c>
      <c r="F160" s="9" t="s">
        <v>143</v>
      </c>
      <c r="M160" s="21">
        <f t="shared" ref="M160" si="106">M157</f>
        <v>165089</v>
      </c>
    </row>
    <row r="161" spans="1:13">
      <c r="E161" s="21">
        <f t="shared" si="58"/>
        <v>161</v>
      </c>
      <c r="F161" s="9" t="s">
        <v>128</v>
      </c>
      <c r="M161" s="21">
        <v>0</v>
      </c>
    </row>
    <row r="162" spans="1:13">
      <c r="E162" s="21">
        <f t="shared" si="58"/>
        <v>162</v>
      </c>
      <c r="F162" s="9" t="s">
        <v>168</v>
      </c>
      <c r="M162" s="21">
        <f t="shared" ref="M162" si="107">J147</f>
        <v>16500</v>
      </c>
    </row>
    <row r="163" spans="1:13">
      <c r="E163" s="21">
        <f t="shared" si="58"/>
        <v>163</v>
      </c>
      <c r="F163" s="9" t="s">
        <v>35</v>
      </c>
      <c r="M163" s="21">
        <v>20</v>
      </c>
    </row>
    <row r="164" spans="1:13">
      <c r="A164" s="21" t="s">
        <v>228</v>
      </c>
      <c r="B164" s="21">
        <f t="shared" ref="B164" si="108">QUOTIENT( D164-1,G165)+1</f>
        <v>1</v>
      </c>
      <c r="C164" s="21">
        <f t="shared" ref="C164" si="109">D164-(B164-1)*G165</f>
        <v>9</v>
      </c>
      <c r="D164" s="21">
        <f>COUNT($D$14:$D163)+1</f>
        <v>9</v>
      </c>
    </row>
    <row r="165" spans="1:13">
      <c r="E165" s="21">
        <f t="shared" ref="E165" si="110">ROW(E165)</f>
        <v>165</v>
      </c>
      <c r="F165" s="9" t="s">
        <v>93</v>
      </c>
      <c r="G165" s="21">
        <v>11</v>
      </c>
      <c r="H165" s="21">
        <v>2</v>
      </c>
      <c r="J165" s="9">
        <v>16500</v>
      </c>
      <c r="M165" s="21">
        <f t="shared" ref="M165" si="111">J165+D164</f>
        <v>16509</v>
      </c>
    </row>
    <row r="166" spans="1:13">
      <c r="E166" s="21">
        <f t="shared" si="65"/>
        <v>166</v>
      </c>
      <c r="F166" s="9" t="s">
        <v>143</v>
      </c>
      <c r="G166" s="21">
        <v>164108</v>
      </c>
      <c r="H166" s="21">
        <v>99999</v>
      </c>
      <c r="M166" s="21">
        <f t="shared" ref="M166" si="112">IF(D164=G165*H165,H166,G166)</f>
        <v>164108</v>
      </c>
    </row>
    <row r="167" spans="1:13">
      <c r="E167" s="21">
        <f t="shared" si="65"/>
        <v>167</v>
      </c>
      <c r="F167" s="9" t="s">
        <v>128</v>
      </c>
      <c r="G167" s="21">
        <v>0</v>
      </c>
      <c r="H167" s="21">
        <v>30</v>
      </c>
      <c r="M167" s="21">
        <f t="shared" ref="M167" si="113">IF(B164=1,G167,H167)</f>
        <v>0</v>
      </c>
    </row>
    <row r="168" spans="1:13">
      <c r="E168" s="21">
        <f t="shared" si="65"/>
        <v>168</v>
      </c>
      <c r="F168" s="9" t="s">
        <v>29</v>
      </c>
      <c r="M168" s="21" t="s">
        <v>252</v>
      </c>
    </row>
    <row r="169" spans="1:13">
      <c r="F169" s="9" t="s">
        <v>119</v>
      </c>
      <c r="M169" s="21" t="s">
        <v>250</v>
      </c>
    </row>
    <row r="170" spans="1:13">
      <c r="E170" s="21">
        <f t="shared" si="65"/>
        <v>170</v>
      </c>
      <c r="F170" s="9" t="s">
        <v>99</v>
      </c>
      <c r="G170" s="21">
        <v>4.4000000000000004</v>
      </c>
      <c r="H170" s="21">
        <f t="shared" ref="H170" si="114">G170*2/(G165-1)</f>
        <v>0.88000000000000012</v>
      </c>
      <c r="I170" s="21">
        <f t="shared" ref="I170" si="115">(C164-1)*H170+G170*-1</f>
        <v>2.6400000000000006</v>
      </c>
      <c r="J170" s="9">
        <f t="shared" ref="J170" si="116">I170+H170/2</f>
        <v>3.0800000000000005</v>
      </c>
      <c r="K170" s="9" t="s">
        <v>137</v>
      </c>
      <c r="M170" s="21" t="str">
        <f t="shared" ref="M170" si="117">IF(B164=1,I170,J170)&amp;",6"</f>
        <v>2.64,6</v>
      </c>
    </row>
    <row r="171" spans="1:13">
      <c r="E171" s="21">
        <f t="shared" si="65"/>
        <v>171</v>
      </c>
      <c r="F171" s="9" t="s">
        <v>30</v>
      </c>
      <c r="M171" s="21">
        <v>2.8</v>
      </c>
    </row>
    <row r="172" spans="1:13">
      <c r="E172" s="21">
        <f t="shared" si="65"/>
        <v>172</v>
      </c>
      <c r="F172" s="9" t="s">
        <v>31</v>
      </c>
      <c r="L172" s="9" t="s">
        <v>135</v>
      </c>
      <c r="M172" s="21">
        <v>270</v>
      </c>
    </row>
    <row r="173" spans="1:13">
      <c r="E173" s="21">
        <f t="shared" si="65"/>
        <v>173</v>
      </c>
      <c r="F173" s="9" t="s">
        <v>118</v>
      </c>
      <c r="M173" s="21" t="b">
        <v>1</v>
      </c>
    </row>
    <row r="174" spans="1:13">
      <c r="E174" s="21">
        <f t="shared" si="65"/>
        <v>174</v>
      </c>
      <c r="F174" s="9" t="s">
        <v>98</v>
      </c>
      <c r="G174" s="21">
        <v>260</v>
      </c>
      <c r="H174" s="21">
        <v>1</v>
      </c>
      <c r="M174" s="21">
        <f t="shared" ref="M174" si="118">IF(D164=G165*H165,H174,G174)</f>
        <v>260</v>
      </c>
    </row>
    <row r="175" spans="1:13">
      <c r="E175" s="21">
        <f t="shared" ref="E175:E235" si="119">ROW(E175)</f>
        <v>175</v>
      </c>
      <c r="F175" s="9" t="s">
        <v>102</v>
      </c>
      <c r="M175" s="21">
        <f t="shared" ref="M175" si="120">M165*10+9</f>
        <v>165099</v>
      </c>
    </row>
    <row r="176" spans="1:13">
      <c r="E176" s="21">
        <f t="shared" si="119"/>
        <v>176</v>
      </c>
      <c r="F176" s="9" t="s">
        <v>143</v>
      </c>
      <c r="M176" s="21">
        <f t="shared" ref="M176" si="121">M165</f>
        <v>16509</v>
      </c>
    </row>
    <row r="177" spans="1:13">
      <c r="E177" s="21">
        <f t="shared" si="119"/>
        <v>177</v>
      </c>
      <c r="F177" s="9" t="s">
        <v>127</v>
      </c>
      <c r="M177" s="21">
        <v>0</v>
      </c>
    </row>
    <row r="178" spans="1:13">
      <c r="E178" s="21">
        <f t="shared" si="119"/>
        <v>178</v>
      </c>
      <c r="F178" s="9" t="s">
        <v>143</v>
      </c>
      <c r="M178" s="21">
        <f t="shared" ref="M178" si="122">M175</f>
        <v>165099</v>
      </c>
    </row>
    <row r="179" spans="1:13">
      <c r="E179" s="21">
        <f t="shared" si="119"/>
        <v>179</v>
      </c>
      <c r="F179" s="9" t="s">
        <v>128</v>
      </c>
      <c r="M179" s="21">
        <v>0</v>
      </c>
    </row>
    <row r="180" spans="1:13">
      <c r="E180" s="21">
        <f t="shared" si="119"/>
        <v>180</v>
      </c>
      <c r="F180" s="9" t="s">
        <v>168</v>
      </c>
      <c r="M180" s="21">
        <f t="shared" ref="M180" si="123">J165</f>
        <v>16500</v>
      </c>
    </row>
    <row r="181" spans="1:13">
      <c r="E181" s="21">
        <f t="shared" si="119"/>
        <v>181</v>
      </c>
      <c r="F181" s="9" t="s">
        <v>35</v>
      </c>
      <c r="M181" s="21">
        <v>20</v>
      </c>
    </row>
    <row r="182" spans="1:13">
      <c r="A182" s="21" t="s">
        <v>228</v>
      </c>
      <c r="B182" s="21">
        <f t="shared" ref="B182" si="124">QUOTIENT( D182-1,G183)+1</f>
        <v>1</v>
      </c>
      <c r="C182" s="21">
        <f t="shared" ref="C182" si="125">D182-(B182-1)*G183</f>
        <v>10</v>
      </c>
      <c r="D182" s="21">
        <f>COUNT($D$14:$D181)+1</f>
        <v>10</v>
      </c>
    </row>
    <row r="183" spans="1:13">
      <c r="E183" s="21">
        <f t="shared" ref="E183:E246" si="126">ROW(E183)</f>
        <v>183</v>
      </c>
      <c r="F183" s="9" t="s">
        <v>93</v>
      </c>
      <c r="G183" s="21">
        <v>11</v>
      </c>
      <c r="H183" s="21">
        <v>2</v>
      </c>
      <c r="J183" s="9">
        <v>16500</v>
      </c>
      <c r="M183" s="21">
        <f t="shared" ref="M183" si="127">J183+D182</f>
        <v>16510</v>
      </c>
    </row>
    <row r="184" spans="1:13">
      <c r="E184" s="21">
        <f t="shared" si="126"/>
        <v>184</v>
      </c>
      <c r="F184" s="9" t="s">
        <v>143</v>
      </c>
      <c r="G184" s="21">
        <v>164108</v>
      </c>
      <c r="H184" s="21">
        <v>99999</v>
      </c>
      <c r="M184" s="21">
        <f t="shared" ref="M184" si="128">IF(D182=G183*H183,H184,G184)</f>
        <v>164108</v>
      </c>
    </row>
    <row r="185" spans="1:13">
      <c r="E185" s="21">
        <f t="shared" si="126"/>
        <v>185</v>
      </c>
      <c r="F185" s="9" t="s">
        <v>128</v>
      </c>
      <c r="G185" s="21">
        <v>0</v>
      </c>
      <c r="H185" s="21">
        <v>30</v>
      </c>
      <c r="M185" s="21">
        <f t="shared" ref="M185" si="129">IF(B182=1,G185,H185)</f>
        <v>0</v>
      </c>
    </row>
    <row r="186" spans="1:13">
      <c r="E186" s="21">
        <f t="shared" si="126"/>
        <v>186</v>
      </c>
      <c r="F186" s="9" t="s">
        <v>29</v>
      </c>
      <c r="M186" s="21" t="s">
        <v>252</v>
      </c>
    </row>
    <row r="187" spans="1:13">
      <c r="F187" s="9" t="s">
        <v>119</v>
      </c>
      <c r="M187" s="21" t="s">
        <v>250</v>
      </c>
    </row>
    <row r="188" spans="1:13">
      <c r="E188" s="21">
        <f t="shared" si="126"/>
        <v>188</v>
      </c>
      <c r="F188" s="9" t="s">
        <v>99</v>
      </c>
      <c r="G188" s="21">
        <v>4.4000000000000004</v>
      </c>
      <c r="H188" s="21">
        <f t="shared" ref="H188" si="130">G188*2/(G183-1)</f>
        <v>0.88000000000000012</v>
      </c>
      <c r="I188" s="21">
        <f t="shared" ref="I188" si="131">(C182-1)*H188+G188*-1</f>
        <v>3.5200000000000005</v>
      </c>
      <c r="J188" s="9">
        <f t="shared" ref="J188" si="132">I188+H188/2</f>
        <v>3.9600000000000004</v>
      </c>
      <c r="K188" s="9" t="s">
        <v>137</v>
      </c>
      <c r="M188" s="21" t="str">
        <f t="shared" ref="M188" si="133">IF(B182=1,I188,J188)&amp;",6"</f>
        <v>3.52,6</v>
      </c>
    </row>
    <row r="189" spans="1:13">
      <c r="E189" s="21">
        <f t="shared" si="126"/>
        <v>189</v>
      </c>
      <c r="F189" s="9" t="s">
        <v>30</v>
      </c>
      <c r="M189" s="21">
        <v>2.8</v>
      </c>
    </row>
    <row r="190" spans="1:13">
      <c r="E190" s="21">
        <f t="shared" si="126"/>
        <v>190</v>
      </c>
      <c r="F190" s="9" t="s">
        <v>31</v>
      </c>
      <c r="L190" s="9" t="s">
        <v>135</v>
      </c>
      <c r="M190" s="21">
        <v>270</v>
      </c>
    </row>
    <row r="191" spans="1:13">
      <c r="E191" s="21">
        <f t="shared" si="126"/>
        <v>191</v>
      </c>
      <c r="F191" s="9" t="s">
        <v>118</v>
      </c>
      <c r="M191" s="21" t="b">
        <v>1</v>
      </c>
    </row>
    <row r="192" spans="1:13">
      <c r="E192" s="21">
        <f t="shared" si="126"/>
        <v>192</v>
      </c>
      <c r="F192" s="9" t="s">
        <v>98</v>
      </c>
      <c r="G192" s="21">
        <v>260</v>
      </c>
      <c r="H192" s="21">
        <v>1</v>
      </c>
      <c r="M192" s="21">
        <f t="shared" ref="M192" si="134">IF(D182=G183*H183,H192,G192)</f>
        <v>260</v>
      </c>
    </row>
    <row r="193" spans="1:13">
      <c r="E193" s="21">
        <f t="shared" si="126"/>
        <v>193</v>
      </c>
      <c r="F193" s="9" t="s">
        <v>102</v>
      </c>
      <c r="M193" s="21">
        <f t="shared" ref="M193" si="135">M183*10+9</f>
        <v>165109</v>
      </c>
    </row>
    <row r="194" spans="1:13">
      <c r="E194" s="21">
        <f t="shared" si="119"/>
        <v>194</v>
      </c>
      <c r="F194" s="9" t="s">
        <v>143</v>
      </c>
      <c r="M194" s="21">
        <f t="shared" ref="M194" si="136">M183</f>
        <v>16510</v>
      </c>
    </row>
    <row r="195" spans="1:13">
      <c r="E195" s="21">
        <f t="shared" si="119"/>
        <v>195</v>
      </c>
      <c r="F195" s="9" t="s">
        <v>127</v>
      </c>
      <c r="M195" s="21">
        <v>0</v>
      </c>
    </row>
    <row r="196" spans="1:13">
      <c r="E196" s="21">
        <f t="shared" si="119"/>
        <v>196</v>
      </c>
      <c r="F196" s="9" t="s">
        <v>143</v>
      </c>
      <c r="M196" s="21">
        <f t="shared" ref="M196" si="137">M193</f>
        <v>165109</v>
      </c>
    </row>
    <row r="197" spans="1:13">
      <c r="E197" s="21">
        <f t="shared" si="119"/>
        <v>197</v>
      </c>
      <c r="F197" s="9" t="s">
        <v>128</v>
      </c>
      <c r="M197" s="21">
        <v>0</v>
      </c>
    </row>
    <row r="198" spans="1:13">
      <c r="E198" s="21">
        <f t="shared" si="119"/>
        <v>198</v>
      </c>
      <c r="F198" s="9" t="s">
        <v>168</v>
      </c>
      <c r="M198" s="21">
        <f t="shared" ref="M198" si="138">J183</f>
        <v>16500</v>
      </c>
    </row>
    <row r="199" spans="1:13">
      <c r="E199" s="21">
        <f t="shared" si="119"/>
        <v>199</v>
      </c>
      <c r="F199" s="9" t="s">
        <v>35</v>
      </c>
      <c r="M199" s="21">
        <v>20</v>
      </c>
    </row>
    <row r="200" spans="1:13">
      <c r="A200" s="21" t="s">
        <v>228</v>
      </c>
      <c r="B200" s="21">
        <f t="shared" ref="B200" si="139">QUOTIENT( D200-1,G201)+1</f>
        <v>1</v>
      </c>
      <c r="C200" s="21">
        <f t="shared" ref="C200" si="140">D200-(B200-1)*G201</f>
        <v>11</v>
      </c>
      <c r="D200" s="21">
        <f>COUNT($D$14:$D199)+1</f>
        <v>11</v>
      </c>
    </row>
    <row r="201" spans="1:13">
      <c r="E201" s="21">
        <f t="shared" ref="E201" si="141">ROW(E201)</f>
        <v>201</v>
      </c>
      <c r="F201" s="9" t="s">
        <v>93</v>
      </c>
      <c r="G201" s="21">
        <v>11</v>
      </c>
      <c r="H201" s="21">
        <v>2</v>
      </c>
      <c r="J201" s="9">
        <v>16500</v>
      </c>
      <c r="M201" s="21">
        <f t="shared" ref="M201" si="142">J201+D200</f>
        <v>16511</v>
      </c>
    </row>
    <row r="202" spans="1:13">
      <c r="E202" s="21">
        <f t="shared" si="126"/>
        <v>202</v>
      </c>
      <c r="F202" s="9" t="s">
        <v>143</v>
      </c>
      <c r="G202" s="21">
        <v>164108</v>
      </c>
      <c r="H202" s="21">
        <v>99999</v>
      </c>
      <c r="M202" s="21">
        <f t="shared" ref="M202" si="143">IF(D200=G201*H201,H202,G202)</f>
        <v>164108</v>
      </c>
    </row>
    <row r="203" spans="1:13">
      <c r="E203" s="21">
        <f t="shared" si="126"/>
        <v>203</v>
      </c>
      <c r="F203" s="9" t="s">
        <v>128</v>
      </c>
      <c r="G203" s="21">
        <v>0</v>
      </c>
      <c r="H203" s="21">
        <v>30</v>
      </c>
      <c r="M203" s="21">
        <f t="shared" ref="M203" si="144">IF(B200=1,G203,H203)</f>
        <v>0</v>
      </c>
    </row>
    <row r="204" spans="1:13">
      <c r="E204" s="21">
        <f t="shared" si="126"/>
        <v>204</v>
      </c>
      <c r="F204" s="9" t="s">
        <v>29</v>
      </c>
      <c r="M204" s="21" t="s">
        <v>252</v>
      </c>
    </row>
    <row r="205" spans="1:13">
      <c r="F205" s="9" t="s">
        <v>119</v>
      </c>
      <c r="M205" s="21" t="s">
        <v>250</v>
      </c>
    </row>
    <row r="206" spans="1:13">
      <c r="E206" s="21">
        <f t="shared" si="126"/>
        <v>206</v>
      </c>
      <c r="F206" s="9" t="s">
        <v>99</v>
      </c>
      <c r="G206" s="21">
        <v>4.4000000000000004</v>
      </c>
      <c r="H206" s="21">
        <f t="shared" ref="H206" si="145">G206*2/(G201-1)</f>
        <v>0.88000000000000012</v>
      </c>
      <c r="I206" s="21">
        <f t="shared" ref="I206" si="146">(C200-1)*H206+G206*-1</f>
        <v>4.4000000000000004</v>
      </c>
      <c r="J206" s="9">
        <f t="shared" ref="J206" si="147">I206+H206/2</f>
        <v>4.8400000000000007</v>
      </c>
      <c r="K206" s="9" t="s">
        <v>137</v>
      </c>
      <c r="M206" s="21" t="str">
        <f t="shared" ref="M206" si="148">IF(B200=1,I206,J206)&amp;",6"</f>
        <v>4.4,6</v>
      </c>
    </row>
    <row r="207" spans="1:13">
      <c r="E207" s="21">
        <f t="shared" si="126"/>
        <v>207</v>
      </c>
      <c r="F207" s="9" t="s">
        <v>30</v>
      </c>
      <c r="M207" s="21">
        <v>2.8</v>
      </c>
    </row>
    <row r="208" spans="1:13">
      <c r="E208" s="21">
        <f t="shared" si="126"/>
        <v>208</v>
      </c>
      <c r="F208" s="9" t="s">
        <v>31</v>
      </c>
      <c r="L208" s="9" t="s">
        <v>135</v>
      </c>
      <c r="M208" s="21">
        <v>270</v>
      </c>
    </row>
    <row r="209" spans="1:13">
      <c r="E209" s="21">
        <f t="shared" si="126"/>
        <v>209</v>
      </c>
      <c r="F209" s="9" t="s">
        <v>118</v>
      </c>
      <c r="M209" s="21" t="b">
        <v>1</v>
      </c>
    </row>
    <row r="210" spans="1:13">
      <c r="E210" s="21">
        <f t="shared" si="126"/>
        <v>210</v>
      </c>
      <c r="F210" s="9" t="s">
        <v>98</v>
      </c>
      <c r="G210" s="21">
        <v>260</v>
      </c>
      <c r="H210" s="21">
        <v>1</v>
      </c>
      <c r="M210" s="21">
        <f t="shared" ref="M210" si="149">IF(D200=G201*H201,H210,G210)</f>
        <v>260</v>
      </c>
    </row>
    <row r="211" spans="1:13">
      <c r="E211" s="21">
        <f t="shared" si="126"/>
        <v>211</v>
      </c>
      <c r="F211" s="9" t="s">
        <v>102</v>
      </c>
      <c r="M211" s="21">
        <f t="shared" ref="M211" si="150">M201*10+9</f>
        <v>165119</v>
      </c>
    </row>
    <row r="212" spans="1:13">
      <c r="E212" s="21">
        <f t="shared" si="119"/>
        <v>212</v>
      </c>
      <c r="F212" s="9" t="s">
        <v>143</v>
      </c>
      <c r="M212" s="21">
        <f t="shared" ref="M212" si="151">M201</f>
        <v>16511</v>
      </c>
    </row>
    <row r="213" spans="1:13">
      <c r="E213" s="21">
        <f t="shared" si="119"/>
        <v>213</v>
      </c>
      <c r="F213" s="9" t="s">
        <v>127</v>
      </c>
      <c r="M213" s="21">
        <v>0</v>
      </c>
    </row>
    <row r="214" spans="1:13">
      <c r="E214" s="21">
        <f t="shared" si="119"/>
        <v>214</v>
      </c>
      <c r="F214" s="9" t="s">
        <v>143</v>
      </c>
      <c r="M214" s="21">
        <f t="shared" ref="M214" si="152">M211</f>
        <v>165119</v>
      </c>
    </row>
    <row r="215" spans="1:13">
      <c r="E215" s="21">
        <f t="shared" si="119"/>
        <v>215</v>
      </c>
      <c r="F215" s="9" t="s">
        <v>128</v>
      </c>
      <c r="M215" s="21">
        <v>0</v>
      </c>
    </row>
    <row r="216" spans="1:13">
      <c r="E216" s="21">
        <f t="shared" si="119"/>
        <v>216</v>
      </c>
      <c r="F216" s="9" t="s">
        <v>168</v>
      </c>
      <c r="M216" s="21">
        <f t="shared" ref="M216" si="153">J201</f>
        <v>16500</v>
      </c>
    </row>
    <row r="217" spans="1:13">
      <c r="E217" s="21">
        <f t="shared" si="119"/>
        <v>217</v>
      </c>
      <c r="F217" s="9" t="s">
        <v>35</v>
      </c>
      <c r="M217" s="21">
        <v>20</v>
      </c>
    </row>
    <row r="218" spans="1:13">
      <c r="A218" s="21" t="s">
        <v>228</v>
      </c>
      <c r="B218" s="21">
        <f t="shared" ref="B218" si="154">QUOTIENT( D218-1,G219)+1</f>
        <v>2</v>
      </c>
      <c r="C218" s="21">
        <f t="shared" ref="C218" si="155">D218-(B218-1)*G219</f>
        <v>1</v>
      </c>
      <c r="D218" s="21">
        <f>COUNT($D$14:$D217)+1</f>
        <v>12</v>
      </c>
    </row>
    <row r="219" spans="1:13">
      <c r="E219" s="21">
        <f t="shared" ref="E219" si="156">ROW(E219)</f>
        <v>219</v>
      </c>
      <c r="F219" s="9" t="s">
        <v>93</v>
      </c>
      <c r="G219" s="21">
        <v>11</v>
      </c>
      <c r="H219" s="21">
        <v>2</v>
      </c>
      <c r="J219" s="9">
        <v>16500</v>
      </c>
      <c r="M219" s="21">
        <f t="shared" ref="M219" si="157">J219+D218</f>
        <v>16512</v>
      </c>
    </row>
    <row r="220" spans="1:13">
      <c r="E220" s="21">
        <f t="shared" si="126"/>
        <v>220</v>
      </c>
      <c r="F220" s="9" t="s">
        <v>143</v>
      </c>
      <c r="G220" s="21">
        <v>164108</v>
      </c>
      <c r="H220" s="21">
        <v>99999</v>
      </c>
      <c r="M220" s="21">
        <f t="shared" ref="M220" si="158">IF(D218=G219*H219,H220,G220)</f>
        <v>164108</v>
      </c>
    </row>
    <row r="221" spans="1:13">
      <c r="E221" s="21">
        <f t="shared" si="126"/>
        <v>221</v>
      </c>
      <c r="F221" s="9" t="s">
        <v>128</v>
      </c>
      <c r="G221" s="21">
        <v>0</v>
      </c>
      <c r="H221" s="21">
        <v>30</v>
      </c>
      <c r="M221" s="21">
        <f t="shared" ref="M221" si="159">IF(B218=1,G221,H221)</f>
        <v>30</v>
      </c>
    </row>
    <row r="222" spans="1:13">
      <c r="E222" s="21">
        <f t="shared" si="126"/>
        <v>222</v>
      </c>
      <c r="F222" s="9" t="s">
        <v>29</v>
      </c>
      <c r="M222" s="21" t="s">
        <v>252</v>
      </c>
    </row>
    <row r="223" spans="1:13">
      <c r="F223" s="9" t="s">
        <v>119</v>
      </c>
      <c r="M223" s="21" t="s">
        <v>250</v>
      </c>
    </row>
    <row r="224" spans="1:13">
      <c r="E224" s="21">
        <f t="shared" si="126"/>
        <v>224</v>
      </c>
      <c r="F224" s="9" t="s">
        <v>99</v>
      </c>
      <c r="G224" s="21">
        <v>4.4000000000000004</v>
      </c>
      <c r="H224" s="21">
        <f t="shared" ref="H224" si="160">G224*2/(G219-1)</f>
        <v>0.88000000000000012</v>
      </c>
      <c r="I224" s="21">
        <f t="shared" ref="I224" si="161">(C218-1)*H224+G224*-1</f>
        <v>-4.4000000000000004</v>
      </c>
      <c r="J224" s="9">
        <f t="shared" ref="J224" si="162">I224+H224/2</f>
        <v>-3.9600000000000004</v>
      </c>
      <c r="K224" s="9" t="s">
        <v>137</v>
      </c>
      <c r="M224" s="21" t="str">
        <f t="shared" ref="M224" si="163">IF(B218=1,I224,J224)&amp;",6"</f>
        <v>-3.96,6</v>
      </c>
    </row>
    <row r="225" spans="1:13">
      <c r="E225" s="21">
        <f t="shared" si="126"/>
        <v>225</v>
      </c>
      <c r="F225" s="9" t="s">
        <v>30</v>
      </c>
      <c r="M225" s="21">
        <v>2.8</v>
      </c>
    </row>
    <row r="226" spans="1:13">
      <c r="E226" s="21">
        <f t="shared" si="126"/>
        <v>226</v>
      </c>
      <c r="F226" s="9" t="s">
        <v>31</v>
      </c>
      <c r="L226" s="9" t="s">
        <v>135</v>
      </c>
      <c r="M226" s="21">
        <v>270</v>
      </c>
    </row>
    <row r="227" spans="1:13">
      <c r="E227" s="21">
        <f t="shared" si="126"/>
        <v>227</v>
      </c>
      <c r="F227" s="9" t="s">
        <v>118</v>
      </c>
      <c r="M227" s="21" t="b">
        <v>1</v>
      </c>
    </row>
    <row r="228" spans="1:13">
      <c r="E228" s="21">
        <f t="shared" si="126"/>
        <v>228</v>
      </c>
      <c r="F228" s="9" t="s">
        <v>98</v>
      </c>
      <c r="G228" s="21">
        <v>260</v>
      </c>
      <c r="H228" s="21">
        <v>1</v>
      </c>
      <c r="M228" s="21">
        <f t="shared" ref="M228" si="164">IF(D218=G219*H219,H228,G228)</f>
        <v>260</v>
      </c>
    </row>
    <row r="229" spans="1:13">
      <c r="E229" s="21">
        <f t="shared" si="126"/>
        <v>229</v>
      </c>
      <c r="F229" s="9" t="s">
        <v>102</v>
      </c>
      <c r="M229" s="21">
        <f t="shared" ref="M229" si="165">M219*10+9</f>
        <v>165129</v>
      </c>
    </row>
    <row r="230" spans="1:13">
      <c r="E230" s="21">
        <f t="shared" si="119"/>
        <v>230</v>
      </c>
      <c r="F230" s="9" t="s">
        <v>143</v>
      </c>
      <c r="M230" s="21">
        <f t="shared" ref="M230" si="166">M219</f>
        <v>16512</v>
      </c>
    </row>
    <row r="231" spans="1:13">
      <c r="E231" s="21">
        <f t="shared" si="119"/>
        <v>231</v>
      </c>
      <c r="F231" s="9" t="s">
        <v>127</v>
      </c>
      <c r="M231" s="21">
        <v>0</v>
      </c>
    </row>
    <row r="232" spans="1:13">
      <c r="E232" s="21">
        <f t="shared" si="119"/>
        <v>232</v>
      </c>
      <c r="F232" s="9" t="s">
        <v>143</v>
      </c>
      <c r="M232" s="21">
        <f t="shared" ref="M232" si="167">M229</f>
        <v>165129</v>
      </c>
    </row>
    <row r="233" spans="1:13">
      <c r="E233" s="21">
        <f t="shared" si="119"/>
        <v>233</v>
      </c>
      <c r="F233" s="9" t="s">
        <v>128</v>
      </c>
      <c r="M233" s="21">
        <v>0</v>
      </c>
    </row>
    <row r="234" spans="1:13">
      <c r="E234" s="21">
        <f t="shared" si="119"/>
        <v>234</v>
      </c>
      <c r="F234" s="9" t="s">
        <v>168</v>
      </c>
      <c r="M234" s="21">
        <f t="shared" ref="M234" si="168">J219</f>
        <v>16500</v>
      </c>
    </row>
    <row r="235" spans="1:13">
      <c r="E235" s="21">
        <f t="shared" si="119"/>
        <v>235</v>
      </c>
      <c r="F235" s="9" t="s">
        <v>35</v>
      </c>
      <c r="M235" s="21">
        <v>20</v>
      </c>
    </row>
    <row r="236" spans="1:13">
      <c r="A236" s="21" t="s">
        <v>228</v>
      </c>
      <c r="B236" s="21">
        <f t="shared" ref="B236" si="169">QUOTIENT( D236-1,G237)+1</f>
        <v>2</v>
      </c>
      <c r="C236" s="21">
        <f t="shared" ref="C236" si="170">D236-(B236-1)*G237</f>
        <v>2</v>
      </c>
      <c r="D236" s="21">
        <f>COUNT($D$14:$D235)+1</f>
        <v>13</v>
      </c>
    </row>
    <row r="237" spans="1:13">
      <c r="E237" s="21">
        <f t="shared" ref="E237" si="171">ROW(E237)</f>
        <v>237</v>
      </c>
      <c r="F237" s="9" t="s">
        <v>93</v>
      </c>
      <c r="G237" s="21">
        <v>11</v>
      </c>
      <c r="H237" s="21">
        <v>2</v>
      </c>
      <c r="J237" s="9">
        <v>16500</v>
      </c>
      <c r="M237" s="21">
        <f t="shared" ref="M237" si="172">J237+D236</f>
        <v>16513</v>
      </c>
    </row>
    <row r="238" spans="1:13">
      <c r="E238" s="21">
        <f t="shared" si="126"/>
        <v>238</v>
      </c>
      <c r="F238" s="9" t="s">
        <v>143</v>
      </c>
      <c r="G238" s="21">
        <v>164108</v>
      </c>
      <c r="H238" s="21">
        <v>99999</v>
      </c>
      <c r="M238" s="21">
        <f t="shared" ref="M238" si="173">IF(D236=G237*H237,H238,G238)</f>
        <v>164108</v>
      </c>
    </row>
    <row r="239" spans="1:13">
      <c r="E239" s="21">
        <f t="shared" si="126"/>
        <v>239</v>
      </c>
      <c r="F239" s="9" t="s">
        <v>128</v>
      </c>
      <c r="G239" s="21">
        <v>0</v>
      </c>
      <c r="H239" s="21">
        <v>30</v>
      </c>
      <c r="M239" s="21">
        <f t="shared" ref="M239" si="174">IF(B236=1,G239,H239)</f>
        <v>30</v>
      </c>
    </row>
    <row r="240" spans="1:13">
      <c r="E240" s="21">
        <f t="shared" si="126"/>
        <v>240</v>
      </c>
      <c r="F240" s="9" t="s">
        <v>29</v>
      </c>
      <c r="M240" s="21" t="s">
        <v>252</v>
      </c>
    </row>
    <row r="241" spans="1:13">
      <c r="F241" s="9" t="s">
        <v>119</v>
      </c>
      <c r="M241" s="21" t="s">
        <v>250</v>
      </c>
    </row>
    <row r="242" spans="1:13">
      <c r="E242" s="21">
        <f t="shared" si="126"/>
        <v>242</v>
      </c>
      <c r="F242" s="9" t="s">
        <v>99</v>
      </c>
      <c r="G242" s="21">
        <v>4.4000000000000004</v>
      </c>
      <c r="H242" s="21">
        <f t="shared" ref="H242" si="175">G242*2/(G237-1)</f>
        <v>0.88000000000000012</v>
      </c>
      <c r="I242" s="21">
        <f t="shared" ref="I242" si="176">(C236-1)*H242+G242*-1</f>
        <v>-3.5200000000000005</v>
      </c>
      <c r="J242" s="9">
        <f t="shared" ref="J242" si="177">I242+H242/2</f>
        <v>-3.0800000000000005</v>
      </c>
      <c r="K242" s="9" t="s">
        <v>137</v>
      </c>
      <c r="M242" s="21" t="str">
        <f t="shared" ref="M242" si="178">IF(B236=1,I242,J242)&amp;",6"</f>
        <v>-3.08,6</v>
      </c>
    </row>
    <row r="243" spans="1:13">
      <c r="E243" s="21">
        <f t="shared" si="126"/>
        <v>243</v>
      </c>
      <c r="F243" s="9" t="s">
        <v>30</v>
      </c>
      <c r="M243" s="21">
        <v>2.8</v>
      </c>
    </row>
    <row r="244" spans="1:13">
      <c r="E244" s="21">
        <f t="shared" si="126"/>
        <v>244</v>
      </c>
      <c r="F244" s="9" t="s">
        <v>31</v>
      </c>
      <c r="L244" s="9" t="s">
        <v>135</v>
      </c>
      <c r="M244" s="21">
        <v>270</v>
      </c>
    </row>
    <row r="245" spans="1:13">
      <c r="E245" s="21">
        <f t="shared" si="126"/>
        <v>245</v>
      </c>
      <c r="F245" s="9" t="s">
        <v>118</v>
      </c>
      <c r="M245" s="21" t="b">
        <v>1</v>
      </c>
    </row>
    <row r="246" spans="1:13">
      <c r="E246" s="21">
        <f t="shared" si="126"/>
        <v>246</v>
      </c>
      <c r="F246" s="9" t="s">
        <v>98</v>
      </c>
      <c r="G246" s="21">
        <v>260</v>
      </c>
      <c r="H246" s="21">
        <v>1</v>
      </c>
      <c r="M246" s="21">
        <f t="shared" ref="M246" si="179">IF(D236=G237*H237,H246,G246)</f>
        <v>260</v>
      </c>
    </row>
    <row r="247" spans="1:13">
      <c r="E247" s="21">
        <f t="shared" ref="E247:E307" si="180">ROW(E247)</f>
        <v>247</v>
      </c>
      <c r="F247" s="9" t="s">
        <v>102</v>
      </c>
      <c r="M247" s="21">
        <f t="shared" ref="M247" si="181">M237*10+9</f>
        <v>165139</v>
      </c>
    </row>
    <row r="248" spans="1:13">
      <c r="E248" s="21">
        <f t="shared" si="180"/>
        <v>248</v>
      </c>
      <c r="F248" s="9" t="s">
        <v>143</v>
      </c>
      <c r="M248" s="21">
        <f t="shared" ref="M248" si="182">M237</f>
        <v>16513</v>
      </c>
    </row>
    <row r="249" spans="1:13">
      <c r="E249" s="21">
        <f t="shared" si="180"/>
        <v>249</v>
      </c>
      <c r="F249" s="9" t="s">
        <v>127</v>
      </c>
      <c r="M249" s="21">
        <v>0</v>
      </c>
    </row>
    <row r="250" spans="1:13">
      <c r="E250" s="21">
        <f t="shared" si="180"/>
        <v>250</v>
      </c>
      <c r="F250" s="9" t="s">
        <v>143</v>
      </c>
      <c r="M250" s="21">
        <f t="shared" ref="M250" si="183">M247</f>
        <v>165139</v>
      </c>
    </row>
    <row r="251" spans="1:13">
      <c r="E251" s="21">
        <f t="shared" si="180"/>
        <v>251</v>
      </c>
      <c r="F251" s="9" t="s">
        <v>128</v>
      </c>
      <c r="M251" s="21">
        <v>0</v>
      </c>
    </row>
    <row r="252" spans="1:13">
      <c r="E252" s="21">
        <f t="shared" si="180"/>
        <v>252</v>
      </c>
      <c r="F252" s="9" t="s">
        <v>168</v>
      </c>
      <c r="M252" s="21">
        <f t="shared" ref="M252" si="184">J237</f>
        <v>16500</v>
      </c>
    </row>
    <row r="253" spans="1:13">
      <c r="E253" s="21">
        <f t="shared" si="180"/>
        <v>253</v>
      </c>
      <c r="F253" s="9" t="s">
        <v>35</v>
      </c>
      <c r="M253" s="21">
        <v>20</v>
      </c>
    </row>
    <row r="254" spans="1:13">
      <c r="A254" s="21" t="s">
        <v>228</v>
      </c>
      <c r="B254" s="21">
        <f t="shared" ref="B254" si="185">QUOTIENT( D254-1,G255)+1</f>
        <v>2</v>
      </c>
      <c r="C254" s="21">
        <f t="shared" ref="C254" si="186">D254-(B254-1)*G255</f>
        <v>3</v>
      </c>
      <c r="D254" s="21">
        <f>COUNT($D$14:$D253)+1</f>
        <v>14</v>
      </c>
    </row>
    <row r="255" spans="1:13">
      <c r="E255" s="21">
        <f t="shared" ref="E255:E318" si="187">ROW(E255)</f>
        <v>255</v>
      </c>
      <c r="F255" s="9" t="s">
        <v>93</v>
      </c>
      <c r="G255" s="21">
        <v>11</v>
      </c>
      <c r="H255" s="21">
        <v>2</v>
      </c>
      <c r="J255" s="9">
        <v>16500</v>
      </c>
      <c r="M255" s="21">
        <f t="shared" ref="M255" si="188">J255+D254</f>
        <v>16514</v>
      </c>
    </row>
    <row r="256" spans="1:13">
      <c r="E256" s="21">
        <f t="shared" si="187"/>
        <v>256</v>
      </c>
      <c r="F256" s="9" t="s">
        <v>143</v>
      </c>
      <c r="G256" s="21">
        <v>164108</v>
      </c>
      <c r="H256" s="21">
        <v>99999</v>
      </c>
      <c r="M256" s="21">
        <f t="shared" ref="M256" si="189">IF(D254=G255*H255,H256,G256)</f>
        <v>164108</v>
      </c>
    </row>
    <row r="257" spans="1:13">
      <c r="E257" s="21">
        <f t="shared" si="187"/>
        <v>257</v>
      </c>
      <c r="F257" s="9" t="s">
        <v>128</v>
      </c>
      <c r="G257" s="21">
        <v>0</v>
      </c>
      <c r="H257" s="21">
        <v>30</v>
      </c>
      <c r="M257" s="21">
        <f t="shared" ref="M257" si="190">IF(B254=1,G257,H257)</f>
        <v>30</v>
      </c>
    </row>
    <row r="258" spans="1:13">
      <c r="E258" s="21">
        <f t="shared" si="187"/>
        <v>258</v>
      </c>
      <c r="F258" s="9" t="s">
        <v>29</v>
      </c>
      <c r="M258" s="21" t="s">
        <v>252</v>
      </c>
    </row>
    <row r="259" spans="1:13">
      <c r="F259" s="9" t="s">
        <v>119</v>
      </c>
      <c r="M259" s="21" t="s">
        <v>250</v>
      </c>
    </row>
    <row r="260" spans="1:13">
      <c r="E260" s="21">
        <f t="shared" si="187"/>
        <v>260</v>
      </c>
      <c r="F260" s="9" t="s">
        <v>99</v>
      </c>
      <c r="G260" s="21">
        <v>4.4000000000000004</v>
      </c>
      <c r="H260" s="21">
        <f t="shared" ref="H260" si="191">G260*2/(G255-1)</f>
        <v>0.88000000000000012</v>
      </c>
      <c r="I260" s="21">
        <f t="shared" ref="I260" si="192">(C254-1)*H260+G260*-1</f>
        <v>-2.64</v>
      </c>
      <c r="J260" s="9">
        <f t="shared" ref="J260" si="193">I260+H260/2</f>
        <v>-2.2000000000000002</v>
      </c>
      <c r="K260" s="9" t="s">
        <v>137</v>
      </c>
      <c r="M260" s="21" t="str">
        <f t="shared" ref="M260" si="194">IF(B254=1,I260,J260)&amp;",6"</f>
        <v>-2.2,6</v>
      </c>
    </row>
    <row r="261" spans="1:13">
      <c r="E261" s="21">
        <f t="shared" si="187"/>
        <v>261</v>
      </c>
      <c r="F261" s="9" t="s">
        <v>30</v>
      </c>
      <c r="M261" s="21">
        <v>2.8</v>
      </c>
    </row>
    <row r="262" spans="1:13">
      <c r="E262" s="21">
        <f t="shared" si="187"/>
        <v>262</v>
      </c>
      <c r="F262" s="9" t="s">
        <v>31</v>
      </c>
      <c r="L262" s="9" t="s">
        <v>135</v>
      </c>
      <c r="M262" s="21">
        <v>270</v>
      </c>
    </row>
    <row r="263" spans="1:13">
      <c r="E263" s="21">
        <f t="shared" si="187"/>
        <v>263</v>
      </c>
      <c r="F263" s="9" t="s">
        <v>118</v>
      </c>
      <c r="M263" s="21" t="b">
        <v>1</v>
      </c>
    </row>
    <row r="264" spans="1:13">
      <c r="E264" s="21">
        <f t="shared" si="187"/>
        <v>264</v>
      </c>
      <c r="F264" s="9" t="s">
        <v>98</v>
      </c>
      <c r="G264" s="21">
        <v>260</v>
      </c>
      <c r="H264" s="21">
        <v>1</v>
      </c>
      <c r="M264" s="21">
        <f t="shared" ref="M264" si="195">IF(D254=G255*H255,H264,G264)</f>
        <v>260</v>
      </c>
    </row>
    <row r="265" spans="1:13">
      <c r="E265" s="21">
        <f t="shared" si="187"/>
        <v>265</v>
      </c>
      <c r="F265" s="9" t="s">
        <v>102</v>
      </c>
      <c r="M265" s="21">
        <f t="shared" ref="M265" si="196">M255*10+9</f>
        <v>165149</v>
      </c>
    </row>
    <row r="266" spans="1:13">
      <c r="E266" s="21">
        <f t="shared" si="180"/>
        <v>266</v>
      </c>
      <c r="F266" s="9" t="s">
        <v>143</v>
      </c>
      <c r="M266" s="21">
        <f t="shared" ref="M266" si="197">M255</f>
        <v>16514</v>
      </c>
    </row>
    <row r="267" spans="1:13">
      <c r="E267" s="21">
        <f t="shared" si="180"/>
        <v>267</v>
      </c>
      <c r="F267" s="9" t="s">
        <v>127</v>
      </c>
      <c r="M267" s="21">
        <v>0</v>
      </c>
    </row>
    <row r="268" spans="1:13">
      <c r="E268" s="21">
        <f t="shared" si="180"/>
        <v>268</v>
      </c>
      <c r="F268" s="9" t="s">
        <v>143</v>
      </c>
      <c r="M268" s="21">
        <f t="shared" ref="M268" si="198">M265</f>
        <v>165149</v>
      </c>
    </row>
    <row r="269" spans="1:13">
      <c r="E269" s="21">
        <f t="shared" si="180"/>
        <v>269</v>
      </c>
      <c r="F269" s="9" t="s">
        <v>128</v>
      </c>
      <c r="M269" s="21">
        <v>0</v>
      </c>
    </row>
    <row r="270" spans="1:13">
      <c r="E270" s="21">
        <f t="shared" si="180"/>
        <v>270</v>
      </c>
      <c r="F270" s="9" t="s">
        <v>168</v>
      </c>
      <c r="M270" s="21">
        <f t="shared" ref="M270" si="199">J255</f>
        <v>16500</v>
      </c>
    </row>
    <row r="271" spans="1:13">
      <c r="E271" s="21">
        <f t="shared" si="180"/>
        <v>271</v>
      </c>
      <c r="F271" s="9" t="s">
        <v>35</v>
      </c>
      <c r="M271" s="21">
        <v>20</v>
      </c>
    </row>
    <row r="272" spans="1:13">
      <c r="A272" s="21" t="s">
        <v>228</v>
      </c>
      <c r="B272" s="21">
        <f t="shared" ref="B272" si="200">QUOTIENT( D272-1,G273)+1</f>
        <v>2</v>
      </c>
      <c r="C272" s="21">
        <f t="shared" ref="C272" si="201">D272-(B272-1)*G273</f>
        <v>4</v>
      </c>
      <c r="D272" s="21">
        <f>COUNT($D$14:$D271)+1</f>
        <v>15</v>
      </c>
    </row>
    <row r="273" spans="5:13">
      <c r="E273" s="21">
        <f t="shared" ref="E273" si="202">ROW(E273)</f>
        <v>273</v>
      </c>
      <c r="F273" s="9" t="s">
        <v>93</v>
      </c>
      <c r="G273" s="21">
        <v>11</v>
      </c>
      <c r="H273" s="21">
        <v>2</v>
      </c>
      <c r="J273" s="9">
        <v>16500</v>
      </c>
      <c r="M273" s="21">
        <f t="shared" ref="M273" si="203">J273+D272</f>
        <v>16515</v>
      </c>
    </row>
    <row r="274" spans="5:13">
      <c r="E274" s="21">
        <f t="shared" si="187"/>
        <v>274</v>
      </c>
      <c r="F274" s="9" t="s">
        <v>143</v>
      </c>
      <c r="G274" s="21">
        <v>164108</v>
      </c>
      <c r="H274" s="21">
        <v>99999</v>
      </c>
      <c r="M274" s="21">
        <f t="shared" ref="M274" si="204">IF(D272=G273*H273,H274,G274)</f>
        <v>164108</v>
      </c>
    </row>
    <row r="275" spans="5:13">
      <c r="E275" s="21">
        <f t="shared" si="187"/>
        <v>275</v>
      </c>
      <c r="F275" s="9" t="s">
        <v>128</v>
      </c>
      <c r="G275" s="21">
        <v>0</v>
      </c>
      <c r="H275" s="21">
        <v>30</v>
      </c>
      <c r="M275" s="21">
        <f t="shared" ref="M275" si="205">IF(B272=1,G275,H275)</f>
        <v>30</v>
      </c>
    </row>
    <row r="276" spans="5:13">
      <c r="E276" s="21">
        <f t="shared" si="187"/>
        <v>276</v>
      </c>
      <c r="F276" s="9" t="s">
        <v>29</v>
      </c>
      <c r="M276" s="21" t="s">
        <v>252</v>
      </c>
    </row>
    <row r="277" spans="5:13">
      <c r="F277" s="9" t="s">
        <v>119</v>
      </c>
      <c r="M277" s="21" t="s">
        <v>250</v>
      </c>
    </row>
    <row r="278" spans="5:13">
      <c r="E278" s="21">
        <f t="shared" si="187"/>
        <v>278</v>
      </c>
      <c r="F278" s="9" t="s">
        <v>99</v>
      </c>
      <c r="G278" s="21">
        <v>4.4000000000000004</v>
      </c>
      <c r="H278" s="21">
        <f t="shared" ref="H278" si="206">G278*2/(G273-1)</f>
        <v>0.88000000000000012</v>
      </c>
      <c r="I278" s="21">
        <f t="shared" ref="I278" si="207">(C272-1)*H278+G278*-1</f>
        <v>-1.7599999999999998</v>
      </c>
      <c r="J278" s="9">
        <f t="shared" ref="J278" si="208">I278+H278/2</f>
        <v>-1.3199999999999998</v>
      </c>
      <c r="K278" s="9" t="s">
        <v>137</v>
      </c>
      <c r="M278" s="21" t="str">
        <f t="shared" ref="M278" si="209">IF(B272=1,I278,J278)&amp;",6"</f>
        <v>-1.32,6</v>
      </c>
    </row>
    <row r="279" spans="5:13">
      <c r="E279" s="21">
        <f t="shared" si="187"/>
        <v>279</v>
      </c>
      <c r="F279" s="9" t="s">
        <v>30</v>
      </c>
      <c r="M279" s="21">
        <v>2.8</v>
      </c>
    </row>
    <row r="280" spans="5:13">
      <c r="E280" s="21">
        <f t="shared" si="187"/>
        <v>280</v>
      </c>
      <c r="F280" s="9" t="s">
        <v>31</v>
      </c>
      <c r="L280" s="9" t="s">
        <v>135</v>
      </c>
      <c r="M280" s="21">
        <v>270</v>
      </c>
    </row>
    <row r="281" spans="5:13">
      <c r="E281" s="21">
        <f t="shared" si="187"/>
        <v>281</v>
      </c>
      <c r="F281" s="9" t="s">
        <v>118</v>
      </c>
      <c r="M281" s="21" t="b">
        <v>1</v>
      </c>
    </row>
    <row r="282" spans="5:13">
      <c r="E282" s="21">
        <f t="shared" si="187"/>
        <v>282</v>
      </c>
      <c r="F282" s="9" t="s">
        <v>98</v>
      </c>
      <c r="G282" s="21">
        <v>260</v>
      </c>
      <c r="H282" s="21">
        <v>1</v>
      </c>
      <c r="M282" s="21">
        <f t="shared" ref="M282" si="210">IF(D272=G273*H273,H282,G282)</f>
        <v>260</v>
      </c>
    </row>
    <row r="283" spans="5:13">
      <c r="E283" s="21">
        <f t="shared" si="187"/>
        <v>283</v>
      </c>
      <c r="F283" s="9" t="s">
        <v>102</v>
      </c>
      <c r="M283" s="21">
        <f t="shared" ref="M283" si="211">M273*10+9</f>
        <v>165159</v>
      </c>
    </row>
    <row r="284" spans="5:13">
      <c r="E284" s="21">
        <f t="shared" si="180"/>
        <v>284</v>
      </c>
      <c r="F284" s="9" t="s">
        <v>143</v>
      </c>
      <c r="M284" s="21">
        <f t="shared" ref="M284" si="212">M273</f>
        <v>16515</v>
      </c>
    </row>
    <row r="285" spans="5:13">
      <c r="E285" s="21">
        <f t="shared" si="180"/>
        <v>285</v>
      </c>
      <c r="F285" s="9" t="s">
        <v>127</v>
      </c>
      <c r="M285" s="21">
        <v>0</v>
      </c>
    </row>
    <row r="286" spans="5:13">
      <c r="E286" s="21">
        <f t="shared" si="180"/>
        <v>286</v>
      </c>
      <c r="F286" s="9" t="s">
        <v>143</v>
      </c>
      <c r="M286" s="21">
        <f t="shared" ref="M286" si="213">M283</f>
        <v>165159</v>
      </c>
    </row>
    <row r="287" spans="5:13">
      <c r="E287" s="21">
        <f t="shared" si="180"/>
        <v>287</v>
      </c>
      <c r="F287" s="9" t="s">
        <v>128</v>
      </c>
      <c r="M287" s="21">
        <v>0</v>
      </c>
    </row>
    <row r="288" spans="5:13">
      <c r="E288" s="21">
        <f t="shared" si="180"/>
        <v>288</v>
      </c>
      <c r="F288" s="9" t="s">
        <v>168</v>
      </c>
      <c r="M288" s="21">
        <f t="shared" ref="M288" si="214">J273</f>
        <v>16500</v>
      </c>
    </row>
    <row r="289" spans="1:13">
      <c r="E289" s="21">
        <f t="shared" si="180"/>
        <v>289</v>
      </c>
      <c r="F289" s="9" t="s">
        <v>35</v>
      </c>
      <c r="M289" s="21">
        <v>20</v>
      </c>
    </row>
    <row r="290" spans="1:13">
      <c r="A290" s="21" t="s">
        <v>228</v>
      </c>
      <c r="B290" s="21">
        <f t="shared" ref="B290" si="215">QUOTIENT( D290-1,G291)+1</f>
        <v>2</v>
      </c>
      <c r="C290" s="21">
        <f t="shared" ref="C290" si="216">D290-(B290-1)*G291</f>
        <v>5</v>
      </c>
      <c r="D290" s="21">
        <f>COUNT($D$14:$D289)+1</f>
        <v>16</v>
      </c>
    </row>
    <row r="291" spans="1:13">
      <c r="E291" s="21">
        <f t="shared" ref="E291" si="217">ROW(E291)</f>
        <v>291</v>
      </c>
      <c r="F291" s="9" t="s">
        <v>93</v>
      </c>
      <c r="G291" s="21">
        <v>11</v>
      </c>
      <c r="H291" s="21">
        <v>2</v>
      </c>
      <c r="J291" s="9">
        <v>16500</v>
      </c>
      <c r="M291" s="21">
        <f t="shared" ref="M291" si="218">J291+D290</f>
        <v>16516</v>
      </c>
    </row>
    <row r="292" spans="1:13">
      <c r="E292" s="21">
        <f t="shared" si="187"/>
        <v>292</v>
      </c>
      <c r="F292" s="9" t="s">
        <v>143</v>
      </c>
      <c r="G292" s="21">
        <v>164108</v>
      </c>
      <c r="H292" s="21">
        <v>99999</v>
      </c>
      <c r="M292" s="21">
        <f t="shared" ref="M292" si="219">IF(D290=G291*H291,H292,G292)</f>
        <v>164108</v>
      </c>
    </row>
    <row r="293" spans="1:13">
      <c r="E293" s="21">
        <f t="shared" si="187"/>
        <v>293</v>
      </c>
      <c r="F293" s="9" t="s">
        <v>128</v>
      </c>
      <c r="G293" s="21">
        <v>0</v>
      </c>
      <c r="H293" s="21">
        <v>30</v>
      </c>
      <c r="M293" s="21">
        <f t="shared" ref="M293" si="220">IF(B290=1,G293,H293)</f>
        <v>30</v>
      </c>
    </row>
    <row r="294" spans="1:13">
      <c r="E294" s="21">
        <f t="shared" si="187"/>
        <v>294</v>
      </c>
      <c r="F294" s="9" t="s">
        <v>29</v>
      </c>
      <c r="M294" s="21" t="s">
        <v>252</v>
      </c>
    </row>
    <row r="295" spans="1:13">
      <c r="F295" s="9" t="s">
        <v>119</v>
      </c>
      <c r="M295" s="21" t="s">
        <v>250</v>
      </c>
    </row>
    <row r="296" spans="1:13">
      <c r="E296" s="21">
        <f t="shared" si="187"/>
        <v>296</v>
      </c>
      <c r="F296" s="9" t="s">
        <v>99</v>
      </c>
      <c r="G296" s="21">
        <v>4.4000000000000004</v>
      </c>
      <c r="H296" s="21">
        <f t="shared" ref="H296" si="221">G296*2/(G291-1)</f>
        <v>0.88000000000000012</v>
      </c>
      <c r="I296" s="21">
        <f t="shared" ref="I296" si="222">(C290-1)*H296+G296*-1</f>
        <v>-0.87999999999999989</v>
      </c>
      <c r="J296" s="9">
        <f t="shared" ref="J296" si="223">I296+H296/2</f>
        <v>-0.43999999999999984</v>
      </c>
      <c r="K296" s="9" t="s">
        <v>137</v>
      </c>
      <c r="M296" s="21" t="str">
        <f t="shared" ref="M296" si="224">IF(B290=1,I296,J296)&amp;",6"</f>
        <v>-0.44,6</v>
      </c>
    </row>
    <row r="297" spans="1:13">
      <c r="E297" s="21">
        <f t="shared" si="187"/>
        <v>297</v>
      </c>
      <c r="F297" s="9" t="s">
        <v>30</v>
      </c>
      <c r="M297" s="21">
        <v>2.8</v>
      </c>
    </row>
    <row r="298" spans="1:13">
      <c r="E298" s="21">
        <f t="shared" si="187"/>
        <v>298</v>
      </c>
      <c r="F298" s="9" t="s">
        <v>31</v>
      </c>
      <c r="L298" s="9" t="s">
        <v>135</v>
      </c>
      <c r="M298" s="21">
        <v>270</v>
      </c>
    </row>
    <row r="299" spans="1:13">
      <c r="E299" s="21">
        <f t="shared" si="187"/>
        <v>299</v>
      </c>
      <c r="F299" s="9" t="s">
        <v>118</v>
      </c>
      <c r="M299" s="21" t="b">
        <v>1</v>
      </c>
    </row>
    <row r="300" spans="1:13">
      <c r="E300" s="21">
        <f t="shared" si="187"/>
        <v>300</v>
      </c>
      <c r="F300" s="9" t="s">
        <v>98</v>
      </c>
      <c r="G300" s="21">
        <v>260</v>
      </c>
      <c r="H300" s="21">
        <v>1</v>
      </c>
      <c r="M300" s="21">
        <f t="shared" ref="M300" si="225">IF(D290=G291*H291,H300,G300)</f>
        <v>260</v>
      </c>
    </row>
    <row r="301" spans="1:13">
      <c r="E301" s="21">
        <f t="shared" si="187"/>
        <v>301</v>
      </c>
      <c r="F301" s="9" t="s">
        <v>102</v>
      </c>
      <c r="M301" s="21">
        <f t="shared" ref="M301" si="226">M291*10+9</f>
        <v>165169</v>
      </c>
    </row>
    <row r="302" spans="1:13">
      <c r="E302" s="21">
        <f t="shared" si="180"/>
        <v>302</v>
      </c>
      <c r="F302" s="9" t="s">
        <v>143</v>
      </c>
      <c r="M302" s="21">
        <f t="shared" ref="M302" si="227">M291</f>
        <v>16516</v>
      </c>
    </row>
    <row r="303" spans="1:13">
      <c r="E303" s="21">
        <f t="shared" si="180"/>
        <v>303</v>
      </c>
      <c r="F303" s="9" t="s">
        <v>127</v>
      </c>
      <c r="M303" s="21">
        <v>0</v>
      </c>
    </row>
    <row r="304" spans="1:13">
      <c r="E304" s="21">
        <f t="shared" si="180"/>
        <v>304</v>
      </c>
      <c r="F304" s="9" t="s">
        <v>143</v>
      </c>
      <c r="M304" s="21">
        <f t="shared" ref="M304" si="228">M301</f>
        <v>165169</v>
      </c>
    </row>
    <row r="305" spans="1:13">
      <c r="E305" s="21">
        <f t="shared" si="180"/>
        <v>305</v>
      </c>
      <c r="F305" s="9" t="s">
        <v>128</v>
      </c>
      <c r="M305" s="21">
        <v>0</v>
      </c>
    </row>
    <row r="306" spans="1:13">
      <c r="E306" s="21">
        <f t="shared" si="180"/>
        <v>306</v>
      </c>
      <c r="F306" s="9" t="s">
        <v>168</v>
      </c>
      <c r="M306" s="21">
        <f t="shared" ref="M306" si="229">J291</f>
        <v>16500</v>
      </c>
    </row>
    <row r="307" spans="1:13">
      <c r="E307" s="21">
        <f t="shared" si="180"/>
        <v>307</v>
      </c>
      <c r="F307" s="9" t="s">
        <v>35</v>
      </c>
      <c r="M307" s="21">
        <v>20</v>
      </c>
    </row>
    <row r="308" spans="1:13">
      <c r="A308" s="21" t="s">
        <v>228</v>
      </c>
      <c r="B308" s="21">
        <f t="shared" ref="B308" si="230">QUOTIENT( D308-1,G309)+1</f>
        <v>2</v>
      </c>
      <c r="C308" s="21">
        <f t="shared" ref="C308" si="231">D308-(B308-1)*G309</f>
        <v>6</v>
      </c>
      <c r="D308" s="21">
        <f>COUNT($D$14:$D307)+1</f>
        <v>17</v>
      </c>
    </row>
    <row r="309" spans="1:13">
      <c r="E309" s="21">
        <f t="shared" ref="E309" si="232">ROW(E309)</f>
        <v>309</v>
      </c>
      <c r="F309" s="9" t="s">
        <v>93</v>
      </c>
      <c r="G309" s="21">
        <v>11</v>
      </c>
      <c r="H309" s="21">
        <v>2</v>
      </c>
      <c r="J309" s="9">
        <v>16500</v>
      </c>
      <c r="M309" s="21">
        <f t="shared" ref="M309" si="233">J309+D308</f>
        <v>16517</v>
      </c>
    </row>
    <row r="310" spans="1:13">
      <c r="E310" s="21">
        <f t="shared" si="187"/>
        <v>310</v>
      </c>
      <c r="F310" s="9" t="s">
        <v>143</v>
      </c>
      <c r="G310" s="21">
        <v>164108</v>
      </c>
      <c r="H310" s="21">
        <v>99999</v>
      </c>
      <c r="M310" s="21">
        <f t="shared" ref="M310" si="234">IF(D308=G309*H309,H310,G310)</f>
        <v>164108</v>
      </c>
    </row>
    <row r="311" spans="1:13">
      <c r="E311" s="21">
        <f t="shared" si="187"/>
        <v>311</v>
      </c>
      <c r="F311" s="9" t="s">
        <v>128</v>
      </c>
      <c r="G311" s="21">
        <v>0</v>
      </c>
      <c r="H311" s="21">
        <v>30</v>
      </c>
      <c r="M311" s="21">
        <f t="shared" ref="M311" si="235">IF(B308=1,G311,H311)</f>
        <v>30</v>
      </c>
    </row>
    <row r="312" spans="1:13">
      <c r="E312" s="21">
        <f t="shared" si="187"/>
        <v>312</v>
      </c>
      <c r="F312" s="9" t="s">
        <v>29</v>
      </c>
      <c r="M312" s="21" t="s">
        <v>252</v>
      </c>
    </row>
    <row r="313" spans="1:13">
      <c r="F313" s="9" t="s">
        <v>119</v>
      </c>
      <c r="M313" s="21" t="s">
        <v>250</v>
      </c>
    </row>
    <row r="314" spans="1:13">
      <c r="E314" s="21">
        <f t="shared" si="187"/>
        <v>314</v>
      </c>
      <c r="F314" s="9" t="s">
        <v>99</v>
      </c>
      <c r="G314" s="21">
        <v>4.4000000000000004</v>
      </c>
      <c r="H314" s="21">
        <f t="shared" ref="H314" si="236">G314*2/(G309-1)</f>
        <v>0.88000000000000012</v>
      </c>
      <c r="I314" s="21">
        <f t="shared" ref="I314" si="237">(C308-1)*H314+G314*-1</f>
        <v>0</v>
      </c>
      <c r="J314" s="9">
        <f t="shared" ref="J314" si="238">I314+H314/2</f>
        <v>0.44000000000000006</v>
      </c>
      <c r="K314" s="9" t="s">
        <v>137</v>
      </c>
      <c r="M314" s="21" t="str">
        <f t="shared" ref="M314" si="239">IF(B308=1,I314,J314)&amp;",6"</f>
        <v>0.44,6</v>
      </c>
    </row>
    <row r="315" spans="1:13">
      <c r="E315" s="21">
        <f t="shared" si="187"/>
        <v>315</v>
      </c>
      <c r="F315" s="9" t="s">
        <v>30</v>
      </c>
      <c r="M315" s="21">
        <v>2.8</v>
      </c>
    </row>
    <row r="316" spans="1:13">
      <c r="E316" s="21">
        <f t="shared" si="187"/>
        <v>316</v>
      </c>
      <c r="F316" s="9" t="s">
        <v>31</v>
      </c>
      <c r="L316" s="9" t="s">
        <v>135</v>
      </c>
      <c r="M316" s="21">
        <v>270</v>
      </c>
    </row>
    <row r="317" spans="1:13">
      <c r="E317" s="21">
        <f t="shared" si="187"/>
        <v>317</v>
      </c>
      <c r="F317" s="9" t="s">
        <v>118</v>
      </c>
      <c r="M317" s="21" t="b">
        <v>1</v>
      </c>
    </row>
    <row r="318" spans="1:13">
      <c r="E318" s="21">
        <f t="shared" si="187"/>
        <v>318</v>
      </c>
      <c r="F318" s="9" t="s">
        <v>98</v>
      </c>
      <c r="G318" s="21">
        <v>260</v>
      </c>
      <c r="H318" s="21">
        <v>1</v>
      </c>
      <c r="M318" s="21">
        <f t="shared" ref="M318" si="240">IF(D308=G309*H309,H318,G318)</f>
        <v>260</v>
      </c>
    </row>
    <row r="319" spans="1:13">
      <c r="E319" s="21">
        <f t="shared" ref="E319:E379" si="241">ROW(E319)</f>
        <v>319</v>
      </c>
      <c r="F319" s="9" t="s">
        <v>102</v>
      </c>
      <c r="M319" s="21">
        <f t="shared" ref="M319" si="242">M309*10+9</f>
        <v>165179</v>
      </c>
    </row>
    <row r="320" spans="1:13">
      <c r="E320" s="21">
        <f t="shared" si="241"/>
        <v>320</v>
      </c>
      <c r="F320" s="9" t="s">
        <v>143</v>
      </c>
      <c r="M320" s="21">
        <f t="shared" ref="M320" si="243">M309</f>
        <v>16517</v>
      </c>
    </row>
    <row r="321" spans="1:13">
      <c r="E321" s="21">
        <f t="shared" si="241"/>
        <v>321</v>
      </c>
      <c r="F321" s="9" t="s">
        <v>127</v>
      </c>
      <c r="M321" s="21">
        <v>0</v>
      </c>
    </row>
    <row r="322" spans="1:13">
      <c r="E322" s="21">
        <f t="shared" si="241"/>
        <v>322</v>
      </c>
      <c r="F322" s="9" t="s">
        <v>143</v>
      </c>
      <c r="M322" s="21">
        <f t="shared" ref="M322" si="244">M319</f>
        <v>165179</v>
      </c>
    </row>
    <row r="323" spans="1:13">
      <c r="E323" s="21">
        <f t="shared" si="241"/>
        <v>323</v>
      </c>
      <c r="F323" s="9" t="s">
        <v>128</v>
      </c>
      <c r="M323" s="21">
        <v>0</v>
      </c>
    </row>
    <row r="324" spans="1:13">
      <c r="E324" s="21">
        <f t="shared" si="241"/>
        <v>324</v>
      </c>
      <c r="F324" s="9" t="s">
        <v>168</v>
      </c>
      <c r="M324" s="21">
        <f t="shared" ref="M324" si="245">J309</f>
        <v>16500</v>
      </c>
    </row>
    <row r="325" spans="1:13">
      <c r="E325" s="21">
        <f t="shared" si="241"/>
        <v>325</v>
      </c>
      <c r="F325" s="9" t="s">
        <v>35</v>
      </c>
      <c r="M325" s="21">
        <v>20</v>
      </c>
    </row>
    <row r="326" spans="1:13">
      <c r="A326" s="21" t="s">
        <v>228</v>
      </c>
      <c r="B326" s="21">
        <f t="shared" ref="B326" si="246">QUOTIENT( D326-1,G327)+1</f>
        <v>2</v>
      </c>
      <c r="C326" s="21">
        <f t="shared" ref="C326" si="247">D326-(B326-1)*G327</f>
        <v>7</v>
      </c>
      <c r="D326" s="21">
        <f>COUNT($D$14:$D325)+1</f>
        <v>18</v>
      </c>
    </row>
    <row r="327" spans="1:13">
      <c r="E327" s="21">
        <f t="shared" ref="E327:E390" si="248">ROW(E327)</f>
        <v>327</v>
      </c>
      <c r="F327" s="9" t="s">
        <v>93</v>
      </c>
      <c r="G327" s="21">
        <v>11</v>
      </c>
      <c r="H327" s="21">
        <v>2</v>
      </c>
      <c r="J327" s="9">
        <v>16500</v>
      </c>
      <c r="M327" s="21">
        <f t="shared" ref="M327" si="249">J327+D326</f>
        <v>16518</v>
      </c>
    </row>
    <row r="328" spans="1:13">
      <c r="E328" s="21">
        <f t="shared" si="248"/>
        <v>328</v>
      </c>
      <c r="F328" s="9" t="s">
        <v>143</v>
      </c>
      <c r="G328" s="21">
        <v>164108</v>
      </c>
      <c r="H328" s="21">
        <v>99999</v>
      </c>
      <c r="M328" s="21">
        <f t="shared" ref="M328" si="250">IF(D326=G327*H327,H328,G328)</f>
        <v>164108</v>
      </c>
    </row>
    <row r="329" spans="1:13">
      <c r="E329" s="21">
        <f t="shared" si="248"/>
        <v>329</v>
      </c>
      <c r="F329" s="9" t="s">
        <v>128</v>
      </c>
      <c r="G329" s="21">
        <v>0</v>
      </c>
      <c r="H329" s="21">
        <v>30</v>
      </c>
      <c r="M329" s="21">
        <f t="shared" ref="M329" si="251">IF(B326=1,G329,H329)</f>
        <v>30</v>
      </c>
    </row>
    <row r="330" spans="1:13">
      <c r="E330" s="21">
        <f t="shared" si="248"/>
        <v>330</v>
      </c>
      <c r="F330" s="9" t="s">
        <v>29</v>
      </c>
      <c r="M330" s="21" t="s">
        <v>252</v>
      </c>
    </row>
    <row r="331" spans="1:13">
      <c r="F331" s="9" t="s">
        <v>119</v>
      </c>
      <c r="M331" s="21" t="s">
        <v>250</v>
      </c>
    </row>
    <row r="332" spans="1:13">
      <c r="E332" s="21">
        <f t="shared" si="248"/>
        <v>332</v>
      </c>
      <c r="F332" s="9" t="s">
        <v>99</v>
      </c>
      <c r="G332" s="21">
        <v>4.4000000000000004</v>
      </c>
      <c r="H332" s="21">
        <f t="shared" ref="H332" si="252">G332*2/(G327-1)</f>
        <v>0.88000000000000012</v>
      </c>
      <c r="I332" s="21">
        <f t="shared" ref="I332" si="253">(C326-1)*H332+G332*-1</f>
        <v>0.88000000000000078</v>
      </c>
      <c r="J332" s="9">
        <f t="shared" ref="J332" si="254">I332+H332/2</f>
        <v>1.3200000000000007</v>
      </c>
      <c r="K332" s="9" t="s">
        <v>137</v>
      </c>
      <c r="M332" s="21" t="str">
        <f t="shared" ref="M332" si="255">IF(B326=1,I332,J332)&amp;",6"</f>
        <v>1.32,6</v>
      </c>
    </row>
    <row r="333" spans="1:13">
      <c r="E333" s="21">
        <f t="shared" si="248"/>
        <v>333</v>
      </c>
      <c r="F333" s="9" t="s">
        <v>30</v>
      </c>
      <c r="M333" s="21">
        <v>2.8</v>
      </c>
    </row>
    <row r="334" spans="1:13">
      <c r="E334" s="21">
        <f t="shared" si="248"/>
        <v>334</v>
      </c>
      <c r="F334" s="9" t="s">
        <v>31</v>
      </c>
      <c r="L334" s="9" t="s">
        <v>135</v>
      </c>
      <c r="M334" s="21">
        <v>270</v>
      </c>
    </row>
    <row r="335" spans="1:13">
      <c r="E335" s="21">
        <f t="shared" si="248"/>
        <v>335</v>
      </c>
      <c r="F335" s="9" t="s">
        <v>118</v>
      </c>
      <c r="M335" s="21" t="b">
        <v>1</v>
      </c>
    </row>
    <row r="336" spans="1:13">
      <c r="E336" s="21">
        <f t="shared" si="248"/>
        <v>336</v>
      </c>
      <c r="F336" s="9" t="s">
        <v>98</v>
      </c>
      <c r="G336" s="21">
        <v>260</v>
      </c>
      <c r="H336" s="21">
        <v>1</v>
      </c>
      <c r="M336" s="21">
        <f t="shared" ref="M336" si="256">IF(D326=G327*H327,H336,G336)</f>
        <v>260</v>
      </c>
    </row>
    <row r="337" spans="1:13">
      <c r="E337" s="21">
        <f t="shared" si="248"/>
        <v>337</v>
      </c>
      <c r="F337" s="9" t="s">
        <v>102</v>
      </c>
      <c r="M337" s="21">
        <f t="shared" ref="M337" si="257">M327*10+9</f>
        <v>165189</v>
      </c>
    </row>
    <row r="338" spans="1:13">
      <c r="E338" s="21">
        <f t="shared" si="241"/>
        <v>338</v>
      </c>
      <c r="F338" s="9" t="s">
        <v>143</v>
      </c>
      <c r="M338" s="21">
        <f t="shared" ref="M338" si="258">M327</f>
        <v>16518</v>
      </c>
    </row>
    <row r="339" spans="1:13">
      <c r="E339" s="21">
        <f t="shared" si="241"/>
        <v>339</v>
      </c>
      <c r="F339" s="9" t="s">
        <v>127</v>
      </c>
      <c r="M339" s="21">
        <v>0</v>
      </c>
    </row>
    <row r="340" spans="1:13">
      <c r="E340" s="21">
        <f t="shared" si="241"/>
        <v>340</v>
      </c>
      <c r="F340" s="9" t="s">
        <v>143</v>
      </c>
      <c r="M340" s="21">
        <f t="shared" ref="M340" si="259">M337</f>
        <v>165189</v>
      </c>
    </row>
    <row r="341" spans="1:13">
      <c r="E341" s="21">
        <f t="shared" si="241"/>
        <v>341</v>
      </c>
      <c r="F341" s="9" t="s">
        <v>128</v>
      </c>
      <c r="M341" s="21">
        <v>0</v>
      </c>
    </row>
    <row r="342" spans="1:13">
      <c r="E342" s="21">
        <f t="shared" si="241"/>
        <v>342</v>
      </c>
      <c r="F342" s="9" t="s">
        <v>168</v>
      </c>
      <c r="M342" s="21">
        <f t="shared" ref="M342" si="260">J327</f>
        <v>16500</v>
      </c>
    </row>
    <row r="343" spans="1:13">
      <c r="E343" s="21">
        <f t="shared" si="241"/>
        <v>343</v>
      </c>
      <c r="F343" s="9" t="s">
        <v>35</v>
      </c>
      <c r="M343" s="21">
        <v>20</v>
      </c>
    </row>
    <row r="344" spans="1:13">
      <c r="A344" s="21" t="s">
        <v>228</v>
      </c>
      <c r="B344" s="21">
        <f t="shared" ref="B344" si="261">QUOTIENT( D344-1,G345)+1</f>
        <v>2</v>
      </c>
      <c r="C344" s="21">
        <f t="shared" ref="C344" si="262">D344-(B344-1)*G345</f>
        <v>8</v>
      </c>
      <c r="D344" s="21">
        <f>COUNT($D$14:$D343)+1</f>
        <v>19</v>
      </c>
    </row>
    <row r="345" spans="1:13">
      <c r="E345" s="21">
        <f t="shared" ref="E345" si="263">ROW(E345)</f>
        <v>345</v>
      </c>
      <c r="F345" s="9" t="s">
        <v>93</v>
      </c>
      <c r="G345" s="21">
        <v>11</v>
      </c>
      <c r="H345" s="21">
        <v>2</v>
      </c>
      <c r="J345" s="9">
        <v>16500</v>
      </c>
      <c r="M345" s="21">
        <f t="shared" ref="M345" si="264">J345+D344</f>
        <v>16519</v>
      </c>
    </row>
    <row r="346" spans="1:13">
      <c r="E346" s="21">
        <f t="shared" si="248"/>
        <v>346</v>
      </c>
      <c r="F346" s="9" t="s">
        <v>143</v>
      </c>
      <c r="G346" s="21">
        <v>164108</v>
      </c>
      <c r="H346" s="21">
        <v>99999</v>
      </c>
      <c r="M346" s="21">
        <f t="shared" ref="M346" si="265">IF(D344=G345*H345,H346,G346)</f>
        <v>164108</v>
      </c>
    </row>
    <row r="347" spans="1:13">
      <c r="E347" s="21">
        <f t="shared" si="248"/>
        <v>347</v>
      </c>
      <c r="F347" s="9" t="s">
        <v>128</v>
      </c>
      <c r="G347" s="21">
        <v>0</v>
      </c>
      <c r="H347" s="21">
        <v>30</v>
      </c>
      <c r="M347" s="21">
        <f t="shared" ref="M347" si="266">IF(B344=1,G347,H347)</f>
        <v>30</v>
      </c>
    </row>
    <row r="348" spans="1:13">
      <c r="E348" s="21">
        <f t="shared" si="248"/>
        <v>348</v>
      </c>
      <c r="F348" s="9" t="s">
        <v>29</v>
      </c>
      <c r="M348" s="21" t="s">
        <v>252</v>
      </c>
    </row>
    <row r="349" spans="1:13">
      <c r="F349" s="9" t="s">
        <v>119</v>
      </c>
      <c r="M349" s="21" t="s">
        <v>250</v>
      </c>
    </row>
    <row r="350" spans="1:13">
      <c r="E350" s="21">
        <f t="shared" si="248"/>
        <v>350</v>
      </c>
      <c r="F350" s="9" t="s">
        <v>99</v>
      </c>
      <c r="G350" s="21">
        <v>4.4000000000000004</v>
      </c>
      <c r="H350" s="21">
        <f t="shared" ref="H350" si="267">G350*2/(G345-1)</f>
        <v>0.88000000000000012</v>
      </c>
      <c r="I350" s="21">
        <f t="shared" ref="I350" si="268">(C344-1)*H350+G350*-1</f>
        <v>1.7600000000000007</v>
      </c>
      <c r="J350" s="9">
        <f t="shared" ref="J350" si="269">I350+H350/2</f>
        <v>2.2000000000000006</v>
      </c>
      <c r="K350" s="9" t="s">
        <v>137</v>
      </c>
      <c r="M350" s="21" t="str">
        <f t="shared" ref="M350" si="270">IF(B344=1,I350,J350)&amp;",6"</f>
        <v>2.2,6</v>
      </c>
    </row>
    <row r="351" spans="1:13">
      <c r="E351" s="21">
        <f t="shared" si="248"/>
        <v>351</v>
      </c>
      <c r="F351" s="9" t="s">
        <v>30</v>
      </c>
      <c r="M351" s="21">
        <v>2.8</v>
      </c>
    </row>
    <row r="352" spans="1:13">
      <c r="E352" s="21">
        <f t="shared" si="248"/>
        <v>352</v>
      </c>
      <c r="F352" s="9" t="s">
        <v>31</v>
      </c>
      <c r="L352" s="9" t="s">
        <v>135</v>
      </c>
      <c r="M352" s="21">
        <v>270</v>
      </c>
    </row>
    <row r="353" spans="1:13">
      <c r="E353" s="21">
        <f t="shared" si="248"/>
        <v>353</v>
      </c>
      <c r="F353" s="9" t="s">
        <v>118</v>
      </c>
      <c r="M353" s="21" t="b">
        <v>1</v>
      </c>
    </row>
    <row r="354" spans="1:13">
      <c r="E354" s="21">
        <f t="shared" si="248"/>
        <v>354</v>
      </c>
      <c r="F354" s="9" t="s">
        <v>98</v>
      </c>
      <c r="G354" s="21">
        <v>260</v>
      </c>
      <c r="H354" s="21">
        <v>1</v>
      </c>
      <c r="M354" s="21">
        <f t="shared" ref="M354" si="271">IF(D344=G345*H345,H354,G354)</f>
        <v>260</v>
      </c>
    </row>
    <row r="355" spans="1:13">
      <c r="E355" s="21">
        <f t="shared" si="248"/>
        <v>355</v>
      </c>
      <c r="F355" s="9" t="s">
        <v>102</v>
      </c>
      <c r="M355" s="21">
        <f t="shared" ref="M355" si="272">M345*10+9</f>
        <v>165199</v>
      </c>
    </row>
    <row r="356" spans="1:13">
      <c r="E356" s="21">
        <f t="shared" si="241"/>
        <v>356</v>
      </c>
      <c r="F356" s="9" t="s">
        <v>143</v>
      </c>
      <c r="M356" s="21">
        <f t="shared" ref="M356" si="273">M345</f>
        <v>16519</v>
      </c>
    </row>
    <row r="357" spans="1:13">
      <c r="E357" s="21">
        <f t="shared" si="241"/>
        <v>357</v>
      </c>
      <c r="F357" s="9" t="s">
        <v>127</v>
      </c>
      <c r="M357" s="21">
        <v>0</v>
      </c>
    </row>
    <row r="358" spans="1:13">
      <c r="E358" s="21">
        <f t="shared" si="241"/>
        <v>358</v>
      </c>
      <c r="F358" s="9" t="s">
        <v>143</v>
      </c>
      <c r="M358" s="21">
        <f t="shared" ref="M358" si="274">M355</f>
        <v>165199</v>
      </c>
    </row>
    <row r="359" spans="1:13">
      <c r="E359" s="21">
        <f t="shared" si="241"/>
        <v>359</v>
      </c>
      <c r="F359" s="9" t="s">
        <v>128</v>
      </c>
      <c r="M359" s="21">
        <v>0</v>
      </c>
    </row>
    <row r="360" spans="1:13">
      <c r="E360" s="21">
        <f t="shared" si="241"/>
        <v>360</v>
      </c>
      <c r="F360" s="9" t="s">
        <v>168</v>
      </c>
      <c r="M360" s="21">
        <f t="shared" ref="M360" si="275">J345</f>
        <v>16500</v>
      </c>
    </row>
    <row r="361" spans="1:13">
      <c r="E361" s="21">
        <f t="shared" si="241"/>
        <v>361</v>
      </c>
      <c r="F361" s="9" t="s">
        <v>35</v>
      </c>
      <c r="M361" s="21">
        <v>20</v>
      </c>
    </row>
    <row r="362" spans="1:13">
      <c r="A362" s="21" t="s">
        <v>228</v>
      </c>
      <c r="B362" s="21">
        <f t="shared" ref="B362" si="276">QUOTIENT( D362-1,G363)+1</f>
        <v>2</v>
      </c>
      <c r="C362" s="21">
        <f t="shared" ref="C362" si="277">D362-(B362-1)*G363</f>
        <v>9</v>
      </c>
      <c r="D362" s="21">
        <f>COUNT($D$14:$D361)+1</f>
        <v>20</v>
      </c>
    </row>
    <row r="363" spans="1:13">
      <c r="E363" s="21">
        <f t="shared" ref="E363" si="278">ROW(E363)</f>
        <v>363</v>
      </c>
      <c r="F363" s="9" t="s">
        <v>93</v>
      </c>
      <c r="G363" s="21">
        <v>11</v>
      </c>
      <c r="H363" s="21">
        <v>2</v>
      </c>
      <c r="J363" s="9">
        <v>16500</v>
      </c>
      <c r="M363" s="21">
        <f t="shared" ref="M363" si="279">J363+D362</f>
        <v>16520</v>
      </c>
    </row>
    <row r="364" spans="1:13">
      <c r="E364" s="21">
        <f t="shared" si="248"/>
        <v>364</v>
      </c>
      <c r="F364" s="9" t="s">
        <v>143</v>
      </c>
      <c r="G364" s="21">
        <v>164108</v>
      </c>
      <c r="H364" s="21">
        <v>99999</v>
      </c>
      <c r="M364" s="21">
        <f t="shared" ref="M364" si="280">IF(D362=G363*H363,H364,G364)</f>
        <v>164108</v>
      </c>
    </row>
    <row r="365" spans="1:13">
      <c r="E365" s="21">
        <f t="shared" si="248"/>
        <v>365</v>
      </c>
      <c r="F365" s="9" t="s">
        <v>128</v>
      </c>
      <c r="G365" s="21">
        <v>0</v>
      </c>
      <c r="H365" s="21">
        <v>30</v>
      </c>
      <c r="M365" s="21">
        <f t="shared" ref="M365" si="281">IF(B362=1,G365,H365)</f>
        <v>30</v>
      </c>
    </row>
    <row r="366" spans="1:13">
      <c r="E366" s="21">
        <f t="shared" si="248"/>
        <v>366</v>
      </c>
      <c r="F366" s="9" t="s">
        <v>29</v>
      </c>
      <c r="M366" s="21" t="s">
        <v>252</v>
      </c>
    </row>
    <row r="367" spans="1:13">
      <c r="F367" s="9" t="s">
        <v>119</v>
      </c>
      <c r="M367" s="21" t="s">
        <v>250</v>
      </c>
    </row>
    <row r="368" spans="1:13">
      <c r="E368" s="21">
        <f t="shared" si="248"/>
        <v>368</v>
      </c>
      <c r="F368" s="9" t="s">
        <v>99</v>
      </c>
      <c r="G368" s="21">
        <v>4.4000000000000004</v>
      </c>
      <c r="H368" s="21">
        <f t="shared" ref="H368" si="282">G368*2/(G363-1)</f>
        <v>0.88000000000000012</v>
      </c>
      <c r="I368" s="21">
        <f t="shared" ref="I368" si="283">(C362-1)*H368+G368*-1</f>
        <v>2.6400000000000006</v>
      </c>
      <c r="J368" s="9">
        <f t="shared" ref="J368" si="284">I368+H368/2</f>
        <v>3.0800000000000005</v>
      </c>
      <c r="K368" s="9" t="s">
        <v>137</v>
      </c>
      <c r="M368" s="21" t="str">
        <f t="shared" ref="M368" si="285">IF(B362=1,I368,J368)&amp;",6"</f>
        <v>3.08,6</v>
      </c>
    </row>
    <row r="369" spans="1:13">
      <c r="E369" s="21">
        <f t="shared" si="248"/>
        <v>369</v>
      </c>
      <c r="F369" s="9" t="s">
        <v>30</v>
      </c>
      <c r="M369" s="21">
        <v>2.8</v>
      </c>
    </row>
    <row r="370" spans="1:13">
      <c r="E370" s="21">
        <f t="shared" si="248"/>
        <v>370</v>
      </c>
      <c r="F370" s="9" t="s">
        <v>31</v>
      </c>
      <c r="L370" s="9" t="s">
        <v>135</v>
      </c>
      <c r="M370" s="21">
        <v>270</v>
      </c>
    </row>
    <row r="371" spans="1:13">
      <c r="E371" s="21">
        <f t="shared" si="248"/>
        <v>371</v>
      </c>
      <c r="F371" s="9" t="s">
        <v>118</v>
      </c>
      <c r="M371" s="21" t="b">
        <v>1</v>
      </c>
    </row>
    <row r="372" spans="1:13">
      <c r="E372" s="21">
        <f t="shared" si="248"/>
        <v>372</v>
      </c>
      <c r="F372" s="9" t="s">
        <v>98</v>
      </c>
      <c r="G372" s="21">
        <v>260</v>
      </c>
      <c r="H372" s="21">
        <v>1</v>
      </c>
      <c r="M372" s="21">
        <f t="shared" ref="M372" si="286">IF(D362=G363*H363,H372,G372)</f>
        <v>260</v>
      </c>
    </row>
    <row r="373" spans="1:13">
      <c r="E373" s="21">
        <f t="shared" si="248"/>
        <v>373</v>
      </c>
      <c r="F373" s="9" t="s">
        <v>102</v>
      </c>
      <c r="M373" s="21">
        <f t="shared" ref="M373" si="287">M363*10+9</f>
        <v>165209</v>
      </c>
    </row>
    <row r="374" spans="1:13">
      <c r="E374" s="21">
        <f t="shared" si="241"/>
        <v>374</v>
      </c>
      <c r="F374" s="9" t="s">
        <v>143</v>
      </c>
      <c r="M374" s="21">
        <f t="shared" ref="M374" si="288">M363</f>
        <v>16520</v>
      </c>
    </row>
    <row r="375" spans="1:13">
      <c r="E375" s="21">
        <f t="shared" si="241"/>
        <v>375</v>
      </c>
      <c r="F375" s="9" t="s">
        <v>127</v>
      </c>
      <c r="M375" s="21">
        <v>0</v>
      </c>
    </row>
    <row r="376" spans="1:13">
      <c r="E376" s="21">
        <f t="shared" si="241"/>
        <v>376</v>
      </c>
      <c r="F376" s="9" t="s">
        <v>143</v>
      </c>
      <c r="M376" s="21">
        <f t="shared" ref="M376" si="289">M373</f>
        <v>165209</v>
      </c>
    </row>
    <row r="377" spans="1:13">
      <c r="E377" s="21">
        <f t="shared" si="241"/>
        <v>377</v>
      </c>
      <c r="F377" s="9" t="s">
        <v>128</v>
      </c>
      <c r="M377" s="21">
        <v>0</v>
      </c>
    </row>
    <row r="378" spans="1:13">
      <c r="E378" s="21">
        <f t="shared" si="241"/>
        <v>378</v>
      </c>
      <c r="F378" s="9" t="s">
        <v>168</v>
      </c>
      <c r="M378" s="21">
        <f t="shared" ref="M378" si="290">J363</f>
        <v>16500</v>
      </c>
    </row>
    <row r="379" spans="1:13">
      <c r="E379" s="21">
        <f t="shared" si="241"/>
        <v>379</v>
      </c>
      <c r="F379" s="9" t="s">
        <v>35</v>
      </c>
      <c r="M379" s="21">
        <v>20</v>
      </c>
    </row>
    <row r="380" spans="1:13">
      <c r="A380" s="21" t="s">
        <v>228</v>
      </c>
      <c r="B380" s="21">
        <f t="shared" ref="B380" si="291">QUOTIENT( D380-1,G381)+1</f>
        <v>2</v>
      </c>
      <c r="C380" s="21">
        <f t="shared" ref="C380" si="292">D380-(B380-1)*G381</f>
        <v>10</v>
      </c>
      <c r="D380" s="21">
        <f>COUNT($D$14:$D379)+1</f>
        <v>21</v>
      </c>
    </row>
    <row r="381" spans="1:13">
      <c r="E381" s="21">
        <f t="shared" ref="E381" si="293">ROW(E381)</f>
        <v>381</v>
      </c>
      <c r="F381" s="9" t="s">
        <v>93</v>
      </c>
      <c r="G381" s="21">
        <v>11</v>
      </c>
      <c r="H381" s="21">
        <v>2</v>
      </c>
      <c r="J381" s="9">
        <v>16500</v>
      </c>
      <c r="M381" s="21">
        <f t="shared" ref="M381" si="294">J381+D380</f>
        <v>16521</v>
      </c>
    </row>
    <row r="382" spans="1:13">
      <c r="E382" s="21">
        <f t="shared" si="248"/>
        <v>382</v>
      </c>
      <c r="F382" s="9" t="s">
        <v>143</v>
      </c>
      <c r="G382" s="21">
        <v>164108</v>
      </c>
      <c r="H382" s="21">
        <v>99999</v>
      </c>
      <c r="M382" s="21">
        <f t="shared" ref="M382" si="295">IF(D380=G381*H381,H382,G382)</f>
        <v>164108</v>
      </c>
    </row>
    <row r="383" spans="1:13">
      <c r="E383" s="21">
        <f t="shared" si="248"/>
        <v>383</v>
      </c>
      <c r="F383" s="9" t="s">
        <v>128</v>
      </c>
      <c r="G383" s="21">
        <v>0</v>
      </c>
      <c r="H383" s="21">
        <v>30</v>
      </c>
      <c r="M383" s="21">
        <f t="shared" ref="M383" si="296">IF(B380=1,G383,H383)</f>
        <v>30</v>
      </c>
    </row>
    <row r="384" spans="1:13">
      <c r="E384" s="21">
        <f t="shared" si="248"/>
        <v>384</v>
      </c>
      <c r="F384" s="9" t="s">
        <v>29</v>
      </c>
      <c r="M384" s="21" t="s">
        <v>252</v>
      </c>
    </row>
    <row r="385" spans="1:13">
      <c r="F385" s="9" t="s">
        <v>119</v>
      </c>
      <c r="M385" s="21" t="s">
        <v>250</v>
      </c>
    </row>
    <row r="386" spans="1:13">
      <c r="E386" s="21">
        <f t="shared" si="248"/>
        <v>386</v>
      </c>
      <c r="F386" s="9" t="s">
        <v>99</v>
      </c>
      <c r="G386" s="21">
        <v>4.4000000000000004</v>
      </c>
      <c r="H386" s="21">
        <f t="shared" ref="H386" si="297">G386*2/(G381-1)</f>
        <v>0.88000000000000012</v>
      </c>
      <c r="I386" s="21">
        <f t="shared" ref="I386" si="298">(C380-1)*H386+G386*-1</f>
        <v>3.5200000000000005</v>
      </c>
      <c r="J386" s="9">
        <f t="shared" ref="J386" si="299">I386+H386/2</f>
        <v>3.9600000000000004</v>
      </c>
      <c r="K386" s="9" t="s">
        <v>137</v>
      </c>
      <c r="M386" s="21" t="str">
        <f t="shared" ref="M386" si="300">IF(B380=1,I386,J386)&amp;",6"</f>
        <v>3.96,6</v>
      </c>
    </row>
    <row r="387" spans="1:13">
      <c r="E387" s="21">
        <f t="shared" si="248"/>
        <v>387</v>
      </c>
      <c r="F387" s="9" t="s">
        <v>30</v>
      </c>
      <c r="M387" s="21">
        <v>2.8</v>
      </c>
    </row>
    <row r="388" spans="1:13">
      <c r="E388" s="21">
        <f t="shared" si="248"/>
        <v>388</v>
      </c>
      <c r="F388" s="9" t="s">
        <v>31</v>
      </c>
      <c r="L388" s="9" t="s">
        <v>135</v>
      </c>
      <c r="M388" s="21">
        <v>270</v>
      </c>
    </row>
    <row r="389" spans="1:13">
      <c r="E389" s="21">
        <f t="shared" si="248"/>
        <v>389</v>
      </c>
      <c r="F389" s="9" t="s">
        <v>118</v>
      </c>
      <c r="M389" s="21" t="b">
        <v>1</v>
      </c>
    </row>
    <row r="390" spans="1:13">
      <c r="E390" s="21">
        <f t="shared" si="248"/>
        <v>390</v>
      </c>
      <c r="F390" s="9" t="s">
        <v>98</v>
      </c>
      <c r="G390" s="21">
        <v>260</v>
      </c>
      <c r="H390" s="21">
        <v>1</v>
      </c>
      <c r="M390" s="21">
        <f t="shared" ref="M390" si="301">IF(D380=G381*H381,H390,G390)</f>
        <v>260</v>
      </c>
    </row>
    <row r="391" spans="1:13">
      <c r="E391" s="21">
        <f t="shared" ref="E391:E415" si="302">ROW(E391)</f>
        <v>391</v>
      </c>
      <c r="F391" s="9" t="s">
        <v>102</v>
      </c>
      <c r="M391" s="21">
        <f t="shared" ref="M391" si="303">M381*10+9</f>
        <v>165219</v>
      </c>
    </row>
    <row r="392" spans="1:13">
      <c r="E392" s="21">
        <f t="shared" si="302"/>
        <v>392</v>
      </c>
      <c r="F392" s="9" t="s">
        <v>143</v>
      </c>
      <c r="M392" s="21">
        <f t="shared" ref="M392" si="304">M381</f>
        <v>16521</v>
      </c>
    </row>
    <row r="393" spans="1:13">
      <c r="E393" s="21">
        <f t="shared" si="302"/>
        <v>393</v>
      </c>
      <c r="F393" s="9" t="s">
        <v>127</v>
      </c>
      <c r="M393" s="21">
        <v>0</v>
      </c>
    </row>
    <row r="394" spans="1:13">
      <c r="E394" s="21">
        <f t="shared" si="302"/>
        <v>394</v>
      </c>
      <c r="F394" s="9" t="s">
        <v>143</v>
      </c>
      <c r="M394" s="21">
        <f t="shared" ref="M394" si="305">M391</f>
        <v>165219</v>
      </c>
    </row>
    <row r="395" spans="1:13">
      <c r="E395" s="21">
        <f t="shared" si="302"/>
        <v>395</v>
      </c>
      <c r="F395" s="9" t="s">
        <v>128</v>
      </c>
      <c r="M395" s="21">
        <v>0</v>
      </c>
    </row>
    <row r="396" spans="1:13">
      <c r="E396" s="21">
        <f t="shared" si="302"/>
        <v>396</v>
      </c>
      <c r="F396" s="9" t="s">
        <v>168</v>
      </c>
      <c r="M396" s="21">
        <f t="shared" ref="M396" si="306">J381</f>
        <v>16500</v>
      </c>
    </row>
    <row r="397" spans="1:13">
      <c r="E397" s="21">
        <f t="shared" si="302"/>
        <v>397</v>
      </c>
      <c r="F397" s="9" t="s">
        <v>35</v>
      </c>
      <c r="M397" s="21">
        <v>20</v>
      </c>
    </row>
    <row r="398" spans="1:13">
      <c r="A398" s="21" t="s">
        <v>228</v>
      </c>
      <c r="B398" s="21">
        <f t="shared" ref="B398" si="307">QUOTIENT( D398-1,G399)+1</f>
        <v>2</v>
      </c>
      <c r="C398" s="21">
        <f t="shared" ref="C398" si="308">D398-(B398-1)*G399</f>
        <v>11</v>
      </c>
      <c r="D398" s="21">
        <f>COUNT($D$14:$D397)+1</f>
        <v>22</v>
      </c>
    </row>
    <row r="399" spans="1:13">
      <c r="E399" s="21">
        <f t="shared" ref="E399:E409" si="309">ROW(E399)</f>
        <v>399</v>
      </c>
      <c r="F399" s="9" t="s">
        <v>93</v>
      </c>
      <c r="G399" s="21">
        <v>11</v>
      </c>
      <c r="H399" s="21">
        <v>2</v>
      </c>
      <c r="J399" s="9">
        <v>16500</v>
      </c>
      <c r="M399" s="21">
        <f t="shared" ref="M399" si="310">J399+D398</f>
        <v>16522</v>
      </c>
    </row>
    <row r="400" spans="1:13">
      <c r="E400" s="21">
        <f t="shared" si="309"/>
        <v>400</v>
      </c>
      <c r="F400" s="9" t="s">
        <v>143</v>
      </c>
      <c r="G400" s="21">
        <v>164108</v>
      </c>
      <c r="H400" s="21">
        <v>99999</v>
      </c>
      <c r="M400" s="21">
        <f t="shared" ref="M400" si="311">IF(D398=G399*H399,H400,G400)</f>
        <v>99999</v>
      </c>
    </row>
    <row r="401" spans="5:13">
      <c r="E401" s="21">
        <f t="shared" si="309"/>
        <v>401</v>
      </c>
      <c r="F401" s="9" t="s">
        <v>128</v>
      </c>
      <c r="G401" s="21">
        <v>0</v>
      </c>
      <c r="H401" s="21">
        <v>30</v>
      </c>
      <c r="M401" s="21">
        <f t="shared" ref="M401" si="312">IF(B398=1,G401,H401)</f>
        <v>30</v>
      </c>
    </row>
    <row r="402" spans="5:13">
      <c r="E402" s="21">
        <f t="shared" si="309"/>
        <v>402</v>
      </c>
      <c r="F402" s="9" t="s">
        <v>29</v>
      </c>
      <c r="M402" s="21" t="s">
        <v>252</v>
      </c>
    </row>
    <row r="403" spans="5:13">
      <c r="F403" s="9" t="s">
        <v>119</v>
      </c>
      <c r="M403" s="21" t="s">
        <v>250</v>
      </c>
    </row>
    <row r="404" spans="5:13">
      <c r="E404" s="21">
        <f t="shared" si="309"/>
        <v>404</v>
      </c>
      <c r="F404" s="9" t="s">
        <v>99</v>
      </c>
      <c r="G404" s="21">
        <v>4.4000000000000004</v>
      </c>
      <c r="H404" s="21">
        <f t="shared" ref="H404" si="313">G404*2/(G399-1)</f>
        <v>0.88000000000000012</v>
      </c>
      <c r="I404" s="21">
        <f t="shared" ref="I404" si="314">(C398-1)*H404+G404*-1</f>
        <v>4.4000000000000004</v>
      </c>
      <c r="J404" s="9">
        <f t="shared" ref="J404" si="315">I404+H404/2</f>
        <v>4.8400000000000007</v>
      </c>
      <c r="K404" s="9" t="s">
        <v>137</v>
      </c>
      <c r="M404" s="21" t="str">
        <f t="shared" ref="M404" si="316">IF(B398=1,I404,J404)&amp;",6"</f>
        <v>4.84,6</v>
      </c>
    </row>
    <row r="405" spans="5:13">
      <c r="E405" s="21">
        <f t="shared" si="309"/>
        <v>405</v>
      </c>
      <c r="F405" s="9" t="s">
        <v>30</v>
      </c>
      <c r="M405" s="21">
        <v>2.8</v>
      </c>
    </row>
    <row r="406" spans="5:13">
      <c r="E406" s="21">
        <f t="shared" si="309"/>
        <v>406</v>
      </c>
      <c r="F406" s="9" t="s">
        <v>31</v>
      </c>
      <c r="L406" s="9" t="s">
        <v>135</v>
      </c>
      <c r="M406" s="21">
        <v>270</v>
      </c>
    </row>
    <row r="407" spans="5:13">
      <c r="E407" s="21">
        <f t="shared" si="309"/>
        <v>407</v>
      </c>
      <c r="F407" s="9" t="s">
        <v>118</v>
      </c>
      <c r="M407" s="21" t="b">
        <v>1</v>
      </c>
    </row>
    <row r="408" spans="5:13">
      <c r="E408" s="21">
        <f t="shared" si="309"/>
        <v>408</v>
      </c>
      <c r="F408" s="9" t="s">
        <v>98</v>
      </c>
      <c r="G408" s="21">
        <v>260</v>
      </c>
      <c r="H408" s="21">
        <v>1</v>
      </c>
      <c r="M408" s="21">
        <f t="shared" ref="M408" si="317">IF(D398=G399*H399,H408,G408)</f>
        <v>1</v>
      </c>
    </row>
    <row r="409" spans="5:13">
      <c r="E409" s="21">
        <f t="shared" si="309"/>
        <v>409</v>
      </c>
      <c r="F409" s="9" t="s">
        <v>102</v>
      </c>
      <c r="M409" s="21">
        <f t="shared" ref="M409" si="318">M399*10+9</f>
        <v>165229</v>
      </c>
    </row>
    <row r="410" spans="5:13">
      <c r="E410" s="21">
        <f t="shared" si="302"/>
        <v>410</v>
      </c>
      <c r="F410" s="9" t="s">
        <v>143</v>
      </c>
      <c r="M410" s="21">
        <f t="shared" ref="M410" si="319">M399</f>
        <v>16522</v>
      </c>
    </row>
    <row r="411" spans="5:13">
      <c r="E411" s="21">
        <f t="shared" si="302"/>
        <v>411</v>
      </c>
      <c r="F411" s="9" t="s">
        <v>127</v>
      </c>
      <c r="M411" s="21">
        <v>0</v>
      </c>
    </row>
    <row r="412" spans="5:13">
      <c r="E412" s="21">
        <f t="shared" si="302"/>
        <v>412</v>
      </c>
      <c r="F412" s="9" t="s">
        <v>143</v>
      </c>
      <c r="M412" s="21">
        <f t="shared" ref="M412" si="320">M409</f>
        <v>165229</v>
      </c>
    </row>
    <row r="413" spans="5:13">
      <c r="E413" s="21">
        <f t="shared" si="302"/>
        <v>413</v>
      </c>
      <c r="F413" s="9" t="s">
        <v>128</v>
      </c>
      <c r="M413" s="21">
        <v>0</v>
      </c>
    </row>
    <row r="414" spans="5:13">
      <c r="E414" s="21">
        <f t="shared" si="302"/>
        <v>414</v>
      </c>
      <c r="F414" s="9" t="s">
        <v>168</v>
      </c>
      <c r="M414" s="21">
        <f t="shared" ref="M414" si="321">J399</f>
        <v>16500</v>
      </c>
    </row>
    <row r="415" spans="5:13">
      <c r="E415" s="21">
        <f t="shared" si="302"/>
        <v>415</v>
      </c>
      <c r="F415" s="9" t="s">
        <v>35</v>
      </c>
      <c r="M415" s="21">
        <v>20</v>
      </c>
    </row>
  </sheetData>
  <phoneticPr fontId="2" type="noConversion"/>
  <conditionalFormatting sqref="BE1:XFD1 E1:I1">
    <cfRule type="duplicateValues" dxfId="57" priority="1862"/>
  </conditionalFormatting>
  <conditionalFormatting sqref="F1:F10 F13 F29:F30 F36:F37">
    <cfRule type="cellIs" dxfId="56" priority="1363" operator="equal">
      <formula>"ID"</formula>
    </cfRule>
    <cfRule type="cellIs" dxfId="55" priority="1778" operator="equal">
      <formula>"行動序號"</formula>
    </cfRule>
  </conditionalFormatting>
  <conditionalFormatting sqref="J1">
    <cfRule type="duplicateValues" dxfId="54" priority="1361"/>
  </conditionalFormatting>
  <conditionalFormatting sqref="K1:L1">
    <cfRule type="duplicateValues" dxfId="53" priority="1358"/>
  </conditionalFormatting>
  <conditionalFormatting sqref="M1:M1048576">
    <cfRule type="expression" dxfId="52" priority="973">
      <formula>_xlfn.ISFORMULA(M1)</formula>
    </cfRule>
  </conditionalFormatting>
  <conditionalFormatting sqref="N1:BD1">
    <cfRule type="duplicateValues" dxfId="51" priority="1878"/>
  </conditionalFormatting>
  <conditionalFormatting sqref="F14 F11:F12">
    <cfRule type="cellIs" dxfId="50" priority="83" operator="equal">
      <formula>"ID"</formula>
    </cfRule>
    <cfRule type="cellIs" dxfId="49" priority="84" operator="equal">
      <formula>"行動序號"</formula>
    </cfRule>
  </conditionalFormatting>
  <conditionalFormatting sqref="J21">
    <cfRule type="expression" dxfId="48" priority="81">
      <formula>_xlfn.ISFORMULA(J21)</formula>
    </cfRule>
  </conditionalFormatting>
  <conditionalFormatting sqref="F1:F1048576">
    <cfRule type="cellIs" dxfId="47" priority="76" operator="equal">
      <formula>"ID"</formula>
    </cfRule>
    <cfRule type="cellIs" dxfId="46" priority="77" operator="equal">
      <formula>"行動ID"</formula>
    </cfRule>
  </conditionalFormatting>
  <conditionalFormatting sqref="J21">
    <cfRule type="expression" dxfId="45" priority="86">
      <formula>OR($F19="行動序號",$F19="ID")</formula>
    </cfRule>
  </conditionalFormatting>
  <conditionalFormatting sqref="J21">
    <cfRule type="expression" dxfId="44" priority="87">
      <formula>$F19="行動ID"</formula>
    </cfRule>
  </conditionalFormatting>
  <conditionalFormatting sqref="M1:M1048576">
    <cfRule type="expression" dxfId="43" priority="37">
      <formula>AND(_xlfn.ISFORMULA(M1),OR($F1="行動ID", $F1="ID"))</formula>
    </cfRule>
    <cfRule type="expression" dxfId="42" priority="39">
      <formula>OR($F1="行動ID", $F1="ID")</formula>
    </cfRule>
  </conditionalFormatting>
  <conditionalFormatting sqref="J31">
    <cfRule type="expression" dxfId="41" priority="1">
      <formula>_xlfn.ISFORMULA(J31)</formula>
    </cfRule>
  </conditionalFormatting>
  <conditionalFormatting sqref="J31">
    <cfRule type="expression" dxfId="40" priority="2">
      <formula>OR($F29="行動序號",$F29="ID")</formula>
    </cfRule>
  </conditionalFormatting>
  <conditionalFormatting sqref="J31">
    <cfRule type="expression" dxfId="39" priority="3">
      <formula>$F29="行動ID"</formula>
    </cfRule>
  </conditionalFormatting>
  <dataValidations count="1">
    <dataValidation type="list" allowBlank="1" showInputMessage="1" showErrorMessage="1" sqref="K8 L5:L6 F10 K4 L14:L17 K15:K17 K19 L19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topLeftCell="A67"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stage7_card7shot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2025-04-21T08:35:30Z</dcterms:modified>
</cp:coreProperties>
</file>