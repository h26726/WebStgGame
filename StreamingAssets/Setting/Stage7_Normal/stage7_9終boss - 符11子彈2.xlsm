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F990266C-2A81-4A9E-92FC-22141CA80F2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1shot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9" i="1" l="1"/>
  <c r="E58" i="1"/>
  <c r="E57" i="1"/>
  <c r="E56" i="1"/>
  <c r="E55" i="1"/>
  <c r="E54" i="1"/>
  <c r="E53" i="1"/>
  <c r="E52" i="1"/>
  <c r="E51" i="1"/>
  <c r="E50" i="1"/>
  <c r="E49" i="1"/>
  <c r="E48" i="1"/>
  <c r="M47" i="1"/>
  <c r="E47" i="1"/>
  <c r="D46" i="1"/>
  <c r="B46" i="1"/>
  <c r="C46" i="1" s="1"/>
  <c r="E40" i="1"/>
  <c r="E19" i="1"/>
  <c r="E38" i="1"/>
  <c r="M56" i="1" l="1" a="1"/>
  <c r="M56" i="1" s="1"/>
  <c r="M58" i="1" a="1"/>
  <c r="M58" i="1" s="1"/>
  <c r="E14" i="1" l="1"/>
  <c r="E42" i="1"/>
  <c r="E45" i="1"/>
  <c r="E37" i="1"/>
  <c r="D32" i="1"/>
  <c r="E44" i="1"/>
  <c r="E43" i="1"/>
  <c r="E41" i="1"/>
  <c r="E39" i="1"/>
  <c r="E36" i="1"/>
  <c r="E35" i="1"/>
  <c r="E34" i="1"/>
  <c r="E33" i="1"/>
  <c r="A31" i="1"/>
  <c r="E26" i="1"/>
  <c r="E25" i="1"/>
  <c r="E24" i="1"/>
  <c r="E23" i="1"/>
  <c r="E22" i="1"/>
  <c r="E21" i="1"/>
  <c r="E17" i="1"/>
  <c r="E18" i="1"/>
  <c r="E20" i="1"/>
  <c r="E16" i="1" l="1"/>
  <c r="E15" i="1" l="1"/>
  <c r="E13" i="1"/>
  <c r="E12" i="1"/>
  <c r="E11" i="1"/>
  <c r="E10" i="1"/>
  <c r="D9" i="1"/>
  <c r="M33" i="1" l="1"/>
  <c r="B32" i="1"/>
  <c r="C32" i="1" s="1"/>
  <c r="B9" i="1"/>
  <c r="M10" i="1"/>
  <c r="A8" i="1"/>
  <c r="M44" i="1" l="1" a="1"/>
  <c r="M44" i="1" s="1"/>
  <c r="M42" i="1" a="1"/>
  <c r="M42" i="1" s="1"/>
  <c r="M22" i="1"/>
  <c r="M21" i="1"/>
  <c r="C9" i="1"/>
  <c r="M24" i="1" l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<sst xmlns="http://schemas.openxmlformats.org/spreadsheetml/2006/main" count="505" uniqueCount="259">
  <si>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</si>
  <si>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</si>
  <si>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</si>
  <si>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</si>
  <si>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</si>
  <si>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</si>
  <si>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</si>
  <si>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</si>
  <si>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</si>
  <si>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</si>
  <si>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</si>
  <si>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</si>
  <si>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</si>
  <si>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</si>
  <si>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</si>
  <si>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</si>
  <si>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</si>
  <si>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</si>
  <si>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</si>
  <si>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</si>
  <si>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</si>
  <si>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</si>
  <si>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</si>
  <si>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</si>
  <si>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</si>
  <si>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</si>
  <si>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</si>
  <si>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</si>
  <si>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</si>
  <si>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</si>
  <si>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</si>
  <si>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</si>
  <si>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</si>
  <si>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</si>
  <si>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</si>
  <si>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</si>
  <si>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</si>
  <si>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</si>
  <si>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</si>
  <si>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</si>
  <si>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</si>
  <si>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</si>
  <si>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</si>
  <si>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</si>
  <si>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</si>
  <si>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</si>
  <si>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</si>
  <si>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</si>
  <si>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</si>
  <si>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</si>
  <si>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</si>
  <si>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</si>
  <si>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</si>
  <si>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</si>
  <si>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</si>
  <si>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</si>
  <si>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</si>
  <si>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</si>
  <si>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</si>
  <si>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</si>
  <si>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</si>
  <si>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</si>
  <si>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</si>
  <si>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</si>
  <si>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</si>
  <si>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</si>
  <si>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</si>
  <si>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</si>
  <si>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</si>
  <si>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</si>
  <si>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</si>
  <si>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</si>
  <si>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</si>
  <si>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</si>
  <si>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</si>
  <si>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</si>
  <si>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</si>
  <si>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</si>
  <si>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</si>
  <si>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</si>
  <si>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</si>
  <si>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</si>
  <si>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</si>
  <si>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</si>
  <si>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</si>
  <si>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</si>
  <si>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</si>
  <si>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</si>
  <si>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</si>
  <si>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</si>
  <si>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</si>
  <si>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</si>
  <si>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</si>
  <si>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</si>
  <si>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</si>
  <si>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</si>
  <si>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</si>
  <si>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</si>
  <si>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</si>
  <si>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</si>
  <si>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</si>
  <si>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</si>
  <si>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</si>
  <si>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</si>
  <si>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</si>
  <si>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</si>
  <si>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</si>
  <si>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</si>
  <si>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</si>
  <si>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</si>
  <si>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</si>
  <si>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</si>
  <si>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</si>
  <si>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</si>
  <si>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</si>
  <si>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</si>
  <si>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</si>
  <si>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</si>
  <si>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</si>
  <si>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</si>
  <si>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</si>
  <si>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</si>
  <si>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</si>
  <si>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</si>
  <si>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</si>
  <si>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</si>
  <si>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</si>
  <si>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</si>
  <si>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</si>
  <si>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</si>
  <si>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</si>
  <si>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</si>
  <si>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</si>
  <si>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</si>
  <si>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</si>
  <si>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</si>
  <si>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</si>
  <si>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</si>
  <si>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</si>
  <si>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</si>
  <si>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</si>
  <si>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</si>
  <si>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</si>
  <si>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</si>
  <si>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</si>
  <si>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</si>
  <si>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</si>
  <si>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</si>
  <si>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</si>
  <si>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</si>
  <si>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</si>
  <si>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</si>
  <si>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</si>
  <si>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</si>
  <si>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</si>
  <si>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</si>
  <si>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</si>
  <si>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</si>
  <si>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</si>
  <si>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</si>
  <si>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</si>
  <si>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</si>
  <si>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</si>
  <si>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</si>
  <si>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</si>
  <si>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</si>
  <si>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</si>
  <si>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</si>
  <si>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</si>
  <si>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</si>
  <si>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</si>
  <si>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</si>
  <si>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</si>
  <si>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</si>
  <si>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</si>
  <si>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</si>
  <si>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</si>
  <si>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</si>
  <si>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</si>
  <si>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</si>
  <si>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</si>
  <si>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</si>
  <si>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</si>
  <si>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</si>
  <si>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</si>
  <si>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</si>
  <si>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</si>
  <si>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</si>
  <si>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</si>
  <si>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</si>
  <si>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</si>
  <si>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</si>
  <si>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</si>
  <si>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</si>
  <si>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</si>
  <si>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</si>
  <si>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</si>
  <si>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</si>
  <si>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</si>
  <si>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</si>
  <si>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</si>
  <si>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</si>
  <si>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</si>
  <si>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</si>
  <si>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</si>
  <si>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</si>
  <si>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</si>
  <si>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</si>
  <si>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</si>
  <si>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</si>
  <si>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</si>
  <si>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</si>
  <si>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</si>
  <si>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</si>
  <si>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</si>
  <si>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</si>
  <si>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</si>
  <si>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</si>
  <si>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</si>
  <si>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</si>
  <si>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</si>
  <si>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</si>
  <si>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</si>
  <si>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</si>
  <si>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</si>
  <si>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</si>
  <si>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</si>
  <si>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</si>
  <si>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</si>
  <si>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</si>
  <si>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</si>
  <si>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</si>
  <si>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</si>
  <si>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</si>
  <si>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</si>
  <si>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</si>
  <si>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</si>
  <si>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</si>
  <si>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</si>
  <si>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</si>
  <si>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</si>
  <si>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</si>
  <si>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</si>
  <si>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</si>
  <si>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</si>
  <si>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</si>
  <si>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</si>
  <si>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2,3</t>
    <phoneticPr fontId="2" type="noConversion"/>
  </si>
  <si>
    <t>EnemyShot6</t>
  </si>
  <si>
    <t>EnemyShot6</t>
    <phoneticPr fontId="2" type="noConversion"/>
  </si>
  <si>
    <t>Shot6_yellow</t>
  </si>
  <si>
    <t>Shot6_yellow</t>
    <phoneticPr fontId="2" type="noConversion"/>
  </si>
  <si>
    <t>19300</t>
    <phoneticPr fontId="2" type="noConversion"/>
  </si>
  <si>
    <t>Empty</t>
    <phoneticPr fontId="2" type="noConversion"/>
  </si>
  <si>
    <t>19400</t>
  </si>
  <si>
    <t>19400</t>
    <phoneticPr fontId="2" type="noConversion"/>
  </si>
  <si>
    <t>角度ID移動角度</t>
  </si>
  <si>
    <t>2,0</t>
  </si>
  <si>
    <t>2,0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</si>
</sst>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59"/>
  <sheetViews>
    <sheetView tabSelected="1" zoomScale="115" zoomScaleNormal="115" workbookViewId="0">
      <pane ySplit="1" topLeftCell="A7" activePane="bottomLeft" state="frozen"/>
      <selection pane="bottomLeft" activeCell="M20" sqref="M20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8" spans="1:60">
      <c r="A8" s="21">
        <f>G10*H10</f>
        <v>1</v>
      </c>
      <c r="B8" s="9"/>
      <c r="C8" s="9"/>
      <c r="D8" s="9"/>
      <c r="R8" s="12"/>
      <c r="S8" s="9"/>
      <c r="U8" s="12"/>
      <c r="X8" s="15"/>
      <c r="AE8" s="16"/>
      <c r="BH8" s="9"/>
    </row>
    <row r="9" spans="1:60">
      <c r="A9" s="21" t="s">
        <v>227</v>
      </c>
      <c r="B9" s="21">
        <f t="shared" ref="B9" si="0">QUOTIENT( D9-1,G10)+1</f>
        <v>1</v>
      </c>
      <c r="C9" s="21">
        <f t="shared" ref="C9" si="1">D9-(B9-1)*G10</f>
        <v>1</v>
      </c>
      <c r="D9" s="21">
        <f>COUNT($D$8:$D8)+1</f>
        <v>1</v>
      </c>
      <c r="R9" s="12"/>
      <c r="S9" s="9"/>
      <c r="U9" s="12"/>
      <c r="X9" s="15"/>
      <c r="AE9" s="16"/>
      <c r="BH9" s="9"/>
    </row>
    <row r="10" spans="1:60">
      <c r="E10" s="21">
        <f t="shared" ref="E10:E16" si="2">ROW(E10)</f>
        <v>10</v>
      </c>
      <c r="F10" s="9" t="s">
        <v>93</v>
      </c>
      <c r="G10" s="21">
        <v>1</v>
      </c>
      <c r="H10" s="21">
        <v>1</v>
      </c>
      <c r="J10" s="9" t="s">
        <v>252</v>
      </c>
      <c r="M10" s="21">
        <f t="shared" ref="M10" si="3">J10+D9</f>
        <v>19301</v>
      </c>
      <c r="R10" s="12"/>
      <c r="S10" s="9"/>
      <c r="U10" s="12"/>
      <c r="X10" s="15"/>
      <c r="AE10" s="16"/>
      <c r="BH10" s="9"/>
    </row>
    <row r="11" spans="1:60">
      <c r="E11" s="21">
        <f t="shared" si="2"/>
        <v>11</v>
      </c>
      <c r="F11" s="9" t="s">
        <v>142</v>
      </c>
      <c r="M11" s="21">
        <v>191108</v>
      </c>
      <c r="R11" s="12"/>
      <c r="S11" s="9"/>
      <c r="U11" s="12"/>
      <c r="X11" s="15"/>
      <c r="AE11" s="16"/>
      <c r="BH11" s="9"/>
    </row>
    <row r="12" spans="1:60">
      <c r="E12" s="21">
        <f t="shared" si="2"/>
        <v>12</v>
      </c>
      <c r="F12" s="9" t="s">
        <v>126</v>
      </c>
      <c r="M12" s="21">
        <v>0</v>
      </c>
      <c r="R12" s="12"/>
      <c r="S12" s="9"/>
      <c r="U12" s="12"/>
      <c r="X12" s="15"/>
      <c r="AE12" s="16"/>
      <c r="BH12" s="9"/>
    </row>
    <row r="13" spans="1:60">
      <c r="E13" s="21">
        <f t="shared" si="2"/>
        <v>13</v>
      </c>
      <c r="F13" s="9" t="s">
        <v>29</v>
      </c>
      <c r="M13" s="21" t="s">
        <v>253</v>
      </c>
      <c r="R13" s="12"/>
      <c r="S13" s="9"/>
      <c r="U13" s="12"/>
      <c r="X13" s="15"/>
      <c r="AE13" s="16"/>
      <c r="BH13" s="9"/>
    </row>
    <row r="14" spans="1:60">
      <c r="E14" s="21">
        <f t="shared" si="2"/>
        <v>14</v>
      </c>
      <c r="F14" s="9" t="s">
        <v>118</v>
      </c>
      <c r="M14" s="21" t="s">
        <v>251</v>
      </c>
      <c r="R14" s="12"/>
      <c r="S14" s="9"/>
      <c r="U14" s="12"/>
      <c r="X14" s="15"/>
      <c r="AE14" s="16"/>
      <c r="BH14" s="9"/>
    </row>
    <row r="15" spans="1:60">
      <c r="E15" s="21">
        <f t="shared" si="2"/>
        <v>15</v>
      </c>
      <c r="F15" s="9" t="s">
        <v>98</v>
      </c>
      <c r="G15" s="9"/>
      <c r="H15" s="9"/>
      <c r="I15" s="9"/>
      <c r="K15" s="9" t="s">
        <v>137</v>
      </c>
      <c r="M15" s="21">
        <v>2</v>
      </c>
      <c r="R15" s="12"/>
      <c r="S15" s="9"/>
      <c r="U15" s="12"/>
      <c r="X15" s="15"/>
      <c r="AE15" s="16"/>
      <c r="BH15" s="9"/>
    </row>
    <row r="16" spans="1:60">
      <c r="E16" s="21">
        <f t="shared" si="2"/>
        <v>16</v>
      </c>
      <c r="F16" s="9" t="s">
        <v>117</v>
      </c>
      <c r="M16" s="21" t="b">
        <v>1</v>
      </c>
      <c r="R16" s="12"/>
      <c r="S16" s="9"/>
      <c r="U16" s="12"/>
      <c r="X16" s="15"/>
      <c r="AE16" s="16"/>
      <c r="BH16" s="9"/>
    </row>
    <row r="17" spans="1:60">
      <c r="E17" s="21">
        <f>ROW(E17)</f>
        <v>17</v>
      </c>
      <c r="F17" s="9" t="s">
        <v>31</v>
      </c>
      <c r="L17" s="9" t="s">
        <v>135</v>
      </c>
      <c r="M17" s="21" t="s">
        <v>247</v>
      </c>
      <c r="R17" s="12"/>
      <c r="S17" s="9"/>
      <c r="U17" s="12"/>
      <c r="X17" s="15"/>
      <c r="AE17" s="16"/>
      <c r="BH17" s="9"/>
    </row>
    <row r="18" spans="1:60">
      <c r="E18" s="21">
        <f>ROW(E18)</f>
        <v>18</v>
      </c>
      <c r="F18" s="9" t="s">
        <v>30</v>
      </c>
      <c r="M18" s="26">
        <v>1</v>
      </c>
      <c r="R18" s="12"/>
      <c r="S18" s="9"/>
      <c r="U18" s="12"/>
      <c r="X18" s="15"/>
      <c r="AE18" s="16"/>
      <c r="BH18" s="9"/>
    </row>
    <row r="19" spans="1:60">
      <c r="E19" s="21">
        <f>ROW(E19)</f>
        <v>19</v>
      </c>
      <c r="F19" s="9" t="s">
        <v>115</v>
      </c>
      <c r="M19" s="26">
        <v>2</v>
      </c>
      <c r="R19" s="12"/>
      <c r="S19" s="9"/>
      <c r="U19" s="12"/>
      <c r="X19" s="15"/>
      <c r="AE19" s="16"/>
      <c r="BH19" s="9"/>
    </row>
    <row r="20" spans="1:60">
      <c r="E20" s="21">
        <f>ROW(E20)</f>
        <v>20</v>
      </c>
      <c r="F20" s="9" t="s">
        <v>113</v>
      </c>
      <c r="L20" s="9" t="s">
        <v>134</v>
      </c>
      <c r="M20" s="21">
        <v>90</v>
      </c>
      <c r="R20" s="12"/>
      <c r="S20" s="9"/>
      <c r="U20" s="12"/>
      <c r="X20" s="15"/>
      <c r="AE20" s="16"/>
      <c r="BH20" s="9"/>
    </row>
    <row r="21" spans="1:60">
      <c r="E21" s="21">
        <f t="shared" ref="E21:E26" si="4">ROW(E21)</f>
        <v>21</v>
      </c>
      <c r="F21" s="9" t="s">
        <v>101</v>
      </c>
      <c r="M21" s="21">
        <f>M10*10+9</f>
        <v>193019</v>
      </c>
      <c r="R21" s="12"/>
      <c r="S21" s="9"/>
      <c r="U21" s="12"/>
      <c r="X21" s="15"/>
      <c r="AE21" s="16"/>
      <c r="BH21" s="9"/>
    </row>
    <row r="22" spans="1:60">
      <c r="E22" s="21">
        <f t="shared" si="4"/>
        <v>22</v>
      </c>
      <c r="F22" s="9" t="s">
        <v>142</v>
      </c>
      <c r="M22" s="21">
        <f>M10</f>
        <v>19301</v>
      </c>
      <c r="R22" s="12"/>
      <c r="S22" s="9"/>
      <c r="U22" s="12"/>
      <c r="X22" s="15"/>
      <c r="AE22" s="16"/>
      <c r="BH22" s="9"/>
    </row>
    <row r="23" spans="1:60">
      <c r="E23" s="21">
        <f t="shared" si="4"/>
        <v>23</v>
      </c>
      <c r="F23" s="9" t="s">
        <v>126</v>
      </c>
      <c r="M23" s="21">
        <v>0</v>
      </c>
      <c r="R23" s="12"/>
      <c r="S23" s="9"/>
      <c r="U23" s="12"/>
      <c r="X23" s="15"/>
      <c r="AE23" s="16"/>
      <c r="BH23" s="9"/>
    </row>
    <row r="24" spans="1:60">
      <c r="E24" s="21">
        <f t="shared" si="4"/>
        <v>24</v>
      </c>
      <c r="F24" s="9" t="s">
        <v>142</v>
      </c>
      <c r="M24" s="21">
        <f>M21</f>
        <v>193019</v>
      </c>
      <c r="R24" s="12"/>
      <c r="S24" s="9"/>
      <c r="U24" s="12"/>
      <c r="X24" s="15"/>
      <c r="AE24" s="16"/>
      <c r="BH24" s="9"/>
    </row>
    <row r="25" spans="1:60">
      <c r="E25" s="21">
        <f t="shared" si="4"/>
        <v>25</v>
      </c>
      <c r="F25" s="9" t="s">
        <v>127</v>
      </c>
      <c r="M25" s="21">
        <v>0</v>
      </c>
      <c r="R25" s="12"/>
      <c r="S25" s="9"/>
      <c r="U25" s="12"/>
      <c r="X25" s="15"/>
      <c r="AE25" s="16"/>
      <c r="BH25" s="9"/>
    </row>
    <row r="26" spans="1:60">
      <c r="E26" s="21">
        <f t="shared" si="4"/>
        <v>26</v>
      </c>
      <c r="F26" s="9" t="s">
        <v>35</v>
      </c>
      <c r="M26" s="21">
        <v>20</v>
      </c>
    </row>
    <row r="31" spans="1:60">
      <c r="A31" s="21">
        <f>G33*H33</f>
        <v>2</v>
      </c>
      <c r="B31" s="9"/>
      <c r="C31" s="9"/>
      <c r="D31" s="9"/>
      <c r="R31" s="12"/>
      <c r="S31" s="9"/>
      <c r="U31" s="12"/>
      <c r="X31" s="15"/>
      <c r="AE31" s="16"/>
      <c r="BH31" s="9"/>
    </row>
    <row r="32" spans="1:60">
      <c r="A32" s="21" t="s">
        <v>227</v>
      </c>
      <c r="B32" s="21">
        <f t="shared" ref="B32" si="5">QUOTIENT( D32-1,G33)+1</f>
        <v>1</v>
      </c>
      <c r="C32" s="21">
        <f t="shared" ref="C32" si="6">D32-(B32-1)*G33</f>
        <v>1</v>
      </c>
      <c r="D32" s="21">
        <f>COUNT($D$31:$D31)+1</f>
        <v>1</v>
      </c>
      <c r="R32" s="12"/>
      <c r="S32" s="9"/>
      <c r="U32" s="12"/>
      <c r="X32" s="15"/>
      <c r="AE32" s="16"/>
      <c r="BH32" s="9"/>
    </row>
    <row r="33" spans="1:60">
      <c r="E33" s="21">
        <f t="shared" ref="E33:E39" si="7">ROW(E33)</f>
        <v>33</v>
      </c>
      <c r="F33" s="9" t="s">
        <v>93</v>
      </c>
      <c r="G33" s="21">
        <v>2</v>
      </c>
      <c r="H33" s="21">
        <v>1</v>
      </c>
      <c r="J33" s="9" t="s">
        <v>255</v>
      </c>
      <c r="M33" s="21">
        <f t="shared" ref="M33" si="8">J33+D32</f>
        <v>19401</v>
      </c>
      <c r="R33" s="12"/>
      <c r="S33" s="9"/>
      <c r="U33" s="12"/>
      <c r="X33" s="15"/>
      <c r="AE33" s="16"/>
      <c r="BH33" s="9"/>
    </row>
    <row r="34" spans="1:60">
      <c r="E34" s="21">
        <f t="shared" si="7"/>
        <v>34</v>
      </c>
      <c r="F34" s="9" t="s">
        <v>142</v>
      </c>
      <c r="M34" s="21">
        <v>193019</v>
      </c>
      <c r="R34" s="12"/>
      <c r="S34" s="9"/>
      <c r="U34" s="12"/>
      <c r="X34" s="15"/>
      <c r="AE34" s="16"/>
      <c r="BH34" s="9"/>
    </row>
    <row r="35" spans="1:60">
      <c r="E35" s="21">
        <f t="shared" si="7"/>
        <v>35</v>
      </c>
      <c r="F35" s="9" t="s">
        <v>126</v>
      </c>
      <c r="M35" s="21">
        <v>0</v>
      </c>
      <c r="R35" s="12"/>
      <c r="S35" s="9"/>
      <c r="U35" s="12"/>
      <c r="X35" s="15"/>
      <c r="AE35" s="16"/>
      <c r="BH35" s="9"/>
    </row>
    <row r="36" spans="1:60">
      <c r="E36" s="21">
        <f t="shared" si="7"/>
        <v>36</v>
      </c>
      <c r="F36" s="9" t="s">
        <v>29</v>
      </c>
      <c r="M36" s="21" t="s">
        <v>249</v>
      </c>
      <c r="R36" s="12"/>
      <c r="S36" s="9"/>
      <c r="U36" s="12"/>
      <c r="X36" s="15"/>
      <c r="AE36" s="16"/>
      <c r="BH36" s="9"/>
    </row>
    <row r="37" spans="1:60">
      <c r="E37" s="21">
        <f t="shared" si="7"/>
        <v>37</v>
      </c>
      <c r="F37" s="9" t="s">
        <v>118</v>
      </c>
      <c r="M37" s="21" t="s">
        <v>251</v>
      </c>
      <c r="R37" s="12"/>
      <c r="S37" s="9"/>
      <c r="U37" s="12"/>
      <c r="X37" s="15"/>
      <c r="AE37" s="16"/>
      <c r="BH37" s="9"/>
    </row>
    <row r="38" spans="1:60">
      <c r="E38" s="21">
        <f t="shared" si="7"/>
        <v>38</v>
      </c>
      <c r="F38" s="9" t="s">
        <v>196</v>
      </c>
      <c r="M38" s="21">
        <v>30</v>
      </c>
      <c r="R38" s="12"/>
      <c r="S38" s="9"/>
      <c r="U38" s="12"/>
      <c r="X38" s="15"/>
      <c r="AE38" s="16"/>
      <c r="BH38" s="9"/>
    </row>
    <row r="39" spans="1:60">
      <c r="E39" s="21">
        <f t="shared" si="7"/>
        <v>39</v>
      </c>
      <c r="F39" s="9" t="s">
        <v>98</v>
      </c>
      <c r="G39" s="9"/>
      <c r="H39" s="9"/>
      <c r="I39" s="9"/>
      <c r="K39" s="9" t="s">
        <v>137</v>
      </c>
      <c r="M39" s="21">
        <v>2</v>
      </c>
      <c r="R39" s="12"/>
      <c r="S39" s="9"/>
      <c r="U39" s="12"/>
      <c r="X39" s="15"/>
      <c r="AE39" s="16"/>
      <c r="BH39" s="9"/>
    </row>
    <row r="40" spans="1:60">
      <c r="E40" s="21">
        <f>ROW(E40)</f>
        <v>40</v>
      </c>
      <c r="F40" s="9" t="s">
        <v>189</v>
      </c>
      <c r="M40" s="21" t="b">
        <v>1</v>
      </c>
      <c r="R40" s="12"/>
      <c r="S40" s="9"/>
      <c r="U40" s="12"/>
      <c r="X40" s="15"/>
      <c r="AE40" s="16"/>
      <c r="BH40" s="9"/>
    </row>
    <row r="41" spans="1:60">
      <c r="E41" s="21">
        <f>ROW(E41)</f>
        <v>41</v>
      </c>
      <c r="F41" s="9" t="s">
        <v>31</v>
      </c>
      <c r="L41" s="9" t="s">
        <v>256</v>
      </c>
      <c r="M41" s="21" t="s">
        <v>258</v>
      </c>
      <c r="R41" s="12"/>
      <c r="S41" s="9"/>
      <c r="U41" s="12"/>
      <c r="X41" s="15"/>
      <c r="AE41" s="16"/>
      <c r="BH41" s="9"/>
    </row>
    <row r="42" spans="1:60">
      <c r="E42" s="21">
        <f>ROW(E42)</f>
        <v>42</v>
      </c>
      <c r="F42" s="9" t="s">
        <v>182</v>
      </c>
      <c r="G42" s="21">
        <v>90</v>
      </c>
      <c r="H42" s="21">
        <v>-90</v>
      </c>
      <c r="L42" s="9" t="s">
        <v>134</v>
      </c>
      <c r="M42" s="21" cm="1">
        <f t="array" ref="M42">_xlfn.SWITCH(C32,1,G42,2,H42)</f>
        <v>90</v>
      </c>
      <c r="R42" s="12"/>
      <c r="S42" s="9"/>
      <c r="U42" s="12"/>
      <c r="X42" s="15"/>
      <c r="AE42" s="16"/>
      <c r="BH42" s="9"/>
    </row>
    <row r="43" spans="1:60">
      <c r="E43" s="21">
        <f>ROW(E43)</f>
        <v>43</v>
      </c>
      <c r="F43" s="9" t="s">
        <v>30</v>
      </c>
      <c r="M43" s="26">
        <v>1</v>
      </c>
      <c r="R43" s="12"/>
      <c r="S43" s="9"/>
      <c r="U43" s="12"/>
      <c r="X43" s="15"/>
      <c r="AE43" s="16"/>
      <c r="BH43" s="9"/>
    </row>
    <row r="44" spans="1:60">
      <c r="E44" s="21">
        <f>ROW(E44)</f>
        <v>44</v>
      </c>
      <c r="F44" s="9" t="s">
        <v>113</v>
      </c>
      <c r="G44" s="21">
        <v>90</v>
      </c>
      <c r="H44" s="21">
        <v>-90</v>
      </c>
      <c r="L44" s="9" t="s">
        <v>134</v>
      </c>
      <c r="M44" s="21" cm="1">
        <f t="array" ref="M44">_xlfn.SWITCH(C32,1,G44,2,H44)</f>
        <v>90</v>
      </c>
      <c r="R44" s="12"/>
      <c r="S44" s="9"/>
      <c r="U44" s="12"/>
      <c r="X44" s="15"/>
      <c r="AE44" s="16"/>
      <c r="BH44" s="9"/>
    </row>
    <row r="45" spans="1:60">
      <c r="E45" s="21">
        <f t="shared" ref="E45" si="9">ROW(E45)</f>
        <v>45</v>
      </c>
      <c r="F45" s="9" t="s">
        <v>107</v>
      </c>
      <c r="M45" s="21">
        <v>60</v>
      </c>
    </row>
    <row r="46" spans="1:60">
      <c r="A46" s="21" t="s">
        <v>227</v>
      </c>
      <c r="B46" s="21">
        <f t="shared" ref="B46:B59" si="10">QUOTIENT( D46-1,G47)+1</f>
        <v>1</v>
      </c>
      <c r="C46" s="21">
        <f t="shared" ref="C46:C59" si="11">D46-(B46-1)*G47</f>
        <v>2</v>
      </c>
      <c r="D46" s="21">
        <f>COUNT($D$31:$D45)+1</f>
        <v>2</v>
      </c>
    </row>
    <row r="47" spans="1:60">
      <c r="E47" s="21">
        <f t="shared" ref="E47:E59" si="12">ROW(E47)</f>
        <v>47</v>
      </c>
      <c r="F47" s="9" t="s">
        <v>93</v>
      </c>
      <c r="G47" s="21">
        <v>2</v>
      </c>
      <c r="H47" s="21">
        <v>1</v>
      </c>
      <c r="J47" s="9" t="s">
        <v>254</v>
      </c>
      <c r="M47" s="21">
        <f t="shared" ref="M47:M59" si="13">J47+D46</f>
        <v>19402</v>
      </c>
    </row>
    <row r="48" spans="1:60">
      <c r="E48" s="21">
        <f t="shared" si="12"/>
        <v>48</v>
      </c>
      <c r="F48" s="9" t="s">
        <v>142</v>
      </c>
      <c r="M48" s="21">
        <v>193019</v>
      </c>
    </row>
    <row r="49" spans="5:13">
      <c r="E49" s="21">
        <f t="shared" si="12"/>
        <v>49</v>
      </c>
      <c r="F49" s="9" t="s">
        <v>126</v>
      </c>
      <c r="M49" s="21">
        <v>0</v>
      </c>
    </row>
    <row r="50" spans="5:13">
      <c r="E50" s="21">
        <f t="shared" si="12"/>
        <v>50</v>
      </c>
      <c r="F50" s="9" t="s">
        <v>29</v>
      </c>
      <c r="M50" s="21" t="s">
        <v>248</v>
      </c>
    </row>
    <row r="51" spans="5:13">
      <c r="E51" s="21">
        <f t="shared" si="12"/>
        <v>51</v>
      </c>
      <c r="F51" s="9" t="s">
        <v>118</v>
      </c>
      <c r="M51" s="21" t="s">
        <v>250</v>
      </c>
    </row>
    <row r="52" spans="5:13">
      <c r="E52" s="21">
        <f t="shared" si="12"/>
        <v>52</v>
      </c>
      <c r="F52" s="9" t="s">
        <v>196</v>
      </c>
      <c r="M52" s="21">
        <v>30</v>
      </c>
    </row>
    <row r="53" spans="5:13">
      <c r="E53" s="21">
        <f t="shared" si="12"/>
        <v>53</v>
      </c>
      <c r="F53" s="9" t="s">
        <v>98</v>
      </c>
      <c r="K53" s="9" t="s">
        <v>137</v>
      </c>
      <c r="M53" s="21">
        <v>2</v>
      </c>
    </row>
    <row r="54" spans="5:13">
      <c r="E54" s="21">
        <f t="shared" si="12"/>
        <v>54</v>
      </c>
      <c r="F54" s="9" t="s">
        <v>189</v>
      </c>
      <c r="M54" s="21" t="b">
        <v>1</v>
      </c>
    </row>
    <row r="55" spans="5:13">
      <c r="E55" s="21">
        <f t="shared" si="12"/>
        <v>55</v>
      </c>
      <c r="F55" s="9" t="s">
        <v>31</v>
      </c>
      <c r="L55" s="9" t="s">
        <v>256</v>
      </c>
      <c r="M55" s="21" t="s">
        <v>257</v>
      </c>
    </row>
    <row r="56" spans="5:13">
      <c r="E56" s="21">
        <f t="shared" si="12"/>
        <v>56</v>
      </c>
      <c r="F56" s="9" t="s">
        <v>182</v>
      </c>
      <c r="G56" s="21">
        <v>90</v>
      </c>
      <c r="H56" s="21">
        <v>-90</v>
      </c>
      <c r="L56" s="9" t="s">
        <v>134</v>
      </c>
      <c r="M56" s="21" cm="1">
        <f t="array" ref="M56">_xlfn.SWITCH(C46,1,G56,2,H56)</f>
        <v>-90</v>
      </c>
    </row>
    <row r="57" spans="5:13">
      <c r="E57" s="21">
        <f t="shared" si="12"/>
        <v>57</v>
      </c>
      <c r="F57" s="9" t="s">
        <v>30</v>
      </c>
      <c r="M57" s="21">
        <v>1</v>
      </c>
    </row>
    <row r="58" spans="5:13">
      <c r="E58" s="21">
        <f t="shared" si="12"/>
        <v>58</v>
      </c>
      <c r="F58" s="9" t="s">
        <v>113</v>
      </c>
      <c r="G58" s="21">
        <v>90</v>
      </c>
      <c r="H58" s="21">
        <v>-90</v>
      </c>
      <c r="L58" s="9" t="s">
        <v>134</v>
      </c>
      <c r="M58" s="21" cm="1">
        <f t="array" ref="M58">_xlfn.SWITCH(C46,1,G58,2,H58)</f>
        <v>-90</v>
      </c>
    </row>
    <row r="59" spans="5:13">
      <c r="E59" s="21">
        <f t="shared" si="12"/>
        <v>59</v>
      </c>
      <c r="F59" s="9" t="s">
        <v>107</v>
      </c>
      <c r="M59" s="21">
        <v>60</v>
      </c>
    </row>
  </sheetData>
  <phoneticPr fontId="2" type="noConversion"/>
  <conditionalFormatting sqref="BE1:XFD1 E1:I1">
    <cfRule type="duplicateValues" dxfId="49" priority="1882"/>
  </conditionalFormatting>
  <conditionalFormatting sqref="F1:F2">
    <cfRule type="cellIs" dxfId="48" priority="1383" operator="equal">
      <formula>"ID"</formula>
    </cfRule>
    <cfRule type="cellIs" dxfId="47" priority="1798" operator="equal">
      <formula>"行動序號"</formula>
    </cfRule>
  </conditionalFormatting>
  <conditionalFormatting sqref="J1">
    <cfRule type="duplicateValues" dxfId="46" priority="1381"/>
  </conditionalFormatting>
  <conditionalFormatting sqref="K1:L1">
    <cfRule type="duplicateValues" dxfId="45" priority="1378"/>
  </conditionalFormatting>
  <conditionalFormatting sqref="M1:M1048576">
    <cfRule type="expression" dxfId="44" priority="993">
      <formula>_xlfn.ISFORMULA(M1)</formula>
    </cfRule>
  </conditionalFormatting>
  <conditionalFormatting sqref="N1:BD1">
    <cfRule type="duplicateValues" dxfId="43" priority="1898"/>
  </conditionalFormatting>
  <conditionalFormatting sqref="F1:F1048576">
    <cfRule type="cellIs" dxfId="42" priority="96" operator="equal">
      <formula>"ID"</formula>
    </cfRule>
    <cfRule type="cellIs" dxfId="41" priority="97" operator="equal">
      <formula>"行動ID"</formula>
    </cfRule>
  </conditionalFormatting>
  <conditionalFormatting sqref="M1:M1048576">
    <cfRule type="expression" dxfId="40" priority="57">
      <formula>AND(_xlfn.ISFORMULA(M1),OR($F1="行動ID", $F1="ID"))</formula>
    </cfRule>
    <cfRule type="expression" dxfId="39" priority="59">
      <formula>OR($F1="行動ID", $F1="ID")</formula>
    </cfRule>
  </conditionalFormatting>
  <dataValidations count="1">
    <dataValidation type="list" allowBlank="1" showInputMessage="1" showErrorMessage="1" sqref="L5 L7 F19 L15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stage7_card11shot2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2025-04-25T05:33:08Z</dcterms:modified>
</cp:coreProperties>
</file>