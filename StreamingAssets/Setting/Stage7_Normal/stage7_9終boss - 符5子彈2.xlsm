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34E29E70-2560-450E-95ED-5644513E319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5shot2" sheetId="1" r:id="rId1"/>
    <sheet name="#ALIAS" sheetId="80" r:id="rId2"/>
    <sheet name="#DEFINE" sheetId="81" r:id="rId3"/>
    <sheet name="#OPTION" sheetId="82" r:id="rId4"/>
    <sheet name="#PARAM" sheetId="83" r:id="rId5"/>
    <sheet name="#OUTPUT" sheetId="84" r:id="rId6"/>
    <sheet name="#使用說明" sheetId="85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2" i="1" l="1"/>
  <c r="E142" i="1"/>
  <c r="E141" i="1"/>
  <c r="M140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M119" i="1"/>
  <c r="E119" i="1"/>
  <c r="E118" i="1"/>
  <c r="M117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M96" i="1"/>
  <c r="E96" i="1"/>
  <c r="E95" i="1"/>
  <c r="M94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M73" i="1"/>
  <c r="E73" i="1"/>
  <c r="E72" i="1"/>
  <c r="M71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M50" i="1"/>
  <c r="E50" i="1"/>
  <c r="E49" i="1"/>
  <c r="M48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D28" i="1"/>
  <c r="M29" i="1" s="1"/>
  <c r="E26" i="1"/>
  <c r="D74" i="1" l="1"/>
  <c r="B28" i="1"/>
  <c r="C28" i="1" s="1"/>
  <c r="M40" i="1" s="1" a="1"/>
  <c r="M40" i="1" s="1"/>
  <c r="D51" i="1"/>
  <c r="M75" i="1" l="1"/>
  <c r="B74" i="1"/>
  <c r="C74" i="1" s="1"/>
  <c r="M86" i="1" s="1" a="1"/>
  <c r="M86" i="1" s="1"/>
  <c r="D97" i="1"/>
  <c r="M52" i="1"/>
  <c r="B51" i="1"/>
  <c r="C51" i="1" s="1"/>
  <c r="M63" i="1" s="1" a="1"/>
  <c r="M63" i="1" s="1"/>
  <c r="M98" i="1" l="1"/>
  <c r="B97" i="1"/>
  <c r="C97" i="1" s="1"/>
  <c r="M109" i="1" s="1" a="1"/>
  <c r="M109" i="1" s="1"/>
  <c r="D120" i="1"/>
  <c r="M121" i="1" l="1"/>
  <c r="B120" i="1"/>
  <c r="C120" i="1" s="1"/>
  <c r="M132" i="1" s="1" a="1"/>
  <c r="M132" i="1" s="1"/>
  <c r="E24" i="1" l="1"/>
  <c r="E23" i="1"/>
  <c r="E156" i="1"/>
  <c r="E157" i="1"/>
  <c r="E158" i="1"/>
  <c r="E159" i="1"/>
  <c r="E160" i="1"/>
  <c r="E161" i="1"/>
  <c r="E162" i="1"/>
  <c r="E163" i="1"/>
  <c r="E155" i="1"/>
  <c r="E17" i="1"/>
  <c r="E18" i="1"/>
  <c r="E19" i="1"/>
  <c r="E20" i="1"/>
  <c r="E21" i="1"/>
  <c r="E16" i="1"/>
  <c r="M27" i="1"/>
  <c r="E27" i="1"/>
  <c r="M25" i="1"/>
  <c r="E25" i="1"/>
  <c r="E15" i="1"/>
  <c r="E14" i="1"/>
  <c r="E22" i="1"/>
  <c r="E13" i="1"/>
  <c r="E64" i="81" l="1"/>
  <c r="E63" i="81"/>
  <c r="E50" i="81"/>
  <c r="E51" i="81"/>
  <c r="E10" i="1"/>
  <c r="E7" i="1"/>
  <c r="E8" i="1"/>
  <c r="E9" i="1"/>
  <c r="E11" i="1"/>
  <c r="E12" i="1"/>
  <c r="E6" i="1"/>
  <c r="D5" i="1"/>
  <c r="B5" i="1" l="1"/>
  <c r="C5" i="1" s="1"/>
  <c r="M17" i="1" s="1" a="1"/>
  <c r="M17" i="1" s="1"/>
  <c r="M6" i="1"/>
  <c r="A4" i="1" l="1"/>
  <c r="E95" i="81" l="1"/>
  <c r="E94" i="81"/>
  <c r="E93" i="81"/>
  <c r="E92" i="81"/>
  <c r="E91" i="81"/>
  <c r="E88" i="81"/>
  <c r="E87" i="81"/>
  <c r="E86" i="81"/>
  <c r="E85" i="81"/>
  <c r="E84" i="81"/>
  <c r="E83" i="81"/>
  <c r="E80" i="81"/>
  <c r="E79" i="81"/>
  <c r="E78" i="81"/>
  <c r="E77" i="81"/>
  <c r="E76" i="81"/>
  <c r="E75" i="81"/>
  <c r="E74" i="81"/>
  <c r="E73" i="81"/>
  <c r="E70" i="81"/>
  <c r="E69" i="81"/>
  <c r="E68" i="81"/>
  <c r="E67" i="81"/>
  <c r="E62" i="81"/>
  <c r="E61" i="81"/>
  <c r="E60" i="81"/>
  <c r="E59" i="81"/>
  <c r="E58" i="81"/>
  <c r="E57" i="81"/>
  <c r="E56" i="81"/>
  <c r="E55" i="81"/>
  <c r="E54" i="81"/>
  <c r="E49" i="81"/>
  <c r="E48" i="81"/>
  <c r="E47" i="81"/>
  <c r="E46" i="81"/>
  <c r="E43" i="81"/>
  <c r="E42" i="81"/>
  <c r="E41" i="81"/>
  <c r="E40" i="81"/>
  <c r="E37" i="81"/>
  <c r="E36" i="81"/>
  <c r="E35" i="81"/>
  <c r="E34" i="81"/>
  <c r="E33" i="81"/>
  <c r="E32" i="81"/>
  <c r="E31" i="81"/>
  <c r="E30" i="81"/>
  <c r="E27" i="81"/>
  <c r="E26" i="81"/>
  <c r="E25" i="81"/>
  <c r="E24" i="81"/>
  <c r="E23" i="81"/>
  <c r="E22" i="81"/>
  <c r="E21" i="81"/>
  <c r="E20" i="81"/>
  <c r="E17" i="81"/>
  <c r="E16" i="81"/>
  <c r="E15" i="81"/>
  <c r="E14" i="81"/>
  <c r="E13" i="81"/>
  <c r="E12" i="81"/>
  <c r="E11" i="81"/>
  <c r="E10" i="81"/>
  <c r="E9" i="81"/>
  <c r="E8" i="81"/>
  <c r="E7" i="81"/>
  <c r="E6" i="81"/>
  <c r="E5" i="81"/>
  <c r="E4" i="81"/>
  <c r="E3" i="8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<sst xmlns="http://schemas.openxmlformats.org/spreadsheetml/2006/main" count="929" uniqueCount="268">
  <si>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</si>
  <si>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</si>
  <si>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</si>
  <si>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</si>
  <si>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</si>
  <si>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</si>
  <si>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</si>
  <si>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</si>
  <si>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</si>
  <si>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</si>
  <si>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</si>
  <si>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</si>
  <si>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</si>
  <si>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</si>
  <si>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</si>
  <si>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</si>
  <si>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</si>
  <si>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</si>
  <si>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</si>
  <si>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</si>
  <si>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</si>
  <si>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</si>
  <si>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</si>
  <si>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</si>
  <si>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</si>
  <si>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</si>
  <si>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</si>
  <si>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</si>
  <si>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</si>
  <si>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</si>
  <si>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</si>
  <si>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</si>
  <si>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</si>
  <si>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</si>
  <si>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</si>
  <si>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</si>
  <si>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</si>
  <si>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</si>
  <si>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</si>
  <si>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</si>
  <si>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</si>
  <si>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</si>
  <si>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</si>
  <si>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</si>
  <si>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</si>
  <si>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</si>
  <si>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</si>
  <si>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</si>
  <si>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</si>
  <si>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</si>
  <si>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</si>
  <si>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</si>
  <si>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</si>
  <si>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</si>
  <si>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</si>
  <si>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</si>
  <si>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</si>
  <si>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</si>
  <si>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</si>
  <si>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</si>
  <si>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</si>
  <si>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</si>
  <si>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</si>
  <si>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</si>
  <si>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</si>
  <si>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</si>
  <si>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</si>
  <si>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</si>
  <si>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</si>
  <si>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</si>
  <si>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</si>
  <si>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</si>
  <si>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</si>
  <si>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</si>
  <si>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</si>
  <si>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</si>
  <si>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</si>
  <si>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</si>
  <si>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</si>
  <si>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</si>
  <si>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</si>
  <si>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</si>
  <si>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</si>
  <si>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</si>
  <si>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</si>
  <si>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</si>
  <si>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</si>
  <si>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</si>
  <si>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</si>
  <si>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</si>
  <si>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</si>
  <si>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</si>
  <si>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</si>
  <si>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</si>
  <si>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</si>
  <si>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</si>
  <si>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</si>
  <si>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</si>
  <si>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</si>
  <si>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</si>
  <si>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</si>
  <si>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</si>
  <si>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</si>
  <si>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</si>
  <si>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</si>
  <si>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</si>
  <si>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</si>
  <si>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</si>
  <si>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</si>
  <si>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</si>
  <si>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</si>
  <si>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</si>
  <si>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</si>
  <si>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</si>
  <si>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</si>
  <si>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</si>
  <si>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</si>
  <si>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</si>
  <si>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</si>
  <si>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</si>
  <si>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</si>
  <si>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</si>
  <si>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</si>
  <si>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</si>
  <si>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</si>
  <si>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</si>
  <si>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</si>
  <si>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</si>
  <si>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</si>
  <si>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</si>
  <si>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</si>
  <si>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</si>
  <si>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</si>
  <si>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</si>
  <si>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</si>
  <si>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</si>
  <si>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</si>
  <si>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</si>
  <si>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</si>
  <si>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</si>
  <si>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</si>
  <si>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</si>
  <si>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</si>
  <si>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</si>
  <si>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</si>
  <si>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</si>
  <si>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</si>
  <si>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</si>
  <si>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</si>
  <si>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</si>
  <si>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</si>
  <si>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</si>
  <si>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</si>
  <si>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</si>
  <si>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</si>
  <si>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</si>
  <si>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</si>
  <si>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</si>
  <si>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</si>
  <si>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</si>
  <si>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</si>
  <si>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</si>
  <si>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</si>
  <si>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</si>
  <si>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</si>
  <si>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</si>
  <si>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</si>
  <si>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</si>
  <si>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</si>
  <si>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</si>
  <si>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</si>
  <si>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</si>
  <si>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</si>
  <si>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</si>
  <si>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</si>
  <si>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</si>
  <si>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</si>
  <si>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</si>
  <si>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</si>
  <si>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</si>
  <si>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</si>
  <si>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</si>
  <si>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</si>
  <si>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</si>
  <si>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</si>
  <si>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</si>
  <si>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</si>
  <si>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</si>
  <si>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</si>
  <si>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</si>
  <si>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</si>
  <si>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</si>
  <si>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</si>
  <si>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</si>
  <si>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</si>
  <si>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</si>
  <si>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</si>
  <si>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</si>
  <si>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</si>
  <si>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</si>
  <si>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</si>
  <si>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</si>
  <si>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</si>
  <si>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</si>
  <si>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</si>
  <si>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</si>
  <si>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</si>
  <si>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</si>
  <si>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</si>
  <si>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</si>
  <si>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</si>
  <si>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</si>
  <si>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</si>
  <si>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</si>
  <si>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</si>
  <si>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</si>
  <si>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</si>
  <si>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</si>
  <si>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</si>
  <si>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</si>
  <si>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</si>
  <si>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</si>
  <si>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</si>
  <si>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</si>
  <si>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</si>
  <si>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</si>
  <si>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</si>
  <si>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</si>
  <si>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</si>
  <si>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</si>
  <si>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</si>
  <si>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</si>
  <si>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</si>
  <si>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</si>
  <si>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</si>
  <si>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</si>
  <si>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</si>
  <si>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啟動依ID</t>
    <phoneticPr fontId="2" type="noConversion"/>
  </si>
  <si>
    <t>啟動依開始時間後</t>
    <phoneticPr fontId="2" type="noConversion"/>
  </si>
  <si>
    <t>Sprite</t>
    <phoneticPr fontId="2" type="noConversion"/>
  </si>
  <si>
    <t>位置ID</t>
    <phoneticPr fontId="2" type="noConversion"/>
  </si>
  <si>
    <t>記錄角度</t>
    <phoneticPr fontId="2" type="noConversion"/>
  </si>
  <si>
    <t>記錄位置</t>
    <phoneticPr fontId="2" type="noConversion"/>
  </si>
  <si>
    <t>記錄位置序號</t>
    <phoneticPr fontId="2" type="noConversion"/>
  </si>
  <si>
    <t>405</t>
  </si>
  <si>
    <t>406</t>
  </si>
  <si>
    <t>510</t>
  </si>
  <si>
    <t>511</t>
  </si>
  <si>
    <t>Boss六彈</t>
    <phoneticPr fontId="2" type="noConversion"/>
  </si>
  <si>
    <t>3,2</t>
  </si>
  <si>
    <t>3,2</t>
    <phoneticPr fontId="2" type="noConversion"/>
  </si>
  <si>
    <t>記錄角度</t>
  </si>
  <si>
    <t>2,3</t>
  </si>
  <si>
    <t>2,3</t>
    <phoneticPr fontId="2" type="noConversion"/>
  </si>
  <si>
    <t>死亡時間</t>
    <phoneticPr fontId="2" type="noConversion"/>
  </si>
  <si>
    <t>加ID</t>
    <phoneticPr fontId="2" type="noConversion"/>
  </si>
  <si>
    <t>EnemyShot2</t>
    <phoneticPr fontId="2" type="noConversion"/>
  </si>
  <si>
    <t>Shot2_yellow</t>
    <phoneticPr fontId="2" type="noConversion"/>
  </si>
  <si>
    <t>加速度</t>
    <phoneticPr fontId="2" type="noConversion"/>
  </si>
  <si>
    <t>位置參數角距角度</t>
    <phoneticPr fontId="2" type="noConversion"/>
  </si>
  <si>
    <t>記錄角度ID</t>
  </si>
  <si>
    <t>記錄角度ID</t>
    <phoneticPr fontId="2" type="noConversion"/>
  </si>
  <si>
    <t>角度ID記錄</t>
  </si>
  <si>
    <t>角度ID記錄</t>
    <phoneticPr fontId="2" type="noConversion"/>
  </si>
  <si>
    <t>記錄位置ID</t>
    <phoneticPr fontId="2" type="noConversion"/>
  </si>
  <si>
    <t>EnemyShot2</t>
  </si>
  <si>
    <t>Shot2_blue</t>
  </si>
  <si>
    <t>Shot2_blue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</si>
</sst>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63"/>
  <sheetViews>
    <sheetView tabSelected="1" zoomScale="115" zoomScaleNormal="115" workbookViewId="0">
      <pane ySplit="1" topLeftCell="A11" activePane="bottomLeft" state="frozen"/>
      <selection pane="bottomLeft" activeCell="M7" sqref="M7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6.12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4" spans="1:56">
      <c r="A4" s="22">
        <f>G6*H6</f>
        <v>6</v>
      </c>
      <c r="B4" s="28" t="s">
        <v>248</v>
      </c>
      <c r="C4" s="9"/>
      <c r="D4" s="9"/>
    </row>
    <row r="5" spans="1:56">
      <c r="A5" s="9" t="s">
        <v>229</v>
      </c>
      <c r="B5" s="22">
        <f>QUOTIENT( D5-1,G6)+1</f>
        <v>1</v>
      </c>
      <c r="C5" s="22">
        <f>D5-(B5-1)*G6</f>
        <v>1</v>
      </c>
      <c r="D5" s="22">
        <f>COUNT($D4:$D$4)+1</f>
        <v>1</v>
      </c>
      <c r="F5" s="9" t="s">
        <v>229</v>
      </c>
      <c r="J5" s="9" t="s">
        <v>229</v>
      </c>
      <c r="K5" s="9" t="s">
        <v>229</v>
      </c>
      <c r="L5" s="9" t="s">
        <v>229</v>
      </c>
    </row>
    <row r="6" spans="1:56">
      <c r="E6" s="22">
        <f t="shared" ref="E6:E70" si="0">ROW(E6)</f>
        <v>6</v>
      </c>
      <c r="F6" s="9" t="s">
        <v>146</v>
      </c>
      <c r="G6" s="22">
        <v>6</v>
      </c>
      <c r="H6" s="22">
        <v>1</v>
      </c>
      <c r="J6" s="22">
        <v>15100</v>
      </c>
      <c r="K6" s="9" t="s">
        <v>229</v>
      </c>
      <c r="L6" s="9" t="s">
        <v>229</v>
      </c>
      <c r="M6" s="22">
        <f>J6+D5</f>
        <v>15101</v>
      </c>
    </row>
    <row r="7" spans="1:56">
      <c r="E7" s="22">
        <f t="shared" si="0"/>
        <v>7</v>
      </c>
      <c r="F7" s="9" t="s">
        <v>237</v>
      </c>
      <c r="J7" s="9" t="s">
        <v>229</v>
      </c>
      <c r="K7" s="9" t="s">
        <v>229</v>
      </c>
      <c r="L7" s="9" t="s">
        <v>229</v>
      </c>
      <c r="M7" s="22">
        <v>148109</v>
      </c>
    </row>
    <row r="8" spans="1:56">
      <c r="E8" s="22">
        <f t="shared" si="0"/>
        <v>8</v>
      </c>
      <c r="F8" s="9" t="s">
        <v>238</v>
      </c>
      <c r="J8" s="9" t="s">
        <v>229</v>
      </c>
      <c r="K8" s="9" t="s">
        <v>229</v>
      </c>
      <c r="L8" s="9" t="s">
        <v>229</v>
      </c>
      <c r="M8" s="22">
        <v>0</v>
      </c>
    </row>
    <row r="9" spans="1:56">
      <c r="E9" s="22">
        <f t="shared" si="0"/>
        <v>9</v>
      </c>
      <c r="F9" s="9" t="s">
        <v>96</v>
      </c>
      <c r="J9" s="9" t="s">
        <v>229</v>
      </c>
      <c r="K9" s="9" t="s">
        <v>229</v>
      </c>
      <c r="L9" s="9" t="s">
        <v>229</v>
      </c>
      <c r="M9" s="22" t="s">
        <v>256</v>
      </c>
    </row>
    <row r="10" spans="1:56">
      <c r="E10" s="22">
        <f>ROW(E10)</f>
        <v>10</v>
      </c>
      <c r="F10" s="9" t="s">
        <v>239</v>
      </c>
      <c r="J10" s="9" t="s">
        <v>229</v>
      </c>
      <c r="K10" s="9" t="s">
        <v>229</v>
      </c>
      <c r="L10" s="9" t="s">
        <v>229</v>
      </c>
      <c r="M10" s="22" t="s">
        <v>267</v>
      </c>
    </row>
    <row r="11" spans="1:56">
      <c r="E11" s="22">
        <f t="shared" si="0"/>
        <v>11</v>
      </c>
      <c r="F11" s="9" t="s">
        <v>145</v>
      </c>
      <c r="G11" s="9" t="s">
        <v>229</v>
      </c>
      <c r="H11" s="9" t="s">
        <v>229</v>
      </c>
      <c r="I11" s="9" t="s">
        <v>229</v>
      </c>
      <c r="J11" s="9" t="s">
        <v>229</v>
      </c>
      <c r="K11" s="9" t="s">
        <v>240</v>
      </c>
      <c r="L11" s="9" t="s">
        <v>229</v>
      </c>
      <c r="M11" s="22">
        <v>2</v>
      </c>
    </row>
    <row r="12" spans="1:56">
      <c r="E12" s="22">
        <f t="shared" si="0"/>
        <v>12</v>
      </c>
      <c r="F12" s="9" t="s">
        <v>120</v>
      </c>
      <c r="J12" s="9" t="s">
        <v>229</v>
      </c>
      <c r="K12" s="9" t="s">
        <v>229</v>
      </c>
      <c r="L12" s="9" t="s">
        <v>229</v>
      </c>
      <c r="M12" s="27">
        <v>90</v>
      </c>
    </row>
    <row r="13" spans="1:56">
      <c r="E13" s="22">
        <f t="shared" si="0"/>
        <v>13</v>
      </c>
      <c r="F13" s="9" t="s">
        <v>121</v>
      </c>
      <c r="J13" s="9" t="s">
        <v>229</v>
      </c>
      <c r="K13" s="9" t="s">
        <v>138</v>
      </c>
      <c r="L13" s="9" t="s">
        <v>229</v>
      </c>
      <c r="M13" s="27">
        <v>3</v>
      </c>
    </row>
    <row r="14" spans="1:56">
      <c r="E14" s="22">
        <f t="shared" si="0"/>
        <v>14</v>
      </c>
      <c r="F14" s="9" t="s">
        <v>177</v>
      </c>
      <c r="J14" s="9" t="s">
        <v>229</v>
      </c>
      <c r="K14" s="9" t="s">
        <v>220</v>
      </c>
      <c r="L14" s="9" t="s">
        <v>229</v>
      </c>
      <c r="M14" s="27">
        <v>1.6</v>
      </c>
    </row>
    <row r="15" spans="1:56">
      <c r="E15" s="22">
        <f t="shared" si="0"/>
        <v>15</v>
      </c>
      <c r="F15" s="9" t="s">
        <v>134</v>
      </c>
      <c r="J15" s="9" t="s">
        <v>229</v>
      </c>
      <c r="K15" s="9" t="s">
        <v>259</v>
      </c>
      <c r="M15" s="27"/>
    </row>
    <row r="16" spans="1:56">
      <c r="E16" s="22">
        <f t="shared" si="0"/>
        <v>16</v>
      </c>
      <c r="F16" s="9" t="s">
        <v>184</v>
      </c>
      <c r="L16" s="9" t="s">
        <v>136</v>
      </c>
      <c r="M16" s="27" t="s">
        <v>250</v>
      </c>
    </row>
    <row r="17" spans="1:13">
      <c r="E17" s="22">
        <f t="shared" si="0"/>
        <v>17</v>
      </c>
      <c r="F17" s="9" t="s">
        <v>177</v>
      </c>
      <c r="G17" s="27">
        <v>-2.5</v>
      </c>
      <c r="H17" s="27">
        <v>-1.5</v>
      </c>
      <c r="I17" s="27">
        <v>-0.5</v>
      </c>
      <c r="J17" s="27" t="s">
        <v>229</v>
      </c>
      <c r="K17" s="9" t="s">
        <v>220</v>
      </c>
      <c r="L17" s="9" t="s">
        <v>229</v>
      </c>
      <c r="M17" s="27" cm="1">
        <f t="array" ref="M17">_xlfn.SWITCH(C5,1,G17,2,H17,3,I17,4,G18,5,H18,6,I18)</f>
        <v>-2.5</v>
      </c>
    </row>
    <row r="18" spans="1:13">
      <c r="E18" s="22">
        <f t="shared" si="0"/>
        <v>18</v>
      </c>
      <c r="G18" s="27">
        <v>0.5</v>
      </c>
      <c r="H18" s="27">
        <v>1.5</v>
      </c>
      <c r="I18" s="27">
        <v>2.5</v>
      </c>
      <c r="J18" s="27"/>
      <c r="M18" s="27"/>
    </row>
    <row r="19" spans="1:13">
      <c r="E19" s="22">
        <f t="shared" si="0"/>
        <v>19</v>
      </c>
      <c r="F19" s="9" t="s">
        <v>134</v>
      </c>
      <c r="J19" s="9" t="s">
        <v>229</v>
      </c>
      <c r="K19" s="9" t="s">
        <v>221</v>
      </c>
      <c r="M19" s="27"/>
    </row>
    <row r="20" spans="1:13">
      <c r="E20" s="22">
        <f t="shared" si="0"/>
        <v>20</v>
      </c>
      <c r="F20" s="9" t="s">
        <v>184</v>
      </c>
      <c r="L20" s="9" t="s">
        <v>136</v>
      </c>
      <c r="M20" s="27" t="s">
        <v>250</v>
      </c>
    </row>
    <row r="21" spans="1:13">
      <c r="E21" s="22">
        <f t="shared" si="0"/>
        <v>21</v>
      </c>
      <c r="F21" s="9" t="s">
        <v>184</v>
      </c>
      <c r="L21" s="9" t="s">
        <v>135</v>
      </c>
      <c r="M21" s="27">
        <v>90</v>
      </c>
    </row>
    <row r="22" spans="1:13">
      <c r="E22" s="22">
        <f t="shared" si="0"/>
        <v>22</v>
      </c>
      <c r="F22" s="9" t="s">
        <v>123</v>
      </c>
      <c r="J22" s="9" t="s">
        <v>229</v>
      </c>
      <c r="K22" s="9" t="s">
        <v>229</v>
      </c>
      <c r="L22" s="9" t="s">
        <v>229</v>
      </c>
      <c r="M22" s="27">
        <v>5</v>
      </c>
    </row>
    <row r="23" spans="1:13">
      <c r="E23" s="22">
        <f t="shared" si="0"/>
        <v>23</v>
      </c>
      <c r="F23" s="9" t="s">
        <v>251</v>
      </c>
      <c r="J23" s="9" t="s">
        <v>229</v>
      </c>
      <c r="L23" s="9" t="s">
        <v>136</v>
      </c>
      <c r="M23" s="27" t="s">
        <v>253</v>
      </c>
    </row>
    <row r="24" spans="1:13">
      <c r="E24" s="22">
        <f t="shared" si="0"/>
        <v>24</v>
      </c>
      <c r="F24" s="9" t="s">
        <v>261</v>
      </c>
      <c r="J24" s="9" t="s">
        <v>229</v>
      </c>
      <c r="M24" s="27">
        <v>101</v>
      </c>
    </row>
    <row r="25" spans="1:13">
      <c r="E25" s="22">
        <f t="shared" si="0"/>
        <v>25</v>
      </c>
      <c r="F25" s="9" t="s">
        <v>254</v>
      </c>
      <c r="M25" s="22">
        <f>M12+1</f>
        <v>91</v>
      </c>
    </row>
    <row r="26" spans="1:13">
      <c r="E26" s="22">
        <f t="shared" si="0"/>
        <v>26</v>
      </c>
      <c r="F26" s="9" t="s">
        <v>115</v>
      </c>
      <c r="M26" s="22" t="b">
        <v>1</v>
      </c>
    </row>
    <row r="27" spans="1:13">
      <c r="E27" s="22">
        <f t="shared" si="0"/>
        <v>27</v>
      </c>
      <c r="F27" s="9" t="s">
        <v>255</v>
      </c>
      <c r="M27" s="22">
        <f>J6</f>
        <v>15100</v>
      </c>
    </row>
    <row r="28" spans="1:13">
      <c r="A28" s="22" t="s">
        <v>229</v>
      </c>
      <c r="B28" s="22">
        <f t="shared" ref="B28:B59" si="1">QUOTIENT( D28-1,G29)+1</f>
        <v>1</v>
      </c>
      <c r="C28" s="22">
        <f t="shared" ref="C28" si="2">D28-(B28-1)*G29</f>
        <v>2</v>
      </c>
      <c r="D28" s="22">
        <f>COUNT($D$4:$D27)+1</f>
        <v>2</v>
      </c>
      <c r="F28" s="9" t="s">
        <v>229</v>
      </c>
      <c r="J28" s="9" t="s">
        <v>229</v>
      </c>
      <c r="K28" s="9" t="s">
        <v>229</v>
      </c>
      <c r="L28" s="9" t="s">
        <v>229</v>
      </c>
    </row>
    <row r="29" spans="1:13">
      <c r="E29" s="22">
        <f t="shared" si="0"/>
        <v>29</v>
      </c>
      <c r="F29" s="9" t="s">
        <v>93</v>
      </c>
      <c r="G29" s="22">
        <v>6</v>
      </c>
      <c r="H29" s="22">
        <v>1</v>
      </c>
      <c r="J29" s="9">
        <v>15100</v>
      </c>
      <c r="K29" s="9" t="s">
        <v>229</v>
      </c>
      <c r="L29" s="9" t="s">
        <v>229</v>
      </c>
      <c r="M29" s="22">
        <f t="shared" ref="M29:M60" si="3">J29+D28</f>
        <v>15102</v>
      </c>
    </row>
    <row r="30" spans="1:13">
      <c r="E30" s="22">
        <f t="shared" si="0"/>
        <v>30</v>
      </c>
      <c r="F30" s="9" t="s">
        <v>143</v>
      </c>
      <c r="J30" s="9" t="s">
        <v>229</v>
      </c>
      <c r="K30" s="9" t="s">
        <v>229</v>
      </c>
      <c r="L30" s="9" t="s">
        <v>229</v>
      </c>
      <c r="M30" s="22">
        <v>148109</v>
      </c>
    </row>
    <row r="31" spans="1:13">
      <c r="E31" s="22">
        <f t="shared" si="0"/>
        <v>31</v>
      </c>
      <c r="F31" s="9" t="s">
        <v>127</v>
      </c>
      <c r="J31" s="9" t="s">
        <v>229</v>
      </c>
      <c r="K31" s="9" t="s">
        <v>229</v>
      </c>
      <c r="L31" s="9" t="s">
        <v>229</v>
      </c>
      <c r="M31" s="22">
        <v>0</v>
      </c>
    </row>
    <row r="32" spans="1:13">
      <c r="E32" s="22">
        <f t="shared" si="0"/>
        <v>32</v>
      </c>
      <c r="F32" s="9" t="s">
        <v>29</v>
      </c>
      <c r="J32" s="9" t="s">
        <v>229</v>
      </c>
      <c r="K32" s="9" t="s">
        <v>229</v>
      </c>
      <c r="L32" s="9" t="s">
        <v>229</v>
      </c>
      <c r="M32" s="22" t="s">
        <v>265</v>
      </c>
    </row>
    <row r="33" spans="5:13">
      <c r="E33" s="22">
        <f t="shared" si="0"/>
        <v>33</v>
      </c>
      <c r="F33" s="9" t="s">
        <v>119</v>
      </c>
      <c r="J33" s="9" t="s">
        <v>229</v>
      </c>
      <c r="K33" s="9" t="s">
        <v>229</v>
      </c>
      <c r="L33" s="9" t="s">
        <v>229</v>
      </c>
      <c r="M33" s="22" t="s">
        <v>266</v>
      </c>
    </row>
    <row r="34" spans="5:13">
      <c r="E34" s="22">
        <f t="shared" si="0"/>
        <v>34</v>
      </c>
      <c r="F34" s="9" t="s">
        <v>99</v>
      </c>
      <c r="G34" s="22" t="s">
        <v>229</v>
      </c>
      <c r="H34" s="22" t="s">
        <v>229</v>
      </c>
      <c r="I34" s="22" t="s">
        <v>229</v>
      </c>
      <c r="J34" s="9" t="s">
        <v>229</v>
      </c>
      <c r="K34" s="9" t="s">
        <v>138</v>
      </c>
      <c r="L34" s="9" t="s">
        <v>229</v>
      </c>
      <c r="M34" s="22">
        <v>2</v>
      </c>
    </row>
    <row r="35" spans="5:13">
      <c r="E35" s="22">
        <f t="shared" si="0"/>
        <v>35</v>
      </c>
      <c r="F35" s="9" t="s">
        <v>120</v>
      </c>
      <c r="J35" s="9" t="s">
        <v>229</v>
      </c>
      <c r="K35" s="9" t="s">
        <v>229</v>
      </c>
      <c r="L35" s="9" t="s">
        <v>229</v>
      </c>
      <c r="M35" s="22">
        <v>90</v>
      </c>
    </row>
    <row r="36" spans="5:13">
      <c r="E36" s="22">
        <f t="shared" si="0"/>
        <v>36</v>
      </c>
      <c r="F36" s="9" t="s">
        <v>121</v>
      </c>
      <c r="J36" s="9" t="s">
        <v>229</v>
      </c>
      <c r="K36" s="9" t="s">
        <v>138</v>
      </c>
      <c r="L36" s="9" t="s">
        <v>229</v>
      </c>
      <c r="M36" s="22">
        <v>3</v>
      </c>
    </row>
    <row r="37" spans="5:13">
      <c r="E37" s="22">
        <f t="shared" si="0"/>
        <v>37</v>
      </c>
      <c r="F37" s="9" t="s">
        <v>177</v>
      </c>
      <c r="J37" s="9" t="s">
        <v>229</v>
      </c>
      <c r="K37" s="9" t="s">
        <v>220</v>
      </c>
      <c r="L37" s="9" t="s">
        <v>229</v>
      </c>
      <c r="M37" s="22">
        <v>1.6</v>
      </c>
    </row>
    <row r="38" spans="5:13">
      <c r="E38" s="22">
        <f t="shared" si="0"/>
        <v>38</v>
      </c>
      <c r="F38" s="9" t="s">
        <v>134</v>
      </c>
      <c r="J38" s="9" t="s">
        <v>229</v>
      </c>
      <c r="K38" s="9" t="s">
        <v>221</v>
      </c>
    </row>
    <row r="39" spans="5:13">
      <c r="E39" s="22">
        <f t="shared" si="0"/>
        <v>39</v>
      </c>
      <c r="F39" s="9" t="s">
        <v>184</v>
      </c>
      <c r="L39" s="9" t="s">
        <v>136</v>
      </c>
      <c r="M39" s="22" t="s">
        <v>249</v>
      </c>
    </row>
    <row r="40" spans="5:13">
      <c r="E40" s="22">
        <f t="shared" si="0"/>
        <v>40</v>
      </c>
      <c r="F40" s="9" t="s">
        <v>177</v>
      </c>
      <c r="G40" s="22">
        <v>-2.5</v>
      </c>
      <c r="H40" s="22">
        <v>-1.5</v>
      </c>
      <c r="I40" s="22">
        <v>-0.5</v>
      </c>
      <c r="J40" s="9" t="s">
        <v>229</v>
      </c>
      <c r="K40" s="9" t="s">
        <v>220</v>
      </c>
      <c r="L40" s="9" t="s">
        <v>229</v>
      </c>
      <c r="M40" s="22" cm="1">
        <f t="array" ref="M40">_xlfn.SWITCH(C28,1,G40,2,H40,3,I40,4,G41,5,H41,6,I41)</f>
        <v>-1.5</v>
      </c>
    </row>
    <row r="41" spans="5:13">
      <c r="E41" s="22">
        <f t="shared" si="0"/>
        <v>41</v>
      </c>
      <c r="G41" s="22">
        <v>0.5</v>
      </c>
      <c r="H41" s="22">
        <v>1.5</v>
      </c>
      <c r="I41" s="22">
        <v>2.5</v>
      </c>
    </row>
    <row r="42" spans="5:13">
      <c r="E42" s="22">
        <f t="shared" si="0"/>
        <v>42</v>
      </c>
      <c r="F42" s="9" t="s">
        <v>134</v>
      </c>
      <c r="J42" s="9" t="s">
        <v>229</v>
      </c>
      <c r="K42" s="9" t="s">
        <v>221</v>
      </c>
    </row>
    <row r="43" spans="5:13">
      <c r="E43" s="22">
        <f t="shared" si="0"/>
        <v>43</v>
      </c>
      <c r="F43" s="9" t="s">
        <v>184</v>
      </c>
      <c r="L43" s="9" t="s">
        <v>136</v>
      </c>
      <c r="M43" s="22" t="s">
        <v>249</v>
      </c>
    </row>
    <row r="44" spans="5:13">
      <c r="E44" s="22">
        <f t="shared" si="0"/>
        <v>44</v>
      </c>
      <c r="F44" s="9" t="s">
        <v>184</v>
      </c>
      <c r="L44" s="9" t="s">
        <v>135</v>
      </c>
      <c r="M44" s="22">
        <v>90</v>
      </c>
    </row>
    <row r="45" spans="5:13">
      <c r="E45" s="22">
        <f t="shared" si="0"/>
        <v>45</v>
      </c>
      <c r="F45" s="9" t="s">
        <v>123</v>
      </c>
      <c r="J45" s="9" t="s">
        <v>229</v>
      </c>
      <c r="K45" s="9" t="s">
        <v>229</v>
      </c>
      <c r="L45" s="9" t="s">
        <v>229</v>
      </c>
      <c r="M45" s="22">
        <v>5</v>
      </c>
    </row>
    <row r="46" spans="5:13">
      <c r="E46" s="22">
        <f t="shared" si="0"/>
        <v>46</v>
      </c>
      <c r="F46" s="9" t="s">
        <v>251</v>
      </c>
      <c r="J46" s="9" t="s">
        <v>229</v>
      </c>
      <c r="L46" s="9" t="s">
        <v>136</v>
      </c>
      <c r="M46" s="22" t="s">
        <v>252</v>
      </c>
    </row>
    <row r="47" spans="5:13">
      <c r="E47" s="22">
        <f t="shared" si="0"/>
        <v>47</v>
      </c>
      <c r="F47" s="9" t="s">
        <v>260</v>
      </c>
      <c r="J47" s="9" t="s">
        <v>229</v>
      </c>
      <c r="M47" s="22">
        <v>101</v>
      </c>
    </row>
    <row r="48" spans="5:13">
      <c r="E48" s="22">
        <f t="shared" si="0"/>
        <v>48</v>
      </c>
      <c r="F48" s="9" t="s">
        <v>108</v>
      </c>
      <c r="M48" s="22">
        <f t="shared" ref="M48" si="4">M35+1</f>
        <v>91</v>
      </c>
    </row>
    <row r="49" spans="1:13">
      <c r="E49" s="22">
        <f t="shared" si="0"/>
        <v>49</v>
      </c>
      <c r="F49" s="9" t="s">
        <v>115</v>
      </c>
      <c r="M49" s="22" t="b">
        <v>1</v>
      </c>
    </row>
    <row r="50" spans="1:13">
      <c r="E50" s="22">
        <f t="shared" si="0"/>
        <v>50</v>
      </c>
      <c r="F50" s="9" t="s">
        <v>169</v>
      </c>
      <c r="M50" s="22">
        <f t="shared" ref="M50" si="5">J29</f>
        <v>15100</v>
      </c>
    </row>
    <row r="51" spans="1:13">
      <c r="A51" s="22" t="s">
        <v>229</v>
      </c>
      <c r="B51" s="22">
        <f t="shared" ref="B51:B82" si="6">QUOTIENT( D51-1,G52)+1</f>
        <v>1</v>
      </c>
      <c r="C51" s="22">
        <f t="shared" ref="C51" si="7">D51-(B51-1)*G52</f>
        <v>3</v>
      </c>
      <c r="D51" s="22">
        <f>COUNT($D$4:$D50)+1</f>
        <v>3</v>
      </c>
      <c r="F51" s="9" t="s">
        <v>229</v>
      </c>
      <c r="J51" s="9" t="s">
        <v>229</v>
      </c>
      <c r="K51" s="9" t="s">
        <v>229</v>
      </c>
      <c r="L51" s="9" t="s">
        <v>229</v>
      </c>
    </row>
    <row r="52" spans="1:13">
      <c r="E52" s="22">
        <f t="shared" si="0"/>
        <v>52</v>
      </c>
      <c r="F52" s="9" t="s">
        <v>93</v>
      </c>
      <c r="G52" s="22">
        <v>6</v>
      </c>
      <c r="H52" s="22">
        <v>1</v>
      </c>
      <c r="J52" s="9">
        <v>15100</v>
      </c>
      <c r="K52" s="9" t="s">
        <v>229</v>
      </c>
      <c r="L52" s="9" t="s">
        <v>229</v>
      </c>
      <c r="M52" s="22">
        <f t="shared" ref="M52:M83" si="8">J52+D51</f>
        <v>15103</v>
      </c>
    </row>
    <row r="53" spans="1:13">
      <c r="E53" s="22">
        <f t="shared" si="0"/>
        <v>53</v>
      </c>
      <c r="F53" s="9" t="s">
        <v>143</v>
      </c>
      <c r="J53" s="9" t="s">
        <v>229</v>
      </c>
      <c r="K53" s="9" t="s">
        <v>229</v>
      </c>
      <c r="L53" s="9" t="s">
        <v>229</v>
      </c>
      <c r="M53" s="22">
        <v>148109</v>
      </c>
    </row>
    <row r="54" spans="1:13">
      <c r="E54" s="22">
        <f t="shared" si="0"/>
        <v>54</v>
      </c>
      <c r="F54" s="9" t="s">
        <v>127</v>
      </c>
      <c r="J54" s="9" t="s">
        <v>229</v>
      </c>
      <c r="K54" s="9" t="s">
        <v>229</v>
      </c>
      <c r="L54" s="9" t="s">
        <v>229</v>
      </c>
      <c r="M54" s="22">
        <v>0</v>
      </c>
    </row>
    <row r="55" spans="1:13">
      <c r="E55" s="22">
        <f t="shared" si="0"/>
        <v>55</v>
      </c>
      <c r="F55" s="9" t="s">
        <v>29</v>
      </c>
      <c r="J55" s="9" t="s">
        <v>229</v>
      </c>
      <c r="K55" s="9" t="s">
        <v>229</v>
      </c>
      <c r="L55" s="9" t="s">
        <v>229</v>
      </c>
      <c r="M55" s="22" t="s">
        <v>265</v>
      </c>
    </row>
    <row r="56" spans="1:13">
      <c r="E56" s="22">
        <f t="shared" si="0"/>
        <v>56</v>
      </c>
      <c r="F56" s="9" t="s">
        <v>119</v>
      </c>
      <c r="J56" s="9" t="s">
        <v>229</v>
      </c>
      <c r="K56" s="9" t="s">
        <v>229</v>
      </c>
      <c r="L56" s="9" t="s">
        <v>229</v>
      </c>
      <c r="M56" s="22" t="s">
        <v>266</v>
      </c>
    </row>
    <row r="57" spans="1:13">
      <c r="E57" s="22">
        <f t="shared" si="0"/>
        <v>57</v>
      </c>
      <c r="F57" s="9" t="s">
        <v>99</v>
      </c>
      <c r="G57" s="22" t="s">
        <v>229</v>
      </c>
      <c r="H57" s="22" t="s">
        <v>229</v>
      </c>
      <c r="I57" s="22" t="s">
        <v>229</v>
      </c>
      <c r="J57" s="9" t="s">
        <v>229</v>
      </c>
      <c r="K57" s="9" t="s">
        <v>138</v>
      </c>
      <c r="L57" s="9" t="s">
        <v>229</v>
      </c>
      <c r="M57" s="22">
        <v>2</v>
      </c>
    </row>
    <row r="58" spans="1:13">
      <c r="E58" s="22">
        <f t="shared" si="0"/>
        <v>58</v>
      </c>
      <c r="F58" s="9" t="s">
        <v>120</v>
      </c>
      <c r="J58" s="9" t="s">
        <v>229</v>
      </c>
      <c r="K58" s="9" t="s">
        <v>229</v>
      </c>
      <c r="L58" s="9" t="s">
        <v>229</v>
      </c>
      <c r="M58" s="22">
        <v>90</v>
      </c>
    </row>
    <row r="59" spans="1:13">
      <c r="E59" s="22">
        <f t="shared" si="0"/>
        <v>59</v>
      </c>
      <c r="F59" s="9" t="s">
        <v>121</v>
      </c>
      <c r="J59" s="9" t="s">
        <v>229</v>
      </c>
      <c r="K59" s="9" t="s">
        <v>138</v>
      </c>
      <c r="L59" s="9" t="s">
        <v>229</v>
      </c>
      <c r="M59" s="22">
        <v>3</v>
      </c>
    </row>
    <row r="60" spans="1:13">
      <c r="E60" s="22">
        <f t="shared" si="0"/>
        <v>60</v>
      </c>
      <c r="F60" s="9" t="s">
        <v>177</v>
      </c>
      <c r="J60" s="9" t="s">
        <v>229</v>
      </c>
      <c r="K60" s="9" t="s">
        <v>220</v>
      </c>
      <c r="L60" s="9" t="s">
        <v>229</v>
      </c>
      <c r="M60" s="22">
        <v>1.6</v>
      </c>
    </row>
    <row r="61" spans="1:13">
      <c r="E61" s="22">
        <f t="shared" si="0"/>
        <v>61</v>
      </c>
      <c r="F61" s="9" t="s">
        <v>134</v>
      </c>
      <c r="J61" s="9" t="s">
        <v>229</v>
      </c>
      <c r="K61" s="9" t="s">
        <v>221</v>
      </c>
    </row>
    <row r="62" spans="1:13">
      <c r="E62" s="22">
        <f t="shared" si="0"/>
        <v>62</v>
      </c>
      <c r="F62" s="9" t="s">
        <v>184</v>
      </c>
      <c r="L62" s="9" t="s">
        <v>136</v>
      </c>
      <c r="M62" s="27" t="s">
        <v>249</v>
      </c>
    </row>
    <row r="63" spans="1:13">
      <c r="E63" s="22">
        <f t="shared" si="0"/>
        <v>63</v>
      </c>
      <c r="F63" s="9" t="s">
        <v>177</v>
      </c>
      <c r="G63" s="22">
        <v>-2.5</v>
      </c>
      <c r="H63" s="22">
        <v>-1.5</v>
      </c>
      <c r="I63" s="22">
        <v>-0.5</v>
      </c>
      <c r="J63" s="9" t="s">
        <v>229</v>
      </c>
      <c r="K63" s="9" t="s">
        <v>220</v>
      </c>
      <c r="L63" s="9" t="s">
        <v>229</v>
      </c>
      <c r="M63" s="22" cm="1">
        <f t="array" ref="M63">_xlfn.SWITCH(C51,1,G63,2,H63,3,I63,4,G64,5,H64,6,I64)</f>
        <v>-0.5</v>
      </c>
    </row>
    <row r="64" spans="1:13">
      <c r="E64" s="22">
        <f t="shared" si="0"/>
        <v>64</v>
      </c>
      <c r="G64" s="22">
        <v>0.5</v>
      </c>
      <c r="H64" s="22">
        <v>1.5</v>
      </c>
      <c r="I64" s="22">
        <v>2.5</v>
      </c>
    </row>
    <row r="65" spans="1:13">
      <c r="E65" s="22">
        <f t="shared" si="0"/>
        <v>65</v>
      </c>
      <c r="F65" s="9" t="s">
        <v>134</v>
      </c>
      <c r="J65" s="9" t="s">
        <v>229</v>
      </c>
      <c r="K65" s="9" t="s">
        <v>221</v>
      </c>
    </row>
    <row r="66" spans="1:13">
      <c r="E66" s="22">
        <f t="shared" si="0"/>
        <v>66</v>
      </c>
      <c r="F66" s="9" t="s">
        <v>184</v>
      </c>
      <c r="L66" s="9" t="s">
        <v>136</v>
      </c>
      <c r="M66" s="22" t="s">
        <v>249</v>
      </c>
    </row>
    <row r="67" spans="1:13">
      <c r="E67" s="22">
        <f t="shared" si="0"/>
        <v>67</v>
      </c>
      <c r="F67" s="9" t="s">
        <v>184</v>
      </c>
      <c r="L67" s="9" t="s">
        <v>135</v>
      </c>
      <c r="M67" s="22">
        <v>90</v>
      </c>
    </row>
    <row r="68" spans="1:13">
      <c r="E68" s="22">
        <f t="shared" si="0"/>
        <v>68</v>
      </c>
      <c r="F68" s="9" t="s">
        <v>123</v>
      </c>
      <c r="J68" s="9" t="s">
        <v>229</v>
      </c>
      <c r="K68" s="9" t="s">
        <v>229</v>
      </c>
      <c r="L68" s="9" t="s">
        <v>229</v>
      </c>
      <c r="M68" s="22">
        <v>5</v>
      </c>
    </row>
    <row r="69" spans="1:13">
      <c r="E69" s="22">
        <f t="shared" si="0"/>
        <v>69</v>
      </c>
      <c r="F69" s="9" t="s">
        <v>251</v>
      </c>
      <c r="J69" s="9" t="s">
        <v>229</v>
      </c>
      <c r="L69" s="9" t="s">
        <v>136</v>
      </c>
      <c r="M69" s="22" t="s">
        <v>252</v>
      </c>
    </row>
    <row r="70" spans="1:13">
      <c r="E70" s="22">
        <f t="shared" si="0"/>
        <v>70</v>
      </c>
      <c r="F70" s="9" t="s">
        <v>260</v>
      </c>
      <c r="J70" s="9" t="s">
        <v>229</v>
      </c>
      <c r="M70" s="22">
        <v>101</v>
      </c>
    </row>
    <row r="71" spans="1:13">
      <c r="E71" s="22">
        <f t="shared" ref="E71:E134" si="9">ROW(E71)</f>
        <v>71</v>
      </c>
      <c r="F71" s="9" t="s">
        <v>108</v>
      </c>
      <c r="M71" s="22">
        <f t="shared" ref="M71" si="10">M58+1</f>
        <v>91</v>
      </c>
    </row>
    <row r="72" spans="1:13">
      <c r="E72" s="22">
        <f t="shared" si="9"/>
        <v>72</v>
      </c>
      <c r="F72" s="9" t="s">
        <v>115</v>
      </c>
      <c r="M72" s="22" t="b">
        <v>1</v>
      </c>
    </row>
    <row r="73" spans="1:13">
      <c r="E73" s="22">
        <f t="shared" si="9"/>
        <v>73</v>
      </c>
      <c r="F73" s="9" t="s">
        <v>169</v>
      </c>
      <c r="M73" s="22">
        <f t="shared" ref="M73" si="11">J52</f>
        <v>15100</v>
      </c>
    </row>
    <row r="74" spans="1:13">
      <c r="A74" s="22" t="s">
        <v>229</v>
      </c>
      <c r="B74" s="22">
        <f t="shared" ref="B74:B105" si="12">QUOTIENT( D74-1,G75)+1</f>
        <v>1</v>
      </c>
      <c r="C74" s="22">
        <f t="shared" ref="C74" si="13">D74-(B74-1)*G75</f>
        <v>4</v>
      </c>
      <c r="D74" s="22">
        <f>COUNT($D$4:$D73)+1</f>
        <v>4</v>
      </c>
      <c r="F74" s="9" t="s">
        <v>229</v>
      </c>
      <c r="J74" s="9" t="s">
        <v>229</v>
      </c>
      <c r="K74" s="9" t="s">
        <v>229</v>
      </c>
      <c r="L74" s="9" t="s">
        <v>229</v>
      </c>
    </row>
    <row r="75" spans="1:13">
      <c r="E75" s="22">
        <f t="shared" si="9"/>
        <v>75</v>
      </c>
      <c r="F75" s="9" t="s">
        <v>93</v>
      </c>
      <c r="G75" s="22">
        <v>6</v>
      </c>
      <c r="H75" s="22">
        <v>1</v>
      </c>
      <c r="J75" s="9">
        <v>15100</v>
      </c>
      <c r="K75" s="9" t="s">
        <v>229</v>
      </c>
      <c r="L75" s="9" t="s">
        <v>229</v>
      </c>
      <c r="M75" s="22">
        <f t="shared" ref="M75:M106" si="14">J75+D74</f>
        <v>15104</v>
      </c>
    </row>
    <row r="76" spans="1:13">
      <c r="E76" s="22">
        <f t="shared" si="9"/>
        <v>76</v>
      </c>
      <c r="F76" s="9" t="s">
        <v>143</v>
      </c>
      <c r="J76" s="9" t="s">
        <v>229</v>
      </c>
      <c r="K76" s="9" t="s">
        <v>229</v>
      </c>
      <c r="L76" s="9" t="s">
        <v>229</v>
      </c>
      <c r="M76" s="22">
        <v>148109</v>
      </c>
    </row>
    <row r="77" spans="1:13">
      <c r="E77" s="22">
        <f t="shared" si="9"/>
        <v>77</v>
      </c>
      <c r="F77" s="9" t="s">
        <v>127</v>
      </c>
      <c r="J77" s="9" t="s">
        <v>229</v>
      </c>
      <c r="K77" s="9" t="s">
        <v>229</v>
      </c>
      <c r="L77" s="9" t="s">
        <v>229</v>
      </c>
      <c r="M77" s="22">
        <v>0</v>
      </c>
    </row>
    <row r="78" spans="1:13">
      <c r="E78" s="22">
        <f t="shared" si="9"/>
        <v>78</v>
      </c>
      <c r="F78" s="9" t="s">
        <v>29</v>
      </c>
      <c r="J78" s="9" t="s">
        <v>229</v>
      </c>
      <c r="K78" s="9" t="s">
        <v>229</v>
      </c>
      <c r="L78" s="9" t="s">
        <v>229</v>
      </c>
      <c r="M78" s="22" t="s">
        <v>265</v>
      </c>
    </row>
    <row r="79" spans="1:13">
      <c r="E79" s="22">
        <f t="shared" si="9"/>
        <v>79</v>
      </c>
      <c r="F79" s="9" t="s">
        <v>119</v>
      </c>
      <c r="J79" s="9" t="s">
        <v>229</v>
      </c>
      <c r="K79" s="9" t="s">
        <v>229</v>
      </c>
      <c r="L79" s="9" t="s">
        <v>229</v>
      </c>
      <c r="M79" s="22" t="s">
        <v>266</v>
      </c>
    </row>
    <row r="80" spans="1:13">
      <c r="E80" s="22">
        <f t="shared" si="9"/>
        <v>80</v>
      </c>
      <c r="F80" s="9" t="s">
        <v>99</v>
      </c>
      <c r="G80" s="22" t="s">
        <v>229</v>
      </c>
      <c r="H80" s="22" t="s">
        <v>229</v>
      </c>
      <c r="I80" s="22" t="s">
        <v>229</v>
      </c>
      <c r="J80" s="9" t="s">
        <v>229</v>
      </c>
      <c r="K80" s="9" t="s">
        <v>138</v>
      </c>
      <c r="L80" s="9" t="s">
        <v>229</v>
      </c>
      <c r="M80" s="22">
        <v>2</v>
      </c>
    </row>
    <row r="81" spans="5:13">
      <c r="E81" s="22">
        <f t="shared" si="9"/>
        <v>81</v>
      </c>
      <c r="F81" s="9" t="s">
        <v>120</v>
      </c>
      <c r="J81" s="9" t="s">
        <v>229</v>
      </c>
      <c r="K81" s="9" t="s">
        <v>229</v>
      </c>
      <c r="L81" s="9" t="s">
        <v>229</v>
      </c>
      <c r="M81" s="22">
        <v>90</v>
      </c>
    </row>
    <row r="82" spans="5:13">
      <c r="E82" s="22">
        <f t="shared" si="9"/>
        <v>82</v>
      </c>
      <c r="F82" s="9" t="s">
        <v>121</v>
      </c>
      <c r="J82" s="9" t="s">
        <v>229</v>
      </c>
      <c r="K82" s="9" t="s">
        <v>138</v>
      </c>
      <c r="L82" s="9" t="s">
        <v>229</v>
      </c>
      <c r="M82" s="22">
        <v>3</v>
      </c>
    </row>
    <row r="83" spans="5:13">
      <c r="E83" s="22">
        <f t="shared" si="9"/>
        <v>83</v>
      </c>
      <c r="F83" s="9" t="s">
        <v>177</v>
      </c>
      <c r="J83" s="9" t="s">
        <v>229</v>
      </c>
      <c r="K83" s="9" t="s">
        <v>220</v>
      </c>
      <c r="L83" s="9" t="s">
        <v>229</v>
      </c>
      <c r="M83" s="22">
        <v>1.6</v>
      </c>
    </row>
    <row r="84" spans="5:13">
      <c r="E84" s="22">
        <f t="shared" si="9"/>
        <v>84</v>
      </c>
      <c r="F84" s="9" t="s">
        <v>134</v>
      </c>
      <c r="J84" s="9" t="s">
        <v>229</v>
      </c>
      <c r="K84" s="9" t="s">
        <v>221</v>
      </c>
    </row>
    <row r="85" spans="5:13">
      <c r="E85" s="22">
        <f t="shared" si="9"/>
        <v>85</v>
      </c>
      <c r="F85" s="9" t="s">
        <v>184</v>
      </c>
      <c r="L85" s="9" t="s">
        <v>136</v>
      </c>
      <c r="M85" s="22" t="s">
        <v>249</v>
      </c>
    </row>
    <row r="86" spans="5:13">
      <c r="E86" s="22">
        <f t="shared" si="9"/>
        <v>86</v>
      </c>
      <c r="F86" s="9" t="s">
        <v>177</v>
      </c>
      <c r="G86" s="22">
        <v>-2.5</v>
      </c>
      <c r="H86" s="22">
        <v>-1.5</v>
      </c>
      <c r="I86" s="22">
        <v>-0.5</v>
      </c>
      <c r="J86" s="9" t="s">
        <v>229</v>
      </c>
      <c r="K86" s="9" t="s">
        <v>220</v>
      </c>
      <c r="L86" s="9" t="s">
        <v>229</v>
      </c>
      <c r="M86" s="22" cm="1">
        <f t="array" ref="M86">_xlfn.SWITCH(C74,1,G86,2,H86,3,I86,4,G87,5,H87,6,I87)</f>
        <v>0.5</v>
      </c>
    </row>
    <row r="87" spans="5:13">
      <c r="E87" s="22">
        <f t="shared" si="9"/>
        <v>87</v>
      </c>
      <c r="G87" s="22">
        <v>0.5</v>
      </c>
      <c r="H87" s="22">
        <v>1.5</v>
      </c>
      <c r="I87" s="22">
        <v>2.5</v>
      </c>
    </row>
    <row r="88" spans="5:13">
      <c r="E88" s="22">
        <f t="shared" si="9"/>
        <v>88</v>
      </c>
      <c r="F88" s="9" t="s">
        <v>134</v>
      </c>
      <c r="J88" s="9" t="s">
        <v>229</v>
      </c>
      <c r="K88" s="9" t="s">
        <v>221</v>
      </c>
    </row>
    <row r="89" spans="5:13">
      <c r="E89" s="22">
        <f t="shared" si="9"/>
        <v>89</v>
      </c>
      <c r="F89" s="9" t="s">
        <v>184</v>
      </c>
      <c r="L89" s="9" t="s">
        <v>136</v>
      </c>
      <c r="M89" s="22" t="s">
        <v>249</v>
      </c>
    </row>
    <row r="90" spans="5:13">
      <c r="E90" s="22">
        <f t="shared" si="9"/>
        <v>90</v>
      </c>
      <c r="F90" s="9" t="s">
        <v>184</v>
      </c>
      <c r="L90" s="9" t="s">
        <v>135</v>
      </c>
      <c r="M90" s="22">
        <v>90</v>
      </c>
    </row>
    <row r="91" spans="5:13">
      <c r="E91" s="22">
        <f t="shared" si="9"/>
        <v>91</v>
      </c>
      <c r="F91" s="9" t="s">
        <v>123</v>
      </c>
      <c r="J91" s="9" t="s">
        <v>229</v>
      </c>
      <c r="K91" s="9" t="s">
        <v>229</v>
      </c>
      <c r="L91" s="9" t="s">
        <v>229</v>
      </c>
      <c r="M91" s="22">
        <v>5</v>
      </c>
    </row>
    <row r="92" spans="5:13">
      <c r="E92" s="22">
        <f t="shared" si="9"/>
        <v>92</v>
      </c>
      <c r="F92" s="9" t="s">
        <v>251</v>
      </c>
      <c r="J92" s="9" t="s">
        <v>229</v>
      </c>
      <c r="L92" s="9" t="s">
        <v>136</v>
      </c>
      <c r="M92" s="22" t="s">
        <v>252</v>
      </c>
    </row>
    <row r="93" spans="5:13">
      <c r="E93" s="22">
        <f t="shared" si="9"/>
        <v>93</v>
      </c>
      <c r="F93" s="9" t="s">
        <v>260</v>
      </c>
      <c r="J93" s="9" t="s">
        <v>229</v>
      </c>
      <c r="M93" s="22">
        <v>101</v>
      </c>
    </row>
    <row r="94" spans="5:13">
      <c r="E94" s="22">
        <f t="shared" si="9"/>
        <v>94</v>
      </c>
      <c r="F94" s="9" t="s">
        <v>108</v>
      </c>
      <c r="M94" s="22">
        <f t="shared" ref="M94" si="15">M81+1</f>
        <v>91</v>
      </c>
    </row>
    <row r="95" spans="5:13">
      <c r="E95" s="22">
        <f t="shared" si="9"/>
        <v>95</v>
      </c>
      <c r="F95" s="9" t="s">
        <v>115</v>
      </c>
      <c r="M95" s="22" t="b">
        <v>1</v>
      </c>
    </row>
    <row r="96" spans="5:13">
      <c r="E96" s="22">
        <f t="shared" si="9"/>
        <v>96</v>
      </c>
      <c r="F96" s="9" t="s">
        <v>169</v>
      </c>
      <c r="M96" s="22">
        <f t="shared" ref="M96" si="16">J75</f>
        <v>15100</v>
      </c>
    </row>
    <row r="97" spans="1:13">
      <c r="A97" s="22" t="s">
        <v>229</v>
      </c>
      <c r="B97" s="22">
        <f t="shared" ref="B97:B142" si="17">QUOTIENT( D97-1,G98)+1</f>
        <v>1</v>
      </c>
      <c r="C97" s="22">
        <f t="shared" ref="C97" si="18">D97-(B97-1)*G98</f>
        <v>5</v>
      </c>
      <c r="D97" s="22">
        <f>COUNT($D$4:$D96)+1</f>
        <v>5</v>
      </c>
      <c r="F97" s="9" t="s">
        <v>229</v>
      </c>
      <c r="J97" s="9" t="s">
        <v>229</v>
      </c>
      <c r="K97" s="9" t="s">
        <v>229</v>
      </c>
      <c r="L97" s="9" t="s">
        <v>229</v>
      </c>
    </row>
    <row r="98" spans="1:13">
      <c r="E98" s="22">
        <f t="shared" si="9"/>
        <v>98</v>
      </c>
      <c r="F98" s="9" t="s">
        <v>93</v>
      </c>
      <c r="G98" s="22">
        <v>6</v>
      </c>
      <c r="H98" s="22">
        <v>1</v>
      </c>
      <c r="J98" s="9">
        <v>15100</v>
      </c>
      <c r="K98" s="9" t="s">
        <v>229</v>
      </c>
      <c r="L98" s="9" t="s">
        <v>229</v>
      </c>
      <c r="M98" s="22">
        <f t="shared" ref="M98:M142" si="19">J98+D97</f>
        <v>15105</v>
      </c>
    </row>
    <row r="99" spans="1:13">
      <c r="E99" s="22">
        <f t="shared" si="9"/>
        <v>99</v>
      </c>
      <c r="F99" s="9" t="s">
        <v>143</v>
      </c>
      <c r="J99" s="9" t="s">
        <v>229</v>
      </c>
      <c r="K99" s="9" t="s">
        <v>229</v>
      </c>
      <c r="L99" s="9" t="s">
        <v>229</v>
      </c>
      <c r="M99" s="22">
        <v>148109</v>
      </c>
    </row>
    <row r="100" spans="1:13">
      <c r="E100" s="22">
        <f t="shared" si="9"/>
        <v>100</v>
      </c>
      <c r="F100" s="9" t="s">
        <v>127</v>
      </c>
      <c r="J100" s="9" t="s">
        <v>229</v>
      </c>
      <c r="K100" s="9" t="s">
        <v>229</v>
      </c>
      <c r="L100" s="9" t="s">
        <v>229</v>
      </c>
      <c r="M100" s="22">
        <v>0</v>
      </c>
    </row>
    <row r="101" spans="1:13">
      <c r="E101" s="22">
        <f t="shared" si="9"/>
        <v>101</v>
      </c>
      <c r="F101" s="9" t="s">
        <v>29</v>
      </c>
      <c r="J101" s="9" t="s">
        <v>229</v>
      </c>
      <c r="K101" s="9" t="s">
        <v>229</v>
      </c>
      <c r="L101" s="9" t="s">
        <v>229</v>
      </c>
      <c r="M101" s="22" t="s">
        <v>265</v>
      </c>
    </row>
    <row r="102" spans="1:13">
      <c r="E102" s="22">
        <f t="shared" si="9"/>
        <v>102</v>
      </c>
      <c r="F102" s="9" t="s">
        <v>119</v>
      </c>
      <c r="J102" s="9" t="s">
        <v>229</v>
      </c>
      <c r="K102" s="9" t="s">
        <v>229</v>
      </c>
      <c r="L102" s="9" t="s">
        <v>229</v>
      </c>
      <c r="M102" s="22" t="s">
        <v>266</v>
      </c>
    </row>
    <row r="103" spans="1:13">
      <c r="E103" s="22">
        <f t="shared" si="9"/>
        <v>103</v>
      </c>
      <c r="F103" s="9" t="s">
        <v>99</v>
      </c>
      <c r="G103" s="22" t="s">
        <v>229</v>
      </c>
      <c r="H103" s="22" t="s">
        <v>229</v>
      </c>
      <c r="I103" s="22" t="s">
        <v>229</v>
      </c>
      <c r="J103" s="9" t="s">
        <v>229</v>
      </c>
      <c r="K103" s="9" t="s">
        <v>138</v>
      </c>
      <c r="L103" s="9" t="s">
        <v>229</v>
      </c>
      <c r="M103" s="22">
        <v>2</v>
      </c>
    </row>
    <row r="104" spans="1:13">
      <c r="E104" s="22">
        <f t="shared" si="9"/>
        <v>104</v>
      </c>
      <c r="F104" s="9" t="s">
        <v>120</v>
      </c>
      <c r="J104" s="9" t="s">
        <v>229</v>
      </c>
      <c r="K104" s="9" t="s">
        <v>229</v>
      </c>
      <c r="L104" s="9" t="s">
        <v>229</v>
      </c>
      <c r="M104" s="22">
        <v>90</v>
      </c>
    </row>
    <row r="105" spans="1:13">
      <c r="E105" s="22">
        <f t="shared" si="9"/>
        <v>105</v>
      </c>
      <c r="F105" s="9" t="s">
        <v>121</v>
      </c>
      <c r="J105" s="9" t="s">
        <v>229</v>
      </c>
      <c r="K105" s="9" t="s">
        <v>138</v>
      </c>
      <c r="L105" s="9" t="s">
        <v>229</v>
      </c>
      <c r="M105" s="22">
        <v>3</v>
      </c>
    </row>
    <row r="106" spans="1:13">
      <c r="E106" s="22">
        <f t="shared" si="9"/>
        <v>106</v>
      </c>
      <c r="F106" s="9" t="s">
        <v>177</v>
      </c>
      <c r="J106" s="9" t="s">
        <v>229</v>
      </c>
      <c r="K106" s="9" t="s">
        <v>220</v>
      </c>
      <c r="L106" s="9" t="s">
        <v>229</v>
      </c>
      <c r="M106" s="22">
        <v>1.6</v>
      </c>
    </row>
    <row r="107" spans="1:13">
      <c r="E107" s="22">
        <f t="shared" si="9"/>
        <v>107</v>
      </c>
      <c r="F107" s="9" t="s">
        <v>134</v>
      </c>
      <c r="J107" s="9" t="s">
        <v>229</v>
      </c>
      <c r="K107" s="9" t="s">
        <v>221</v>
      </c>
    </row>
    <row r="108" spans="1:13">
      <c r="E108" s="22">
        <f t="shared" si="9"/>
        <v>108</v>
      </c>
      <c r="F108" s="9" t="s">
        <v>184</v>
      </c>
      <c r="L108" s="9" t="s">
        <v>136</v>
      </c>
      <c r="M108" s="22" t="s">
        <v>249</v>
      </c>
    </row>
    <row r="109" spans="1:13">
      <c r="E109" s="22">
        <f t="shared" si="9"/>
        <v>109</v>
      </c>
      <c r="F109" s="9" t="s">
        <v>177</v>
      </c>
      <c r="G109" s="22">
        <v>-2.5</v>
      </c>
      <c r="H109" s="22">
        <v>-1.5</v>
      </c>
      <c r="I109" s="22">
        <v>-0.5</v>
      </c>
      <c r="J109" s="9" t="s">
        <v>229</v>
      </c>
      <c r="K109" s="9" t="s">
        <v>220</v>
      </c>
      <c r="L109" s="9" t="s">
        <v>229</v>
      </c>
      <c r="M109" s="22" cm="1">
        <f t="array" ref="M109">_xlfn.SWITCH(C97,1,G109,2,H109,3,I109,4,G110,5,H110,6,I110)</f>
        <v>1.5</v>
      </c>
    </row>
    <row r="110" spans="1:13">
      <c r="E110" s="22">
        <f t="shared" si="9"/>
        <v>110</v>
      </c>
      <c r="G110" s="22">
        <v>0.5</v>
      </c>
      <c r="H110" s="22">
        <v>1.5</v>
      </c>
      <c r="I110" s="22">
        <v>2.5</v>
      </c>
    </row>
    <row r="111" spans="1:13">
      <c r="E111" s="22">
        <f t="shared" si="9"/>
        <v>111</v>
      </c>
      <c r="F111" s="9" t="s">
        <v>134</v>
      </c>
      <c r="J111" s="9" t="s">
        <v>229</v>
      </c>
      <c r="K111" s="9" t="s">
        <v>221</v>
      </c>
    </row>
    <row r="112" spans="1:13">
      <c r="E112" s="22">
        <f t="shared" si="9"/>
        <v>112</v>
      </c>
      <c r="F112" s="9" t="s">
        <v>184</v>
      </c>
      <c r="L112" s="9" t="s">
        <v>136</v>
      </c>
      <c r="M112" s="22" t="s">
        <v>249</v>
      </c>
    </row>
    <row r="113" spans="1:13">
      <c r="E113" s="22">
        <f t="shared" si="9"/>
        <v>113</v>
      </c>
      <c r="F113" s="9" t="s">
        <v>184</v>
      </c>
      <c r="L113" s="9" t="s">
        <v>135</v>
      </c>
      <c r="M113" s="22">
        <v>90</v>
      </c>
    </row>
    <row r="114" spans="1:13">
      <c r="E114" s="22">
        <f t="shared" si="9"/>
        <v>114</v>
      </c>
      <c r="F114" s="9" t="s">
        <v>123</v>
      </c>
      <c r="J114" s="9" t="s">
        <v>229</v>
      </c>
      <c r="K114" s="9" t="s">
        <v>229</v>
      </c>
      <c r="L114" s="9" t="s">
        <v>229</v>
      </c>
      <c r="M114" s="22">
        <v>5</v>
      </c>
    </row>
    <row r="115" spans="1:13">
      <c r="E115" s="22">
        <f t="shared" si="9"/>
        <v>115</v>
      </c>
      <c r="F115" s="9" t="s">
        <v>251</v>
      </c>
      <c r="J115" s="9" t="s">
        <v>229</v>
      </c>
      <c r="L115" s="9" t="s">
        <v>136</v>
      </c>
      <c r="M115" s="22" t="s">
        <v>252</v>
      </c>
    </row>
    <row r="116" spans="1:13">
      <c r="E116" s="22">
        <f t="shared" si="9"/>
        <v>116</v>
      </c>
      <c r="F116" s="9" t="s">
        <v>260</v>
      </c>
      <c r="J116" s="9" t="s">
        <v>229</v>
      </c>
      <c r="M116" s="22">
        <v>101</v>
      </c>
    </row>
    <row r="117" spans="1:13">
      <c r="E117" s="22">
        <f t="shared" si="9"/>
        <v>117</v>
      </c>
      <c r="F117" s="9" t="s">
        <v>108</v>
      </c>
      <c r="M117" s="22">
        <f t="shared" ref="M117" si="20">M104+1</f>
        <v>91</v>
      </c>
    </row>
    <row r="118" spans="1:13">
      <c r="E118" s="22">
        <f t="shared" si="9"/>
        <v>118</v>
      </c>
      <c r="F118" s="9" t="s">
        <v>115</v>
      </c>
      <c r="M118" s="22" t="b">
        <v>1</v>
      </c>
    </row>
    <row r="119" spans="1:13">
      <c r="E119" s="22">
        <f t="shared" si="9"/>
        <v>119</v>
      </c>
      <c r="F119" s="9" t="s">
        <v>169</v>
      </c>
      <c r="M119" s="22">
        <f t="shared" ref="M119" si="21">J98</f>
        <v>15100</v>
      </c>
    </row>
    <row r="120" spans="1:13">
      <c r="A120" s="22" t="s">
        <v>229</v>
      </c>
      <c r="B120" s="22">
        <f t="shared" ref="B120:B142" si="22">QUOTIENT( D120-1,G121)+1</f>
        <v>1</v>
      </c>
      <c r="C120" s="22">
        <f t="shared" ref="C120" si="23">D120-(B120-1)*G121</f>
        <v>6</v>
      </c>
      <c r="D120" s="22">
        <f>COUNT($D$4:$D119)+1</f>
        <v>6</v>
      </c>
      <c r="F120" s="9" t="s">
        <v>229</v>
      </c>
      <c r="J120" s="9" t="s">
        <v>229</v>
      </c>
      <c r="K120" s="9" t="s">
        <v>229</v>
      </c>
      <c r="L120" s="9" t="s">
        <v>229</v>
      </c>
    </row>
    <row r="121" spans="1:13">
      <c r="E121" s="22">
        <f t="shared" si="9"/>
        <v>121</v>
      </c>
      <c r="F121" s="9" t="s">
        <v>93</v>
      </c>
      <c r="G121" s="22">
        <v>6</v>
      </c>
      <c r="H121" s="22">
        <v>1</v>
      </c>
      <c r="J121" s="9">
        <v>15100</v>
      </c>
      <c r="K121" s="9" t="s">
        <v>229</v>
      </c>
      <c r="L121" s="9" t="s">
        <v>229</v>
      </c>
      <c r="M121" s="22">
        <f t="shared" ref="M121:M142" si="24">J121+D120</f>
        <v>15106</v>
      </c>
    </row>
    <row r="122" spans="1:13">
      <c r="E122" s="22">
        <f t="shared" si="9"/>
        <v>122</v>
      </c>
      <c r="F122" s="9" t="s">
        <v>143</v>
      </c>
      <c r="J122" s="9" t="s">
        <v>229</v>
      </c>
      <c r="K122" s="9" t="s">
        <v>229</v>
      </c>
      <c r="L122" s="9" t="s">
        <v>229</v>
      </c>
      <c r="M122" s="22">
        <v>148109</v>
      </c>
    </row>
    <row r="123" spans="1:13">
      <c r="E123" s="22">
        <f t="shared" si="9"/>
        <v>123</v>
      </c>
      <c r="F123" s="9" t="s">
        <v>127</v>
      </c>
      <c r="J123" s="9" t="s">
        <v>229</v>
      </c>
      <c r="K123" s="9" t="s">
        <v>229</v>
      </c>
      <c r="L123" s="9" t="s">
        <v>229</v>
      </c>
      <c r="M123" s="22">
        <v>0</v>
      </c>
    </row>
    <row r="124" spans="1:13">
      <c r="E124" s="22">
        <f t="shared" si="9"/>
        <v>124</v>
      </c>
      <c r="F124" s="9" t="s">
        <v>29</v>
      </c>
      <c r="J124" s="9" t="s">
        <v>229</v>
      </c>
      <c r="K124" s="9" t="s">
        <v>229</v>
      </c>
      <c r="L124" s="9" t="s">
        <v>229</v>
      </c>
      <c r="M124" s="22" t="s">
        <v>265</v>
      </c>
    </row>
    <row r="125" spans="1:13">
      <c r="E125" s="22">
        <f t="shared" si="9"/>
        <v>125</v>
      </c>
      <c r="F125" s="9" t="s">
        <v>119</v>
      </c>
      <c r="J125" s="9" t="s">
        <v>229</v>
      </c>
      <c r="K125" s="9" t="s">
        <v>229</v>
      </c>
      <c r="L125" s="9" t="s">
        <v>229</v>
      </c>
      <c r="M125" s="22" t="s">
        <v>266</v>
      </c>
    </row>
    <row r="126" spans="1:13">
      <c r="E126" s="22">
        <f t="shared" si="9"/>
        <v>126</v>
      </c>
      <c r="F126" s="9" t="s">
        <v>99</v>
      </c>
      <c r="G126" s="22" t="s">
        <v>229</v>
      </c>
      <c r="H126" s="22" t="s">
        <v>229</v>
      </c>
      <c r="I126" s="22" t="s">
        <v>229</v>
      </c>
      <c r="J126" s="9" t="s">
        <v>229</v>
      </c>
      <c r="K126" s="9" t="s">
        <v>138</v>
      </c>
      <c r="L126" s="9" t="s">
        <v>229</v>
      </c>
      <c r="M126" s="22">
        <v>2</v>
      </c>
    </row>
    <row r="127" spans="1:13">
      <c r="E127" s="22">
        <f t="shared" si="9"/>
        <v>127</v>
      </c>
      <c r="F127" s="9" t="s">
        <v>120</v>
      </c>
      <c r="J127" s="9" t="s">
        <v>229</v>
      </c>
      <c r="K127" s="9" t="s">
        <v>229</v>
      </c>
      <c r="L127" s="9" t="s">
        <v>229</v>
      </c>
      <c r="M127" s="22">
        <v>90</v>
      </c>
    </row>
    <row r="128" spans="1:13">
      <c r="E128" s="22">
        <f t="shared" si="9"/>
        <v>128</v>
      </c>
      <c r="F128" s="9" t="s">
        <v>121</v>
      </c>
      <c r="J128" s="9" t="s">
        <v>229</v>
      </c>
      <c r="K128" s="9" t="s">
        <v>138</v>
      </c>
      <c r="L128" s="9" t="s">
        <v>229</v>
      </c>
      <c r="M128" s="22">
        <v>3</v>
      </c>
    </row>
    <row r="129" spans="5:13">
      <c r="E129" s="22">
        <f t="shared" si="9"/>
        <v>129</v>
      </c>
      <c r="F129" s="9" t="s">
        <v>177</v>
      </c>
      <c r="J129" s="9" t="s">
        <v>229</v>
      </c>
      <c r="K129" s="9" t="s">
        <v>220</v>
      </c>
      <c r="L129" s="9" t="s">
        <v>229</v>
      </c>
      <c r="M129" s="22">
        <v>1.6</v>
      </c>
    </row>
    <row r="130" spans="5:13">
      <c r="E130" s="22">
        <f t="shared" si="9"/>
        <v>130</v>
      </c>
      <c r="F130" s="9" t="s">
        <v>134</v>
      </c>
      <c r="J130" s="9" t="s">
        <v>229</v>
      </c>
      <c r="K130" s="9" t="s">
        <v>221</v>
      </c>
    </row>
    <row r="131" spans="5:13">
      <c r="E131" s="22">
        <f t="shared" si="9"/>
        <v>131</v>
      </c>
      <c r="F131" s="9" t="s">
        <v>184</v>
      </c>
      <c r="L131" s="9" t="s">
        <v>136</v>
      </c>
      <c r="M131" s="22" t="s">
        <v>249</v>
      </c>
    </row>
    <row r="132" spans="5:13">
      <c r="E132" s="22">
        <f t="shared" si="9"/>
        <v>132</v>
      </c>
      <c r="F132" s="9" t="s">
        <v>177</v>
      </c>
      <c r="G132" s="22">
        <v>-2.5</v>
      </c>
      <c r="H132" s="22">
        <v>-1.5</v>
      </c>
      <c r="I132" s="22">
        <v>-0.5</v>
      </c>
      <c r="J132" s="9" t="s">
        <v>229</v>
      </c>
      <c r="K132" s="9" t="s">
        <v>220</v>
      </c>
      <c r="L132" s="9" t="s">
        <v>229</v>
      </c>
      <c r="M132" s="22" cm="1">
        <f t="array" ref="M132">_xlfn.SWITCH(C120,1,G132,2,H132,3,I132,4,G133,5,H133,6,I133)</f>
        <v>2.5</v>
      </c>
    </row>
    <row r="133" spans="5:13">
      <c r="E133" s="22">
        <f t="shared" si="9"/>
        <v>133</v>
      </c>
      <c r="G133" s="22">
        <v>0.5</v>
      </c>
      <c r="H133" s="22">
        <v>1.5</v>
      </c>
      <c r="I133" s="22">
        <v>2.5</v>
      </c>
    </row>
    <row r="134" spans="5:13">
      <c r="E134" s="22">
        <f t="shared" si="9"/>
        <v>134</v>
      </c>
      <c r="F134" s="9" t="s">
        <v>134</v>
      </c>
      <c r="J134" s="9" t="s">
        <v>229</v>
      </c>
      <c r="K134" s="9" t="s">
        <v>221</v>
      </c>
    </row>
    <row r="135" spans="5:13">
      <c r="E135" s="22">
        <f t="shared" ref="E135:E142" si="25">ROW(E135)</f>
        <v>135</v>
      </c>
      <c r="F135" s="9" t="s">
        <v>184</v>
      </c>
      <c r="L135" s="9" t="s">
        <v>136</v>
      </c>
      <c r="M135" s="22" t="s">
        <v>249</v>
      </c>
    </row>
    <row r="136" spans="5:13">
      <c r="E136" s="22">
        <f t="shared" si="25"/>
        <v>136</v>
      </c>
      <c r="F136" s="9" t="s">
        <v>184</v>
      </c>
      <c r="L136" s="9" t="s">
        <v>135</v>
      </c>
      <c r="M136" s="22">
        <v>90</v>
      </c>
    </row>
    <row r="137" spans="5:13">
      <c r="E137" s="22">
        <f t="shared" si="25"/>
        <v>137</v>
      </c>
      <c r="F137" s="9" t="s">
        <v>123</v>
      </c>
      <c r="J137" s="9" t="s">
        <v>229</v>
      </c>
      <c r="K137" s="9" t="s">
        <v>229</v>
      </c>
      <c r="L137" s="9" t="s">
        <v>229</v>
      </c>
      <c r="M137" s="22">
        <v>5</v>
      </c>
    </row>
    <row r="138" spans="5:13">
      <c r="E138" s="22">
        <f t="shared" si="25"/>
        <v>138</v>
      </c>
      <c r="F138" s="9" t="s">
        <v>251</v>
      </c>
      <c r="J138" s="9" t="s">
        <v>229</v>
      </c>
      <c r="L138" s="9" t="s">
        <v>136</v>
      </c>
      <c r="M138" s="22" t="s">
        <v>252</v>
      </c>
    </row>
    <row r="139" spans="5:13">
      <c r="E139" s="22">
        <f t="shared" si="25"/>
        <v>139</v>
      </c>
      <c r="F139" s="9" t="s">
        <v>260</v>
      </c>
      <c r="J139" s="9" t="s">
        <v>229</v>
      </c>
      <c r="M139" s="22">
        <v>101</v>
      </c>
    </row>
    <row r="140" spans="5:13">
      <c r="E140" s="22">
        <f t="shared" si="25"/>
        <v>140</v>
      </c>
      <c r="F140" s="9" t="s">
        <v>108</v>
      </c>
      <c r="M140" s="22">
        <f t="shared" ref="M140" si="26">M127+1</f>
        <v>91</v>
      </c>
    </row>
    <row r="141" spans="5:13">
      <c r="E141" s="22">
        <f t="shared" si="25"/>
        <v>141</v>
      </c>
      <c r="F141" s="9" t="s">
        <v>115</v>
      </c>
      <c r="M141" s="22" t="b">
        <v>1</v>
      </c>
    </row>
    <row r="142" spans="5:13">
      <c r="E142" s="22">
        <f t="shared" si="25"/>
        <v>142</v>
      </c>
      <c r="F142" s="9" t="s">
        <v>169</v>
      </c>
      <c r="M142" s="22">
        <f t="shared" ref="M142" si="27">J121</f>
        <v>15100</v>
      </c>
    </row>
    <row r="155" spans="5:13">
      <c r="E155" s="22">
        <f t="shared" ref="E155:E163" si="28">ROW(E155)</f>
        <v>155</v>
      </c>
      <c r="F155" s="9" t="s">
        <v>146</v>
      </c>
      <c r="J155" s="22"/>
      <c r="K155" s="9" t="s">
        <v>229</v>
      </c>
      <c r="L155" s="9" t="s">
        <v>229</v>
      </c>
      <c r="M155" s="22">
        <v>15200</v>
      </c>
    </row>
    <row r="156" spans="5:13">
      <c r="E156" s="22">
        <f t="shared" si="28"/>
        <v>156</v>
      </c>
      <c r="F156" s="9" t="s">
        <v>237</v>
      </c>
      <c r="J156" s="9" t="s">
        <v>229</v>
      </c>
      <c r="K156" s="9" t="s">
        <v>229</v>
      </c>
      <c r="L156" s="9" t="s">
        <v>229</v>
      </c>
      <c r="M156" s="22">
        <v>15100</v>
      </c>
    </row>
    <row r="157" spans="5:13">
      <c r="E157" s="22">
        <f t="shared" si="28"/>
        <v>157</v>
      </c>
      <c r="F157" s="9" t="s">
        <v>238</v>
      </c>
      <c r="J157" s="9" t="s">
        <v>229</v>
      </c>
      <c r="K157" s="9" t="s">
        <v>229</v>
      </c>
      <c r="L157" s="9" t="s">
        <v>229</v>
      </c>
      <c r="M157" s="22">
        <v>90</v>
      </c>
    </row>
    <row r="158" spans="5:13">
      <c r="E158" s="22">
        <f t="shared" si="28"/>
        <v>158</v>
      </c>
      <c r="F158" s="9" t="s">
        <v>96</v>
      </c>
      <c r="J158" s="9" t="s">
        <v>229</v>
      </c>
      <c r="K158" s="9" t="s">
        <v>229</v>
      </c>
      <c r="L158" s="9" t="s">
        <v>229</v>
      </c>
      <c r="M158" s="22" t="s">
        <v>256</v>
      </c>
    </row>
    <row r="159" spans="5:13">
      <c r="E159" s="22">
        <f t="shared" si="28"/>
        <v>159</v>
      </c>
      <c r="F159" s="9" t="s">
        <v>239</v>
      </c>
      <c r="J159" s="9" t="s">
        <v>229</v>
      </c>
      <c r="K159" s="9" t="s">
        <v>229</v>
      </c>
      <c r="L159" s="9" t="s">
        <v>229</v>
      </c>
      <c r="M159" s="22" t="s">
        <v>257</v>
      </c>
    </row>
    <row r="160" spans="5:13">
      <c r="E160" s="22">
        <f t="shared" si="28"/>
        <v>160</v>
      </c>
      <c r="F160" s="9" t="s">
        <v>145</v>
      </c>
      <c r="G160" s="9" t="s">
        <v>229</v>
      </c>
      <c r="H160" s="9" t="s">
        <v>229</v>
      </c>
      <c r="I160" s="9" t="s">
        <v>229</v>
      </c>
      <c r="J160" s="9" t="s">
        <v>229</v>
      </c>
      <c r="K160" s="9" t="s">
        <v>240</v>
      </c>
      <c r="L160" s="9" t="s">
        <v>229</v>
      </c>
      <c r="M160" s="22">
        <v>2</v>
      </c>
    </row>
    <row r="161" spans="5:13">
      <c r="E161" s="22">
        <f t="shared" si="28"/>
        <v>161</v>
      </c>
      <c r="F161" s="9" t="s">
        <v>31</v>
      </c>
      <c r="G161" s="9" t="s">
        <v>229</v>
      </c>
      <c r="H161" s="9" t="s">
        <v>229</v>
      </c>
      <c r="I161" s="9" t="s">
        <v>229</v>
      </c>
      <c r="J161" s="9" t="s">
        <v>229</v>
      </c>
      <c r="L161" s="9" t="s">
        <v>262</v>
      </c>
      <c r="M161" s="22">
        <v>101</v>
      </c>
    </row>
    <row r="162" spans="5:13">
      <c r="E162" s="22">
        <f t="shared" si="28"/>
        <v>162</v>
      </c>
      <c r="F162" s="9" t="s">
        <v>115</v>
      </c>
      <c r="G162" s="9" t="s">
        <v>229</v>
      </c>
      <c r="H162" s="9" t="s">
        <v>229</v>
      </c>
      <c r="I162" s="9" t="s">
        <v>229</v>
      </c>
      <c r="J162" s="9" t="s">
        <v>229</v>
      </c>
      <c r="M162" s="22" t="b">
        <v>1</v>
      </c>
    </row>
    <row r="163" spans="5:13">
      <c r="E163" s="22">
        <f t="shared" si="28"/>
        <v>163</v>
      </c>
      <c r="F163" s="9" t="s">
        <v>258</v>
      </c>
      <c r="M163" s="22">
        <v>1</v>
      </c>
    </row>
  </sheetData>
  <phoneticPr fontId="2" type="noConversion"/>
  <conditionalFormatting sqref="BE1:XFD1 E1:I1">
    <cfRule type="duplicateValues" dxfId="64" priority="1770"/>
  </conditionalFormatting>
  <conditionalFormatting sqref="F1:F2 F9:F24">
    <cfRule type="cellIs" dxfId="63" priority="1271" operator="equal">
      <formula>"ID"</formula>
    </cfRule>
    <cfRule type="cellIs" dxfId="62" priority="1686" operator="equal">
      <formula>"行動序號"</formula>
    </cfRule>
  </conditionalFormatting>
  <conditionalFormatting sqref="M1:M24">
    <cfRule type="expression" dxfId="61" priority="1690">
      <formula>OR($F1="行動序號",$F1="ID")</formula>
    </cfRule>
  </conditionalFormatting>
  <conditionalFormatting sqref="M1:M24">
    <cfRule type="expression" dxfId="60" priority="1157">
      <formula>$F1="行動ID"</formula>
    </cfRule>
  </conditionalFormatting>
  <conditionalFormatting sqref="J1">
    <cfRule type="duplicateValues" dxfId="59" priority="1269"/>
  </conditionalFormatting>
  <conditionalFormatting sqref="K1:L1">
    <cfRule type="duplicateValues" dxfId="58" priority="1266"/>
  </conditionalFormatting>
  <conditionalFormatting sqref="F6:F7">
    <cfRule type="cellIs" dxfId="57" priority="1136" operator="equal">
      <formula>"ID"</formula>
    </cfRule>
    <cfRule type="cellIs" dxfId="56" priority="1138" operator="equal">
      <formula>"行動序號"</formula>
    </cfRule>
  </conditionalFormatting>
  <conditionalFormatting sqref="F8">
    <cfRule type="cellIs" dxfId="55" priority="1120" operator="equal">
      <formula>"ID"</formula>
    </cfRule>
    <cfRule type="cellIs" dxfId="54" priority="1121" operator="equal">
      <formula>"行動序號"</formula>
    </cfRule>
  </conditionalFormatting>
  <conditionalFormatting sqref="J6 M1:M24">
    <cfRule type="expression" dxfId="53" priority="881">
      <formula>_xlfn.ISFORMULA(J1)</formula>
    </cfRule>
  </conditionalFormatting>
  <conditionalFormatting sqref="J6">
    <cfRule type="expression" dxfId="52" priority="1777">
      <formula>OR(#REF!="行動序號",#REF!="ID")</formula>
    </cfRule>
  </conditionalFormatting>
  <conditionalFormatting sqref="J6">
    <cfRule type="expression" dxfId="51" priority="1779">
      <formula>#REF!="行動ID"</formula>
    </cfRule>
  </conditionalFormatting>
  <conditionalFormatting sqref="N1:BD1">
    <cfRule type="duplicateValues" dxfId="50" priority="1786"/>
  </conditionalFormatting>
  <conditionalFormatting sqref="F158:F162">
    <cfRule type="cellIs" dxfId="49" priority="7" operator="equal">
      <formula>"ID"</formula>
    </cfRule>
    <cfRule type="cellIs" dxfId="48" priority="8" operator="equal">
      <formula>"行動序號"</formula>
    </cfRule>
  </conditionalFormatting>
  <conditionalFormatting sqref="M155:M162">
    <cfRule type="expression" dxfId="47" priority="9">
      <formula>OR($F155="行動序號",$F155="ID")</formula>
    </cfRule>
  </conditionalFormatting>
  <conditionalFormatting sqref="M155:M162">
    <cfRule type="expression" dxfId="46" priority="6">
      <formula>$F155="行動ID"</formula>
    </cfRule>
  </conditionalFormatting>
  <conditionalFormatting sqref="F155:F156">
    <cfRule type="cellIs" dxfId="45" priority="4" operator="equal">
      <formula>"ID"</formula>
    </cfRule>
    <cfRule type="cellIs" dxfId="44" priority="5" operator="equal">
      <formula>"行動序號"</formula>
    </cfRule>
  </conditionalFormatting>
  <conditionalFormatting sqref="F157">
    <cfRule type="cellIs" dxfId="43" priority="2" operator="equal">
      <formula>"ID"</formula>
    </cfRule>
    <cfRule type="cellIs" dxfId="42" priority="3" operator="equal">
      <formula>"行動序號"</formula>
    </cfRule>
  </conditionalFormatting>
  <conditionalFormatting sqref="J155 M155:M162">
    <cfRule type="expression" dxfId="41" priority="1">
      <formula>_xlfn.ISFORMULA(J155)</formula>
    </cfRule>
  </conditionalFormatting>
  <conditionalFormatting sqref="J155">
    <cfRule type="expression" dxfId="40" priority="10">
      <formula>OR(#REF!="行動序號",#REF!="ID")</formula>
    </cfRule>
  </conditionalFormatting>
  <conditionalFormatting sqref="J155">
    <cfRule type="expression" dxfId="39" priority="11">
      <formula>#REF!="行動ID"</formula>
    </cfRule>
  </conditionalFormatting>
  <dataValidations disablePrompts="1" count="1">
    <dataValidation type="list" allowBlank="1" showInputMessage="1" showErrorMessage="1" sqref="L4 F162:F164 L161:L16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1FBF0-D00C-4003-BCC2-EDDB0EFC1744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59D0D090-0653-4505-9349-3268413CEB0A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5B80-8085-4658-AD5A-816B8906C1AC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149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150</v>
      </c>
      <c r="E20" t="str">
        <f t="shared" si="0"/>
        <v>啟動依ID,</v>
      </c>
      <c r="H20"/>
    </row>
    <row r="21" spans="1:8">
      <c r="A21" s="7" t="s">
        <v>27</v>
      </c>
      <c r="B21" s="7" t="s">
        <v>151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242</v>
      </c>
      <c r="C50" s="7" t="s">
        <v>244</v>
      </c>
      <c r="E50" t="str">
        <f t="shared" ref="E50:E51" si="1">B50&amp;","</f>
        <v>記錄位置,</v>
      </c>
      <c r="H50"/>
    </row>
    <row r="51" spans="1:8">
      <c r="A51" s="7" t="s">
        <v>27</v>
      </c>
      <c r="B51" s="7" t="s">
        <v>243</v>
      </c>
      <c r="C51" s="7" t="s">
        <v>245</v>
      </c>
      <c r="E51" t="str">
        <f t="shared" si="1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5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241</v>
      </c>
      <c r="C63" s="7" t="s">
        <v>246</v>
      </c>
      <c r="E63" t="str">
        <f t="shared" si="0"/>
        <v>記錄角度,</v>
      </c>
      <c r="H63"/>
    </row>
    <row r="64" spans="1:8">
      <c r="A64" s="7" t="s">
        <v>27</v>
      </c>
      <c r="B64" s="7" t="s">
        <v>261</v>
      </c>
      <c r="C64" s="7" t="s">
        <v>247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2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2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2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2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2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220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223</v>
      </c>
      <c r="C114" s="7" t="s">
        <v>22</v>
      </c>
      <c r="D114" s="7"/>
      <c r="L114" s="7"/>
    </row>
    <row r="115" spans="1:12">
      <c r="A115" s="7" t="s">
        <v>141</v>
      </c>
      <c r="B115" s="7" t="s">
        <v>224</v>
      </c>
      <c r="C115" s="7" t="s">
        <v>23</v>
      </c>
      <c r="H115"/>
    </row>
    <row r="116" spans="1:12">
      <c r="A116" s="7" t="s">
        <v>141</v>
      </c>
      <c r="B116" s="7" t="s">
        <v>263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21F21-F745-43D2-B26E-6B11B3BF5DEB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225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226</v>
      </c>
      <c r="D4" s="20"/>
      <c r="G4" s="9"/>
      <c r="H4" s="18"/>
    </row>
    <row r="5" spans="1:10" ht="17.25" customHeight="1">
      <c r="A5" s="20" t="s">
        <v>100</v>
      </c>
      <c r="B5" s="20" t="s">
        <v>220</v>
      </c>
      <c r="C5" s="20" t="s">
        <v>223</v>
      </c>
      <c r="D5" s="20"/>
      <c r="G5" s="9"/>
    </row>
    <row r="6" spans="1:10">
      <c r="A6" s="20" t="s">
        <v>103</v>
      </c>
      <c r="B6" s="20" t="s">
        <v>221</v>
      </c>
      <c r="C6" s="20" t="s">
        <v>224</v>
      </c>
      <c r="D6" s="20"/>
      <c r="G6" s="9"/>
    </row>
    <row r="7" spans="1:10">
      <c r="A7" s="20" t="s">
        <v>48</v>
      </c>
      <c r="B7" s="20" t="s">
        <v>222</v>
      </c>
      <c r="C7" s="24" t="s">
        <v>263</v>
      </c>
      <c r="D7" s="20"/>
      <c r="G7" s="9"/>
    </row>
    <row r="8" spans="1:10">
      <c r="A8" s="20" t="s">
        <v>147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148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149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151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177</v>
      </c>
      <c r="C49"/>
      <c r="G49" s="9"/>
    </row>
    <row r="50" spans="1:8">
      <c r="A50" s="25" t="s">
        <v>241</v>
      </c>
      <c r="C50"/>
      <c r="G50" s="9"/>
    </row>
    <row r="51" spans="1:8">
      <c r="A51" s="25" t="s">
        <v>264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236</v>
      </c>
      <c r="C57"/>
      <c r="G57" s="9"/>
    </row>
    <row r="58" spans="1:8">
      <c r="A58" s="20" t="s">
        <v>133</v>
      </c>
      <c r="G58" s="9"/>
    </row>
    <row r="59" spans="1:8">
      <c r="A59" s="20" t="s">
        <v>184</v>
      </c>
      <c r="G59" s="9"/>
    </row>
    <row r="60" spans="1:8">
      <c r="A60" s="20" t="s">
        <v>115</v>
      </c>
      <c r="G60" s="9"/>
    </row>
    <row r="61" spans="1:8">
      <c r="A61" s="25" t="s">
        <v>232</v>
      </c>
      <c r="G61" s="9"/>
    </row>
    <row r="62" spans="1:8">
      <c r="A62" s="25" t="s">
        <v>234</v>
      </c>
      <c r="G62" s="9"/>
    </row>
    <row r="63" spans="1:8">
      <c r="A63" s="25" t="s">
        <v>241</v>
      </c>
      <c r="G63" s="9"/>
    </row>
    <row r="64" spans="1:8">
      <c r="A64" s="25" t="s">
        <v>261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disablePrompts="1" count="1">
    <dataValidation type="list" allowBlank="1" showInputMessage="1" showErrorMessage="1" sqref="A99 D25:E25 J25:XFD25 G50:G52 G28 A121 B25 B27" xr:uid="{3679F66D-16EA-4347-ACC7-745A1845EA25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3CCFF-8E74-4C3D-AB63-8A5D6DFC5F07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6757-09F3-421B-8DC9-978C020ED479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7B03F-100D-47AC-8BFD-3CEBDB05AB1A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stage7_card5shot2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2025-04-16T06:38:14Z</dcterms:modified>
</cp:coreProperties>
</file>