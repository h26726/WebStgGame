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AD62B93D-F5DD-4E24-86A4-29D190EABCE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0shot4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2" i="1" l="1"/>
  <c r="E251" i="1"/>
  <c r="E250" i="1"/>
  <c r="E249" i="1"/>
  <c r="E248" i="1"/>
  <c r="E247" i="1"/>
  <c r="E246" i="1"/>
  <c r="E245" i="1"/>
  <c r="E244" i="1"/>
  <c r="E243" i="1"/>
  <c r="E242" i="1"/>
  <c r="E241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6" i="1"/>
  <c r="E95" i="1"/>
  <c r="E94" i="1"/>
  <c r="E93" i="1"/>
  <c r="E92" i="1"/>
  <c r="E91" i="1"/>
  <c r="E90" i="1"/>
  <c r="E89" i="1"/>
  <c r="E88" i="1"/>
  <c r="E87" i="1"/>
  <c r="E86" i="1"/>
  <c r="E85" i="1"/>
  <c r="E83" i="1"/>
  <c r="E82" i="1"/>
  <c r="E81" i="1"/>
  <c r="E80" i="1"/>
  <c r="E79" i="1"/>
  <c r="E78" i="1"/>
  <c r="E77" i="1"/>
  <c r="E76" i="1"/>
  <c r="E75" i="1"/>
  <c r="E74" i="1"/>
  <c r="E73" i="1"/>
  <c r="E72" i="1"/>
  <c r="D71" i="1"/>
  <c r="E70" i="1"/>
  <c r="E69" i="1"/>
  <c r="E68" i="1"/>
  <c r="E67" i="1"/>
  <c r="E66" i="1"/>
  <c r="E65" i="1"/>
  <c r="E64" i="1"/>
  <c r="E63" i="1"/>
  <c r="E62" i="1"/>
  <c r="E61" i="1"/>
  <c r="E60" i="1"/>
  <c r="E59" i="1"/>
  <c r="D58" i="1"/>
  <c r="E57" i="1"/>
  <c r="E56" i="1"/>
  <c r="E55" i="1"/>
  <c r="E54" i="1"/>
  <c r="E53" i="1"/>
  <c r="E52" i="1"/>
  <c r="E51" i="1"/>
  <c r="E50" i="1"/>
  <c r="E49" i="1"/>
  <c r="E48" i="1"/>
  <c r="E47" i="1"/>
  <c r="E46" i="1"/>
  <c r="D45" i="1"/>
  <c r="B45" i="1"/>
  <c r="C45" i="1" s="1"/>
  <c r="M56" i="1" s="1"/>
  <c r="E44" i="1"/>
  <c r="E43" i="1"/>
  <c r="E42" i="1"/>
  <c r="E41" i="1"/>
  <c r="E40" i="1"/>
  <c r="E39" i="1"/>
  <c r="E38" i="1"/>
  <c r="E37" i="1"/>
  <c r="E36" i="1"/>
  <c r="E35" i="1"/>
  <c r="E34" i="1"/>
  <c r="E33" i="1"/>
  <c r="D32" i="1"/>
  <c r="B32" i="1"/>
  <c r="C32" i="1" s="1"/>
  <c r="M43" i="1" s="1"/>
  <c r="M20" i="1"/>
  <c r="E22" i="1"/>
  <c r="E21" i="1"/>
  <c r="D19" i="1"/>
  <c r="A18" i="1"/>
  <c r="E24" i="1"/>
  <c r="E23" i="1"/>
  <c r="C71" i="1" l="1"/>
  <c r="M82" i="1" s="1"/>
  <c r="M72" i="1"/>
  <c r="M59" i="1"/>
  <c r="M46" i="1"/>
  <c r="D97" i="1"/>
  <c r="D110" i="1"/>
  <c r="B71" i="1"/>
  <c r="M33" i="1"/>
  <c r="B58" i="1"/>
  <c r="C58" i="1" s="1"/>
  <c r="M69" i="1" s="1"/>
  <c r="D84" i="1"/>
  <c r="E29" i="1"/>
  <c r="E30" i="1"/>
  <c r="E31" i="1"/>
  <c r="E28" i="1"/>
  <c r="B84" i="1" l="1"/>
  <c r="C84" i="1" s="1"/>
  <c r="M95" i="1" s="1"/>
  <c r="M85" i="1"/>
  <c r="D123" i="1"/>
  <c r="B97" i="1"/>
  <c r="C97" i="1" s="1"/>
  <c r="M108" i="1" s="1"/>
  <c r="M98" i="1"/>
  <c r="M111" i="1"/>
  <c r="B110" i="1"/>
  <c r="C110" i="1" s="1"/>
  <c r="M121" i="1" s="1"/>
  <c r="E26" i="1"/>
  <c r="B123" i="1" l="1"/>
  <c r="C123" i="1" s="1"/>
  <c r="M134" i="1" s="1"/>
  <c r="M124" i="1"/>
  <c r="D149" i="1"/>
  <c r="D136" i="1"/>
  <c r="E27" i="1"/>
  <c r="E25" i="1"/>
  <c r="E20" i="1"/>
  <c r="D162" i="1" l="1"/>
  <c r="M150" i="1"/>
  <c r="B149" i="1"/>
  <c r="C149" i="1" s="1"/>
  <c r="M160" i="1" s="1"/>
  <c r="B136" i="1"/>
  <c r="C136" i="1" s="1"/>
  <c r="M147" i="1" s="1"/>
  <c r="M137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B162" i="1" l="1"/>
  <c r="M163" i="1"/>
  <c r="C162" i="1"/>
  <c r="M173" i="1" s="1"/>
  <c r="D175" i="1"/>
  <c r="B19" i="1"/>
  <c r="C19" i="1" s="1"/>
  <c r="M30" i="1" s="1"/>
  <c r="M176" i="1" l="1"/>
  <c r="B175" i="1"/>
  <c r="C175" i="1" s="1"/>
  <c r="M186" i="1" s="1"/>
  <c r="D188" i="1"/>
  <c r="D201" i="1" s="1"/>
  <c r="B201" i="1" l="1"/>
  <c r="M202" i="1"/>
  <c r="C201" i="1"/>
  <c r="M212" i="1" s="1"/>
  <c r="D214" i="1"/>
  <c r="M189" i="1"/>
  <c r="B188" i="1"/>
  <c r="C188" i="1" s="1"/>
  <c r="M199" i="1" s="1"/>
  <c r="B214" i="1" l="1"/>
  <c r="C214" i="1" s="1"/>
  <c r="M225" i="1" s="1"/>
  <c r="M215" i="1"/>
  <c r="D227" i="1"/>
  <c r="M228" i="1" l="1"/>
  <c r="B227" i="1"/>
  <c r="C227" i="1" s="1"/>
  <c r="M238" i="1" s="1"/>
  <c r="D240" i="1"/>
  <c r="M241" i="1" l="1"/>
  <c r="B240" i="1"/>
  <c r="C240" i="1" s="1"/>
  <c r="M251" i="1" s="1"/>
</calcChain>
</file>

<file path=xl/sharedStrings.xml><?xml version="1.0" encoding="utf-8"?>
<sst xmlns="http://schemas.openxmlformats.org/spreadsheetml/2006/main" count="760" uniqueCount="254">
  <si>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</si>
  <si>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</si>
  <si>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</si>
  <si>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</si>
  <si>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</si>
  <si>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</si>
  <si>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</si>
  <si>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</si>
  <si>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</si>
  <si>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</si>
  <si>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</si>
  <si>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</si>
  <si>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</si>
  <si>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</si>
  <si>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</si>
  <si>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</si>
  <si>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</si>
  <si>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</si>
  <si>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</si>
  <si>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</si>
  <si>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</si>
  <si>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</si>
  <si>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</si>
  <si>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</si>
  <si>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</si>
  <si>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</si>
  <si>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</si>
  <si>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</si>
  <si>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</si>
  <si>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</si>
  <si>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</si>
  <si>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</si>
  <si>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</si>
  <si>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</si>
  <si>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</si>
  <si>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</si>
  <si>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</si>
  <si>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</si>
  <si>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</si>
  <si>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</si>
  <si>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</si>
  <si>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</si>
  <si>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</si>
  <si>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</si>
  <si>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</si>
  <si>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</si>
  <si>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</si>
  <si>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</si>
  <si>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</si>
  <si>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</si>
  <si>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</si>
  <si>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</si>
  <si>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</si>
  <si>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</si>
  <si>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</si>
  <si>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</si>
  <si>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</si>
  <si>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</si>
  <si>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</si>
  <si>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</si>
  <si>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</si>
  <si>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</si>
  <si>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</si>
  <si>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</si>
  <si>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</si>
  <si>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</si>
  <si>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</si>
  <si>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</si>
  <si>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</si>
  <si>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</si>
  <si>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</si>
  <si>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</si>
  <si>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</si>
  <si>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</si>
  <si>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</si>
  <si>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</si>
  <si>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</si>
  <si>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</si>
  <si>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</si>
  <si>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</si>
  <si>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</si>
  <si>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</si>
  <si>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</si>
  <si>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</si>
  <si>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</si>
  <si>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</si>
  <si>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</si>
  <si>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</si>
  <si>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</si>
  <si>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</si>
  <si>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</si>
  <si>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</si>
  <si>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</si>
  <si>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</si>
  <si>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</si>
  <si>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</si>
  <si>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</si>
  <si>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</si>
  <si>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</si>
  <si>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</si>
  <si>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</si>
  <si>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</si>
  <si>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</si>
  <si>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</si>
  <si>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</si>
  <si>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</si>
  <si>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</si>
  <si>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</si>
  <si>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</si>
  <si>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</si>
  <si>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</si>
  <si>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</si>
  <si>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</si>
  <si>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</si>
  <si>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</si>
  <si>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</si>
  <si>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</si>
  <si>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</si>
  <si>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</si>
  <si>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</si>
  <si>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</si>
  <si>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</si>
  <si>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</si>
  <si>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</si>
  <si>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</si>
  <si>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</si>
  <si>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</si>
  <si>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</si>
  <si>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</si>
  <si>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</si>
  <si>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</si>
  <si>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</si>
  <si>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</si>
  <si>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</si>
  <si>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</si>
  <si>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</si>
  <si>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</si>
  <si>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</si>
  <si>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</si>
  <si>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</si>
  <si>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</si>
  <si>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</si>
  <si>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</si>
  <si>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</si>
  <si>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</si>
  <si>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</si>
  <si>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</si>
  <si>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</si>
  <si>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</si>
  <si>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</si>
  <si>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</si>
  <si>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</si>
  <si>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</si>
  <si>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</si>
  <si>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</si>
  <si>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</si>
  <si>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</si>
  <si>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</si>
  <si>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</si>
  <si>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</si>
  <si>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</si>
  <si>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</si>
  <si>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</si>
  <si>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</si>
  <si>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</si>
  <si>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</si>
  <si>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</si>
  <si>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</si>
  <si>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</si>
  <si>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</si>
  <si>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</si>
  <si>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</si>
  <si>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</si>
  <si>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</si>
  <si>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</si>
  <si>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</si>
  <si>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</si>
  <si>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</si>
  <si>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</si>
  <si>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</si>
  <si>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</si>
  <si>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</si>
  <si>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</si>
  <si>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</si>
  <si>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</si>
  <si>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</si>
  <si>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</si>
  <si>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</si>
  <si>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</si>
  <si>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</si>
  <si>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</si>
  <si>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</si>
  <si>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</si>
  <si>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</si>
  <si>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</si>
  <si>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</si>
  <si>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</si>
  <si>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</si>
  <si>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</si>
  <si>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</si>
  <si>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</si>
  <si>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</si>
  <si>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</si>
  <si>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</si>
  <si>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</si>
  <si>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</si>
  <si>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</si>
  <si>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</si>
  <si>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</si>
  <si>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</si>
  <si>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</si>
  <si>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</si>
  <si>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</si>
  <si>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</si>
  <si>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</si>
  <si>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</si>
  <si>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</si>
  <si>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</si>
  <si>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</si>
  <si>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</si>
  <si>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</si>
  <si>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</si>
  <si>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</si>
  <si>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</si>
  <si>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</si>
  <si>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</si>
  <si>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</si>
  <si>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</si>
  <si>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</si>
  <si>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</si>
  <si>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</si>
  <si>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</si>
  <si>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</si>
  <si>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</si>
  <si>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</si>
  <si>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</si>
  <si>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</si>
  <si>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</si>
  <si>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</si>
  <si>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</si>
  <si>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</si>
  <si>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</si>
  <si>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</si>
  <si>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</si>
  <si>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</si>
  <si>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</si>
  <si>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</si>
  <si>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EnemyShot2</t>
    <phoneticPr fontId="2" type="noConversion"/>
  </si>
  <si>
    <t>速度</t>
    <phoneticPr fontId="2" type="noConversion"/>
  </si>
  <si>
    <t>Shot2_purple</t>
  </si>
  <si>
    <t>Shot2_purple</t>
    <phoneticPr fontId="2" type="noConversion"/>
  </si>
  <si>
    <t>EnemyShot2</t>
  </si>
  <si>
    <t>19000</t>
  </si>
  <si>
    <t>19000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</si>
</sst>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252"/>
  <sheetViews>
    <sheetView tabSelected="1" zoomScale="115" zoomScaleNormal="115" workbookViewId="0">
      <pane ySplit="1" topLeftCell="A236" activePane="bottomLeft" state="frozen"/>
      <selection pane="bottomLeft" activeCell="Q246" sqref="Q246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8" spans="1:60">
      <c r="A18" s="21">
        <f>G20*H20</f>
        <v>18</v>
      </c>
      <c r="B18" s="9"/>
      <c r="C18" s="9"/>
      <c r="D18" s="9"/>
    </row>
    <row r="19" spans="1:60">
      <c r="A19" s="21" t="s">
        <v>227</v>
      </c>
      <c r="B19" s="21">
        <f t="shared" ref="B19" si="0">QUOTIENT( D19-1,G20)+1</f>
        <v>1</v>
      </c>
      <c r="C19" s="21">
        <f t="shared" ref="C19" si="1">D19-(B19-1)*G20</f>
        <v>1</v>
      </c>
      <c r="D19" s="21">
        <f>COUNT($D18:$D$18)+1</f>
        <v>1</v>
      </c>
    </row>
    <row r="20" spans="1:60">
      <c r="E20" s="21">
        <f t="shared" ref="E20:E85" si="2">ROW(E20)</f>
        <v>20</v>
      </c>
      <c r="F20" s="9" t="s">
        <v>93</v>
      </c>
      <c r="G20" s="21">
        <v>18</v>
      </c>
      <c r="H20" s="21">
        <v>1</v>
      </c>
      <c r="J20" s="9" t="s">
        <v>253</v>
      </c>
      <c r="M20" s="21">
        <f>J20+D19</f>
        <v>19001</v>
      </c>
      <c r="R20" s="12"/>
      <c r="S20" s="9"/>
      <c r="U20" s="12"/>
      <c r="X20" s="15"/>
      <c r="AE20" s="16"/>
      <c r="BH20" s="9"/>
    </row>
    <row r="21" spans="1:60">
      <c r="E21" s="21">
        <f>ROW(E21)</f>
        <v>21</v>
      </c>
      <c r="F21" s="9" t="s">
        <v>142</v>
      </c>
      <c r="M21" s="21">
        <v>18800</v>
      </c>
      <c r="R21" s="12"/>
      <c r="S21" s="9"/>
      <c r="U21" s="12"/>
      <c r="X21" s="15"/>
      <c r="AE21" s="16"/>
      <c r="BH21" s="9"/>
    </row>
    <row r="22" spans="1:60">
      <c r="E22" s="21">
        <f t="shared" ref="E22:E24" si="3">ROW(E22)</f>
        <v>22</v>
      </c>
      <c r="F22" s="9" t="s">
        <v>126</v>
      </c>
      <c r="M22" s="21">
        <v>0</v>
      </c>
    </row>
    <row r="23" spans="1:60">
      <c r="E23" s="21">
        <f>ROW(E23)</f>
        <v>23</v>
      </c>
      <c r="F23" s="9" t="s">
        <v>142</v>
      </c>
      <c r="M23" s="21">
        <v>18810</v>
      </c>
      <c r="R23" s="12"/>
      <c r="S23" s="9"/>
      <c r="U23" s="12"/>
      <c r="X23" s="15"/>
      <c r="AE23" s="16"/>
      <c r="BH23" s="9"/>
    </row>
    <row r="24" spans="1:60">
      <c r="E24" s="21">
        <f t="shared" si="3"/>
        <v>24</v>
      </c>
      <c r="F24" s="9" t="s">
        <v>127</v>
      </c>
      <c r="M24" s="21">
        <v>0</v>
      </c>
    </row>
    <row r="25" spans="1:60">
      <c r="E25" s="21">
        <f t="shared" si="2"/>
        <v>25</v>
      </c>
      <c r="F25" s="9" t="s">
        <v>29</v>
      </c>
      <c r="M25" s="21" t="s">
        <v>247</v>
      </c>
      <c r="R25" s="12"/>
      <c r="S25" s="9"/>
      <c r="U25" s="12"/>
      <c r="X25" s="15"/>
      <c r="AE25" s="16"/>
      <c r="BH25" s="9"/>
    </row>
    <row r="26" spans="1:60">
      <c r="E26" s="21">
        <f t="shared" si="2"/>
        <v>26</v>
      </c>
      <c r="F26" s="9" t="s">
        <v>118</v>
      </c>
      <c r="M26" s="21" t="s">
        <v>250</v>
      </c>
      <c r="R26" s="12"/>
      <c r="S26" s="9"/>
      <c r="U26" s="12"/>
      <c r="X26" s="15"/>
      <c r="AE26" s="16"/>
      <c r="BH26" s="9"/>
    </row>
    <row r="27" spans="1:60">
      <c r="E27" s="21">
        <f t="shared" si="2"/>
        <v>27</v>
      </c>
      <c r="F27" s="9" t="s">
        <v>98</v>
      </c>
      <c r="K27" s="9" t="s">
        <v>137</v>
      </c>
      <c r="M27" s="21">
        <v>2</v>
      </c>
      <c r="R27" s="12"/>
      <c r="S27" s="9"/>
      <c r="U27" s="12"/>
      <c r="X27" s="15"/>
      <c r="AE27" s="16"/>
      <c r="BH27" s="9"/>
    </row>
    <row r="28" spans="1:60">
      <c r="E28" s="21">
        <f t="shared" si="2"/>
        <v>28</v>
      </c>
      <c r="F28" s="9" t="s">
        <v>248</v>
      </c>
      <c r="M28" s="26">
        <v>0</v>
      </c>
    </row>
    <row r="29" spans="1:60">
      <c r="E29" s="21">
        <f t="shared" si="2"/>
        <v>29</v>
      </c>
      <c r="F29" s="9" t="s">
        <v>115</v>
      </c>
      <c r="M29" s="26">
        <v>1</v>
      </c>
    </row>
    <row r="30" spans="1:60">
      <c r="E30" s="21">
        <f t="shared" si="2"/>
        <v>30</v>
      </c>
      <c r="F30" s="9" t="s">
        <v>31</v>
      </c>
      <c r="G30" s="21">
        <v>360</v>
      </c>
      <c r="L30" s="9" t="s">
        <v>134</v>
      </c>
      <c r="M30" s="21">
        <f>G30/G20*C19</f>
        <v>20</v>
      </c>
    </row>
    <row r="31" spans="1:60">
      <c r="E31" s="21">
        <f t="shared" si="2"/>
        <v>31</v>
      </c>
      <c r="F31" s="9" t="s">
        <v>114</v>
      </c>
      <c r="M31" s="21" t="b">
        <v>1</v>
      </c>
    </row>
    <row r="32" spans="1:60">
      <c r="A32" s="21" t="s">
        <v>227</v>
      </c>
      <c r="B32" s="21">
        <f t="shared" ref="B32:B95" si="4">QUOTIENT( D32-1,G33)+1</f>
        <v>1</v>
      </c>
      <c r="C32" s="21">
        <f t="shared" ref="C32:C95" si="5">D32-(B32-1)*G33</f>
        <v>2</v>
      </c>
      <c r="D32" s="21">
        <f>COUNT($D$18:$D31)+1</f>
        <v>2</v>
      </c>
    </row>
    <row r="33" spans="1:13">
      <c r="E33" s="21">
        <f t="shared" si="2"/>
        <v>33</v>
      </c>
      <c r="F33" s="9" t="s">
        <v>93</v>
      </c>
      <c r="G33" s="21">
        <v>18</v>
      </c>
      <c r="H33" s="21">
        <v>1</v>
      </c>
      <c r="J33" s="9" t="s">
        <v>252</v>
      </c>
      <c r="M33" s="21">
        <f t="shared" ref="M33:M96" si="6">J33+D32</f>
        <v>19002</v>
      </c>
    </row>
    <row r="34" spans="1:13">
      <c r="E34" s="21">
        <f t="shared" si="2"/>
        <v>34</v>
      </c>
      <c r="F34" s="9" t="s">
        <v>142</v>
      </c>
      <c r="M34" s="21">
        <v>18800</v>
      </c>
    </row>
    <row r="35" spans="1:13">
      <c r="E35" s="21">
        <f t="shared" si="2"/>
        <v>35</v>
      </c>
      <c r="F35" s="9" t="s">
        <v>126</v>
      </c>
      <c r="M35" s="21">
        <v>0</v>
      </c>
    </row>
    <row r="36" spans="1:13">
      <c r="E36" s="21">
        <f t="shared" si="2"/>
        <v>36</v>
      </c>
      <c r="F36" s="9" t="s">
        <v>142</v>
      </c>
      <c r="M36" s="21">
        <v>18810</v>
      </c>
    </row>
    <row r="37" spans="1:13">
      <c r="E37" s="21">
        <f t="shared" si="2"/>
        <v>37</v>
      </c>
      <c r="F37" s="9" t="s">
        <v>127</v>
      </c>
      <c r="M37" s="21">
        <v>0</v>
      </c>
    </row>
    <row r="38" spans="1:13">
      <c r="E38" s="21">
        <f t="shared" si="2"/>
        <v>38</v>
      </c>
      <c r="F38" s="9" t="s">
        <v>29</v>
      </c>
      <c r="M38" s="21" t="s">
        <v>251</v>
      </c>
    </row>
    <row r="39" spans="1:13">
      <c r="E39" s="21">
        <f t="shared" si="2"/>
        <v>39</v>
      </c>
      <c r="F39" s="9" t="s">
        <v>118</v>
      </c>
      <c r="M39" s="21" t="s">
        <v>249</v>
      </c>
    </row>
    <row r="40" spans="1:13">
      <c r="E40" s="21">
        <f t="shared" si="2"/>
        <v>40</v>
      </c>
      <c r="F40" s="9" t="s">
        <v>98</v>
      </c>
      <c r="K40" s="9" t="s">
        <v>137</v>
      </c>
      <c r="M40" s="21">
        <v>2</v>
      </c>
    </row>
    <row r="41" spans="1:13">
      <c r="E41" s="21">
        <f t="shared" si="2"/>
        <v>41</v>
      </c>
      <c r="F41" s="9" t="s">
        <v>30</v>
      </c>
      <c r="M41" s="21">
        <v>0</v>
      </c>
    </row>
    <row r="42" spans="1:13">
      <c r="E42" s="21">
        <f t="shared" si="2"/>
        <v>42</v>
      </c>
      <c r="F42" s="9" t="s">
        <v>115</v>
      </c>
      <c r="M42" s="21">
        <v>1</v>
      </c>
    </row>
    <row r="43" spans="1:13">
      <c r="E43" s="21">
        <f t="shared" si="2"/>
        <v>43</v>
      </c>
      <c r="F43" s="9" t="s">
        <v>31</v>
      </c>
      <c r="G43" s="21">
        <v>360</v>
      </c>
      <c r="L43" s="9" t="s">
        <v>134</v>
      </c>
      <c r="M43" s="21">
        <f t="shared" ref="M43" si="7">G43/G33*C32</f>
        <v>40</v>
      </c>
    </row>
    <row r="44" spans="1:13">
      <c r="E44" s="21">
        <f t="shared" si="2"/>
        <v>44</v>
      </c>
      <c r="F44" s="9" t="s">
        <v>114</v>
      </c>
      <c r="M44" s="21" t="b">
        <v>1</v>
      </c>
    </row>
    <row r="45" spans="1:13">
      <c r="A45" s="21" t="s">
        <v>227</v>
      </c>
      <c r="B45" s="21">
        <f t="shared" ref="B45:B108" si="8">QUOTIENT( D45-1,G46)+1</f>
        <v>1</v>
      </c>
      <c r="C45" s="21">
        <f t="shared" ref="C45:C108" si="9">D45-(B45-1)*G46</f>
        <v>3</v>
      </c>
      <c r="D45" s="21">
        <f>COUNT($D$18:$D44)+1</f>
        <v>3</v>
      </c>
    </row>
    <row r="46" spans="1:13">
      <c r="E46" s="21">
        <f t="shared" si="2"/>
        <v>46</v>
      </c>
      <c r="F46" s="9" t="s">
        <v>93</v>
      </c>
      <c r="G46" s="21">
        <v>18</v>
      </c>
      <c r="H46" s="21">
        <v>1</v>
      </c>
      <c r="J46" s="9" t="s">
        <v>252</v>
      </c>
      <c r="M46" s="21">
        <f t="shared" ref="M46:M109" si="10">J46+D45</f>
        <v>19003</v>
      </c>
    </row>
    <row r="47" spans="1:13">
      <c r="E47" s="21">
        <f t="shared" si="2"/>
        <v>47</v>
      </c>
      <c r="F47" s="9" t="s">
        <v>142</v>
      </c>
      <c r="M47" s="21">
        <v>18800</v>
      </c>
    </row>
    <row r="48" spans="1:13">
      <c r="E48" s="21">
        <f t="shared" si="2"/>
        <v>48</v>
      </c>
      <c r="F48" s="9" t="s">
        <v>126</v>
      </c>
      <c r="M48" s="21">
        <v>0</v>
      </c>
    </row>
    <row r="49" spans="1:13">
      <c r="E49" s="21">
        <f t="shared" si="2"/>
        <v>49</v>
      </c>
      <c r="F49" s="9" t="s">
        <v>142</v>
      </c>
      <c r="M49" s="21">
        <v>18810</v>
      </c>
    </row>
    <row r="50" spans="1:13">
      <c r="E50" s="21">
        <f t="shared" si="2"/>
        <v>50</v>
      </c>
      <c r="F50" s="9" t="s">
        <v>127</v>
      </c>
      <c r="M50" s="21">
        <v>0</v>
      </c>
    </row>
    <row r="51" spans="1:13">
      <c r="E51" s="21">
        <f t="shared" si="2"/>
        <v>51</v>
      </c>
      <c r="F51" s="9" t="s">
        <v>29</v>
      </c>
      <c r="M51" s="21" t="s">
        <v>251</v>
      </c>
    </row>
    <row r="52" spans="1:13">
      <c r="E52" s="21">
        <f t="shared" si="2"/>
        <v>52</v>
      </c>
      <c r="F52" s="9" t="s">
        <v>118</v>
      </c>
      <c r="M52" s="21" t="s">
        <v>249</v>
      </c>
    </row>
    <row r="53" spans="1:13">
      <c r="E53" s="21">
        <f t="shared" si="2"/>
        <v>53</v>
      </c>
      <c r="F53" s="9" t="s">
        <v>98</v>
      </c>
      <c r="K53" s="9" t="s">
        <v>137</v>
      </c>
      <c r="M53" s="21">
        <v>2</v>
      </c>
    </row>
    <row r="54" spans="1:13">
      <c r="E54" s="21">
        <f t="shared" si="2"/>
        <v>54</v>
      </c>
      <c r="F54" s="9" t="s">
        <v>30</v>
      </c>
      <c r="M54" s="21">
        <v>0</v>
      </c>
    </row>
    <row r="55" spans="1:13">
      <c r="E55" s="21">
        <f t="shared" si="2"/>
        <v>55</v>
      </c>
      <c r="F55" s="9" t="s">
        <v>115</v>
      </c>
      <c r="M55" s="21">
        <v>1</v>
      </c>
    </row>
    <row r="56" spans="1:13">
      <c r="E56" s="21">
        <f t="shared" si="2"/>
        <v>56</v>
      </c>
      <c r="F56" s="9" t="s">
        <v>31</v>
      </c>
      <c r="G56" s="21">
        <v>360</v>
      </c>
      <c r="L56" s="9" t="s">
        <v>134</v>
      </c>
      <c r="M56" s="21">
        <f t="shared" ref="M56" si="11">G56/G46*C45</f>
        <v>60</v>
      </c>
    </row>
    <row r="57" spans="1:13">
      <c r="E57" s="21">
        <f t="shared" si="2"/>
        <v>57</v>
      </c>
      <c r="F57" s="9" t="s">
        <v>114</v>
      </c>
      <c r="M57" s="21" t="b">
        <v>1</v>
      </c>
    </row>
    <row r="58" spans="1:13">
      <c r="A58" s="21" t="s">
        <v>227</v>
      </c>
      <c r="B58" s="21">
        <f t="shared" ref="B58:B121" si="12">QUOTIENT( D58-1,G59)+1</f>
        <v>1</v>
      </c>
      <c r="C58" s="21">
        <f t="shared" ref="C58:C121" si="13">D58-(B58-1)*G59</f>
        <v>4</v>
      </c>
      <c r="D58" s="21">
        <f>COUNT($D$18:$D57)+1</f>
        <v>4</v>
      </c>
    </row>
    <row r="59" spans="1:13">
      <c r="E59" s="21">
        <f t="shared" si="2"/>
        <v>59</v>
      </c>
      <c r="F59" s="9" t="s">
        <v>93</v>
      </c>
      <c r="G59" s="21">
        <v>18</v>
      </c>
      <c r="H59" s="21">
        <v>1</v>
      </c>
      <c r="J59" s="9" t="s">
        <v>252</v>
      </c>
      <c r="M59" s="21">
        <f t="shared" ref="M59:M90" si="14">J59+D58</f>
        <v>19004</v>
      </c>
    </row>
    <row r="60" spans="1:13">
      <c r="E60" s="21">
        <f t="shared" si="2"/>
        <v>60</v>
      </c>
      <c r="F60" s="9" t="s">
        <v>142</v>
      </c>
      <c r="M60" s="21">
        <v>18800</v>
      </c>
    </row>
    <row r="61" spans="1:13">
      <c r="E61" s="21">
        <f t="shared" si="2"/>
        <v>61</v>
      </c>
      <c r="F61" s="9" t="s">
        <v>126</v>
      </c>
      <c r="M61" s="21">
        <v>0</v>
      </c>
    </row>
    <row r="62" spans="1:13">
      <c r="E62" s="21">
        <f t="shared" si="2"/>
        <v>62</v>
      </c>
      <c r="F62" s="9" t="s">
        <v>142</v>
      </c>
      <c r="M62" s="21">
        <v>18810</v>
      </c>
    </row>
    <row r="63" spans="1:13">
      <c r="E63" s="21">
        <f t="shared" si="2"/>
        <v>63</v>
      </c>
      <c r="F63" s="9" t="s">
        <v>127</v>
      </c>
      <c r="M63" s="21">
        <v>0</v>
      </c>
    </row>
    <row r="64" spans="1:13">
      <c r="E64" s="21">
        <f t="shared" si="2"/>
        <v>64</v>
      </c>
      <c r="F64" s="9" t="s">
        <v>29</v>
      </c>
      <c r="M64" s="21" t="s">
        <v>251</v>
      </c>
    </row>
    <row r="65" spans="1:13">
      <c r="E65" s="21">
        <f t="shared" si="2"/>
        <v>65</v>
      </c>
      <c r="F65" s="9" t="s">
        <v>118</v>
      </c>
      <c r="M65" s="21" t="s">
        <v>249</v>
      </c>
    </row>
    <row r="66" spans="1:13">
      <c r="E66" s="21">
        <f t="shared" si="2"/>
        <v>66</v>
      </c>
      <c r="F66" s="9" t="s">
        <v>98</v>
      </c>
      <c r="K66" s="9" t="s">
        <v>137</v>
      </c>
      <c r="M66" s="21">
        <v>2</v>
      </c>
    </row>
    <row r="67" spans="1:13">
      <c r="E67" s="21">
        <f t="shared" si="2"/>
        <v>67</v>
      </c>
      <c r="F67" s="9" t="s">
        <v>30</v>
      </c>
      <c r="M67" s="21">
        <v>0</v>
      </c>
    </row>
    <row r="68" spans="1:13">
      <c r="E68" s="21">
        <f t="shared" si="2"/>
        <v>68</v>
      </c>
      <c r="F68" s="9" t="s">
        <v>115</v>
      </c>
      <c r="M68" s="21">
        <v>1</v>
      </c>
    </row>
    <row r="69" spans="1:13">
      <c r="E69" s="21">
        <f t="shared" si="2"/>
        <v>69</v>
      </c>
      <c r="F69" s="9" t="s">
        <v>31</v>
      </c>
      <c r="G69" s="21">
        <v>360</v>
      </c>
      <c r="L69" s="9" t="s">
        <v>134</v>
      </c>
      <c r="M69" s="21">
        <f t="shared" ref="M69" si="15">G69/G59*C58</f>
        <v>80</v>
      </c>
    </row>
    <row r="70" spans="1:13">
      <c r="E70" s="21">
        <f t="shared" si="2"/>
        <v>70</v>
      </c>
      <c r="F70" s="9" t="s">
        <v>114</v>
      </c>
      <c r="M70" s="21" t="b">
        <v>1</v>
      </c>
    </row>
    <row r="71" spans="1:13">
      <c r="A71" s="21" t="s">
        <v>227</v>
      </c>
      <c r="B71" s="21">
        <f t="shared" ref="B71:B134" si="16">QUOTIENT( D71-1,G72)+1</f>
        <v>1</v>
      </c>
      <c r="C71" s="21">
        <f t="shared" ref="C71:C134" si="17">D71-(B71-1)*G72</f>
        <v>5</v>
      </c>
      <c r="D71" s="21">
        <f>COUNT($D$18:$D70)+1</f>
        <v>5</v>
      </c>
    </row>
    <row r="72" spans="1:13">
      <c r="E72" s="21">
        <f t="shared" si="2"/>
        <v>72</v>
      </c>
      <c r="F72" s="9" t="s">
        <v>93</v>
      </c>
      <c r="G72" s="21">
        <v>18</v>
      </c>
      <c r="H72" s="21">
        <v>1</v>
      </c>
      <c r="J72" s="9" t="s">
        <v>252</v>
      </c>
      <c r="M72" s="21">
        <f t="shared" ref="M72:M103" si="18">J72+D71</f>
        <v>19005</v>
      </c>
    </row>
    <row r="73" spans="1:13">
      <c r="E73" s="21">
        <f t="shared" si="2"/>
        <v>73</v>
      </c>
      <c r="F73" s="9" t="s">
        <v>142</v>
      </c>
      <c r="M73" s="21">
        <v>18800</v>
      </c>
    </row>
    <row r="74" spans="1:13">
      <c r="E74" s="21">
        <f t="shared" si="2"/>
        <v>74</v>
      </c>
      <c r="F74" s="9" t="s">
        <v>126</v>
      </c>
      <c r="M74" s="21">
        <v>0</v>
      </c>
    </row>
    <row r="75" spans="1:13">
      <c r="E75" s="21">
        <f t="shared" si="2"/>
        <v>75</v>
      </c>
      <c r="F75" s="9" t="s">
        <v>142</v>
      </c>
      <c r="M75" s="21">
        <v>18810</v>
      </c>
    </row>
    <row r="76" spans="1:13">
      <c r="E76" s="21">
        <f t="shared" si="2"/>
        <v>76</v>
      </c>
      <c r="F76" s="9" t="s">
        <v>127</v>
      </c>
      <c r="M76" s="21">
        <v>0</v>
      </c>
    </row>
    <row r="77" spans="1:13">
      <c r="E77" s="21">
        <f t="shared" si="2"/>
        <v>77</v>
      </c>
      <c r="F77" s="9" t="s">
        <v>29</v>
      </c>
      <c r="M77" s="21" t="s">
        <v>251</v>
      </c>
    </row>
    <row r="78" spans="1:13">
      <c r="E78" s="21">
        <f t="shared" si="2"/>
        <v>78</v>
      </c>
      <c r="F78" s="9" t="s">
        <v>118</v>
      </c>
      <c r="M78" s="21" t="s">
        <v>249</v>
      </c>
    </row>
    <row r="79" spans="1:13">
      <c r="E79" s="21">
        <f t="shared" si="2"/>
        <v>79</v>
      </c>
      <c r="F79" s="9" t="s">
        <v>98</v>
      </c>
      <c r="K79" s="9" t="s">
        <v>137</v>
      </c>
      <c r="M79" s="21">
        <v>2</v>
      </c>
    </row>
    <row r="80" spans="1:13">
      <c r="E80" s="21">
        <f t="shared" si="2"/>
        <v>80</v>
      </c>
      <c r="F80" s="9" t="s">
        <v>30</v>
      </c>
      <c r="M80" s="21">
        <v>0</v>
      </c>
    </row>
    <row r="81" spans="1:13">
      <c r="E81" s="21">
        <f t="shared" si="2"/>
        <v>81</v>
      </c>
      <c r="F81" s="9" t="s">
        <v>115</v>
      </c>
      <c r="M81" s="21">
        <v>1</v>
      </c>
    </row>
    <row r="82" spans="1:13">
      <c r="E82" s="21">
        <f t="shared" si="2"/>
        <v>82</v>
      </c>
      <c r="F82" s="9" t="s">
        <v>31</v>
      </c>
      <c r="G82" s="21">
        <v>360</v>
      </c>
      <c r="L82" s="9" t="s">
        <v>134</v>
      </c>
      <c r="M82" s="21">
        <f t="shared" ref="M82" si="19">G82/G72*C71</f>
        <v>100</v>
      </c>
    </row>
    <row r="83" spans="1:13">
      <c r="E83" s="21">
        <f t="shared" si="2"/>
        <v>83</v>
      </c>
      <c r="F83" s="9" t="s">
        <v>114</v>
      </c>
      <c r="M83" s="21" t="b">
        <v>1</v>
      </c>
    </row>
    <row r="84" spans="1:13">
      <c r="A84" s="21" t="s">
        <v>227</v>
      </c>
      <c r="B84" s="21">
        <f t="shared" ref="B84:B147" si="20">QUOTIENT( D84-1,G85)+1</f>
        <v>1</v>
      </c>
      <c r="C84" s="21">
        <f t="shared" ref="C84:C147" si="21">D84-(B84-1)*G85</f>
        <v>6</v>
      </c>
      <c r="D84" s="21">
        <f>COUNT($D$18:$D83)+1</f>
        <v>6</v>
      </c>
    </row>
    <row r="85" spans="1:13">
      <c r="E85" s="21">
        <f t="shared" si="2"/>
        <v>85</v>
      </c>
      <c r="F85" s="9" t="s">
        <v>93</v>
      </c>
      <c r="G85" s="21">
        <v>18</v>
      </c>
      <c r="H85" s="21">
        <v>1</v>
      </c>
      <c r="J85" s="9" t="s">
        <v>252</v>
      </c>
      <c r="M85" s="21">
        <f t="shared" ref="M85:M116" si="22">J85+D84</f>
        <v>19006</v>
      </c>
    </row>
    <row r="86" spans="1:13">
      <c r="E86" s="21">
        <f t="shared" ref="E86:E148" si="23">ROW(E86)</f>
        <v>86</v>
      </c>
      <c r="F86" s="9" t="s">
        <v>142</v>
      </c>
      <c r="M86" s="21">
        <v>18800</v>
      </c>
    </row>
    <row r="87" spans="1:13">
      <c r="E87" s="21">
        <f t="shared" si="23"/>
        <v>87</v>
      </c>
      <c r="F87" s="9" t="s">
        <v>126</v>
      </c>
      <c r="M87" s="21">
        <v>0</v>
      </c>
    </row>
    <row r="88" spans="1:13">
      <c r="E88" s="21">
        <f t="shared" si="23"/>
        <v>88</v>
      </c>
      <c r="F88" s="9" t="s">
        <v>142</v>
      </c>
      <c r="M88" s="21">
        <v>18810</v>
      </c>
    </row>
    <row r="89" spans="1:13">
      <c r="E89" s="21">
        <f t="shared" si="23"/>
        <v>89</v>
      </c>
      <c r="F89" s="9" t="s">
        <v>127</v>
      </c>
      <c r="M89" s="21">
        <v>0</v>
      </c>
    </row>
    <row r="90" spans="1:13">
      <c r="E90" s="21">
        <f t="shared" si="23"/>
        <v>90</v>
      </c>
      <c r="F90" s="9" t="s">
        <v>29</v>
      </c>
      <c r="M90" s="21" t="s">
        <v>251</v>
      </c>
    </row>
    <row r="91" spans="1:13">
      <c r="E91" s="21">
        <f t="shared" si="23"/>
        <v>91</v>
      </c>
      <c r="F91" s="9" t="s">
        <v>118</v>
      </c>
      <c r="M91" s="21" t="s">
        <v>249</v>
      </c>
    </row>
    <row r="92" spans="1:13">
      <c r="E92" s="21">
        <f t="shared" si="23"/>
        <v>92</v>
      </c>
      <c r="F92" s="9" t="s">
        <v>98</v>
      </c>
      <c r="K92" s="9" t="s">
        <v>137</v>
      </c>
      <c r="M92" s="21">
        <v>2</v>
      </c>
    </row>
    <row r="93" spans="1:13">
      <c r="E93" s="21">
        <f t="shared" si="23"/>
        <v>93</v>
      </c>
      <c r="F93" s="9" t="s">
        <v>30</v>
      </c>
      <c r="M93" s="21">
        <v>0</v>
      </c>
    </row>
    <row r="94" spans="1:13">
      <c r="E94" s="21">
        <f t="shared" si="23"/>
        <v>94</v>
      </c>
      <c r="F94" s="9" t="s">
        <v>115</v>
      </c>
      <c r="M94" s="21">
        <v>1</v>
      </c>
    </row>
    <row r="95" spans="1:13">
      <c r="E95" s="21">
        <f t="shared" si="23"/>
        <v>95</v>
      </c>
      <c r="F95" s="9" t="s">
        <v>31</v>
      </c>
      <c r="G95" s="21">
        <v>360</v>
      </c>
      <c r="L95" s="9" t="s">
        <v>134</v>
      </c>
      <c r="M95" s="21">
        <f t="shared" ref="M95" si="24">G95/G85*C84</f>
        <v>120</v>
      </c>
    </row>
    <row r="96" spans="1:13">
      <c r="E96" s="21">
        <f t="shared" si="23"/>
        <v>96</v>
      </c>
      <c r="F96" s="9" t="s">
        <v>114</v>
      </c>
      <c r="M96" s="21" t="b">
        <v>1</v>
      </c>
    </row>
    <row r="97" spans="1:13">
      <c r="A97" s="21" t="s">
        <v>227</v>
      </c>
      <c r="B97" s="21">
        <f t="shared" ref="B97:B160" si="25">QUOTIENT( D97-1,G98)+1</f>
        <v>1</v>
      </c>
      <c r="C97" s="21">
        <f t="shared" ref="C97:C160" si="26">D97-(B97-1)*G98</f>
        <v>7</v>
      </c>
      <c r="D97" s="21">
        <f>COUNT($D$18:$D96)+1</f>
        <v>7</v>
      </c>
    </row>
    <row r="98" spans="1:13">
      <c r="E98" s="21">
        <f t="shared" si="23"/>
        <v>98</v>
      </c>
      <c r="F98" s="9" t="s">
        <v>93</v>
      </c>
      <c r="G98" s="21">
        <v>18</v>
      </c>
      <c r="H98" s="21">
        <v>1</v>
      </c>
      <c r="J98" s="9" t="s">
        <v>252</v>
      </c>
      <c r="M98" s="21">
        <f t="shared" ref="M98:M129" si="27">J98+D97</f>
        <v>19007</v>
      </c>
    </row>
    <row r="99" spans="1:13">
      <c r="E99" s="21">
        <f t="shared" si="23"/>
        <v>99</v>
      </c>
      <c r="F99" s="9" t="s">
        <v>142</v>
      </c>
      <c r="M99" s="21">
        <v>18800</v>
      </c>
    </row>
    <row r="100" spans="1:13">
      <c r="E100" s="21">
        <f t="shared" si="23"/>
        <v>100</v>
      </c>
      <c r="F100" s="9" t="s">
        <v>126</v>
      </c>
      <c r="M100" s="21">
        <v>0</v>
      </c>
    </row>
    <row r="101" spans="1:13">
      <c r="E101" s="21">
        <f t="shared" si="23"/>
        <v>101</v>
      </c>
      <c r="F101" s="9" t="s">
        <v>142</v>
      </c>
      <c r="M101" s="21">
        <v>18810</v>
      </c>
    </row>
    <row r="102" spans="1:13">
      <c r="E102" s="21">
        <f t="shared" si="23"/>
        <v>102</v>
      </c>
      <c r="F102" s="9" t="s">
        <v>127</v>
      </c>
      <c r="M102" s="21">
        <v>0</v>
      </c>
    </row>
    <row r="103" spans="1:13">
      <c r="E103" s="21">
        <f t="shared" si="23"/>
        <v>103</v>
      </c>
      <c r="F103" s="9" t="s">
        <v>29</v>
      </c>
      <c r="M103" s="21" t="s">
        <v>251</v>
      </c>
    </row>
    <row r="104" spans="1:13">
      <c r="E104" s="21">
        <f t="shared" si="23"/>
        <v>104</v>
      </c>
      <c r="F104" s="9" t="s">
        <v>118</v>
      </c>
      <c r="M104" s="21" t="s">
        <v>249</v>
      </c>
    </row>
    <row r="105" spans="1:13">
      <c r="E105" s="21">
        <f t="shared" si="23"/>
        <v>105</v>
      </c>
      <c r="F105" s="9" t="s">
        <v>98</v>
      </c>
      <c r="K105" s="9" t="s">
        <v>137</v>
      </c>
      <c r="M105" s="21">
        <v>2</v>
      </c>
    </row>
    <row r="106" spans="1:13">
      <c r="E106" s="21">
        <f t="shared" si="23"/>
        <v>106</v>
      </c>
      <c r="F106" s="9" t="s">
        <v>30</v>
      </c>
      <c r="M106" s="21">
        <v>0</v>
      </c>
    </row>
    <row r="107" spans="1:13">
      <c r="E107" s="21">
        <f t="shared" si="23"/>
        <v>107</v>
      </c>
      <c r="F107" s="9" t="s">
        <v>115</v>
      </c>
      <c r="M107" s="21">
        <v>1</v>
      </c>
    </row>
    <row r="108" spans="1:13">
      <c r="E108" s="21">
        <f t="shared" si="23"/>
        <v>108</v>
      </c>
      <c r="F108" s="9" t="s">
        <v>31</v>
      </c>
      <c r="G108" s="21">
        <v>360</v>
      </c>
      <c r="L108" s="9" t="s">
        <v>134</v>
      </c>
      <c r="M108" s="21">
        <f t="shared" ref="M108" si="28">G108/G98*C97</f>
        <v>140</v>
      </c>
    </row>
    <row r="109" spans="1:13">
      <c r="E109" s="21">
        <f t="shared" si="23"/>
        <v>109</v>
      </c>
      <c r="F109" s="9" t="s">
        <v>114</v>
      </c>
      <c r="M109" s="21" t="b">
        <v>1</v>
      </c>
    </row>
    <row r="110" spans="1:13">
      <c r="A110" s="21" t="s">
        <v>227</v>
      </c>
      <c r="B110" s="21">
        <f t="shared" ref="B110:B173" si="29">QUOTIENT( D110-1,G111)+1</f>
        <v>1</v>
      </c>
      <c r="C110" s="21">
        <f t="shared" ref="C110:C173" si="30">D110-(B110-1)*G111</f>
        <v>8</v>
      </c>
      <c r="D110" s="21">
        <f>COUNT($D$18:$D109)+1</f>
        <v>8</v>
      </c>
    </row>
    <row r="111" spans="1:13">
      <c r="E111" s="21">
        <f t="shared" si="23"/>
        <v>111</v>
      </c>
      <c r="F111" s="9" t="s">
        <v>93</v>
      </c>
      <c r="G111" s="21">
        <v>18</v>
      </c>
      <c r="H111" s="21">
        <v>1</v>
      </c>
      <c r="J111" s="9" t="s">
        <v>252</v>
      </c>
      <c r="M111" s="21">
        <f t="shared" ref="M111:M142" si="31">J111+D110</f>
        <v>19008</v>
      </c>
    </row>
    <row r="112" spans="1:13">
      <c r="E112" s="21">
        <f t="shared" si="23"/>
        <v>112</v>
      </c>
      <c r="F112" s="9" t="s">
        <v>142</v>
      </c>
      <c r="M112" s="21">
        <v>18800</v>
      </c>
    </row>
    <row r="113" spans="1:13">
      <c r="E113" s="21">
        <f t="shared" si="23"/>
        <v>113</v>
      </c>
      <c r="F113" s="9" t="s">
        <v>126</v>
      </c>
      <c r="M113" s="21">
        <v>0</v>
      </c>
    </row>
    <row r="114" spans="1:13">
      <c r="E114" s="21">
        <f t="shared" si="23"/>
        <v>114</v>
      </c>
      <c r="F114" s="9" t="s">
        <v>142</v>
      </c>
      <c r="M114" s="21">
        <v>18810</v>
      </c>
    </row>
    <row r="115" spans="1:13">
      <c r="E115" s="21">
        <f t="shared" si="23"/>
        <v>115</v>
      </c>
      <c r="F115" s="9" t="s">
        <v>127</v>
      </c>
      <c r="M115" s="21">
        <v>0</v>
      </c>
    </row>
    <row r="116" spans="1:13">
      <c r="E116" s="21">
        <f t="shared" si="23"/>
        <v>116</v>
      </c>
      <c r="F116" s="9" t="s">
        <v>29</v>
      </c>
      <c r="M116" s="21" t="s">
        <v>251</v>
      </c>
    </row>
    <row r="117" spans="1:13">
      <c r="E117" s="21">
        <f t="shared" si="23"/>
        <v>117</v>
      </c>
      <c r="F117" s="9" t="s">
        <v>118</v>
      </c>
      <c r="M117" s="21" t="s">
        <v>249</v>
      </c>
    </row>
    <row r="118" spans="1:13">
      <c r="E118" s="21">
        <f t="shared" si="23"/>
        <v>118</v>
      </c>
      <c r="F118" s="9" t="s">
        <v>98</v>
      </c>
      <c r="K118" s="9" t="s">
        <v>137</v>
      </c>
      <c r="M118" s="21">
        <v>2</v>
      </c>
    </row>
    <row r="119" spans="1:13">
      <c r="E119" s="21">
        <f t="shared" si="23"/>
        <v>119</v>
      </c>
      <c r="F119" s="9" t="s">
        <v>30</v>
      </c>
      <c r="M119" s="21">
        <v>0</v>
      </c>
    </row>
    <row r="120" spans="1:13">
      <c r="E120" s="21">
        <f t="shared" si="23"/>
        <v>120</v>
      </c>
      <c r="F120" s="9" t="s">
        <v>115</v>
      </c>
      <c r="M120" s="21">
        <v>1</v>
      </c>
    </row>
    <row r="121" spans="1:13">
      <c r="E121" s="21">
        <f t="shared" si="23"/>
        <v>121</v>
      </c>
      <c r="F121" s="9" t="s">
        <v>31</v>
      </c>
      <c r="G121" s="21">
        <v>360</v>
      </c>
      <c r="L121" s="9" t="s">
        <v>134</v>
      </c>
      <c r="M121" s="21">
        <f t="shared" ref="M121" si="32">G121/G111*C110</f>
        <v>160</v>
      </c>
    </row>
    <row r="122" spans="1:13">
      <c r="E122" s="21">
        <f t="shared" si="23"/>
        <v>122</v>
      </c>
      <c r="F122" s="9" t="s">
        <v>114</v>
      </c>
      <c r="M122" s="21" t="b">
        <v>1</v>
      </c>
    </row>
    <row r="123" spans="1:13">
      <c r="A123" s="21" t="s">
        <v>227</v>
      </c>
      <c r="B123" s="21">
        <f t="shared" ref="B123:B186" si="33">QUOTIENT( D123-1,G124)+1</f>
        <v>1</v>
      </c>
      <c r="C123" s="21">
        <f t="shared" ref="C123:C186" si="34">D123-(B123-1)*G124</f>
        <v>9</v>
      </c>
      <c r="D123" s="21">
        <f>COUNT($D$18:$D122)+1</f>
        <v>9</v>
      </c>
    </row>
    <row r="124" spans="1:13">
      <c r="E124" s="21">
        <f t="shared" si="23"/>
        <v>124</v>
      </c>
      <c r="F124" s="9" t="s">
        <v>93</v>
      </c>
      <c r="G124" s="21">
        <v>18</v>
      </c>
      <c r="H124" s="21">
        <v>1</v>
      </c>
      <c r="J124" s="9" t="s">
        <v>252</v>
      </c>
      <c r="M124" s="21">
        <f t="shared" ref="M124:M155" si="35">J124+D123</f>
        <v>19009</v>
      </c>
    </row>
    <row r="125" spans="1:13">
      <c r="E125" s="21">
        <f t="shared" si="23"/>
        <v>125</v>
      </c>
      <c r="F125" s="9" t="s">
        <v>142</v>
      </c>
      <c r="M125" s="21">
        <v>18800</v>
      </c>
    </row>
    <row r="126" spans="1:13">
      <c r="E126" s="21">
        <f t="shared" si="23"/>
        <v>126</v>
      </c>
      <c r="F126" s="9" t="s">
        <v>126</v>
      </c>
      <c r="M126" s="21">
        <v>0</v>
      </c>
    </row>
    <row r="127" spans="1:13">
      <c r="E127" s="21">
        <f t="shared" si="23"/>
        <v>127</v>
      </c>
      <c r="F127" s="9" t="s">
        <v>142</v>
      </c>
      <c r="M127" s="21">
        <v>18810</v>
      </c>
    </row>
    <row r="128" spans="1:13">
      <c r="E128" s="21">
        <f t="shared" si="23"/>
        <v>128</v>
      </c>
      <c r="F128" s="9" t="s">
        <v>127</v>
      </c>
      <c r="M128" s="21">
        <v>0</v>
      </c>
    </row>
    <row r="129" spans="1:13">
      <c r="E129" s="21">
        <f t="shared" si="23"/>
        <v>129</v>
      </c>
      <c r="F129" s="9" t="s">
        <v>29</v>
      </c>
      <c r="M129" s="21" t="s">
        <v>251</v>
      </c>
    </row>
    <row r="130" spans="1:13">
      <c r="E130" s="21">
        <f t="shared" si="23"/>
        <v>130</v>
      </c>
      <c r="F130" s="9" t="s">
        <v>118</v>
      </c>
      <c r="M130" s="21" t="s">
        <v>249</v>
      </c>
    </row>
    <row r="131" spans="1:13">
      <c r="E131" s="21">
        <f t="shared" si="23"/>
        <v>131</v>
      </c>
      <c r="F131" s="9" t="s">
        <v>98</v>
      </c>
      <c r="K131" s="9" t="s">
        <v>137</v>
      </c>
      <c r="M131" s="21">
        <v>2</v>
      </c>
    </row>
    <row r="132" spans="1:13">
      <c r="E132" s="21">
        <f t="shared" si="23"/>
        <v>132</v>
      </c>
      <c r="F132" s="9" t="s">
        <v>30</v>
      </c>
      <c r="M132" s="21">
        <v>0</v>
      </c>
    </row>
    <row r="133" spans="1:13">
      <c r="E133" s="21">
        <f t="shared" si="23"/>
        <v>133</v>
      </c>
      <c r="F133" s="9" t="s">
        <v>115</v>
      </c>
      <c r="M133" s="21">
        <v>1</v>
      </c>
    </row>
    <row r="134" spans="1:13">
      <c r="E134" s="21">
        <f t="shared" si="23"/>
        <v>134</v>
      </c>
      <c r="F134" s="9" t="s">
        <v>31</v>
      </c>
      <c r="G134" s="21">
        <v>360</v>
      </c>
      <c r="L134" s="9" t="s">
        <v>134</v>
      </c>
      <c r="M134" s="21">
        <f t="shared" ref="M134" si="36">G134/G124*C123</f>
        <v>180</v>
      </c>
    </row>
    <row r="135" spans="1:13">
      <c r="E135" s="21">
        <f t="shared" si="23"/>
        <v>135</v>
      </c>
      <c r="F135" s="9" t="s">
        <v>114</v>
      </c>
      <c r="M135" s="21" t="b">
        <v>1</v>
      </c>
    </row>
    <row r="136" spans="1:13">
      <c r="A136" s="21" t="s">
        <v>227</v>
      </c>
      <c r="B136" s="21">
        <f t="shared" ref="B136:B199" si="37">QUOTIENT( D136-1,G137)+1</f>
        <v>1</v>
      </c>
      <c r="C136" s="21">
        <f t="shared" ref="C136:C199" si="38">D136-(B136-1)*G137</f>
        <v>10</v>
      </c>
      <c r="D136" s="21">
        <f>COUNT($D$18:$D135)+1</f>
        <v>10</v>
      </c>
    </row>
    <row r="137" spans="1:13">
      <c r="E137" s="21">
        <f t="shared" si="23"/>
        <v>137</v>
      </c>
      <c r="F137" s="9" t="s">
        <v>93</v>
      </c>
      <c r="G137" s="21">
        <v>18</v>
      </c>
      <c r="H137" s="21">
        <v>1</v>
      </c>
      <c r="J137" s="9" t="s">
        <v>252</v>
      </c>
      <c r="M137" s="21">
        <f t="shared" ref="M137:M168" si="39">J137+D136</f>
        <v>19010</v>
      </c>
    </row>
    <row r="138" spans="1:13">
      <c r="E138" s="21">
        <f t="shared" si="23"/>
        <v>138</v>
      </c>
      <c r="F138" s="9" t="s">
        <v>142</v>
      </c>
      <c r="M138" s="21">
        <v>18800</v>
      </c>
    </row>
    <row r="139" spans="1:13">
      <c r="E139" s="21">
        <f t="shared" si="23"/>
        <v>139</v>
      </c>
      <c r="F139" s="9" t="s">
        <v>126</v>
      </c>
      <c r="M139" s="21">
        <v>0</v>
      </c>
    </row>
    <row r="140" spans="1:13">
      <c r="E140" s="21">
        <f t="shared" si="23"/>
        <v>140</v>
      </c>
      <c r="F140" s="9" t="s">
        <v>142</v>
      </c>
      <c r="M140" s="21">
        <v>18810</v>
      </c>
    </row>
    <row r="141" spans="1:13">
      <c r="E141" s="21">
        <f t="shared" si="23"/>
        <v>141</v>
      </c>
      <c r="F141" s="9" t="s">
        <v>127</v>
      </c>
      <c r="M141" s="21">
        <v>0</v>
      </c>
    </row>
    <row r="142" spans="1:13">
      <c r="E142" s="21">
        <f t="shared" si="23"/>
        <v>142</v>
      </c>
      <c r="F142" s="9" t="s">
        <v>29</v>
      </c>
      <c r="M142" s="21" t="s">
        <v>251</v>
      </c>
    </row>
    <row r="143" spans="1:13">
      <c r="E143" s="21">
        <f t="shared" si="23"/>
        <v>143</v>
      </c>
      <c r="F143" s="9" t="s">
        <v>118</v>
      </c>
      <c r="M143" s="21" t="s">
        <v>249</v>
      </c>
    </row>
    <row r="144" spans="1:13">
      <c r="E144" s="21">
        <f t="shared" si="23"/>
        <v>144</v>
      </c>
      <c r="F144" s="9" t="s">
        <v>98</v>
      </c>
      <c r="K144" s="9" t="s">
        <v>137</v>
      </c>
      <c r="M144" s="21">
        <v>2</v>
      </c>
    </row>
    <row r="145" spans="1:13">
      <c r="E145" s="21">
        <f t="shared" si="23"/>
        <v>145</v>
      </c>
      <c r="F145" s="9" t="s">
        <v>30</v>
      </c>
      <c r="M145" s="21">
        <v>0</v>
      </c>
    </row>
    <row r="146" spans="1:13">
      <c r="E146" s="21">
        <f t="shared" si="23"/>
        <v>146</v>
      </c>
      <c r="F146" s="9" t="s">
        <v>115</v>
      </c>
      <c r="M146" s="21">
        <v>1</v>
      </c>
    </row>
    <row r="147" spans="1:13">
      <c r="E147" s="21">
        <f t="shared" si="23"/>
        <v>147</v>
      </c>
      <c r="F147" s="9" t="s">
        <v>31</v>
      </c>
      <c r="G147" s="21">
        <v>360</v>
      </c>
      <c r="L147" s="9" t="s">
        <v>134</v>
      </c>
      <c r="M147" s="21">
        <f t="shared" ref="M147" si="40">G147/G137*C136</f>
        <v>200</v>
      </c>
    </row>
    <row r="148" spans="1:13">
      <c r="E148" s="21">
        <f t="shared" si="23"/>
        <v>148</v>
      </c>
      <c r="F148" s="9" t="s">
        <v>114</v>
      </c>
      <c r="M148" s="21" t="b">
        <v>1</v>
      </c>
    </row>
    <row r="149" spans="1:13">
      <c r="A149" s="21" t="s">
        <v>227</v>
      </c>
      <c r="B149" s="21">
        <f t="shared" ref="B149:B212" si="41">QUOTIENT( D149-1,G150)+1</f>
        <v>1</v>
      </c>
      <c r="C149" s="21">
        <f t="shared" ref="C149:C212" si="42">D149-(B149-1)*G150</f>
        <v>11</v>
      </c>
      <c r="D149" s="21">
        <f>COUNT($D$18:$D148)+1</f>
        <v>11</v>
      </c>
    </row>
    <row r="150" spans="1:13">
      <c r="E150" s="21">
        <f t="shared" ref="E150:E213" si="43">ROW(E150)</f>
        <v>150</v>
      </c>
      <c r="F150" s="9" t="s">
        <v>93</v>
      </c>
      <c r="G150" s="21">
        <v>18</v>
      </c>
      <c r="H150" s="21">
        <v>1</v>
      </c>
      <c r="J150" s="9" t="s">
        <v>252</v>
      </c>
      <c r="M150" s="21">
        <f t="shared" ref="M150:M181" si="44">J150+D149</f>
        <v>19011</v>
      </c>
    </row>
    <row r="151" spans="1:13">
      <c r="E151" s="21">
        <f t="shared" si="43"/>
        <v>151</v>
      </c>
      <c r="F151" s="9" t="s">
        <v>142</v>
      </c>
      <c r="M151" s="21">
        <v>18800</v>
      </c>
    </row>
    <row r="152" spans="1:13">
      <c r="E152" s="21">
        <f t="shared" si="43"/>
        <v>152</v>
      </c>
      <c r="F152" s="9" t="s">
        <v>126</v>
      </c>
      <c r="M152" s="21">
        <v>0</v>
      </c>
    </row>
    <row r="153" spans="1:13">
      <c r="E153" s="21">
        <f t="shared" si="43"/>
        <v>153</v>
      </c>
      <c r="F153" s="9" t="s">
        <v>142</v>
      </c>
      <c r="M153" s="21">
        <v>18810</v>
      </c>
    </row>
    <row r="154" spans="1:13">
      <c r="E154" s="21">
        <f t="shared" si="43"/>
        <v>154</v>
      </c>
      <c r="F154" s="9" t="s">
        <v>127</v>
      </c>
      <c r="M154" s="21">
        <v>0</v>
      </c>
    </row>
    <row r="155" spans="1:13">
      <c r="E155" s="21">
        <f t="shared" si="43"/>
        <v>155</v>
      </c>
      <c r="F155" s="9" t="s">
        <v>29</v>
      </c>
      <c r="M155" s="21" t="s">
        <v>251</v>
      </c>
    </row>
    <row r="156" spans="1:13">
      <c r="E156" s="21">
        <f t="shared" si="43"/>
        <v>156</v>
      </c>
      <c r="F156" s="9" t="s">
        <v>118</v>
      </c>
      <c r="M156" s="21" t="s">
        <v>249</v>
      </c>
    </row>
    <row r="157" spans="1:13">
      <c r="E157" s="21">
        <f t="shared" si="43"/>
        <v>157</v>
      </c>
      <c r="F157" s="9" t="s">
        <v>98</v>
      </c>
      <c r="K157" s="9" t="s">
        <v>137</v>
      </c>
      <c r="M157" s="21">
        <v>2</v>
      </c>
    </row>
    <row r="158" spans="1:13">
      <c r="E158" s="21">
        <f t="shared" si="43"/>
        <v>158</v>
      </c>
      <c r="F158" s="9" t="s">
        <v>30</v>
      </c>
      <c r="M158" s="21">
        <v>0</v>
      </c>
    </row>
    <row r="159" spans="1:13">
      <c r="E159" s="21">
        <f t="shared" si="43"/>
        <v>159</v>
      </c>
      <c r="F159" s="9" t="s">
        <v>115</v>
      </c>
      <c r="M159" s="21">
        <v>1</v>
      </c>
    </row>
    <row r="160" spans="1:13">
      <c r="E160" s="21">
        <f t="shared" si="43"/>
        <v>160</v>
      </c>
      <c r="F160" s="9" t="s">
        <v>31</v>
      </c>
      <c r="G160" s="21">
        <v>360</v>
      </c>
      <c r="L160" s="9" t="s">
        <v>134</v>
      </c>
      <c r="M160" s="21">
        <f t="shared" ref="M160" si="45">G160/G150*C149</f>
        <v>220</v>
      </c>
    </row>
    <row r="161" spans="1:13">
      <c r="E161" s="21">
        <f t="shared" si="43"/>
        <v>161</v>
      </c>
      <c r="F161" s="9" t="s">
        <v>114</v>
      </c>
      <c r="M161" s="21" t="b">
        <v>1</v>
      </c>
    </row>
    <row r="162" spans="1:13">
      <c r="A162" s="21" t="s">
        <v>227</v>
      </c>
      <c r="B162" s="21">
        <f t="shared" ref="B162:B225" si="46">QUOTIENT( D162-1,G163)+1</f>
        <v>1</v>
      </c>
      <c r="C162" s="21">
        <f t="shared" ref="C162:C225" si="47">D162-(B162-1)*G163</f>
        <v>12</v>
      </c>
      <c r="D162" s="21">
        <f>COUNT($D$18:$D161)+1</f>
        <v>12</v>
      </c>
    </row>
    <row r="163" spans="1:13">
      <c r="E163" s="21">
        <f t="shared" si="43"/>
        <v>163</v>
      </c>
      <c r="F163" s="9" t="s">
        <v>93</v>
      </c>
      <c r="G163" s="21">
        <v>18</v>
      </c>
      <c r="H163" s="21">
        <v>1</v>
      </c>
      <c r="J163" s="9" t="s">
        <v>252</v>
      </c>
      <c r="M163" s="21">
        <f t="shared" ref="M163:M194" si="48">J163+D162</f>
        <v>19012</v>
      </c>
    </row>
    <row r="164" spans="1:13">
      <c r="E164" s="21">
        <f t="shared" si="43"/>
        <v>164</v>
      </c>
      <c r="F164" s="9" t="s">
        <v>142</v>
      </c>
      <c r="M164" s="21">
        <v>18800</v>
      </c>
    </row>
    <row r="165" spans="1:13">
      <c r="E165" s="21">
        <f t="shared" si="43"/>
        <v>165</v>
      </c>
      <c r="F165" s="9" t="s">
        <v>126</v>
      </c>
      <c r="M165" s="21">
        <v>0</v>
      </c>
    </row>
    <row r="166" spans="1:13">
      <c r="E166" s="21">
        <f t="shared" si="43"/>
        <v>166</v>
      </c>
      <c r="F166" s="9" t="s">
        <v>142</v>
      </c>
      <c r="M166" s="21">
        <v>18810</v>
      </c>
    </row>
    <row r="167" spans="1:13">
      <c r="E167" s="21">
        <f t="shared" si="43"/>
        <v>167</v>
      </c>
      <c r="F167" s="9" t="s">
        <v>127</v>
      </c>
      <c r="M167" s="21">
        <v>0</v>
      </c>
    </row>
    <row r="168" spans="1:13">
      <c r="E168" s="21">
        <f t="shared" si="43"/>
        <v>168</v>
      </c>
      <c r="F168" s="9" t="s">
        <v>29</v>
      </c>
      <c r="M168" s="21" t="s">
        <v>251</v>
      </c>
    </row>
    <row r="169" spans="1:13">
      <c r="E169" s="21">
        <f t="shared" si="43"/>
        <v>169</v>
      </c>
      <c r="F169" s="9" t="s">
        <v>118</v>
      </c>
      <c r="M169" s="21" t="s">
        <v>249</v>
      </c>
    </row>
    <row r="170" spans="1:13">
      <c r="E170" s="21">
        <f t="shared" si="43"/>
        <v>170</v>
      </c>
      <c r="F170" s="9" t="s">
        <v>98</v>
      </c>
      <c r="K170" s="9" t="s">
        <v>137</v>
      </c>
      <c r="M170" s="21">
        <v>2</v>
      </c>
    </row>
    <row r="171" spans="1:13">
      <c r="E171" s="21">
        <f t="shared" si="43"/>
        <v>171</v>
      </c>
      <c r="F171" s="9" t="s">
        <v>30</v>
      </c>
      <c r="M171" s="21">
        <v>0</v>
      </c>
    </row>
    <row r="172" spans="1:13">
      <c r="E172" s="21">
        <f t="shared" si="43"/>
        <v>172</v>
      </c>
      <c r="F172" s="9" t="s">
        <v>115</v>
      </c>
      <c r="M172" s="21">
        <v>1</v>
      </c>
    </row>
    <row r="173" spans="1:13">
      <c r="E173" s="21">
        <f t="shared" si="43"/>
        <v>173</v>
      </c>
      <c r="F173" s="9" t="s">
        <v>31</v>
      </c>
      <c r="G173" s="21">
        <v>360</v>
      </c>
      <c r="L173" s="9" t="s">
        <v>134</v>
      </c>
      <c r="M173" s="21">
        <f t="shared" ref="M173" si="49">G173/G163*C162</f>
        <v>240</v>
      </c>
    </row>
    <row r="174" spans="1:13">
      <c r="E174" s="21">
        <f t="shared" si="43"/>
        <v>174</v>
      </c>
      <c r="F174" s="9" t="s">
        <v>114</v>
      </c>
      <c r="M174" s="21" t="b">
        <v>1</v>
      </c>
    </row>
    <row r="175" spans="1:13">
      <c r="A175" s="21" t="s">
        <v>227</v>
      </c>
      <c r="B175" s="21">
        <f t="shared" ref="B175:B238" si="50">QUOTIENT( D175-1,G176)+1</f>
        <v>1</v>
      </c>
      <c r="C175" s="21">
        <f t="shared" ref="C175:C238" si="51">D175-(B175-1)*G176</f>
        <v>13</v>
      </c>
      <c r="D175" s="21">
        <f>COUNT($D$18:$D174)+1</f>
        <v>13</v>
      </c>
    </row>
    <row r="176" spans="1:13">
      <c r="E176" s="21">
        <f t="shared" si="43"/>
        <v>176</v>
      </c>
      <c r="F176" s="9" t="s">
        <v>93</v>
      </c>
      <c r="G176" s="21">
        <v>18</v>
      </c>
      <c r="H176" s="21">
        <v>1</v>
      </c>
      <c r="J176" s="9" t="s">
        <v>252</v>
      </c>
      <c r="M176" s="21">
        <f t="shared" ref="M176:M207" si="52">J176+D175</f>
        <v>19013</v>
      </c>
    </row>
    <row r="177" spans="1:13">
      <c r="E177" s="21">
        <f t="shared" si="43"/>
        <v>177</v>
      </c>
      <c r="F177" s="9" t="s">
        <v>142</v>
      </c>
      <c r="M177" s="21">
        <v>18800</v>
      </c>
    </row>
    <row r="178" spans="1:13">
      <c r="E178" s="21">
        <f t="shared" si="43"/>
        <v>178</v>
      </c>
      <c r="F178" s="9" t="s">
        <v>126</v>
      </c>
      <c r="M178" s="21">
        <v>0</v>
      </c>
    </row>
    <row r="179" spans="1:13">
      <c r="E179" s="21">
        <f t="shared" si="43"/>
        <v>179</v>
      </c>
      <c r="F179" s="9" t="s">
        <v>142</v>
      </c>
      <c r="M179" s="21">
        <v>18810</v>
      </c>
    </row>
    <row r="180" spans="1:13">
      <c r="E180" s="21">
        <f t="shared" si="43"/>
        <v>180</v>
      </c>
      <c r="F180" s="9" t="s">
        <v>127</v>
      </c>
      <c r="M180" s="21">
        <v>0</v>
      </c>
    </row>
    <row r="181" spans="1:13">
      <c r="E181" s="21">
        <f t="shared" si="43"/>
        <v>181</v>
      </c>
      <c r="F181" s="9" t="s">
        <v>29</v>
      </c>
      <c r="M181" s="21" t="s">
        <v>251</v>
      </c>
    </row>
    <row r="182" spans="1:13">
      <c r="E182" s="21">
        <f t="shared" si="43"/>
        <v>182</v>
      </c>
      <c r="F182" s="9" t="s">
        <v>118</v>
      </c>
      <c r="M182" s="21" t="s">
        <v>249</v>
      </c>
    </row>
    <row r="183" spans="1:13">
      <c r="E183" s="21">
        <f t="shared" si="43"/>
        <v>183</v>
      </c>
      <c r="F183" s="9" t="s">
        <v>98</v>
      </c>
      <c r="K183" s="9" t="s">
        <v>137</v>
      </c>
      <c r="M183" s="21">
        <v>2</v>
      </c>
    </row>
    <row r="184" spans="1:13">
      <c r="E184" s="21">
        <f t="shared" si="43"/>
        <v>184</v>
      </c>
      <c r="F184" s="9" t="s">
        <v>30</v>
      </c>
      <c r="M184" s="21">
        <v>0</v>
      </c>
    </row>
    <row r="185" spans="1:13">
      <c r="E185" s="21">
        <f t="shared" si="43"/>
        <v>185</v>
      </c>
      <c r="F185" s="9" t="s">
        <v>115</v>
      </c>
      <c r="M185" s="21">
        <v>1</v>
      </c>
    </row>
    <row r="186" spans="1:13">
      <c r="E186" s="21">
        <f t="shared" si="43"/>
        <v>186</v>
      </c>
      <c r="F186" s="9" t="s">
        <v>31</v>
      </c>
      <c r="G186" s="21">
        <v>360</v>
      </c>
      <c r="L186" s="9" t="s">
        <v>134</v>
      </c>
      <c r="M186" s="21">
        <f t="shared" ref="M186" si="53">G186/G176*C175</f>
        <v>260</v>
      </c>
    </row>
    <row r="187" spans="1:13">
      <c r="E187" s="21">
        <f t="shared" si="43"/>
        <v>187</v>
      </c>
      <c r="F187" s="9" t="s">
        <v>114</v>
      </c>
      <c r="M187" s="21" t="b">
        <v>1</v>
      </c>
    </row>
    <row r="188" spans="1:13">
      <c r="A188" s="21" t="s">
        <v>227</v>
      </c>
      <c r="B188" s="21">
        <f t="shared" ref="B188:B251" si="54">QUOTIENT( D188-1,G189)+1</f>
        <v>1</v>
      </c>
      <c r="C188" s="21">
        <f t="shared" ref="C188:C251" si="55">D188-(B188-1)*G189</f>
        <v>14</v>
      </c>
      <c r="D188" s="21">
        <f>COUNT($D$18:$D187)+1</f>
        <v>14</v>
      </c>
    </row>
    <row r="189" spans="1:13">
      <c r="E189" s="21">
        <f t="shared" si="43"/>
        <v>189</v>
      </c>
      <c r="F189" s="9" t="s">
        <v>93</v>
      </c>
      <c r="G189" s="21">
        <v>18</v>
      </c>
      <c r="H189" s="21">
        <v>1</v>
      </c>
      <c r="J189" s="9" t="s">
        <v>252</v>
      </c>
      <c r="M189" s="21">
        <f t="shared" ref="M189:M220" si="56">J189+D188</f>
        <v>19014</v>
      </c>
    </row>
    <row r="190" spans="1:13">
      <c r="E190" s="21">
        <f t="shared" si="43"/>
        <v>190</v>
      </c>
      <c r="F190" s="9" t="s">
        <v>142</v>
      </c>
      <c r="M190" s="21">
        <v>18800</v>
      </c>
    </row>
    <row r="191" spans="1:13">
      <c r="E191" s="21">
        <f t="shared" si="43"/>
        <v>191</v>
      </c>
      <c r="F191" s="9" t="s">
        <v>126</v>
      </c>
      <c r="M191" s="21">
        <v>0</v>
      </c>
    </row>
    <row r="192" spans="1:13">
      <c r="E192" s="21">
        <f t="shared" si="43"/>
        <v>192</v>
      </c>
      <c r="F192" s="9" t="s">
        <v>142</v>
      </c>
      <c r="M192" s="21">
        <v>18810</v>
      </c>
    </row>
    <row r="193" spans="1:13">
      <c r="E193" s="21">
        <f t="shared" si="43"/>
        <v>193</v>
      </c>
      <c r="F193" s="9" t="s">
        <v>127</v>
      </c>
      <c r="M193" s="21">
        <v>0</v>
      </c>
    </row>
    <row r="194" spans="1:13">
      <c r="E194" s="21">
        <f t="shared" si="43"/>
        <v>194</v>
      </c>
      <c r="F194" s="9" t="s">
        <v>29</v>
      </c>
      <c r="M194" s="21" t="s">
        <v>251</v>
      </c>
    </row>
    <row r="195" spans="1:13">
      <c r="E195" s="21">
        <f t="shared" si="43"/>
        <v>195</v>
      </c>
      <c r="F195" s="9" t="s">
        <v>118</v>
      </c>
      <c r="M195" s="21" t="s">
        <v>249</v>
      </c>
    </row>
    <row r="196" spans="1:13">
      <c r="E196" s="21">
        <f t="shared" si="43"/>
        <v>196</v>
      </c>
      <c r="F196" s="9" t="s">
        <v>98</v>
      </c>
      <c r="K196" s="9" t="s">
        <v>137</v>
      </c>
      <c r="M196" s="21">
        <v>2</v>
      </c>
    </row>
    <row r="197" spans="1:13">
      <c r="E197" s="21">
        <f t="shared" si="43"/>
        <v>197</v>
      </c>
      <c r="F197" s="9" t="s">
        <v>30</v>
      </c>
      <c r="M197" s="21">
        <v>0</v>
      </c>
    </row>
    <row r="198" spans="1:13">
      <c r="E198" s="21">
        <f t="shared" si="43"/>
        <v>198</v>
      </c>
      <c r="F198" s="9" t="s">
        <v>115</v>
      </c>
      <c r="M198" s="21">
        <v>1</v>
      </c>
    </row>
    <row r="199" spans="1:13">
      <c r="E199" s="21">
        <f t="shared" si="43"/>
        <v>199</v>
      </c>
      <c r="F199" s="9" t="s">
        <v>31</v>
      </c>
      <c r="G199" s="21">
        <v>360</v>
      </c>
      <c r="L199" s="9" t="s">
        <v>134</v>
      </c>
      <c r="M199" s="21">
        <f t="shared" ref="M199" si="57">G199/G189*C188</f>
        <v>280</v>
      </c>
    </row>
    <row r="200" spans="1:13">
      <c r="E200" s="21">
        <f t="shared" si="43"/>
        <v>200</v>
      </c>
      <c r="F200" s="9" t="s">
        <v>114</v>
      </c>
      <c r="M200" s="21" t="b">
        <v>1</v>
      </c>
    </row>
    <row r="201" spans="1:13">
      <c r="A201" s="21" t="s">
        <v>227</v>
      </c>
      <c r="B201" s="21">
        <f t="shared" ref="B201:B252" si="58">QUOTIENT( D201-1,G202)+1</f>
        <v>1</v>
      </c>
      <c r="C201" s="21">
        <f t="shared" ref="C201:C252" si="59">D201-(B201-1)*G202</f>
        <v>15</v>
      </c>
      <c r="D201" s="21">
        <f>COUNT($D$18:$D200)+1</f>
        <v>15</v>
      </c>
    </row>
    <row r="202" spans="1:13">
      <c r="E202" s="21">
        <f t="shared" si="43"/>
        <v>202</v>
      </c>
      <c r="F202" s="9" t="s">
        <v>93</v>
      </c>
      <c r="G202" s="21">
        <v>18</v>
      </c>
      <c r="H202" s="21">
        <v>1</v>
      </c>
      <c r="J202" s="9" t="s">
        <v>252</v>
      </c>
      <c r="M202" s="21">
        <f t="shared" ref="M202:M233" si="60">J202+D201</f>
        <v>19015</v>
      </c>
    </row>
    <row r="203" spans="1:13">
      <c r="E203" s="21">
        <f t="shared" si="43"/>
        <v>203</v>
      </c>
      <c r="F203" s="9" t="s">
        <v>142</v>
      </c>
      <c r="M203" s="21">
        <v>18800</v>
      </c>
    </row>
    <row r="204" spans="1:13">
      <c r="E204" s="21">
        <f t="shared" si="43"/>
        <v>204</v>
      </c>
      <c r="F204" s="9" t="s">
        <v>126</v>
      </c>
      <c r="M204" s="21">
        <v>0</v>
      </c>
    </row>
    <row r="205" spans="1:13">
      <c r="E205" s="21">
        <f t="shared" si="43"/>
        <v>205</v>
      </c>
      <c r="F205" s="9" t="s">
        <v>142</v>
      </c>
      <c r="M205" s="21">
        <v>18810</v>
      </c>
    </row>
    <row r="206" spans="1:13">
      <c r="E206" s="21">
        <f t="shared" si="43"/>
        <v>206</v>
      </c>
      <c r="F206" s="9" t="s">
        <v>127</v>
      </c>
      <c r="M206" s="21">
        <v>0</v>
      </c>
    </row>
    <row r="207" spans="1:13">
      <c r="E207" s="21">
        <f t="shared" si="43"/>
        <v>207</v>
      </c>
      <c r="F207" s="9" t="s">
        <v>29</v>
      </c>
      <c r="M207" s="21" t="s">
        <v>251</v>
      </c>
    </row>
    <row r="208" spans="1:13">
      <c r="E208" s="21">
        <f t="shared" si="43"/>
        <v>208</v>
      </c>
      <c r="F208" s="9" t="s">
        <v>118</v>
      </c>
      <c r="M208" s="21" t="s">
        <v>249</v>
      </c>
    </row>
    <row r="209" spans="1:13">
      <c r="E209" s="21">
        <f t="shared" si="43"/>
        <v>209</v>
      </c>
      <c r="F209" s="9" t="s">
        <v>98</v>
      </c>
      <c r="K209" s="9" t="s">
        <v>137</v>
      </c>
      <c r="M209" s="21">
        <v>2</v>
      </c>
    </row>
    <row r="210" spans="1:13">
      <c r="E210" s="21">
        <f t="shared" si="43"/>
        <v>210</v>
      </c>
      <c r="F210" s="9" t="s">
        <v>30</v>
      </c>
      <c r="M210" s="21">
        <v>0</v>
      </c>
    </row>
    <row r="211" spans="1:13">
      <c r="E211" s="21">
        <f t="shared" si="43"/>
        <v>211</v>
      </c>
      <c r="F211" s="9" t="s">
        <v>115</v>
      </c>
      <c r="M211" s="21">
        <v>1</v>
      </c>
    </row>
    <row r="212" spans="1:13">
      <c r="E212" s="21">
        <f t="shared" si="43"/>
        <v>212</v>
      </c>
      <c r="F212" s="9" t="s">
        <v>31</v>
      </c>
      <c r="G212" s="21">
        <v>360</v>
      </c>
      <c r="L212" s="9" t="s">
        <v>134</v>
      </c>
      <c r="M212" s="21">
        <f t="shared" ref="M212" si="61">G212/G202*C201</f>
        <v>300</v>
      </c>
    </row>
    <row r="213" spans="1:13">
      <c r="E213" s="21">
        <f t="shared" si="43"/>
        <v>213</v>
      </c>
      <c r="F213" s="9" t="s">
        <v>114</v>
      </c>
      <c r="M213" s="21" t="b">
        <v>1</v>
      </c>
    </row>
    <row r="214" spans="1:13">
      <c r="A214" s="21" t="s">
        <v>227</v>
      </c>
      <c r="B214" s="21">
        <f t="shared" ref="B214:B252" si="62">QUOTIENT( D214-1,G215)+1</f>
        <v>1</v>
      </c>
      <c r="C214" s="21">
        <f t="shared" ref="C214:C252" si="63">D214-(B214-1)*G215</f>
        <v>16</v>
      </c>
      <c r="D214" s="21">
        <f>COUNT($D$18:$D213)+1</f>
        <v>16</v>
      </c>
    </row>
    <row r="215" spans="1:13">
      <c r="E215" s="21">
        <f t="shared" ref="E215:E252" si="64">ROW(E215)</f>
        <v>215</v>
      </c>
      <c r="F215" s="9" t="s">
        <v>93</v>
      </c>
      <c r="G215" s="21">
        <v>18</v>
      </c>
      <c r="H215" s="21">
        <v>1</v>
      </c>
      <c r="J215" s="9" t="s">
        <v>252</v>
      </c>
      <c r="M215" s="21">
        <f t="shared" ref="M215:M252" si="65">J215+D214</f>
        <v>19016</v>
      </c>
    </row>
    <row r="216" spans="1:13">
      <c r="E216" s="21">
        <f t="shared" si="64"/>
        <v>216</v>
      </c>
      <c r="F216" s="9" t="s">
        <v>142</v>
      </c>
      <c r="M216" s="21">
        <v>18800</v>
      </c>
    </row>
    <row r="217" spans="1:13">
      <c r="E217" s="21">
        <f t="shared" si="64"/>
        <v>217</v>
      </c>
      <c r="F217" s="9" t="s">
        <v>126</v>
      </c>
      <c r="M217" s="21">
        <v>0</v>
      </c>
    </row>
    <row r="218" spans="1:13">
      <c r="E218" s="21">
        <f t="shared" si="64"/>
        <v>218</v>
      </c>
      <c r="F218" s="9" t="s">
        <v>142</v>
      </c>
      <c r="M218" s="21">
        <v>18810</v>
      </c>
    </row>
    <row r="219" spans="1:13">
      <c r="E219" s="21">
        <f t="shared" si="64"/>
        <v>219</v>
      </c>
      <c r="F219" s="9" t="s">
        <v>127</v>
      </c>
      <c r="M219" s="21">
        <v>0</v>
      </c>
    </row>
    <row r="220" spans="1:13">
      <c r="E220" s="21">
        <f t="shared" si="64"/>
        <v>220</v>
      </c>
      <c r="F220" s="9" t="s">
        <v>29</v>
      </c>
      <c r="M220" s="21" t="s">
        <v>251</v>
      </c>
    </row>
    <row r="221" spans="1:13">
      <c r="E221" s="21">
        <f t="shared" si="64"/>
        <v>221</v>
      </c>
      <c r="F221" s="9" t="s">
        <v>118</v>
      </c>
      <c r="M221" s="21" t="s">
        <v>249</v>
      </c>
    </row>
    <row r="222" spans="1:13">
      <c r="E222" s="21">
        <f t="shared" si="64"/>
        <v>222</v>
      </c>
      <c r="F222" s="9" t="s">
        <v>98</v>
      </c>
      <c r="K222" s="9" t="s">
        <v>137</v>
      </c>
      <c r="M222" s="21">
        <v>2</v>
      </c>
    </row>
    <row r="223" spans="1:13">
      <c r="E223" s="21">
        <f t="shared" si="64"/>
        <v>223</v>
      </c>
      <c r="F223" s="9" t="s">
        <v>30</v>
      </c>
      <c r="M223" s="21">
        <v>0</v>
      </c>
    </row>
    <row r="224" spans="1:13">
      <c r="E224" s="21">
        <f t="shared" si="64"/>
        <v>224</v>
      </c>
      <c r="F224" s="9" t="s">
        <v>115</v>
      </c>
      <c r="M224" s="21">
        <v>1</v>
      </c>
    </row>
    <row r="225" spans="1:13">
      <c r="E225" s="21">
        <f t="shared" si="64"/>
        <v>225</v>
      </c>
      <c r="F225" s="9" t="s">
        <v>31</v>
      </c>
      <c r="G225" s="21">
        <v>360</v>
      </c>
      <c r="L225" s="9" t="s">
        <v>134</v>
      </c>
      <c r="M225" s="21">
        <f t="shared" ref="M225" si="66">G225/G215*C214</f>
        <v>320</v>
      </c>
    </row>
    <row r="226" spans="1:13">
      <c r="E226" s="21">
        <f t="shared" si="64"/>
        <v>226</v>
      </c>
      <c r="F226" s="9" t="s">
        <v>114</v>
      </c>
      <c r="M226" s="21" t="b">
        <v>1</v>
      </c>
    </row>
    <row r="227" spans="1:13">
      <c r="A227" s="21" t="s">
        <v>227</v>
      </c>
      <c r="B227" s="21">
        <f t="shared" ref="B227:B252" si="67">QUOTIENT( D227-1,G228)+1</f>
        <v>1</v>
      </c>
      <c r="C227" s="21">
        <f t="shared" ref="C227:C252" si="68">D227-(B227-1)*G228</f>
        <v>17</v>
      </c>
      <c r="D227" s="21">
        <f>COUNT($D$18:$D226)+1</f>
        <v>17</v>
      </c>
    </row>
    <row r="228" spans="1:13">
      <c r="E228" s="21">
        <f t="shared" si="64"/>
        <v>228</v>
      </c>
      <c r="F228" s="9" t="s">
        <v>93</v>
      </c>
      <c r="G228" s="21">
        <v>18</v>
      </c>
      <c r="H228" s="21">
        <v>1</v>
      </c>
      <c r="J228" s="9" t="s">
        <v>252</v>
      </c>
      <c r="M228" s="21">
        <f t="shared" ref="M228:M252" si="69">J228+D227</f>
        <v>19017</v>
      </c>
    </row>
    <row r="229" spans="1:13">
      <c r="E229" s="21">
        <f t="shared" si="64"/>
        <v>229</v>
      </c>
      <c r="F229" s="9" t="s">
        <v>142</v>
      </c>
      <c r="M229" s="21">
        <v>18800</v>
      </c>
    </row>
    <row r="230" spans="1:13">
      <c r="E230" s="21">
        <f t="shared" si="64"/>
        <v>230</v>
      </c>
      <c r="F230" s="9" t="s">
        <v>126</v>
      </c>
      <c r="M230" s="21">
        <v>0</v>
      </c>
    </row>
    <row r="231" spans="1:13">
      <c r="E231" s="21">
        <f t="shared" si="64"/>
        <v>231</v>
      </c>
      <c r="F231" s="9" t="s">
        <v>142</v>
      </c>
      <c r="M231" s="21">
        <v>18810</v>
      </c>
    </row>
    <row r="232" spans="1:13">
      <c r="E232" s="21">
        <f t="shared" si="64"/>
        <v>232</v>
      </c>
      <c r="F232" s="9" t="s">
        <v>127</v>
      </c>
      <c r="M232" s="21">
        <v>0</v>
      </c>
    </row>
    <row r="233" spans="1:13">
      <c r="E233" s="21">
        <f t="shared" si="64"/>
        <v>233</v>
      </c>
      <c r="F233" s="9" t="s">
        <v>29</v>
      </c>
      <c r="M233" s="21" t="s">
        <v>251</v>
      </c>
    </row>
    <row r="234" spans="1:13">
      <c r="E234" s="21">
        <f t="shared" si="64"/>
        <v>234</v>
      </c>
      <c r="F234" s="9" t="s">
        <v>118</v>
      </c>
      <c r="M234" s="21" t="s">
        <v>249</v>
      </c>
    </row>
    <row r="235" spans="1:13">
      <c r="E235" s="21">
        <f t="shared" si="64"/>
        <v>235</v>
      </c>
      <c r="F235" s="9" t="s">
        <v>98</v>
      </c>
      <c r="K235" s="9" t="s">
        <v>137</v>
      </c>
      <c r="M235" s="21">
        <v>2</v>
      </c>
    </row>
    <row r="236" spans="1:13">
      <c r="E236" s="21">
        <f t="shared" si="64"/>
        <v>236</v>
      </c>
      <c r="F236" s="9" t="s">
        <v>30</v>
      </c>
      <c r="M236" s="21">
        <v>0</v>
      </c>
    </row>
    <row r="237" spans="1:13">
      <c r="E237" s="21">
        <f t="shared" si="64"/>
        <v>237</v>
      </c>
      <c r="F237" s="9" t="s">
        <v>115</v>
      </c>
      <c r="M237" s="21">
        <v>1</v>
      </c>
    </row>
    <row r="238" spans="1:13">
      <c r="E238" s="21">
        <f t="shared" si="64"/>
        <v>238</v>
      </c>
      <c r="F238" s="9" t="s">
        <v>31</v>
      </c>
      <c r="G238" s="21">
        <v>360</v>
      </c>
      <c r="L238" s="9" t="s">
        <v>134</v>
      </c>
      <c r="M238" s="21">
        <f t="shared" ref="M238" si="70">G238/G228*C227</f>
        <v>340</v>
      </c>
    </row>
    <row r="239" spans="1:13">
      <c r="E239" s="21">
        <f t="shared" si="64"/>
        <v>239</v>
      </c>
      <c r="F239" s="9" t="s">
        <v>114</v>
      </c>
      <c r="M239" s="21" t="b">
        <v>1</v>
      </c>
    </row>
    <row r="240" spans="1:13">
      <c r="A240" s="21" t="s">
        <v>227</v>
      </c>
      <c r="B240" s="21">
        <f t="shared" ref="B240:B252" si="71">QUOTIENT( D240-1,G241)+1</f>
        <v>1</v>
      </c>
      <c r="C240" s="21">
        <f t="shared" ref="C240:C252" si="72">D240-(B240-1)*G241</f>
        <v>18</v>
      </c>
      <c r="D240" s="21">
        <f>COUNT($D$18:$D239)+1</f>
        <v>18</v>
      </c>
    </row>
    <row r="241" spans="5:13">
      <c r="E241" s="21">
        <f t="shared" si="64"/>
        <v>241</v>
      </c>
      <c r="F241" s="9" t="s">
        <v>93</v>
      </c>
      <c r="G241" s="21">
        <v>18</v>
      </c>
      <c r="H241" s="21">
        <v>1</v>
      </c>
      <c r="J241" s="9" t="s">
        <v>252</v>
      </c>
      <c r="M241" s="21">
        <f t="shared" ref="M241:M252" si="73">J241+D240</f>
        <v>19018</v>
      </c>
    </row>
    <row r="242" spans="5:13">
      <c r="E242" s="21">
        <f t="shared" si="64"/>
        <v>242</v>
      </c>
      <c r="F242" s="9" t="s">
        <v>142</v>
      </c>
      <c r="M242" s="21">
        <v>18800</v>
      </c>
    </row>
    <row r="243" spans="5:13">
      <c r="E243" s="21">
        <f t="shared" si="64"/>
        <v>243</v>
      </c>
      <c r="F243" s="9" t="s">
        <v>126</v>
      </c>
      <c r="M243" s="21">
        <v>0</v>
      </c>
    </row>
    <row r="244" spans="5:13">
      <c r="E244" s="21">
        <f t="shared" si="64"/>
        <v>244</v>
      </c>
      <c r="F244" s="9" t="s">
        <v>142</v>
      </c>
      <c r="M244" s="21">
        <v>18810</v>
      </c>
    </row>
    <row r="245" spans="5:13">
      <c r="E245" s="21">
        <f t="shared" si="64"/>
        <v>245</v>
      </c>
      <c r="F245" s="9" t="s">
        <v>127</v>
      </c>
      <c r="M245" s="21">
        <v>0</v>
      </c>
    </row>
    <row r="246" spans="5:13">
      <c r="E246" s="21">
        <f t="shared" si="64"/>
        <v>246</v>
      </c>
      <c r="F246" s="9" t="s">
        <v>29</v>
      </c>
      <c r="M246" s="21" t="s">
        <v>251</v>
      </c>
    </row>
    <row r="247" spans="5:13">
      <c r="E247" s="21">
        <f t="shared" si="64"/>
        <v>247</v>
      </c>
      <c r="F247" s="9" t="s">
        <v>118</v>
      </c>
      <c r="M247" s="21" t="s">
        <v>249</v>
      </c>
    </row>
    <row r="248" spans="5:13">
      <c r="E248" s="21">
        <f t="shared" si="64"/>
        <v>248</v>
      </c>
      <c r="F248" s="9" t="s">
        <v>98</v>
      </c>
      <c r="K248" s="9" t="s">
        <v>137</v>
      </c>
      <c r="M248" s="21">
        <v>2</v>
      </c>
    </row>
    <row r="249" spans="5:13">
      <c r="E249" s="21">
        <f t="shared" si="64"/>
        <v>249</v>
      </c>
      <c r="F249" s="9" t="s">
        <v>30</v>
      </c>
      <c r="M249" s="21">
        <v>0</v>
      </c>
    </row>
    <row r="250" spans="5:13">
      <c r="E250" s="21">
        <f t="shared" si="64"/>
        <v>250</v>
      </c>
      <c r="F250" s="9" t="s">
        <v>115</v>
      </c>
      <c r="M250" s="21">
        <v>1</v>
      </c>
    </row>
    <row r="251" spans="5:13">
      <c r="E251" s="21">
        <f t="shared" si="64"/>
        <v>251</v>
      </c>
      <c r="F251" s="9" t="s">
        <v>31</v>
      </c>
      <c r="G251" s="21">
        <v>360</v>
      </c>
      <c r="L251" s="9" t="s">
        <v>134</v>
      </c>
      <c r="M251" s="21">
        <f t="shared" ref="M251" si="74">G251/G241*C240</f>
        <v>360</v>
      </c>
    </row>
    <row r="252" spans="5:13">
      <c r="E252" s="21">
        <f t="shared" si="64"/>
        <v>252</v>
      </c>
      <c r="F252" s="9" t="s">
        <v>114</v>
      </c>
      <c r="M252" s="21" t="b">
        <v>1</v>
      </c>
    </row>
  </sheetData>
  <phoneticPr fontId="2" type="noConversion"/>
  <conditionalFormatting sqref="BE1:XFD1 E1:I1">
    <cfRule type="duplicateValues" dxfId="54" priority="1884"/>
  </conditionalFormatting>
  <conditionalFormatting sqref="F1:F2">
    <cfRule type="cellIs" dxfId="53" priority="1385" operator="equal">
      <formula>"ID"</formula>
    </cfRule>
    <cfRule type="cellIs" dxfId="52" priority="1800" operator="equal">
      <formula>"行動序號"</formula>
    </cfRule>
  </conditionalFormatting>
  <conditionalFormatting sqref="J1">
    <cfRule type="duplicateValues" dxfId="51" priority="1383"/>
  </conditionalFormatting>
  <conditionalFormatting sqref="K1:L1">
    <cfRule type="duplicateValues" dxfId="50" priority="1380"/>
  </conditionalFormatting>
  <conditionalFormatting sqref="M1:M2 M5:M20 M25:M1048576">
    <cfRule type="expression" dxfId="49" priority="995">
      <formula>_xlfn.ISFORMULA(M1)</formula>
    </cfRule>
  </conditionalFormatting>
  <conditionalFormatting sqref="N1:BD1">
    <cfRule type="duplicateValues" dxfId="48" priority="1900"/>
  </conditionalFormatting>
  <conditionalFormatting sqref="F1:F2 F5:F20 F25:F1048576">
    <cfRule type="cellIs" dxfId="47" priority="98" operator="equal">
      <formula>"ID"</formula>
    </cfRule>
    <cfRule type="cellIs" dxfId="46" priority="99" operator="equal">
      <formula>"行動ID"</formula>
    </cfRule>
  </conditionalFormatting>
  <conditionalFormatting sqref="M1:M2 M5:M20 M25:M1048576">
    <cfRule type="expression" dxfId="45" priority="59">
      <formula>AND(_xlfn.ISFORMULA(M1),OR($F1="行動ID", $F1="ID"))</formula>
    </cfRule>
    <cfRule type="expression" dxfId="44" priority="61">
      <formula>OR($F1="行動ID", $F1="ID")</formula>
    </cfRule>
  </conditionalFormatting>
  <conditionalFormatting sqref="M21:M24">
    <cfRule type="expression" dxfId="43" priority="5">
      <formula>_xlfn.ISFORMULA(M21)</formula>
    </cfRule>
  </conditionalFormatting>
  <conditionalFormatting sqref="F21:F24">
    <cfRule type="cellIs" dxfId="42" priority="3" operator="equal">
      <formula>"ID"</formula>
    </cfRule>
    <cfRule type="cellIs" dxfId="41" priority="4" operator="equal">
      <formula>"行動ID"</formula>
    </cfRule>
  </conditionalFormatting>
  <conditionalFormatting sqref="M21:M24">
    <cfRule type="expression" dxfId="40" priority="1">
      <formula>AND(_xlfn.ISFORMULA(M21),OR($F21="行動ID", $F21="ID"))</formula>
    </cfRule>
    <cfRule type="expression" dxfId="39" priority="2">
      <formula>OR($F21="行動ID", $F21="ID")</formula>
    </cfRule>
  </conditionalFormatting>
  <dataValidations count="1">
    <dataValidation type="list" allowBlank="1" showInputMessage="1" showErrorMessage="1" sqref="L4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stage7_card10shot4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2025-04-24T13:34:58Z</dcterms:modified>
</cp:coreProperties>
</file>