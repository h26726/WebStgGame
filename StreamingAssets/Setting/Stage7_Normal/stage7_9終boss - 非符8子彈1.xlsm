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5EBDDB6B-E13F-4DC7-9B58-12D7BCF851D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8shot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7" i="1" l="1"/>
  <c r="E41" i="1" l="1"/>
  <c r="E48" i="1"/>
  <c r="E47" i="1"/>
  <c r="E67" i="1"/>
  <c r="E68" i="1"/>
  <c r="M62" i="1"/>
  <c r="E69" i="1"/>
  <c r="E66" i="1"/>
  <c r="E65" i="1"/>
  <c r="E64" i="1"/>
  <c r="E63" i="1"/>
  <c r="E62" i="1"/>
  <c r="E61" i="1"/>
  <c r="E53" i="1"/>
  <c r="M54" i="1"/>
  <c r="M63" i="1" s="1"/>
  <c r="E60" i="1"/>
  <c r="E58" i="1"/>
  <c r="E57" i="1"/>
  <c r="E56" i="1"/>
  <c r="E55" i="1"/>
  <c r="E54" i="1"/>
  <c r="M45" i="1"/>
  <c r="M44" i="1"/>
  <c r="M55" i="1" s="1"/>
  <c r="E46" i="1"/>
  <c r="E45" i="1"/>
  <c r="E44" i="1"/>
  <c r="E52" i="1"/>
  <c r="E51" i="1"/>
  <c r="E40" i="1"/>
  <c r="E42" i="1"/>
  <c r="E43" i="1"/>
  <c r="D34" i="1"/>
  <c r="E49" i="1"/>
  <c r="E50" i="1"/>
  <c r="E39" i="1"/>
  <c r="E38" i="1"/>
  <c r="E37" i="1"/>
  <c r="E36" i="1"/>
  <c r="E35" i="1"/>
  <c r="A33" i="1"/>
  <c r="E29" i="1" l="1"/>
  <c r="E28" i="1" l="1"/>
  <c r="E27" i="1"/>
  <c r="E26" i="1"/>
  <c r="E25" i="1"/>
  <c r="E24" i="1"/>
  <c r="D23" i="1"/>
  <c r="A22" i="1"/>
  <c r="B34" i="1" l="1"/>
  <c r="C34" i="1" s="1"/>
  <c r="B23" i="1"/>
  <c r="C23" i="1" l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sharedStrings.xml><?xml version="1.0" encoding="utf-8"?>
<sst xmlns="http://schemas.openxmlformats.org/spreadsheetml/2006/main" count="498" uniqueCount="256">
  <si>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</si>
  <si>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</si>
  <si>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</si>
  <si>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</si>
  <si>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</si>
  <si>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</si>
  <si>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</si>
  <si>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</si>
  <si>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</si>
  <si>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</si>
  <si>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</si>
  <si>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</si>
  <si>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</si>
  <si>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</si>
  <si>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</si>
  <si>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</si>
  <si>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</si>
  <si>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</si>
  <si>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</si>
  <si>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</si>
  <si>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</si>
  <si>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</si>
  <si>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</si>
  <si>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</si>
  <si>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</si>
  <si>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</si>
  <si>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</si>
  <si>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</si>
  <si>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</si>
  <si>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</si>
  <si>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</si>
  <si>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</si>
  <si>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</si>
  <si>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</si>
  <si>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</si>
  <si>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</si>
  <si>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</si>
  <si>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</si>
  <si>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</si>
  <si>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</si>
  <si>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</si>
  <si>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</si>
  <si>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</si>
  <si>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</si>
  <si>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</si>
  <si>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</si>
  <si>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</si>
  <si>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</si>
  <si>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</si>
  <si>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</si>
  <si>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</si>
  <si>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</si>
  <si>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</si>
  <si>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</si>
  <si>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</si>
  <si>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</si>
  <si>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</si>
  <si>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</si>
  <si>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</si>
  <si>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</si>
  <si>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</si>
  <si>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</si>
  <si>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</si>
  <si>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</si>
  <si>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</si>
  <si>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</si>
  <si>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</si>
  <si>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</si>
  <si>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</si>
  <si>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</si>
  <si>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</si>
  <si>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</si>
  <si>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</si>
  <si>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</si>
  <si>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</si>
  <si>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</si>
  <si>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</si>
  <si>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</si>
  <si>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</si>
  <si>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</si>
  <si>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</si>
  <si>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</si>
  <si>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</si>
  <si>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</si>
  <si>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</si>
  <si>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</si>
  <si>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</si>
  <si>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</si>
  <si>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</si>
  <si>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</si>
  <si>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</si>
  <si>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</si>
  <si>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</si>
  <si>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</si>
  <si>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</si>
  <si>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</si>
  <si>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</si>
  <si>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</si>
  <si>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</si>
  <si>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</si>
  <si>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</si>
  <si>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</si>
  <si>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</si>
  <si>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</si>
  <si>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</si>
  <si>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</si>
  <si>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</si>
  <si>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</si>
  <si>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</si>
  <si>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</si>
  <si>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</si>
  <si>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</si>
  <si>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</si>
  <si>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</si>
  <si>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</si>
  <si>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</si>
  <si>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</si>
  <si>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</si>
  <si>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</si>
  <si>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</si>
  <si>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</si>
  <si>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</si>
  <si>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</si>
  <si>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</si>
  <si>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</si>
  <si>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</si>
  <si>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</si>
  <si>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</si>
  <si>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</si>
  <si>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</si>
  <si>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</si>
  <si>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</si>
  <si>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</si>
  <si>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</si>
  <si>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</si>
  <si>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</si>
  <si>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</si>
  <si>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</si>
  <si>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</si>
  <si>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</si>
  <si>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</si>
  <si>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</si>
  <si>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</si>
  <si>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</si>
  <si>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</si>
  <si>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</si>
  <si>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</si>
  <si>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</si>
  <si>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</si>
  <si>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</si>
  <si>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</si>
  <si>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</si>
  <si>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</si>
  <si>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</si>
  <si>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</si>
  <si>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</si>
  <si>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</si>
  <si>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</si>
  <si>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</si>
  <si>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</si>
  <si>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</si>
  <si>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</si>
  <si>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</si>
  <si>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</si>
  <si>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</si>
  <si>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</si>
  <si>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</si>
  <si>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</si>
  <si>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</si>
  <si>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</si>
  <si>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</si>
  <si>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</si>
  <si>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</si>
  <si>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</si>
  <si>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</si>
  <si>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</si>
  <si>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</si>
  <si>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</si>
  <si>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</si>
  <si>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</si>
  <si>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</si>
  <si>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</si>
  <si>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</si>
  <si>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</si>
  <si>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</si>
  <si>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</si>
  <si>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</si>
  <si>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</si>
  <si>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</si>
  <si>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</si>
  <si>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</si>
  <si>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</si>
  <si>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</si>
  <si>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</si>
  <si>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</si>
  <si>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</si>
  <si>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</si>
  <si>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</si>
  <si>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</si>
  <si>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</si>
  <si>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</si>
  <si>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</si>
  <si>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</si>
  <si>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</si>
  <si>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</si>
  <si>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</si>
  <si>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</si>
  <si>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</si>
  <si>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</si>
  <si>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</si>
  <si>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</si>
  <si>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</si>
  <si>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</si>
  <si>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</si>
  <si>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</si>
  <si>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</si>
  <si>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</si>
  <si>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</si>
  <si>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</si>
  <si>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</si>
  <si>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</si>
  <si>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</si>
  <si>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</si>
  <si>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</si>
  <si>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</si>
  <si>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</si>
  <si>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</si>
  <si>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</si>
  <si>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</si>
  <si>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</si>
  <si>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</si>
  <si>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</si>
  <si>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</si>
  <si>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</si>
  <si>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</si>
  <si>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</si>
  <si>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</si>
  <si>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</si>
  <si>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</si>
  <si>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</si>
  <si>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</si>
  <si>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</si>
  <si>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</si>
  <si>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</si>
  <si>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</si>
  <si>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</si>
  <si>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</si>
  <si>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</si>
  <si>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360</t>
    <phoneticPr fontId="2" type="noConversion"/>
  </si>
  <si>
    <t>EnemyShot3</t>
    <phoneticPr fontId="2" type="noConversion"/>
  </si>
  <si>
    <t>Shot3_purple</t>
  </si>
  <si>
    <t>Empty</t>
    <phoneticPr fontId="2" type="noConversion"/>
  </si>
  <si>
    <t>Shot3_red</t>
    <phoneticPr fontId="2" type="noConversion"/>
  </si>
  <si>
    <t>Shot3_black</t>
    <phoneticPr fontId="2" type="noConversion"/>
  </si>
  <si>
    <t>子加旋轉角度</t>
  </si>
  <si>
    <t>0,4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</si>
</sst>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69"/>
  <sheetViews>
    <sheetView tabSelected="1" zoomScale="115" zoomScaleNormal="115" workbookViewId="0">
      <pane ySplit="1" topLeftCell="A49" activePane="bottomLeft" state="frozen"/>
      <selection pane="bottomLeft" activeCell="N58" sqref="N58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  <c r="M17" s="21" t="s">
        <v>249</v>
      </c>
    </row>
    <row r="18" spans="1:60">
      <c r="A18" s="9"/>
      <c r="B18" s="9"/>
      <c r="M18" s="21" t="s">
        <v>250</v>
      </c>
      <c r="R18" s="12"/>
      <c r="S18" s="9"/>
      <c r="U18" s="12"/>
      <c r="X18" s="15"/>
      <c r="AE18" s="16"/>
      <c r="BH18" s="9"/>
    </row>
    <row r="22" spans="1:60">
      <c r="A22" s="21">
        <f>G24*H24</f>
        <v>1</v>
      </c>
      <c r="B22" s="9"/>
      <c r="C22" s="9"/>
      <c r="D22" s="9"/>
      <c r="R22" s="12"/>
      <c r="S22" s="9"/>
      <c r="U22" s="12"/>
      <c r="X22" s="15"/>
      <c r="AE22" s="16"/>
      <c r="BH22" s="9"/>
    </row>
    <row r="23" spans="1:60">
      <c r="A23" s="9" t="s">
        <v>228</v>
      </c>
      <c r="B23" s="21">
        <f>QUOTIENT( D23-1,G24)+1</f>
        <v>1</v>
      </c>
      <c r="C23" s="21">
        <f>D23-(B23-1)*G24</f>
        <v>1</v>
      </c>
      <c r="D23" s="21">
        <f>COUNT($D$14:$D22)+1</f>
        <v>1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>ROW(E24)</f>
        <v>24</v>
      </c>
      <c r="F24" s="9" t="s">
        <v>93</v>
      </c>
      <c r="G24" s="21">
        <v>1</v>
      </c>
      <c r="H24" s="21">
        <v>1</v>
      </c>
      <c r="J24" s="21"/>
      <c r="M24" s="21">
        <v>17100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ref="E25:E29" si="0">ROW(E25)</f>
        <v>25</v>
      </c>
      <c r="F25" s="9" t="s">
        <v>143</v>
      </c>
      <c r="M25" s="21">
        <v>17010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128</v>
      </c>
      <c r="M26" s="27">
        <v>0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96</v>
      </c>
      <c r="M27" s="21" t="s">
        <v>251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99</v>
      </c>
      <c r="G28" s="26"/>
      <c r="H28" s="28"/>
      <c r="I28" s="27"/>
      <c r="J28" s="27"/>
      <c r="K28" s="9" t="s">
        <v>138</v>
      </c>
      <c r="M28" s="27">
        <v>5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 t="shared" si="0"/>
        <v>29</v>
      </c>
      <c r="F29" s="9" t="s">
        <v>254</v>
      </c>
      <c r="G29" s="9" t="s">
        <v>248</v>
      </c>
      <c r="H29" s="9"/>
      <c r="I29" s="9"/>
      <c r="L29" s="9" t="s">
        <v>135</v>
      </c>
      <c r="M29" s="27">
        <v>150</v>
      </c>
      <c r="R29" s="12"/>
      <c r="S29" s="9"/>
      <c r="U29" s="12"/>
      <c r="X29" s="15"/>
      <c r="AE29" s="16"/>
      <c r="BH29" s="9"/>
    </row>
    <row r="33" spans="1:60">
      <c r="A33" s="21">
        <f>G35*H35</f>
        <v>1</v>
      </c>
      <c r="B33" s="9"/>
      <c r="C33" s="9"/>
      <c r="D33" s="9"/>
      <c r="R33" s="12"/>
      <c r="S33" s="9"/>
      <c r="U33" s="12"/>
      <c r="X33" s="15"/>
      <c r="AE33" s="16"/>
      <c r="BH33" s="9"/>
    </row>
    <row r="34" spans="1:60">
      <c r="A34" s="9" t="s">
        <v>228</v>
      </c>
      <c r="B34" s="21">
        <f>QUOTIENT( D34-1,G35)+1</f>
        <v>1</v>
      </c>
      <c r="C34" s="21">
        <f>D34-(B34-1)*G35</f>
        <v>1</v>
      </c>
      <c r="D34" s="21">
        <f>COUNT($D$33:$D33)+1</f>
        <v>1</v>
      </c>
      <c r="R34" s="12"/>
      <c r="S34" s="9"/>
      <c r="U34" s="12"/>
      <c r="X34" s="15"/>
      <c r="AE34" s="16"/>
      <c r="BH34" s="9"/>
    </row>
    <row r="35" spans="1:60">
      <c r="A35" s="9"/>
      <c r="B35" s="9"/>
      <c r="E35" s="21">
        <f>ROW(E35)</f>
        <v>35</v>
      </c>
      <c r="F35" s="9" t="s">
        <v>93</v>
      </c>
      <c r="G35" s="21">
        <v>1</v>
      </c>
      <c r="H35" s="21">
        <v>1</v>
      </c>
      <c r="J35" s="21"/>
      <c r="M35" s="21">
        <v>17101</v>
      </c>
      <c r="R35" s="12"/>
      <c r="S35" s="9"/>
      <c r="U35" s="12"/>
      <c r="X35" s="15"/>
      <c r="AE35" s="16"/>
      <c r="BH35" s="9"/>
    </row>
    <row r="36" spans="1:60">
      <c r="A36" s="9"/>
      <c r="B36" s="9"/>
      <c r="E36" s="21">
        <f t="shared" ref="E36:E64" si="1">ROW(E36)</f>
        <v>36</v>
      </c>
      <c r="F36" s="9" t="s">
        <v>143</v>
      </c>
      <c r="M36" s="21">
        <v>17100</v>
      </c>
      <c r="R36" s="12"/>
      <c r="S36" s="9"/>
      <c r="U36" s="12"/>
      <c r="X36" s="15"/>
      <c r="AE36" s="16"/>
      <c r="BH36" s="9"/>
    </row>
    <row r="37" spans="1:60">
      <c r="A37" s="9"/>
      <c r="B37" s="9"/>
      <c r="E37" s="21">
        <f t="shared" si="1"/>
        <v>37</v>
      </c>
      <c r="F37" s="9" t="s">
        <v>127</v>
      </c>
      <c r="M37" s="27">
        <v>0</v>
      </c>
      <c r="R37" s="12"/>
      <c r="S37" s="9"/>
      <c r="U37" s="12"/>
      <c r="X37" s="15"/>
      <c r="AE37" s="16"/>
      <c r="BH37" s="9"/>
    </row>
    <row r="38" spans="1:60">
      <c r="A38" s="9"/>
      <c r="B38" s="9"/>
      <c r="E38" s="21">
        <f t="shared" si="1"/>
        <v>38</v>
      </c>
      <c r="F38" s="9" t="s">
        <v>96</v>
      </c>
      <c r="M38" s="21" t="s">
        <v>249</v>
      </c>
      <c r="R38" s="12"/>
      <c r="S38" s="9"/>
      <c r="U38" s="12"/>
      <c r="X38" s="15"/>
      <c r="AE38" s="16"/>
      <c r="BH38" s="9"/>
    </row>
    <row r="39" spans="1:60">
      <c r="A39" s="9"/>
      <c r="B39" s="9"/>
      <c r="E39" s="21">
        <f t="shared" si="1"/>
        <v>39</v>
      </c>
      <c r="F39" s="9" t="s">
        <v>99</v>
      </c>
      <c r="G39" s="26"/>
      <c r="H39" s="28"/>
      <c r="I39" s="27"/>
      <c r="J39" s="27"/>
      <c r="K39" s="9" t="s">
        <v>137</v>
      </c>
      <c r="M39" s="27" t="s">
        <v>255</v>
      </c>
      <c r="R39" s="12"/>
      <c r="S39" s="9"/>
      <c r="U39" s="12"/>
      <c r="X39" s="15"/>
      <c r="AE39" s="16"/>
      <c r="BH39" s="9"/>
    </row>
    <row r="40" spans="1:60">
      <c r="A40" s="9"/>
      <c r="B40" s="9"/>
      <c r="E40" s="21">
        <f t="shared" si="1"/>
        <v>40</v>
      </c>
      <c r="F40" s="9" t="s">
        <v>117</v>
      </c>
      <c r="G40" s="26"/>
      <c r="H40" s="28"/>
      <c r="I40" s="27"/>
      <c r="J40" s="27"/>
      <c r="K40" s="9" t="s">
        <v>138</v>
      </c>
      <c r="M40" s="27">
        <v>2</v>
      </c>
      <c r="R40" s="12"/>
      <c r="S40" s="9"/>
      <c r="U40" s="12"/>
      <c r="X40" s="15"/>
      <c r="AE40" s="16"/>
      <c r="BH40" s="9"/>
    </row>
    <row r="41" spans="1:60">
      <c r="A41" s="9"/>
      <c r="B41" s="9"/>
      <c r="E41" s="21">
        <f t="shared" si="1"/>
        <v>41</v>
      </c>
      <c r="F41" s="9" t="s">
        <v>118</v>
      </c>
      <c r="M41" s="21" t="b">
        <v>1</v>
      </c>
      <c r="R41" s="12"/>
      <c r="S41" s="9"/>
      <c r="U41" s="12"/>
      <c r="X41" s="15"/>
      <c r="AE41" s="16"/>
      <c r="BH41" s="9"/>
    </row>
    <row r="42" spans="1:60">
      <c r="A42" s="9"/>
      <c r="B42" s="9"/>
      <c r="E42" s="21">
        <f t="shared" si="1"/>
        <v>42</v>
      </c>
      <c r="F42" s="9" t="s">
        <v>195</v>
      </c>
      <c r="G42" s="26"/>
      <c r="H42" s="28"/>
      <c r="I42" s="27"/>
      <c r="J42" s="27"/>
      <c r="M42" s="27">
        <v>0.5</v>
      </c>
      <c r="R42" s="12"/>
      <c r="S42" s="9"/>
      <c r="U42" s="12"/>
      <c r="X42" s="15"/>
      <c r="AE42" s="16"/>
      <c r="BH42" s="9"/>
    </row>
    <row r="43" spans="1:60">
      <c r="A43" s="9"/>
      <c r="B43" s="9"/>
      <c r="E43" s="21">
        <f t="shared" si="1"/>
        <v>43</v>
      </c>
      <c r="F43" s="9" t="s">
        <v>197</v>
      </c>
      <c r="G43" s="26"/>
      <c r="H43" s="28"/>
      <c r="I43" s="27"/>
      <c r="J43" s="27"/>
      <c r="M43" s="27">
        <v>40</v>
      </c>
      <c r="R43" s="12"/>
      <c r="S43" s="9"/>
      <c r="U43" s="12"/>
      <c r="X43" s="15"/>
      <c r="AE43" s="16"/>
      <c r="BH43" s="9"/>
    </row>
    <row r="44" spans="1:60">
      <c r="A44" s="9"/>
      <c r="B44" s="9"/>
      <c r="E44" s="21">
        <f>ROW(E44)</f>
        <v>44</v>
      </c>
      <c r="F44" s="9" t="s">
        <v>102</v>
      </c>
      <c r="J44" s="21"/>
      <c r="M44" s="21">
        <f>M35*10+1</f>
        <v>171011</v>
      </c>
      <c r="R44" s="12"/>
      <c r="S44" s="9"/>
      <c r="U44" s="12"/>
      <c r="X44" s="15"/>
      <c r="AE44" s="16"/>
      <c r="BH44" s="9"/>
    </row>
    <row r="45" spans="1:60">
      <c r="A45" s="9"/>
      <c r="B45" s="9"/>
      <c r="E45" s="21">
        <f t="shared" si="1"/>
        <v>45</v>
      </c>
      <c r="F45" s="9" t="s">
        <v>143</v>
      </c>
      <c r="M45" s="21">
        <f>M35</f>
        <v>17101</v>
      </c>
      <c r="R45" s="12"/>
      <c r="S45" s="9"/>
      <c r="U45" s="12"/>
      <c r="X45" s="15"/>
      <c r="AE45" s="16"/>
      <c r="BH45" s="9"/>
    </row>
    <row r="46" spans="1:60">
      <c r="A46" s="9"/>
      <c r="B46" s="9"/>
      <c r="E46" s="21">
        <f t="shared" si="1"/>
        <v>46</v>
      </c>
      <c r="F46" s="9" t="s">
        <v>127</v>
      </c>
      <c r="M46" s="27">
        <v>0</v>
      </c>
      <c r="R46" s="12"/>
      <c r="S46" s="9"/>
      <c r="U46" s="12"/>
      <c r="X46" s="15"/>
      <c r="AE46" s="16"/>
      <c r="BH46" s="9"/>
    </row>
    <row r="47" spans="1:60">
      <c r="A47" s="9"/>
      <c r="B47" s="9"/>
      <c r="E47" s="21">
        <f t="shared" si="1"/>
        <v>47</v>
      </c>
      <c r="F47" s="9" t="s">
        <v>143</v>
      </c>
      <c r="M47" s="21">
        <f>M62</f>
        <v>171013</v>
      </c>
      <c r="R47" s="12"/>
      <c r="S47" s="9"/>
      <c r="U47" s="12"/>
      <c r="X47" s="15"/>
      <c r="AE47" s="16"/>
      <c r="BH47" s="9"/>
    </row>
    <row r="48" spans="1:60">
      <c r="A48" s="9"/>
      <c r="B48" s="9"/>
      <c r="E48" s="21">
        <f t="shared" si="1"/>
        <v>48</v>
      </c>
      <c r="F48" s="9" t="s">
        <v>128</v>
      </c>
      <c r="M48" s="27">
        <v>0</v>
      </c>
      <c r="R48" s="12"/>
      <c r="S48" s="9"/>
      <c r="U48" s="12"/>
      <c r="X48" s="15"/>
      <c r="AE48" s="16"/>
      <c r="BH48" s="9"/>
    </row>
    <row r="49" spans="3:59" s="9" customFormat="1">
      <c r="C49" s="21"/>
      <c r="D49" s="21"/>
      <c r="E49" s="21">
        <f t="shared" ref="E49:E54" si="2">ROW(E49)</f>
        <v>49</v>
      </c>
      <c r="F49" s="9" t="s">
        <v>119</v>
      </c>
      <c r="G49" s="21"/>
      <c r="H49" s="21"/>
      <c r="I49" s="21"/>
      <c r="M49" s="21" t="s">
        <v>250</v>
      </c>
      <c r="R49" s="12"/>
      <c r="U49" s="12"/>
      <c r="V49" s="12"/>
      <c r="W49" s="12"/>
      <c r="X49" s="15"/>
      <c r="Y49" s="15"/>
      <c r="Z49" s="15"/>
      <c r="AA49" s="15"/>
      <c r="AB49" s="15"/>
      <c r="AC49" s="15"/>
      <c r="AD49" s="15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</row>
    <row r="50" spans="3:59" s="9" customFormat="1">
      <c r="C50" s="21"/>
      <c r="D50" s="21"/>
      <c r="E50" s="21">
        <f t="shared" si="2"/>
        <v>50</v>
      </c>
      <c r="F50" s="9" t="s">
        <v>114</v>
      </c>
      <c r="L50" s="9" t="s">
        <v>135</v>
      </c>
      <c r="M50" s="27">
        <v>360</v>
      </c>
      <c r="R50" s="12"/>
      <c r="U50" s="12"/>
      <c r="V50" s="12"/>
      <c r="W50" s="12"/>
      <c r="X50" s="15"/>
      <c r="Y50" s="15"/>
      <c r="Z50" s="15"/>
      <c r="AA50" s="15"/>
      <c r="AB50" s="15"/>
      <c r="AC50" s="15"/>
      <c r="AD50" s="15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</row>
    <row r="51" spans="3:59" s="9" customFormat="1">
      <c r="C51" s="21"/>
      <c r="D51" s="21"/>
      <c r="E51" s="21">
        <f t="shared" si="2"/>
        <v>51</v>
      </c>
      <c r="F51" s="9" t="s">
        <v>31</v>
      </c>
      <c r="L51" s="9" t="s">
        <v>135</v>
      </c>
      <c r="M51" s="27">
        <v>270</v>
      </c>
      <c r="R51" s="12"/>
      <c r="U51" s="12"/>
      <c r="V51" s="12"/>
      <c r="W51" s="12"/>
      <c r="X51" s="15"/>
      <c r="Y51" s="15"/>
      <c r="Z51" s="15"/>
      <c r="AA51" s="15"/>
      <c r="AB51" s="15"/>
      <c r="AC51" s="15"/>
      <c r="AD51" s="15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</row>
    <row r="52" spans="3:59" s="9" customFormat="1">
      <c r="C52" s="21"/>
      <c r="D52" s="21"/>
      <c r="E52" s="21">
        <f t="shared" si="2"/>
        <v>52</v>
      </c>
      <c r="F52" s="9" t="s">
        <v>30</v>
      </c>
      <c r="M52" s="27">
        <v>0.4</v>
      </c>
      <c r="R52" s="12"/>
      <c r="U52" s="12"/>
      <c r="V52" s="12"/>
      <c r="W52" s="12"/>
      <c r="X52" s="15"/>
      <c r="Y52" s="15"/>
      <c r="Z52" s="15"/>
      <c r="AA52" s="15"/>
      <c r="AB52" s="15"/>
      <c r="AC52" s="15"/>
      <c r="AD52" s="15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</row>
    <row r="53" spans="3:59" s="9" customFormat="1">
      <c r="C53" s="21"/>
      <c r="D53" s="21"/>
      <c r="E53" s="21">
        <f t="shared" si="2"/>
        <v>53</v>
      </c>
      <c r="F53" s="9" t="s">
        <v>35</v>
      </c>
      <c r="M53" s="27">
        <v>600</v>
      </c>
      <c r="R53" s="12"/>
      <c r="U53" s="12"/>
      <c r="V53" s="12"/>
      <c r="W53" s="12"/>
      <c r="X53" s="15"/>
      <c r="Y53" s="15"/>
      <c r="Z53" s="15"/>
      <c r="AA53" s="15"/>
      <c r="AB53" s="15"/>
      <c r="AC53" s="15"/>
      <c r="AD53" s="15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</row>
    <row r="54" spans="3:59" s="9" customFormat="1">
      <c r="C54" s="21"/>
      <c r="D54" s="21"/>
      <c r="E54" s="21">
        <f t="shared" si="2"/>
        <v>54</v>
      </c>
      <c r="F54" s="9" t="s">
        <v>102</v>
      </c>
      <c r="G54" s="21"/>
      <c r="H54" s="21"/>
      <c r="I54" s="21"/>
      <c r="J54" s="21"/>
      <c r="M54" s="21">
        <f>M35*10+2</f>
        <v>171012</v>
      </c>
      <c r="R54" s="12"/>
      <c r="U54" s="12"/>
      <c r="V54" s="12"/>
      <c r="W54" s="12"/>
      <c r="X54" s="15"/>
      <c r="Y54" s="15"/>
      <c r="Z54" s="15"/>
      <c r="AA54" s="15"/>
      <c r="AB54" s="15"/>
      <c r="AC54" s="15"/>
      <c r="AD54" s="15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</row>
    <row r="55" spans="3:59" s="9" customFormat="1">
      <c r="C55" s="21"/>
      <c r="D55" s="21"/>
      <c r="E55" s="21">
        <f t="shared" si="1"/>
        <v>55</v>
      </c>
      <c r="F55" s="9" t="s">
        <v>143</v>
      </c>
      <c r="G55" s="21"/>
      <c r="H55" s="21"/>
      <c r="I55" s="21"/>
      <c r="M55" s="21">
        <f>M44</f>
        <v>171011</v>
      </c>
      <c r="R55" s="12"/>
      <c r="U55" s="12"/>
      <c r="V55" s="12"/>
      <c r="W55" s="12"/>
      <c r="X55" s="15"/>
      <c r="Y55" s="15"/>
      <c r="Z55" s="15"/>
      <c r="AA55" s="15"/>
      <c r="AB55" s="15"/>
      <c r="AC55" s="15"/>
      <c r="AD55" s="15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</row>
    <row r="56" spans="3:59" s="9" customFormat="1">
      <c r="C56" s="21"/>
      <c r="D56" s="21"/>
      <c r="E56" s="21">
        <f t="shared" si="1"/>
        <v>56</v>
      </c>
      <c r="F56" s="9" t="s">
        <v>128</v>
      </c>
      <c r="G56" s="21"/>
      <c r="H56" s="21"/>
      <c r="I56" s="21"/>
      <c r="M56" s="27">
        <v>0</v>
      </c>
      <c r="R56" s="12"/>
      <c r="U56" s="12"/>
      <c r="V56" s="12"/>
      <c r="W56" s="12"/>
      <c r="X56" s="15"/>
      <c r="Y56" s="15"/>
      <c r="Z56" s="15"/>
      <c r="AA56" s="15"/>
      <c r="AB56" s="15"/>
      <c r="AC56" s="15"/>
      <c r="AD56" s="15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</row>
    <row r="57" spans="3:59" s="9" customFormat="1">
      <c r="C57" s="21"/>
      <c r="D57" s="21"/>
      <c r="E57" s="21">
        <f>ROW(E57)</f>
        <v>57</v>
      </c>
      <c r="F57" s="9" t="s">
        <v>119</v>
      </c>
      <c r="G57" s="21"/>
      <c r="H57" s="21"/>
      <c r="I57" s="21"/>
      <c r="M57" s="21" t="s">
        <v>253</v>
      </c>
      <c r="R57" s="12"/>
      <c r="U57" s="12"/>
      <c r="V57" s="12"/>
      <c r="W57" s="12"/>
      <c r="X57" s="15"/>
      <c r="Y57" s="15"/>
      <c r="Z57" s="15"/>
      <c r="AA57" s="15"/>
      <c r="AB57" s="15"/>
      <c r="AC57" s="15"/>
      <c r="AD57" s="15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</row>
    <row r="58" spans="3:59" s="9" customFormat="1">
      <c r="C58" s="21"/>
      <c r="D58" s="21"/>
      <c r="E58" s="21">
        <f>ROW(E58)</f>
        <v>58</v>
      </c>
      <c r="F58" s="9" t="s">
        <v>114</v>
      </c>
      <c r="L58" s="9" t="s">
        <v>135</v>
      </c>
      <c r="M58" s="27">
        <v>360</v>
      </c>
      <c r="R58" s="12"/>
      <c r="U58" s="12"/>
      <c r="V58" s="12"/>
      <c r="W58" s="12"/>
      <c r="X58" s="15"/>
      <c r="Y58" s="15"/>
      <c r="Z58" s="15"/>
      <c r="AA58" s="15"/>
      <c r="AB58" s="15"/>
      <c r="AC58" s="15"/>
      <c r="AD58" s="15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</row>
    <row r="59" spans="3:59" s="9" customFormat="1">
      <c r="C59" s="21"/>
      <c r="D59" s="21"/>
      <c r="E59" s="21"/>
      <c r="F59" s="9" t="s">
        <v>31</v>
      </c>
      <c r="L59" s="9" t="s">
        <v>135</v>
      </c>
      <c r="M59" s="27">
        <v>270</v>
      </c>
      <c r="R59" s="12"/>
      <c r="U59" s="12"/>
      <c r="V59" s="12"/>
      <c r="W59" s="12"/>
      <c r="X59" s="15"/>
      <c r="Y59" s="15"/>
      <c r="Z59" s="15"/>
      <c r="AA59" s="15"/>
      <c r="AB59" s="15"/>
      <c r="AC59" s="15"/>
      <c r="AD59" s="15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</row>
    <row r="60" spans="3:59" s="9" customFormat="1">
      <c r="C60" s="21"/>
      <c r="D60" s="21"/>
      <c r="E60" s="21">
        <f>ROW(E60)</f>
        <v>60</v>
      </c>
      <c r="F60" s="9" t="s">
        <v>30</v>
      </c>
      <c r="M60" s="27">
        <v>0</v>
      </c>
      <c r="R60" s="12"/>
      <c r="U60" s="12"/>
      <c r="V60" s="12"/>
      <c r="W60" s="12"/>
      <c r="X60" s="15"/>
      <c r="Y60" s="15"/>
      <c r="Z60" s="15"/>
      <c r="AA60" s="15"/>
      <c r="AB60" s="15"/>
      <c r="AC60" s="15"/>
      <c r="AD60" s="15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</row>
    <row r="61" spans="3:59" s="9" customFormat="1">
      <c r="C61" s="21"/>
      <c r="D61" s="21"/>
      <c r="E61" s="21">
        <f>ROW(E61)</f>
        <v>61</v>
      </c>
      <c r="F61" s="9" t="s">
        <v>35</v>
      </c>
      <c r="M61" s="27">
        <v>60</v>
      </c>
      <c r="R61" s="12"/>
      <c r="U61" s="12"/>
      <c r="V61" s="12"/>
      <c r="W61" s="12"/>
      <c r="X61" s="15"/>
      <c r="Y61" s="15"/>
      <c r="Z61" s="15"/>
      <c r="AA61" s="15"/>
      <c r="AB61" s="15"/>
      <c r="AC61" s="15"/>
      <c r="AD61" s="15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</row>
    <row r="62" spans="3:59" s="9" customFormat="1">
      <c r="C62" s="21"/>
      <c r="D62" s="21"/>
      <c r="E62" s="21">
        <f>ROW(E62)</f>
        <v>62</v>
      </c>
      <c r="F62" s="9" t="s">
        <v>102</v>
      </c>
      <c r="G62" s="21"/>
      <c r="H62" s="21"/>
      <c r="I62" s="21"/>
      <c r="J62" s="21"/>
      <c r="M62" s="21">
        <f>M35*10+3</f>
        <v>171013</v>
      </c>
      <c r="R62" s="12"/>
      <c r="U62" s="12"/>
      <c r="V62" s="12"/>
      <c r="W62" s="12"/>
      <c r="X62" s="15"/>
      <c r="Y62" s="15"/>
      <c r="Z62" s="15"/>
      <c r="AA62" s="15"/>
      <c r="AB62" s="15"/>
      <c r="AC62" s="15"/>
      <c r="AD62" s="15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</row>
    <row r="63" spans="3:59" s="9" customFormat="1">
      <c r="C63" s="21"/>
      <c r="D63" s="21"/>
      <c r="E63" s="21">
        <f t="shared" si="1"/>
        <v>63</v>
      </c>
      <c r="F63" s="9" t="s">
        <v>143</v>
      </c>
      <c r="G63" s="21"/>
      <c r="H63" s="21"/>
      <c r="I63" s="21"/>
      <c r="M63" s="21">
        <f>M54</f>
        <v>171012</v>
      </c>
      <c r="R63" s="12"/>
      <c r="U63" s="12"/>
      <c r="V63" s="12"/>
      <c r="W63" s="12"/>
      <c r="X63" s="15"/>
      <c r="Y63" s="15"/>
      <c r="Z63" s="15"/>
      <c r="AA63" s="15"/>
      <c r="AB63" s="15"/>
      <c r="AC63" s="15"/>
      <c r="AD63" s="15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</row>
    <row r="64" spans="3:59" s="9" customFormat="1">
      <c r="C64" s="21"/>
      <c r="D64" s="21"/>
      <c r="E64" s="21">
        <f t="shared" si="1"/>
        <v>64</v>
      </c>
      <c r="F64" s="9" t="s">
        <v>128</v>
      </c>
      <c r="G64" s="21"/>
      <c r="H64" s="21"/>
      <c r="I64" s="21"/>
      <c r="M64" s="27">
        <v>0</v>
      </c>
      <c r="R64" s="12"/>
      <c r="U64" s="12"/>
      <c r="V64" s="12"/>
      <c r="W64" s="12"/>
      <c r="X64" s="15"/>
      <c r="Y64" s="15"/>
      <c r="Z64" s="15"/>
      <c r="AA64" s="15"/>
      <c r="AB64" s="15"/>
      <c r="AC64" s="15"/>
      <c r="AD64" s="15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</row>
    <row r="65" spans="3:59" s="9" customFormat="1">
      <c r="C65" s="21"/>
      <c r="D65" s="21"/>
      <c r="E65" s="21">
        <f>ROW(E65)</f>
        <v>65</v>
      </c>
      <c r="F65" s="9" t="s">
        <v>119</v>
      </c>
      <c r="G65" s="21"/>
      <c r="H65" s="21"/>
      <c r="I65" s="21"/>
      <c r="M65" s="21" t="s">
        <v>252</v>
      </c>
      <c r="R65" s="12"/>
      <c r="U65" s="12"/>
      <c r="V65" s="12"/>
      <c r="W65" s="12"/>
      <c r="X65" s="15"/>
      <c r="Y65" s="15"/>
      <c r="Z65" s="15"/>
      <c r="AA65" s="15"/>
      <c r="AB65" s="15"/>
      <c r="AC65" s="15"/>
      <c r="AD65" s="15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</row>
    <row r="66" spans="3:59" s="9" customFormat="1">
      <c r="C66" s="21"/>
      <c r="D66" s="21"/>
      <c r="E66" s="21">
        <f>ROW(E66)</f>
        <v>66</v>
      </c>
      <c r="F66" s="9" t="s">
        <v>114</v>
      </c>
      <c r="L66" s="9" t="s">
        <v>135</v>
      </c>
      <c r="M66" s="27">
        <v>-360</v>
      </c>
      <c r="R66" s="12"/>
      <c r="U66" s="12"/>
      <c r="V66" s="12"/>
      <c r="W66" s="12"/>
      <c r="X66" s="15"/>
      <c r="Y66" s="15"/>
      <c r="Z66" s="15"/>
      <c r="AA66" s="15"/>
      <c r="AB66" s="15"/>
      <c r="AC66" s="15"/>
      <c r="AD66" s="15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</row>
    <row r="67" spans="3:59" s="9" customFormat="1">
      <c r="C67" s="21"/>
      <c r="D67" s="21"/>
      <c r="E67" s="21">
        <f t="shared" ref="E67:E68" si="3">ROW(E67)</f>
        <v>67</v>
      </c>
      <c r="F67" s="9" t="s">
        <v>31</v>
      </c>
      <c r="L67" s="9" t="s">
        <v>135</v>
      </c>
      <c r="M67" s="27">
        <v>90</v>
      </c>
      <c r="R67" s="12"/>
      <c r="U67" s="12"/>
      <c r="V67" s="12"/>
      <c r="W67" s="12"/>
      <c r="X67" s="15"/>
      <c r="Y67" s="15"/>
      <c r="Z67" s="15"/>
      <c r="AA67" s="15"/>
      <c r="AB67" s="15"/>
      <c r="AC67" s="15"/>
      <c r="AD67" s="15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</row>
    <row r="68" spans="3:59" s="9" customFormat="1">
      <c r="C68" s="21"/>
      <c r="D68" s="21"/>
      <c r="E68" s="21">
        <f t="shared" si="3"/>
        <v>68</v>
      </c>
      <c r="F68" s="9" t="s">
        <v>30</v>
      </c>
      <c r="M68" s="27">
        <v>0.4</v>
      </c>
      <c r="R68" s="12"/>
      <c r="U68" s="12"/>
      <c r="V68" s="12"/>
      <c r="W68" s="12"/>
      <c r="X68" s="15"/>
      <c r="Y68" s="15"/>
      <c r="Z68" s="15"/>
      <c r="AA68" s="15"/>
      <c r="AB68" s="15"/>
      <c r="AC68" s="15"/>
      <c r="AD68" s="15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</row>
    <row r="69" spans="3:59" s="9" customFormat="1">
      <c r="C69" s="21"/>
      <c r="D69" s="21"/>
      <c r="E69" s="21">
        <f>ROW(E69)</f>
        <v>69</v>
      </c>
      <c r="F69" s="9" t="s">
        <v>35</v>
      </c>
      <c r="M69" s="27">
        <v>600</v>
      </c>
      <c r="R69" s="12"/>
      <c r="U69" s="12"/>
      <c r="V69" s="12"/>
      <c r="W69" s="12"/>
      <c r="X69" s="15"/>
      <c r="Y69" s="15"/>
      <c r="Z69" s="15"/>
      <c r="AA69" s="15"/>
      <c r="AB69" s="15"/>
      <c r="AC69" s="15"/>
      <c r="AD69" s="15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</row>
  </sheetData>
  <phoneticPr fontId="2" type="noConversion"/>
  <conditionalFormatting sqref="BE1:XFD1 E1:I1">
    <cfRule type="duplicateValues" dxfId="67" priority="1876"/>
  </conditionalFormatting>
  <conditionalFormatting sqref="F1:F10 F13">
    <cfRule type="cellIs" dxfId="66" priority="1377" operator="equal">
      <formula>"ID"</formula>
    </cfRule>
    <cfRule type="cellIs" dxfId="65" priority="1792" operator="equal">
      <formula>"行動序號"</formula>
    </cfRule>
  </conditionalFormatting>
  <conditionalFormatting sqref="J1">
    <cfRule type="duplicateValues" dxfId="64" priority="1375"/>
  </conditionalFormatting>
  <conditionalFormatting sqref="K1:L1">
    <cfRule type="duplicateValues" dxfId="63" priority="1372"/>
  </conditionalFormatting>
  <conditionalFormatting sqref="M1:M18 J44 J49 J54 J57 J62 J65 M22:M1048576">
    <cfRule type="expression" dxfId="62" priority="987">
      <formula>_xlfn.ISFORMULA(J1)</formula>
    </cfRule>
  </conditionalFormatting>
  <conditionalFormatting sqref="N1:BD1">
    <cfRule type="duplicateValues" dxfId="61" priority="1892"/>
  </conditionalFormatting>
  <conditionalFormatting sqref="F14 F11:F12">
    <cfRule type="cellIs" dxfId="60" priority="97" operator="equal">
      <formula>"ID"</formula>
    </cfRule>
    <cfRule type="cellIs" dxfId="59" priority="98" operator="equal">
      <formula>"行動序號"</formula>
    </cfRule>
  </conditionalFormatting>
  <conditionalFormatting sqref="J24">
    <cfRule type="expression" dxfId="58" priority="95">
      <formula>_xlfn.ISFORMULA(J24)</formula>
    </cfRule>
  </conditionalFormatting>
  <conditionalFormatting sqref="F1:F18 F22:F1048576">
    <cfRule type="cellIs" dxfId="57" priority="90" operator="equal">
      <formula>"ID"</formula>
    </cfRule>
    <cfRule type="cellIs" dxfId="56" priority="91" operator="equal">
      <formula>"行動ID"</formula>
    </cfRule>
  </conditionalFormatting>
  <conditionalFormatting sqref="J24 J44">
    <cfRule type="expression" dxfId="55" priority="100">
      <formula>OR($F22="行動序號",$F22="ID")</formula>
    </cfRule>
  </conditionalFormatting>
  <conditionalFormatting sqref="J24 J44">
    <cfRule type="expression" dxfId="54" priority="101">
      <formula>$F22="行動ID"</formula>
    </cfRule>
  </conditionalFormatting>
  <conditionalFormatting sqref="M1:M18 M22:M1048576">
    <cfRule type="expression" dxfId="53" priority="51">
      <formula>AND(_xlfn.ISFORMULA(M1),OR($F1="行動ID", $F1="ID"))</formula>
    </cfRule>
    <cfRule type="expression" dxfId="52" priority="53">
      <formula>OR($F1="行動ID", $F1="ID")</formula>
    </cfRule>
  </conditionalFormatting>
  <conditionalFormatting sqref="J35">
    <cfRule type="expression" dxfId="51" priority="12">
      <formula>_xlfn.ISFORMULA(J35)</formula>
    </cfRule>
  </conditionalFormatting>
  <conditionalFormatting sqref="J35">
    <cfRule type="expression" dxfId="50" priority="13">
      <formula>OR($F33="行動序號",$F33="ID")</formula>
    </cfRule>
  </conditionalFormatting>
  <conditionalFormatting sqref="J35">
    <cfRule type="expression" dxfId="49" priority="14">
      <formula>$F33="行動ID"</formula>
    </cfRule>
  </conditionalFormatting>
  <conditionalFormatting sqref="J49">
    <cfRule type="expression" dxfId="48" priority="1906">
      <formula>OR($F43="行動序號",$F43="ID")</formula>
    </cfRule>
  </conditionalFormatting>
  <conditionalFormatting sqref="J49">
    <cfRule type="expression" dxfId="47" priority="1908">
      <formula>$F43="行動ID"</formula>
    </cfRule>
  </conditionalFormatting>
  <conditionalFormatting sqref="J54">
    <cfRule type="expression" dxfId="46" priority="5">
      <formula>OR($F51="行動序號",$F51="ID")</formula>
    </cfRule>
  </conditionalFormatting>
  <conditionalFormatting sqref="J54">
    <cfRule type="expression" dxfId="45" priority="6">
      <formula>$F51="行動ID"</formula>
    </cfRule>
  </conditionalFormatting>
  <conditionalFormatting sqref="J57">
    <cfRule type="expression" dxfId="44" priority="7">
      <formula>OR($F52="行動序號",$F52="ID")</formula>
    </cfRule>
  </conditionalFormatting>
  <conditionalFormatting sqref="J57">
    <cfRule type="expression" dxfId="43" priority="8">
      <formula>$F52="行動ID"</formula>
    </cfRule>
  </conditionalFormatting>
  <conditionalFormatting sqref="J62">
    <cfRule type="expression" dxfId="42" priority="1">
      <formula>OR($F59="行動序號",$F59="ID")</formula>
    </cfRule>
  </conditionalFormatting>
  <conditionalFormatting sqref="J62">
    <cfRule type="expression" dxfId="41" priority="2">
      <formula>$F59="行動ID"</formula>
    </cfRule>
  </conditionalFormatting>
  <conditionalFormatting sqref="J65">
    <cfRule type="expression" dxfId="40" priority="3">
      <formula>OR($F60="行動序號",$F60="ID")</formula>
    </cfRule>
  </conditionalFormatting>
  <conditionalFormatting sqref="J65">
    <cfRule type="expression" dxfId="39" priority="4">
      <formula>$F60="行動ID"</formula>
    </cfRule>
  </conditionalFormatting>
  <dataValidations count="1">
    <dataValidation type="list" allowBlank="1" showInputMessage="1" showErrorMessage="1" sqref="K8 L5:L6 F10 K4 L14:L15 K15 L33 F29 K28 F41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stage7_notcard8shot1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2025-04-22T10:18:16Z</dcterms:modified>
</cp:coreProperties>
</file>