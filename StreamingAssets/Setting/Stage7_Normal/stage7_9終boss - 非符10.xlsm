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883436F9-2F54-4E6E-B0BE-6CCAA8E8899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10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stage7_notcard10!$D$1:$D$12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" l="1"/>
  <c r="M36" i="1" s="1"/>
  <c r="E38" i="1"/>
  <c r="E37" i="1"/>
  <c r="E36" i="1"/>
  <c r="E35" i="1"/>
  <c r="E34" i="1"/>
  <c r="E33" i="1"/>
  <c r="E32" i="1"/>
  <c r="E31" i="1"/>
  <c r="E30" i="1"/>
  <c r="E29" i="1"/>
  <c r="M28" i="1"/>
  <c r="M34" i="1" s="1"/>
  <c r="E28" i="1"/>
  <c r="M27" i="1"/>
  <c r="M30" i="1" s="1"/>
  <c r="E27" i="1"/>
  <c r="E26" i="1"/>
  <c r="E25" i="1"/>
  <c r="E24" i="1"/>
  <c r="M23" i="1"/>
  <c r="E23" i="1"/>
  <c r="M22" i="1"/>
  <c r="E22" i="1"/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9" i="1" l="1"/>
  <c r="E19" i="1"/>
  <c r="E16" i="1" l="1"/>
  <c r="E17" i="1"/>
  <c r="E18" i="1"/>
  <c r="E21" i="1"/>
  <c r="E15" i="1" l="1"/>
</calcChain>
</file>

<file path=xl/sharedStrings.xml><?xml version="1.0" encoding="utf-8"?>
<sst xmlns="http://schemas.openxmlformats.org/spreadsheetml/2006/main" count="471" uniqueCount="258">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</sst>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8"/>
  <sheetViews>
    <sheetView tabSelected="1" zoomScale="115" zoomScaleNormal="115" workbookViewId="0">
      <pane ySplit="1" topLeftCell="A14" activePane="bottomLeft" state="frozen"/>
      <selection pane="bottomLeft" activeCell="M25" sqref="M25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17800</v>
      </c>
    </row>
    <row r="7" spans="3:56">
      <c r="E7" s="22">
        <f t="shared" ref="E7:E11" si="0">ROW(E7)</f>
        <v>7</v>
      </c>
      <c r="F7" s="9" t="s">
        <v>156</v>
      </c>
      <c r="M7" s="22">
        <v>9300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>
        <v>6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17810</v>
      </c>
      <c r="N15" s="22"/>
    </row>
    <row r="16" spans="3:56">
      <c r="E16" s="22">
        <f t="shared" ref="E16:E29" si="1">ROW(E16)</f>
        <v>16</v>
      </c>
      <c r="F16" s="9" t="s">
        <v>156</v>
      </c>
      <c r="M16" s="22">
        <v>9400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40</v>
      </c>
      <c r="M19" s="22">
        <f>G19*60</f>
        <v>2400</v>
      </c>
    </row>
    <row r="20" spans="5:14">
      <c r="F20" s="9" t="s">
        <v>151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178101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17810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148</v>
      </c>
      <c r="M25" s="22">
        <v>120</v>
      </c>
      <c r="N25" s="22"/>
    </row>
    <row r="26" spans="5:14">
      <c r="E26" s="22">
        <f t="shared" si="1"/>
        <v>26</v>
      </c>
      <c r="F26" s="9" t="s">
        <v>150</v>
      </c>
      <c r="M26" s="22" t="b">
        <v>0</v>
      </c>
      <c r="N26" s="22"/>
    </row>
    <row r="27" spans="5:14">
      <c r="E27" s="22">
        <f t="shared" si="1"/>
        <v>27</v>
      </c>
      <c r="F27" s="9" t="s">
        <v>102</v>
      </c>
      <c r="M27" s="22">
        <f>M15*10+9</f>
        <v>178109</v>
      </c>
    </row>
    <row r="28" spans="5:14">
      <c r="E28" s="22">
        <f t="shared" si="1"/>
        <v>28</v>
      </c>
      <c r="F28" s="9" t="s">
        <v>146</v>
      </c>
      <c r="M28" s="22">
        <f>M15</f>
        <v>17810</v>
      </c>
    </row>
    <row r="29" spans="5:14">
      <c r="E29" s="22">
        <f t="shared" si="1"/>
        <v>29</v>
      </c>
      <c r="F29" s="9" t="s">
        <v>127</v>
      </c>
      <c r="M29" s="22">
        <v>360</v>
      </c>
    </row>
    <row r="30" spans="5:14">
      <c r="E30" s="22">
        <f>ROW(E30)</f>
        <v>30</v>
      </c>
      <c r="F30" s="9" t="s">
        <v>146</v>
      </c>
      <c r="M30" s="22">
        <f>M27</f>
        <v>178109</v>
      </c>
    </row>
    <row r="31" spans="5:14">
      <c r="E31" s="22">
        <f>ROW(E31)</f>
        <v>31</v>
      </c>
      <c r="F31" s="9" t="s">
        <v>128</v>
      </c>
      <c r="M31" s="22">
        <v>0</v>
      </c>
    </row>
    <row r="32" spans="5:14">
      <c r="E32" s="22">
        <f t="shared" ref="E32:E35" si="2">ROW(E32)</f>
        <v>32</v>
      </c>
      <c r="F32" s="9" t="s">
        <v>148</v>
      </c>
      <c r="M32" s="22">
        <v>120</v>
      </c>
      <c r="N32" s="22"/>
    </row>
    <row r="33" spans="5:14">
      <c r="E33" s="22">
        <f t="shared" si="2"/>
        <v>33</v>
      </c>
      <c r="F33" s="9" t="s">
        <v>102</v>
      </c>
      <c r="M33" s="22">
        <f>M15*10+8</f>
        <v>178108</v>
      </c>
    </row>
    <row r="34" spans="5:14">
      <c r="E34" s="22">
        <f t="shared" si="2"/>
        <v>34</v>
      </c>
      <c r="F34" s="9" t="s">
        <v>146</v>
      </c>
      <c r="M34" s="22">
        <f>M28</f>
        <v>17810</v>
      </c>
    </row>
    <row r="35" spans="5:14">
      <c r="E35" s="22">
        <f t="shared" si="2"/>
        <v>35</v>
      </c>
      <c r="F35" s="9" t="s">
        <v>127</v>
      </c>
      <c r="M35" s="22">
        <v>240</v>
      </c>
    </row>
    <row r="36" spans="5:14">
      <c r="E36" s="22">
        <f>ROW(E36)</f>
        <v>36</v>
      </c>
      <c r="F36" s="9" t="s">
        <v>146</v>
      </c>
      <c r="M36" s="22">
        <f>M33</f>
        <v>178108</v>
      </c>
    </row>
    <row r="37" spans="5:14">
      <c r="E37" s="22">
        <f>ROW(E37)</f>
        <v>37</v>
      </c>
      <c r="F37" s="9" t="s">
        <v>128</v>
      </c>
      <c r="M37" s="22">
        <v>0</v>
      </c>
    </row>
    <row r="38" spans="5:14">
      <c r="E38" s="22">
        <f t="shared" ref="E38" si="3">ROW(E38)</f>
        <v>38</v>
      </c>
      <c r="F38" s="9" t="s">
        <v>148</v>
      </c>
      <c r="M38" s="22">
        <v>60</v>
      </c>
      <c r="N38" s="22"/>
    </row>
  </sheetData>
  <autoFilter ref="D1:D12" xr:uid="{00000000-0001-0000-0000-000000000000}"/>
  <phoneticPr fontId="2" type="noConversion"/>
  <conditionalFormatting sqref="N1:BD1">
    <cfRule type="duplicateValues" dxfId="62" priority="565"/>
  </conditionalFormatting>
  <conditionalFormatting sqref="BE1:XFD1 E1:I1">
    <cfRule type="duplicateValues" dxfId="61" priority="645"/>
  </conditionalFormatting>
  <conditionalFormatting sqref="F1:F5 F12:F38">
    <cfRule type="cellIs" dxfId="60" priority="146" operator="equal">
      <formula>"ID"</formula>
    </cfRule>
    <cfRule type="cellIs" dxfId="59" priority="561" operator="equal">
      <formula>"行動序號"</formula>
    </cfRule>
  </conditionalFormatting>
  <conditionalFormatting sqref="N15:N17 N21 M22:N26">
    <cfRule type="expression" dxfId="58" priority="648">
      <formula>OR($F15="行動序號",$F15="ID")</formula>
    </cfRule>
  </conditionalFormatting>
  <conditionalFormatting sqref="N15:N17 N21 M22:N26">
    <cfRule type="expression" dxfId="57" priority="560">
      <formula>$F15="行動ID"</formula>
    </cfRule>
  </conditionalFormatting>
  <conditionalFormatting sqref="J1">
    <cfRule type="duplicateValues" dxfId="56" priority="144"/>
  </conditionalFormatting>
  <conditionalFormatting sqref="K1:L1">
    <cfRule type="duplicateValues" dxfId="55" priority="141"/>
  </conditionalFormatting>
  <conditionalFormatting sqref="F18:F20">
    <cfRule type="cellIs" dxfId="54" priority="43" operator="equal">
      <formula>"行動ID"</formula>
    </cfRule>
    <cfRule type="cellIs" dxfId="53" priority="44" operator="equal">
      <formula>"ID"</formula>
    </cfRule>
    <cfRule type="cellIs" dxfId="52" priority="45" operator="equal">
      <formula>"行動序號"</formula>
    </cfRule>
  </conditionalFormatting>
  <conditionalFormatting sqref="F7">
    <cfRule type="cellIs" dxfId="51" priority="19" operator="equal">
      <formula>"ID"</formula>
    </cfRule>
    <cfRule type="cellIs" dxfId="50" priority="21" operator="equal">
      <formula>"行動序號"</formula>
    </cfRule>
  </conditionalFormatting>
  <conditionalFormatting sqref="N7">
    <cfRule type="expression" dxfId="49" priority="22">
      <formula>OR($F7="行動序號",$F7="ID")</formula>
    </cfRule>
  </conditionalFormatting>
  <conditionalFormatting sqref="N7">
    <cfRule type="expression" dxfId="48" priority="20">
      <formula>$F7="行動ID"</formula>
    </cfRule>
  </conditionalFormatting>
  <conditionalFormatting sqref="F10">
    <cfRule type="cellIs" dxfId="47" priority="15" operator="equal">
      <formula>"行動ID"</formula>
    </cfRule>
    <cfRule type="cellIs" dxfId="46" priority="16" operator="equal">
      <formula>"ID"</formula>
    </cfRule>
    <cfRule type="cellIs" dxfId="45" priority="18" operator="equal">
      <formula>"行動序號"</formula>
    </cfRule>
  </conditionalFormatting>
  <conditionalFormatting sqref="F10">
    <cfRule type="cellIs" dxfId="44" priority="17" operator="equal">
      <formula>"行動序號"</formula>
    </cfRule>
  </conditionalFormatting>
  <conditionalFormatting sqref="M1:M21 M39:M1048576">
    <cfRule type="expression" dxfId="43" priority="6">
      <formula>AND(_xlfn.ISFORMULA(M1),OR($F1="行動ID", $F1="ID"))</formula>
    </cfRule>
    <cfRule type="expression" dxfId="42" priority="8">
      <formula>OR($F1="行動ID", $F1="ID")</formula>
    </cfRule>
  </conditionalFormatting>
  <conditionalFormatting sqref="M1:M1048576">
    <cfRule type="expression" dxfId="41" priority="7">
      <formula>_xlfn.ISFORMULA(M1)</formula>
    </cfRule>
  </conditionalFormatting>
  <conditionalFormatting sqref="M32:N32 M27:M31 M38:N38 M33:M37">
    <cfRule type="expression" dxfId="40" priority="5">
      <formula>OR($F27="行動序號",$F27="ID")</formula>
    </cfRule>
  </conditionalFormatting>
  <conditionalFormatting sqref="M32:N32 M27:M31 M38:N38 M33:M37">
    <cfRule type="expression" dxfId="39" priority="3">
      <formula>$F27="行動ID"</formula>
    </cfRule>
  </conditionalFormatting>
  <dataValidations count="1">
    <dataValidation type="list" allowBlank="1" showInputMessage="1" showErrorMessage="1" sqref="L5 L16 K13:L13 K17 K7 F16 F19:F20 L14 L15 K19:L20 K9:L9 L40 K11 L10 L26 K3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5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4" t="s">
        <v>256</v>
      </c>
      <c r="D7" s="20"/>
      <c r="G7" s="9"/>
    </row>
    <row r="8" spans="1:10">
      <c r="A8" s="20" t="s">
        <v>158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5" t="s">
        <v>252</v>
      </c>
      <c r="C50"/>
      <c r="G50" s="9"/>
    </row>
    <row r="51" spans="1:8">
      <c r="A51" s="25" t="s">
        <v>257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5" t="s">
        <v>243</v>
      </c>
      <c r="G61" s="9"/>
    </row>
    <row r="62" spans="1:8">
      <c r="A62" s="25" t="s">
        <v>245</v>
      </c>
      <c r="G62" s="9"/>
    </row>
    <row r="63" spans="1:8">
      <c r="A63" s="25" t="s">
        <v>252</v>
      </c>
      <c r="G63" s="9"/>
    </row>
    <row r="64" spans="1:8">
      <c r="A64" s="25" t="s">
        <v>255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stage7_notcard10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2025-04-23T08:25:21Z</dcterms:modified>
</cp:coreProperties>
</file>