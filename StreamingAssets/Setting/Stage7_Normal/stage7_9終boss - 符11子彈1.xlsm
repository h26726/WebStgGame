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ACB56FC9-F377-4821-B314-613C49420D4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1shot1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2" i="1" l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M41" i="1"/>
  <c r="M56" i="1" s="1"/>
  <c r="E41" i="1"/>
  <c r="D40" i="1"/>
  <c r="M43" i="1" s="1" a="1"/>
  <c r="M43" i="1" s="1"/>
  <c r="M12" i="1" a="1"/>
  <c r="M12" i="1" s="1"/>
  <c r="E17" i="1"/>
  <c r="E19" i="1"/>
  <c r="E20" i="1"/>
  <c r="E21" i="1"/>
  <c r="E22" i="1"/>
  <c r="E23" i="1"/>
  <c r="E28" i="1"/>
  <c r="E27" i="1"/>
  <c r="E39" i="1"/>
  <c r="E38" i="1"/>
  <c r="E37" i="1"/>
  <c r="E36" i="1"/>
  <c r="E35" i="1"/>
  <c r="E34" i="1"/>
  <c r="E33" i="1"/>
  <c r="E32" i="1"/>
  <c r="E30" i="1"/>
  <c r="E29" i="1"/>
  <c r="E18" i="1"/>
  <c r="M50" i="1" l="1"/>
  <c r="M64" i="1"/>
  <c r="M58" i="1" s="1"/>
  <c r="D71" i="1"/>
  <c r="M55" i="1"/>
  <c r="M65" i="1" s="1"/>
  <c r="B40" i="1"/>
  <c r="C40" i="1" s="1"/>
  <c r="M51" i="1"/>
  <c r="D102" i="1"/>
  <c r="M62" i="1" l="1" a="1"/>
  <c r="M62" i="1" s="1"/>
  <c r="M69" i="1" a="1"/>
  <c r="M69" i="1" s="1"/>
  <c r="M52" i="1" a="1"/>
  <c r="M52" i="1" s="1"/>
  <c r="M46" i="1" a="1"/>
  <c r="M46" i="1" s="1"/>
  <c r="M49" i="1" a="1"/>
  <c r="M49" i="1" s="1"/>
  <c r="M57" i="1" a="1"/>
  <c r="M57" i="1" s="1"/>
  <c r="M103" i="1"/>
  <c r="M105" i="1" a="1"/>
  <c r="M105" i="1" s="1"/>
  <c r="B102" i="1"/>
  <c r="C102" i="1" s="1"/>
  <c r="B71" i="1"/>
  <c r="C71" i="1" s="1"/>
  <c r="M72" i="1"/>
  <c r="M74" i="1" a="1"/>
  <c r="M74" i="1" s="1"/>
  <c r="E26" i="1"/>
  <c r="E25" i="1"/>
  <c r="E31" i="1"/>
  <c r="E24" i="1"/>
  <c r="M83" i="1" l="1" a="1"/>
  <c r="M83" i="1" s="1"/>
  <c r="M77" i="1" a="1"/>
  <c r="M77" i="1" s="1"/>
  <c r="M88" i="1" a="1"/>
  <c r="M88" i="1" s="1"/>
  <c r="M93" i="1" a="1"/>
  <c r="M93" i="1" s="1"/>
  <c r="M80" i="1" a="1"/>
  <c r="M80" i="1" s="1"/>
  <c r="M100" i="1" a="1"/>
  <c r="M100" i="1" s="1"/>
  <c r="M124" i="1" a="1"/>
  <c r="M124" i="1" s="1"/>
  <c r="M111" i="1" a="1"/>
  <c r="M111" i="1" s="1"/>
  <c r="M119" i="1" a="1"/>
  <c r="M119" i="1" s="1"/>
  <c r="M131" i="1" a="1"/>
  <c r="M131" i="1" s="1"/>
  <c r="M114" i="1" a="1"/>
  <c r="M114" i="1" s="1"/>
  <c r="M108" i="1" a="1"/>
  <c r="M108" i="1" s="1"/>
  <c r="M82" i="1"/>
  <c r="M95" i="1"/>
  <c r="M89" i="1" s="1"/>
  <c r="M86" i="1"/>
  <c r="M96" i="1" s="1"/>
  <c r="M81" i="1"/>
  <c r="M87" i="1"/>
  <c r="M117" i="1"/>
  <c r="M127" i="1" s="1"/>
  <c r="M126" i="1"/>
  <c r="M120" i="1" s="1"/>
  <c r="M112" i="1"/>
  <c r="M113" i="1"/>
  <c r="M118" i="1"/>
  <c r="E16" i="1"/>
  <c r="E15" i="1" l="1"/>
  <c r="E14" i="1"/>
  <c r="E13" i="1"/>
  <c r="E12" i="1"/>
  <c r="E11" i="1"/>
  <c r="E10" i="1"/>
  <c r="D9" i="1"/>
  <c r="B9" i="1" l="1"/>
  <c r="M10" i="1"/>
  <c r="M33" i="1" s="1"/>
  <c r="M27" i="1" s="1"/>
  <c r="A8" i="1"/>
  <c r="M24" i="1" l="1"/>
  <c r="M34" i="1" s="1"/>
  <c r="M25" i="1"/>
  <c r="M20" i="1"/>
  <c r="M19" i="1"/>
  <c r="C9" i="1"/>
  <c r="M18" i="1" l="1" a="1"/>
  <c r="M18" i="1" s="1"/>
  <c r="M15" i="1" a="1"/>
  <c r="M15" i="1" s="1"/>
  <c r="M21" i="1" a="1"/>
  <c r="M21" i="1" s="1"/>
  <c r="M26" i="1" a="1"/>
  <c r="M26" i="1" s="1"/>
  <c r="M31" i="1" a="1"/>
  <c r="M31" i="1" s="1"/>
  <c r="M38" i="1" a="1"/>
  <c r="M38" i="1" s="1"/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<sst xmlns="http://schemas.openxmlformats.org/spreadsheetml/2006/main" count="656" uniqueCount="264">
  <si>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</si>
  <si>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</si>
  <si>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</si>
  <si>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</si>
  <si>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</si>
  <si>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</si>
  <si>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</si>
  <si>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</si>
  <si>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</si>
  <si>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</si>
  <si>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</si>
  <si>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</si>
  <si>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</si>
  <si>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</si>
  <si>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</si>
  <si>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</si>
  <si>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</si>
  <si>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</si>
  <si>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</si>
  <si>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</si>
  <si>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</si>
  <si>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</si>
  <si>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</si>
  <si>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</si>
  <si>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</si>
  <si>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</si>
  <si>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</si>
  <si>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</si>
  <si>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</si>
  <si>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</si>
  <si>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</si>
  <si>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</si>
  <si>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</si>
  <si>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</si>
  <si>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</si>
  <si>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</si>
  <si>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</si>
  <si>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</si>
  <si>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</si>
  <si>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</si>
  <si>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</si>
  <si>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</si>
  <si>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</si>
  <si>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</si>
  <si>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</si>
  <si>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</si>
  <si>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</si>
  <si>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</si>
  <si>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</si>
  <si>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</si>
  <si>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</si>
  <si>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</si>
  <si>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</si>
  <si>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</si>
  <si>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</si>
  <si>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</si>
  <si>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</si>
  <si>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</si>
  <si>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</si>
  <si>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</si>
  <si>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</si>
  <si>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</si>
  <si>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</si>
  <si>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</si>
  <si>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</si>
  <si>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</si>
  <si>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</si>
  <si>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</si>
  <si>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</si>
  <si>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</si>
  <si>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</si>
  <si>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</si>
  <si>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</si>
  <si>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</si>
  <si>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</si>
  <si>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</si>
  <si>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</si>
  <si>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</si>
  <si>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</si>
  <si>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</si>
  <si>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</si>
  <si>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</si>
  <si>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</si>
  <si>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</si>
  <si>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</si>
  <si>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</si>
  <si>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</si>
  <si>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</si>
  <si>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</si>
  <si>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</si>
  <si>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</si>
  <si>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</si>
  <si>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</si>
  <si>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</si>
  <si>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</si>
  <si>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</si>
  <si>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</si>
  <si>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</si>
  <si>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</si>
  <si>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</si>
  <si>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</si>
  <si>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</si>
  <si>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</si>
  <si>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</si>
  <si>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</si>
  <si>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</si>
  <si>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</si>
  <si>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</si>
  <si>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</si>
  <si>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</si>
  <si>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</si>
  <si>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</si>
  <si>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</si>
  <si>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</si>
  <si>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</si>
  <si>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</si>
  <si>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</si>
  <si>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</si>
  <si>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</si>
  <si>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</si>
  <si>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</si>
  <si>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</si>
  <si>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</si>
  <si>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</si>
  <si>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</si>
  <si>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</si>
  <si>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</si>
  <si>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</si>
  <si>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</si>
  <si>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</si>
  <si>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</si>
  <si>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</si>
  <si>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</si>
  <si>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</si>
  <si>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</si>
  <si>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</si>
  <si>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</si>
  <si>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</si>
  <si>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</si>
  <si>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</si>
  <si>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</si>
  <si>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</si>
  <si>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</si>
  <si>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</si>
  <si>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</si>
  <si>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</si>
  <si>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</si>
  <si>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</si>
  <si>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</si>
  <si>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</si>
  <si>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</si>
  <si>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</si>
  <si>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</si>
  <si>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</si>
  <si>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</si>
  <si>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</si>
  <si>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</si>
  <si>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</si>
  <si>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</si>
  <si>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</si>
  <si>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</si>
  <si>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</si>
  <si>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</si>
  <si>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</si>
  <si>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</si>
  <si>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</si>
  <si>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</si>
  <si>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</si>
  <si>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</si>
  <si>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</si>
  <si>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</si>
  <si>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</si>
  <si>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</si>
  <si>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</si>
  <si>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</si>
  <si>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</si>
  <si>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</si>
  <si>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</si>
  <si>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</si>
  <si>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</si>
  <si>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</si>
  <si>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</si>
  <si>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</si>
  <si>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</si>
  <si>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</si>
  <si>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</si>
  <si>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</si>
  <si>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</si>
  <si>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</si>
  <si>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</si>
  <si>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</si>
  <si>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</si>
  <si>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</si>
  <si>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</si>
  <si>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</si>
  <si>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</si>
  <si>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</si>
  <si>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</si>
  <si>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</si>
  <si>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</si>
  <si>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</si>
  <si>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</si>
  <si>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</si>
  <si>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</si>
  <si>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</si>
  <si>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</si>
  <si>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</si>
  <si>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</si>
  <si>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</si>
  <si>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</si>
  <si>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</si>
  <si>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</si>
  <si>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</si>
  <si>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</si>
  <si>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</si>
  <si>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</si>
  <si>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</si>
  <si>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</si>
  <si>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</si>
  <si>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</si>
  <si>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</si>
  <si>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</si>
  <si>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</si>
  <si>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</si>
  <si>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</si>
  <si>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</si>
  <si>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</si>
  <si>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</si>
  <si>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</si>
  <si>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</si>
  <si>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</si>
  <si>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</si>
  <si>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</si>
  <si>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</si>
  <si>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</si>
  <si>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</si>
  <si>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</si>
  <si>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</si>
  <si>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</si>
  <si>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</si>
  <si>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</si>
  <si>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</si>
  <si>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</si>
  <si>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</si>
  <si>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</si>
  <si>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</si>
  <si>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</si>
  <si>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EnemyShot5</t>
  </si>
  <si>
    <t>19200</t>
  </si>
  <si>
    <t>19200</t>
    <phoneticPr fontId="2" type="noConversion"/>
  </si>
  <si>
    <t>Shot5_black</t>
  </si>
  <si>
    <t>Shot5_black</t>
    <phoneticPr fontId="2" type="noConversion"/>
  </si>
  <si>
    <t>-8.6,0</t>
  </si>
  <si>
    <t>-8.6,0</t>
    <phoneticPr fontId="2" type="noConversion"/>
  </si>
  <si>
    <t>8.6,0</t>
  </si>
  <si>
    <t>8.6,0</t>
    <phoneticPr fontId="2" type="noConversion"/>
  </si>
  <si>
    <t>180</t>
  </si>
  <si>
    <t>180</t>
    <phoneticPr fontId="2" type="noConversion"/>
  </si>
  <si>
    <t>4.3,6</t>
  </si>
  <si>
    <t>4.3,6</t>
    <phoneticPr fontId="2" type="noConversion"/>
  </si>
  <si>
    <t>-4.3,6</t>
  </si>
  <si>
    <t>-4.3,6</t>
    <phoneticPr fontId="2" type="noConversion"/>
  </si>
  <si>
    <t>-120</t>
  </si>
  <si>
    <t>-120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</si>
</sst>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32"/>
  <sheetViews>
    <sheetView tabSelected="1" zoomScale="115" zoomScaleNormal="115" workbookViewId="0">
      <pane ySplit="1" topLeftCell="A2" activePane="bottomLeft" state="frozen"/>
      <selection pane="bottomLeft" activeCell="N7" sqref="N7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8" spans="1:60">
      <c r="A8" s="21">
        <f>G10*H10</f>
        <v>4</v>
      </c>
      <c r="B8" s="9"/>
      <c r="C8" s="9"/>
      <c r="D8" s="9"/>
      <c r="R8" s="12"/>
      <c r="S8" s="9"/>
      <c r="U8" s="12"/>
      <c r="X8" s="15"/>
      <c r="AE8" s="16"/>
      <c r="BH8" s="9"/>
    </row>
    <row r="9" spans="1:60">
      <c r="A9" s="21" t="s">
        <v>227</v>
      </c>
      <c r="B9" s="21">
        <f t="shared" ref="B9" si="0">QUOTIENT( D9-1,G10)+1</f>
        <v>1</v>
      </c>
      <c r="C9" s="21">
        <f t="shared" ref="C9" si="1">D9-(B9-1)*G10</f>
        <v>1</v>
      </c>
      <c r="D9" s="21">
        <f>COUNT($D$8:$D8)+1</f>
        <v>1</v>
      </c>
      <c r="R9" s="12"/>
      <c r="S9" s="9"/>
      <c r="U9" s="12"/>
      <c r="X9" s="15"/>
      <c r="AE9" s="16"/>
      <c r="BH9" s="9"/>
    </row>
    <row r="10" spans="1:60">
      <c r="E10" s="21">
        <f t="shared" ref="E10:E75" si="2">ROW(E10)</f>
        <v>10</v>
      </c>
      <c r="F10" s="9" t="s">
        <v>93</v>
      </c>
      <c r="G10" s="21">
        <v>4</v>
      </c>
      <c r="H10" s="21">
        <v>1</v>
      </c>
      <c r="J10" s="9" t="s">
        <v>249</v>
      </c>
      <c r="M10" s="21">
        <f t="shared" ref="M10" si="3">J10+D9</f>
        <v>19201</v>
      </c>
      <c r="R10" s="12"/>
      <c r="S10" s="9"/>
      <c r="U10" s="12"/>
      <c r="X10" s="15"/>
      <c r="AE10" s="16"/>
      <c r="BH10" s="9"/>
    </row>
    <row r="11" spans="1:60">
      <c r="E11" s="21">
        <f t="shared" si="2"/>
        <v>11</v>
      </c>
      <c r="F11" s="9" t="s">
        <v>142</v>
      </c>
      <c r="M11" s="21">
        <v>191109</v>
      </c>
      <c r="R11" s="12"/>
      <c r="S11" s="9"/>
      <c r="U11" s="12"/>
      <c r="X11" s="15"/>
      <c r="AE11" s="16"/>
      <c r="BH11" s="9"/>
    </row>
    <row r="12" spans="1:60">
      <c r="E12" s="21">
        <f t="shared" si="2"/>
        <v>12</v>
      </c>
      <c r="F12" s="9" t="s">
        <v>126</v>
      </c>
      <c r="G12" s="21">
        <v>0</v>
      </c>
      <c r="H12" s="21">
        <v>60</v>
      </c>
      <c r="I12" s="21">
        <v>120</v>
      </c>
      <c r="J12" s="9" t="s">
        <v>257</v>
      </c>
      <c r="M12" s="21" cm="1">
        <f t="array" ref="M12">_xlfn.SWITCH(D9,1,G12,2,H12,3,I12,4,J12)</f>
        <v>0</v>
      </c>
      <c r="R12" s="12"/>
      <c r="S12" s="9"/>
      <c r="U12" s="12"/>
      <c r="X12" s="15"/>
      <c r="AE12" s="16"/>
      <c r="BH12" s="9"/>
    </row>
    <row r="13" spans="1:60">
      <c r="E13" s="21">
        <f t="shared" si="2"/>
        <v>13</v>
      </c>
      <c r="F13" s="9" t="s">
        <v>29</v>
      </c>
      <c r="M13" s="21" t="s">
        <v>247</v>
      </c>
      <c r="R13" s="12"/>
      <c r="S13" s="9"/>
      <c r="U13" s="12"/>
      <c r="X13" s="15"/>
      <c r="AE13" s="16"/>
      <c r="BH13" s="9"/>
    </row>
    <row r="14" spans="1:60">
      <c r="E14" s="21">
        <f t="shared" si="2"/>
        <v>14</v>
      </c>
      <c r="F14" s="9" t="s">
        <v>118</v>
      </c>
      <c r="M14" s="21" t="s">
        <v>251</v>
      </c>
      <c r="R14" s="12"/>
      <c r="S14" s="9"/>
      <c r="U14" s="12"/>
      <c r="X14" s="15"/>
      <c r="AE14" s="16"/>
      <c r="BH14" s="9"/>
    </row>
    <row r="15" spans="1:60">
      <c r="E15" s="21">
        <f t="shared" si="2"/>
        <v>15</v>
      </c>
      <c r="F15" s="9" t="s">
        <v>98</v>
      </c>
      <c r="G15" s="9" t="s">
        <v>259</v>
      </c>
      <c r="H15" s="9" t="s">
        <v>259</v>
      </c>
      <c r="I15" s="9" t="s">
        <v>261</v>
      </c>
      <c r="J15" s="9" t="s">
        <v>261</v>
      </c>
      <c r="K15" s="9" t="s">
        <v>136</v>
      </c>
      <c r="M15" s="21" t="str" cm="1">
        <f t="array" ref="M15">_xlfn.SWITCH(C9,1,G15,2,H15,3,I15,4,J15)</f>
        <v>4.3,6</v>
      </c>
      <c r="R15" s="12"/>
      <c r="S15" s="9"/>
      <c r="U15" s="12"/>
      <c r="X15" s="15"/>
      <c r="AE15" s="16"/>
      <c r="BH15" s="9"/>
    </row>
    <row r="16" spans="1:60">
      <c r="E16" s="21">
        <f t="shared" si="2"/>
        <v>16</v>
      </c>
      <c r="F16" s="9" t="s">
        <v>117</v>
      </c>
      <c r="M16" s="21" t="b">
        <v>1</v>
      </c>
      <c r="R16" s="12"/>
      <c r="S16" s="9"/>
      <c r="U16" s="12"/>
      <c r="X16" s="15"/>
      <c r="AE16" s="16"/>
      <c r="BH16" s="9"/>
    </row>
    <row r="17" spans="5:60">
      <c r="E17" s="21">
        <f t="shared" si="2"/>
        <v>17</v>
      </c>
      <c r="F17" s="9" t="s">
        <v>196</v>
      </c>
      <c r="M17" s="21">
        <v>0</v>
      </c>
      <c r="R17" s="12"/>
      <c r="S17" s="9"/>
      <c r="U17" s="12"/>
      <c r="X17" s="15"/>
      <c r="AE17" s="16"/>
      <c r="BH17" s="9"/>
    </row>
    <row r="18" spans="5:60">
      <c r="E18" s="21">
        <f>ROW(E18)</f>
        <v>18</v>
      </c>
      <c r="F18" s="9" t="s">
        <v>113</v>
      </c>
      <c r="G18" s="21">
        <v>120</v>
      </c>
      <c r="H18" s="21">
        <v>-120</v>
      </c>
      <c r="I18" s="21">
        <v>120</v>
      </c>
      <c r="J18" s="9" t="s">
        <v>263</v>
      </c>
      <c r="L18" s="9" t="s">
        <v>134</v>
      </c>
      <c r="M18" s="21" cm="1">
        <f t="array" ref="M18">_xlfn.SWITCH(C9,1,G18,2,H18,3,I18,4,J18)</f>
        <v>120</v>
      </c>
      <c r="R18" s="12"/>
      <c r="S18" s="9"/>
      <c r="U18" s="12"/>
      <c r="X18" s="15"/>
      <c r="AE18" s="16"/>
      <c r="BH18" s="9"/>
    </row>
    <row r="19" spans="5:60">
      <c r="E19" s="21">
        <f t="shared" ref="E19:E23" si="4">ROW(E19)</f>
        <v>19</v>
      </c>
      <c r="F19" s="9" t="s">
        <v>101</v>
      </c>
      <c r="M19" s="21">
        <f>M10*10+1</f>
        <v>192011</v>
      </c>
      <c r="R19" s="12"/>
      <c r="S19" s="9"/>
      <c r="U19" s="12"/>
      <c r="X19" s="15"/>
      <c r="AE19" s="16"/>
      <c r="BH19" s="9"/>
    </row>
    <row r="20" spans="5:60">
      <c r="E20" s="21">
        <f t="shared" si="4"/>
        <v>20</v>
      </c>
      <c r="F20" s="9" t="s">
        <v>142</v>
      </c>
      <c r="M20" s="21">
        <f>M10</f>
        <v>19201</v>
      </c>
      <c r="R20" s="12"/>
      <c r="S20" s="9"/>
      <c r="U20" s="12"/>
      <c r="X20" s="15"/>
      <c r="AE20" s="16"/>
      <c r="BH20" s="9"/>
    </row>
    <row r="21" spans="5:60">
      <c r="E21" s="21">
        <f t="shared" si="4"/>
        <v>21</v>
      </c>
      <c r="F21" s="9" t="s">
        <v>126</v>
      </c>
      <c r="G21" s="21">
        <v>0</v>
      </c>
      <c r="H21" s="21">
        <v>0</v>
      </c>
      <c r="I21" s="21">
        <v>0</v>
      </c>
      <c r="J21" s="21">
        <v>0</v>
      </c>
      <c r="M21" s="21" cm="1">
        <f t="array" ref="M21">_xlfn.SWITCH(C9,1,G21,2,H21,3,I21,4,J21)</f>
        <v>0</v>
      </c>
      <c r="R21" s="12"/>
      <c r="S21" s="9"/>
      <c r="U21" s="12"/>
      <c r="X21" s="15"/>
      <c r="AE21" s="16"/>
      <c r="BH21" s="9"/>
    </row>
    <row r="22" spans="5:60">
      <c r="E22" s="21">
        <f t="shared" si="4"/>
        <v>22</v>
      </c>
      <c r="F22" s="9" t="s">
        <v>31</v>
      </c>
      <c r="L22" s="9" t="s">
        <v>134</v>
      </c>
      <c r="M22" s="21">
        <v>270</v>
      </c>
      <c r="R22" s="12"/>
      <c r="S22" s="9"/>
      <c r="U22" s="12"/>
      <c r="X22" s="15"/>
      <c r="AE22" s="16"/>
      <c r="BH22" s="9"/>
    </row>
    <row r="23" spans="5:60">
      <c r="E23" s="21">
        <f t="shared" si="4"/>
        <v>23</v>
      </c>
      <c r="F23" s="9" t="s">
        <v>30</v>
      </c>
      <c r="M23" s="26">
        <v>0.75</v>
      </c>
      <c r="R23" s="12"/>
      <c r="S23" s="9"/>
      <c r="U23" s="12"/>
      <c r="X23" s="15"/>
      <c r="AE23" s="16"/>
      <c r="BH23" s="9"/>
    </row>
    <row r="24" spans="5:60">
      <c r="E24" s="21">
        <f t="shared" si="2"/>
        <v>24</v>
      </c>
      <c r="F24" s="9" t="s">
        <v>101</v>
      </c>
      <c r="M24" s="21">
        <f>M10*10+2</f>
        <v>192012</v>
      </c>
      <c r="R24" s="12"/>
      <c r="S24" s="9"/>
      <c r="U24" s="12"/>
      <c r="X24" s="15"/>
      <c r="AE24" s="16"/>
      <c r="BH24" s="9"/>
    </row>
    <row r="25" spans="5:60">
      <c r="E25" s="21">
        <f t="shared" si="2"/>
        <v>25</v>
      </c>
      <c r="F25" s="9" t="s">
        <v>142</v>
      </c>
      <c r="M25" s="21">
        <f>M10</f>
        <v>19201</v>
      </c>
      <c r="R25" s="12"/>
      <c r="S25" s="9"/>
      <c r="U25" s="12"/>
      <c r="X25" s="15"/>
      <c r="AE25" s="16"/>
      <c r="BH25" s="9"/>
    </row>
    <row r="26" spans="5:60">
      <c r="E26" s="21">
        <f t="shared" si="2"/>
        <v>26</v>
      </c>
      <c r="F26" s="9" t="s">
        <v>126</v>
      </c>
      <c r="G26" s="21">
        <v>120</v>
      </c>
      <c r="H26" s="21">
        <v>120</v>
      </c>
      <c r="I26" s="21">
        <v>120</v>
      </c>
      <c r="J26" s="21">
        <v>120</v>
      </c>
      <c r="M26" s="21" cm="1">
        <f t="array" ref="M26">_xlfn.SWITCH(C9,1,G26,2,H26,3,I26,4,J26)</f>
        <v>120</v>
      </c>
      <c r="R26" s="12"/>
      <c r="S26" s="9"/>
      <c r="U26" s="12"/>
      <c r="X26" s="15"/>
      <c r="AE26" s="16"/>
      <c r="BH26" s="9"/>
    </row>
    <row r="27" spans="5:60">
      <c r="E27" s="21">
        <f t="shared" si="2"/>
        <v>27</v>
      </c>
      <c r="F27" s="9" t="s">
        <v>142</v>
      </c>
      <c r="M27" s="21">
        <f>M33</f>
        <v>192013</v>
      </c>
      <c r="R27" s="12"/>
      <c r="S27" s="9"/>
      <c r="U27" s="12"/>
      <c r="X27" s="15"/>
      <c r="AE27" s="16"/>
      <c r="BH27" s="9"/>
    </row>
    <row r="28" spans="5:60">
      <c r="E28" s="21">
        <f t="shared" si="2"/>
        <v>28</v>
      </c>
      <c r="F28" s="9" t="s">
        <v>127</v>
      </c>
      <c r="M28" s="26">
        <v>0</v>
      </c>
      <c r="R28" s="12"/>
      <c r="S28" s="9"/>
      <c r="U28" s="12"/>
      <c r="X28" s="15"/>
      <c r="AE28" s="16"/>
      <c r="BH28" s="9"/>
    </row>
    <row r="29" spans="5:60">
      <c r="E29" s="21">
        <f t="shared" si="2"/>
        <v>29</v>
      </c>
      <c r="F29" s="9" t="s">
        <v>119</v>
      </c>
      <c r="M29" s="26">
        <v>90</v>
      </c>
      <c r="R29" s="12"/>
      <c r="S29" s="9"/>
      <c r="U29" s="12"/>
      <c r="X29" s="15"/>
      <c r="AE29" s="16"/>
      <c r="BH29" s="9"/>
    </row>
    <row r="30" spans="5:60">
      <c r="E30" s="21">
        <f t="shared" si="2"/>
        <v>30</v>
      </c>
      <c r="F30" s="9" t="s">
        <v>120</v>
      </c>
      <c r="G30" s="9"/>
      <c r="H30" s="9"/>
      <c r="K30" s="9" t="s">
        <v>137</v>
      </c>
      <c r="M30" s="26">
        <v>1</v>
      </c>
      <c r="R30" s="12"/>
      <c r="S30" s="9"/>
      <c r="U30" s="12"/>
      <c r="X30" s="15"/>
      <c r="AE30" s="16"/>
      <c r="BH30" s="9"/>
    </row>
    <row r="31" spans="5:60">
      <c r="E31" s="21">
        <f t="shared" si="2"/>
        <v>31</v>
      </c>
      <c r="F31" s="9" t="s">
        <v>175</v>
      </c>
      <c r="G31" s="9" t="s">
        <v>253</v>
      </c>
      <c r="H31" s="9" t="s">
        <v>253</v>
      </c>
      <c r="I31" s="21" t="s">
        <v>255</v>
      </c>
      <c r="J31" s="21" t="s">
        <v>255</v>
      </c>
      <c r="K31" s="9" t="s">
        <v>136</v>
      </c>
      <c r="M31" s="21" t="str" cm="1">
        <f t="array" ref="M31">_xlfn.SWITCH(C9,1,G31,2,H31,3,I31,4,J31)</f>
        <v>-8.6,0</v>
      </c>
      <c r="R31" s="12"/>
      <c r="S31" s="9"/>
      <c r="U31" s="12"/>
      <c r="X31" s="15"/>
      <c r="AE31" s="16"/>
      <c r="BH31" s="9"/>
    </row>
    <row r="32" spans="5:60">
      <c r="E32" s="21">
        <f t="shared" si="2"/>
        <v>32</v>
      </c>
      <c r="F32" s="9" t="s">
        <v>35</v>
      </c>
      <c r="G32" s="9"/>
      <c r="H32" s="9"/>
      <c r="M32" s="21">
        <v>120</v>
      </c>
      <c r="R32" s="12"/>
      <c r="S32" s="9"/>
      <c r="U32" s="12"/>
      <c r="X32" s="15"/>
      <c r="AE32" s="16"/>
      <c r="BH32" s="9"/>
    </row>
    <row r="33" spans="1:60">
      <c r="E33" s="21">
        <f t="shared" si="2"/>
        <v>33</v>
      </c>
      <c r="F33" s="9" t="s">
        <v>101</v>
      </c>
      <c r="M33" s="21">
        <f>M10*10+3</f>
        <v>192013</v>
      </c>
      <c r="R33" s="12"/>
      <c r="S33" s="9"/>
      <c r="U33" s="12"/>
      <c r="X33" s="15"/>
      <c r="AE33" s="16"/>
      <c r="BH33" s="9"/>
    </row>
    <row r="34" spans="1:60">
      <c r="E34" s="21">
        <f t="shared" si="2"/>
        <v>34</v>
      </c>
      <c r="F34" s="9" t="s">
        <v>142</v>
      </c>
      <c r="M34" s="21">
        <f>M24</f>
        <v>192012</v>
      </c>
      <c r="R34" s="12"/>
      <c r="S34" s="9"/>
      <c r="U34" s="12"/>
      <c r="X34" s="15"/>
      <c r="AE34" s="16"/>
      <c r="BH34" s="9"/>
    </row>
    <row r="35" spans="1:60">
      <c r="E35" s="21">
        <f t="shared" si="2"/>
        <v>35</v>
      </c>
      <c r="F35" s="9" t="s">
        <v>127</v>
      </c>
      <c r="M35" s="26">
        <v>0</v>
      </c>
      <c r="R35" s="12"/>
      <c r="S35" s="9"/>
      <c r="U35" s="12"/>
      <c r="X35" s="15"/>
      <c r="AE35" s="16"/>
      <c r="BH35" s="9"/>
    </row>
    <row r="36" spans="1:60">
      <c r="E36" s="21">
        <f t="shared" si="2"/>
        <v>36</v>
      </c>
      <c r="F36" s="9" t="s">
        <v>119</v>
      </c>
      <c r="M36" s="26">
        <v>90</v>
      </c>
      <c r="R36" s="12"/>
      <c r="S36" s="9"/>
      <c r="U36" s="12"/>
      <c r="X36" s="15"/>
      <c r="AE36" s="16"/>
      <c r="BH36" s="9"/>
    </row>
    <row r="37" spans="1:60">
      <c r="E37" s="21">
        <f t="shared" si="2"/>
        <v>37</v>
      </c>
      <c r="F37" s="9" t="s">
        <v>120</v>
      </c>
      <c r="G37" s="9"/>
      <c r="H37" s="9"/>
      <c r="K37" s="9" t="s">
        <v>137</v>
      </c>
      <c r="M37" s="26">
        <v>1</v>
      </c>
      <c r="R37" s="12"/>
      <c r="S37" s="9"/>
      <c r="U37" s="12"/>
      <c r="X37" s="15"/>
      <c r="AE37" s="16"/>
      <c r="BH37" s="9"/>
    </row>
    <row r="38" spans="1:60">
      <c r="E38" s="21">
        <f t="shared" si="2"/>
        <v>38</v>
      </c>
      <c r="F38" s="9" t="s">
        <v>175</v>
      </c>
      <c r="G38" s="9" t="s">
        <v>255</v>
      </c>
      <c r="H38" s="9" t="s">
        <v>255</v>
      </c>
      <c r="I38" s="9" t="s">
        <v>253</v>
      </c>
      <c r="J38" s="9" t="s">
        <v>253</v>
      </c>
      <c r="K38" s="9" t="s">
        <v>136</v>
      </c>
      <c r="M38" s="21" t="str" cm="1">
        <f t="array" ref="M38">_xlfn.SWITCH(C9,1,G38,2,H38,3,I38,4,J38)</f>
        <v>8.6,0</v>
      </c>
      <c r="R38" s="12"/>
      <c r="S38" s="9"/>
      <c r="U38" s="12"/>
      <c r="X38" s="15"/>
      <c r="AE38" s="16"/>
      <c r="BH38" s="9"/>
    </row>
    <row r="39" spans="1:60">
      <c r="E39" s="21">
        <f t="shared" si="2"/>
        <v>39</v>
      </c>
      <c r="F39" s="9" t="s">
        <v>35</v>
      </c>
      <c r="G39" s="9"/>
      <c r="H39" s="9"/>
      <c r="M39" s="21">
        <v>120</v>
      </c>
      <c r="R39" s="12"/>
      <c r="S39" s="9"/>
      <c r="U39" s="12"/>
      <c r="X39" s="15"/>
      <c r="AE39" s="16"/>
      <c r="BH39" s="9"/>
    </row>
    <row r="40" spans="1:60">
      <c r="A40" s="21" t="s">
        <v>227</v>
      </c>
      <c r="B40" s="21">
        <f t="shared" ref="B40:B103" si="5">QUOTIENT( D40-1,G41)+1</f>
        <v>1</v>
      </c>
      <c r="C40" s="21">
        <f t="shared" ref="C40:C103" si="6">D40-(B40-1)*G41</f>
        <v>2</v>
      </c>
      <c r="D40" s="21">
        <f>COUNT($D$8:$D39)+1</f>
        <v>2</v>
      </c>
      <c r="G40" s="9"/>
      <c r="H40" s="9"/>
      <c r="R40" s="12"/>
      <c r="S40" s="9"/>
      <c r="U40" s="12"/>
      <c r="X40" s="15"/>
      <c r="AE40" s="16"/>
      <c r="BH40" s="9"/>
    </row>
    <row r="41" spans="1:60">
      <c r="E41" s="21">
        <f t="shared" si="2"/>
        <v>41</v>
      </c>
      <c r="F41" s="9" t="s">
        <v>93</v>
      </c>
      <c r="G41" s="9">
        <v>4</v>
      </c>
      <c r="H41" s="9">
        <v>1</v>
      </c>
      <c r="J41" s="9" t="s">
        <v>248</v>
      </c>
      <c r="M41" s="21">
        <f t="shared" ref="M41:M104" si="7">J41+D40</f>
        <v>19202</v>
      </c>
      <c r="R41" s="12"/>
      <c r="S41" s="9"/>
      <c r="U41" s="12"/>
      <c r="X41" s="15"/>
      <c r="AE41" s="16"/>
      <c r="BH41" s="9"/>
    </row>
    <row r="42" spans="1:60">
      <c r="E42" s="21">
        <f t="shared" si="2"/>
        <v>42</v>
      </c>
      <c r="F42" s="9" t="s">
        <v>142</v>
      </c>
      <c r="G42" s="9"/>
      <c r="H42" s="9"/>
      <c r="M42" s="21">
        <v>191109</v>
      </c>
      <c r="R42" s="12"/>
      <c r="S42" s="9"/>
      <c r="U42" s="12"/>
      <c r="X42" s="15"/>
      <c r="AE42" s="16"/>
      <c r="BH42" s="9"/>
    </row>
    <row r="43" spans="1:60">
      <c r="E43" s="21">
        <f t="shared" si="2"/>
        <v>43</v>
      </c>
      <c r="F43" s="9" t="s">
        <v>126</v>
      </c>
      <c r="G43" s="9">
        <v>0</v>
      </c>
      <c r="H43" s="9">
        <v>60</v>
      </c>
      <c r="I43" s="21">
        <v>120</v>
      </c>
      <c r="J43" s="9" t="s">
        <v>256</v>
      </c>
      <c r="M43" s="21" cm="1">
        <f t="array" ref="M43">_xlfn.SWITCH(D40,1,G43,2,H43,3,I43,4,J43)</f>
        <v>60</v>
      </c>
      <c r="R43" s="12"/>
      <c r="S43" s="9"/>
      <c r="U43" s="12"/>
      <c r="X43" s="15"/>
      <c r="AE43" s="16"/>
      <c r="BH43" s="9"/>
    </row>
    <row r="44" spans="1:60">
      <c r="E44" s="21">
        <f t="shared" si="2"/>
        <v>44</v>
      </c>
      <c r="F44" s="9" t="s">
        <v>29</v>
      </c>
      <c r="M44" s="21" t="s">
        <v>247</v>
      </c>
      <c r="R44" s="12"/>
      <c r="S44" s="9"/>
      <c r="U44" s="12"/>
      <c r="X44" s="15"/>
      <c r="AE44" s="16"/>
      <c r="BH44" s="9"/>
    </row>
    <row r="45" spans="1:60">
      <c r="E45" s="21">
        <f t="shared" si="2"/>
        <v>45</v>
      </c>
      <c r="F45" s="9" t="s">
        <v>118</v>
      </c>
      <c r="M45" s="21" t="s">
        <v>250</v>
      </c>
      <c r="R45" s="12"/>
      <c r="S45" s="9"/>
      <c r="U45" s="12"/>
      <c r="X45" s="15"/>
      <c r="AE45" s="16"/>
      <c r="BH45" s="9"/>
    </row>
    <row r="46" spans="1:60">
      <c r="E46" s="21">
        <f t="shared" si="2"/>
        <v>46</v>
      </c>
      <c r="F46" s="9" t="s">
        <v>98</v>
      </c>
      <c r="G46" s="21" t="s">
        <v>258</v>
      </c>
      <c r="H46" s="21" t="s">
        <v>258</v>
      </c>
      <c r="I46" s="21" t="s">
        <v>260</v>
      </c>
      <c r="J46" s="9" t="s">
        <v>260</v>
      </c>
      <c r="K46" s="9" t="s">
        <v>136</v>
      </c>
      <c r="M46" s="26" t="str" cm="1">
        <f t="array" ref="M46">_xlfn.SWITCH(C40,1,G46,2,H46,3,I46,4,J46)</f>
        <v>4.3,6</v>
      </c>
      <c r="R46" s="12"/>
      <c r="S46" s="9"/>
      <c r="U46" s="12"/>
      <c r="X46" s="15"/>
      <c r="AE46" s="16"/>
      <c r="BH46" s="9"/>
    </row>
    <row r="47" spans="1:60">
      <c r="E47" s="21">
        <f t="shared" si="2"/>
        <v>47</v>
      </c>
      <c r="F47" s="9" t="s">
        <v>117</v>
      </c>
      <c r="M47" s="21" t="b">
        <v>1</v>
      </c>
      <c r="R47" s="12"/>
      <c r="S47" s="9"/>
      <c r="U47" s="12"/>
      <c r="X47" s="15"/>
      <c r="AE47" s="16"/>
      <c r="BH47" s="9"/>
    </row>
    <row r="48" spans="1:60">
      <c r="E48" s="21">
        <f t="shared" si="2"/>
        <v>48</v>
      </c>
      <c r="F48" s="9" t="s">
        <v>196</v>
      </c>
      <c r="M48" s="26">
        <v>0</v>
      </c>
      <c r="R48" s="12"/>
      <c r="S48" s="9"/>
      <c r="U48" s="12"/>
      <c r="X48" s="15"/>
      <c r="AE48" s="16"/>
      <c r="BH48" s="9"/>
    </row>
    <row r="49" spans="5:60">
      <c r="E49" s="21">
        <f t="shared" si="2"/>
        <v>49</v>
      </c>
      <c r="F49" s="9" t="s">
        <v>113</v>
      </c>
      <c r="G49" s="21">
        <v>120</v>
      </c>
      <c r="H49" s="21">
        <v>-120</v>
      </c>
      <c r="I49" s="21">
        <v>120</v>
      </c>
      <c r="J49" s="9" t="s">
        <v>262</v>
      </c>
      <c r="L49" s="9" t="s">
        <v>134</v>
      </c>
      <c r="M49" s="26" cm="1">
        <f t="array" ref="M49">_xlfn.SWITCH(C40,1,G49,2,H49,3,I49,4,J49)</f>
        <v>-120</v>
      </c>
      <c r="R49" s="12"/>
      <c r="S49" s="9"/>
      <c r="U49" s="12"/>
      <c r="X49" s="15"/>
      <c r="AE49" s="16"/>
      <c r="BH49" s="9"/>
    </row>
    <row r="50" spans="5:60">
      <c r="E50" s="21">
        <f t="shared" si="2"/>
        <v>50</v>
      </c>
      <c r="F50" s="9" t="s">
        <v>101</v>
      </c>
      <c r="M50" s="21">
        <f t="shared" ref="M50" si="8">M41*10+1</f>
        <v>192021</v>
      </c>
    </row>
    <row r="51" spans="5:60">
      <c r="E51" s="21">
        <f t="shared" si="2"/>
        <v>51</v>
      </c>
      <c r="F51" s="9" t="s">
        <v>142</v>
      </c>
      <c r="M51" s="21">
        <f t="shared" ref="M51" si="9">M41</f>
        <v>19202</v>
      </c>
    </row>
    <row r="52" spans="5:60">
      <c r="E52" s="21">
        <f t="shared" si="2"/>
        <v>52</v>
      </c>
      <c r="F52" s="9" t="s">
        <v>126</v>
      </c>
      <c r="G52" s="21">
        <v>0</v>
      </c>
      <c r="H52" s="21">
        <v>0</v>
      </c>
      <c r="I52" s="21">
        <v>0</v>
      </c>
      <c r="J52" s="9">
        <v>0</v>
      </c>
      <c r="M52" s="21" cm="1">
        <f t="array" ref="M52">_xlfn.SWITCH(C40,1,G52,2,H52,3,I52,4,J52)</f>
        <v>0</v>
      </c>
    </row>
    <row r="53" spans="5:60">
      <c r="E53" s="21">
        <f t="shared" si="2"/>
        <v>53</v>
      </c>
      <c r="F53" s="9" t="s">
        <v>31</v>
      </c>
      <c r="L53" s="9" t="s">
        <v>134</v>
      </c>
      <c r="M53" s="21">
        <v>270</v>
      </c>
    </row>
    <row r="54" spans="5:60">
      <c r="E54" s="21">
        <f t="shared" si="2"/>
        <v>54</v>
      </c>
      <c r="F54" s="9" t="s">
        <v>30</v>
      </c>
      <c r="M54" s="21">
        <v>0.75</v>
      </c>
    </row>
    <row r="55" spans="5:60">
      <c r="E55" s="21">
        <f t="shared" si="2"/>
        <v>55</v>
      </c>
      <c r="F55" s="9" t="s">
        <v>101</v>
      </c>
      <c r="M55" s="21">
        <f t="shared" ref="M55" si="10">M41*10+2</f>
        <v>192022</v>
      </c>
    </row>
    <row r="56" spans="5:60">
      <c r="E56" s="21">
        <f t="shared" si="2"/>
        <v>56</v>
      </c>
      <c r="F56" s="9" t="s">
        <v>142</v>
      </c>
      <c r="M56" s="21">
        <f t="shared" ref="M56" si="11">M41</f>
        <v>19202</v>
      </c>
    </row>
    <row r="57" spans="5:60">
      <c r="E57" s="21">
        <f t="shared" si="2"/>
        <v>57</v>
      </c>
      <c r="F57" s="9" t="s">
        <v>126</v>
      </c>
      <c r="G57" s="21">
        <v>120</v>
      </c>
      <c r="H57" s="21">
        <v>120</v>
      </c>
      <c r="I57" s="21">
        <v>120</v>
      </c>
      <c r="J57" s="9">
        <v>120</v>
      </c>
      <c r="M57" s="21" cm="1">
        <f t="array" ref="M57">_xlfn.SWITCH(C40,1,G57,2,H57,3,I57,4,J57)</f>
        <v>120</v>
      </c>
    </row>
    <row r="58" spans="5:60">
      <c r="E58" s="21">
        <f t="shared" si="2"/>
        <v>58</v>
      </c>
      <c r="F58" s="9" t="s">
        <v>142</v>
      </c>
      <c r="M58" s="21">
        <f t="shared" ref="M58" si="12">M64</f>
        <v>192023</v>
      </c>
    </row>
    <row r="59" spans="5:60">
      <c r="E59" s="21">
        <f t="shared" si="2"/>
        <v>59</v>
      </c>
      <c r="F59" s="9" t="s">
        <v>127</v>
      </c>
      <c r="M59" s="21">
        <v>0</v>
      </c>
    </row>
    <row r="60" spans="5:60">
      <c r="E60" s="21">
        <f t="shared" si="2"/>
        <v>60</v>
      </c>
      <c r="F60" s="9" t="s">
        <v>119</v>
      </c>
      <c r="M60" s="26">
        <v>90</v>
      </c>
    </row>
    <row r="61" spans="5:60">
      <c r="E61" s="21">
        <f t="shared" si="2"/>
        <v>61</v>
      </c>
      <c r="F61" s="9" t="s">
        <v>120</v>
      </c>
      <c r="K61" s="9" t="s">
        <v>137</v>
      </c>
      <c r="M61" s="21">
        <v>1</v>
      </c>
    </row>
    <row r="62" spans="5:60">
      <c r="E62" s="21">
        <f t="shared" si="2"/>
        <v>62</v>
      </c>
      <c r="F62" s="9" t="s">
        <v>175</v>
      </c>
      <c r="G62" s="21" t="s">
        <v>252</v>
      </c>
      <c r="H62" s="21" t="s">
        <v>252</v>
      </c>
      <c r="I62" s="21" t="s">
        <v>254</v>
      </c>
      <c r="J62" s="9" t="s">
        <v>254</v>
      </c>
      <c r="K62" s="9" t="s">
        <v>136</v>
      </c>
      <c r="M62" s="21" t="str" cm="1">
        <f t="array" ref="M62">_xlfn.SWITCH(C40,1,G62,2,H62,3,I62,4,J62)</f>
        <v>-8.6,0</v>
      </c>
    </row>
    <row r="63" spans="5:60">
      <c r="E63" s="21">
        <f t="shared" si="2"/>
        <v>63</v>
      </c>
      <c r="F63" s="9" t="s">
        <v>35</v>
      </c>
      <c r="M63" s="21">
        <v>120</v>
      </c>
    </row>
    <row r="64" spans="5:60">
      <c r="E64" s="21">
        <f t="shared" si="2"/>
        <v>64</v>
      </c>
      <c r="F64" s="9" t="s">
        <v>101</v>
      </c>
      <c r="M64" s="21">
        <f t="shared" ref="M64" si="13">M41*10+3</f>
        <v>192023</v>
      </c>
    </row>
    <row r="65" spans="1:13">
      <c r="E65" s="21">
        <f t="shared" si="2"/>
        <v>65</v>
      </c>
      <c r="F65" s="9" t="s">
        <v>142</v>
      </c>
      <c r="M65" s="21">
        <f t="shared" ref="M65" si="14">M55</f>
        <v>192022</v>
      </c>
    </row>
    <row r="66" spans="1:13">
      <c r="E66" s="21">
        <f t="shared" si="2"/>
        <v>66</v>
      </c>
      <c r="F66" s="9" t="s">
        <v>127</v>
      </c>
      <c r="M66" s="21">
        <v>0</v>
      </c>
    </row>
    <row r="67" spans="1:13">
      <c r="E67" s="21">
        <f t="shared" si="2"/>
        <v>67</v>
      </c>
      <c r="F67" s="9" t="s">
        <v>119</v>
      </c>
      <c r="M67" s="21">
        <v>90</v>
      </c>
    </row>
    <row r="68" spans="1:13">
      <c r="E68" s="21">
        <f t="shared" si="2"/>
        <v>68</v>
      </c>
      <c r="F68" s="9" t="s">
        <v>120</v>
      </c>
      <c r="K68" s="9" t="s">
        <v>137</v>
      </c>
      <c r="M68" s="21">
        <v>1</v>
      </c>
    </row>
    <row r="69" spans="1:13">
      <c r="E69" s="21">
        <f t="shared" si="2"/>
        <v>69</v>
      </c>
      <c r="F69" s="9" t="s">
        <v>175</v>
      </c>
      <c r="G69" s="21" t="s">
        <v>254</v>
      </c>
      <c r="H69" s="21" t="s">
        <v>254</v>
      </c>
      <c r="I69" s="21" t="s">
        <v>252</v>
      </c>
      <c r="J69" s="9" t="s">
        <v>252</v>
      </c>
      <c r="K69" s="9" t="s">
        <v>136</v>
      </c>
      <c r="M69" s="21" t="str" cm="1">
        <f t="array" ref="M69">_xlfn.SWITCH(C40,1,G69,2,H69,3,I69,4,J69)</f>
        <v>8.6,0</v>
      </c>
    </row>
    <row r="70" spans="1:13">
      <c r="E70" s="21">
        <f t="shared" si="2"/>
        <v>70</v>
      </c>
      <c r="F70" s="9" t="s">
        <v>35</v>
      </c>
      <c r="M70" s="21">
        <v>120</v>
      </c>
    </row>
    <row r="71" spans="1:13">
      <c r="A71" s="21" t="s">
        <v>227</v>
      </c>
      <c r="B71" s="21">
        <f t="shared" ref="B71:B132" si="15">QUOTIENT( D71-1,G72)+1</f>
        <v>1</v>
      </c>
      <c r="C71" s="21">
        <f t="shared" ref="C71:C132" si="16">D71-(B71-1)*G72</f>
        <v>3</v>
      </c>
      <c r="D71" s="21">
        <f>COUNT($D$8:$D70)+1</f>
        <v>3</v>
      </c>
    </row>
    <row r="72" spans="1:13">
      <c r="E72" s="21">
        <f t="shared" si="2"/>
        <v>72</v>
      </c>
      <c r="F72" s="9" t="s">
        <v>93</v>
      </c>
      <c r="G72" s="21">
        <v>4</v>
      </c>
      <c r="H72" s="21">
        <v>1</v>
      </c>
      <c r="J72" s="9" t="s">
        <v>248</v>
      </c>
      <c r="M72" s="21">
        <f t="shared" ref="M72:M132" si="17">J72+D71</f>
        <v>19203</v>
      </c>
    </row>
    <row r="73" spans="1:13">
      <c r="E73" s="21">
        <f t="shared" si="2"/>
        <v>73</v>
      </c>
      <c r="F73" s="9" t="s">
        <v>142</v>
      </c>
      <c r="M73" s="21">
        <v>191109</v>
      </c>
    </row>
    <row r="74" spans="1:13">
      <c r="E74" s="21">
        <f t="shared" si="2"/>
        <v>74</v>
      </c>
      <c r="F74" s="9" t="s">
        <v>126</v>
      </c>
      <c r="G74" s="21">
        <v>0</v>
      </c>
      <c r="H74" s="21">
        <v>60</v>
      </c>
      <c r="I74" s="21">
        <v>120</v>
      </c>
      <c r="J74" s="9" t="s">
        <v>256</v>
      </c>
      <c r="M74" s="21" cm="1">
        <f t="array" ref="M74">_xlfn.SWITCH(D71,1,G74,2,H74,3,I74,4,J74)</f>
        <v>120</v>
      </c>
    </row>
    <row r="75" spans="1:13">
      <c r="E75" s="21">
        <f t="shared" si="2"/>
        <v>75</v>
      </c>
      <c r="F75" s="9" t="s">
        <v>29</v>
      </c>
      <c r="M75" s="21" t="s">
        <v>247</v>
      </c>
    </row>
    <row r="76" spans="1:13">
      <c r="E76" s="21">
        <f t="shared" ref="E76:E132" si="18">ROW(E76)</f>
        <v>76</v>
      </c>
      <c r="F76" s="9" t="s">
        <v>118</v>
      </c>
      <c r="M76" s="21" t="s">
        <v>250</v>
      </c>
    </row>
    <row r="77" spans="1:13">
      <c r="E77" s="21">
        <f t="shared" si="18"/>
        <v>77</v>
      </c>
      <c r="F77" s="9" t="s">
        <v>98</v>
      </c>
      <c r="G77" s="21" t="s">
        <v>258</v>
      </c>
      <c r="H77" s="21" t="s">
        <v>258</v>
      </c>
      <c r="I77" s="21" t="s">
        <v>260</v>
      </c>
      <c r="J77" s="9" t="s">
        <v>260</v>
      </c>
      <c r="K77" s="9" t="s">
        <v>136</v>
      </c>
      <c r="M77" s="21" t="str" cm="1">
        <f t="array" ref="M77">_xlfn.SWITCH(C71,1,G77,2,H77,3,I77,4,J77)</f>
        <v>-4.3,6</v>
      </c>
    </row>
    <row r="78" spans="1:13">
      <c r="E78" s="21">
        <f t="shared" si="18"/>
        <v>78</v>
      </c>
      <c r="F78" s="9" t="s">
        <v>117</v>
      </c>
      <c r="M78" s="21" t="b">
        <v>1</v>
      </c>
    </row>
    <row r="79" spans="1:13">
      <c r="E79" s="21">
        <f t="shared" si="18"/>
        <v>79</v>
      </c>
      <c r="F79" s="9" t="s">
        <v>196</v>
      </c>
      <c r="M79" s="21">
        <v>0</v>
      </c>
    </row>
    <row r="80" spans="1:13">
      <c r="E80" s="21">
        <f t="shared" si="18"/>
        <v>80</v>
      </c>
      <c r="F80" s="9" t="s">
        <v>113</v>
      </c>
      <c r="G80" s="21">
        <v>120</v>
      </c>
      <c r="H80" s="21">
        <v>-120</v>
      </c>
      <c r="I80" s="21">
        <v>120</v>
      </c>
      <c r="J80" s="9" t="s">
        <v>262</v>
      </c>
      <c r="L80" s="9" t="s">
        <v>134</v>
      </c>
      <c r="M80" s="21" cm="1">
        <f t="array" ref="M80">_xlfn.SWITCH(C71,1,G80,2,H80,3,I80,4,J80)</f>
        <v>120</v>
      </c>
    </row>
    <row r="81" spans="5:13">
      <c r="E81" s="21">
        <f t="shared" si="18"/>
        <v>81</v>
      </c>
      <c r="F81" s="9" t="s">
        <v>101</v>
      </c>
      <c r="M81" s="21">
        <f t="shared" ref="M81" si="19">M72*10+1</f>
        <v>192031</v>
      </c>
    </row>
    <row r="82" spans="5:13">
      <c r="E82" s="21">
        <f t="shared" si="18"/>
        <v>82</v>
      </c>
      <c r="F82" s="9" t="s">
        <v>142</v>
      </c>
      <c r="M82" s="21">
        <f t="shared" ref="M82" si="20">M72</f>
        <v>19203</v>
      </c>
    </row>
    <row r="83" spans="5:13">
      <c r="E83" s="21">
        <f t="shared" si="18"/>
        <v>83</v>
      </c>
      <c r="F83" s="9" t="s">
        <v>126</v>
      </c>
      <c r="G83" s="21">
        <v>0</v>
      </c>
      <c r="H83" s="21">
        <v>0</v>
      </c>
      <c r="I83" s="21">
        <v>0</v>
      </c>
      <c r="J83" s="9">
        <v>0</v>
      </c>
      <c r="M83" s="21" cm="1">
        <f t="array" ref="M83">_xlfn.SWITCH(C71,1,G83,2,H83,3,I83,4,J83)</f>
        <v>0</v>
      </c>
    </row>
    <row r="84" spans="5:13">
      <c r="E84" s="21">
        <f t="shared" si="18"/>
        <v>84</v>
      </c>
      <c r="F84" s="9" t="s">
        <v>31</v>
      </c>
      <c r="L84" s="9" t="s">
        <v>134</v>
      </c>
      <c r="M84" s="21">
        <v>270</v>
      </c>
    </row>
    <row r="85" spans="5:13">
      <c r="E85" s="21">
        <f t="shared" si="18"/>
        <v>85</v>
      </c>
      <c r="F85" s="9" t="s">
        <v>30</v>
      </c>
      <c r="M85" s="21">
        <v>0.75</v>
      </c>
    </row>
    <row r="86" spans="5:13">
      <c r="E86" s="21">
        <f t="shared" si="18"/>
        <v>86</v>
      </c>
      <c r="F86" s="9" t="s">
        <v>101</v>
      </c>
      <c r="M86" s="21">
        <f t="shared" ref="M86" si="21">M72*10+2</f>
        <v>192032</v>
      </c>
    </row>
    <row r="87" spans="5:13">
      <c r="E87" s="21">
        <f t="shared" si="18"/>
        <v>87</v>
      </c>
      <c r="F87" s="9" t="s">
        <v>142</v>
      </c>
      <c r="M87" s="21">
        <f t="shared" ref="M87" si="22">M72</f>
        <v>19203</v>
      </c>
    </row>
    <row r="88" spans="5:13">
      <c r="E88" s="21">
        <f t="shared" si="18"/>
        <v>88</v>
      </c>
      <c r="F88" s="9" t="s">
        <v>126</v>
      </c>
      <c r="G88" s="21">
        <v>120</v>
      </c>
      <c r="H88" s="21">
        <v>120</v>
      </c>
      <c r="I88" s="21">
        <v>120</v>
      </c>
      <c r="J88" s="9">
        <v>120</v>
      </c>
      <c r="M88" s="21" cm="1">
        <f t="array" ref="M88">_xlfn.SWITCH(C71,1,G88,2,H88,3,I88,4,J88)</f>
        <v>120</v>
      </c>
    </row>
    <row r="89" spans="5:13">
      <c r="E89" s="21">
        <f t="shared" si="18"/>
        <v>89</v>
      </c>
      <c r="F89" s="9" t="s">
        <v>142</v>
      </c>
      <c r="M89" s="21">
        <f t="shared" ref="M89" si="23">M95</f>
        <v>192033</v>
      </c>
    </row>
    <row r="90" spans="5:13">
      <c r="E90" s="21">
        <f t="shared" si="18"/>
        <v>90</v>
      </c>
      <c r="F90" s="9" t="s">
        <v>127</v>
      </c>
      <c r="M90" s="21">
        <v>0</v>
      </c>
    </row>
    <row r="91" spans="5:13">
      <c r="E91" s="21">
        <f t="shared" si="18"/>
        <v>91</v>
      </c>
      <c r="F91" s="9" t="s">
        <v>119</v>
      </c>
      <c r="M91" s="21">
        <v>90</v>
      </c>
    </row>
    <row r="92" spans="5:13">
      <c r="E92" s="21">
        <f t="shared" si="18"/>
        <v>92</v>
      </c>
      <c r="F92" s="9" t="s">
        <v>120</v>
      </c>
      <c r="K92" s="9" t="s">
        <v>137</v>
      </c>
      <c r="M92" s="21">
        <v>1</v>
      </c>
    </row>
    <row r="93" spans="5:13">
      <c r="E93" s="21">
        <f t="shared" si="18"/>
        <v>93</v>
      </c>
      <c r="F93" s="9" t="s">
        <v>175</v>
      </c>
      <c r="G93" s="21" t="s">
        <v>252</v>
      </c>
      <c r="H93" s="21" t="s">
        <v>252</v>
      </c>
      <c r="I93" s="21" t="s">
        <v>254</v>
      </c>
      <c r="J93" s="9" t="s">
        <v>254</v>
      </c>
      <c r="K93" s="9" t="s">
        <v>136</v>
      </c>
      <c r="M93" s="21" t="str" cm="1">
        <f t="array" ref="M93">_xlfn.SWITCH(C71,1,G93,2,H93,3,I93,4,J93)</f>
        <v>8.6,0</v>
      </c>
    </row>
    <row r="94" spans="5:13">
      <c r="E94" s="21">
        <f t="shared" si="18"/>
        <v>94</v>
      </c>
      <c r="F94" s="9" t="s">
        <v>35</v>
      </c>
      <c r="M94" s="21">
        <v>120</v>
      </c>
    </row>
    <row r="95" spans="5:13">
      <c r="E95" s="21">
        <f t="shared" si="18"/>
        <v>95</v>
      </c>
      <c r="F95" s="9" t="s">
        <v>101</v>
      </c>
      <c r="M95" s="21">
        <f t="shared" ref="M95" si="24">M72*10+3</f>
        <v>192033</v>
      </c>
    </row>
    <row r="96" spans="5:13">
      <c r="E96" s="21">
        <f t="shared" si="18"/>
        <v>96</v>
      </c>
      <c r="F96" s="9" t="s">
        <v>142</v>
      </c>
      <c r="M96" s="21">
        <f t="shared" ref="M96" si="25">M86</f>
        <v>192032</v>
      </c>
    </row>
    <row r="97" spans="1:13">
      <c r="E97" s="21">
        <f t="shared" si="18"/>
        <v>97</v>
      </c>
      <c r="F97" s="9" t="s">
        <v>127</v>
      </c>
      <c r="M97" s="21">
        <v>0</v>
      </c>
    </row>
    <row r="98" spans="1:13">
      <c r="E98" s="21">
        <f t="shared" si="18"/>
        <v>98</v>
      </c>
      <c r="F98" s="9" t="s">
        <v>119</v>
      </c>
      <c r="M98" s="21">
        <v>90</v>
      </c>
    </row>
    <row r="99" spans="1:13">
      <c r="E99" s="21">
        <f t="shared" si="18"/>
        <v>99</v>
      </c>
      <c r="F99" s="9" t="s">
        <v>120</v>
      </c>
      <c r="K99" s="9" t="s">
        <v>137</v>
      </c>
      <c r="M99" s="21">
        <v>1</v>
      </c>
    </row>
    <row r="100" spans="1:13">
      <c r="E100" s="21">
        <f t="shared" si="18"/>
        <v>100</v>
      </c>
      <c r="F100" s="9" t="s">
        <v>175</v>
      </c>
      <c r="G100" s="21" t="s">
        <v>254</v>
      </c>
      <c r="H100" s="21" t="s">
        <v>254</v>
      </c>
      <c r="I100" s="21" t="s">
        <v>252</v>
      </c>
      <c r="J100" s="9" t="s">
        <v>252</v>
      </c>
      <c r="K100" s="9" t="s">
        <v>136</v>
      </c>
      <c r="M100" s="21" t="str" cm="1">
        <f t="array" ref="M100">_xlfn.SWITCH(C71,1,G100,2,H100,3,I100,4,J100)</f>
        <v>-8.6,0</v>
      </c>
    </row>
    <row r="101" spans="1:13">
      <c r="E101" s="21">
        <f t="shared" si="18"/>
        <v>101</v>
      </c>
      <c r="F101" s="9" t="s">
        <v>35</v>
      </c>
      <c r="M101" s="21">
        <v>120</v>
      </c>
    </row>
    <row r="102" spans="1:13">
      <c r="A102" s="21" t="s">
        <v>227</v>
      </c>
      <c r="B102" s="21">
        <f t="shared" ref="B102:B132" si="26">QUOTIENT( D102-1,G103)+1</f>
        <v>1</v>
      </c>
      <c r="C102" s="21">
        <f t="shared" ref="C102:C132" si="27">D102-(B102-1)*G103</f>
        <v>4</v>
      </c>
      <c r="D102" s="21">
        <f>COUNT($D$8:$D101)+1</f>
        <v>4</v>
      </c>
    </row>
    <row r="103" spans="1:13">
      <c r="E103" s="21">
        <f t="shared" si="18"/>
        <v>103</v>
      </c>
      <c r="F103" s="9" t="s">
        <v>93</v>
      </c>
      <c r="G103" s="21">
        <v>4</v>
      </c>
      <c r="H103" s="21">
        <v>1</v>
      </c>
      <c r="J103" s="9" t="s">
        <v>248</v>
      </c>
      <c r="M103" s="21">
        <f t="shared" ref="M103:M132" si="28">J103+D102</f>
        <v>19204</v>
      </c>
    </row>
    <row r="104" spans="1:13">
      <c r="E104" s="21">
        <f t="shared" si="18"/>
        <v>104</v>
      </c>
      <c r="F104" s="9" t="s">
        <v>142</v>
      </c>
      <c r="M104" s="21">
        <v>191109</v>
      </c>
    </row>
    <row r="105" spans="1:13">
      <c r="E105" s="21">
        <f t="shared" si="18"/>
        <v>105</v>
      </c>
      <c r="F105" s="9" t="s">
        <v>126</v>
      </c>
      <c r="G105" s="21">
        <v>0</v>
      </c>
      <c r="H105" s="21">
        <v>60</v>
      </c>
      <c r="I105" s="21">
        <v>120</v>
      </c>
      <c r="J105" s="9" t="s">
        <v>256</v>
      </c>
      <c r="M105" s="21" t="str" cm="1">
        <f t="array" ref="M105">_xlfn.SWITCH(D102,1,G105,2,H105,3,I105,4,J105)</f>
        <v>180</v>
      </c>
    </row>
    <row r="106" spans="1:13">
      <c r="E106" s="21">
        <f t="shared" si="18"/>
        <v>106</v>
      </c>
      <c r="F106" s="9" t="s">
        <v>29</v>
      </c>
      <c r="M106" s="21" t="s">
        <v>247</v>
      </c>
    </row>
    <row r="107" spans="1:13">
      <c r="E107" s="21">
        <f t="shared" si="18"/>
        <v>107</v>
      </c>
      <c r="F107" s="9" t="s">
        <v>118</v>
      </c>
      <c r="M107" s="21" t="s">
        <v>250</v>
      </c>
    </row>
    <row r="108" spans="1:13">
      <c r="E108" s="21">
        <f t="shared" si="18"/>
        <v>108</v>
      </c>
      <c r="F108" s="9" t="s">
        <v>98</v>
      </c>
      <c r="G108" s="21" t="s">
        <v>258</v>
      </c>
      <c r="H108" s="21" t="s">
        <v>258</v>
      </c>
      <c r="I108" s="21" t="s">
        <v>260</v>
      </c>
      <c r="J108" s="9" t="s">
        <v>260</v>
      </c>
      <c r="K108" s="9" t="s">
        <v>136</v>
      </c>
      <c r="M108" s="21" t="str" cm="1">
        <f t="array" ref="M108">_xlfn.SWITCH(C102,1,G108,2,H108,3,I108,4,J108)</f>
        <v>-4.3,6</v>
      </c>
    </row>
    <row r="109" spans="1:13">
      <c r="E109" s="21">
        <f t="shared" si="18"/>
        <v>109</v>
      </c>
      <c r="F109" s="9" t="s">
        <v>117</v>
      </c>
      <c r="M109" s="21" t="b">
        <v>1</v>
      </c>
    </row>
    <row r="110" spans="1:13">
      <c r="E110" s="21">
        <f t="shared" si="18"/>
        <v>110</v>
      </c>
      <c r="F110" s="9" t="s">
        <v>196</v>
      </c>
      <c r="M110" s="21">
        <v>0</v>
      </c>
    </row>
    <row r="111" spans="1:13">
      <c r="E111" s="21">
        <f t="shared" si="18"/>
        <v>111</v>
      </c>
      <c r="F111" s="9" t="s">
        <v>113</v>
      </c>
      <c r="G111" s="21">
        <v>120</v>
      </c>
      <c r="H111" s="21">
        <v>-120</v>
      </c>
      <c r="I111" s="21">
        <v>120</v>
      </c>
      <c r="J111" s="9" t="s">
        <v>262</v>
      </c>
      <c r="L111" s="9" t="s">
        <v>134</v>
      </c>
      <c r="M111" s="21" t="str" cm="1">
        <f t="array" ref="M111">_xlfn.SWITCH(C102,1,G111,2,H111,3,I111,4,J111)</f>
        <v>-120</v>
      </c>
    </row>
    <row r="112" spans="1:13">
      <c r="E112" s="21">
        <f t="shared" si="18"/>
        <v>112</v>
      </c>
      <c r="F112" s="9" t="s">
        <v>101</v>
      </c>
      <c r="M112" s="21">
        <f t="shared" ref="M112" si="29">M103*10+1</f>
        <v>192041</v>
      </c>
    </row>
    <row r="113" spans="5:13">
      <c r="E113" s="21">
        <f t="shared" si="18"/>
        <v>113</v>
      </c>
      <c r="F113" s="9" t="s">
        <v>142</v>
      </c>
      <c r="M113" s="21">
        <f t="shared" ref="M113" si="30">M103</f>
        <v>19204</v>
      </c>
    </row>
    <row r="114" spans="5:13">
      <c r="E114" s="21">
        <f t="shared" si="18"/>
        <v>114</v>
      </c>
      <c r="F114" s="9" t="s">
        <v>126</v>
      </c>
      <c r="G114" s="21">
        <v>0</v>
      </c>
      <c r="H114" s="21">
        <v>0</v>
      </c>
      <c r="I114" s="21">
        <v>0</v>
      </c>
      <c r="J114" s="9">
        <v>0</v>
      </c>
      <c r="M114" s="21" cm="1">
        <f t="array" ref="M114">_xlfn.SWITCH(C102,1,G114,2,H114,3,I114,4,J114)</f>
        <v>0</v>
      </c>
    </row>
    <row r="115" spans="5:13">
      <c r="E115" s="21">
        <f t="shared" si="18"/>
        <v>115</v>
      </c>
      <c r="F115" s="9" t="s">
        <v>31</v>
      </c>
      <c r="L115" s="9" t="s">
        <v>134</v>
      </c>
      <c r="M115" s="21">
        <v>270</v>
      </c>
    </row>
    <row r="116" spans="5:13">
      <c r="E116" s="21">
        <f t="shared" si="18"/>
        <v>116</v>
      </c>
      <c r="F116" s="9" t="s">
        <v>30</v>
      </c>
      <c r="M116" s="21">
        <v>0.75</v>
      </c>
    </row>
    <row r="117" spans="5:13">
      <c r="E117" s="21">
        <f t="shared" si="18"/>
        <v>117</v>
      </c>
      <c r="F117" s="9" t="s">
        <v>101</v>
      </c>
      <c r="M117" s="21">
        <f t="shared" ref="M117" si="31">M103*10+2</f>
        <v>192042</v>
      </c>
    </row>
    <row r="118" spans="5:13">
      <c r="E118" s="21">
        <f t="shared" si="18"/>
        <v>118</v>
      </c>
      <c r="F118" s="9" t="s">
        <v>142</v>
      </c>
      <c r="M118" s="21">
        <f t="shared" ref="M118" si="32">M103</f>
        <v>19204</v>
      </c>
    </row>
    <row r="119" spans="5:13">
      <c r="E119" s="21">
        <f t="shared" si="18"/>
        <v>119</v>
      </c>
      <c r="F119" s="9" t="s">
        <v>126</v>
      </c>
      <c r="G119" s="21">
        <v>120</v>
      </c>
      <c r="H119" s="21">
        <v>120</v>
      </c>
      <c r="I119" s="21">
        <v>120</v>
      </c>
      <c r="J119" s="9">
        <v>120</v>
      </c>
      <c r="M119" s="21" cm="1">
        <f t="array" ref="M119">_xlfn.SWITCH(C102,1,G119,2,H119,3,I119,4,J119)</f>
        <v>120</v>
      </c>
    </row>
    <row r="120" spans="5:13">
      <c r="E120" s="21">
        <f t="shared" si="18"/>
        <v>120</v>
      </c>
      <c r="F120" s="9" t="s">
        <v>142</v>
      </c>
      <c r="M120" s="21">
        <f t="shared" ref="M120" si="33">M126</f>
        <v>192043</v>
      </c>
    </row>
    <row r="121" spans="5:13">
      <c r="E121" s="21">
        <f t="shared" si="18"/>
        <v>121</v>
      </c>
      <c r="F121" s="9" t="s">
        <v>127</v>
      </c>
      <c r="M121" s="21">
        <v>0</v>
      </c>
    </row>
    <row r="122" spans="5:13">
      <c r="E122" s="21">
        <f t="shared" si="18"/>
        <v>122</v>
      </c>
      <c r="F122" s="9" t="s">
        <v>119</v>
      </c>
      <c r="M122" s="21">
        <v>90</v>
      </c>
    </row>
    <row r="123" spans="5:13">
      <c r="E123" s="21">
        <f t="shared" si="18"/>
        <v>123</v>
      </c>
      <c r="F123" s="9" t="s">
        <v>120</v>
      </c>
      <c r="K123" s="9" t="s">
        <v>137</v>
      </c>
      <c r="M123" s="21">
        <v>1</v>
      </c>
    </row>
    <row r="124" spans="5:13">
      <c r="E124" s="21">
        <f t="shared" si="18"/>
        <v>124</v>
      </c>
      <c r="F124" s="9" t="s">
        <v>175</v>
      </c>
      <c r="G124" s="21" t="s">
        <v>252</v>
      </c>
      <c r="H124" s="21" t="s">
        <v>252</v>
      </c>
      <c r="I124" s="21" t="s">
        <v>254</v>
      </c>
      <c r="J124" s="9" t="s">
        <v>254</v>
      </c>
      <c r="K124" s="9" t="s">
        <v>136</v>
      </c>
      <c r="M124" s="21" t="str" cm="1">
        <f t="array" ref="M124">_xlfn.SWITCH(C102,1,G124,2,H124,3,I124,4,J124)</f>
        <v>8.6,0</v>
      </c>
    </row>
    <row r="125" spans="5:13">
      <c r="E125" s="21">
        <f t="shared" si="18"/>
        <v>125</v>
      </c>
      <c r="F125" s="9" t="s">
        <v>35</v>
      </c>
      <c r="M125" s="21">
        <v>120</v>
      </c>
    </row>
    <row r="126" spans="5:13">
      <c r="E126" s="21">
        <f t="shared" si="18"/>
        <v>126</v>
      </c>
      <c r="F126" s="9" t="s">
        <v>101</v>
      </c>
      <c r="M126" s="21">
        <f t="shared" ref="M126" si="34">M103*10+3</f>
        <v>192043</v>
      </c>
    </row>
    <row r="127" spans="5:13">
      <c r="E127" s="21">
        <f t="shared" si="18"/>
        <v>127</v>
      </c>
      <c r="F127" s="9" t="s">
        <v>142</v>
      </c>
      <c r="M127" s="21">
        <f t="shared" ref="M127" si="35">M117</f>
        <v>192042</v>
      </c>
    </row>
    <row r="128" spans="5:13">
      <c r="E128" s="21">
        <f t="shared" si="18"/>
        <v>128</v>
      </c>
      <c r="F128" s="9" t="s">
        <v>127</v>
      </c>
      <c r="M128" s="21">
        <v>0</v>
      </c>
    </row>
    <row r="129" spans="5:13">
      <c r="E129" s="21">
        <f t="shared" si="18"/>
        <v>129</v>
      </c>
      <c r="F129" s="9" t="s">
        <v>119</v>
      </c>
      <c r="M129" s="21">
        <v>90</v>
      </c>
    </row>
    <row r="130" spans="5:13">
      <c r="E130" s="21">
        <f t="shared" si="18"/>
        <v>130</v>
      </c>
      <c r="F130" s="9" t="s">
        <v>120</v>
      </c>
      <c r="K130" s="9" t="s">
        <v>137</v>
      </c>
      <c r="M130" s="21">
        <v>1</v>
      </c>
    </row>
    <row r="131" spans="5:13">
      <c r="E131" s="21">
        <f t="shared" si="18"/>
        <v>131</v>
      </c>
      <c r="F131" s="9" t="s">
        <v>175</v>
      </c>
      <c r="G131" s="21" t="s">
        <v>254</v>
      </c>
      <c r="H131" s="21" t="s">
        <v>254</v>
      </c>
      <c r="I131" s="21" t="s">
        <v>252</v>
      </c>
      <c r="J131" s="9" t="s">
        <v>252</v>
      </c>
      <c r="K131" s="9" t="s">
        <v>136</v>
      </c>
      <c r="M131" s="21" t="str" cm="1">
        <f t="array" ref="M131">_xlfn.SWITCH(C102,1,G131,2,H131,3,I131,4,J131)</f>
        <v>-8.6,0</v>
      </c>
    </row>
    <row r="132" spans="5:13">
      <c r="E132" s="21">
        <f t="shared" si="18"/>
        <v>132</v>
      </c>
      <c r="F132" s="9" t="s">
        <v>35</v>
      </c>
      <c r="M132" s="21">
        <v>120</v>
      </c>
    </row>
  </sheetData>
  <phoneticPr fontId="2" type="noConversion"/>
  <conditionalFormatting sqref="BE1:XFD1 E1:I1">
    <cfRule type="duplicateValues" dxfId="49" priority="1882"/>
  </conditionalFormatting>
  <conditionalFormatting sqref="F1:F2">
    <cfRule type="cellIs" dxfId="48" priority="1383" operator="equal">
      <formula>"ID"</formula>
    </cfRule>
    <cfRule type="cellIs" dxfId="47" priority="1798" operator="equal">
      <formula>"行動序號"</formula>
    </cfRule>
  </conditionalFormatting>
  <conditionalFormatting sqref="J1">
    <cfRule type="duplicateValues" dxfId="46" priority="1381"/>
  </conditionalFormatting>
  <conditionalFormatting sqref="K1:L1">
    <cfRule type="duplicateValues" dxfId="45" priority="1378"/>
  </conditionalFormatting>
  <conditionalFormatting sqref="M1:M1048576">
    <cfRule type="expression" dxfId="44" priority="993">
      <formula>_xlfn.ISFORMULA(M1)</formula>
    </cfRule>
  </conditionalFormatting>
  <conditionalFormatting sqref="N1:BD1">
    <cfRule type="duplicateValues" dxfId="43" priority="1898"/>
  </conditionalFormatting>
  <conditionalFormatting sqref="F1:F1048576">
    <cfRule type="cellIs" dxfId="42" priority="96" operator="equal">
      <formula>"ID"</formula>
    </cfRule>
    <cfRule type="cellIs" dxfId="41" priority="97" operator="equal">
      <formula>"行動ID"</formula>
    </cfRule>
  </conditionalFormatting>
  <conditionalFormatting sqref="M1:M1048576">
    <cfRule type="expression" dxfId="40" priority="57">
      <formula>AND(_xlfn.ISFORMULA(M1),OR($F1="行動ID", $F1="ID"))</formula>
    </cfRule>
    <cfRule type="expression" dxfId="39" priority="59">
      <formula>OR($F1="行動ID", $F1="ID")</formula>
    </cfRule>
  </conditionalFormatting>
  <dataValidations count="1">
    <dataValidation type="list" allowBlank="1" showInputMessage="1" showErrorMessage="1" sqref="L5 L7 L8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235</v>
      </c>
      <c r="C50" s="7" t="s">
        <v>236</v>
      </c>
      <c r="E50" t="str">
        <f t="shared" si="0"/>
        <v>記錄位置,</v>
      </c>
      <c r="H50"/>
    </row>
    <row r="51" spans="1:8">
      <c r="A51" s="7" t="s">
        <v>27</v>
      </c>
      <c r="B51" s="7" t="s">
        <v>237</v>
      </c>
      <c r="C51" s="7" t="s">
        <v>238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230</v>
      </c>
      <c r="C61" s="7" t="s">
        <v>231</v>
      </c>
      <c r="E61" t="str">
        <f t="shared" si="0"/>
        <v>子旋轉角度,</v>
      </c>
      <c r="H61"/>
    </row>
    <row r="62" spans="1:8">
      <c r="A62" s="7" t="s">
        <v>27</v>
      </c>
      <c r="B62" s="24" t="s">
        <v>232</v>
      </c>
      <c r="C62" s="7" t="s">
        <v>233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239</v>
      </c>
      <c r="C63" s="7" t="s">
        <v>240</v>
      </c>
      <c r="E63" t="str">
        <f t="shared" si="0"/>
        <v>記錄角度,</v>
      </c>
      <c r="H63"/>
    </row>
    <row r="64" spans="1:8">
      <c r="A64" s="7" t="s">
        <v>27</v>
      </c>
      <c r="B64" s="7" t="s">
        <v>242</v>
      </c>
      <c r="C64" s="7" t="s">
        <v>241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243</v>
      </c>
      <c r="C116" s="7" t="s">
        <v>24</v>
      </c>
      <c r="H116"/>
    </row>
    <row r="117" spans="1:12">
      <c r="A117" s="7" t="s">
        <v>140</v>
      </c>
      <c r="B117" s="7" t="s">
        <v>245</v>
      </c>
      <c r="C117" s="7" t="s">
        <v>246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243</v>
      </c>
      <c r="D7" s="19"/>
      <c r="G7" s="9"/>
    </row>
    <row r="8" spans="1:10">
      <c r="A8" s="19" t="s">
        <v>145</v>
      </c>
      <c r="B8" s="23"/>
      <c r="C8" s="7" t="s">
        <v>245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228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239</v>
      </c>
      <c r="C50"/>
      <c r="G50" s="9"/>
    </row>
    <row r="51" spans="1:8">
      <c r="A51" s="24" t="s">
        <v>244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234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230</v>
      </c>
      <c r="G61" s="9"/>
    </row>
    <row r="62" spans="1:8">
      <c r="A62" s="24" t="s">
        <v>232</v>
      </c>
      <c r="G62" s="9"/>
    </row>
    <row r="63" spans="1:8">
      <c r="A63" s="24" t="s">
        <v>239</v>
      </c>
      <c r="G63" s="9"/>
    </row>
    <row r="64" spans="1:8">
      <c r="A64" s="24" t="s">
        <v>242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stage7_card11shot1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2025-04-24T16:33:52Z</dcterms:modified>
</cp:coreProperties>
</file>