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C491B126-DC6E-47F2-AF88-CEDC172DA07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8shot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4" i="1" l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2" i="1"/>
  <c r="E41" i="1"/>
  <c r="E40" i="1"/>
  <c r="E39" i="1"/>
  <c r="E38" i="1"/>
  <c r="E37" i="1"/>
  <c r="E36" i="1"/>
  <c r="E35" i="1"/>
  <c r="E34" i="1"/>
  <c r="E33" i="1"/>
  <c r="E32" i="1"/>
  <c r="E31" i="1"/>
  <c r="M30" i="1"/>
  <c r="E30" i="1"/>
  <c r="D29" i="1"/>
  <c r="C29" i="1"/>
  <c r="M37" i="1" s="1"/>
  <c r="B29" i="1"/>
  <c r="E28" i="1"/>
  <c r="E27" i="1"/>
  <c r="D43" i="1" l="1"/>
  <c r="D57" i="1" s="1"/>
  <c r="M58" i="1" l="1"/>
  <c r="B57" i="1"/>
  <c r="C57" i="1" s="1"/>
  <c r="M65" i="1" s="1"/>
  <c r="D85" i="1"/>
  <c r="D99" i="1"/>
  <c r="D113" i="1" s="1"/>
  <c r="D71" i="1"/>
  <c r="M44" i="1"/>
  <c r="C43" i="1"/>
  <c r="M51" i="1" s="1"/>
  <c r="B43" i="1"/>
  <c r="M114" i="1" l="1"/>
  <c r="B113" i="1"/>
  <c r="C113" i="1" s="1"/>
  <c r="M121" i="1" s="1"/>
  <c r="M86" i="1"/>
  <c r="B85" i="1"/>
  <c r="C85" i="1" s="1"/>
  <c r="M93" i="1" s="1"/>
  <c r="M100" i="1"/>
  <c r="B99" i="1"/>
  <c r="C99" i="1" s="1"/>
  <c r="M107" i="1" s="1"/>
  <c r="D127" i="1"/>
  <c r="M72" i="1"/>
  <c r="B71" i="1"/>
  <c r="C71" i="1" s="1"/>
  <c r="M79" i="1" s="1"/>
  <c r="M128" i="1" l="1"/>
  <c r="B127" i="1"/>
  <c r="C127" i="1" s="1"/>
  <c r="M135" i="1" s="1"/>
  <c r="D141" i="1"/>
  <c r="D155" i="1" l="1"/>
  <c r="D183" i="1" s="1"/>
  <c r="M142" i="1"/>
  <c r="B141" i="1"/>
  <c r="C141" i="1"/>
  <c r="M149" i="1" s="1"/>
  <c r="D169" i="1"/>
  <c r="M184" i="1" l="1"/>
  <c r="B183" i="1"/>
  <c r="C183" i="1" s="1"/>
  <c r="M191" i="1" s="1"/>
  <c r="D197" i="1"/>
  <c r="M170" i="1"/>
  <c r="B169" i="1"/>
  <c r="C169" i="1" s="1"/>
  <c r="M177" i="1" s="1"/>
  <c r="M156" i="1"/>
  <c r="B155" i="1"/>
  <c r="C155" i="1" s="1"/>
  <c r="M163" i="1" s="1"/>
  <c r="M198" i="1" l="1"/>
  <c r="B197" i="1"/>
  <c r="C197" i="1" s="1"/>
  <c r="M205" i="1" s="1"/>
  <c r="D211" i="1"/>
  <c r="E24" i="1"/>
  <c r="E25" i="1"/>
  <c r="E23" i="1"/>
  <c r="E22" i="1"/>
  <c r="M212" i="1" l="1"/>
  <c r="B211" i="1"/>
  <c r="C211" i="1" s="1"/>
  <c r="M219" i="1" s="1"/>
  <c r="D225" i="1"/>
  <c r="E21" i="1"/>
  <c r="E26" i="1"/>
  <c r="E20" i="1"/>
  <c r="M226" i="1" l="1"/>
  <c r="B225" i="1"/>
  <c r="C225" i="1" s="1"/>
  <c r="M233" i="1" s="1"/>
  <c r="D239" i="1"/>
  <c r="D15" i="1"/>
  <c r="E19" i="1"/>
  <c r="E18" i="1"/>
  <c r="E17" i="1"/>
  <c r="E16" i="1"/>
  <c r="A14" i="1"/>
  <c r="M240" i="1" l="1"/>
  <c r="B239" i="1"/>
  <c r="C239" i="1"/>
  <c r="M247" i="1" s="1"/>
  <c r="D253" i="1"/>
  <c r="M16" i="1"/>
  <c r="M254" i="1" l="1"/>
  <c r="B253" i="1"/>
  <c r="C253" i="1" s="1"/>
  <c r="M261" i="1" s="1"/>
  <c r="D267" i="1"/>
  <c r="B15" i="1"/>
  <c r="M268" i="1" l="1"/>
  <c r="B267" i="1"/>
  <c r="C267" i="1" s="1"/>
  <c r="M275" i="1" s="1"/>
  <c r="D281" i="1"/>
  <c r="C15" i="1"/>
  <c r="M23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282" i="1" l="1"/>
  <c r="B281" i="1"/>
  <c r="C281" i="1" s="1"/>
  <c r="M289" i="1" s="1"/>
</calcChain>
</file>

<file path=xl/sharedStrings.xml><?xml version="1.0" encoding="utf-8"?>
<sst xmlns="http://schemas.openxmlformats.org/spreadsheetml/2006/main" count="836" uniqueCount="254">
  <si>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</si>
  <si>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</si>
  <si>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</si>
  <si>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</si>
  <si>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</si>
  <si>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</si>
  <si>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</si>
  <si>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</si>
  <si>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</si>
  <si>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</si>
  <si>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</si>
  <si>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</si>
  <si>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</si>
  <si>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</si>
  <si>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</si>
  <si>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</si>
  <si>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</si>
  <si>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</si>
  <si>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</si>
  <si>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</si>
  <si>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</si>
  <si>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</si>
  <si>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</si>
  <si>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</si>
  <si>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</si>
  <si>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</si>
  <si>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</si>
  <si>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</si>
  <si>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</si>
  <si>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</si>
  <si>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</si>
  <si>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</si>
  <si>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</si>
  <si>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</si>
  <si>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</si>
  <si>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</si>
  <si>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</si>
  <si>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</si>
  <si>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</si>
  <si>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</si>
  <si>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</si>
  <si>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</si>
  <si>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</si>
  <si>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</si>
  <si>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</si>
  <si>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</si>
  <si>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</si>
  <si>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</si>
  <si>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</si>
  <si>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</si>
  <si>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</si>
  <si>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</si>
  <si>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</si>
  <si>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</si>
  <si>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</si>
  <si>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</si>
  <si>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</si>
  <si>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</si>
  <si>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</si>
  <si>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</si>
  <si>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</si>
  <si>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</si>
  <si>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</si>
  <si>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</si>
  <si>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</si>
  <si>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</si>
  <si>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</si>
  <si>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</si>
  <si>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</si>
  <si>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</si>
  <si>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</si>
  <si>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</si>
  <si>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</si>
  <si>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</si>
  <si>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</si>
  <si>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</si>
  <si>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</si>
  <si>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</si>
  <si>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</si>
  <si>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</si>
  <si>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</si>
  <si>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</si>
  <si>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</si>
  <si>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</si>
  <si>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</si>
  <si>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</si>
  <si>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</si>
  <si>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</si>
  <si>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</si>
  <si>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</si>
  <si>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</si>
  <si>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</si>
  <si>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</si>
  <si>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</si>
  <si>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</si>
  <si>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</si>
  <si>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</si>
  <si>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</si>
  <si>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</si>
  <si>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</si>
  <si>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</si>
  <si>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</si>
  <si>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</si>
  <si>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</si>
  <si>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</si>
  <si>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</si>
  <si>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</si>
  <si>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</si>
  <si>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</si>
  <si>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</si>
  <si>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</si>
  <si>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</si>
  <si>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</si>
  <si>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</si>
  <si>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</si>
  <si>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</si>
  <si>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</si>
  <si>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</si>
  <si>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</si>
  <si>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</si>
  <si>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</si>
  <si>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</si>
  <si>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</si>
  <si>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</si>
  <si>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</si>
  <si>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</si>
  <si>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</si>
  <si>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</si>
  <si>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</si>
  <si>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</si>
  <si>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</si>
  <si>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</si>
  <si>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</si>
  <si>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</si>
  <si>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</si>
  <si>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</si>
  <si>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</si>
  <si>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</si>
  <si>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</si>
  <si>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</si>
  <si>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</si>
  <si>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</si>
  <si>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</si>
  <si>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</si>
  <si>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</si>
  <si>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</si>
  <si>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</si>
  <si>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</si>
  <si>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</si>
  <si>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</si>
  <si>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</si>
  <si>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</si>
  <si>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</si>
  <si>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</si>
  <si>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</si>
  <si>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</si>
  <si>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</si>
  <si>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</si>
  <si>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</si>
  <si>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</si>
  <si>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</si>
  <si>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</si>
  <si>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</si>
  <si>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</si>
  <si>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</si>
  <si>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</si>
  <si>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</si>
  <si>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</si>
  <si>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</si>
  <si>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</si>
  <si>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</si>
  <si>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</si>
  <si>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</si>
  <si>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</si>
  <si>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</si>
  <si>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</si>
  <si>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</si>
  <si>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</si>
  <si>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</si>
  <si>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</si>
  <si>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</si>
  <si>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</si>
  <si>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</si>
  <si>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</si>
  <si>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</si>
  <si>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</si>
  <si>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</si>
  <si>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</si>
  <si>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</si>
  <si>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</si>
  <si>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</si>
  <si>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</si>
  <si>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</si>
  <si>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</si>
  <si>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</si>
  <si>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</si>
  <si>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</si>
  <si>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</si>
  <si>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</si>
  <si>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</si>
  <si>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</si>
  <si>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</si>
  <si>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</si>
  <si>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</si>
  <si>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</si>
  <si>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</si>
  <si>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</si>
  <si>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</si>
  <si>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</si>
  <si>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</si>
  <si>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</si>
  <si>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</si>
  <si>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</si>
  <si>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</si>
  <si>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</si>
  <si>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</si>
  <si>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</si>
  <si>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</si>
  <si>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</si>
  <si>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</si>
  <si>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</si>
  <si>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</si>
  <si>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</si>
  <si>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</si>
  <si>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</si>
  <si>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</si>
  <si>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</si>
  <si>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</si>
  <si>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</si>
  <si>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</si>
  <si>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</si>
  <si>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</si>
  <si>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</si>
  <si>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</si>
  <si>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</si>
  <si>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</si>
  <si>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</si>
  <si>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</si>
  <si>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</si>
  <si>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</si>
  <si>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</si>
  <si>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</si>
  <si>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</si>
  <si>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</si>
  <si>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</si>
  <si>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</si>
  <si>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</si>
  <si>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</si>
  <si>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2,3</t>
  </si>
  <si>
    <t>2,3</t>
    <phoneticPr fontId="2" type="noConversion"/>
  </si>
  <si>
    <t>EnemyShot2</t>
  </si>
  <si>
    <t>EnemyShot2</t>
    <phoneticPr fontId="2" type="noConversion"/>
  </si>
  <si>
    <t>Shot2_black</t>
  </si>
  <si>
    <t>Shot2_black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</si>
</sst>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94"/>
  <sheetViews>
    <sheetView tabSelected="1" zoomScale="115" zoomScaleNormal="115" workbookViewId="0">
      <pane ySplit="1" topLeftCell="A14" activePane="bottomLeft" state="frozen"/>
      <selection pane="bottomLeft" activeCell="N24" sqref="N24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 ht="23.25" customHeight="1">
      <c r="B12" s="9"/>
      <c r="C12" s="9"/>
      <c r="D12" s="9"/>
    </row>
    <row r="14" spans="1:60">
      <c r="A14" s="21">
        <f>G16*H16</f>
        <v>20</v>
      </c>
      <c r="B14" s="9"/>
      <c r="C14" s="9"/>
      <c r="D14" s="9"/>
      <c r="R14" s="12"/>
      <c r="S14" s="9"/>
      <c r="U14" s="12"/>
      <c r="X14" s="15"/>
      <c r="AE14" s="16"/>
      <c r="BH14" s="9"/>
    </row>
    <row r="15" spans="1:60">
      <c r="A15" s="9" t="s">
        <v>228</v>
      </c>
      <c r="B15" s="21">
        <f>QUOTIENT( D15-1,G16)+1</f>
        <v>1</v>
      </c>
      <c r="C15" s="21">
        <f>D15-(B15-1)*G16</f>
        <v>1</v>
      </c>
      <c r="D15" s="21">
        <f>COUNT($D$14:$D14)+1</f>
        <v>1</v>
      </c>
      <c r="R15" s="12"/>
      <c r="S15" s="9"/>
      <c r="U15" s="12"/>
      <c r="X15" s="15"/>
      <c r="AE15" s="16"/>
      <c r="BH15" s="9"/>
    </row>
    <row r="16" spans="1:60">
      <c r="A16" s="9"/>
      <c r="B16" s="9"/>
      <c r="E16" s="21">
        <f>ROW(E16)</f>
        <v>16</v>
      </c>
      <c r="F16" s="9" t="s">
        <v>93</v>
      </c>
      <c r="G16" s="21">
        <v>20</v>
      </c>
      <c r="H16" s="21">
        <v>1</v>
      </c>
      <c r="J16" s="21">
        <v>17600</v>
      </c>
      <c r="M16" s="21">
        <f>J16+D15</f>
        <v>17601</v>
      </c>
      <c r="R16" s="12"/>
      <c r="S16" s="9"/>
      <c r="U16" s="12"/>
      <c r="X16" s="15"/>
      <c r="AE16" s="16"/>
      <c r="BH16" s="9"/>
    </row>
    <row r="17" spans="1:60">
      <c r="A17" s="9"/>
      <c r="B17" s="9"/>
      <c r="E17" s="21">
        <f t="shared" ref="E17:E28" si="0">ROW(E17)</f>
        <v>17</v>
      </c>
      <c r="F17" s="9" t="s">
        <v>143</v>
      </c>
      <c r="M17" s="21">
        <v>173109</v>
      </c>
      <c r="R17" s="12"/>
      <c r="S17" s="9"/>
      <c r="U17" s="12"/>
      <c r="X17" s="15"/>
      <c r="AE17" s="16"/>
      <c r="BH17" s="9"/>
    </row>
    <row r="18" spans="1:60">
      <c r="A18" s="9"/>
      <c r="B18" s="9"/>
      <c r="E18" s="21">
        <f t="shared" si="0"/>
        <v>18</v>
      </c>
      <c r="F18" s="9" t="s">
        <v>127</v>
      </c>
      <c r="M18" s="27">
        <v>0</v>
      </c>
      <c r="R18" s="12"/>
      <c r="S18" s="9"/>
      <c r="U18" s="12"/>
      <c r="X18" s="15"/>
      <c r="AE18" s="16"/>
      <c r="BH18" s="9"/>
    </row>
    <row r="19" spans="1:60">
      <c r="A19" s="9"/>
      <c r="B19" s="9"/>
      <c r="E19" s="21">
        <f t="shared" si="0"/>
        <v>19</v>
      </c>
      <c r="F19" s="9" t="s">
        <v>96</v>
      </c>
      <c r="M19" s="21" t="s">
        <v>251</v>
      </c>
      <c r="R19" s="12"/>
      <c r="S19" s="9"/>
      <c r="U19" s="12"/>
      <c r="X19" s="15"/>
      <c r="AE19" s="16"/>
      <c r="BH19" s="9"/>
    </row>
    <row r="20" spans="1:60">
      <c r="A20" s="9"/>
      <c r="B20" s="9"/>
      <c r="E20" s="21">
        <f t="shared" si="0"/>
        <v>20</v>
      </c>
      <c r="F20" s="9" t="s">
        <v>119</v>
      </c>
      <c r="M20" s="21" t="s">
        <v>253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 t="shared" si="0"/>
        <v>21</v>
      </c>
      <c r="F21" s="9" t="s">
        <v>99</v>
      </c>
      <c r="G21" s="26"/>
      <c r="H21" s="28"/>
      <c r="I21" s="27"/>
      <c r="J21" s="27"/>
      <c r="K21" s="9" t="s">
        <v>138</v>
      </c>
      <c r="M21" s="27">
        <v>2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 t="shared" si="0"/>
        <v>22</v>
      </c>
      <c r="F22" s="9" t="s">
        <v>31</v>
      </c>
      <c r="G22" s="26"/>
      <c r="H22" s="28"/>
      <c r="I22" s="27"/>
      <c r="J22" s="27"/>
      <c r="L22" s="9" t="s">
        <v>136</v>
      </c>
      <c r="M22" s="27" t="s">
        <v>249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 t="shared" si="0"/>
        <v>23</v>
      </c>
      <c r="F23" s="9" t="s">
        <v>183</v>
      </c>
      <c r="G23" s="26">
        <v>360</v>
      </c>
      <c r="H23" s="28"/>
      <c r="I23" s="27"/>
      <c r="J23" s="27"/>
      <c r="L23" s="9" t="s">
        <v>135</v>
      </c>
      <c r="M23" s="27">
        <f>G23/G16*C15</f>
        <v>18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si="0"/>
        <v>24</v>
      </c>
      <c r="F24" s="9" t="s">
        <v>30</v>
      </c>
      <c r="G24" s="26"/>
      <c r="H24" s="28"/>
      <c r="I24" s="27"/>
      <c r="J24" s="27"/>
      <c r="M24" s="27">
        <v>1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116</v>
      </c>
      <c r="G25" s="26"/>
      <c r="H25" s="28"/>
      <c r="I25" s="27"/>
      <c r="J25" s="27"/>
      <c r="M25" s="27">
        <v>2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115</v>
      </c>
      <c r="G26" s="26"/>
      <c r="H26" s="28"/>
      <c r="M26" s="27" t="b">
        <v>1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195</v>
      </c>
      <c r="G27" s="26"/>
      <c r="H27" s="28"/>
      <c r="I27" s="27"/>
      <c r="J27" s="27"/>
      <c r="M27" s="27">
        <v>0.5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197</v>
      </c>
      <c r="G28" s="26"/>
      <c r="H28" s="28"/>
      <c r="I28" s="27"/>
      <c r="J28" s="27"/>
      <c r="M28" s="27">
        <v>40</v>
      </c>
      <c r="R28" s="12"/>
      <c r="S28" s="9"/>
      <c r="U28" s="12"/>
      <c r="X28" s="15"/>
      <c r="AE28" s="16"/>
      <c r="BH28" s="9"/>
    </row>
    <row r="29" spans="1:60">
      <c r="A29" s="21" t="s">
        <v>228</v>
      </c>
      <c r="B29" s="21">
        <f t="shared" ref="B29:B92" si="1">QUOTIENT( D29-1,G30)+1</f>
        <v>1</v>
      </c>
      <c r="C29" s="21">
        <f t="shared" ref="C29" si="2">D29-(B29-1)*G30</f>
        <v>2</v>
      </c>
      <c r="D29" s="21">
        <f>COUNT($D$14:$D28)+1</f>
        <v>2</v>
      </c>
    </row>
    <row r="30" spans="1:60">
      <c r="E30" s="21">
        <f t="shared" ref="E30:E93" si="3">ROW(E30)</f>
        <v>30</v>
      </c>
      <c r="F30" s="9" t="s">
        <v>93</v>
      </c>
      <c r="G30" s="21">
        <v>20</v>
      </c>
      <c r="H30" s="21">
        <v>1</v>
      </c>
      <c r="J30" s="9">
        <v>17600</v>
      </c>
      <c r="M30" s="21">
        <f t="shared" ref="M30:M93" si="4">J30+D29</f>
        <v>17602</v>
      </c>
    </row>
    <row r="31" spans="1:60">
      <c r="E31" s="21">
        <f t="shared" si="3"/>
        <v>31</v>
      </c>
      <c r="F31" s="9" t="s">
        <v>143</v>
      </c>
      <c r="M31" s="21">
        <v>173109</v>
      </c>
    </row>
    <row r="32" spans="1:60">
      <c r="E32" s="21">
        <f t="shared" si="3"/>
        <v>32</v>
      </c>
      <c r="F32" s="9" t="s">
        <v>127</v>
      </c>
      <c r="M32" s="21">
        <v>0</v>
      </c>
    </row>
    <row r="33" spans="1:13">
      <c r="E33" s="21">
        <f t="shared" si="3"/>
        <v>33</v>
      </c>
      <c r="F33" s="9" t="s">
        <v>29</v>
      </c>
      <c r="M33" s="21" t="s">
        <v>250</v>
      </c>
    </row>
    <row r="34" spans="1:13">
      <c r="E34" s="21">
        <f t="shared" si="3"/>
        <v>34</v>
      </c>
      <c r="F34" s="9" t="s">
        <v>119</v>
      </c>
      <c r="M34" s="21" t="s">
        <v>252</v>
      </c>
    </row>
    <row r="35" spans="1:13">
      <c r="E35" s="21">
        <f t="shared" si="3"/>
        <v>35</v>
      </c>
      <c r="F35" s="9" t="s">
        <v>99</v>
      </c>
      <c r="K35" s="9" t="s">
        <v>138</v>
      </c>
      <c r="M35" s="21">
        <v>2</v>
      </c>
    </row>
    <row r="36" spans="1:13">
      <c r="E36" s="21">
        <f t="shared" si="3"/>
        <v>36</v>
      </c>
      <c r="F36" s="9" t="s">
        <v>31</v>
      </c>
      <c r="L36" s="9" t="s">
        <v>136</v>
      </c>
      <c r="M36" s="28" t="s">
        <v>248</v>
      </c>
    </row>
    <row r="37" spans="1:13">
      <c r="E37" s="21">
        <f t="shared" si="3"/>
        <v>37</v>
      </c>
      <c r="F37" s="9" t="s">
        <v>183</v>
      </c>
      <c r="G37" s="21">
        <v>360</v>
      </c>
      <c r="L37" s="9" t="s">
        <v>135</v>
      </c>
      <c r="M37" s="21">
        <f t="shared" ref="M37" si="5">G37/G30*C29</f>
        <v>36</v>
      </c>
    </row>
    <row r="38" spans="1:13">
      <c r="E38" s="21">
        <f t="shared" si="3"/>
        <v>38</v>
      </c>
      <c r="F38" s="9" t="s">
        <v>30</v>
      </c>
      <c r="M38" s="21">
        <v>1</v>
      </c>
    </row>
    <row r="39" spans="1:13">
      <c r="E39" s="21">
        <f t="shared" si="3"/>
        <v>39</v>
      </c>
      <c r="F39" s="9" t="s">
        <v>116</v>
      </c>
      <c r="M39" s="21">
        <v>2</v>
      </c>
    </row>
    <row r="40" spans="1:13">
      <c r="E40" s="21">
        <f t="shared" si="3"/>
        <v>40</v>
      </c>
      <c r="F40" s="9" t="s">
        <v>115</v>
      </c>
      <c r="M40" s="21" t="b">
        <v>1</v>
      </c>
    </row>
    <row r="41" spans="1:13">
      <c r="E41" s="21">
        <f t="shared" si="3"/>
        <v>41</v>
      </c>
      <c r="F41" s="9" t="s">
        <v>195</v>
      </c>
      <c r="M41" s="21">
        <v>0.5</v>
      </c>
    </row>
    <row r="42" spans="1:13">
      <c r="E42" s="21">
        <f t="shared" si="3"/>
        <v>42</v>
      </c>
      <c r="F42" s="9" t="s">
        <v>197</v>
      </c>
      <c r="M42" s="21">
        <v>40</v>
      </c>
    </row>
    <row r="43" spans="1:13">
      <c r="A43" s="21" t="s">
        <v>228</v>
      </c>
      <c r="B43" s="21">
        <f t="shared" ref="B43:B106" si="6">QUOTIENT( D43-1,G44)+1</f>
        <v>1</v>
      </c>
      <c r="C43" s="21">
        <f t="shared" ref="C43" si="7">D43-(B43-1)*G44</f>
        <v>3</v>
      </c>
      <c r="D43" s="21">
        <f>COUNT($D$14:$D42)+1</f>
        <v>3</v>
      </c>
    </row>
    <row r="44" spans="1:13">
      <c r="E44" s="21">
        <f t="shared" ref="E44:E107" si="8">ROW(E44)</f>
        <v>44</v>
      </c>
      <c r="F44" s="9" t="s">
        <v>93</v>
      </c>
      <c r="G44" s="21">
        <v>20</v>
      </c>
      <c r="H44" s="21">
        <v>1</v>
      </c>
      <c r="J44" s="9">
        <v>17600</v>
      </c>
      <c r="M44" s="21">
        <f t="shared" ref="M44:M107" si="9">J44+D43</f>
        <v>17603</v>
      </c>
    </row>
    <row r="45" spans="1:13">
      <c r="E45" s="21">
        <f t="shared" si="3"/>
        <v>45</v>
      </c>
      <c r="F45" s="9" t="s">
        <v>143</v>
      </c>
      <c r="M45" s="21">
        <v>173109</v>
      </c>
    </row>
    <row r="46" spans="1:13">
      <c r="E46" s="21">
        <f t="shared" si="3"/>
        <v>46</v>
      </c>
      <c r="F46" s="9" t="s">
        <v>127</v>
      </c>
      <c r="M46" s="21">
        <v>0</v>
      </c>
    </row>
    <row r="47" spans="1:13">
      <c r="E47" s="21">
        <f t="shared" si="3"/>
        <v>47</v>
      </c>
      <c r="F47" s="9" t="s">
        <v>29</v>
      </c>
      <c r="M47" s="21" t="s">
        <v>250</v>
      </c>
    </row>
    <row r="48" spans="1:13">
      <c r="E48" s="21">
        <f t="shared" si="3"/>
        <v>48</v>
      </c>
      <c r="F48" s="9" t="s">
        <v>119</v>
      </c>
      <c r="M48" s="21" t="s">
        <v>252</v>
      </c>
    </row>
    <row r="49" spans="1:13">
      <c r="E49" s="21">
        <f t="shared" si="3"/>
        <v>49</v>
      </c>
      <c r="F49" s="9" t="s">
        <v>99</v>
      </c>
      <c r="K49" s="9" t="s">
        <v>138</v>
      </c>
      <c r="M49" s="21">
        <v>2</v>
      </c>
    </row>
    <row r="50" spans="1:13">
      <c r="E50" s="21">
        <f t="shared" si="3"/>
        <v>50</v>
      </c>
      <c r="F50" s="9" t="s">
        <v>31</v>
      </c>
      <c r="L50" s="9" t="s">
        <v>136</v>
      </c>
      <c r="M50" s="21" t="s">
        <v>248</v>
      </c>
    </row>
    <row r="51" spans="1:13">
      <c r="E51" s="21">
        <f t="shared" si="3"/>
        <v>51</v>
      </c>
      <c r="F51" s="9" t="s">
        <v>183</v>
      </c>
      <c r="G51" s="21">
        <v>360</v>
      </c>
      <c r="L51" s="9" t="s">
        <v>135</v>
      </c>
      <c r="M51" s="21">
        <f t="shared" ref="M51" si="10">G51/G44*C43</f>
        <v>54</v>
      </c>
    </row>
    <row r="52" spans="1:13">
      <c r="E52" s="21">
        <f t="shared" si="3"/>
        <v>52</v>
      </c>
      <c r="F52" s="9" t="s">
        <v>30</v>
      </c>
      <c r="M52" s="21">
        <v>1</v>
      </c>
    </row>
    <row r="53" spans="1:13">
      <c r="E53" s="21">
        <f t="shared" si="3"/>
        <v>53</v>
      </c>
      <c r="F53" s="9" t="s">
        <v>116</v>
      </c>
      <c r="M53" s="21">
        <v>2</v>
      </c>
    </row>
    <row r="54" spans="1:13">
      <c r="E54" s="21">
        <f t="shared" si="3"/>
        <v>54</v>
      </c>
      <c r="F54" s="9" t="s">
        <v>115</v>
      </c>
      <c r="M54" s="21" t="b">
        <v>1</v>
      </c>
    </row>
    <row r="55" spans="1:13">
      <c r="E55" s="21">
        <f t="shared" si="3"/>
        <v>55</v>
      </c>
      <c r="F55" s="9" t="s">
        <v>195</v>
      </c>
      <c r="M55" s="21">
        <v>0.5</v>
      </c>
    </row>
    <row r="56" spans="1:13">
      <c r="E56" s="21">
        <f t="shared" si="3"/>
        <v>56</v>
      </c>
      <c r="F56" s="9" t="s">
        <v>197</v>
      </c>
      <c r="M56" s="21">
        <v>40</v>
      </c>
    </row>
    <row r="57" spans="1:13">
      <c r="A57" s="21" t="s">
        <v>228</v>
      </c>
      <c r="B57" s="21">
        <f t="shared" ref="B57:B120" si="11">QUOTIENT( D57-1,G58)+1</f>
        <v>1</v>
      </c>
      <c r="C57" s="21">
        <f t="shared" ref="C57" si="12">D57-(B57-1)*G58</f>
        <v>4</v>
      </c>
      <c r="D57" s="21">
        <f>COUNT($D$14:$D56)+1</f>
        <v>4</v>
      </c>
    </row>
    <row r="58" spans="1:13">
      <c r="E58" s="21">
        <f t="shared" ref="E58:E121" si="13">ROW(E58)</f>
        <v>58</v>
      </c>
      <c r="F58" s="9" t="s">
        <v>93</v>
      </c>
      <c r="G58" s="21">
        <v>20</v>
      </c>
      <c r="H58" s="21">
        <v>1</v>
      </c>
      <c r="J58" s="9">
        <v>17600</v>
      </c>
      <c r="M58" s="21">
        <f t="shared" ref="M58:M121" si="14">J58+D57</f>
        <v>17604</v>
      </c>
    </row>
    <row r="59" spans="1:13">
      <c r="E59" s="21">
        <f t="shared" si="3"/>
        <v>59</v>
      </c>
      <c r="F59" s="9" t="s">
        <v>143</v>
      </c>
      <c r="M59" s="21">
        <v>173109</v>
      </c>
    </row>
    <row r="60" spans="1:13">
      <c r="E60" s="21">
        <f t="shared" si="3"/>
        <v>60</v>
      </c>
      <c r="F60" s="9" t="s">
        <v>127</v>
      </c>
      <c r="M60" s="21">
        <v>0</v>
      </c>
    </row>
    <row r="61" spans="1:13">
      <c r="E61" s="21">
        <f t="shared" si="3"/>
        <v>61</v>
      </c>
      <c r="F61" s="9" t="s">
        <v>29</v>
      </c>
      <c r="M61" s="21" t="s">
        <v>250</v>
      </c>
    </row>
    <row r="62" spans="1:13">
      <c r="E62" s="21">
        <f t="shared" si="3"/>
        <v>62</v>
      </c>
      <c r="F62" s="9" t="s">
        <v>119</v>
      </c>
      <c r="M62" s="21" t="s">
        <v>252</v>
      </c>
    </row>
    <row r="63" spans="1:13">
      <c r="E63" s="21">
        <f t="shared" si="3"/>
        <v>63</v>
      </c>
      <c r="F63" s="9" t="s">
        <v>99</v>
      </c>
      <c r="K63" s="9" t="s">
        <v>138</v>
      </c>
      <c r="M63" s="21">
        <v>2</v>
      </c>
    </row>
    <row r="64" spans="1:13">
      <c r="E64" s="21">
        <f t="shared" si="3"/>
        <v>64</v>
      </c>
      <c r="F64" s="9" t="s">
        <v>31</v>
      </c>
      <c r="L64" s="9" t="s">
        <v>136</v>
      </c>
      <c r="M64" s="21" t="s">
        <v>248</v>
      </c>
    </row>
    <row r="65" spans="1:13">
      <c r="E65" s="21">
        <f t="shared" si="3"/>
        <v>65</v>
      </c>
      <c r="F65" s="9" t="s">
        <v>183</v>
      </c>
      <c r="G65" s="21">
        <v>360</v>
      </c>
      <c r="L65" s="9" t="s">
        <v>135</v>
      </c>
      <c r="M65" s="21">
        <f t="shared" ref="M65" si="15">G65/G58*C57</f>
        <v>72</v>
      </c>
    </row>
    <row r="66" spans="1:13">
      <c r="E66" s="21">
        <f t="shared" si="3"/>
        <v>66</v>
      </c>
      <c r="F66" s="9" t="s">
        <v>30</v>
      </c>
      <c r="M66" s="21">
        <v>1</v>
      </c>
    </row>
    <row r="67" spans="1:13">
      <c r="E67" s="21">
        <f t="shared" si="3"/>
        <v>67</v>
      </c>
      <c r="F67" s="9" t="s">
        <v>116</v>
      </c>
      <c r="M67" s="21">
        <v>2</v>
      </c>
    </row>
    <row r="68" spans="1:13">
      <c r="E68" s="21">
        <f t="shared" si="3"/>
        <v>68</v>
      </c>
      <c r="F68" s="9" t="s">
        <v>115</v>
      </c>
      <c r="M68" s="21" t="b">
        <v>1</v>
      </c>
    </row>
    <row r="69" spans="1:13">
      <c r="E69" s="21">
        <f t="shared" si="3"/>
        <v>69</v>
      </c>
      <c r="F69" s="9" t="s">
        <v>195</v>
      </c>
      <c r="M69" s="21">
        <v>0.5</v>
      </c>
    </row>
    <row r="70" spans="1:13">
      <c r="E70" s="21">
        <f t="shared" si="3"/>
        <v>70</v>
      </c>
      <c r="F70" s="9" t="s">
        <v>197</v>
      </c>
      <c r="M70" s="21">
        <v>40</v>
      </c>
    </row>
    <row r="71" spans="1:13">
      <c r="A71" s="21" t="s">
        <v>228</v>
      </c>
      <c r="B71" s="21">
        <f t="shared" ref="B71:B134" si="16">QUOTIENT( D71-1,G72)+1</f>
        <v>1</v>
      </c>
      <c r="C71" s="21">
        <f t="shared" ref="C71" si="17">D71-(B71-1)*G72</f>
        <v>5</v>
      </c>
      <c r="D71" s="21">
        <f>COUNT($D$14:$D70)+1</f>
        <v>5</v>
      </c>
    </row>
    <row r="72" spans="1:13">
      <c r="E72" s="21">
        <f t="shared" ref="E72:E135" si="18">ROW(E72)</f>
        <v>72</v>
      </c>
      <c r="F72" s="9" t="s">
        <v>93</v>
      </c>
      <c r="G72" s="21">
        <v>20</v>
      </c>
      <c r="H72" s="21">
        <v>1</v>
      </c>
      <c r="J72" s="9">
        <v>17600</v>
      </c>
      <c r="M72" s="21">
        <f t="shared" ref="M72:M135" si="19">J72+D71</f>
        <v>17605</v>
      </c>
    </row>
    <row r="73" spans="1:13">
      <c r="E73" s="21">
        <f t="shared" si="3"/>
        <v>73</v>
      </c>
      <c r="F73" s="9" t="s">
        <v>143</v>
      </c>
      <c r="M73" s="21">
        <v>173109</v>
      </c>
    </row>
    <row r="74" spans="1:13">
      <c r="E74" s="21">
        <f t="shared" si="3"/>
        <v>74</v>
      </c>
      <c r="F74" s="9" t="s">
        <v>127</v>
      </c>
      <c r="M74" s="21">
        <v>0</v>
      </c>
    </row>
    <row r="75" spans="1:13">
      <c r="E75" s="21">
        <f t="shared" si="3"/>
        <v>75</v>
      </c>
      <c r="F75" s="9" t="s">
        <v>29</v>
      </c>
      <c r="M75" s="21" t="s">
        <v>250</v>
      </c>
    </row>
    <row r="76" spans="1:13">
      <c r="E76" s="21">
        <f t="shared" si="3"/>
        <v>76</v>
      </c>
      <c r="F76" s="9" t="s">
        <v>119</v>
      </c>
      <c r="M76" s="21" t="s">
        <v>252</v>
      </c>
    </row>
    <row r="77" spans="1:13">
      <c r="E77" s="21">
        <f t="shared" si="3"/>
        <v>77</v>
      </c>
      <c r="F77" s="9" t="s">
        <v>99</v>
      </c>
      <c r="K77" s="9" t="s">
        <v>138</v>
      </c>
      <c r="M77" s="21">
        <v>2</v>
      </c>
    </row>
    <row r="78" spans="1:13">
      <c r="E78" s="21">
        <f t="shared" si="3"/>
        <v>78</v>
      </c>
      <c r="F78" s="9" t="s">
        <v>31</v>
      </c>
      <c r="L78" s="9" t="s">
        <v>136</v>
      </c>
      <c r="M78" s="21" t="s">
        <v>248</v>
      </c>
    </row>
    <row r="79" spans="1:13">
      <c r="E79" s="21">
        <f t="shared" si="3"/>
        <v>79</v>
      </c>
      <c r="F79" s="9" t="s">
        <v>183</v>
      </c>
      <c r="G79" s="21">
        <v>360</v>
      </c>
      <c r="L79" s="9" t="s">
        <v>135</v>
      </c>
      <c r="M79" s="21">
        <f t="shared" ref="M79" si="20">G79/G72*C71</f>
        <v>90</v>
      </c>
    </row>
    <row r="80" spans="1:13">
      <c r="E80" s="21">
        <f t="shared" si="3"/>
        <v>80</v>
      </c>
      <c r="F80" s="9" t="s">
        <v>30</v>
      </c>
      <c r="M80" s="21">
        <v>1</v>
      </c>
    </row>
    <row r="81" spans="1:13">
      <c r="E81" s="21">
        <f t="shared" si="3"/>
        <v>81</v>
      </c>
      <c r="F81" s="9" t="s">
        <v>116</v>
      </c>
      <c r="M81" s="21">
        <v>2</v>
      </c>
    </row>
    <row r="82" spans="1:13">
      <c r="E82" s="21">
        <f t="shared" si="3"/>
        <v>82</v>
      </c>
      <c r="F82" s="9" t="s">
        <v>115</v>
      </c>
      <c r="M82" s="21" t="b">
        <v>1</v>
      </c>
    </row>
    <row r="83" spans="1:13">
      <c r="E83" s="21">
        <f t="shared" si="3"/>
        <v>83</v>
      </c>
      <c r="F83" s="9" t="s">
        <v>195</v>
      </c>
      <c r="M83" s="21">
        <v>0.5</v>
      </c>
    </row>
    <row r="84" spans="1:13">
      <c r="E84" s="21">
        <f t="shared" si="3"/>
        <v>84</v>
      </c>
      <c r="F84" s="9" t="s">
        <v>197</v>
      </c>
      <c r="M84" s="21">
        <v>40</v>
      </c>
    </row>
    <row r="85" spans="1:13">
      <c r="A85" s="21" t="s">
        <v>228</v>
      </c>
      <c r="B85" s="21">
        <f t="shared" ref="B85:B148" si="21">QUOTIENT( D85-1,G86)+1</f>
        <v>1</v>
      </c>
      <c r="C85" s="21">
        <f t="shared" ref="C85" si="22">D85-(B85-1)*G86</f>
        <v>6</v>
      </c>
      <c r="D85" s="21">
        <f>COUNT($D$14:$D84)+1</f>
        <v>6</v>
      </c>
    </row>
    <row r="86" spans="1:13">
      <c r="E86" s="21">
        <f t="shared" ref="E86:E149" si="23">ROW(E86)</f>
        <v>86</v>
      </c>
      <c r="F86" s="9" t="s">
        <v>93</v>
      </c>
      <c r="G86" s="21">
        <v>20</v>
      </c>
      <c r="H86" s="21">
        <v>1</v>
      </c>
      <c r="J86" s="9">
        <v>17600</v>
      </c>
      <c r="M86" s="21">
        <f t="shared" ref="M86:M149" si="24">J86+D85</f>
        <v>17606</v>
      </c>
    </row>
    <row r="87" spans="1:13">
      <c r="E87" s="21">
        <f t="shared" si="3"/>
        <v>87</v>
      </c>
      <c r="F87" s="9" t="s">
        <v>143</v>
      </c>
      <c r="M87" s="21">
        <v>173109</v>
      </c>
    </row>
    <row r="88" spans="1:13">
      <c r="E88" s="21">
        <f t="shared" si="3"/>
        <v>88</v>
      </c>
      <c r="F88" s="9" t="s">
        <v>127</v>
      </c>
      <c r="M88" s="21">
        <v>0</v>
      </c>
    </row>
    <row r="89" spans="1:13">
      <c r="E89" s="21">
        <f t="shared" si="3"/>
        <v>89</v>
      </c>
      <c r="F89" s="9" t="s">
        <v>29</v>
      </c>
      <c r="M89" s="21" t="s">
        <v>250</v>
      </c>
    </row>
    <row r="90" spans="1:13">
      <c r="E90" s="21">
        <f t="shared" si="3"/>
        <v>90</v>
      </c>
      <c r="F90" s="9" t="s">
        <v>119</v>
      </c>
      <c r="M90" s="21" t="s">
        <v>252</v>
      </c>
    </row>
    <row r="91" spans="1:13">
      <c r="E91" s="21">
        <f t="shared" si="3"/>
        <v>91</v>
      </c>
      <c r="F91" s="9" t="s">
        <v>99</v>
      </c>
      <c r="K91" s="9" t="s">
        <v>138</v>
      </c>
      <c r="M91" s="21">
        <v>2</v>
      </c>
    </row>
    <row r="92" spans="1:13">
      <c r="E92" s="21">
        <f t="shared" si="3"/>
        <v>92</v>
      </c>
      <c r="F92" s="9" t="s">
        <v>31</v>
      </c>
      <c r="L92" s="9" t="s">
        <v>136</v>
      </c>
      <c r="M92" s="21" t="s">
        <v>248</v>
      </c>
    </row>
    <row r="93" spans="1:13">
      <c r="E93" s="21">
        <f t="shared" si="3"/>
        <v>93</v>
      </c>
      <c r="F93" s="9" t="s">
        <v>183</v>
      </c>
      <c r="G93" s="21">
        <v>360</v>
      </c>
      <c r="L93" s="9" t="s">
        <v>135</v>
      </c>
      <c r="M93" s="21">
        <f t="shared" ref="M93" si="25">G93/G86*C85</f>
        <v>108</v>
      </c>
    </row>
    <row r="94" spans="1:13">
      <c r="E94" s="21">
        <f t="shared" ref="E94:E157" si="26">ROW(E94)</f>
        <v>94</v>
      </c>
      <c r="F94" s="9" t="s">
        <v>30</v>
      </c>
      <c r="M94" s="21">
        <v>1</v>
      </c>
    </row>
    <row r="95" spans="1:13">
      <c r="E95" s="21">
        <f t="shared" si="26"/>
        <v>95</v>
      </c>
      <c r="F95" s="9" t="s">
        <v>116</v>
      </c>
      <c r="M95" s="21">
        <v>2</v>
      </c>
    </row>
    <row r="96" spans="1:13">
      <c r="E96" s="21">
        <f t="shared" si="26"/>
        <v>96</v>
      </c>
      <c r="F96" s="9" t="s">
        <v>115</v>
      </c>
      <c r="M96" s="21" t="b">
        <v>1</v>
      </c>
    </row>
    <row r="97" spans="1:13">
      <c r="E97" s="21">
        <f t="shared" si="26"/>
        <v>97</v>
      </c>
      <c r="F97" s="9" t="s">
        <v>195</v>
      </c>
      <c r="M97" s="21">
        <v>0.5</v>
      </c>
    </row>
    <row r="98" spans="1:13">
      <c r="E98" s="21">
        <f t="shared" si="26"/>
        <v>98</v>
      </c>
      <c r="F98" s="9" t="s">
        <v>197</v>
      </c>
      <c r="M98" s="21">
        <v>40</v>
      </c>
    </row>
    <row r="99" spans="1:13">
      <c r="A99" s="21" t="s">
        <v>228</v>
      </c>
      <c r="B99" s="21">
        <f t="shared" ref="B99:B130" si="27">QUOTIENT( D99-1,G100)+1</f>
        <v>1</v>
      </c>
      <c r="C99" s="21">
        <f t="shared" ref="C99" si="28">D99-(B99-1)*G100</f>
        <v>7</v>
      </c>
      <c r="D99" s="21">
        <f>COUNT($D$14:$D98)+1</f>
        <v>7</v>
      </c>
    </row>
    <row r="100" spans="1:13">
      <c r="E100" s="21">
        <f t="shared" ref="E100:E131" si="29">ROW(E100)</f>
        <v>100</v>
      </c>
      <c r="F100" s="9" t="s">
        <v>93</v>
      </c>
      <c r="G100" s="21">
        <v>20</v>
      </c>
      <c r="H100" s="21">
        <v>1</v>
      </c>
      <c r="J100" s="9">
        <v>17600</v>
      </c>
      <c r="M100" s="21">
        <f t="shared" ref="M100:M131" si="30">J100+D99</f>
        <v>17607</v>
      </c>
    </row>
    <row r="101" spans="1:13">
      <c r="E101" s="21">
        <f t="shared" si="26"/>
        <v>101</v>
      </c>
      <c r="F101" s="9" t="s">
        <v>143</v>
      </c>
      <c r="M101" s="21">
        <v>173109</v>
      </c>
    </row>
    <row r="102" spans="1:13">
      <c r="E102" s="21">
        <f t="shared" si="26"/>
        <v>102</v>
      </c>
      <c r="F102" s="9" t="s">
        <v>127</v>
      </c>
      <c r="M102" s="21">
        <v>0</v>
      </c>
    </row>
    <row r="103" spans="1:13">
      <c r="E103" s="21">
        <f t="shared" si="26"/>
        <v>103</v>
      </c>
      <c r="F103" s="9" t="s">
        <v>29</v>
      </c>
      <c r="M103" s="21" t="s">
        <v>250</v>
      </c>
    </row>
    <row r="104" spans="1:13">
      <c r="E104" s="21">
        <f t="shared" si="26"/>
        <v>104</v>
      </c>
      <c r="F104" s="9" t="s">
        <v>119</v>
      </c>
      <c r="M104" s="21" t="s">
        <v>252</v>
      </c>
    </row>
    <row r="105" spans="1:13">
      <c r="E105" s="21">
        <f t="shared" si="26"/>
        <v>105</v>
      </c>
      <c r="F105" s="9" t="s">
        <v>99</v>
      </c>
      <c r="K105" s="9" t="s">
        <v>138</v>
      </c>
      <c r="M105" s="21">
        <v>2</v>
      </c>
    </row>
    <row r="106" spans="1:13">
      <c r="E106" s="21">
        <f t="shared" si="26"/>
        <v>106</v>
      </c>
      <c r="F106" s="9" t="s">
        <v>31</v>
      </c>
      <c r="L106" s="9" t="s">
        <v>136</v>
      </c>
      <c r="M106" s="21" t="s">
        <v>248</v>
      </c>
    </row>
    <row r="107" spans="1:13">
      <c r="E107" s="21">
        <f t="shared" si="26"/>
        <v>107</v>
      </c>
      <c r="F107" s="9" t="s">
        <v>183</v>
      </c>
      <c r="G107" s="21">
        <v>360</v>
      </c>
      <c r="L107" s="9" t="s">
        <v>135</v>
      </c>
      <c r="M107" s="21">
        <f t="shared" ref="M107" si="31">G107/G100*C99</f>
        <v>126</v>
      </c>
    </row>
    <row r="108" spans="1:13">
      <c r="E108" s="21">
        <f t="shared" si="26"/>
        <v>108</v>
      </c>
      <c r="F108" s="9" t="s">
        <v>30</v>
      </c>
      <c r="M108" s="21">
        <v>1</v>
      </c>
    </row>
    <row r="109" spans="1:13">
      <c r="E109" s="21">
        <f t="shared" si="26"/>
        <v>109</v>
      </c>
      <c r="F109" s="9" t="s">
        <v>116</v>
      </c>
      <c r="M109" s="21">
        <v>2</v>
      </c>
    </row>
    <row r="110" spans="1:13">
      <c r="E110" s="21">
        <f t="shared" si="26"/>
        <v>110</v>
      </c>
      <c r="F110" s="9" t="s">
        <v>115</v>
      </c>
      <c r="M110" s="21" t="b">
        <v>1</v>
      </c>
    </row>
    <row r="111" spans="1:13">
      <c r="E111" s="21">
        <f t="shared" si="26"/>
        <v>111</v>
      </c>
      <c r="F111" s="9" t="s">
        <v>195</v>
      </c>
      <c r="M111" s="21">
        <v>0.5</v>
      </c>
    </row>
    <row r="112" spans="1:13">
      <c r="E112" s="21">
        <f t="shared" si="26"/>
        <v>112</v>
      </c>
      <c r="F112" s="9" t="s">
        <v>197</v>
      </c>
      <c r="M112" s="21">
        <v>40</v>
      </c>
    </row>
    <row r="113" spans="1:13">
      <c r="A113" s="21" t="s">
        <v>228</v>
      </c>
      <c r="B113" s="21">
        <f t="shared" ref="B113:B144" si="32">QUOTIENT( D113-1,G114)+1</f>
        <v>1</v>
      </c>
      <c r="C113" s="21">
        <f t="shared" ref="C113" si="33">D113-(B113-1)*G114</f>
        <v>8</v>
      </c>
      <c r="D113" s="21">
        <f>COUNT($D$14:$D112)+1</f>
        <v>8</v>
      </c>
    </row>
    <row r="114" spans="1:13">
      <c r="E114" s="21">
        <f t="shared" ref="E114:E145" si="34">ROW(E114)</f>
        <v>114</v>
      </c>
      <c r="F114" s="9" t="s">
        <v>93</v>
      </c>
      <c r="G114" s="21">
        <v>20</v>
      </c>
      <c r="H114" s="21">
        <v>1</v>
      </c>
      <c r="J114" s="9">
        <v>17600</v>
      </c>
      <c r="M114" s="21">
        <f t="shared" ref="M114:M145" si="35">J114+D113</f>
        <v>17608</v>
      </c>
    </row>
    <row r="115" spans="1:13">
      <c r="E115" s="21">
        <f t="shared" si="26"/>
        <v>115</v>
      </c>
      <c r="F115" s="9" t="s">
        <v>143</v>
      </c>
      <c r="M115" s="21">
        <v>173109</v>
      </c>
    </row>
    <row r="116" spans="1:13">
      <c r="E116" s="21">
        <f t="shared" si="26"/>
        <v>116</v>
      </c>
      <c r="F116" s="9" t="s">
        <v>127</v>
      </c>
      <c r="M116" s="21">
        <v>0</v>
      </c>
    </row>
    <row r="117" spans="1:13">
      <c r="E117" s="21">
        <f t="shared" si="26"/>
        <v>117</v>
      </c>
      <c r="F117" s="9" t="s">
        <v>29</v>
      </c>
      <c r="M117" s="21" t="s">
        <v>250</v>
      </c>
    </row>
    <row r="118" spans="1:13">
      <c r="E118" s="21">
        <f t="shared" si="26"/>
        <v>118</v>
      </c>
      <c r="F118" s="9" t="s">
        <v>119</v>
      </c>
      <c r="M118" s="21" t="s">
        <v>252</v>
      </c>
    </row>
    <row r="119" spans="1:13">
      <c r="E119" s="21">
        <f t="shared" si="26"/>
        <v>119</v>
      </c>
      <c r="F119" s="9" t="s">
        <v>99</v>
      </c>
      <c r="K119" s="9" t="s">
        <v>138</v>
      </c>
      <c r="M119" s="21">
        <v>2</v>
      </c>
    </row>
    <row r="120" spans="1:13">
      <c r="E120" s="21">
        <f t="shared" si="26"/>
        <v>120</v>
      </c>
      <c r="F120" s="9" t="s">
        <v>31</v>
      </c>
      <c r="L120" s="9" t="s">
        <v>136</v>
      </c>
      <c r="M120" s="21" t="s">
        <v>248</v>
      </c>
    </row>
    <row r="121" spans="1:13">
      <c r="E121" s="21">
        <f t="shared" si="26"/>
        <v>121</v>
      </c>
      <c r="F121" s="9" t="s">
        <v>183</v>
      </c>
      <c r="G121" s="21">
        <v>360</v>
      </c>
      <c r="L121" s="9" t="s">
        <v>135</v>
      </c>
      <c r="M121" s="21">
        <f t="shared" ref="M121" si="36">G121/G114*C113</f>
        <v>144</v>
      </c>
    </row>
    <row r="122" spans="1:13">
      <c r="E122" s="21">
        <f t="shared" si="26"/>
        <v>122</v>
      </c>
      <c r="F122" s="9" t="s">
        <v>30</v>
      </c>
      <c r="M122" s="21">
        <v>1</v>
      </c>
    </row>
    <row r="123" spans="1:13">
      <c r="E123" s="21">
        <f t="shared" si="26"/>
        <v>123</v>
      </c>
      <c r="F123" s="9" t="s">
        <v>116</v>
      </c>
      <c r="M123" s="21">
        <v>2</v>
      </c>
    </row>
    <row r="124" spans="1:13">
      <c r="E124" s="21">
        <f t="shared" si="26"/>
        <v>124</v>
      </c>
      <c r="F124" s="9" t="s">
        <v>115</v>
      </c>
      <c r="M124" s="21" t="b">
        <v>1</v>
      </c>
    </row>
    <row r="125" spans="1:13">
      <c r="E125" s="21">
        <f t="shared" si="26"/>
        <v>125</v>
      </c>
      <c r="F125" s="9" t="s">
        <v>195</v>
      </c>
      <c r="M125" s="21">
        <v>0.5</v>
      </c>
    </row>
    <row r="126" spans="1:13">
      <c r="E126" s="21">
        <f t="shared" si="26"/>
        <v>126</v>
      </c>
      <c r="F126" s="9" t="s">
        <v>197</v>
      </c>
      <c r="M126" s="21">
        <v>40</v>
      </c>
    </row>
    <row r="127" spans="1:13">
      <c r="A127" s="21" t="s">
        <v>228</v>
      </c>
      <c r="B127" s="21">
        <f t="shared" ref="B127:B158" si="37">QUOTIENT( D127-1,G128)+1</f>
        <v>1</v>
      </c>
      <c r="C127" s="21">
        <f t="shared" ref="C127" si="38">D127-(B127-1)*G128</f>
        <v>9</v>
      </c>
      <c r="D127" s="21">
        <f>COUNT($D$14:$D126)+1</f>
        <v>9</v>
      </c>
    </row>
    <row r="128" spans="1:13">
      <c r="E128" s="21">
        <f t="shared" ref="E128:E159" si="39">ROW(E128)</f>
        <v>128</v>
      </c>
      <c r="F128" s="9" t="s">
        <v>93</v>
      </c>
      <c r="G128" s="21">
        <v>20</v>
      </c>
      <c r="H128" s="21">
        <v>1</v>
      </c>
      <c r="J128" s="9">
        <v>17600</v>
      </c>
      <c r="M128" s="21">
        <f t="shared" ref="M128:M159" si="40">J128+D127</f>
        <v>17609</v>
      </c>
    </row>
    <row r="129" spans="1:13">
      <c r="E129" s="21">
        <f t="shared" si="26"/>
        <v>129</v>
      </c>
      <c r="F129" s="9" t="s">
        <v>143</v>
      </c>
      <c r="M129" s="21">
        <v>173109</v>
      </c>
    </row>
    <row r="130" spans="1:13">
      <c r="E130" s="21">
        <f t="shared" si="26"/>
        <v>130</v>
      </c>
      <c r="F130" s="9" t="s">
        <v>127</v>
      </c>
      <c r="M130" s="21">
        <v>0</v>
      </c>
    </row>
    <row r="131" spans="1:13">
      <c r="E131" s="21">
        <f t="shared" si="26"/>
        <v>131</v>
      </c>
      <c r="F131" s="9" t="s">
        <v>29</v>
      </c>
      <c r="M131" s="21" t="s">
        <v>250</v>
      </c>
    </row>
    <row r="132" spans="1:13">
      <c r="E132" s="21">
        <f t="shared" si="26"/>
        <v>132</v>
      </c>
      <c r="F132" s="9" t="s">
        <v>119</v>
      </c>
      <c r="M132" s="21" t="s">
        <v>252</v>
      </c>
    </row>
    <row r="133" spans="1:13">
      <c r="E133" s="21">
        <f t="shared" si="26"/>
        <v>133</v>
      </c>
      <c r="F133" s="9" t="s">
        <v>99</v>
      </c>
      <c r="K133" s="9" t="s">
        <v>138</v>
      </c>
      <c r="M133" s="21">
        <v>2</v>
      </c>
    </row>
    <row r="134" spans="1:13">
      <c r="E134" s="21">
        <f t="shared" si="26"/>
        <v>134</v>
      </c>
      <c r="F134" s="9" t="s">
        <v>31</v>
      </c>
      <c r="L134" s="9" t="s">
        <v>136</v>
      </c>
      <c r="M134" s="21" t="s">
        <v>248</v>
      </c>
    </row>
    <row r="135" spans="1:13">
      <c r="E135" s="21">
        <f t="shared" si="26"/>
        <v>135</v>
      </c>
      <c r="F135" s="9" t="s">
        <v>183</v>
      </c>
      <c r="G135" s="21">
        <v>360</v>
      </c>
      <c r="L135" s="9" t="s">
        <v>135</v>
      </c>
      <c r="M135" s="21">
        <f t="shared" ref="M135" si="41">G135/G128*C127</f>
        <v>162</v>
      </c>
    </row>
    <row r="136" spans="1:13">
      <c r="E136" s="21">
        <f t="shared" si="26"/>
        <v>136</v>
      </c>
      <c r="F136" s="9" t="s">
        <v>30</v>
      </c>
      <c r="M136" s="21">
        <v>1</v>
      </c>
    </row>
    <row r="137" spans="1:13">
      <c r="E137" s="21">
        <f t="shared" si="26"/>
        <v>137</v>
      </c>
      <c r="F137" s="9" t="s">
        <v>116</v>
      </c>
      <c r="M137" s="21">
        <v>2</v>
      </c>
    </row>
    <row r="138" spans="1:13">
      <c r="E138" s="21">
        <f t="shared" si="26"/>
        <v>138</v>
      </c>
      <c r="F138" s="9" t="s">
        <v>115</v>
      </c>
      <c r="M138" s="21" t="b">
        <v>1</v>
      </c>
    </row>
    <row r="139" spans="1:13">
      <c r="E139" s="21">
        <f t="shared" si="26"/>
        <v>139</v>
      </c>
      <c r="F139" s="9" t="s">
        <v>195</v>
      </c>
      <c r="M139" s="21">
        <v>0.5</v>
      </c>
    </row>
    <row r="140" spans="1:13">
      <c r="E140" s="21">
        <f t="shared" si="26"/>
        <v>140</v>
      </c>
      <c r="F140" s="9" t="s">
        <v>197</v>
      </c>
      <c r="M140" s="21">
        <v>40</v>
      </c>
    </row>
    <row r="141" spans="1:13">
      <c r="A141" s="21" t="s">
        <v>228</v>
      </c>
      <c r="B141" s="21">
        <f t="shared" ref="B141:B172" si="42">QUOTIENT( D141-1,G142)+1</f>
        <v>1</v>
      </c>
      <c r="C141" s="21">
        <f t="shared" ref="C141" si="43">D141-(B141-1)*G142</f>
        <v>10</v>
      </c>
      <c r="D141" s="21">
        <f>COUNT($D$14:$D140)+1</f>
        <v>10</v>
      </c>
    </row>
    <row r="142" spans="1:13">
      <c r="E142" s="21">
        <f t="shared" ref="E142:E173" si="44">ROW(E142)</f>
        <v>142</v>
      </c>
      <c r="F142" s="9" t="s">
        <v>93</v>
      </c>
      <c r="G142" s="21">
        <v>20</v>
      </c>
      <c r="H142" s="21">
        <v>1</v>
      </c>
      <c r="J142" s="9">
        <v>17600</v>
      </c>
      <c r="M142" s="21">
        <f t="shared" ref="M142:M173" si="45">J142+D141</f>
        <v>17610</v>
      </c>
    </row>
    <row r="143" spans="1:13">
      <c r="E143" s="21">
        <f t="shared" si="26"/>
        <v>143</v>
      </c>
      <c r="F143" s="9" t="s">
        <v>143</v>
      </c>
      <c r="M143" s="21">
        <v>173109</v>
      </c>
    </row>
    <row r="144" spans="1:13">
      <c r="E144" s="21">
        <f t="shared" si="26"/>
        <v>144</v>
      </c>
      <c r="F144" s="9" t="s">
        <v>127</v>
      </c>
      <c r="M144" s="21">
        <v>0</v>
      </c>
    </row>
    <row r="145" spans="1:13">
      <c r="E145" s="21">
        <f t="shared" si="26"/>
        <v>145</v>
      </c>
      <c r="F145" s="9" t="s">
        <v>29</v>
      </c>
      <c r="M145" s="21" t="s">
        <v>250</v>
      </c>
    </row>
    <row r="146" spans="1:13">
      <c r="E146" s="21">
        <f t="shared" si="26"/>
        <v>146</v>
      </c>
      <c r="F146" s="9" t="s">
        <v>119</v>
      </c>
      <c r="M146" s="21" t="s">
        <v>252</v>
      </c>
    </row>
    <row r="147" spans="1:13">
      <c r="E147" s="21">
        <f t="shared" si="26"/>
        <v>147</v>
      </c>
      <c r="F147" s="9" t="s">
        <v>99</v>
      </c>
      <c r="K147" s="9" t="s">
        <v>138</v>
      </c>
      <c r="M147" s="21">
        <v>2</v>
      </c>
    </row>
    <row r="148" spans="1:13">
      <c r="E148" s="21">
        <f t="shared" si="26"/>
        <v>148</v>
      </c>
      <c r="F148" s="9" t="s">
        <v>31</v>
      </c>
      <c r="L148" s="9" t="s">
        <v>136</v>
      </c>
      <c r="M148" s="21" t="s">
        <v>248</v>
      </c>
    </row>
    <row r="149" spans="1:13">
      <c r="E149" s="21">
        <f t="shared" si="26"/>
        <v>149</v>
      </c>
      <c r="F149" s="9" t="s">
        <v>183</v>
      </c>
      <c r="G149" s="21">
        <v>360</v>
      </c>
      <c r="L149" s="9" t="s">
        <v>135</v>
      </c>
      <c r="M149" s="21">
        <f t="shared" ref="M149" si="46">G149/G142*C141</f>
        <v>180</v>
      </c>
    </row>
    <row r="150" spans="1:13">
      <c r="E150" s="21">
        <f t="shared" si="26"/>
        <v>150</v>
      </c>
      <c r="F150" s="9" t="s">
        <v>30</v>
      </c>
      <c r="M150" s="21">
        <v>1</v>
      </c>
    </row>
    <row r="151" spans="1:13">
      <c r="E151" s="21">
        <f t="shared" si="26"/>
        <v>151</v>
      </c>
      <c r="F151" s="9" t="s">
        <v>116</v>
      </c>
      <c r="M151" s="21">
        <v>2</v>
      </c>
    </row>
    <row r="152" spans="1:13">
      <c r="E152" s="21">
        <f t="shared" si="26"/>
        <v>152</v>
      </c>
      <c r="F152" s="9" t="s">
        <v>115</v>
      </c>
      <c r="M152" s="21" t="b">
        <v>1</v>
      </c>
    </row>
    <row r="153" spans="1:13">
      <c r="E153" s="21">
        <f t="shared" si="26"/>
        <v>153</v>
      </c>
      <c r="F153" s="9" t="s">
        <v>195</v>
      </c>
      <c r="M153" s="21">
        <v>0.5</v>
      </c>
    </row>
    <row r="154" spans="1:13">
      <c r="E154" s="21">
        <f t="shared" si="26"/>
        <v>154</v>
      </c>
      <c r="F154" s="9" t="s">
        <v>197</v>
      </c>
      <c r="M154" s="21">
        <v>40</v>
      </c>
    </row>
    <row r="155" spans="1:13">
      <c r="A155" s="21" t="s">
        <v>228</v>
      </c>
      <c r="B155" s="21">
        <f t="shared" ref="B155:B186" si="47">QUOTIENT( D155-1,G156)+1</f>
        <v>1</v>
      </c>
      <c r="C155" s="21">
        <f t="shared" ref="C155" si="48">D155-(B155-1)*G156</f>
        <v>11</v>
      </c>
      <c r="D155" s="21">
        <f>COUNT($D$14:$D154)+1</f>
        <v>11</v>
      </c>
    </row>
    <row r="156" spans="1:13">
      <c r="E156" s="21">
        <f t="shared" ref="E156:E187" si="49">ROW(E156)</f>
        <v>156</v>
      </c>
      <c r="F156" s="9" t="s">
        <v>93</v>
      </c>
      <c r="G156" s="21">
        <v>20</v>
      </c>
      <c r="H156" s="21">
        <v>1</v>
      </c>
      <c r="J156" s="9">
        <v>17600</v>
      </c>
      <c r="M156" s="21">
        <f t="shared" ref="M156:M187" si="50">J156+D155</f>
        <v>17611</v>
      </c>
    </row>
    <row r="157" spans="1:13">
      <c r="E157" s="21">
        <f t="shared" si="26"/>
        <v>157</v>
      </c>
      <c r="F157" s="9" t="s">
        <v>143</v>
      </c>
      <c r="M157" s="21">
        <v>173109</v>
      </c>
    </row>
    <row r="158" spans="1:13">
      <c r="E158" s="21">
        <f t="shared" ref="E158:E221" si="51">ROW(E158)</f>
        <v>158</v>
      </c>
      <c r="F158" s="9" t="s">
        <v>127</v>
      </c>
      <c r="M158" s="21">
        <v>0</v>
      </c>
    </row>
    <row r="159" spans="1:13">
      <c r="E159" s="21">
        <f t="shared" si="51"/>
        <v>159</v>
      </c>
      <c r="F159" s="9" t="s">
        <v>29</v>
      </c>
      <c r="M159" s="21" t="s">
        <v>250</v>
      </c>
    </row>
    <row r="160" spans="1:13">
      <c r="E160" s="21">
        <f t="shared" si="51"/>
        <v>160</v>
      </c>
      <c r="F160" s="9" t="s">
        <v>119</v>
      </c>
      <c r="M160" s="21" t="s">
        <v>252</v>
      </c>
    </row>
    <row r="161" spans="1:13">
      <c r="E161" s="21">
        <f t="shared" si="51"/>
        <v>161</v>
      </c>
      <c r="F161" s="9" t="s">
        <v>99</v>
      </c>
      <c r="K161" s="9" t="s">
        <v>138</v>
      </c>
      <c r="M161" s="21">
        <v>2</v>
      </c>
    </row>
    <row r="162" spans="1:13">
      <c r="E162" s="21">
        <f t="shared" si="51"/>
        <v>162</v>
      </c>
      <c r="F162" s="9" t="s">
        <v>31</v>
      </c>
      <c r="L162" s="9" t="s">
        <v>136</v>
      </c>
      <c r="M162" s="21" t="s">
        <v>248</v>
      </c>
    </row>
    <row r="163" spans="1:13">
      <c r="E163" s="21">
        <f t="shared" si="51"/>
        <v>163</v>
      </c>
      <c r="F163" s="9" t="s">
        <v>183</v>
      </c>
      <c r="G163" s="21">
        <v>360</v>
      </c>
      <c r="L163" s="9" t="s">
        <v>135</v>
      </c>
      <c r="M163" s="21">
        <f t="shared" ref="M163" si="52">G163/G156*C155</f>
        <v>198</v>
      </c>
    </row>
    <row r="164" spans="1:13">
      <c r="E164" s="21">
        <f t="shared" si="51"/>
        <v>164</v>
      </c>
      <c r="F164" s="9" t="s">
        <v>30</v>
      </c>
      <c r="M164" s="21">
        <v>1</v>
      </c>
    </row>
    <row r="165" spans="1:13">
      <c r="E165" s="21">
        <f t="shared" si="51"/>
        <v>165</v>
      </c>
      <c r="F165" s="9" t="s">
        <v>116</v>
      </c>
      <c r="M165" s="21">
        <v>2</v>
      </c>
    </row>
    <row r="166" spans="1:13">
      <c r="E166" s="21">
        <f t="shared" si="51"/>
        <v>166</v>
      </c>
      <c r="F166" s="9" t="s">
        <v>115</v>
      </c>
      <c r="M166" s="21" t="b">
        <v>1</v>
      </c>
    </row>
    <row r="167" spans="1:13">
      <c r="E167" s="21">
        <f t="shared" si="51"/>
        <v>167</v>
      </c>
      <c r="F167" s="9" t="s">
        <v>195</v>
      </c>
      <c r="M167" s="21">
        <v>0.5</v>
      </c>
    </row>
    <row r="168" spans="1:13">
      <c r="E168" s="21">
        <f t="shared" si="51"/>
        <v>168</v>
      </c>
      <c r="F168" s="9" t="s">
        <v>197</v>
      </c>
      <c r="M168" s="21">
        <v>40</v>
      </c>
    </row>
    <row r="169" spans="1:13">
      <c r="A169" s="21" t="s">
        <v>228</v>
      </c>
      <c r="B169" s="21">
        <f t="shared" ref="B169:B200" si="53">QUOTIENT( D169-1,G170)+1</f>
        <v>1</v>
      </c>
      <c r="C169" s="21">
        <f t="shared" ref="C169" si="54">D169-(B169-1)*G170</f>
        <v>12</v>
      </c>
      <c r="D169" s="21">
        <f>COUNT($D$14:$D168)+1</f>
        <v>12</v>
      </c>
    </row>
    <row r="170" spans="1:13">
      <c r="E170" s="21">
        <f t="shared" ref="E170:E201" si="55">ROW(E170)</f>
        <v>170</v>
      </c>
      <c r="F170" s="9" t="s">
        <v>93</v>
      </c>
      <c r="G170" s="21">
        <v>20</v>
      </c>
      <c r="H170" s="21">
        <v>1</v>
      </c>
      <c r="J170" s="9">
        <v>17600</v>
      </c>
      <c r="M170" s="21">
        <f t="shared" ref="M170:M201" si="56">J170+D169</f>
        <v>17612</v>
      </c>
    </row>
    <row r="171" spans="1:13">
      <c r="E171" s="21">
        <f t="shared" si="51"/>
        <v>171</v>
      </c>
      <c r="F171" s="9" t="s">
        <v>143</v>
      </c>
      <c r="M171" s="21">
        <v>173109</v>
      </c>
    </row>
    <row r="172" spans="1:13">
      <c r="E172" s="21">
        <f t="shared" si="51"/>
        <v>172</v>
      </c>
      <c r="F172" s="9" t="s">
        <v>127</v>
      </c>
      <c r="M172" s="21">
        <v>0</v>
      </c>
    </row>
    <row r="173" spans="1:13">
      <c r="E173" s="21">
        <f t="shared" si="51"/>
        <v>173</v>
      </c>
      <c r="F173" s="9" t="s">
        <v>29</v>
      </c>
      <c r="M173" s="21" t="s">
        <v>250</v>
      </c>
    </row>
    <row r="174" spans="1:13">
      <c r="E174" s="21">
        <f t="shared" si="51"/>
        <v>174</v>
      </c>
      <c r="F174" s="9" t="s">
        <v>119</v>
      </c>
      <c r="M174" s="21" t="s">
        <v>252</v>
      </c>
    </row>
    <row r="175" spans="1:13">
      <c r="E175" s="21">
        <f t="shared" si="51"/>
        <v>175</v>
      </c>
      <c r="F175" s="9" t="s">
        <v>99</v>
      </c>
      <c r="K175" s="9" t="s">
        <v>138</v>
      </c>
      <c r="M175" s="21">
        <v>2</v>
      </c>
    </row>
    <row r="176" spans="1:13">
      <c r="E176" s="21">
        <f t="shared" si="51"/>
        <v>176</v>
      </c>
      <c r="F176" s="9" t="s">
        <v>31</v>
      </c>
      <c r="L176" s="9" t="s">
        <v>136</v>
      </c>
      <c r="M176" s="21" t="s">
        <v>248</v>
      </c>
    </row>
    <row r="177" spans="1:13">
      <c r="E177" s="21">
        <f t="shared" si="51"/>
        <v>177</v>
      </c>
      <c r="F177" s="9" t="s">
        <v>183</v>
      </c>
      <c r="G177" s="21">
        <v>360</v>
      </c>
      <c r="L177" s="9" t="s">
        <v>135</v>
      </c>
      <c r="M177" s="21">
        <f t="shared" ref="M177" si="57">G177/G170*C169</f>
        <v>216</v>
      </c>
    </row>
    <row r="178" spans="1:13">
      <c r="E178" s="21">
        <f t="shared" si="51"/>
        <v>178</v>
      </c>
      <c r="F178" s="9" t="s">
        <v>30</v>
      </c>
      <c r="M178" s="21">
        <v>1</v>
      </c>
    </row>
    <row r="179" spans="1:13">
      <c r="E179" s="21">
        <f t="shared" si="51"/>
        <v>179</v>
      </c>
      <c r="F179" s="9" t="s">
        <v>116</v>
      </c>
      <c r="M179" s="21">
        <v>2</v>
      </c>
    </row>
    <row r="180" spans="1:13">
      <c r="E180" s="21">
        <f t="shared" si="51"/>
        <v>180</v>
      </c>
      <c r="F180" s="9" t="s">
        <v>115</v>
      </c>
      <c r="M180" s="21" t="b">
        <v>1</v>
      </c>
    </row>
    <row r="181" spans="1:13">
      <c r="E181" s="21">
        <f t="shared" si="51"/>
        <v>181</v>
      </c>
      <c r="F181" s="9" t="s">
        <v>195</v>
      </c>
      <c r="M181" s="21">
        <v>0.5</v>
      </c>
    </row>
    <row r="182" spans="1:13">
      <c r="E182" s="21">
        <f t="shared" si="51"/>
        <v>182</v>
      </c>
      <c r="F182" s="9" t="s">
        <v>197</v>
      </c>
      <c r="M182" s="21">
        <v>40</v>
      </c>
    </row>
    <row r="183" spans="1:13">
      <c r="A183" s="21" t="s">
        <v>228</v>
      </c>
      <c r="B183" s="21">
        <f t="shared" ref="B183:B214" si="58">QUOTIENT( D183-1,G184)+1</f>
        <v>1</v>
      </c>
      <c r="C183" s="21">
        <f t="shared" ref="C183" si="59">D183-(B183-1)*G184</f>
        <v>13</v>
      </c>
      <c r="D183" s="21">
        <f>COUNT($D$14:$D182)+1</f>
        <v>13</v>
      </c>
    </row>
    <row r="184" spans="1:13">
      <c r="E184" s="21">
        <f t="shared" ref="E184:E215" si="60">ROW(E184)</f>
        <v>184</v>
      </c>
      <c r="F184" s="9" t="s">
        <v>93</v>
      </c>
      <c r="G184" s="21">
        <v>20</v>
      </c>
      <c r="H184" s="21">
        <v>1</v>
      </c>
      <c r="J184" s="9">
        <v>17600</v>
      </c>
      <c r="M184" s="21">
        <f t="shared" ref="M184:M215" si="61">J184+D183</f>
        <v>17613</v>
      </c>
    </row>
    <row r="185" spans="1:13">
      <c r="E185" s="21">
        <f t="shared" si="51"/>
        <v>185</v>
      </c>
      <c r="F185" s="9" t="s">
        <v>143</v>
      </c>
      <c r="M185" s="21">
        <v>173109</v>
      </c>
    </row>
    <row r="186" spans="1:13">
      <c r="E186" s="21">
        <f t="shared" si="51"/>
        <v>186</v>
      </c>
      <c r="F186" s="9" t="s">
        <v>127</v>
      </c>
      <c r="M186" s="21">
        <v>0</v>
      </c>
    </row>
    <row r="187" spans="1:13">
      <c r="E187" s="21">
        <f t="shared" si="51"/>
        <v>187</v>
      </c>
      <c r="F187" s="9" t="s">
        <v>29</v>
      </c>
      <c r="M187" s="21" t="s">
        <v>250</v>
      </c>
    </row>
    <row r="188" spans="1:13">
      <c r="E188" s="21">
        <f t="shared" si="51"/>
        <v>188</v>
      </c>
      <c r="F188" s="9" t="s">
        <v>119</v>
      </c>
      <c r="M188" s="21" t="s">
        <v>252</v>
      </c>
    </row>
    <row r="189" spans="1:13">
      <c r="E189" s="21">
        <f t="shared" si="51"/>
        <v>189</v>
      </c>
      <c r="F189" s="9" t="s">
        <v>99</v>
      </c>
      <c r="K189" s="9" t="s">
        <v>138</v>
      </c>
      <c r="M189" s="21">
        <v>2</v>
      </c>
    </row>
    <row r="190" spans="1:13">
      <c r="E190" s="21">
        <f t="shared" si="51"/>
        <v>190</v>
      </c>
      <c r="F190" s="9" t="s">
        <v>31</v>
      </c>
      <c r="L190" s="9" t="s">
        <v>136</v>
      </c>
      <c r="M190" s="21" t="s">
        <v>248</v>
      </c>
    </row>
    <row r="191" spans="1:13">
      <c r="E191" s="21">
        <f t="shared" si="51"/>
        <v>191</v>
      </c>
      <c r="F191" s="9" t="s">
        <v>183</v>
      </c>
      <c r="G191" s="21">
        <v>360</v>
      </c>
      <c r="L191" s="9" t="s">
        <v>135</v>
      </c>
      <c r="M191" s="21">
        <f t="shared" ref="M191" si="62">G191/G184*C183</f>
        <v>234</v>
      </c>
    </row>
    <row r="192" spans="1:13">
      <c r="E192" s="21">
        <f t="shared" si="51"/>
        <v>192</v>
      </c>
      <c r="F192" s="9" t="s">
        <v>30</v>
      </c>
      <c r="M192" s="21">
        <v>1</v>
      </c>
    </row>
    <row r="193" spans="1:13">
      <c r="E193" s="21">
        <f t="shared" si="51"/>
        <v>193</v>
      </c>
      <c r="F193" s="9" t="s">
        <v>116</v>
      </c>
      <c r="M193" s="21">
        <v>2</v>
      </c>
    </row>
    <row r="194" spans="1:13">
      <c r="E194" s="21">
        <f t="shared" si="51"/>
        <v>194</v>
      </c>
      <c r="F194" s="9" t="s">
        <v>115</v>
      </c>
      <c r="M194" s="21" t="b">
        <v>1</v>
      </c>
    </row>
    <row r="195" spans="1:13">
      <c r="E195" s="21">
        <f t="shared" si="51"/>
        <v>195</v>
      </c>
      <c r="F195" s="9" t="s">
        <v>195</v>
      </c>
      <c r="M195" s="21">
        <v>0.5</v>
      </c>
    </row>
    <row r="196" spans="1:13">
      <c r="E196" s="21">
        <f t="shared" si="51"/>
        <v>196</v>
      </c>
      <c r="F196" s="9" t="s">
        <v>197</v>
      </c>
      <c r="M196" s="21">
        <v>40</v>
      </c>
    </row>
    <row r="197" spans="1:13">
      <c r="A197" s="21" t="s">
        <v>228</v>
      </c>
      <c r="B197" s="21">
        <f t="shared" ref="B197:B228" si="63">QUOTIENT( D197-1,G198)+1</f>
        <v>1</v>
      </c>
      <c r="C197" s="21">
        <f t="shared" ref="C197" si="64">D197-(B197-1)*G198</f>
        <v>14</v>
      </c>
      <c r="D197" s="21">
        <f>COUNT($D$14:$D196)+1</f>
        <v>14</v>
      </c>
    </row>
    <row r="198" spans="1:13">
      <c r="E198" s="21">
        <f t="shared" ref="E198:E229" si="65">ROW(E198)</f>
        <v>198</v>
      </c>
      <c r="F198" s="9" t="s">
        <v>93</v>
      </c>
      <c r="G198" s="21">
        <v>20</v>
      </c>
      <c r="H198" s="21">
        <v>1</v>
      </c>
      <c r="J198" s="9">
        <v>17600</v>
      </c>
      <c r="M198" s="21">
        <f t="shared" ref="M198:M229" si="66">J198+D197</f>
        <v>17614</v>
      </c>
    </row>
    <row r="199" spans="1:13">
      <c r="E199" s="21">
        <f t="shared" si="51"/>
        <v>199</v>
      </c>
      <c r="F199" s="9" t="s">
        <v>143</v>
      </c>
      <c r="M199" s="21">
        <v>173109</v>
      </c>
    </row>
    <row r="200" spans="1:13">
      <c r="E200" s="21">
        <f t="shared" si="51"/>
        <v>200</v>
      </c>
      <c r="F200" s="9" t="s">
        <v>127</v>
      </c>
      <c r="M200" s="21">
        <v>0</v>
      </c>
    </row>
    <row r="201" spans="1:13">
      <c r="E201" s="21">
        <f t="shared" si="51"/>
        <v>201</v>
      </c>
      <c r="F201" s="9" t="s">
        <v>29</v>
      </c>
      <c r="M201" s="21" t="s">
        <v>250</v>
      </c>
    </row>
    <row r="202" spans="1:13">
      <c r="E202" s="21">
        <f t="shared" si="51"/>
        <v>202</v>
      </c>
      <c r="F202" s="9" t="s">
        <v>119</v>
      </c>
      <c r="M202" s="21" t="s">
        <v>252</v>
      </c>
    </row>
    <row r="203" spans="1:13">
      <c r="E203" s="21">
        <f t="shared" si="51"/>
        <v>203</v>
      </c>
      <c r="F203" s="9" t="s">
        <v>99</v>
      </c>
      <c r="K203" s="9" t="s">
        <v>138</v>
      </c>
      <c r="M203" s="21">
        <v>2</v>
      </c>
    </row>
    <row r="204" spans="1:13">
      <c r="E204" s="21">
        <f t="shared" si="51"/>
        <v>204</v>
      </c>
      <c r="F204" s="9" t="s">
        <v>31</v>
      </c>
      <c r="L204" s="9" t="s">
        <v>136</v>
      </c>
      <c r="M204" s="21" t="s">
        <v>248</v>
      </c>
    </row>
    <row r="205" spans="1:13">
      <c r="E205" s="21">
        <f t="shared" si="51"/>
        <v>205</v>
      </c>
      <c r="F205" s="9" t="s">
        <v>183</v>
      </c>
      <c r="G205" s="21">
        <v>360</v>
      </c>
      <c r="L205" s="9" t="s">
        <v>135</v>
      </c>
      <c r="M205" s="21">
        <f t="shared" ref="M205" si="67">G205/G198*C197</f>
        <v>252</v>
      </c>
    </row>
    <row r="206" spans="1:13">
      <c r="E206" s="21">
        <f t="shared" si="51"/>
        <v>206</v>
      </c>
      <c r="F206" s="9" t="s">
        <v>30</v>
      </c>
      <c r="M206" s="21">
        <v>1</v>
      </c>
    </row>
    <row r="207" spans="1:13">
      <c r="E207" s="21">
        <f t="shared" si="51"/>
        <v>207</v>
      </c>
      <c r="F207" s="9" t="s">
        <v>116</v>
      </c>
      <c r="M207" s="21">
        <v>2</v>
      </c>
    </row>
    <row r="208" spans="1:13">
      <c r="E208" s="21">
        <f t="shared" si="51"/>
        <v>208</v>
      </c>
      <c r="F208" s="9" t="s">
        <v>115</v>
      </c>
      <c r="M208" s="21" t="b">
        <v>1</v>
      </c>
    </row>
    <row r="209" spans="1:13">
      <c r="E209" s="21">
        <f t="shared" si="51"/>
        <v>209</v>
      </c>
      <c r="F209" s="9" t="s">
        <v>195</v>
      </c>
      <c r="M209" s="21">
        <v>0.5</v>
      </c>
    </row>
    <row r="210" spans="1:13">
      <c r="E210" s="21">
        <f t="shared" si="51"/>
        <v>210</v>
      </c>
      <c r="F210" s="9" t="s">
        <v>197</v>
      </c>
      <c r="M210" s="21">
        <v>40</v>
      </c>
    </row>
    <row r="211" spans="1:13">
      <c r="A211" s="21" t="s">
        <v>228</v>
      </c>
      <c r="B211" s="21">
        <f t="shared" ref="B211:B242" si="68">QUOTIENT( D211-1,G212)+1</f>
        <v>1</v>
      </c>
      <c r="C211" s="21">
        <f t="shared" ref="C211" si="69">D211-(B211-1)*G212</f>
        <v>15</v>
      </c>
      <c r="D211" s="21">
        <f>COUNT($D$14:$D210)+1</f>
        <v>15</v>
      </c>
    </row>
    <row r="212" spans="1:13">
      <c r="E212" s="21">
        <f t="shared" ref="E212:E243" si="70">ROW(E212)</f>
        <v>212</v>
      </c>
      <c r="F212" s="9" t="s">
        <v>93</v>
      </c>
      <c r="G212" s="21">
        <v>20</v>
      </c>
      <c r="H212" s="21">
        <v>1</v>
      </c>
      <c r="J212" s="9">
        <v>17600</v>
      </c>
      <c r="M212" s="21">
        <f t="shared" ref="M212:M243" si="71">J212+D211</f>
        <v>17615</v>
      </c>
    </row>
    <row r="213" spans="1:13">
      <c r="E213" s="21">
        <f t="shared" si="51"/>
        <v>213</v>
      </c>
      <c r="F213" s="9" t="s">
        <v>143</v>
      </c>
      <c r="M213" s="21">
        <v>173109</v>
      </c>
    </row>
    <row r="214" spans="1:13">
      <c r="E214" s="21">
        <f t="shared" si="51"/>
        <v>214</v>
      </c>
      <c r="F214" s="9" t="s">
        <v>127</v>
      </c>
      <c r="M214" s="21">
        <v>0</v>
      </c>
    </row>
    <row r="215" spans="1:13">
      <c r="E215" s="21">
        <f t="shared" si="51"/>
        <v>215</v>
      </c>
      <c r="F215" s="9" t="s">
        <v>29</v>
      </c>
      <c r="M215" s="21" t="s">
        <v>250</v>
      </c>
    </row>
    <row r="216" spans="1:13">
      <c r="E216" s="21">
        <f t="shared" si="51"/>
        <v>216</v>
      </c>
      <c r="F216" s="9" t="s">
        <v>119</v>
      </c>
      <c r="M216" s="21" t="s">
        <v>252</v>
      </c>
    </row>
    <row r="217" spans="1:13">
      <c r="E217" s="21">
        <f t="shared" si="51"/>
        <v>217</v>
      </c>
      <c r="F217" s="9" t="s">
        <v>99</v>
      </c>
      <c r="K217" s="9" t="s">
        <v>138</v>
      </c>
      <c r="M217" s="21">
        <v>2</v>
      </c>
    </row>
    <row r="218" spans="1:13">
      <c r="E218" s="21">
        <f t="shared" si="51"/>
        <v>218</v>
      </c>
      <c r="F218" s="9" t="s">
        <v>31</v>
      </c>
      <c r="L218" s="9" t="s">
        <v>136</v>
      </c>
      <c r="M218" s="21" t="s">
        <v>248</v>
      </c>
    </row>
    <row r="219" spans="1:13">
      <c r="E219" s="21">
        <f t="shared" si="51"/>
        <v>219</v>
      </c>
      <c r="F219" s="9" t="s">
        <v>183</v>
      </c>
      <c r="G219" s="21">
        <v>360</v>
      </c>
      <c r="L219" s="9" t="s">
        <v>135</v>
      </c>
      <c r="M219" s="21">
        <f t="shared" ref="M219" si="72">G219/G212*C211</f>
        <v>270</v>
      </c>
    </row>
    <row r="220" spans="1:13">
      <c r="E220" s="21">
        <f t="shared" si="51"/>
        <v>220</v>
      </c>
      <c r="F220" s="9" t="s">
        <v>30</v>
      </c>
      <c r="M220" s="21">
        <v>1</v>
      </c>
    </row>
    <row r="221" spans="1:13">
      <c r="E221" s="21">
        <f t="shared" si="51"/>
        <v>221</v>
      </c>
      <c r="F221" s="9" t="s">
        <v>116</v>
      </c>
      <c r="M221" s="21">
        <v>2</v>
      </c>
    </row>
    <row r="222" spans="1:13">
      <c r="E222" s="21">
        <f t="shared" ref="E222:E285" si="73">ROW(E222)</f>
        <v>222</v>
      </c>
      <c r="F222" s="9" t="s">
        <v>115</v>
      </c>
      <c r="M222" s="21" t="b">
        <v>1</v>
      </c>
    </row>
    <row r="223" spans="1:13">
      <c r="E223" s="21">
        <f t="shared" si="73"/>
        <v>223</v>
      </c>
      <c r="F223" s="9" t="s">
        <v>195</v>
      </c>
      <c r="M223" s="21">
        <v>0.5</v>
      </c>
    </row>
    <row r="224" spans="1:13">
      <c r="E224" s="21">
        <f t="shared" si="73"/>
        <v>224</v>
      </c>
      <c r="F224" s="9" t="s">
        <v>197</v>
      </c>
      <c r="M224" s="21">
        <v>40</v>
      </c>
    </row>
    <row r="225" spans="1:13">
      <c r="A225" s="21" t="s">
        <v>228</v>
      </c>
      <c r="B225" s="21">
        <f t="shared" ref="B225:B256" si="74">QUOTIENT( D225-1,G226)+1</f>
        <v>1</v>
      </c>
      <c r="C225" s="21">
        <f t="shared" ref="C225" si="75">D225-(B225-1)*G226</f>
        <v>16</v>
      </c>
      <c r="D225" s="21">
        <f>COUNT($D$14:$D224)+1</f>
        <v>16</v>
      </c>
    </row>
    <row r="226" spans="1:13">
      <c r="E226" s="21">
        <f t="shared" ref="E226:E257" si="76">ROW(E226)</f>
        <v>226</v>
      </c>
      <c r="F226" s="9" t="s">
        <v>93</v>
      </c>
      <c r="G226" s="21">
        <v>20</v>
      </c>
      <c r="H226" s="21">
        <v>1</v>
      </c>
      <c r="J226" s="9">
        <v>17600</v>
      </c>
      <c r="M226" s="21">
        <f t="shared" ref="M226:M257" si="77">J226+D225</f>
        <v>17616</v>
      </c>
    </row>
    <row r="227" spans="1:13">
      <c r="E227" s="21">
        <f t="shared" si="73"/>
        <v>227</v>
      </c>
      <c r="F227" s="9" t="s">
        <v>143</v>
      </c>
      <c r="M227" s="21">
        <v>173109</v>
      </c>
    </row>
    <row r="228" spans="1:13">
      <c r="E228" s="21">
        <f t="shared" si="73"/>
        <v>228</v>
      </c>
      <c r="F228" s="9" t="s">
        <v>127</v>
      </c>
      <c r="M228" s="21">
        <v>0</v>
      </c>
    </row>
    <row r="229" spans="1:13">
      <c r="E229" s="21">
        <f t="shared" si="73"/>
        <v>229</v>
      </c>
      <c r="F229" s="9" t="s">
        <v>29</v>
      </c>
      <c r="M229" s="21" t="s">
        <v>250</v>
      </c>
    </row>
    <row r="230" spans="1:13">
      <c r="E230" s="21">
        <f t="shared" si="73"/>
        <v>230</v>
      </c>
      <c r="F230" s="9" t="s">
        <v>119</v>
      </c>
      <c r="M230" s="21" t="s">
        <v>252</v>
      </c>
    </row>
    <row r="231" spans="1:13">
      <c r="E231" s="21">
        <f t="shared" si="73"/>
        <v>231</v>
      </c>
      <c r="F231" s="9" t="s">
        <v>99</v>
      </c>
      <c r="K231" s="9" t="s">
        <v>138</v>
      </c>
      <c r="M231" s="21">
        <v>2</v>
      </c>
    </row>
    <row r="232" spans="1:13">
      <c r="E232" s="21">
        <f t="shared" si="73"/>
        <v>232</v>
      </c>
      <c r="F232" s="9" t="s">
        <v>31</v>
      </c>
      <c r="L232" s="9" t="s">
        <v>136</v>
      </c>
      <c r="M232" s="21" t="s">
        <v>248</v>
      </c>
    </row>
    <row r="233" spans="1:13">
      <c r="E233" s="21">
        <f t="shared" si="73"/>
        <v>233</v>
      </c>
      <c r="F233" s="9" t="s">
        <v>183</v>
      </c>
      <c r="G233" s="21">
        <v>360</v>
      </c>
      <c r="L233" s="9" t="s">
        <v>135</v>
      </c>
      <c r="M233" s="21">
        <f t="shared" ref="M233" si="78">G233/G226*C225</f>
        <v>288</v>
      </c>
    </row>
    <row r="234" spans="1:13">
      <c r="E234" s="21">
        <f t="shared" si="73"/>
        <v>234</v>
      </c>
      <c r="F234" s="9" t="s">
        <v>30</v>
      </c>
      <c r="M234" s="21">
        <v>1</v>
      </c>
    </row>
    <row r="235" spans="1:13">
      <c r="E235" s="21">
        <f t="shared" si="73"/>
        <v>235</v>
      </c>
      <c r="F235" s="9" t="s">
        <v>116</v>
      </c>
      <c r="M235" s="21">
        <v>2</v>
      </c>
    </row>
    <row r="236" spans="1:13">
      <c r="E236" s="21">
        <f t="shared" si="73"/>
        <v>236</v>
      </c>
      <c r="F236" s="9" t="s">
        <v>115</v>
      </c>
      <c r="M236" s="21" t="b">
        <v>1</v>
      </c>
    </row>
    <row r="237" spans="1:13">
      <c r="E237" s="21">
        <f t="shared" si="73"/>
        <v>237</v>
      </c>
      <c r="F237" s="9" t="s">
        <v>195</v>
      </c>
      <c r="M237" s="21">
        <v>0.5</v>
      </c>
    </row>
    <row r="238" spans="1:13">
      <c r="E238" s="21">
        <f t="shared" si="73"/>
        <v>238</v>
      </c>
      <c r="F238" s="9" t="s">
        <v>197</v>
      </c>
      <c r="M238" s="21">
        <v>40</v>
      </c>
    </row>
    <row r="239" spans="1:13">
      <c r="A239" s="21" t="s">
        <v>228</v>
      </c>
      <c r="B239" s="21">
        <f t="shared" ref="B239:B270" si="79">QUOTIENT( D239-1,G240)+1</f>
        <v>1</v>
      </c>
      <c r="C239" s="21">
        <f t="shared" ref="C239" si="80">D239-(B239-1)*G240</f>
        <v>17</v>
      </c>
      <c r="D239" s="21">
        <f>COUNT($D$14:$D238)+1</f>
        <v>17</v>
      </c>
    </row>
    <row r="240" spans="1:13">
      <c r="E240" s="21">
        <f t="shared" ref="E240:E271" si="81">ROW(E240)</f>
        <v>240</v>
      </c>
      <c r="F240" s="9" t="s">
        <v>93</v>
      </c>
      <c r="G240" s="21">
        <v>20</v>
      </c>
      <c r="H240" s="21">
        <v>1</v>
      </c>
      <c r="J240" s="9">
        <v>17600</v>
      </c>
      <c r="M240" s="21">
        <f t="shared" ref="M240:M271" si="82">J240+D239</f>
        <v>17617</v>
      </c>
    </row>
    <row r="241" spans="1:13">
      <c r="E241" s="21">
        <f t="shared" si="73"/>
        <v>241</v>
      </c>
      <c r="F241" s="9" t="s">
        <v>143</v>
      </c>
      <c r="M241" s="21">
        <v>173109</v>
      </c>
    </row>
    <row r="242" spans="1:13">
      <c r="E242" s="21">
        <f t="shared" si="73"/>
        <v>242</v>
      </c>
      <c r="F242" s="9" t="s">
        <v>127</v>
      </c>
      <c r="M242" s="21">
        <v>0</v>
      </c>
    </row>
    <row r="243" spans="1:13">
      <c r="E243" s="21">
        <f t="shared" si="73"/>
        <v>243</v>
      </c>
      <c r="F243" s="9" t="s">
        <v>29</v>
      </c>
      <c r="M243" s="21" t="s">
        <v>250</v>
      </c>
    </row>
    <row r="244" spans="1:13">
      <c r="E244" s="21">
        <f t="shared" si="73"/>
        <v>244</v>
      </c>
      <c r="F244" s="9" t="s">
        <v>119</v>
      </c>
      <c r="M244" s="21" t="s">
        <v>252</v>
      </c>
    </row>
    <row r="245" spans="1:13">
      <c r="E245" s="21">
        <f t="shared" si="73"/>
        <v>245</v>
      </c>
      <c r="F245" s="9" t="s">
        <v>99</v>
      </c>
      <c r="K245" s="9" t="s">
        <v>138</v>
      </c>
      <c r="M245" s="21">
        <v>2</v>
      </c>
    </row>
    <row r="246" spans="1:13">
      <c r="E246" s="21">
        <f t="shared" si="73"/>
        <v>246</v>
      </c>
      <c r="F246" s="9" t="s">
        <v>31</v>
      </c>
      <c r="L246" s="9" t="s">
        <v>136</v>
      </c>
      <c r="M246" s="21" t="s">
        <v>248</v>
      </c>
    </row>
    <row r="247" spans="1:13">
      <c r="E247" s="21">
        <f t="shared" si="73"/>
        <v>247</v>
      </c>
      <c r="F247" s="9" t="s">
        <v>183</v>
      </c>
      <c r="G247" s="21">
        <v>360</v>
      </c>
      <c r="L247" s="9" t="s">
        <v>135</v>
      </c>
      <c r="M247" s="21">
        <f t="shared" ref="M247" si="83">G247/G240*C239</f>
        <v>306</v>
      </c>
    </row>
    <row r="248" spans="1:13">
      <c r="E248" s="21">
        <f t="shared" si="73"/>
        <v>248</v>
      </c>
      <c r="F248" s="9" t="s">
        <v>30</v>
      </c>
      <c r="M248" s="21">
        <v>1</v>
      </c>
    </row>
    <row r="249" spans="1:13">
      <c r="E249" s="21">
        <f t="shared" si="73"/>
        <v>249</v>
      </c>
      <c r="F249" s="9" t="s">
        <v>116</v>
      </c>
      <c r="M249" s="21">
        <v>2</v>
      </c>
    </row>
    <row r="250" spans="1:13">
      <c r="E250" s="21">
        <f t="shared" si="73"/>
        <v>250</v>
      </c>
      <c r="F250" s="9" t="s">
        <v>115</v>
      </c>
      <c r="M250" s="21" t="b">
        <v>1</v>
      </c>
    </row>
    <row r="251" spans="1:13">
      <c r="E251" s="21">
        <f t="shared" si="73"/>
        <v>251</v>
      </c>
      <c r="F251" s="9" t="s">
        <v>195</v>
      </c>
      <c r="M251" s="21">
        <v>0.5</v>
      </c>
    </row>
    <row r="252" spans="1:13">
      <c r="E252" s="21">
        <f t="shared" si="73"/>
        <v>252</v>
      </c>
      <c r="F252" s="9" t="s">
        <v>197</v>
      </c>
      <c r="M252" s="21">
        <v>40</v>
      </c>
    </row>
    <row r="253" spans="1:13">
      <c r="A253" s="21" t="s">
        <v>228</v>
      </c>
      <c r="B253" s="21">
        <f t="shared" ref="B253:B294" si="84">QUOTIENT( D253-1,G254)+1</f>
        <v>1</v>
      </c>
      <c r="C253" s="21">
        <f t="shared" ref="C253" si="85">D253-(B253-1)*G254</f>
        <v>18</v>
      </c>
      <c r="D253" s="21">
        <f>COUNT($D$14:$D252)+1</f>
        <v>18</v>
      </c>
    </row>
    <row r="254" spans="1:13">
      <c r="E254" s="21">
        <f t="shared" ref="E254:E294" si="86">ROW(E254)</f>
        <v>254</v>
      </c>
      <c r="F254" s="9" t="s">
        <v>93</v>
      </c>
      <c r="G254" s="21">
        <v>20</v>
      </c>
      <c r="H254" s="21">
        <v>1</v>
      </c>
      <c r="J254" s="9">
        <v>17600</v>
      </c>
      <c r="M254" s="21">
        <f t="shared" ref="M254:M294" si="87">J254+D253</f>
        <v>17618</v>
      </c>
    </row>
    <row r="255" spans="1:13">
      <c r="E255" s="21">
        <f t="shared" si="73"/>
        <v>255</v>
      </c>
      <c r="F255" s="9" t="s">
        <v>143</v>
      </c>
      <c r="M255" s="21">
        <v>173109</v>
      </c>
    </row>
    <row r="256" spans="1:13">
      <c r="E256" s="21">
        <f t="shared" si="73"/>
        <v>256</v>
      </c>
      <c r="F256" s="9" t="s">
        <v>127</v>
      </c>
      <c r="M256" s="21">
        <v>0</v>
      </c>
    </row>
    <row r="257" spans="1:13">
      <c r="E257" s="21">
        <f t="shared" si="73"/>
        <v>257</v>
      </c>
      <c r="F257" s="9" t="s">
        <v>29</v>
      </c>
      <c r="M257" s="21" t="s">
        <v>250</v>
      </c>
    </row>
    <row r="258" spans="1:13">
      <c r="E258" s="21">
        <f t="shared" si="73"/>
        <v>258</v>
      </c>
      <c r="F258" s="9" t="s">
        <v>119</v>
      </c>
      <c r="M258" s="21" t="s">
        <v>252</v>
      </c>
    </row>
    <row r="259" spans="1:13">
      <c r="E259" s="21">
        <f t="shared" si="73"/>
        <v>259</v>
      </c>
      <c r="F259" s="9" t="s">
        <v>99</v>
      </c>
      <c r="K259" s="9" t="s">
        <v>138</v>
      </c>
      <c r="M259" s="21">
        <v>2</v>
      </c>
    </row>
    <row r="260" spans="1:13">
      <c r="E260" s="21">
        <f t="shared" si="73"/>
        <v>260</v>
      </c>
      <c r="F260" s="9" t="s">
        <v>31</v>
      </c>
      <c r="L260" s="9" t="s">
        <v>136</v>
      </c>
      <c r="M260" s="21" t="s">
        <v>248</v>
      </c>
    </row>
    <row r="261" spans="1:13">
      <c r="E261" s="21">
        <f t="shared" si="73"/>
        <v>261</v>
      </c>
      <c r="F261" s="9" t="s">
        <v>183</v>
      </c>
      <c r="G261" s="21">
        <v>360</v>
      </c>
      <c r="L261" s="9" t="s">
        <v>135</v>
      </c>
      <c r="M261" s="21">
        <f t="shared" ref="M261" si="88">G261/G254*C253</f>
        <v>324</v>
      </c>
    </row>
    <row r="262" spans="1:13">
      <c r="E262" s="21">
        <f t="shared" si="73"/>
        <v>262</v>
      </c>
      <c r="F262" s="9" t="s">
        <v>30</v>
      </c>
      <c r="M262" s="21">
        <v>1</v>
      </c>
    </row>
    <row r="263" spans="1:13">
      <c r="E263" s="21">
        <f t="shared" si="73"/>
        <v>263</v>
      </c>
      <c r="F263" s="9" t="s">
        <v>116</v>
      </c>
      <c r="M263" s="21">
        <v>2</v>
      </c>
    </row>
    <row r="264" spans="1:13">
      <c r="E264" s="21">
        <f t="shared" si="73"/>
        <v>264</v>
      </c>
      <c r="F264" s="9" t="s">
        <v>115</v>
      </c>
      <c r="M264" s="21" t="b">
        <v>1</v>
      </c>
    </row>
    <row r="265" spans="1:13">
      <c r="E265" s="21">
        <f t="shared" si="73"/>
        <v>265</v>
      </c>
      <c r="F265" s="9" t="s">
        <v>195</v>
      </c>
      <c r="M265" s="21">
        <v>0.5</v>
      </c>
    </row>
    <row r="266" spans="1:13">
      <c r="E266" s="21">
        <f t="shared" si="73"/>
        <v>266</v>
      </c>
      <c r="F266" s="9" t="s">
        <v>197</v>
      </c>
      <c r="M266" s="21">
        <v>40</v>
      </c>
    </row>
    <row r="267" spans="1:13">
      <c r="A267" s="21" t="s">
        <v>228</v>
      </c>
      <c r="B267" s="21">
        <f t="shared" ref="B267:B294" si="89">QUOTIENT( D267-1,G268)+1</f>
        <v>1</v>
      </c>
      <c r="C267" s="21">
        <f t="shared" ref="C267" si="90">D267-(B267-1)*G268</f>
        <v>19</v>
      </c>
      <c r="D267" s="21">
        <f>COUNT($D$14:$D266)+1</f>
        <v>19</v>
      </c>
    </row>
    <row r="268" spans="1:13">
      <c r="E268" s="21">
        <f t="shared" ref="E268:E294" si="91">ROW(E268)</f>
        <v>268</v>
      </c>
      <c r="F268" s="9" t="s">
        <v>93</v>
      </c>
      <c r="G268" s="21">
        <v>20</v>
      </c>
      <c r="H268" s="21">
        <v>1</v>
      </c>
      <c r="J268" s="9">
        <v>17600</v>
      </c>
      <c r="M268" s="21">
        <f t="shared" ref="M268:M294" si="92">J268+D267</f>
        <v>17619</v>
      </c>
    </row>
    <row r="269" spans="1:13">
      <c r="E269" s="21">
        <f t="shared" si="73"/>
        <v>269</v>
      </c>
      <c r="F269" s="9" t="s">
        <v>143</v>
      </c>
      <c r="M269" s="21">
        <v>173109</v>
      </c>
    </row>
    <row r="270" spans="1:13">
      <c r="E270" s="21">
        <f t="shared" si="73"/>
        <v>270</v>
      </c>
      <c r="F270" s="9" t="s">
        <v>127</v>
      </c>
      <c r="M270" s="21">
        <v>0</v>
      </c>
    </row>
    <row r="271" spans="1:13">
      <c r="E271" s="21">
        <f t="shared" si="73"/>
        <v>271</v>
      </c>
      <c r="F271" s="9" t="s">
        <v>29</v>
      </c>
      <c r="M271" s="21" t="s">
        <v>250</v>
      </c>
    </row>
    <row r="272" spans="1:13">
      <c r="E272" s="21">
        <f t="shared" si="73"/>
        <v>272</v>
      </c>
      <c r="F272" s="9" t="s">
        <v>119</v>
      </c>
      <c r="M272" s="21" t="s">
        <v>252</v>
      </c>
    </row>
    <row r="273" spans="1:13">
      <c r="E273" s="21">
        <f t="shared" si="73"/>
        <v>273</v>
      </c>
      <c r="F273" s="9" t="s">
        <v>99</v>
      </c>
      <c r="K273" s="9" t="s">
        <v>138</v>
      </c>
      <c r="M273" s="21">
        <v>2</v>
      </c>
    </row>
    <row r="274" spans="1:13">
      <c r="E274" s="21">
        <f t="shared" si="73"/>
        <v>274</v>
      </c>
      <c r="F274" s="9" t="s">
        <v>31</v>
      </c>
      <c r="L274" s="9" t="s">
        <v>136</v>
      </c>
      <c r="M274" s="21" t="s">
        <v>248</v>
      </c>
    </row>
    <row r="275" spans="1:13">
      <c r="E275" s="21">
        <f t="shared" si="73"/>
        <v>275</v>
      </c>
      <c r="F275" s="9" t="s">
        <v>183</v>
      </c>
      <c r="G275" s="21">
        <v>360</v>
      </c>
      <c r="L275" s="9" t="s">
        <v>135</v>
      </c>
      <c r="M275" s="21">
        <f t="shared" ref="M275" si="93">G275/G268*C267</f>
        <v>342</v>
      </c>
    </row>
    <row r="276" spans="1:13">
      <c r="E276" s="21">
        <f t="shared" si="73"/>
        <v>276</v>
      </c>
      <c r="F276" s="9" t="s">
        <v>30</v>
      </c>
      <c r="M276" s="21">
        <v>1</v>
      </c>
    </row>
    <row r="277" spans="1:13">
      <c r="E277" s="21">
        <f t="shared" si="73"/>
        <v>277</v>
      </c>
      <c r="F277" s="9" t="s">
        <v>116</v>
      </c>
      <c r="M277" s="21">
        <v>2</v>
      </c>
    </row>
    <row r="278" spans="1:13">
      <c r="E278" s="21">
        <f t="shared" si="73"/>
        <v>278</v>
      </c>
      <c r="F278" s="9" t="s">
        <v>115</v>
      </c>
      <c r="M278" s="21" t="b">
        <v>1</v>
      </c>
    </row>
    <row r="279" spans="1:13">
      <c r="E279" s="21">
        <f t="shared" si="73"/>
        <v>279</v>
      </c>
      <c r="F279" s="9" t="s">
        <v>195</v>
      </c>
      <c r="M279" s="21">
        <v>0.5</v>
      </c>
    </row>
    <row r="280" spans="1:13">
      <c r="E280" s="21">
        <f t="shared" si="73"/>
        <v>280</v>
      </c>
      <c r="F280" s="9" t="s">
        <v>197</v>
      </c>
      <c r="M280" s="21">
        <v>40</v>
      </c>
    </row>
    <row r="281" spans="1:13">
      <c r="A281" s="21" t="s">
        <v>228</v>
      </c>
      <c r="B281" s="21">
        <f t="shared" ref="B281:B294" si="94">QUOTIENT( D281-1,G282)+1</f>
        <v>1</v>
      </c>
      <c r="C281" s="21">
        <f t="shared" ref="C281" si="95">D281-(B281-1)*G282</f>
        <v>20</v>
      </c>
      <c r="D281" s="21">
        <f>COUNT($D$14:$D280)+1</f>
        <v>20</v>
      </c>
    </row>
    <row r="282" spans="1:13">
      <c r="E282" s="21">
        <f t="shared" ref="E282:E294" si="96">ROW(E282)</f>
        <v>282</v>
      </c>
      <c r="F282" s="9" t="s">
        <v>93</v>
      </c>
      <c r="G282" s="21">
        <v>20</v>
      </c>
      <c r="H282" s="21">
        <v>1</v>
      </c>
      <c r="J282" s="9">
        <v>17600</v>
      </c>
      <c r="M282" s="21">
        <f t="shared" ref="M282:M294" si="97">J282+D281</f>
        <v>17620</v>
      </c>
    </row>
    <row r="283" spans="1:13">
      <c r="E283" s="21">
        <f t="shared" si="73"/>
        <v>283</v>
      </c>
      <c r="F283" s="9" t="s">
        <v>143</v>
      </c>
      <c r="M283" s="21">
        <v>173109</v>
      </c>
    </row>
    <row r="284" spans="1:13">
      <c r="E284" s="21">
        <f t="shared" si="73"/>
        <v>284</v>
      </c>
      <c r="F284" s="9" t="s">
        <v>127</v>
      </c>
      <c r="M284" s="21">
        <v>0</v>
      </c>
    </row>
    <row r="285" spans="1:13">
      <c r="E285" s="21">
        <f t="shared" si="73"/>
        <v>285</v>
      </c>
      <c r="F285" s="9" t="s">
        <v>29</v>
      </c>
      <c r="M285" s="21" t="s">
        <v>250</v>
      </c>
    </row>
    <row r="286" spans="1:13">
      <c r="E286" s="21">
        <f t="shared" ref="E286:E294" si="98">ROW(E286)</f>
        <v>286</v>
      </c>
      <c r="F286" s="9" t="s">
        <v>119</v>
      </c>
      <c r="M286" s="21" t="s">
        <v>252</v>
      </c>
    </row>
    <row r="287" spans="1:13">
      <c r="E287" s="21">
        <f t="shared" si="98"/>
        <v>287</v>
      </c>
      <c r="F287" s="9" t="s">
        <v>99</v>
      </c>
      <c r="K287" s="9" t="s">
        <v>138</v>
      </c>
      <c r="M287" s="21">
        <v>2</v>
      </c>
    </row>
    <row r="288" spans="1:13">
      <c r="E288" s="21">
        <f t="shared" si="98"/>
        <v>288</v>
      </c>
      <c r="F288" s="9" t="s">
        <v>31</v>
      </c>
      <c r="L288" s="9" t="s">
        <v>136</v>
      </c>
      <c r="M288" s="21" t="s">
        <v>248</v>
      </c>
    </row>
    <row r="289" spans="5:13">
      <c r="E289" s="21">
        <f t="shared" si="98"/>
        <v>289</v>
      </c>
      <c r="F289" s="9" t="s">
        <v>183</v>
      </c>
      <c r="G289" s="21">
        <v>360</v>
      </c>
      <c r="L289" s="9" t="s">
        <v>135</v>
      </c>
      <c r="M289" s="21">
        <f t="shared" ref="M289" si="99">G289/G282*C281</f>
        <v>360</v>
      </c>
    </row>
    <row r="290" spans="5:13">
      <c r="E290" s="21">
        <f t="shared" si="98"/>
        <v>290</v>
      </c>
      <c r="F290" s="9" t="s">
        <v>30</v>
      </c>
      <c r="M290" s="21">
        <v>1</v>
      </c>
    </row>
    <row r="291" spans="5:13">
      <c r="E291" s="21">
        <f t="shared" si="98"/>
        <v>291</v>
      </c>
      <c r="F291" s="9" t="s">
        <v>116</v>
      </c>
      <c r="M291" s="21">
        <v>2</v>
      </c>
    </row>
    <row r="292" spans="5:13">
      <c r="E292" s="21">
        <f t="shared" si="98"/>
        <v>292</v>
      </c>
      <c r="F292" s="9" t="s">
        <v>115</v>
      </c>
      <c r="M292" s="21" t="b">
        <v>1</v>
      </c>
    </row>
    <row r="293" spans="5:13">
      <c r="E293" s="21">
        <f t="shared" si="98"/>
        <v>293</v>
      </c>
      <c r="F293" s="9" t="s">
        <v>195</v>
      </c>
      <c r="M293" s="21">
        <v>0.5</v>
      </c>
    </row>
    <row r="294" spans="5:13">
      <c r="E294" s="21">
        <f t="shared" si="98"/>
        <v>294</v>
      </c>
      <c r="F294" s="9" t="s">
        <v>197</v>
      </c>
      <c r="M294" s="21">
        <v>40</v>
      </c>
    </row>
  </sheetData>
  <phoneticPr fontId="2" type="noConversion"/>
  <conditionalFormatting sqref="BE1:XFD1 E1:I1">
    <cfRule type="duplicateValues" dxfId="54" priority="1879"/>
  </conditionalFormatting>
  <conditionalFormatting sqref="F1:F10">
    <cfRule type="cellIs" dxfId="53" priority="1380" operator="equal">
      <formula>"ID"</formula>
    </cfRule>
    <cfRule type="cellIs" dxfId="52" priority="1795" operator="equal">
      <formula>"行動序號"</formula>
    </cfRule>
  </conditionalFormatting>
  <conditionalFormatting sqref="J1">
    <cfRule type="duplicateValues" dxfId="51" priority="1378"/>
  </conditionalFormatting>
  <conditionalFormatting sqref="K1:L1">
    <cfRule type="duplicateValues" dxfId="50" priority="1375"/>
  </conditionalFormatting>
  <conditionalFormatting sqref="M1:M1048576">
    <cfRule type="expression" dxfId="49" priority="990">
      <formula>_xlfn.ISFORMULA(M1)</formula>
    </cfRule>
  </conditionalFormatting>
  <conditionalFormatting sqref="N1:BD1">
    <cfRule type="duplicateValues" dxfId="48" priority="1895"/>
  </conditionalFormatting>
  <conditionalFormatting sqref="F11:F12">
    <cfRule type="cellIs" dxfId="47" priority="100" operator="equal">
      <formula>"ID"</formula>
    </cfRule>
    <cfRule type="cellIs" dxfId="46" priority="101" operator="equal">
      <formula>"行動序號"</formula>
    </cfRule>
  </conditionalFormatting>
  <conditionalFormatting sqref="F1:F1048576">
    <cfRule type="cellIs" dxfId="45" priority="93" operator="equal">
      <formula>"ID"</formula>
    </cfRule>
    <cfRule type="cellIs" dxfId="44" priority="94" operator="equal">
      <formula>"行動ID"</formula>
    </cfRule>
  </conditionalFormatting>
  <conditionalFormatting sqref="M1:M1048576">
    <cfRule type="expression" dxfId="43" priority="54">
      <formula>AND(_xlfn.ISFORMULA(M1),OR($F1="行動ID", $F1="ID"))</formula>
    </cfRule>
    <cfRule type="expression" dxfId="42" priority="56">
      <formula>OR($F1="行動ID", $F1="ID")</formula>
    </cfRule>
  </conditionalFormatting>
  <conditionalFormatting sqref="J16">
    <cfRule type="expression" dxfId="41" priority="15">
      <formula>_xlfn.ISFORMULA(J16)</formula>
    </cfRule>
  </conditionalFormatting>
  <conditionalFormatting sqref="J16">
    <cfRule type="expression" dxfId="40" priority="16">
      <formula>OR($F14="行動序號",$F14="ID")</formula>
    </cfRule>
  </conditionalFormatting>
  <conditionalFormatting sqref="J16">
    <cfRule type="expression" dxfId="39" priority="17">
      <formula>$F14="行動ID"</formula>
    </cfRule>
  </conditionalFormatting>
  <dataValidations count="1">
    <dataValidation type="list" allowBlank="1" showInputMessage="1" showErrorMessage="1" sqref="K8 L5:L6 F10 K4 L14 K12 L13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stage7_card8shot2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2025-04-22T09:13:17Z</dcterms:modified>
</cp:coreProperties>
</file>