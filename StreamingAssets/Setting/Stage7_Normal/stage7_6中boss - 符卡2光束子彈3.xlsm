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959FCD0B-8C94-4747-9EA6-880BB60B5098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2light_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xlnm._FilterDatabase" localSheetId="0" hidden="1">stage7_card2light_shot3!$D$1:$D$26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151" i="1" l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M15" i="1"/>
  <c r="M21" i="1"/>
  <c r="M14" i="1"/>
  <c r="M22" i="1" s="1"/>
  <c r="D32" i="1" l="1"/>
  <c r="A31" i="1"/>
  <c r="D47" i="1" l="1"/>
  <c r="D62" i="1"/>
  <c r="D77" i="1"/>
  <c r="D92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33" i="1"/>
  <c r="M93" i="1" l="1"/>
  <c r="M102" i="1"/>
  <c r="B92" i="1"/>
  <c r="C92" i="1" s="1"/>
  <c r="M78" i="1"/>
  <c r="B77" i="1"/>
  <c r="C77" i="1" s="1"/>
  <c r="M87" i="1"/>
  <c r="M63" i="1"/>
  <c r="B62" i="1"/>
  <c r="M72" i="1"/>
  <c r="C62" i="1"/>
  <c r="D107" i="1"/>
  <c r="B47" i="1"/>
  <c r="C47" i="1" s="1"/>
  <c r="M57" i="1"/>
  <c r="M48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M117" i="1" l="1"/>
  <c r="B107" i="1"/>
  <c r="C107" i="1" s="1"/>
  <c r="M108" i="1"/>
  <c r="D122" i="1"/>
  <c r="M42" i="1"/>
  <c r="M33" i="1"/>
  <c r="B32" i="1"/>
  <c r="C32" i="1" s="1"/>
  <c r="M132" i="1" l="1"/>
  <c r="B122" i="1"/>
  <c r="C122" i="1" s="1"/>
  <c r="M123" i="1"/>
  <c r="D137" i="1"/>
  <c r="B137" i="1" l="1"/>
  <c r="C137" i="1" s="1"/>
  <c r="M138" i="1"/>
  <c r="M147" i="1"/>
</calcChain>
</file>

<file path=xl/sharedStrings.xml><?xml version="1.0" encoding="utf-8"?>
<sst xmlns="http://schemas.openxmlformats.org/spreadsheetml/2006/main" count="623" uniqueCount="260">
  <si>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</si>
  <si>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</si>
  <si>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</si>
  <si>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</si>
  <si>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</si>
  <si>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</si>
  <si>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</si>
  <si>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</si>
  <si>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</si>
  <si>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</si>
  <si>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</si>
  <si>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</si>
  <si>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</si>
  <si>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</si>
  <si>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</si>
  <si>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</si>
  <si>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</si>
  <si>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</si>
  <si>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</si>
  <si>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</si>
  <si>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</si>
  <si>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</si>
  <si>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</si>
  <si>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</si>
  <si>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</si>
  <si>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</si>
  <si>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</si>
  <si>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</si>
  <si>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</si>
  <si>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</si>
  <si>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</si>
  <si>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</si>
  <si>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</si>
  <si>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</si>
  <si>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</si>
  <si>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</si>
  <si>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</si>
  <si>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</si>
  <si>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</si>
  <si>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</si>
  <si>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</si>
  <si>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</si>
  <si>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</si>
  <si>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</si>
  <si>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</si>
  <si>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</si>
  <si>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</si>
  <si>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</si>
  <si>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</si>
  <si>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</si>
  <si>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</si>
  <si>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</si>
  <si>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</si>
  <si>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</si>
  <si>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</si>
  <si>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</si>
  <si>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</si>
  <si>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</si>
  <si>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</si>
  <si>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</si>
  <si>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</si>
  <si>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</si>
  <si>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</si>
  <si>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</si>
  <si>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</si>
  <si>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</si>
  <si>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</si>
  <si>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</si>
  <si>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</si>
  <si>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</si>
  <si>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</si>
  <si>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</si>
  <si>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</si>
  <si>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</si>
  <si>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</si>
  <si>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</si>
  <si>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</si>
  <si>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</si>
  <si>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</si>
  <si>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</si>
  <si>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</si>
  <si>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</si>
  <si>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</si>
  <si>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</si>
  <si>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</si>
  <si>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</si>
  <si>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</si>
  <si>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</si>
  <si>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</si>
  <si>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</si>
  <si>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</si>
  <si>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</si>
  <si>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</si>
  <si>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</si>
  <si>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</si>
  <si>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</si>
  <si>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</si>
  <si>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</si>
  <si>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</si>
  <si>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</si>
  <si>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時位時間</t>
    <phoneticPr fontId="2" type="noConversion"/>
  </si>
  <si>
    <t>時位位置</t>
    <phoneticPr fontId="2" type="noConversion"/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</si>
  <si>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</si>
  <si>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</si>
  <si>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</si>
  <si>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</si>
  <si>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</si>
  <si>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</si>
  <si>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</si>
  <si>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</si>
  <si>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</si>
  <si>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</si>
  <si>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</si>
  <si>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</si>
  <si>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</si>
  <si>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</si>
  <si>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</si>
  <si>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</si>
  <si>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</si>
  <si>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</si>
  <si>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</si>
  <si>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</si>
  <si>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</si>
  <si>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</si>
  <si>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</si>
  <si>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</si>
  <si>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</si>
  <si>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</si>
  <si>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</si>
  <si>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</si>
  <si>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</si>
  <si>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</si>
  <si>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</si>
  <si>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</si>
  <si>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</si>
  <si>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</si>
  <si>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</si>
  <si>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</si>
  <si>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</si>
  <si>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</si>
  <si>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</si>
  <si>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</si>
  <si>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</si>
  <si>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</si>
  <si>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</si>
  <si>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</si>
  <si>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</si>
  <si>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</si>
  <si>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</si>
  <si>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</si>
  <si>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</si>
  <si>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</si>
  <si>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Self = 1,
Parent = 2,
Player = 3,
Boss = 4,
Center=5,
BossHome=6,</t>
    <phoneticPr fontId="2" type="noConversion"/>
  </si>
  <si>
    <t>加速度</t>
    <phoneticPr fontId="2" type="noConversion"/>
  </si>
  <si>
    <t>EnemyShot3</t>
  </si>
  <si>
    <t>回收距離</t>
    <phoneticPr fontId="2" type="noConversion"/>
  </si>
  <si>
    <t>行動時間</t>
    <phoneticPr fontId="2" type="noConversion"/>
  </si>
  <si>
    <t>Shot3_bluegreen</t>
    <phoneticPr fontId="2" type="noConversion"/>
  </si>
  <si>
    <t>Empty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</si>
  <si>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</si>
  <si>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</si>
  <si>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</si>
  <si>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</si>
  <si>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</si>
  <si>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</si>
  <si>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</si>
  <si>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</si>
  <si>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</si>
  <si>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</si>
  <si>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</si>
  <si>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</si>
  <si>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</si>
  <si>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</si>
  <si>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</si>
  <si>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</si>
  <si>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</si>
  <si>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</si>
  <si>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</si>
  <si>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</si>
  <si>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</si>
  <si>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</si>
  <si>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</si>
  <si>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</si>
  <si>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</si>
  <si>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</si>
  <si>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</si>
  <si>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</si>
  <si>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</si>
  <si>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</si>
  <si>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</si>
  <si>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</si>
  <si>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</si>
  <si>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</si>
  <si>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</si>
  <si>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</si>
  <si>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</si>
  <si>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</si>
  <si>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</si>
  <si>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</si>
  <si>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</si>
  <si>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</si>
  <si>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</si>
  <si>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</si>
  <si>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</si>
  <si>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</si>
  <si>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</si>
  <si>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</si>
  <si>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</si>
  <si>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</si>
  <si>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</si>
  <si>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</si>
  <si>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</si>
  <si>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</si>
  <si>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</si>
  <si>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</si>
  <si>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</si>
  <si>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</si>
  <si>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</si>
  <si>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</si>
  <si>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</si>
  <si>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</si>
  <si>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</si>
  <si>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</si>
  <si>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</si>
  <si>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</si>
  <si>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</si>
  <si>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</si>
  <si>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</si>
  <si>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</si>
  <si>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</si>
  <si>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</si>
  <si>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</si>
  <si>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</si>
  <si>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</si>
  <si>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</si>
  <si>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</si>
  <si>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</si>
  <si>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</si>
  <si>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</si>
  <si>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</si>
  <si>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</si>
  <si>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</si>
  <si>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</si>
  <si>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</si>
  <si>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</si>
  <si>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</si>
  <si>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</si>
  <si>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</si>
  <si>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</si>
  <si>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Shot3_bluegreen</t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</si>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</sst>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51"/>
  <sheetViews>
    <sheetView zoomScale="115" zoomScaleNormal="115" workbookViewId="0">
      <pane ySplit="1" topLeftCell="A133" activePane="bottomLeft" state="frozen"/>
      <selection pane="bottomLeft" activeCell="N1" sqref="N1:N1048576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20.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12.62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146</v>
      </c>
      <c r="L1" s="17" t="s">
        <v>147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60">
      <c r="C2" s="22" t="s">
        <v>143</v>
      </c>
    </row>
    <row r="3" spans="1:60">
      <c r="C3" s="22" t="s">
        <v>144</v>
      </c>
    </row>
    <row r="4" spans="1:60">
      <c r="C4" s="22" t="s">
        <v>145</v>
      </c>
    </row>
    <row r="7" spans="1:60">
      <c r="A7" s="22"/>
      <c r="C7" s="9"/>
      <c r="D7" s="9"/>
    </row>
    <row r="8" spans="1:60">
      <c r="E8" s="22">
        <f t="shared" ref="E8:E24" si="0">ROW(E8)</f>
        <v>8</v>
      </c>
      <c r="F8" s="9" t="s">
        <v>93</v>
      </c>
      <c r="G8" s="22">
        <v>1</v>
      </c>
      <c r="J8" s="22"/>
      <c r="M8" s="22">
        <v>12100</v>
      </c>
      <c r="R8" s="12"/>
      <c r="S8" s="9"/>
      <c r="U8" s="12"/>
      <c r="X8" s="15"/>
      <c r="AE8" s="16"/>
      <c r="BH8" s="9"/>
    </row>
    <row r="9" spans="1:60">
      <c r="E9" s="22">
        <f t="shared" si="0"/>
        <v>9</v>
      </c>
      <c r="F9" s="9" t="s">
        <v>149</v>
      </c>
      <c r="M9" s="22">
        <v>12000</v>
      </c>
      <c r="R9" s="12"/>
      <c r="S9" s="9"/>
      <c r="U9" s="12"/>
      <c r="X9" s="15"/>
      <c r="AE9" s="16"/>
      <c r="BH9" s="9"/>
    </row>
    <row r="10" spans="1:60">
      <c r="E10" s="22">
        <f t="shared" si="0"/>
        <v>10</v>
      </c>
      <c r="F10" s="9" t="s">
        <v>130</v>
      </c>
      <c r="M10" s="22">
        <v>240</v>
      </c>
      <c r="R10" s="12"/>
      <c r="S10" s="9"/>
      <c r="U10" s="12"/>
      <c r="X10" s="15"/>
      <c r="AE10" s="16"/>
      <c r="BH10" s="9"/>
    </row>
    <row r="11" spans="1:60">
      <c r="E11" s="22">
        <f t="shared" si="0"/>
        <v>11</v>
      </c>
      <c r="F11" s="9" t="s">
        <v>96</v>
      </c>
      <c r="M11" s="22" t="s">
        <v>158</v>
      </c>
      <c r="R11" s="12"/>
      <c r="S11" s="9"/>
      <c r="U11" s="12"/>
      <c r="X11" s="15"/>
      <c r="AE11" s="16"/>
      <c r="BH11" s="9"/>
    </row>
    <row r="12" spans="1:60">
      <c r="E12" s="22">
        <f t="shared" si="0"/>
        <v>12</v>
      </c>
      <c r="F12" s="9" t="s">
        <v>151</v>
      </c>
      <c r="K12" s="9" t="s">
        <v>141</v>
      </c>
      <c r="M12" s="22">
        <v>2</v>
      </c>
      <c r="R12" s="12"/>
      <c r="S12" s="9"/>
      <c r="U12" s="12"/>
      <c r="X12" s="15"/>
      <c r="AE12" s="16"/>
      <c r="BH12" s="9"/>
    </row>
    <row r="13" spans="1:60">
      <c r="E13" s="22">
        <f t="shared" si="0"/>
        <v>13</v>
      </c>
      <c r="F13" s="9" t="s">
        <v>156</v>
      </c>
      <c r="M13" s="22">
        <v>0</v>
      </c>
      <c r="R13" s="12"/>
      <c r="S13" s="9"/>
      <c r="U13" s="12"/>
      <c r="X13" s="15"/>
      <c r="AE13" s="16"/>
      <c r="BH13" s="9"/>
    </row>
    <row r="14" spans="1:60">
      <c r="E14" s="22">
        <f t="shared" si="0"/>
        <v>14</v>
      </c>
      <c r="F14" s="9" t="s">
        <v>105</v>
      </c>
      <c r="M14" s="22">
        <f>M8*10+1</f>
        <v>121001</v>
      </c>
      <c r="R14" s="12"/>
      <c r="S14" s="9"/>
      <c r="U14" s="12"/>
      <c r="X14" s="15"/>
      <c r="AE14" s="16"/>
      <c r="BH14" s="9"/>
    </row>
    <row r="15" spans="1:60">
      <c r="E15" s="22">
        <f t="shared" si="0"/>
        <v>15</v>
      </c>
      <c r="F15" s="9" t="s">
        <v>149</v>
      </c>
      <c r="M15" s="22">
        <f>M8</f>
        <v>12100</v>
      </c>
      <c r="R15" s="12"/>
      <c r="S15" s="9"/>
      <c r="U15" s="12"/>
      <c r="X15" s="15"/>
      <c r="AE15" s="16"/>
      <c r="BH15" s="9"/>
    </row>
    <row r="16" spans="1:60">
      <c r="E16" s="22">
        <f t="shared" si="0"/>
        <v>16</v>
      </c>
      <c r="F16" s="9" t="s">
        <v>131</v>
      </c>
      <c r="M16" s="22">
        <v>0</v>
      </c>
      <c r="R16" s="12"/>
      <c r="S16" s="9"/>
      <c r="U16" s="12"/>
      <c r="X16" s="15"/>
      <c r="AE16" s="16"/>
      <c r="BH16" s="9"/>
    </row>
    <row r="17" spans="1:60">
      <c r="E17" s="22">
        <f t="shared" si="0"/>
        <v>17</v>
      </c>
      <c r="F17" s="9" t="s">
        <v>100</v>
      </c>
      <c r="M17" s="22">
        <v>180</v>
      </c>
      <c r="R17" s="12"/>
      <c r="S17" s="9"/>
      <c r="U17" s="12"/>
      <c r="X17" s="15"/>
      <c r="AE17" s="16"/>
      <c r="BH17" s="9"/>
    </row>
    <row r="18" spans="1:60">
      <c r="E18" s="22">
        <f t="shared" si="0"/>
        <v>18</v>
      </c>
      <c r="F18" s="9" t="s">
        <v>102</v>
      </c>
      <c r="M18" s="22">
        <v>0</v>
      </c>
      <c r="R18" s="12"/>
      <c r="S18" s="9"/>
      <c r="U18" s="12"/>
      <c r="X18" s="15"/>
      <c r="AE18" s="16"/>
      <c r="BH18" s="9"/>
    </row>
    <row r="19" spans="1:60">
      <c r="E19" s="22">
        <f t="shared" si="0"/>
        <v>19</v>
      </c>
      <c r="F19" s="9" t="s">
        <v>101</v>
      </c>
      <c r="K19" s="9" t="s">
        <v>141</v>
      </c>
      <c r="M19" s="22">
        <v>5</v>
      </c>
      <c r="R19" s="12"/>
      <c r="S19" s="9"/>
      <c r="U19" s="12"/>
      <c r="X19" s="15"/>
      <c r="AE19" s="16"/>
      <c r="BH19" s="9"/>
    </row>
    <row r="20" spans="1:60">
      <c r="E20" s="22">
        <f t="shared" si="0"/>
        <v>20</v>
      </c>
      <c r="F20" s="9" t="s">
        <v>156</v>
      </c>
      <c r="M20" s="22">
        <v>180</v>
      </c>
      <c r="R20" s="12"/>
      <c r="S20" s="9"/>
      <c r="U20" s="12"/>
      <c r="X20" s="15"/>
      <c r="AE20" s="16"/>
      <c r="BH20" s="9"/>
    </row>
    <row r="21" spans="1:60">
      <c r="E21" s="22">
        <f t="shared" si="0"/>
        <v>21</v>
      </c>
      <c r="F21" s="9" t="s">
        <v>105</v>
      </c>
      <c r="M21" s="22">
        <f>M8*10+2</f>
        <v>121002</v>
      </c>
      <c r="R21" s="12"/>
      <c r="S21" s="9"/>
      <c r="U21" s="12"/>
      <c r="X21" s="15"/>
      <c r="AE21" s="16"/>
      <c r="BH21" s="9"/>
    </row>
    <row r="22" spans="1:60">
      <c r="E22" s="22">
        <f t="shared" si="0"/>
        <v>22</v>
      </c>
      <c r="F22" s="9" t="s">
        <v>149</v>
      </c>
      <c r="M22" s="22">
        <f>M14</f>
        <v>121001</v>
      </c>
      <c r="R22" s="12"/>
      <c r="S22" s="9"/>
      <c r="U22" s="12"/>
      <c r="X22" s="15"/>
      <c r="AE22" s="16"/>
      <c r="BH22" s="9"/>
    </row>
    <row r="23" spans="1:60">
      <c r="E23" s="22">
        <f t="shared" si="0"/>
        <v>23</v>
      </c>
      <c r="F23" s="9" t="s">
        <v>131</v>
      </c>
      <c r="M23" s="22">
        <v>0</v>
      </c>
      <c r="R23" s="12"/>
      <c r="S23" s="9"/>
      <c r="U23" s="12"/>
      <c r="X23" s="15"/>
      <c r="AE23" s="16"/>
      <c r="BH23" s="9"/>
    </row>
    <row r="24" spans="1:60">
      <c r="E24" s="22">
        <f t="shared" si="0"/>
        <v>24</v>
      </c>
      <c r="F24" s="9" t="s">
        <v>30</v>
      </c>
      <c r="M24" s="22">
        <v>0</v>
      </c>
      <c r="R24" s="12"/>
      <c r="S24" s="9"/>
      <c r="U24" s="12"/>
      <c r="X24" s="15"/>
      <c r="AE24" s="16"/>
      <c r="BH24" s="9"/>
    </row>
    <row r="25" spans="1:60">
      <c r="R25" s="12"/>
      <c r="S25" s="9"/>
      <c r="U25" s="12"/>
      <c r="X25" s="15"/>
      <c r="AE25" s="16"/>
      <c r="BH25" s="9"/>
    </row>
    <row r="26" spans="1:60">
      <c r="B26" s="22"/>
    </row>
    <row r="30" spans="1:60">
      <c r="R30" s="12"/>
      <c r="S30" s="9"/>
      <c r="U30" s="12"/>
      <c r="X30" s="15"/>
      <c r="AE30" s="16"/>
      <c r="BH30" s="9"/>
    </row>
    <row r="31" spans="1:60">
      <c r="A31" s="22">
        <f>G33*H33</f>
        <v>8</v>
      </c>
      <c r="C31" s="9"/>
      <c r="D31" s="9"/>
      <c r="R31" s="12"/>
      <c r="S31" s="9"/>
      <c r="U31" s="12"/>
      <c r="X31" s="15"/>
      <c r="AE31" s="16"/>
      <c r="BH31" s="9"/>
    </row>
    <row r="32" spans="1:60">
      <c r="A32" s="9" t="s">
        <v>241</v>
      </c>
      <c r="B32" s="22">
        <f>QUOTIENT( D32-1,G33)+1</f>
        <v>1</v>
      </c>
      <c r="C32" s="22">
        <f>D32-(B32-1)*G33</f>
        <v>1</v>
      </c>
      <c r="D32" s="22">
        <f>COUNT($D31:$D$31)+1</f>
        <v>1</v>
      </c>
      <c r="R32" s="12"/>
      <c r="S32" s="9"/>
      <c r="U32" s="12"/>
      <c r="X32" s="15"/>
      <c r="AE32" s="16"/>
      <c r="BH32" s="9"/>
    </row>
    <row r="33" spans="1:60">
      <c r="E33" s="22">
        <f>ROW(E33)</f>
        <v>33</v>
      </c>
      <c r="F33" s="9" t="s">
        <v>93</v>
      </c>
      <c r="G33" s="22">
        <v>8</v>
      </c>
      <c r="H33" s="22">
        <v>1</v>
      </c>
      <c r="J33" s="22">
        <v>12200</v>
      </c>
      <c r="M33" s="22">
        <f>$J$33+D32</f>
        <v>12201</v>
      </c>
      <c r="R33" s="12"/>
      <c r="S33" s="9"/>
      <c r="U33" s="12"/>
      <c r="X33" s="15"/>
      <c r="AE33" s="16"/>
      <c r="BH33" s="9"/>
    </row>
    <row r="34" spans="1:60">
      <c r="E34" s="22">
        <f t="shared" ref="E34:E46" si="1">ROW(E34)</f>
        <v>34</v>
      </c>
      <c r="F34" s="9" t="s">
        <v>149</v>
      </c>
      <c r="M34" s="22">
        <v>12100</v>
      </c>
      <c r="R34" s="12"/>
      <c r="S34" s="9"/>
      <c r="U34" s="12"/>
      <c r="X34" s="15"/>
      <c r="AE34" s="16"/>
      <c r="BH34" s="9"/>
    </row>
    <row r="35" spans="1:60">
      <c r="E35" s="22">
        <f t="shared" si="1"/>
        <v>35</v>
      </c>
      <c r="F35" s="9" t="s">
        <v>131</v>
      </c>
      <c r="M35" s="22">
        <v>0</v>
      </c>
      <c r="R35" s="12"/>
      <c r="S35" s="9"/>
      <c r="U35" s="12"/>
      <c r="X35" s="15"/>
      <c r="AE35" s="16"/>
      <c r="BH35" s="9"/>
    </row>
    <row r="36" spans="1:60">
      <c r="E36" s="22">
        <f t="shared" si="1"/>
        <v>36</v>
      </c>
      <c r="F36" s="9" t="s">
        <v>96</v>
      </c>
      <c r="M36" s="22" t="s">
        <v>154</v>
      </c>
      <c r="R36" s="12"/>
      <c r="S36" s="9"/>
      <c r="U36" s="12"/>
      <c r="X36" s="15"/>
      <c r="AE36" s="16"/>
      <c r="BH36" s="9"/>
    </row>
    <row r="37" spans="1:60">
      <c r="E37" s="22">
        <f t="shared" si="1"/>
        <v>37</v>
      </c>
      <c r="F37" s="9" t="s">
        <v>122</v>
      </c>
      <c r="M37" s="22" t="s">
        <v>157</v>
      </c>
      <c r="R37" s="12"/>
      <c r="S37" s="9"/>
      <c r="U37" s="12"/>
      <c r="X37" s="15"/>
      <c r="AE37" s="16"/>
      <c r="BH37" s="9"/>
    </row>
    <row r="38" spans="1:60">
      <c r="E38" s="22">
        <f t="shared" si="1"/>
        <v>38</v>
      </c>
      <c r="F38" s="9" t="s">
        <v>151</v>
      </c>
      <c r="K38" s="9" t="s">
        <v>141</v>
      </c>
      <c r="M38" s="22">
        <v>2</v>
      </c>
      <c r="R38" s="12"/>
      <c r="S38" s="9"/>
      <c r="U38" s="12"/>
      <c r="X38" s="15"/>
      <c r="AE38" s="16"/>
      <c r="BH38" s="9"/>
    </row>
    <row r="39" spans="1:60">
      <c r="E39" s="22">
        <f t="shared" si="1"/>
        <v>39</v>
      </c>
      <c r="F39" s="9" t="s">
        <v>113</v>
      </c>
      <c r="M39" s="22">
        <v>3</v>
      </c>
      <c r="R39" s="12"/>
      <c r="S39" s="9"/>
      <c r="U39" s="12"/>
      <c r="X39" s="15"/>
      <c r="AE39" s="16"/>
      <c r="BH39" s="9"/>
    </row>
    <row r="40" spans="1:60">
      <c r="E40" s="22">
        <f t="shared" si="1"/>
        <v>40</v>
      </c>
      <c r="F40" s="9" t="s">
        <v>30</v>
      </c>
      <c r="M40" s="22">
        <v>3</v>
      </c>
      <c r="R40" s="12"/>
      <c r="S40" s="9"/>
      <c r="U40" s="12"/>
      <c r="X40" s="15"/>
      <c r="AE40" s="16"/>
      <c r="BH40" s="9"/>
    </row>
    <row r="41" spans="1:60">
      <c r="E41" s="22">
        <f t="shared" si="1"/>
        <v>41</v>
      </c>
      <c r="F41" s="9" t="s">
        <v>153</v>
      </c>
      <c r="M41" s="22">
        <v>1.5</v>
      </c>
      <c r="R41" s="12"/>
      <c r="S41" s="9"/>
      <c r="U41" s="12"/>
      <c r="X41" s="15"/>
      <c r="AE41" s="16"/>
      <c r="BH41" s="9"/>
    </row>
    <row r="42" spans="1:60">
      <c r="E42" s="22">
        <f t="shared" si="1"/>
        <v>42</v>
      </c>
      <c r="F42" s="9" t="s">
        <v>31</v>
      </c>
      <c r="G42" s="22">
        <v>45</v>
      </c>
      <c r="L42" s="9" t="s">
        <v>138</v>
      </c>
      <c r="M42" s="22">
        <f>G42*D32</f>
        <v>45</v>
      </c>
      <c r="R42" s="12"/>
      <c r="S42" s="9"/>
      <c r="U42" s="12"/>
      <c r="X42" s="15"/>
      <c r="AE42" s="16"/>
      <c r="BH42" s="9"/>
    </row>
    <row r="43" spans="1:60">
      <c r="E43" s="22">
        <f t="shared" si="1"/>
        <v>43</v>
      </c>
      <c r="F43" s="9" t="s">
        <v>115</v>
      </c>
      <c r="L43" s="9" t="s">
        <v>138</v>
      </c>
      <c r="M43" s="22">
        <v>85.94</v>
      </c>
      <c r="R43" s="12"/>
      <c r="S43" s="9"/>
      <c r="U43" s="12"/>
      <c r="X43" s="15"/>
      <c r="AE43" s="16"/>
      <c r="BH43" s="9"/>
    </row>
    <row r="44" spans="1:60" s="22" customFormat="1">
      <c r="A44" s="9"/>
      <c r="B44" s="9"/>
      <c r="E44" s="22">
        <f t="shared" si="1"/>
        <v>44</v>
      </c>
      <c r="F44" s="9" t="s">
        <v>120</v>
      </c>
      <c r="J44" s="9"/>
      <c r="K44" s="9" t="s">
        <v>141</v>
      </c>
      <c r="L44" s="9"/>
      <c r="M44" s="22">
        <v>2</v>
      </c>
      <c r="N44" s="9"/>
      <c r="O44" s="9"/>
      <c r="P44" s="9"/>
      <c r="Q44" s="9"/>
      <c r="R44" s="12"/>
      <c r="S44" s="9"/>
      <c r="T44" s="9"/>
      <c r="U44" s="12"/>
      <c r="V44" s="12"/>
      <c r="W44" s="12"/>
      <c r="X44" s="15"/>
      <c r="Y44" s="15"/>
      <c r="Z44" s="15"/>
      <c r="AA44" s="15"/>
      <c r="AB44" s="15"/>
      <c r="AC44" s="15"/>
      <c r="AD44" s="15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</row>
    <row r="45" spans="1:60" s="22" customFormat="1">
      <c r="A45" s="9"/>
      <c r="B45" s="9"/>
      <c r="E45" s="22">
        <f t="shared" si="1"/>
        <v>45</v>
      </c>
      <c r="F45" s="9" t="s">
        <v>155</v>
      </c>
      <c r="J45" s="9"/>
      <c r="K45" s="9"/>
      <c r="L45" s="9"/>
      <c r="M45" s="22">
        <v>10000</v>
      </c>
      <c r="N45" s="9"/>
      <c r="O45" s="9"/>
      <c r="P45" s="9"/>
      <c r="Q45" s="9"/>
      <c r="R45" s="12"/>
      <c r="S45" s="9"/>
      <c r="T45" s="9"/>
      <c r="U45" s="12"/>
      <c r="V45" s="12"/>
      <c r="W45" s="12"/>
      <c r="X45" s="15"/>
      <c r="Y45" s="15"/>
      <c r="Z45" s="15"/>
      <c r="AA45" s="15"/>
      <c r="AB45" s="15"/>
      <c r="AC45" s="15"/>
      <c r="AD45" s="15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</row>
    <row r="46" spans="1:60" s="22" customFormat="1">
      <c r="A46" s="9"/>
      <c r="B46" s="9"/>
      <c r="E46" s="22">
        <f t="shared" si="1"/>
        <v>46</v>
      </c>
      <c r="F46" s="9" t="s">
        <v>121</v>
      </c>
      <c r="J46" s="9"/>
      <c r="K46" s="9"/>
      <c r="L46" s="9"/>
      <c r="M46" s="22" t="b">
        <v>1</v>
      </c>
      <c r="N46" s="9"/>
      <c r="O46" s="9"/>
      <c r="P46" s="9"/>
      <c r="Q46" s="9"/>
      <c r="R46" s="12"/>
      <c r="S46" s="9"/>
      <c r="T46" s="9"/>
      <c r="U46" s="12"/>
      <c r="V46" s="12"/>
      <c r="W46" s="12"/>
      <c r="X46" s="15"/>
      <c r="Y46" s="15"/>
      <c r="Z46" s="15"/>
      <c r="AA46" s="15"/>
      <c r="AB46" s="15"/>
      <c r="AC46" s="15"/>
      <c r="AD46" s="15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</row>
    <row r="47" spans="1:60" s="22" customFormat="1">
      <c r="A47" s="9" t="s">
        <v>241</v>
      </c>
      <c r="B47" s="22">
        <f t="shared" ref="B47" si="2">QUOTIENT( D47-1,G48)+1</f>
        <v>1</v>
      </c>
      <c r="C47" s="22">
        <f t="shared" ref="C47" si="3">D47-(B47-1)*G48</f>
        <v>2</v>
      </c>
      <c r="D47" s="22">
        <f>COUNT($D$31:$D46)+1</f>
        <v>2</v>
      </c>
      <c r="F47" s="9"/>
      <c r="J47" s="9"/>
      <c r="K47" s="9"/>
      <c r="L47" s="9"/>
      <c r="N47" s="9"/>
      <c r="O47" s="9"/>
      <c r="P47" s="9"/>
      <c r="Q47" s="9"/>
      <c r="R47" s="12"/>
      <c r="S47" s="9"/>
      <c r="T47" s="9"/>
      <c r="U47" s="12"/>
      <c r="V47" s="12"/>
      <c r="W47" s="12"/>
      <c r="X47" s="15"/>
      <c r="Y47" s="15"/>
      <c r="Z47" s="15"/>
      <c r="AA47" s="15"/>
      <c r="AB47" s="15"/>
      <c r="AC47" s="15"/>
      <c r="AD47" s="15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</row>
    <row r="48" spans="1:60" s="22" customFormat="1">
      <c r="A48" s="9"/>
      <c r="B48" s="9"/>
      <c r="E48" s="22">
        <f t="shared" ref="E48:E111" si="4">ROW(E48)</f>
        <v>48</v>
      </c>
      <c r="F48" s="9" t="s">
        <v>93</v>
      </c>
      <c r="G48" s="22">
        <v>8</v>
      </c>
      <c r="H48" s="22">
        <v>1</v>
      </c>
      <c r="J48" s="9">
        <v>12200</v>
      </c>
      <c r="K48" s="9"/>
      <c r="L48" s="9"/>
      <c r="M48" s="22">
        <f t="shared" ref="M48" si="5">$J$33+D47</f>
        <v>12202</v>
      </c>
      <c r="N48" s="9"/>
      <c r="O48" s="9"/>
      <c r="P48" s="9"/>
      <c r="Q48" s="9"/>
      <c r="R48" s="12"/>
      <c r="S48" s="9"/>
      <c r="T48" s="9"/>
      <c r="U48" s="12"/>
      <c r="V48" s="12"/>
      <c r="W48" s="12"/>
      <c r="X48" s="15"/>
      <c r="Y48" s="15"/>
      <c r="Z48" s="15"/>
      <c r="AA48" s="15"/>
      <c r="AB48" s="15"/>
      <c r="AC48" s="15"/>
      <c r="AD48" s="15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</row>
    <row r="49" spans="1:59" s="22" customFormat="1">
      <c r="A49" s="9"/>
      <c r="B49" s="9"/>
      <c r="E49" s="22">
        <f t="shared" si="4"/>
        <v>49</v>
      </c>
      <c r="F49" s="9" t="s">
        <v>149</v>
      </c>
      <c r="J49" s="9"/>
      <c r="K49" s="9"/>
      <c r="L49" s="9"/>
      <c r="M49" s="22">
        <v>12100</v>
      </c>
      <c r="N49" s="9"/>
      <c r="O49" s="9"/>
      <c r="P49" s="9"/>
      <c r="Q49" s="9"/>
      <c r="R49" s="12"/>
      <c r="S49" s="9"/>
      <c r="T49" s="9"/>
      <c r="U49" s="12"/>
      <c r="V49" s="12"/>
      <c r="W49" s="12"/>
      <c r="X49" s="15"/>
      <c r="Y49" s="15"/>
      <c r="Z49" s="15"/>
      <c r="AA49" s="15"/>
      <c r="AB49" s="15"/>
      <c r="AC49" s="15"/>
      <c r="AD49" s="15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</row>
    <row r="50" spans="1:59" s="22" customFormat="1">
      <c r="A50" s="9"/>
      <c r="B50" s="9"/>
      <c r="E50" s="22">
        <f t="shared" si="4"/>
        <v>50</v>
      </c>
      <c r="F50" s="9" t="s">
        <v>131</v>
      </c>
      <c r="J50" s="9"/>
      <c r="K50" s="9"/>
      <c r="L50" s="9"/>
      <c r="M50" s="22">
        <v>0</v>
      </c>
      <c r="N50" s="9"/>
      <c r="O50" s="9"/>
      <c r="P50" s="9"/>
      <c r="Q50" s="9"/>
      <c r="R50" s="12"/>
      <c r="S50" s="9"/>
      <c r="T50" s="9"/>
      <c r="U50" s="12"/>
      <c r="V50" s="12"/>
      <c r="W50" s="12"/>
      <c r="X50" s="15"/>
      <c r="Y50" s="15"/>
      <c r="Z50" s="15"/>
      <c r="AA50" s="15"/>
      <c r="AB50" s="15"/>
      <c r="AC50" s="15"/>
      <c r="AD50" s="15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</row>
    <row r="51" spans="1:59" s="22" customFormat="1">
      <c r="A51" s="9"/>
      <c r="B51" s="9"/>
      <c r="E51" s="22">
        <f t="shared" si="4"/>
        <v>51</v>
      </c>
      <c r="F51" s="9" t="s">
        <v>29</v>
      </c>
      <c r="J51" s="9"/>
      <c r="K51" s="9"/>
      <c r="L51" s="9"/>
      <c r="M51" s="22" t="s">
        <v>154</v>
      </c>
      <c r="N51" s="9"/>
      <c r="O51" s="9"/>
      <c r="P51" s="9"/>
      <c r="Q51" s="9"/>
      <c r="R51" s="12"/>
      <c r="S51" s="9"/>
      <c r="T51" s="9"/>
      <c r="U51" s="12"/>
      <c r="V51" s="12"/>
      <c r="W51" s="12"/>
      <c r="X51" s="15"/>
      <c r="Y51" s="15"/>
      <c r="Z51" s="15"/>
      <c r="AA51" s="15"/>
      <c r="AB51" s="15"/>
      <c r="AC51" s="15"/>
      <c r="AD51" s="15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</row>
    <row r="52" spans="1:59" s="22" customFormat="1">
      <c r="A52" s="9"/>
      <c r="B52" s="9"/>
      <c r="E52" s="22">
        <f t="shared" si="4"/>
        <v>52</v>
      </c>
      <c r="F52" s="9" t="s">
        <v>122</v>
      </c>
      <c r="J52" s="9"/>
      <c r="K52" s="9"/>
      <c r="L52" s="9"/>
      <c r="M52" s="22" t="s">
        <v>249</v>
      </c>
      <c r="N52" s="9"/>
      <c r="O52" s="9"/>
      <c r="P52" s="9"/>
      <c r="Q52" s="9"/>
      <c r="R52" s="12"/>
      <c r="S52" s="9"/>
      <c r="T52" s="9"/>
      <c r="U52" s="12"/>
      <c r="V52" s="12"/>
      <c r="W52" s="12"/>
      <c r="X52" s="15"/>
      <c r="Y52" s="15"/>
      <c r="Z52" s="15"/>
      <c r="AA52" s="15"/>
      <c r="AB52" s="15"/>
      <c r="AC52" s="15"/>
      <c r="AD52" s="15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</row>
    <row r="53" spans="1:59" s="22" customFormat="1">
      <c r="A53" s="9"/>
      <c r="B53" s="9"/>
      <c r="E53" s="22">
        <f t="shared" si="4"/>
        <v>53</v>
      </c>
      <c r="F53" s="9" t="s">
        <v>99</v>
      </c>
      <c r="J53" s="9"/>
      <c r="K53" s="9" t="s">
        <v>141</v>
      </c>
      <c r="L53" s="9"/>
      <c r="M53" s="22">
        <v>2</v>
      </c>
      <c r="N53" s="9"/>
      <c r="O53" s="9"/>
      <c r="P53" s="9"/>
      <c r="Q53" s="9"/>
      <c r="R53" s="12"/>
      <c r="S53" s="9"/>
      <c r="T53" s="9"/>
      <c r="U53" s="12"/>
      <c r="V53" s="12"/>
      <c r="W53" s="12"/>
      <c r="X53" s="15"/>
      <c r="Y53" s="15"/>
      <c r="Z53" s="15"/>
      <c r="AA53" s="15"/>
      <c r="AB53" s="15"/>
      <c r="AC53" s="15"/>
      <c r="AD53" s="15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</row>
    <row r="54" spans="1:59" s="22" customFormat="1">
      <c r="A54" s="9"/>
      <c r="B54" s="9"/>
      <c r="E54" s="22">
        <f t="shared" si="4"/>
        <v>54</v>
      </c>
      <c r="F54" s="9" t="s">
        <v>113</v>
      </c>
      <c r="J54" s="9"/>
      <c r="K54" s="9"/>
      <c r="L54" s="9"/>
      <c r="M54" s="22">
        <v>3</v>
      </c>
      <c r="N54" s="9"/>
      <c r="O54" s="9"/>
      <c r="P54" s="9"/>
      <c r="Q54" s="9"/>
      <c r="R54" s="12"/>
      <c r="S54" s="9"/>
      <c r="T54" s="9"/>
      <c r="U54" s="12"/>
      <c r="V54" s="12"/>
      <c r="W54" s="12"/>
      <c r="X54" s="15"/>
      <c r="Y54" s="15"/>
      <c r="Z54" s="15"/>
      <c r="AA54" s="15"/>
      <c r="AB54" s="15"/>
      <c r="AC54" s="15"/>
      <c r="AD54" s="15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</row>
    <row r="55" spans="1:59" s="22" customFormat="1">
      <c r="A55" s="9"/>
      <c r="B55" s="9"/>
      <c r="E55" s="22">
        <f t="shared" si="4"/>
        <v>55</v>
      </c>
      <c r="F55" s="9" t="s">
        <v>30</v>
      </c>
      <c r="J55" s="9"/>
      <c r="K55" s="9"/>
      <c r="L55" s="9"/>
      <c r="M55" s="22">
        <v>3</v>
      </c>
      <c r="N55" s="9"/>
      <c r="O55" s="9"/>
      <c r="P55" s="9"/>
      <c r="Q55" s="9"/>
      <c r="R55" s="12"/>
      <c r="S55" s="9"/>
      <c r="T55" s="9"/>
      <c r="U55" s="12"/>
      <c r="V55" s="12"/>
      <c r="W55" s="12"/>
      <c r="X55" s="15"/>
      <c r="Y55" s="15"/>
      <c r="Z55" s="15"/>
      <c r="AA55" s="15"/>
      <c r="AB55" s="15"/>
      <c r="AC55" s="15"/>
      <c r="AD55" s="15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</row>
    <row r="56" spans="1:59" s="22" customFormat="1">
      <c r="A56" s="9"/>
      <c r="B56" s="9"/>
      <c r="E56" s="22">
        <f t="shared" si="4"/>
        <v>56</v>
      </c>
      <c r="F56" s="9" t="s">
        <v>119</v>
      </c>
      <c r="J56" s="9"/>
      <c r="K56" s="9"/>
      <c r="L56" s="9"/>
      <c r="M56" s="22">
        <v>1.5</v>
      </c>
      <c r="N56" s="9"/>
      <c r="O56" s="9"/>
      <c r="P56" s="9"/>
      <c r="Q56" s="9"/>
      <c r="R56" s="12"/>
      <c r="S56" s="9"/>
      <c r="T56" s="9"/>
      <c r="U56" s="12"/>
      <c r="V56" s="12"/>
      <c r="W56" s="12"/>
      <c r="X56" s="15"/>
      <c r="Y56" s="15"/>
      <c r="Z56" s="15"/>
      <c r="AA56" s="15"/>
      <c r="AB56" s="15"/>
      <c r="AC56" s="15"/>
      <c r="AD56" s="15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</row>
    <row r="57" spans="1:59" s="22" customFormat="1">
      <c r="A57" s="9"/>
      <c r="B57" s="9"/>
      <c r="E57" s="22">
        <f t="shared" si="4"/>
        <v>57</v>
      </c>
      <c r="F57" s="9" t="s">
        <v>31</v>
      </c>
      <c r="G57" s="22">
        <v>45</v>
      </c>
      <c r="J57" s="9"/>
      <c r="K57" s="9"/>
      <c r="L57" s="9" t="s">
        <v>138</v>
      </c>
      <c r="M57" s="22">
        <f t="shared" ref="M57" si="6">G57*D47</f>
        <v>90</v>
      </c>
      <c r="N57" s="9"/>
      <c r="O57" s="9"/>
      <c r="P57" s="9"/>
      <c r="Q57" s="9"/>
      <c r="R57" s="12"/>
      <c r="S57" s="9"/>
      <c r="T57" s="9"/>
      <c r="U57" s="12"/>
      <c r="V57" s="12"/>
      <c r="W57" s="12"/>
      <c r="X57" s="15"/>
      <c r="Y57" s="15"/>
      <c r="Z57" s="15"/>
      <c r="AA57" s="15"/>
      <c r="AB57" s="15"/>
      <c r="AC57" s="15"/>
      <c r="AD57" s="15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</row>
    <row r="58" spans="1:59" s="22" customFormat="1">
      <c r="A58" s="9"/>
      <c r="B58" s="9"/>
      <c r="E58" s="22">
        <f t="shared" si="4"/>
        <v>58</v>
      </c>
      <c r="F58" s="9" t="s">
        <v>115</v>
      </c>
      <c r="J58" s="9"/>
      <c r="K58" s="9"/>
      <c r="L58" s="9" t="s">
        <v>138</v>
      </c>
      <c r="M58" s="22">
        <v>85.94</v>
      </c>
      <c r="N58" s="9"/>
      <c r="O58" s="9"/>
      <c r="P58" s="9"/>
      <c r="Q58" s="9"/>
      <c r="R58" s="12"/>
      <c r="S58" s="9"/>
      <c r="T58" s="9"/>
      <c r="U58" s="12"/>
      <c r="V58" s="12"/>
      <c r="W58" s="12"/>
      <c r="X58" s="15"/>
      <c r="Y58" s="15"/>
      <c r="Z58" s="15"/>
      <c r="AA58" s="15"/>
      <c r="AB58" s="15"/>
      <c r="AC58" s="15"/>
      <c r="AD58" s="15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</row>
    <row r="59" spans="1:59" s="22" customFormat="1">
      <c r="A59" s="9"/>
      <c r="B59" s="9"/>
      <c r="E59" s="22">
        <f t="shared" si="4"/>
        <v>59</v>
      </c>
      <c r="F59" s="9" t="s">
        <v>120</v>
      </c>
      <c r="J59" s="9"/>
      <c r="K59" s="9" t="s">
        <v>141</v>
      </c>
      <c r="L59" s="9"/>
      <c r="M59" s="22">
        <v>2</v>
      </c>
      <c r="N59" s="9"/>
      <c r="O59" s="9"/>
      <c r="P59" s="9"/>
      <c r="Q59" s="9"/>
      <c r="R59" s="12"/>
      <c r="S59" s="9"/>
      <c r="T59" s="9"/>
      <c r="U59" s="12"/>
      <c r="V59" s="12"/>
      <c r="W59" s="12"/>
      <c r="X59" s="15"/>
      <c r="Y59" s="15"/>
      <c r="Z59" s="15"/>
      <c r="AA59" s="15"/>
      <c r="AB59" s="15"/>
      <c r="AC59" s="15"/>
      <c r="AD59" s="15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</row>
    <row r="60" spans="1:59" s="22" customFormat="1">
      <c r="A60" s="9"/>
      <c r="B60" s="9"/>
      <c r="E60" s="22">
        <f t="shared" si="4"/>
        <v>60</v>
      </c>
      <c r="F60" s="9" t="s">
        <v>129</v>
      </c>
      <c r="J60" s="9"/>
      <c r="K60" s="9"/>
      <c r="L60" s="9"/>
      <c r="M60" s="22">
        <v>10000</v>
      </c>
      <c r="N60" s="9"/>
      <c r="O60" s="9"/>
      <c r="P60" s="9"/>
      <c r="Q60" s="9"/>
      <c r="R60" s="12"/>
      <c r="S60" s="9"/>
      <c r="T60" s="9"/>
      <c r="U60" s="12"/>
      <c r="V60" s="12"/>
      <c r="W60" s="12"/>
      <c r="X60" s="15"/>
      <c r="Y60" s="15"/>
      <c r="Z60" s="15"/>
      <c r="AA60" s="15"/>
      <c r="AB60" s="15"/>
      <c r="AC60" s="15"/>
      <c r="AD60" s="15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</row>
    <row r="61" spans="1:59" s="22" customFormat="1">
      <c r="A61" s="9"/>
      <c r="B61" s="9"/>
      <c r="E61" s="22">
        <f t="shared" si="4"/>
        <v>61</v>
      </c>
      <c r="F61" s="9" t="s">
        <v>121</v>
      </c>
      <c r="J61" s="9"/>
      <c r="K61" s="9"/>
      <c r="L61" s="9"/>
      <c r="M61" s="22" t="b">
        <v>1</v>
      </c>
      <c r="N61" s="9"/>
      <c r="O61" s="9"/>
      <c r="P61" s="9"/>
      <c r="Q61" s="9"/>
      <c r="R61" s="12"/>
      <c r="S61" s="9"/>
      <c r="T61" s="9"/>
      <c r="U61" s="12"/>
      <c r="V61" s="12"/>
      <c r="W61" s="12"/>
      <c r="X61" s="15"/>
      <c r="Y61" s="15"/>
      <c r="Z61" s="15"/>
      <c r="AA61" s="15"/>
      <c r="AB61" s="15"/>
      <c r="AC61" s="15"/>
      <c r="AD61" s="15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</row>
    <row r="62" spans="1:59" s="22" customFormat="1">
      <c r="A62" s="9" t="s">
        <v>241</v>
      </c>
      <c r="B62" s="22">
        <f t="shared" ref="B62" si="7">QUOTIENT( D62-1,G63)+1</f>
        <v>1</v>
      </c>
      <c r="C62" s="22">
        <f t="shared" ref="C62" si="8">D62-(B62-1)*G63</f>
        <v>3</v>
      </c>
      <c r="D62" s="22">
        <f>COUNT($D$31:$D61)+1</f>
        <v>3</v>
      </c>
      <c r="F62" s="9"/>
      <c r="J62" s="9"/>
      <c r="K62" s="9"/>
      <c r="L62" s="9"/>
      <c r="N62" s="9"/>
      <c r="O62" s="9"/>
      <c r="P62" s="9"/>
      <c r="Q62" s="9"/>
      <c r="R62" s="12"/>
      <c r="S62" s="9"/>
      <c r="T62" s="9"/>
      <c r="U62" s="12"/>
      <c r="V62" s="12"/>
      <c r="W62" s="12"/>
      <c r="X62" s="15"/>
      <c r="Y62" s="15"/>
      <c r="Z62" s="15"/>
      <c r="AA62" s="15"/>
      <c r="AB62" s="15"/>
      <c r="AC62" s="15"/>
      <c r="AD62" s="15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</row>
    <row r="63" spans="1:59" s="22" customFormat="1">
      <c r="A63" s="9"/>
      <c r="B63" s="9"/>
      <c r="E63" s="22">
        <f t="shared" ref="E63" si="9">ROW(E63)</f>
        <v>63</v>
      </c>
      <c r="F63" s="9" t="s">
        <v>93</v>
      </c>
      <c r="G63" s="22">
        <v>8</v>
      </c>
      <c r="H63" s="22">
        <v>1</v>
      </c>
      <c r="J63" s="9">
        <v>12200</v>
      </c>
      <c r="K63" s="9"/>
      <c r="L63" s="9"/>
      <c r="M63" s="22">
        <f t="shared" ref="M63" si="10">$J$33+D62</f>
        <v>12203</v>
      </c>
      <c r="N63" s="9"/>
      <c r="O63" s="9"/>
      <c r="P63" s="9"/>
      <c r="Q63" s="9"/>
      <c r="R63" s="12"/>
      <c r="S63" s="9"/>
      <c r="T63" s="9"/>
      <c r="U63" s="12"/>
      <c r="V63" s="12"/>
      <c r="W63" s="12"/>
      <c r="X63" s="15"/>
      <c r="Y63" s="15"/>
      <c r="Z63" s="15"/>
      <c r="AA63" s="15"/>
      <c r="AB63" s="15"/>
      <c r="AC63" s="15"/>
      <c r="AD63" s="15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</row>
    <row r="64" spans="1:59" s="22" customFormat="1">
      <c r="A64" s="9"/>
      <c r="B64" s="9"/>
      <c r="E64" s="22">
        <f t="shared" si="4"/>
        <v>64</v>
      </c>
      <c r="F64" s="9" t="s">
        <v>149</v>
      </c>
      <c r="J64" s="9"/>
      <c r="K64" s="9"/>
      <c r="L64" s="9"/>
      <c r="M64" s="22">
        <v>12100</v>
      </c>
      <c r="N64" s="9"/>
      <c r="O64" s="9"/>
      <c r="P64" s="9"/>
      <c r="Q64" s="9"/>
      <c r="R64" s="12"/>
      <c r="S64" s="9"/>
      <c r="T64" s="9"/>
      <c r="U64" s="12"/>
      <c r="V64" s="12"/>
      <c r="W64" s="12"/>
      <c r="X64" s="15"/>
      <c r="Y64" s="15"/>
      <c r="Z64" s="15"/>
      <c r="AA64" s="15"/>
      <c r="AB64" s="15"/>
      <c r="AC64" s="15"/>
      <c r="AD64" s="15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</row>
    <row r="65" spans="1:59" s="22" customFormat="1">
      <c r="A65" s="9"/>
      <c r="B65" s="9"/>
      <c r="E65" s="22">
        <f t="shared" si="4"/>
        <v>65</v>
      </c>
      <c r="F65" s="9" t="s">
        <v>131</v>
      </c>
      <c r="J65" s="9"/>
      <c r="K65" s="9"/>
      <c r="L65" s="9"/>
      <c r="M65" s="22">
        <v>0</v>
      </c>
      <c r="N65" s="9"/>
      <c r="O65" s="9"/>
      <c r="P65" s="9"/>
      <c r="Q65" s="9"/>
      <c r="R65" s="12"/>
      <c r="S65" s="9"/>
      <c r="T65" s="9"/>
      <c r="U65" s="12"/>
      <c r="V65" s="12"/>
      <c r="W65" s="12"/>
      <c r="X65" s="15"/>
      <c r="Y65" s="15"/>
      <c r="Z65" s="15"/>
      <c r="AA65" s="15"/>
      <c r="AB65" s="15"/>
      <c r="AC65" s="15"/>
      <c r="AD65" s="15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</row>
    <row r="66" spans="1:59" s="22" customFormat="1">
      <c r="A66" s="9"/>
      <c r="B66" s="9"/>
      <c r="E66" s="22">
        <f t="shared" si="4"/>
        <v>66</v>
      </c>
      <c r="F66" s="9" t="s">
        <v>29</v>
      </c>
      <c r="J66" s="9"/>
      <c r="K66" s="9"/>
      <c r="L66" s="9"/>
      <c r="M66" s="22" t="s">
        <v>154</v>
      </c>
      <c r="N66" s="9"/>
      <c r="O66" s="9"/>
      <c r="P66" s="9"/>
      <c r="Q66" s="9"/>
      <c r="R66" s="12"/>
      <c r="S66" s="9"/>
      <c r="T66" s="9"/>
      <c r="U66" s="12"/>
      <c r="V66" s="12"/>
      <c r="W66" s="12"/>
      <c r="X66" s="15"/>
      <c r="Y66" s="15"/>
      <c r="Z66" s="15"/>
      <c r="AA66" s="15"/>
      <c r="AB66" s="15"/>
      <c r="AC66" s="15"/>
      <c r="AD66" s="15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</row>
    <row r="67" spans="1:59" s="22" customFormat="1">
      <c r="A67" s="9"/>
      <c r="B67" s="9"/>
      <c r="E67" s="22">
        <f t="shared" si="4"/>
        <v>67</v>
      </c>
      <c r="F67" s="9" t="s">
        <v>122</v>
      </c>
      <c r="J67" s="9"/>
      <c r="K67" s="9"/>
      <c r="L67" s="9"/>
      <c r="M67" s="22" t="s">
        <v>249</v>
      </c>
      <c r="N67" s="9"/>
      <c r="O67" s="9"/>
      <c r="P67" s="9"/>
      <c r="Q67" s="9"/>
      <c r="R67" s="12"/>
      <c r="S67" s="9"/>
      <c r="T67" s="9"/>
      <c r="U67" s="12"/>
      <c r="V67" s="12"/>
      <c r="W67" s="12"/>
      <c r="X67" s="15"/>
      <c r="Y67" s="15"/>
      <c r="Z67" s="15"/>
      <c r="AA67" s="15"/>
      <c r="AB67" s="15"/>
      <c r="AC67" s="15"/>
      <c r="AD67" s="15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</row>
    <row r="68" spans="1:59" s="22" customFormat="1">
      <c r="A68" s="9"/>
      <c r="B68" s="9"/>
      <c r="E68" s="22">
        <f t="shared" si="4"/>
        <v>68</v>
      </c>
      <c r="F68" s="9" t="s">
        <v>99</v>
      </c>
      <c r="J68" s="9"/>
      <c r="K68" s="9" t="s">
        <v>141</v>
      </c>
      <c r="L68" s="9"/>
      <c r="M68" s="22">
        <v>2</v>
      </c>
      <c r="N68" s="9"/>
      <c r="O68" s="9"/>
      <c r="P68" s="9"/>
      <c r="Q68" s="9"/>
      <c r="R68" s="12"/>
      <c r="S68" s="9"/>
      <c r="T68" s="9"/>
      <c r="U68" s="12"/>
      <c r="V68" s="12"/>
      <c r="W68" s="12"/>
      <c r="X68" s="15"/>
      <c r="Y68" s="15"/>
      <c r="Z68" s="15"/>
      <c r="AA68" s="15"/>
      <c r="AB68" s="15"/>
      <c r="AC68" s="15"/>
      <c r="AD68" s="15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</row>
    <row r="69" spans="1:59" s="22" customFormat="1">
      <c r="A69" s="9"/>
      <c r="B69" s="9"/>
      <c r="E69" s="22">
        <f t="shared" si="4"/>
        <v>69</v>
      </c>
      <c r="F69" s="9" t="s">
        <v>113</v>
      </c>
      <c r="J69" s="9"/>
      <c r="K69" s="9"/>
      <c r="L69" s="9"/>
      <c r="M69" s="22">
        <v>3</v>
      </c>
      <c r="N69" s="9"/>
      <c r="O69" s="9"/>
      <c r="P69" s="9"/>
      <c r="Q69" s="9"/>
      <c r="R69" s="12"/>
      <c r="S69" s="9"/>
      <c r="T69" s="9"/>
      <c r="U69" s="12"/>
      <c r="V69" s="12"/>
      <c r="W69" s="12"/>
      <c r="X69" s="15"/>
      <c r="Y69" s="15"/>
      <c r="Z69" s="15"/>
      <c r="AA69" s="15"/>
      <c r="AB69" s="15"/>
      <c r="AC69" s="15"/>
      <c r="AD69" s="15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</row>
    <row r="70" spans="1:59" s="22" customFormat="1">
      <c r="A70" s="9"/>
      <c r="B70" s="9"/>
      <c r="E70" s="22">
        <f t="shared" si="4"/>
        <v>70</v>
      </c>
      <c r="F70" s="9" t="s">
        <v>30</v>
      </c>
      <c r="J70" s="9"/>
      <c r="K70" s="9"/>
      <c r="L70" s="9"/>
      <c r="M70" s="22">
        <v>3</v>
      </c>
      <c r="N70" s="9"/>
      <c r="O70" s="9"/>
      <c r="P70" s="9"/>
      <c r="Q70" s="9"/>
      <c r="R70" s="12"/>
      <c r="S70" s="9"/>
      <c r="T70" s="9"/>
      <c r="U70" s="12"/>
      <c r="V70" s="12"/>
      <c r="W70" s="12"/>
      <c r="X70" s="15"/>
      <c r="Y70" s="15"/>
      <c r="Z70" s="15"/>
      <c r="AA70" s="15"/>
      <c r="AB70" s="15"/>
      <c r="AC70" s="15"/>
      <c r="AD70" s="15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</row>
    <row r="71" spans="1:59" s="22" customFormat="1">
      <c r="A71" s="9"/>
      <c r="B71" s="9"/>
      <c r="E71" s="22">
        <f t="shared" si="4"/>
        <v>71</v>
      </c>
      <c r="F71" s="9" t="s">
        <v>119</v>
      </c>
      <c r="J71" s="9"/>
      <c r="K71" s="9"/>
      <c r="L71" s="9"/>
      <c r="M71" s="22">
        <v>1.5</v>
      </c>
      <c r="N71" s="9"/>
      <c r="O71" s="9"/>
      <c r="P71" s="9"/>
      <c r="Q71" s="9"/>
      <c r="R71" s="12"/>
      <c r="S71" s="9"/>
      <c r="T71" s="9"/>
      <c r="U71" s="12"/>
      <c r="V71" s="12"/>
      <c r="W71" s="12"/>
      <c r="X71" s="15"/>
      <c r="Y71" s="15"/>
      <c r="Z71" s="15"/>
      <c r="AA71" s="15"/>
      <c r="AB71" s="15"/>
      <c r="AC71" s="15"/>
      <c r="AD71" s="15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</row>
    <row r="72" spans="1:59" s="22" customFormat="1">
      <c r="A72" s="9"/>
      <c r="B72" s="9"/>
      <c r="E72" s="22">
        <f t="shared" si="4"/>
        <v>72</v>
      </c>
      <c r="F72" s="9" t="s">
        <v>31</v>
      </c>
      <c r="G72" s="22">
        <v>45</v>
      </c>
      <c r="J72" s="9"/>
      <c r="K72" s="9"/>
      <c r="L72" s="9" t="s">
        <v>138</v>
      </c>
      <c r="M72" s="22">
        <f t="shared" ref="M72" si="11">G72*D62</f>
        <v>135</v>
      </c>
      <c r="N72" s="9"/>
      <c r="O72" s="9"/>
      <c r="P72" s="9"/>
      <c r="Q72" s="9"/>
      <c r="R72" s="12"/>
      <c r="S72" s="9"/>
      <c r="T72" s="9"/>
      <c r="U72" s="12"/>
      <c r="V72" s="12"/>
      <c r="W72" s="12"/>
      <c r="X72" s="15"/>
      <c r="Y72" s="15"/>
      <c r="Z72" s="15"/>
      <c r="AA72" s="15"/>
      <c r="AB72" s="15"/>
      <c r="AC72" s="15"/>
      <c r="AD72" s="15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</row>
    <row r="73" spans="1:59" s="22" customFormat="1">
      <c r="A73" s="9"/>
      <c r="B73" s="9"/>
      <c r="E73" s="22">
        <f t="shared" si="4"/>
        <v>73</v>
      </c>
      <c r="F73" s="9" t="s">
        <v>115</v>
      </c>
      <c r="J73" s="9"/>
      <c r="K73" s="9"/>
      <c r="L73" s="9" t="s">
        <v>138</v>
      </c>
      <c r="M73" s="22">
        <v>85.94</v>
      </c>
      <c r="N73" s="9"/>
      <c r="O73" s="9"/>
      <c r="P73" s="9"/>
      <c r="Q73" s="9"/>
      <c r="R73" s="12"/>
      <c r="S73" s="9"/>
      <c r="T73" s="9"/>
      <c r="U73" s="12"/>
      <c r="V73" s="12"/>
      <c r="W73" s="12"/>
      <c r="X73" s="15"/>
      <c r="Y73" s="15"/>
      <c r="Z73" s="15"/>
      <c r="AA73" s="15"/>
      <c r="AB73" s="15"/>
      <c r="AC73" s="15"/>
      <c r="AD73" s="15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</row>
    <row r="74" spans="1:59" s="22" customFormat="1">
      <c r="A74" s="9"/>
      <c r="B74" s="9"/>
      <c r="E74" s="22">
        <f t="shared" si="4"/>
        <v>74</v>
      </c>
      <c r="F74" s="9" t="s">
        <v>120</v>
      </c>
      <c r="J74" s="9"/>
      <c r="K74" s="9" t="s">
        <v>141</v>
      </c>
      <c r="L74" s="9"/>
      <c r="M74" s="22">
        <v>2</v>
      </c>
      <c r="N74" s="9"/>
      <c r="O74" s="9"/>
      <c r="P74" s="9"/>
      <c r="Q74" s="9"/>
      <c r="R74" s="12"/>
      <c r="S74" s="9"/>
      <c r="T74" s="9"/>
      <c r="U74" s="12"/>
      <c r="V74" s="12"/>
      <c r="W74" s="12"/>
      <c r="X74" s="15"/>
      <c r="Y74" s="15"/>
      <c r="Z74" s="15"/>
      <c r="AA74" s="15"/>
      <c r="AB74" s="15"/>
      <c r="AC74" s="15"/>
      <c r="AD74" s="15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</row>
    <row r="75" spans="1:59" s="22" customFormat="1">
      <c r="A75" s="9"/>
      <c r="B75" s="9"/>
      <c r="E75" s="22">
        <f t="shared" si="4"/>
        <v>75</v>
      </c>
      <c r="F75" s="9" t="s">
        <v>129</v>
      </c>
      <c r="J75" s="9"/>
      <c r="K75" s="9"/>
      <c r="L75" s="9"/>
      <c r="M75" s="22">
        <v>10000</v>
      </c>
      <c r="N75" s="9"/>
      <c r="O75" s="9"/>
      <c r="P75" s="9"/>
      <c r="Q75" s="9"/>
      <c r="R75" s="12"/>
      <c r="S75" s="9"/>
      <c r="T75" s="9"/>
      <c r="U75" s="12"/>
      <c r="V75" s="12"/>
      <c r="W75" s="12"/>
      <c r="X75" s="15"/>
      <c r="Y75" s="15"/>
      <c r="Z75" s="15"/>
      <c r="AA75" s="15"/>
      <c r="AB75" s="15"/>
      <c r="AC75" s="15"/>
      <c r="AD75" s="15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</row>
    <row r="76" spans="1:59" s="22" customFormat="1">
      <c r="A76" s="9"/>
      <c r="B76" s="9"/>
      <c r="E76" s="22">
        <f t="shared" si="4"/>
        <v>76</v>
      </c>
      <c r="F76" s="9" t="s">
        <v>121</v>
      </c>
      <c r="J76" s="9"/>
      <c r="K76" s="9"/>
      <c r="L76" s="9"/>
      <c r="M76" s="22" t="b">
        <v>1</v>
      </c>
      <c r="N76" s="9"/>
      <c r="O76" s="9"/>
      <c r="P76" s="9"/>
      <c r="Q76" s="9"/>
      <c r="R76" s="12"/>
      <c r="S76" s="9"/>
      <c r="T76" s="9"/>
      <c r="U76" s="12"/>
      <c r="V76" s="12"/>
      <c r="W76" s="12"/>
      <c r="X76" s="15"/>
      <c r="Y76" s="15"/>
      <c r="Z76" s="15"/>
      <c r="AA76" s="15"/>
      <c r="AB76" s="15"/>
      <c r="AC76" s="15"/>
      <c r="AD76" s="15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</row>
    <row r="77" spans="1:59" s="22" customFormat="1">
      <c r="A77" s="9" t="s">
        <v>241</v>
      </c>
      <c r="B77" s="22">
        <f t="shared" ref="B77" si="12">QUOTIENT( D77-1,G78)+1</f>
        <v>1</v>
      </c>
      <c r="C77" s="22">
        <f t="shared" ref="C77" si="13">D77-(B77-1)*G78</f>
        <v>4</v>
      </c>
      <c r="D77" s="22">
        <f>COUNT($D$31:$D76)+1</f>
        <v>4</v>
      </c>
      <c r="F77" s="9"/>
      <c r="J77" s="9"/>
      <c r="K77" s="9"/>
      <c r="L77" s="9"/>
      <c r="N77" s="9"/>
      <c r="O77" s="9"/>
      <c r="P77" s="9"/>
      <c r="Q77" s="9"/>
      <c r="R77" s="12"/>
      <c r="S77" s="9"/>
      <c r="T77" s="9"/>
      <c r="U77" s="12"/>
      <c r="V77" s="12"/>
      <c r="W77" s="12"/>
      <c r="X77" s="15"/>
      <c r="Y77" s="15"/>
      <c r="Z77" s="15"/>
      <c r="AA77" s="15"/>
      <c r="AB77" s="15"/>
      <c r="AC77" s="15"/>
      <c r="AD77" s="15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</row>
    <row r="78" spans="1:59" s="22" customFormat="1">
      <c r="A78" s="9"/>
      <c r="B78" s="9"/>
      <c r="E78" s="22">
        <f t="shared" ref="E78" si="14">ROW(E78)</f>
        <v>78</v>
      </c>
      <c r="F78" s="9" t="s">
        <v>93</v>
      </c>
      <c r="G78" s="22">
        <v>8</v>
      </c>
      <c r="H78" s="22">
        <v>1</v>
      </c>
      <c r="J78" s="9">
        <v>12200</v>
      </c>
      <c r="K78" s="9"/>
      <c r="L78" s="9"/>
      <c r="M78" s="22">
        <f t="shared" ref="M78" si="15">$J$33+D77</f>
        <v>12204</v>
      </c>
      <c r="N78" s="9"/>
      <c r="O78" s="9"/>
      <c r="P78" s="9"/>
      <c r="Q78" s="9"/>
      <c r="R78" s="12"/>
      <c r="S78" s="9"/>
      <c r="T78" s="9"/>
      <c r="U78" s="12"/>
      <c r="V78" s="12"/>
      <c r="W78" s="12"/>
      <c r="X78" s="15"/>
      <c r="Y78" s="15"/>
      <c r="Z78" s="15"/>
      <c r="AA78" s="15"/>
      <c r="AB78" s="15"/>
      <c r="AC78" s="15"/>
      <c r="AD78" s="15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</row>
    <row r="79" spans="1:59" s="22" customFormat="1">
      <c r="A79" s="9"/>
      <c r="B79" s="9"/>
      <c r="E79" s="22">
        <f t="shared" si="4"/>
        <v>79</v>
      </c>
      <c r="F79" s="9" t="s">
        <v>149</v>
      </c>
      <c r="J79" s="9"/>
      <c r="K79" s="9"/>
      <c r="L79" s="9"/>
      <c r="M79" s="22">
        <v>12100</v>
      </c>
      <c r="N79" s="9"/>
      <c r="O79" s="9"/>
      <c r="P79" s="9"/>
      <c r="Q79" s="9"/>
      <c r="R79" s="12"/>
      <c r="S79" s="9"/>
      <c r="T79" s="9"/>
      <c r="U79" s="12"/>
      <c r="V79" s="12"/>
      <c r="W79" s="12"/>
      <c r="X79" s="15"/>
      <c r="Y79" s="15"/>
      <c r="Z79" s="15"/>
      <c r="AA79" s="15"/>
      <c r="AB79" s="15"/>
      <c r="AC79" s="15"/>
      <c r="AD79" s="15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</row>
    <row r="80" spans="1:59" s="22" customFormat="1">
      <c r="A80" s="9"/>
      <c r="B80" s="9"/>
      <c r="E80" s="22">
        <f t="shared" si="4"/>
        <v>80</v>
      </c>
      <c r="F80" s="9" t="s">
        <v>131</v>
      </c>
      <c r="J80" s="9"/>
      <c r="K80" s="9"/>
      <c r="L80" s="9"/>
      <c r="M80" s="22">
        <v>0</v>
      </c>
      <c r="N80" s="9"/>
      <c r="O80" s="9"/>
      <c r="P80" s="9"/>
      <c r="Q80" s="9"/>
      <c r="R80" s="12"/>
      <c r="S80" s="9"/>
      <c r="T80" s="9"/>
      <c r="U80" s="12"/>
      <c r="V80" s="12"/>
      <c r="W80" s="12"/>
      <c r="X80" s="15"/>
      <c r="Y80" s="15"/>
      <c r="Z80" s="15"/>
      <c r="AA80" s="15"/>
      <c r="AB80" s="15"/>
      <c r="AC80" s="15"/>
      <c r="AD80" s="15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</row>
    <row r="81" spans="1:59" s="22" customFormat="1">
      <c r="A81" s="9"/>
      <c r="B81" s="9"/>
      <c r="E81" s="22">
        <f t="shared" si="4"/>
        <v>81</v>
      </c>
      <c r="F81" s="9" t="s">
        <v>29</v>
      </c>
      <c r="J81" s="9"/>
      <c r="K81" s="9"/>
      <c r="L81" s="9"/>
      <c r="M81" s="22" t="s">
        <v>154</v>
      </c>
      <c r="N81" s="9"/>
      <c r="O81" s="9"/>
      <c r="P81" s="9"/>
      <c r="Q81" s="9"/>
      <c r="R81" s="12"/>
      <c r="S81" s="9"/>
      <c r="T81" s="9"/>
      <c r="U81" s="12"/>
      <c r="V81" s="12"/>
      <c r="W81" s="12"/>
      <c r="X81" s="15"/>
      <c r="Y81" s="15"/>
      <c r="Z81" s="15"/>
      <c r="AA81" s="15"/>
      <c r="AB81" s="15"/>
      <c r="AC81" s="15"/>
      <c r="AD81" s="15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</row>
    <row r="82" spans="1:59" s="22" customFormat="1">
      <c r="A82" s="9"/>
      <c r="B82" s="9"/>
      <c r="E82" s="22">
        <f t="shared" si="4"/>
        <v>82</v>
      </c>
      <c r="F82" s="9" t="s">
        <v>122</v>
      </c>
      <c r="J82" s="9"/>
      <c r="K82" s="9"/>
      <c r="L82" s="9"/>
      <c r="M82" s="22" t="s">
        <v>249</v>
      </c>
      <c r="N82" s="9"/>
      <c r="O82" s="9"/>
      <c r="P82" s="9"/>
      <c r="Q82" s="9"/>
      <c r="R82" s="12"/>
      <c r="S82" s="9"/>
      <c r="T82" s="9"/>
      <c r="U82" s="12"/>
      <c r="V82" s="12"/>
      <c r="W82" s="12"/>
      <c r="X82" s="15"/>
      <c r="Y82" s="15"/>
      <c r="Z82" s="15"/>
      <c r="AA82" s="15"/>
      <c r="AB82" s="15"/>
      <c r="AC82" s="15"/>
      <c r="AD82" s="15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</row>
    <row r="83" spans="1:59" s="22" customFormat="1">
      <c r="A83" s="9"/>
      <c r="B83" s="9"/>
      <c r="E83" s="22">
        <f t="shared" si="4"/>
        <v>83</v>
      </c>
      <c r="F83" s="9" t="s">
        <v>99</v>
      </c>
      <c r="J83" s="9"/>
      <c r="K83" s="9" t="s">
        <v>141</v>
      </c>
      <c r="L83" s="9"/>
      <c r="M83" s="22">
        <v>2</v>
      </c>
      <c r="N83" s="9"/>
      <c r="O83" s="9"/>
      <c r="P83" s="9"/>
      <c r="Q83" s="9"/>
      <c r="R83" s="12"/>
      <c r="S83" s="9"/>
      <c r="T83" s="9"/>
      <c r="U83" s="12"/>
      <c r="V83" s="12"/>
      <c r="W83" s="12"/>
      <c r="X83" s="15"/>
      <c r="Y83" s="15"/>
      <c r="Z83" s="15"/>
      <c r="AA83" s="15"/>
      <c r="AB83" s="15"/>
      <c r="AC83" s="15"/>
      <c r="AD83" s="15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</row>
    <row r="84" spans="1:59" s="22" customFormat="1">
      <c r="A84" s="9"/>
      <c r="B84" s="9"/>
      <c r="E84" s="22">
        <f t="shared" si="4"/>
        <v>84</v>
      </c>
      <c r="F84" s="9" t="s">
        <v>113</v>
      </c>
      <c r="J84" s="9"/>
      <c r="K84" s="9"/>
      <c r="L84" s="9"/>
      <c r="M84" s="22">
        <v>3</v>
      </c>
      <c r="N84" s="9"/>
      <c r="O84" s="9"/>
      <c r="P84" s="9"/>
      <c r="Q84" s="9"/>
      <c r="R84" s="12"/>
      <c r="S84" s="9"/>
      <c r="T84" s="9"/>
      <c r="U84" s="12"/>
      <c r="V84" s="12"/>
      <c r="W84" s="12"/>
      <c r="X84" s="15"/>
      <c r="Y84" s="15"/>
      <c r="Z84" s="15"/>
      <c r="AA84" s="15"/>
      <c r="AB84" s="15"/>
      <c r="AC84" s="15"/>
      <c r="AD84" s="15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</row>
    <row r="85" spans="1:59" s="22" customFormat="1">
      <c r="A85" s="9"/>
      <c r="B85" s="9"/>
      <c r="E85" s="22">
        <f t="shared" si="4"/>
        <v>85</v>
      </c>
      <c r="F85" s="9" t="s">
        <v>30</v>
      </c>
      <c r="J85" s="9"/>
      <c r="K85" s="9"/>
      <c r="L85" s="9"/>
      <c r="M85" s="22">
        <v>3</v>
      </c>
      <c r="N85" s="9"/>
      <c r="O85" s="9"/>
      <c r="P85" s="9"/>
      <c r="Q85" s="9"/>
      <c r="R85" s="12"/>
      <c r="S85" s="9"/>
      <c r="T85" s="9"/>
      <c r="U85" s="12"/>
      <c r="V85" s="12"/>
      <c r="W85" s="12"/>
      <c r="X85" s="15"/>
      <c r="Y85" s="15"/>
      <c r="Z85" s="15"/>
      <c r="AA85" s="15"/>
      <c r="AB85" s="15"/>
      <c r="AC85" s="15"/>
      <c r="AD85" s="15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</row>
    <row r="86" spans="1:59" s="22" customFormat="1">
      <c r="A86" s="9"/>
      <c r="B86" s="9"/>
      <c r="E86" s="22">
        <f t="shared" si="4"/>
        <v>86</v>
      </c>
      <c r="F86" s="9" t="s">
        <v>119</v>
      </c>
      <c r="J86" s="9"/>
      <c r="K86" s="9"/>
      <c r="L86" s="9"/>
      <c r="M86" s="22">
        <v>1.5</v>
      </c>
      <c r="N86" s="9"/>
      <c r="O86" s="9"/>
      <c r="P86" s="9"/>
      <c r="Q86" s="9"/>
      <c r="R86" s="12"/>
      <c r="S86" s="9"/>
      <c r="T86" s="9"/>
      <c r="U86" s="12"/>
      <c r="V86" s="12"/>
      <c r="W86" s="12"/>
      <c r="X86" s="15"/>
      <c r="Y86" s="15"/>
      <c r="Z86" s="15"/>
      <c r="AA86" s="15"/>
      <c r="AB86" s="15"/>
      <c r="AC86" s="15"/>
      <c r="AD86" s="15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</row>
    <row r="87" spans="1:59" s="22" customFormat="1">
      <c r="A87" s="9"/>
      <c r="B87" s="9"/>
      <c r="E87" s="22">
        <f t="shared" si="4"/>
        <v>87</v>
      </c>
      <c r="F87" s="9" t="s">
        <v>31</v>
      </c>
      <c r="G87" s="22">
        <v>45</v>
      </c>
      <c r="J87" s="9"/>
      <c r="K87" s="9"/>
      <c r="L87" s="9" t="s">
        <v>138</v>
      </c>
      <c r="M87" s="22">
        <f t="shared" ref="M87" si="16">G87*D77</f>
        <v>180</v>
      </c>
      <c r="N87" s="9"/>
      <c r="O87" s="9"/>
      <c r="P87" s="9"/>
      <c r="Q87" s="9"/>
      <c r="R87" s="12"/>
      <c r="S87" s="9"/>
      <c r="T87" s="9"/>
      <c r="U87" s="12"/>
      <c r="V87" s="12"/>
      <c r="W87" s="12"/>
      <c r="X87" s="15"/>
      <c r="Y87" s="15"/>
      <c r="Z87" s="15"/>
      <c r="AA87" s="15"/>
      <c r="AB87" s="15"/>
      <c r="AC87" s="15"/>
      <c r="AD87" s="15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</row>
    <row r="88" spans="1:59" s="22" customFormat="1">
      <c r="A88" s="9"/>
      <c r="B88" s="9"/>
      <c r="E88" s="22">
        <f t="shared" si="4"/>
        <v>88</v>
      </c>
      <c r="F88" s="9" t="s">
        <v>115</v>
      </c>
      <c r="J88" s="9"/>
      <c r="K88" s="9"/>
      <c r="L88" s="9" t="s">
        <v>138</v>
      </c>
      <c r="M88" s="22">
        <v>85.94</v>
      </c>
      <c r="N88" s="9"/>
      <c r="O88" s="9"/>
      <c r="P88" s="9"/>
      <c r="Q88" s="9"/>
      <c r="R88" s="12"/>
      <c r="S88" s="9"/>
      <c r="T88" s="9"/>
      <c r="U88" s="12"/>
      <c r="V88" s="12"/>
      <c r="W88" s="12"/>
      <c r="X88" s="15"/>
      <c r="Y88" s="15"/>
      <c r="Z88" s="15"/>
      <c r="AA88" s="15"/>
      <c r="AB88" s="15"/>
      <c r="AC88" s="15"/>
      <c r="AD88" s="15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</row>
    <row r="89" spans="1:59" s="22" customFormat="1">
      <c r="A89" s="9"/>
      <c r="B89" s="9"/>
      <c r="E89" s="22">
        <f t="shared" si="4"/>
        <v>89</v>
      </c>
      <c r="F89" s="9" t="s">
        <v>120</v>
      </c>
      <c r="J89" s="9"/>
      <c r="K89" s="9" t="s">
        <v>141</v>
      </c>
      <c r="L89" s="9"/>
      <c r="M89" s="22">
        <v>2</v>
      </c>
      <c r="N89" s="9"/>
      <c r="O89" s="9"/>
      <c r="P89" s="9"/>
      <c r="Q89" s="9"/>
      <c r="R89" s="12"/>
      <c r="S89" s="9"/>
      <c r="T89" s="9"/>
      <c r="U89" s="12"/>
      <c r="V89" s="12"/>
      <c r="W89" s="12"/>
      <c r="X89" s="15"/>
      <c r="Y89" s="15"/>
      <c r="Z89" s="15"/>
      <c r="AA89" s="15"/>
      <c r="AB89" s="15"/>
      <c r="AC89" s="15"/>
      <c r="AD89" s="15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</row>
    <row r="90" spans="1:59" s="22" customFormat="1">
      <c r="A90" s="9"/>
      <c r="B90" s="9"/>
      <c r="E90" s="22">
        <f t="shared" si="4"/>
        <v>90</v>
      </c>
      <c r="F90" s="9" t="s">
        <v>129</v>
      </c>
      <c r="J90" s="9"/>
      <c r="K90" s="9"/>
      <c r="L90" s="9"/>
      <c r="M90" s="22">
        <v>10000</v>
      </c>
      <c r="N90" s="9"/>
      <c r="O90" s="9"/>
      <c r="P90" s="9"/>
      <c r="Q90" s="9"/>
      <c r="R90" s="12"/>
      <c r="S90" s="9"/>
      <c r="T90" s="9"/>
      <c r="U90" s="12"/>
      <c r="V90" s="12"/>
      <c r="W90" s="12"/>
      <c r="X90" s="15"/>
      <c r="Y90" s="15"/>
      <c r="Z90" s="15"/>
      <c r="AA90" s="15"/>
      <c r="AB90" s="15"/>
      <c r="AC90" s="15"/>
      <c r="AD90" s="15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</row>
    <row r="91" spans="1:59" s="22" customFormat="1">
      <c r="A91" s="9"/>
      <c r="B91" s="9"/>
      <c r="E91" s="22">
        <f t="shared" si="4"/>
        <v>91</v>
      </c>
      <c r="F91" s="9" t="s">
        <v>121</v>
      </c>
      <c r="J91" s="9"/>
      <c r="K91" s="9"/>
      <c r="L91" s="9"/>
      <c r="M91" s="22" t="b">
        <v>1</v>
      </c>
      <c r="N91" s="9"/>
      <c r="O91" s="9"/>
      <c r="P91" s="9"/>
      <c r="Q91" s="9"/>
      <c r="R91" s="12"/>
      <c r="S91" s="9"/>
      <c r="T91" s="9"/>
      <c r="U91" s="12"/>
      <c r="V91" s="12"/>
      <c r="W91" s="12"/>
      <c r="X91" s="15"/>
      <c r="Y91" s="15"/>
      <c r="Z91" s="15"/>
      <c r="AA91" s="15"/>
      <c r="AB91" s="15"/>
      <c r="AC91" s="15"/>
      <c r="AD91" s="15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</row>
    <row r="92" spans="1:59" s="22" customFormat="1">
      <c r="A92" s="9" t="s">
        <v>241</v>
      </c>
      <c r="B92" s="22">
        <f t="shared" ref="B92" si="17">QUOTIENT( D92-1,G93)+1</f>
        <v>1</v>
      </c>
      <c r="C92" s="22">
        <f t="shared" ref="C92" si="18">D92-(B92-1)*G93</f>
        <v>5</v>
      </c>
      <c r="D92" s="22">
        <f>COUNT($D$31:$D91)+1</f>
        <v>5</v>
      </c>
      <c r="F92" s="9"/>
      <c r="J92" s="9"/>
      <c r="K92" s="9"/>
      <c r="L92" s="9"/>
      <c r="N92" s="9"/>
      <c r="O92" s="9"/>
      <c r="P92" s="9"/>
      <c r="Q92" s="9"/>
      <c r="R92" s="12"/>
      <c r="S92" s="9"/>
      <c r="T92" s="9"/>
      <c r="U92" s="12"/>
      <c r="V92" s="12"/>
      <c r="W92" s="12"/>
      <c r="X92" s="15"/>
      <c r="Y92" s="15"/>
      <c r="Z92" s="15"/>
      <c r="AA92" s="15"/>
      <c r="AB92" s="15"/>
      <c r="AC92" s="15"/>
      <c r="AD92" s="15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</row>
    <row r="93" spans="1:59" s="22" customFormat="1">
      <c r="A93" s="9"/>
      <c r="B93" s="9"/>
      <c r="E93" s="22">
        <f t="shared" ref="E93" si="19">ROW(E93)</f>
        <v>93</v>
      </c>
      <c r="F93" s="9" t="s">
        <v>93</v>
      </c>
      <c r="G93" s="22">
        <v>8</v>
      </c>
      <c r="H93" s="22">
        <v>1</v>
      </c>
      <c r="J93" s="9">
        <v>12200</v>
      </c>
      <c r="K93" s="9"/>
      <c r="L93" s="9"/>
      <c r="M93" s="22">
        <f t="shared" ref="M93" si="20">$J$33+D92</f>
        <v>12205</v>
      </c>
      <c r="N93" s="9"/>
      <c r="O93" s="9"/>
      <c r="P93" s="9"/>
      <c r="Q93" s="9"/>
      <c r="R93" s="12"/>
      <c r="S93" s="9"/>
      <c r="T93" s="9"/>
      <c r="U93" s="12"/>
      <c r="V93" s="12"/>
      <c r="W93" s="12"/>
      <c r="X93" s="15"/>
      <c r="Y93" s="15"/>
      <c r="Z93" s="15"/>
      <c r="AA93" s="15"/>
      <c r="AB93" s="15"/>
      <c r="AC93" s="15"/>
      <c r="AD93" s="15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</row>
    <row r="94" spans="1:59" s="22" customFormat="1">
      <c r="A94" s="9"/>
      <c r="B94" s="9"/>
      <c r="E94" s="22">
        <f t="shared" si="4"/>
        <v>94</v>
      </c>
      <c r="F94" s="9" t="s">
        <v>149</v>
      </c>
      <c r="J94" s="9"/>
      <c r="K94" s="9"/>
      <c r="L94" s="9"/>
      <c r="M94" s="22">
        <v>12100</v>
      </c>
      <c r="N94" s="9"/>
      <c r="O94" s="9"/>
      <c r="P94" s="9"/>
      <c r="Q94" s="9"/>
      <c r="R94" s="12"/>
      <c r="S94" s="9"/>
      <c r="T94" s="9"/>
      <c r="U94" s="12"/>
      <c r="V94" s="12"/>
      <c r="W94" s="12"/>
      <c r="X94" s="15"/>
      <c r="Y94" s="15"/>
      <c r="Z94" s="15"/>
      <c r="AA94" s="15"/>
      <c r="AB94" s="15"/>
      <c r="AC94" s="15"/>
      <c r="AD94" s="15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</row>
    <row r="95" spans="1:59" s="22" customFormat="1">
      <c r="A95" s="9"/>
      <c r="B95" s="9"/>
      <c r="E95" s="22">
        <f t="shared" si="4"/>
        <v>95</v>
      </c>
      <c r="F95" s="9" t="s">
        <v>131</v>
      </c>
      <c r="J95" s="9"/>
      <c r="K95" s="9"/>
      <c r="L95" s="9"/>
      <c r="M95" s="22">
        <v>0</v>
      </c>
      <c r="N95" s="9"/>
      <c r="O95" s="9"/>
      <c r="P95" s="9"/>
      <c r="Q95" s="9"/>
      <c r="R95" s="12"/>
      <c r="S95" s="9"/>
      <c r="T95" s="9"/>
      <c r="U95" s="12"/>
      <c r="V95" s="12"/>
      <c r="W95" s="12"/>
      <c r="X95" s="15"/>
      <c r="Y95" s="15"/>
      <c r="Z95" s="15"/>
      <c r="AA95" s="15"/>
      <c r="AB95" s="15"/>
      <c r="AC95" s="15"/>
      <c r="AD95" s="15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</row>
    <row r="96" spans="1:59" s="22" customFormat="1">
      <c r="A96" s="9"/>
      <c r="B96" s="9"/>
      <c r="E96" s="22">
        <f t="shared" si="4"/>
        <v>96</v>
      </c>
      <c r="F96" s="9" t="s">
        <v>29</v>
      </c>
      <c r="J96" s="9"/>
      <c r="K96" s="9"/>
      <c r="L96" s="9"/>
      <c r="M96" s="22" t="s">
        <v>154</v>
      </c>
      <c r="N96" s="9"/>
      <c r="O96" s="9"/>
      <c r="P96" s="9"/>
      <c r="Q96" s="9"/>
      <c r="R96" s="12"/>
      <c r="S96" s="9"/>
      <c r="T96" s="9"/>
      <c r="U96" s="12"/>
      <c r="V96" s="12"/>
      <c r="W96" s="12"/>
      <c r="X96" s="15"/>
      <c r="Y96" s="15"/>
      <c r="Z96" s="15"/>
      <c r="AA96" s="15"/>
      <c r="AB96" s="15"/>
      <c r="AC96" s="15"/>
      <c r="AD96" s="15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</row>
    <row r="97" spans="1:59" s="22" customFormat="1">
      <c r="A97" s="9"/>
      <c r="B97" s="9"/>
      <c r="E97" s="22">
        <f t="shared" si="4"/>
        <v>97</v>
      </c>
      <c r="F97" s="9" t="s">
        <v>122</v>
      </c>
      <c r="J97" s="9"/>
      <c r="K97" s="9"/>
      <c r="L97" s="9"/>
      <c r="M97" s="22" t="s">
        <v>249</v>
      </c>
      <c r="N97" s="9"/>
      <c r="O97" s="9"/>
      <c r="P97" s="9"/>
      <c r="Q97" s="9"/>
      <c r="R97" s="12"/>
      <c r="S97" s="9"/>
      <c r="T97" s="9"/>
      <c r="U97" s="12"/>
      <c r="V97" s="12"/>
      <c r="W97" s="12"/>
      <c r="X97" s="15"/>
      <c r="Y97" s="15"/>
      <c r="Z97" s="15"/>
      <c r="AA97" s="15"/>
      <c r="AB97" s="15"/>
      <c r="AC97" s="15"/>
      <c r="AD97" s="15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</row>
    <row r="98" spans="1:59" s="22" customFormat="1">
      <c r="A98" s="9"/>
      <c r="B98" s="9"/>
      <c r="E98" s="22">
        <f t="shared" si="4"/>
        <v>98</v>
      </c>
      <c r="F98" s="9" t="s">
        <v>99</v>
      </c>
      <c r="J98" s="9"/>
      <c r="K98" s="9" t="s">
        <v>141</v>
      </c>
      <c r="L98" s="9"/>
      <c r="M98" s="22">
        <v>2</v>
      </c>
      <c r="N98" s="9"/>
      <c r="O98" s="9"/>
      <c r="P98" s="9"/>
      <c r="Q98" s="9"/>
      <c r="R98" s="12"/>
      <c r="S98" s="9"/>
      <c r="T98" s="9"/>
      <c r="U98" s="12"/>
      <c r="V98" s="12"/>
      <c r="W98" s="12"/>
      <c r="X98" s="15"/>
      <c r="Y98" s="15"/>
      <c r="Z98" s="15"/>
      <c r="AA98" s="15"/>
      <c r="AB98" s="15"/>
      <c r="AC98" s="15"/>
      <c r="AD98" s="15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</row>
    <row r="99" spans="1:59" s="22" customFormat="1">
      <c r="A99" s="9"/>
      <c r="B99" s="9"/>
      <c r="E99" s="22">
        <f t="shared" si="4"/>
        <v>99</v>
      </c>
      <c r="F99" s="9" t="s">
        <v>113</v>
      </c>
      <c r="J99" s="9"/>
      <c r="K99" s="9"/>
      <c r="L99" s="9"/>
      <c r="M99" s="22">
        <v>3</v>
      </c>
      <c r="N99" s="9"/>
      <c r="O99" s="9"/>
      <c r="P99" s="9"/>
      <c r="Q99" s="9"/>
      <c r="R99" s="12"/>
      <c r="S99" s="9"/>
      <c r="T99" s="9"/>
      <c r="U99" s="12"/>
      <c r="V99" s="12"/>
      <c r="W99" s="12"/>
      <c r="X99" s="15"/>
      <c r="Y99" s="15"/>
      <c r="Z99" s="15"/>
      <c r="AA99" s="15"/>
      <c r="AB99" s="15"/>
      <c r="AC99" s="15"/>
      <c r="AD99" s="15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</row>
    <row r="100" spans="1:59" s="22" customFormat="1">
      <c r="A100" s="9"/>
      <c r="B100" s="9"/>
      <c r="E100" s="22">
        <f t="shared" si="4"/>
        <v>100</v>
      </c>
      <c r="F100" s="9" t="s">
        <v>30</v>
      </c>
      <c r="J100" s="9"/>
      <c r="K100" s="9"/>
      <c r="L100" s="9"/>
      <c r="M100" s="22">
        <v>3</v>
      </c>
      <c r="N100" s="9"/>
      <c r="O100" s="9"/>
      <c r="P100" s="9"/>
      <c r="Q100" s="9"/>
      <c r="R100" s="12"/>
      <c r="S100" s="9"/>
      <c r="T100" s="9"/>
      <c r="U100" s="12"/>
      <c r="V100" s="12"/>
      <c r="W100" s="12"/>
      <c r="X100" s="15"/>
      <c r="Y100" s="15"/>
      <c r="Z100" s="15"/>
      <c r="AA100" s="15"/>
      <c r="AB100" s="15"/>
      <c r="AC100" s="15"/>
      <c r="AD100" s="15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</row>
    <row r="101" spans="1:59" s="22" customFormat="1">
      <c r="A101" s="9"/>
      <c r="B101" s="9"/>
      <c r="E101" s="22">
        <f t="shared" si="4"/>
        <v>101</v>
      </c>
      <c r="F101" s="9" t="s">
        <v>119</v>
      </c>
      <c r="J101" s="9"/>
      <c r="K101" s="9"/>
      <c r="L101" s="9"/>
      <c r="M101" s="22">
        <v>1.5</v>
      </c>
      <c r="N101" s="9"/>
      <c r="O101" s="9"/>
      <c r="P101" s="9"/>
      <c r="Q101" s="9"/>
      <c r="R101" s="12"/>
      <c r="S101" s="9"/>
      <c r="T101" s="9"/>
      <c r="U101" s="12"/>
      <c r="V101" s="12"/>
      <c r="W101" s="12"/>
      <c r="X101" s="15"/>
      <c r="Y101" s="15"/>
      <c r="Z101" s="15"/>
      <c r="AA101" s="15"/>
      <c r="AB101" s="15"/>
      <c r="AC101" s="15"/>
      <c r="AD101" s="15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</row>
    <row r="102" spans="1:59" s="22" customFormat="1">
      <c r="A102" s="9"/>
      <c r="B102" s="9"/>
      <c r="E102" s="22">
        <f t="shared" si="4"/>
        <v>102</v>
      </c>
      <c r="F102" s="9" t="s">
        <v>31</v>
      </c>
      <c r="G102" s="22">
        <v>45</v>
      </c>
      <c r="J102" s="9"/>
      <c r="K102" s="9"/>
      <c r="L102" s="9" t="s">
        <v>138</v>
      </c>
      <c r="M102" s="22">
        <f t="shared" ref="M102" si="21">G102*D92</f>
        <v>225</v>
      </c>
      <c r="N102" s="9"/>
      <c r="O102" s="9"/>
      <c r="P102" s="9"/>
      <c r="Q102" s="9"/>
      <c r="R102" s="12"/>
      <c r="S102" s="9"/>
      <c r="T102" s="9"/>
      <c r="U102" s="12"/>
      <c r="V102" s="12"/>
      <c r="W102" s="12"/>
      <c r="X102" s="15"/>
      <c r="Y102" s="15"/>
      <c r="Z102" s="15"/>
      <c r="AA102" s="15"/>
      <c r="AB102" s="15"/>
      <c r="AC102" s="15"/>
      <c r="AD102" s="15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</row>
    <row r="103" spans="1:59" s="22" customFormat="1">
      <c r="A103" s="9"/>
      <c r="B103" s="9"/>
      <c r="E103" s="22">
        <f t="shared" si="4"/>
        <v>103</v>
      </c>
      <c r="F103" s="9" t="s">
        <v>115</v>
      </c>
      <c r="J103" s="9"/>
      <c r="K103" s="9"/>
      <c r="L103" s="9" t="s">
        <v>138</v>
      </c>
      <c r="M103" s="22">
        <v>85.94</v>
      </c>
      <c r="N103" s="9"/>
      <c r="O103" s="9"/>
      <c r="P103" s="9"/>
      <c r="Q103" s="9"/>
      <c r="R103" s="12"/>
      <c r="S103" s="9"/>
      <c r="T103" s="9"/>
      <c r="U103" s="12"/>
      <c r="V103" s="12"/>
      <c r="W103" s="12"/>
      <c r="X103" s="15"/>
      <c r="Y103" s="15"/>
      <c r="Z103" s="15"/>
      <c r="AA103" s="15"/>
      <c r="AB103" s="15"/>
      <c r="AC103" s="15"/>
      <c r="AD103" s="15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</row>
    <row r="104" spans="1:59" s="22" customFormat="1">
      <c r="A104" s="9"/>
      <c r="B104" s="9"/>
      <c r="E104" s="22">
        <f t="shared" si="4"/>
        <v>104</v>
      </c>
      <c r="F104" s="9" t="s">
        <v>120</v>
      </c>
      <c r="J104" s="9"/>
      <c r="K104" s="9" t="s">
        <v>141</v>
      </c>
      <c r="L104" s="9"/>
      <c r="M104" s="22">
        <v>2</v>
      </c>
      <c r="N104" s="9"/>
      <c r="O104" s="9"/>
      <c r="P104" s="9"/>
      <c r="Q104" s="9"/>
      <c r="R104" s="12"/>
      <c r="S104" s="9"/>
      <c r="T104" s="9"/>
      <c r="U104" s="12"/>
      <c r="V104" s="12"/>
      <c r="W104" s="12"/>
      <c r="X104" s="15"/>
      <c r="Y104" s="15"/>
      <c r="Z104" s="15"/>
      <c r="AA104" s="15"/>
      <c r="AB104" s="15"/>
      <c r="AC104" s="15"/>
      <c r="AD104" s="15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</row>
    <row r="105" spans="1:59" s="22" customFormat="1">
      <c r="A105" s="9"/>
      <c r="B105" s="9"/>
      <c r="E105" s="22">
        <f t="shared" si="4"/>
        <v>105</v>
      </c>
      <c r="F105" s="9" t="s">
        <v>129</v>
      </c>
      <c r="J105" s="9"/>
      <c r="K105" s="9"/>
      <c r="L105" s="9"/>
      <c r="M105" s="22">
        <v>10000</v>
      </c>
      <c r="N105" s="9"/>
      <c r="O105" s="9"/>
      <c r="P105" s="9"/>
      <c r="Q105" s="9"/>
      <c r="R105" s="12"/>
      <c r="S105" s="9"/>
      <c r="T105" s="9"/>
      <c r="U105" s="12"/>
      <c r="V105" s="12"/>
      <c r="W105" s="12"/>
      <c r="X105" s="15"/>
      <c r="Y105" s="15"/>
      <c r="Z105" s="15"/>
      <c r="AA105" s="15"/>
      <c r="AB105" s="15"/>
      <c r="AC105" s="15"/>
      <c r="AD105" s="15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</row>
    <row r="106" spans="1:59" s="22" customFormat="1">
      <c r="A106" s="9"/>
      <c r="B106" s="9"/>
      <c r="E106" s="22">
        <f t="shared" si="4"/>
        <v>106</v>
      </c>
      <c r="F106" s="9" t="s">
        <v>121</v>
      </c>
      <c r="J106" s="9"/>
      <c r="K106" s="9"/>
      <c r="L106" s="9"/>
      <c r="M106" s="22" t="b">
        <v>1</v>
      </c>
      <c r="N106" s="9"/>
      <c r="O106" s="9"/>
      <c r="P106" s="9"/>
      <c r="Q106" s="9"/>
      <c r="R106" s="12"/>
      <c r="S106" s="9"/>
      <c r="T106" s="9"/>
      <c r="U106" s="12"/>
      <c r="V106" s="12"/>
      <c r="W106" s="12"/>
      <c r="X106" s="15"/>
      <c r="Y106" s="15"/>
      <c r="Z106" s="15"/>
      <c r="AA106" s="15"/>
      <c r="AB106" s="15"/>
      <c r="AC106" s="15"/>
      <c r="AD106" s="15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</row>
    <row r="107" spans="1:59" s="22" customFormat="1">
      <c r="A107" s="9" t="s">
        <v>241</v>
      </c>
      <c r="B107" s="22">
        <f t="shared" ref="B107" si="22">QUOTIENT( D107-1,G108)+1</f>
        <v>1</v>
      </c>
      <c r="C107" s="22">
        <f t="shared" ref="C107" si="23">D107-(B107-1)*G108</f>
        <v>6</v>
      </c>
      <c r="D107" s="22">
        <f>COUNT($D$31:$D106)+1</f>
        <v>6</v>
      </c>
      <c r="F107" s="9"/>
      <c r="J107" s="9"/>
      <c r="K107" s="9"/>
      <c r="L107" s="9"/>
      <c r="N107" s="9"/>
      <c r="O107" s="9"/>
      <c r="P107" s="9"/>
      <c r="Q107" s="9"/>
      <c r="R107" s="12"/>
      <c r="S107" s="9"/>
      <c r="T107" s="9"/>
      <c r="U107" s="12"/>
      <c r="V107" s="12"/>
      <c r="W107" s="12"/>
      <c r="X107" s="15"/>
      <c r="Y107" s="15"/>
      <c r="Z107" s="15"/>
      <c r="AA107" s="15"/>
      <c r="AB107" s="15"/>
      <c r="AC107" s="15"/>
      <c r="AD107" s="15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</row>
    <row r="108" spans="1:59" s="22" customFormat="1">
      <c r="A108" s="9"/>
      <c r="B108" s="9"/>
      <c r="E108" s="22">
        <f t="shared" ref="E108" si="24">ROW(E108)</f>
        <v>108</v>
      </c>
      <c r="F108" s="9" t="s">
        <v>93</v>
      </c>
      <c r="G108" s="22">
        <v>8</v>
      </c>
      <c r="H108" s="22">
        <v>1</v>
      </c>
      <c r="J108" s="9">
        <v>12200</v>
      </c>
      <c r="K108" s="9"/>
      <c r="L108" s="9"/>
      <c r="M108" s="22">
        <f t="shared" ref="M108" si="25">$J$33+D107</f>
        <v>12206</v>
      </c>
      <c r="N108" s="9"/>
      <c r="O108" s="9"/>
      <c r="P108" s="9"/>
      <c r="Q108" s="9"/>
      <c r="R108" s="12"/>
      <c r="S108" s="9"/>
      <c r="T108" s="9"/>
      <c r="U108" s="12"/>
      <c r="V108" s="12"/>
      <c r="W108" s="12"/>
      <c r="X108" s="15"/>
      <c r="Y108" s="15"/>
      <c r="Z108" s="15"/>
      <c r="AA108" s="15"/>
      <c r="AB108" s="15"/>
      <c r="AC108" s="15"/>
      <c r="AD108" s="15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</row>
    <row r="109" spans="1:59" s="22" customFormat="1">
      <c r="A109" s="9"/>
      <c r="B109" s="9"/>
      <c r="E109" s="22">
        <f t="shared" si="4"/>
        <v>109</v>
      </c>
      <c r="F109" s="9" t="s">
        <v>149</v>
      </c>
      <c r="J109" s="9"/>
      <c r="K109" s="9"/>
      <c r="L109" s="9"/>
      <c r="M109" s="22">
        <v>12100</v>
      </c>
      <c r="N109" s="9"/>
      <c r="O109" s="9"/>
      <c r="P109" s="9"/>
      <c r="Q109" s="9"/>
      <c r="R109" s="12"/>
      <c r="S109" s="9"/>
      <c r="T109" s="9"/>
      <c r="U109" s="12"/>
      <c r="V109" s="12"/>
      <c r="W109" s="12"/>
      <c r="X109" s="15"/>
      <c r="Y109" s="15"/>
      <c r="Z109" s="15"/>
      <c r="AA109" s="15"/>
      <c r="AB109" s="15"/>
      <c r="AC109" s="15"/>
      <c r="AD109" s="15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</row>
    <row r="110" spans="1:59" s="22" customFormat="1">
      <c r="A110" s="9"/>
      <c r="B110" s="9"/>
      <c r="E110" s="22">
        <f t="shared" si="4"/>
        <v>110</v>
      </c>
      <c r="F110" s="9" t="s">
        <v>131</v>
      </c>
      <c r="J110" s="9"/>
      <c r="K110" s="9"/>
      <c r="L110" s="9"/>
      <c r="M110" s="22">
        <v>0</v>
      </c>
      <c r="N110" s="9"/>
      <c r="O110" s="9"/>
      <c r="P110" s="9"/>
      <c r="Q110" s="9"/>
      <c r="R110" s="12"/>
      <c r="S110" s="9"/>
      <c r="T110" s="9"/>
      <c r="U110" s="12"/>
      <c r="V110" s="12"/>
      <c r="W110" s="12"/>
      <c r="X110" s="15"/>
      <c r="Y110" s="15"/>
      <c r="Z110" s="15"/>
      <c r="AA110" s="15"/>
      <c r="AB110" s="15"/>
      <c r="AC110" s="15"/>
      <c r="AD110" s="15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</row>
    <row r="111" spans="1:59" s="22" customFormat="1">
      <c r="A111" s="9"/>
      <c r="B111" s="9"/>
      <c r="E111" s="22">
        <f t="shared" si="4"/>
        <v>111</v>
      </c>
      <c r="F111" s="9" t="s">
        <v>29</v>
      </c>
      <c r="J111" s="9"/>
      <c r="K111" s="9"/>
      <c r="L111" s="9"/>
      <c r="M111" s="22" t="s">
        <v>154</v>
      </c>
      <c r="N111" s="9"/>
      <c r="O111" s="9"/>
      <c r="P111" s="9"/>
      <c r="Q111" s="9"/>
      <c r="R111" s="12"/>
      <c r="S111" s="9"/>
      <c r="T111" s="9"/>
      <c r="U111" s="12"/>
      <c r="V111" s="12"/>
      <c r="W111" s="12"/>
      <c r="X111" s="15"/>
      <c r="Y111" s="15"/>
      <c r="Z111" s="15"/>
      <c r="AA111" s="15"/>
      <c r="AB111" s="15"/>
      <c r="AC111" s="15"/>
      <c r="AD111" s="15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</row>
    <row r="112" spans="1:59" s="22" customFormat="1">
      <c r="A112" s="9"/>
      <c r="B112" s="9"/>
      <c r="E112" s="22">
        <f t="shared" ref="E112:E151" si="26">ROW(E112)</f>
        <v>112</v>
      </c>
      <c r="F112" s="9" t="s">
        <v>122</v>
      </c>
      <c r="J112" s="9"/>
      <c r="K112" s="9"/>
      <c r="L112" s="9"/>
      <c r="M112" s="22" t="s">
        <v>249</v>
      </c>
      <c r="N112" s="9"/>
      <c r="O112" s="9"/>
      <c r="P112" s="9"/>
      <c r="Q112" s="9"/>
      <c r="R112" s="12"/>
      <c r="S112" s="9"/>
      <c r="T112" s="9"/>
      <c r="U112" s="12"/>
      <c r="V112" s="12"/>
      <c r="W112" s="12"/>
      <c r="X112" s="15"/>
      <c r="Y112" s="15"/>
      <c r="Z112" s="15"/>
      <c r="AA112" s="15"/>
      <c r="AB112" s="15"/>
      <c r="AC112" s="15"/>
      <c r="AD112" s="15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</row>
    <row r="113" spans="1:59" s="22" customFormat="1">
      <c r="A113" s="9"/>
      <c r="B113" s="9"/>
      <c r="E113" s="22">
        <f t="shared" si="26"/>
        <v>113</v>
      </c>
      <c r="F113" s="9" t="s">
        <v>99</v>
      </c>
      <c r="J113" s="9"/>
      <c r="K113" s="9" t="s">
        <v>141</v>
      </c>
      <c r="L113" s="9"/>
      <c r="M113" s="22">
        <v>2</v>
      </c>
      <c r="N113" s="9"/>
      <c r="O113" s="9"/>
      <c r="P113" s="9"/>
      <c r="Q113" s="9"/>
      <c r="R113" s="12"/>
      <c r="S113" s="9"/>
      <c r="T113" s="9"/>
      <c r="U113" s="12"/>
      <c r="V113" s="12"/>
      <c r="W113" s="12"/>
      <c r="X113" s="15"/>
      <c r="Y113" s="15"/>
      <c r="Z113" s="15"/>
      <c r="AA113" s="15"/>
      <c r="AB113" s="15"/>
      <c r="AC113" s="15"/>
      <c r="AD113" s="15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</row>
    <row r="114" spans="1:59" s="22" customFormat="1">
      <c r="A114" s="9"/>
      <c r="B114" s="9"/>
      <c r="E114" s="22">
        <f t="shared" si="26"/>
        <v>114</v>
      </c>
      <c r="F114" s="9" t="s">
        <v>113</v>
      </c>
      <c r="J114" s="9"/>
      <c r="K114" s="9"/>
      <c r="L114" s="9"/>
      <c r="M114" s="22">
        <v>3</v>
      </c>
      <c r="N114" s="9"/>
      <c r="O114" s="9"/>
      <c r="P114" s="9"/>
      <c r="Q114" s="9"/>
      <c r="R114" s="12"/>
      <c r="S114" s="9"/>
      <c r="T114" s="9"/>
      <c r="U114" s="12"/>
      <c r="V114" s="12"/>
      <c r="W114" s="12"/>
      <c r="X114" s="15"/>
      <c r="Y114" s="15"/>
      <c r="Z114" s="15"/>
      <c r="AA114" s="15"/>
      <c r="AB114" s="15"/>
      <c r="AC114" s="15"/>
      <c r="AD114" s="15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</row>
    <row r="115" spans="1:59" s="22" customFormat="1">
      <c r="A115" s="9"/>
      <c r="B115" s="9"/>
      <c r="E115" s="22">
        <f t="shared" si="26"/>
        <v>115</v>
      </c>
      <c r="F115" s="9" t="s">
        <v>30</v>
      </c>
      <c r="J115" s="9"/>
      <c r="K115" s="9"/>
      <c r="L115" s="9"/>
      <c r="M115" s="22">
        <v>3</v>
      </c>
      <c r="N115" s="9"/>
      <c r="O115" s="9"/>
      <c r="P115" s="9"/>
      <c r="Q115" s="9"/>
      <c r="R115" s="12"/>
      <c r="S115" s="9"/>
      <c r="T115" s="9"/>
      <c r="U115" s="12"/>
      <c r="V115" s="12"/>
      <c r="W115" s="12"/>
      <c r="X115" s="15"/>
      <c r="Y115" s="15"/>
      <c r="Z115" s="15"/>
      <c r="AA115" s="15"/>
      <c r="AB115" s="15"/>
      <c r="AC115" s="15"/>
      <c r="AD115" s="15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</row>
    <row r="116" spans="1:59" s="22" customFormat="1">
      <c r="A116" s="9"/>
      <c r="B116" s="9"/>
      <c r="E116" s="22">
        <f t="shared" si="26"/>
        <v>116</v>
      </c>
      <c r="F116" s="9" t="s">
        <v>119</v>
      </c>
      <c r="J116" s="9"/>
      <c r="K116" s="9"/>
      <c r="L116" s="9"/>
      <c r="M116" s="22">
        <v>1.5</v>
      </c>
      <c r="N116" s="9"/>
      <c r="O116" s="9"/>
      <c r="P116" s="9"/>
      <c r="Q116" s="9"/>
      <c r="R116" s="12"/>
      <c r="S116" s="9"/>
      <c r="T116" s="9"/>
      <c r="U116" s="12"/>
      <c r="V116" s="12"/>
      <c r="W116" s="12"/>
      <c r="X116" s="15"/>
      <c r="Y116" s="15"/>
      <c r="Z116" s="15"/>
      <c r="AA116" s="15"/>
      <c r="AB116" s="15"/>
      <c r="AC116" s="15"/>
      <c r="AD116" s="15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</row>
    <row r="117" spans="1:59" s="22" customFormat="1">
      <c r="A117" s="9"/>
      <c r="B117" s="9"/>
      <c r="E117" s="22">
        <f t="shared" si="26"/>
        <v>117</v>
      </c>
      <c r="F117" s="9" t="s">
        <v>31</v>
      </c>
      <c r="G117" s="22">
        <v>45</v>
      </c>
      <c r="J117" s="9"/>
      <c r="K117" s="9"/>
      <c r="L117" s="9" t="s">
        <v>138</v>
      </c>
      <c r="M117" s="22">
        <f t="shared" ref="M117" si="27">G117*D107</f>
        <v>270</v>
      </c>
      <c r="N117" s="9"/>
      <c r="O117" s="9"/>
      <c r="P117" s="9"/>
      <c r="Q117" s="9"/>
      <c r="R117" s="12"/>
      <c r="S117" s="9"/>
      <c r="T117" s="9"/>
      <c r="U117" s="12"/>
      <c r="V117" s="12"/>
      <c r="W117" s="12"/>
      <c r="X117" s="15"/>
      <c r="Y117" s="15"/>
      <c r="Z117" s="15"/>
      <c r="AA117" s="15"/>
      <c r="AB117" s="15"/>
      <c r="AC117" s="15"/>
      <c r="AD117" s="15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</row>
    <row r="118" spans="1:59" s="22" customFormat="1">
      <c r="A118" s="9"/>
      <c r="B118" s="9"/>
      <c r="E118" s="22">
        <f t="shared" si="26"/>
        <v>118</v>
      </c>
      <c r="F118" s="9" t="s">
        <v>115</v>
      </c>
      <c r="J118" s="9"/>
      <c r="K118" s="9"/>
      <c r="L118" s="9" t="s">
        <v>138</v>
      </c>
      <c r="M118" s="22">
        <v>85.94</v>
      </c>
      <c r="N118" s="9"/>
      <c r="O118" s="9"/>
      <c r="P118" s="9"/>
      <c r="Q118" s="9"/>
      <c r="R118" s="12"/>
      <c r="S118" s="9"/>
      <c r="T118" s="9"/>
      <c r="U118" s="12"/>
      <c r="V118" s="12"/>
      <c r="W118" s="12"/>
      <c r="X118" s="15"/>
      <c r="Y118" s="15"/>
      <c r="Z118" s="15"/>
      <c r="AA118" s="15"/>
      <c r="AB118" s="15"/>
      <c r="AC118" s="15"/>
      <c r="AD118" s="15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</row>
    <row r="119" spans="1:59" s="22" customFormat="1">
      <c r="A119" s="9"/>
      <c r="B119" s="9"/>
      <c r="E119" s="22">
        <f t="shared" si="26"/>
        <v>119</v>
      </c>
      <c r="F119" s="9" t="s">
        <v>120</v>
      </c>
      <c r="J119" s="9"/>
      <c r="K119" s="9" t="s">
        <v>141</v>
      </c>
      <c r="L119" s="9"/>
      <c r="M119" s="22">
        <v>2</v>
      </c>
      <c r="N119" s="9"/>
      <c r="O119" s="9"/>
      <c r="P119" s="9"/>
      <c r="Q119" s="9"/>
      <c r="R119" s="12"/>
      <c r="S119" s="9"/>
      <c r="T119" s="9"/>
      <c r="U119" s="12"/>
      <c r="V119" s="12"/>
      <c r="W119" s="12"/>
      <c r="X119" s="15"/>
      <c r="Y119" s="15"/>
      <c r="Z119" s="15"/>
      <c r="AA119" s="15"/>
      <c r="AB119" s="15"/>
      <c r="AC119" s="15"/>
      <c r="AD119" s="15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</row>
    <row r="120" spans="1:59" s="22" customFormat="1">
      <c r="A120" s="9"/>
      <c r="B120" s="9"/>
      <c r="E120" s="22">
        <f t="shared" si="26"/>
        <v>120</v>
      </c>
      <c r="F120" s="9" t="s">
        <v>129</v>
      </c>
      <c r="J120" s="9"/>
      <c r="K120" s="9"/>
      <c r="L120" s="9"/>
      <c r="M120" s="22">
        <v>10000</v>
      </c>
      <c r="N120" s="9"/>
      <c r="O120" s="9"/>
      <c r="P120" s="9"/>
      <c r="Q120" s="9"/>
      <c r="R120" s="12"/>
      <c r="S120" s="9"/>
      <c r="T120" s="9"/>
      <c r="U120" s="12"/>
      <c r="V120" s="12"/>
      <c r="W120" s="12"/>
      <c r="X120" s="15"/>
      <c r="Y120" s="15"/>
      <c r="Z120" s="15"/>
      <c r="AA120" s="15"/>
      <c r="AB120" s="15"/>
      <c r="AC120" s="15"/>
      <c r="AD120" s="15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</row>
    <row r="121" spans="1:59" s="22" customFormat="1">
      <c r="A121" s="9"/>
      <c r="B121" s="9"/>
      <c r="E121" s="22">
        <f t="shared" si="26"/>
        <v>121</v>
      </c>
      <c r="F121" s="9" t="s">
        <v>121</v>
      </c>
      <c r="J121" s="9"/>
      <c r="K121" s="9"/>
      <c r="L121" s="9"/>
      <c r="M121" s="22" t="b">
        <v>1</v>
      </c>
      <c r="N121" s="9"/>
      <c r="O121" s="9"/>
      <c r="P121" s="9"/>
      <c r="Q121" s="9"/>
      <c r="R121" s="12"/>
      <c r="S121" s="9"/>
      <c r="T121" s="9"/>
      <c r="U121" s="12"/>
      <c r="V121" s="12"/>
      <c r="W121" s="12"/>
      <c r="X121" s="15"/>
      <c r="Y121" s="15"/>
      <c r="Z121" s="15"/>
      <c r="AA121" s="15"/>
      <c r="AB121" s="15"/>
      <c r="AC121" s="15"/>
      <c r="AD121" s="15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</row>
    <row r="122" spans="1:59" s="22" customFormat="1">
      <c r="A122" s="9" t="s">
        <v>241</v>
      </c>
      <c r="B122" s="22">
        <f t="shared" ref="B122" si="28">QUOTIENT( D122-1,G123)+1</f>
        <v>1</v>
      </c>
      <c r="C122" s="22">
        <f t="shared" ref="C122" si="29">D122-(B122-1)*G123</f>
        <v>7</v>
      </c>
      <c r="D122" s="22">
        <f>COUNT($D$31:$D121)+1</f>
        <v>7</v>
      </c>
      <c r="F122" s="9"/>
      <c r="J122" s="9"/>
      <c r="K122" s="9"/>
      <c r="L122" s="9"/>
      <c r="N122" s="9"/>
      <c r="O122" s="9"/>
      <c r="P122" s="9"/>
      <c r="Q122" s="9"/>
      <c r="R122" s="12"/>
      <c r="S122" s="9"/>
      <c r="T122" s="9"/>
      <c r="U122" s="12"/>
      <c r="V122" s="12"/>
      <c r="W122" s="12"/>
      <c r="X122" s="15"/>
      <c r="Y122" s="15"/>
      <c r="Z122" s="15"/>
      <c r="AA122" s="15"/>
      <c r="AB122" s="15"/>
      <c r="AC122" s="15"/>
      <c r="AD122" s="15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</row>
    <row r="123" spans="1:59" s="22" customFormat="1">
      <c r="A123" s="9"/>
      <c r="B123" s="9"/>
      <c r="E123" s="22">
        <f t="shared" ref="E123" si="30">ROW(E123)</f>
        <v>123</v>
      </c>
      <c r="F123" s="9" t="s">
        <v>93</v>
      </c>
      <c r="G123" s="22">
        <v>8</v>
      </c>
      <c r="H123" s="22">
        <v>1</v>
      </c>
      <c r="J123" s="9">
        <v>12200</v>
      </c>
      <c r="K123" s="9"/>
      <c r="L123" s="9"/>
      <c r="M123" s="22">
        <f t="shared" ref="M123" si="31">$J$33+D122</f>
        <v>12207</v>
      </c>
      <c r="N123" s="9"/>
      <c r="O123" s="9"/>
      <c r="P123" s="9"/>
      <c r="Q123" s="9"/>
      <c r="R123" s="12"/>
      <c r="S123" s="9"/>
      <c r="T123" s="9"/>
      <c r="U123" s="12"/>
      <c r="V123" s="12"/>
      <c r="W123" s="12"/>
      <c r="X123" s="15"/>
      <c r="Y123" s="15"/>
      <c r="Z123" s="15"/>
      <c r="AA123" s="15"/>
      <c r="AB123" s="15"/>
      <c r="AC123" s="15"/>
      <c r="AD123" s="15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</row>
    <row r="124" spans="1:59" s="22" customFormat="1">
      <c r="A124" s="9"/>
      <c r="B124" s="9"/>
      <c r="E124" s="22">
        <f t="shared" si="26"/>
        <v>124</v>
      </c>
      <c r="F124" s="9" t="s">
        <v>149</v>
      </c>
      <c r="J124" s="9"/>
      <c r="K124" s="9"/>
      <c r="L124" s="9"/>
      <c r="M124" s="22">
        <v>12100</v>
      </c>
      <c r="N124" s="9"/>
      <c r="O124" s="9"/>
      <c r="P124" s="9"/>
      <c r="Q124" s="9"/>
      <c r="R124" s="12"/>
      <c r="S124" s="9"/>
      <c r="T124" s="9"/>
      <c r="U124" s="12"/>
      <c r="V124" s="12"/>
      <c r="W124" s="12"/>
      <c r="X124" s="15"/>
      <c r="Y124" s="15"/>
      <c r="Z124" s="15"/>
      <c r="AA124" s="15"/>
      <c r="AB124" s="15"/>
      <c r="AC124" s="15"/>
      <c r="AD124" s="15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</row>
    <row r="125" spans="1:59" s="22" customFormat="1">
      <c r="A125" s="9"/>
      <c r="B125" s="9"/>
      <c r="E125" s="22">
        <f t="shared" si="26"/>
        <v>125</v>
      </c>
      <c r="F125" s="9" t="s">
        <v>131</v>
      </c>
      <c r="J125" s="9"/>
      <c r="K125" s="9"/>
      <c r="L125" s="9"/>
      <c r="M125" s="22">
        <v>0</v>
      </c>
      <c r="N125" s="9"/>
      <c r="O125" s="9"/>
      <c r="P125" s="9"/>
      <c r="Q125" s="9"/>
      <c r="R125" s="12"/>
      <c r="S125" s="9"/>
      <c r="T125" s="9"/>
      <c r="U125" s="12"/>
      <c r="V125" s="12"/>
      <c r="W125" s="12"/>
      <c r="X125" s="15"/>
      <c r="Y125" s="15"/>
      <c r="Z125" s="15"/>
      <c r="AA125" s="15"/>
      <c r="AB125" s="15"/>
      <c r="AC125" s="15"/>
      <c r="AD125" s="15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</row>
    <row r="126" spans="1:59" s="22" customFormat="1">
      <c r="A126" s="9"/>
      <c r="B126" s="9"/>
      <c r="E126" s="22">
        <f t="shared" si="26"/>
        <v>126</v>
      </c>
      <c r="F126" s="9" t="s">
        <v>29</v>
      </c>
      <c r="J126" s="9"/>
      <c r="K126" s="9"/>
      <c r="L126" s="9"/>
      <c r="M126" s="22" t="s">
        <v>154</v>
      </c>
      <c r="N126" s="9"/>
      <c r="O126" s="9"/>
      <c r="P126" s="9"/>
      <c r="Q126" s="9"/>
      <c r="R126" s="12"/>
      <c r="S126" s="9"/>
      <c r="T126" s="9"/>
      <c r="U126" s="12"/>
      <c r="V126" s="12"/>
      <c r="W126" s="12"/>
      <c r="X126" s="15"/>
      <c r="Y126" s="15"/>
      <c r="Z126" s="15"/>
      <c r="AA126" s="15"/>
      <c r="AB126" s="15"/>
      <c r="AC126" s="15"/>
      <c r="AD126" s="15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</row>
    <row r="127" spans="1:59" s="22" customFormat="1">
      <c r="A127" s="9"/>
      <c r="B127" s="9"/>
      <c r="E127" s="22">
        <f t="shared" si="26"/>
        <v>127</v>
      </c>
      <c r="F127" s="9" t="s">
        <v>122</v>
      </c>
      <c r="J127" s="9"/>
      <c r="K127" s="9"/>
      <c r="L127" s="9"/>
      <c r="M127" s="22" t="s">
        <v>249</v>
      </c>
      <c r="N127" s="9"/>
      <c r="O127" s="9"/>
      <c r="P127" s="9"/>
      <c r="Q127" s="9"/>
      <c r="R127" s="12"/>
      <c r="S127" s="9"/>
      <c r="T127" s="9"/>
      <c r="U127" s="12"/>
      <c r="V127" s="12"/>
      <c r="W127" s="12"/>
      <c r="X127" s="15"/>
      <c r="Y127" s="15"/>
      <c r="Z127" s="15"/>
      <c r="AA127" s="15"/>
      <c r="AB127" s="15"/>
      <c r="AC127" s="15"/>
      <c r="AD127" s="15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</row>
    <row r="128" spans="1:59" s="22" customFormat="1">
      <c r="A128" s="9"/>
      <c r="B128" s="9"/>
      <c r="E128" s="22">
        <f t="shared" si="26"/>
        <v>128</v>
      </c>
      <c r="F128" s="9" t="s">
        <v>99</v>
      </c>
      <c r="J128" s="9"/>
      <c r="K128" s="9" t="s">
        <v>141</v>
      </c>
      <c r="L128" s="9"/>
      <c r="M128" s="22">
        <v>2</v>
      </c>
      <c r="N128" s="9"/>
      <c r="O128" s="9"/>
      <c r="P128" s="9"/>
      <c r="Q128" s="9"/>
      <c r="R128" s="12"/>
      <c r="S128" s="9"/>
      <c r="T128" s="9"/>
      <c r="U128" s="12"/>
      <c r="V128" s="12"/>
      <c r="W128" s="12"/>
      <c r="X128" s="15"/>
      <c r="Y128" s="15"/>
      <c r="Z128" s="15"/>
      <c r="AA128" s="15"/>
      <c r="AB128" s="15"/>
      <c r="AC128" s="15"/>
      <c r="AD128" s="15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</row>
    <row r="129" spans="1:59" s="22" customFormat="1">
      <c r="A129" s="9"/>
      <c r="B129" s="9"/>
      <c r="E129" s="22">
        <f t="shared" si="26"/>
        <v>129</v>
      </c>
      <c r="F129" s="9" t="s">
        <v>113</v>
      </c>
      <c r="J129" s="9"/>
      <c r="K129" s="9"/>
      <c r="L129" s="9"/>
      <c r="M129" s="22">
        <v>3</v>
      </c>
      <c r="N129" s="9"/>
      <c r="O129" s="9"/>
      <c r="P129" s="9"/>
      <c r="Q129" s="9"/>
      <c r="R129" s="12"/>
      <c r="S129" s="9"/>
      <c r="T129" s="9"/>
      <c r="U129" s="12"/>
      <c r="V129" s="12"/>
      <c r="W129" s="12"/>
      <c r="X129" s="15"/>
      <c r="Y129" s="15"/>
      <c r="Z129" s="15"/>
      <c r="AA129" s="15"/>
      <c r="AB129" s="15"/>
      <c r="AC129" s="15"/>
      <c r="AD129" s="15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</row>
    <row r="130" spans="1:59" s="22" customFormat="1">
      <c r="A130" s="9"/>
      <c r="B130" s="9"/>
      <c r="E130" s="22">
        <f t="shared" si="26"/>
        <v>130</v>
      </c>
      <c r="F130" s="9" t="s">
        <v>30</v>
      </c>
      <c r="J130" s="9"/>
      <c r="K130" s="9"/>
      <c r="L130" s="9"/>
      <c r="M130" s="22">
        <v>3</v>
      </c>
      <c r="N130" s="9"/>
      <c r="O130" s="9"/>
      <c r="P130" s="9"/>
      <c r="Q130" s="9"/>
      <c r="R130" s="12"/>
      <c r="S130" s="9"/>
      <c r="T130" s="9"/>
      <c r="U130" s="12"/>
      <c r="V130" s="12"/>
      <c r="W130" s="12"/>
      <c r="X130" s="15"/>
      <c r="Y130" s="15"/>
      <c r="Z130" s="15"/>
      <c r="AA130" s="15"/>
      <c r="AB130" s="15"/>
      <c r="AC130" s="15"/>
      <c r="AD130" s="15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</row>
    <row r="131" spans="1:59" s="22" customFormat="1">
      <c r="A131" s="9"/>
      <c r="B131" s="9"/>
      <c r="E131" s="22">
        <f t="shared" si="26"/>
        <v>131</v>
      </c>
      <c r="F131" s="9" t="s">
        <v>119</v>
      </c>
      <c r="J131" s="9"/>
      <c r="K131" s="9"/>
      <c r="L131" s="9"/>
      <c r="M131" s="22">
        <v>1.5</v>
      </c>
      <c r="N131" s="9"/>
      <c r="O131" s="9"/>
      <c r="P131" s="9"/>
      <c r="Q131" s="9"/>
      <c r="R131" s="12"/>
      <c r="S131" s="9"/>
      <c r="T131" s="9"/>
      <c r="U131" s="12"/>
      <c r="V131" s="12"/>
      <c r="W131" s="12"/>
      <c r="X131" s="15"/>
      <c r="Y131" s="15"/>
      <c r="Z131" s="15"/>
      <c r="AA131" s="15"/>
      <c r="AB131" s="15"/>
      <c r="AC131" s="15"/>
      <c r="AD131" s="15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</row>
    <row r="132" spans="1:59" s="22" customFormat="1">
      <c r="A132" s="9"/>
      <c r="B132" s="9"/>
      <c r="E132" s="22">
        <f t="shared" si="26"/>
        <v>132</v>
      </c>
      <c r="F132" s="9" t="s">
        <v>31</v>
      </c>
      <c r="G132" s="22">
        <v>45</v>
      </c>
      <c r="J132" s="9"/>
      <c r="K132" s="9"/>
      <c r="L132" s="9" t="s">
        <v>138</v>
      </c>
      <c r="M132" s="22">
        <f t="shared" ref="M132" si="32">G132*D122</f>
        <v>315</v>
      </c>
      <c r="N132" s="9"/>
      <c r="O132" s="9"/>
      <c r="P132" s="9"/>
      <c r="Q132" s="9"/>
      <c r="R132" s="12"/>
      <c r="S132" s="9"/>
      <c r="T132" s="9"/>
      <c r="U132" s="12"/>
      <c r="V132" s="12"/>
      <c r="W132" s="12"/>
      <c r="X132" s="15"/>
      <c r="Y132" s="15"/>
      <c r="Z132" s="15"/>
      <c r="AA132" s="15"/>
      <c r="AB132" s="15"/>
      <c r="AC132" s="15"/>
      <c r="AD132" s="15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</row>
    <row r="133" spans="1:59" s="22" customFormat="1">
      <c r="A133" s="9"/>
      <c r="B133" s="9"/>
      <c r="E133" s="22">
        <f t="shared" si="26"/>
        <v>133</v>
      </c>
      <c r="F133" s="9" t="s">
        <v>115</v>
      </c>
      <c r="J133" s="9"/>
      <c r="K133" s="9"/>
      <c r="L133" s="9" t="s">
        <v>138</v>
      </c>
      <c r="M133" s="22">
        <v>85.94</v>
      </c>
      <c r="N133" s="9"/>
      <c r="O133" s="9"/>
      <c r="P133" s="9"/>
      <c r="Q133" s="9"/>
      <c r="R133" s="12"/>
      <c r="S133" s="9"/>
      <c r="T133" s="9"/>
      <c r="U133" s="12"/>
      <c r="V133" s="12"/>
      <c r="W133" s="12"/>
      <c r="X133" s="15"/>
      <c r="Y133" s="15"/>
      <c r="Z133" s="15"/>
      <c r="AA133" s="15"/>
      <c r="AB133" s="15"/>
      <c r="AC133" s="15"/>
      <c r="AD133" s="15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</row>
    <row r="134" spans="1:59" s="22" customFormat="1">
      <c r="A134" s="9"/>
      <c r="B134" s="9"/>
      <c r="E134" s="22">
        <f t="shared" si="26"/>
        <v>134</v>
      </c>
      <c r="F134" s="9" t="s">
        <v>120</v>
      </c>
      <c r="J134" s="9"/>
      <c r="K134" s="9" t="s">
        <v>141</v>
      </c>
      <c r="L134" s="9"/>
      <c r="M134" s="22">
        <v>2</v>
      </c>
      <c r="N134" s="9"/>
      <c r="O134" s="9"/>
      <c r="P134" s="9"/>
      <c r="Q134" s="9"/>
      <c r="R134" s="12"/>
      <c r="S134" s="9"/>
      <c r="T134" s="9"/>
      <c r="U134" s="12"/>
      <c r="V134" s="12"/>
      <c r="W134" s="12"/>
      <c r="X134" s="15"/>
      <c r="Y134" s="15"/>
      <c r="Z134" s="15"/>
      <c r="AA134" s="15"/>
      <c r="AB134" s="15"/>
      <c r="AC134" s="15"/>
      <c r="AD134" s="15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</row>
    <row r="135" spans="1:59" s="22" customFormat="1">
      <c r="A135" s="9"/>
      <c r="B135" s="9"/>
      <c r="E135" s="22">
        <f t="shared" si="26"/>
        <v>135</v>
      </c>
      <c r="F135" s="9" t="s">
        <v>129</v>
      </c>
      <c r="J135" s="9"/>
      <c r="K135" s="9"/>
      <c r="L135" s="9"/>
      <c r="M135" s="22">
        <v>10000</v>
      </c>
      <c r="N135" s="9"/>
      <c r="O135" s="9"/>
      <c r="P135" s="9"/>
      <c r="Q135" s="9"/>
      <c r="R135" s="12"/>
      <c r="S135" s="9"/>
      <c r="T135" s="9"/>
      <c r="U135" s="12"/>
      <c r="V135" s="12"/>
      <c r="W135" s="12"/>
      <c r="X135" s="15"/>
      <c r="Y135" s="15"/>
      <c r="Z135" s="15"/>
      <c r="AA135" s="15"/>
      <c r="AB135" s="15"/>
      <c r="AC135" s="15"/>
      <c r="AD135" s="15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</row>
    <row r="136" spans="1:59" s="22" customFormat="1">
      <c r="A136" s="9"/>
      <c r="B136" s="9"/>
      <c r="E136" s="22">
        <f t="shared" si="26"/>
        <v>136</v>
      </c>
      <c r="F136" s="9" t="s">
        <v>121</v>
      </c>
      <c r="J136" s="9"/>
      <c r="K136" s="9"/>
      <c r="L136" s="9"/>
      <c r="M136" s="22" t="b">
        <v>1</v>
      </c>
      <c r="N136" s="9"/>
      <c r="O136" s="9"/>
      <c r="P136" s="9"/>
      <c r="Q136" s="9"/>
      <c r="R136" s="12"/>
      <c r="S136" s="9"/>
      <c r="T136" s="9"/>
      <c r="U136" s="12"/>
      <c r="V136" s="12"/>
      <c r="W136" s="12"/>
      <c r="X136" s="15"/>
      <c r="Y136" s="15"/>
      <c r="Z136" s="15"/>
      <c r="AA136" s="15"/>
      <c r="AB136" s="15"/>
      <c r="AC136" s="15"/>
      <c r="AD136" s="15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</row>
    <row r="137" spans="1:59" s="22" customFormat="1">
      <c r="A137" s="9" t="s">
        <v>241</v>
      </c>
      <c r="B137" s="22">
        <f t="shared" ref="B137" si="33">QUOTIENT( D137-1,G138)+1</f>
        <v>1</v>
      </c>
      <c r="C137" s="22">
        <f t="shared" ref="C137" si="34">D137-(B137-1)*G138</f>
        <v>8</v>
      </c>
      <c r="D137" s="22">
        <f>COUNT($D$31:$D136)+1</f>
        <v>8</v>
      </c>
      <c r="F137" s="9"/>
      <c r="J137" s="9"/>
      <c r="K137" s="9"/>
      <c r="L137" s="9"/>
      <c r="N137" s="9"/>
      <c r="O137" s="9"/>
      <c r="P137" s="9"/>
      <c r="Q137" s="9"/>
      <c r="R137" s="12"/>
      <c r="S137" s="9"/>
      <c r="T137" s="9"/>
      <c r="U137" s="12"/>
      <c r="V137" s="12"/>
      <c r="W137" s="12"/>
      <c r="X137" s="15"/>
      <c r="Y137" s="15"/>
      <c r="Z137" s="15"/>
      <c r="AA137" s="15"/>
      <c r="AB137" s="15"/>
      <c r="AC137" s="15"/>
      <c r="AD137" s="15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</row>
    <row r="138" spans="1:59" s="22" customFormat="1">
      <c r="A138" s="9"/>
      <c r="B138" s="9"/>
      <c r="E138" s="22">
        <f t="shared" ref="E138" si="35">ROW(E138)</f>
        <v>138</v>
      </c>
      <c r="F138" s="9" t="s">
        <v>93</v>
      </c>
      <c r="G138" s="22">
        <v>8</v>
      </c>
      <c r="H138" s="22">
        <v>1</v>
      </c>
      <c r="J138" s="9">
        <v>12200</v>
      </c>
      <c r="K138" s="9"/>
      <c r="L138" s="9"/>
      <c r="M138" s="22">
        <f t="shared" ref="M138" si="36">$J$33+D137</f>
        <v>12208</v>
      </c>
      <c r="N138" s="9"/>
      <c r="O138" s="9"/>
      <c r="P138" s="9"/>
      <c r="Q138" s="9"/>
      <c r="R138" s="12"/>
      <c r="S138" s="9"/>
      <c r="T138" s="9"/>
      <c r="U138" s="12"/>
      <c r="V138" s="12"/>
      <c r="W138" s="12"/>
      <c r="X138" s="15"/>
      <c r="Y138" s="15"/>
      <c r="Z138" s="15"/>
      <c r="AA138" s="15"/>
      <c r="AB138" s="15"/>
      <c r="AC138" s="15"/>
      <c r="AD138" s="15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</row>
    <row r="139" spans="1:59" s="22" customFormat="1">
      <c r="A139" s="9"/>
      <c r="B139" s="9"/>
      <c r="E139" s="22">
        <f t="shared" si="26"/>
        <v>139</v>
      </c>
      <c r="F139" s="9" t="s">
        <v>149</v>
      </c>
      <c r="J139" s="9"/>
      <c r="K139" s="9"/>
      <c r="L139" s="9"/>
      <c r="M139" s="22">
        <v>12100</v>
      </c>
      <c r="N139" s="9"/>
      <c r="O139" s="9"/>
      <c r="P139" s="9"/>
      <c r="Q139" s="9"/>
      <c r="R139" s="12"/>
      <c r="S139" s="9"/>
      <c r="T139" s="9"/>
      <c r="U139" s="12"/>
      <c r="V139" s="12"/>
      <c r="W139" s="12"/>
      <c r="X139" s="15"/>
      <c r="Y139" s="15"/>
      <c r="Z139" s="15"/>
      <c r="AA139" s="15"/>
      <c r="AB139" s="15"/>
      <c r="AC139" s="15"/>
      <c r="AD139" s="15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</row>
    <row r="140" spans="1:59" s="22" customFormat="1">
      <c r="A140" s="9"/>
      <c r="B140" s="9"/>
      <c r="E140" s="22">
        <f t="shared" si="26"/>
        <v>140</v>
      </c>
      <c r="F140" s="9" t="s">
        <v>131</v>
      </c>
      <c r="J140" s="9"/>
      <c r="K140" s="9"/>
      <c r="L140" s="9"/>
      <c r="M140" s="22">
        <v>0</v>
      </c>
      <c r="N140" s="9"/>
      <c r="O140" s="9"/>
      <c r="P140" s="9"/>
      <c r="Q140" s="9"/>
      <c r="R140" s="12"/>
      <c r="S140" s="9"/>
      <c r="T140" s="9"/>
      <c r="U140" s="12"/>
      <c r="V140" s="12"/>
      <c r="W140" s="12"/>
      <c r="X140" s="15"/>
      <c r="Y140" s="15"/>
      <c r="Z140" s="15"/>
      <c r="AA140" s="15"/>
      <c r="AB140" s="15"/>
      <c r="AC140" s="15"/>
      <c r="AD140" s="15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</row>
    <row r="141" spans="1:59" s="22" customFormat="1">
      <c r="A141" s="9"/>
      <c r="B141" s="9"/>
      <c r="E141" s="22">
        <f t="shared" si="26"/>
        <v>141</v>
      </c>
      <c r="F141" s="9" t="s">
        <v>29</v>
      </c>
      <c r="J141" s="9"/>
      <c r="K141" s="9"/>
      <c r="L141" s="9"/>
      <c r="M141" s="22" t="s">
        <v>154</v>
      </c>
      <c r="N141" s="9"/>
      <c r="O141" s="9"/>
      <c r="P141" s="9"/>
      <c r="Q141" s="9"/>
      <c r="R141" s="12"/>
      <c r="S141" s="9"/>
      <c r="T141" s="9"/>
      <c r="U141" s="12"/>
      <c r="V141" s="12"/>
      <c r="W141" s="12"/>
      <c r="X141" s="15"/>
      <c r="Y141" s="15"/>
      <c r="Z141" s="15"/>
      <c r="AA141" s="15"/>
      <c r="AB141" s="15"/>
      <c r="AC141" s="15"/>
      <c r="AD141" s="15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</row>
    <row r="142" spans="1:59" s="22" customFormat="1">
      <c r="A142" s="9"/>
      <c r="B142" s="9"/>
      <c r="E142" s="22">
        <f t="shared" si="26"/>
        <v>142</v>
      </c>
      <c r="F142" s="9" t="s">
        <v>122</v>
      </c>
      <c r="J142" s="9"/>
      <c r="K142" s="9"/>
      <c r="L142" s="9"/>
      <c r="M142" s="22" t="s">
        <v>249</v>
      </c>
      <c r="N142" s="9"/>
      <c r="O142" s="9"/>
      <c r="P142" s="9"/>
      <c r="Q142" s="9"/>
      <c r="R142" s="12"/>
      <c r="S142" s="9"/>
      <c r="T142" s="9"/>
      <c r="U142" s="12"/>
      <c r="V142" s="12"/>
      <c r="W142" s="12"/>
      <c r="X142" s="15"/>
      <c r="Y142" s="15"/>
      <c r="Z142" s="15"/>
      <c r="AA142" s="15"/>
      <c r="AB142" s="15"/>
      <c r="AC142" s="15"/>
      <c r="AD142" s="15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</row>
    <row r="143" spans="1:59" s="22" customFormat="1">
      <c r="A143" s="9"/>
      <c r="B143" s="9"/>
      <c r="E143" s="22">
        <f t="shared" si="26"/>
        <v>143</v>
      </c>
      <c r="F143" s="9" t="s">
        <v>99</v>
      </c>
      <c r="J143" s="9"/>
      <c r="K143" s="9" t="s">
        <v>141</v>
      </c>
      <c r="L143" s="9"/>
      <c r="M143" s="22">
        <v>2</v>
      </c>
      <c r="N143" s="9"/>
      <c r="O143" s="9"/>
      <c r="P143" s="9"/>
      <c r="Q143" s="9"/>
      <c r="R143" s="12"/>
      <c r="S143" s="9"/>
      <c r="T143" s="9"/>
      <c r="U143" s="12"/>
      <c r="V143" s="12"/>
      <c r="W143" s="12"/>
      <c r="X143" s="15"/>
      <c r="Y143" s="15"/>
      <c r="Z143" s="15"/>
      <c r="AA143" s="15"/>
      <c r="AB143" s="15"/>
      <c r="AC143" s="15"/>
      <c r="AD143" s="15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</row>
    <row r="144" spans="1:59" s="22" customFormat="1">
      <c r="A144" s="9"/>
      <c r="B144" s="9"/>
      <c r="E144" s="22">
        <f t="shared" si="26"/>
        <v>144</v>
      </c>
      <c r="F144" s="9" t="s">
        <v>113</v>
      </c>
      <c r="J144" s="9"/>
      <c r="K144" s="9"/>
      <c r="L144" s="9"/>
      <c r="M144" s="22">
        <v>3</v>
      </c>
      <c r="N144" s="9"/>
      <c r="O144" s="9"/>
      <c r="P144" s="9"/>
      <c r="Q144" s="9"/>
      <c r="R144" s="12"/>
      <c r="S144" s="9"/>
      <c r="T144" s="9"/>
      <c r="U144" s="12"/>
      <c r="V144" s="12"/>
      <c r="W144" s="12"/>
      <c r="X144" s="15"/>
      <c r="Y144" s="15"/>
      <c r="Z144" s="15"/>
      <c r="AA144" s="15"/>
      <c r="AB144" s="15"/>
      <c r="AC144" s="15"/>
      <c r="AD144" s="15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</row>
    <row r="145" spans="1:59" s="22" customFormat="1">
      <c r="A145" s="9"/>
      <c r="B145" s="9"/>
      <c r="E145" s="22">
        <f t="shared" si="26"/>
        <v>145</v>
      </c>
      <c r="F145" s="9" t="s">
        <v>30</v>
      </c>
      <c r="J145" s="9"/>
      <c r="K145" s="9"/>
      <c r="L145" s="9"/>
      <c r="M145" s="22">
        <v>3</v>
      </c>
      <c r="N145" s="9"/>
      <c r="O145" s="9"/>
      <c r="P145" s="9"/>
      <c r="Q145" s="9"/>
      <c r="R145" s="12"/>
      <c r="S145" s="9"/>
      <c r="T145" s="9"/>
      <c r="U145" s="12"/>
      <c r="V145" s="12"/>
      <c r="W145" s="12"/>
      <c r="X145" s="15"/>
      <c r="Y145" s="15"/>
      <c r="Z145" s="15"/>
      <c r="AA145" s="15"/>
      <c r="AB145" s="15"/>
      <c r="AC145" s="15"/>
      <c r="AD145" s="15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</row>
    <row r="146" spans="1:59" s="22" customFormat="1">
      <c r="A146" s="9"/>
      <c r="B146" s="9"/>
      <c r="E146" s="22">
        <f t="shared" si="26"/>
        <v>146</v>
      </c>
      <c r="F146" s="9" t="s">
        <v>119</v>
      </c>
      <c r="J146" s="9"/>
      <c r="K146" s="9"/>
      <c r="L146" s="9"/>
      <c r="M146" s="22">
        <v>1.5</v>
      </c>
      <c r="N146" s="9"/>
      <c r="O146" s="9"/>
      <c r="P146" s="9"/>
      <c r="Q146" s="9"/>
      <c r="R146" s="12"/>
      <c r="S146" s="9"/>
      <c r="T146" s="9"/>
      <c r="U146" s="12"/>
      <c r="V146" s="12"/>
      <c r="W146" s="12"/>
      <c r="X146" s="15"/>
      <c r="Y146" s="15"/>
      <c r="Z146" s="15"/>
      <c r="AA146" s="15"/>
      <c r="AB146" s="15"/>
      <c r="AC146" s="15"/>
      <c r="AD146" s="15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</row>
    <row r="147" spans="1:59" s="22" customFormat="1">
      <c r="A147" s="9"/>
      <c r="B147" s="9"/>
      <c r="E147" s="22">
        <f t="shared" si="26"/>
        <v>147</v>
      </c>
      <c r="F147" s="9" t="s">
        <v>31</v>
      </c>
      <c r="G147" s="22">
        <v>45</v>
      </c>
      <c r="J147" s="9"/>
      <c r="K147" s="9"/>
      <c r="L147" s="9" t="s">
        <v>138</v>
      </c>
      <c r="M147" s="22">
        <f t="shared" ref="M147" si="37">G147*D137</f>
        <v>360</v>
      </c>
      <c r="N147" s="9"/>
      <c r="O147" s="9"/>
      <c r="P147" s="9"/>
      <c r="Q147" s="9"/>
      <c r="R147" s="12"/>
      <c r="S147" s="9"/>
      <c r="T147" s="9"/>
      <c r="U147" s="12"/>
      <c r="V147" s="12"/>
      <c r="W147" s="12"/>
      <c r="X147" s="15"/>
      <c r="Y147" s="15"/>
      <c r="Z147" s="15"/>
      <c r="AA147" s="15"/>
      <c r="AB147" s="15"/>
      <c r="AC147" s="15"/>
      <c r="AD147" s="15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</row>
    <row r="148" spans="1:59" s="22" customFormat="1">
      <c r="A148" s="9"/>
      <c r="B148" s="9"/>
      <c r="E148" s="22">
        <f t="shared" si="26"/>
        <v>148</v>
      </c>
      <c r="F148" s="9" t="s">
        <v>115</v>
      </c>
      <c r="J148" s="9"/>
      <c r="K148" s="9"/>
      <c r="L148" s="9" t="s">
        <v>138</v>
      </c>
      <c r="M148" s="22">
        <v>85.94</v>
      </c>
      <c r="N148" s="9"/>
      <c r="O148" s="9"/>
      <c r="P148" s="9"/>
      <c r="Q148" s="9"/>
      <c r="R148" s="12"/>
      <c r="S148" s="9"/>
      <c r="T148" s="9"/>
      <c r="U148" s="12"/>
      <c r="V148" s="12"/>
      <c r="W148" s="12"/>
      <c r="X148" s="15"/>
      <c r="Y148" s="15"/>
      <c r="Z148" s="15"/>
      <c r="AA148" s="15"/>
      <c r="AB148" s="15"/>
      <c r="AC148" s="15"/>
      <c r="AD148" s="15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</row>
    <row r="149" spans="1:59" s="22" customFormat="1">
      <c r="A149" s="9"/>
      <c r="B149" s="9"/>
      <c r="E149" s="22">
        <f t="shared" si="26"/>
        <v>149</v>
      </c>
      <c r="F149" s="9" t="s">
        <v>120</v>
      </c>
      <c r="J149" s="9"/>
      <c r="K149" s="9" t="s">
        <v>141</v>
      </c>
      <c r="L149" s="9"/>
      <c r="M149" s="22">
        <v>2</v>
      </c>
      <c r="N149" s="9"/>
      <c r="O149" s="9"/>
      <c r="P149" s="9"/>
      <c r="Q149" s="9"/>
      <c r="R149" s="12"/>
      <c r="S149" s="9"/>
      <c r="T149" s="9"/>
      <c r="U149" s="12"/>
      <c r="V149" s="12"/>
      <c r="W149" s="12"/>
      <c r="X149" s="15"/>
      <c r="Y149" s="15"/>
      <c r="Z149" s="15"/>
      <c r="AA149" s="15"/>
      <c r="AB149" s="15"/>
      <c r="AC149" s="15"/>
      <c r="AD149" s="15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</row>
    <row r="150" spans="1:59" s="22" customFormat="1">
      <c r="A150" s="9"/>
      <c r="B150" s="9"/>
      <c r="E150" s="22">
        <f t="shared" si="26"/>
        <v>150</v>
      </c>
      <c r="F150" s="9" t="s">
        <v>129</v>
      </c>
      <c r="J150" s="9"/>
      <c r="K150" s="9"/>
      <c r="L150" s="9"/>
      <c r="M150" s="22">
        <v>10000</v>
      </c>
      <c r="N150" s="9"/>
      <c r="O150" s="9"/>
      <c r="P150" s="9"/>
      <c r="Q150" s="9"/>
      <c r="R150" s="12"/>
      <c r="S150" s="9"/>
      <c r="T150" s="9"/>
      <c r="U150" s="12"/>
      <c r="V150" s="12"/>
      <c r="W150" s="12"/>
      <c r="X150" s="15"/>
      <c r="Y150" s="15"/>
      <c r="Z150" s="15"/>
      <c r="AA150" s="15"/>
      <c r="AB150" s="15"/>
      <c r="AC150" s="15"/>
      <c r="AD150" s="15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</row>
    <row r="151" spans="1:59" s="22" customFormat="1">
      <c r="A151" s="9"/>
      <c r="B151" s="9"/>
      <c r="E151" s="22">
        <f t="shared" si="26"/>
        <v>151</v>
      </c>
      <c r="F151" s="9" t="s">
        <v>121</v>
      </c>
      <c r="J151" s="9"/>
      <c r="K151" s="9"/>
      <c r="L151" s="9"/>
      <c r="M151" s="22" t="b">
        <v>1</v>
      </c>
      <c r="N151" s="9"/>
      <c r="O151" s="9"/>
      <c r="P151" s="9"/>
      <c r="Q151" s="9"/>
      <c r="R151" s="12"/>
      <c r="S151" s="9"/>
      <c r="T151" s="9"/>
      <c r="U151" s="12"/>
      <c r="V151" s="12"/>
      <c r="W151" s="12"/>
      <c r="X151" s="15"/>
      <c r="Y151" s="15"/>
      <c r="Z151" s="15"/>
      <c r="AA151" s="15"/>
      <c r="AB151" s="15"/>
      <c r="AC151" s="15"/>
      <c r="AD151" s="15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</row>
  </sheetData>
  <autoFilter ref="D1:D26" xr:uid="{00000000-0001-0000-0000-000000000000}"/>
  <phoneticPr fontId="2" type="noConversion"/>
  <conditionalFormatting sqref="BE1:XFD1 E1:I1">
    <cfRule type="duplicateValues" dxfId="75" priority="1739"/>
  </conditionalFormatting>
  <conditionalFormatting sqref="F26 F46 F61 F76 F91 F106 F121 F136 F151 F1:F16">
    <cfRule type="cellIs" dxfId="74" priority="1240" operator="equal">
      <formula>"ID"</formula>
    </cfRule>
    <cfRule type="cellIs" dxfId="73" priority="1655" operator="equal">
      <formula>"行動序號"</formula>
    </cfRule>
  </conditionalFormatting>
  <conditionalFormatting sqref="M1:M6 M32:M1048576 M8:M30">
    <cfRule type="expression" dxfId="72" priority="1659">
      <formula>OR($F1="行動序號",$F1="ID")</formula>
    </cfRule>
  </conditionalFormatting>
  <conditionalFormatting sqref="M1:M6 M32:M1048576 M8:M30">
    <cfRule type="expression" dxfId="71" priority="1126">
      <formula>$F1="行動ID"</formula>
    </cfRule>
  </conditionalFormatting>
  <conditionalFormatting sqref="K1:L1">
    <cfRule type="duplicateValues" dxfId="70" priority="1235"/>
  </conditionalFormatting>
  <conditionalFormatting sqref="M32:M1048576 J33 M1:M6 J8 M8:M30">
    <cfRule type="expression" dxfId="69" priority="850">
      <formula>_xlfn.ISFORMULA(J1)</formula>
    </cfRule>
  </conditionalFormatting>
  <conditionalFormatting sqref="M32:M151">
    <cfRule type="expression" dxfId="68" priority="69">
      <formula>$E32&gt;0</formula>
    </cfRule>
  </conditionalFormatting>
  <conditionalFormatting sqref="F33:F42 F48:F57 F63:F72 F78:F87 F93:F102 F108:F117 F123:F132 F138:F147">
    <cfRule type="cellIs" dxfId="67" priority="62" operator="equal">
      <formula>"ID"</formula>
    </cfRule>
    <cfRule type="cellIs" dxfId="66" priority="63" operator="equal">
      <formula>"行動序號"</formula>
    </cfRule>
  </conditionalFormatting>
  <conditionalFormatting sqref="M30">
    <cfRule type="expression" dxfId="65" priority="64">
      <formula>OR($F30="行動序號",$F30="ID")</formula>
    </cfRule>
  </conditionalFormatting>
  <conditionalFormatting sqref="M30">
    <cfRule type="expression" dxfId="64" priority="61">
      <formula>$F30="行動ID"</formula>
    </cfRule>
  </conditionalFormatting>
  <conditionalFormatting sqref="M33:M35 M48:M50 M63:M65 M78:M80 M93:M95 M108:M110 M123:M125 M138:M140">
    <cfRule type="expression" dxfId="63" priority="60">
      <formula>OR($F33="行動序號",$F33="ID")</formula>
    </cfRule>
  </conditionalFormatting>
  <conditionalFormatting sqref="M33:M35 M48:M50 M63:M65 M78:M80 M93:M95 M108:M110 M123:M125 M138:M140">
    <cfRule type="expression" dxfId="62" priority="59">
      <formula>$F33="行動ID"</formula>
    </cfRule>
  </conditionalFormatting>
  <conditionalFormatting sqref="M36:M37 M51:M52 M66:M67 M81:M82 M96:M97 M111:M112 M126:M127 M141:M142">
    <cfRule type="expression" dxfId="61" priority="58">
      <formula>OR($F36="行動序號",$F36="ID")</formula>
    </cfRule>
  </conditionalFormatting>
  <conditionalFormatting sqref="M36:M37 M51:M52 M66:M67 M81:M82 M96:M97 M111:M112 M126:M127 M141:M142">
    <cfRule type="expression" dxfId="60" priority="55">
      <formula>$F36="行動ID"</formula>
    </cfRule>
  </conditionalFormatting>
  <conditionalFormatting sqref="M44 M59 M74 M89 M104 M119 M134 M149">
    <cfRule type="expression" dxfId="59" priority="48">
      <formula>OR($F44="行動序號",$F44="ID")</formula>
    </cfRule>
  </conditionalFormatting>
  <conditionalFormatting sqref="M44 M59 M74 M89 M104 M119 M134 M149">
    <cfRule type="expression" dxfId="58" priority="45">
      <formula>$F44="行動ID"</formula>
    </cfRule>
  </conditionalFormatting>
  <conditionalFormatting sqref="F44 F59 F74 F89 F104 F119 F134 F149">
    <cfRule type="cellIs" dxfId="57" priority="46" operator="equal">
      <formula>"ID"</formula>
    </cfRule>
    <cfRule type="cellIs" dxfId="56" priority="47" operator="equal">
      <formula>"行動序號"</formula>
    </cfRule>
  </conditionalFormatting>
  <conditionalFormatting sqref="F45 F60 F75 F90 F105 F120 F135 F150">
    <cfRule type="cellIs" dxfId="55" priority="42" operator="equal">
      <formula>"ID"</formula>
    </cfRule>
    <cfRule type="cellIs" dxfId="54" priority="43" operator="equal">
      <formula>"行動序號"</formula>
    </cfRule>
  </conditionalFormatting>
  <conditionalFormatting sqref="M30">
    <cfRule type="expression" dxfId="53" priority="65">
      <formula>$E30&gt;0</formula>
    </cfRule>
  </conditionalFormatting>
  <conditionalFormatting sqref="F20:F25">
    <cfRule type="cellIs" dxfId="52" priority="8" operator="equal">
      <formula>"ID"</formula>
    </cfRule>
    <cfRule type="cellIs" dxfId="51" priority="9" operator="equal">
      <formula>"行動序號"</formula>
    </cfRule>
  </conditionalFormatting>
  <conditionalFormatting sqref="F17:F19">
    <cfRule type="cellIs" dxfId="50" priority="4" operator="equal">
      <formula>"行動ID"</formula>
    </cfRule>
    <cfRule type="cellIs" dxfId="49" priority="5" operator="equal">
      <formula>"ID"</formula>
    </cfRule>
    <cfRule type="cellIs" dxfId="48" priority="7" operator="equal">
      <formula>"行動序號"</formula>
    </cfRule>
  </conditionalFormatting>
  <conditionalFormatting sqref="F17:F19">
    <cfRule type="cellIs" dxfId="47" priority="6" operator="equal">
      <formula>"行動序號"</formula>
    </cfRule>
  </conditionalFormatting>
  <conditionalFormatting sqref="M1">
    <cfRule type="expression" dxfId="46" priority="3">
      <formula>OR($F1="行動序號",$F1="ID")</formula>
    </cfRule>
  </conditionalFormatting>
  <conditionalFormatting sqref="M1">
    <cfRule type="expression" dxfId="45" priority="2">
      <formula>$F1="行動ID"</formula>
    </cfRule>
  </conditionalFormatting>
  <conditionalFormatting sqref="J33">
    <cfRule type="expression" dxfId="44" priority="1744">
      <formula>OR($F31="行動序號",$F31="ID")</formula>
    </cfRule>
  </conditionalFormatting>
  <conditionalFormatting sqref="J33">
    <cfRule type="expression" dxfId="43" priority="1746">
      <formula>$F31="行動ID"</formula>
    </cfRule>
  </conditionalFormatting>
  <conditionalFormatting sqref="J1">
    <cfRule type="duplicateValues" dxfId="42" priority="1749"/>
  </conditionalFormatting>
  <conditionalFormatting sqref="J8">
    <cfRule type="expression" dxfId="41" priority="1754">
      <formula>OR($F7="行動序號",$F7="ID")</formula>
    </cfRule>
  </conditionalFormatting>
  <conditionalFormatting sqref="J8">
    <cfRule type="expression" dxfId="40" priority="1757">
      <formula>$F7="行動ID"</formula>
    </cfRule>
  </conditionalFormatting>
  <conditionalFormatting sqref="M1:BD1">
    <cfRule type="duplicateValues" dxfId="39" priority="1759"/>
  </conditionalFormatting>
  <dataValidations count="1">
    <dataValidation type="list" allowBlank="1" showInputMessage="1" showErrorMessage="1" sqref="F30 K1048551 K31:L31 K16" xr:uid="{4F4EA61E-002C-4E17-B463-CD736E7322BC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AA9DE-8ED5-4FAC-BE21-9627FC6DD44E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147</v>
      </c>
      <c r="D1" s="17" t="s">
        <v>146</v>
      </c>
      <c r="E1" s="6" t="s">
        <v>36</v>
      </c>
    </row>
    <row r="2" spans="1:5">
      <c r="A2" s="9" t="s">
        <v>50</v>
      </c>
      <c r="B2" s="9" t="s">
        <v>28</v>
      </c>
      <c r="C2" s="9" t="s">
        <v>147</v>
      </c>
      <c r="D2" s="9" t="s">
        <v>148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E345C036-B71D-424E-9499-550FD65B1BC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BE4D-62EC-4929-8F68-83E85EBFC90C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159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105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103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106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160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114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242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161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107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108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134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135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162</v>
      </c>
      <c r="C17" s="7" t="s">
        <v>243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149</v>
      </c>
      <c r="C20" s="7" t="s">
        <v>163</v>
      </c>
      <c r="E20" t="str">
        <f t="shared" si="0"/>
        <v>啟動依ID,</v>
      </c>
      <c r="H20"/>
    </row>
    <row r="21" spans="1:8">
      <c r="A21" s="7" t="s">
        <v>27</v>
      </c>
      <c r="B21" s="7" t="s">
        <v>164</v>
      </c>
      <c r="C21" s="7" t="s">
        <v>165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130</v>
      </c>
      <c r="C22" s="7" t="s">
        <v>166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131</v>
      </c>
      <c r="C23" s="7" t="s">
        <v>167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132</v>
      </c>
      <c r="C24" s="7" t="s">
        <v>168</v>
      </c>
      <c r="E24" t="str">
        <f t="shared" si="0"/>
        <v>啟動依位置,</v>
      </c>
      <c r="H24"/>
    </row>
    <row r="25" spans="1:8">
      <c r="A25" s="7" t="s">
        <v>27</v>
      </c>
      <c r="B25" s="7" t="s">
        <v>133</v>
      </c>
      <c r="C25" s="7" t="s">
        <v>169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170</v>
      </c>
      <c r="C26" s="7" t="s">
        <v>171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172</v>
      </c>
      <c r="C27" s="7" t="s">
        <v>173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174</v>
      </c>
      <c r="E30" t="str">
        <f t="shared" si="0"/>
        <v>物件,</v>
      </c>
      <c r="H30"/>
    </row>
    <row r="31" spans="1:8">
      <c r="A31" s="7" t="s">
        <v>27</v>
      </c>
      <c r="B31" s="7" t="s">
        <v>122</v>
      </c>
      <c r="C31" s="7" t="s">
        <v>175</v>
      </c>
      <c r="E31" t="str">
        <f t="shared" si="0"/>
        <v>Sprite,</v>
      </c>
      <c r="H31"/>
    </row>
    <row r="32" spans="1:8">
      <c r="A32" s="7" t="s">
        <v>27</v>
      </c>
      <c r="B32" s="7" t="s">
        <v>104</v>
      </c>
      <c r="C32" s="7" t="s">
        <v>176</v>
      </c>
      <c r="E32" t="str">
        <f t="shared" si="0"/>
        <v>動畫,</v>
      </c>
      <c r="H32"/>
    </row>
    <row r="33" spans="1:8">
      <c r="A33" s="7" t="s">
        <v>27</v>
      </c>
      <c r="B33" s="7" t="s">
        <v>110</v>
      </c>
      <c r="C33" s="7" t="s">
        <v>177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109</v>
      </c>
      <c r="C34" s="7" t="s">
        <v>178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179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180</v>
      </c>
      <c r="C36" s="7" t="s">
        <v>181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182</v>
      </c>
      <c r="C37" s="7" t="s">
        <v>183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184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185</v>
      </c>
      <c r="E41" t="str">
        <f t="shared" si="0"/>
        <v>回收時間,</v>
      </c>
      <c r="H41"/>
    </row>
    <row r="42" spans="1:8">
      <c r="A42" s="7" t="s">
        <v>27</v>
      </c>
      <c r="B42" s="7" t="s">
        <v>111</v>
      </c>
      <c r="C42" s="7" t="s">
        <v>186</v>
      </c>
      <c r="E42" t="str">
        <f t="shared" si="0"/>
        <v>死亡時間,</v>
      </c>
      <c r="H42"/>
    </row>
    <row r="43" spans="1:8">
      <c r="A43" s="7" t="s">
        <v>27</v>
      </c>
      <c r="B43" s="7" t="s">
        <v>239</v>
      </c>
      <c r="C43" s="7" t="s">
        <v>240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187</v>
      </c>
      <c r="E46" t="str">
        <f t="shared" si="0"/>
        <v>移位置,</v>
      </c>
      <c r="H46"/>
    </row>
    <row r="47" spans="1:8">
      <c r="A47" s="7" t="s">
        <v>27</v>
      </c>
      <c r="B47" s="7" t="s">
        <v>120</v>
      </c>
      <c r="C47" s="7" t="s">
        <v>188</v>
      </c>
      <c r="E47" t="str">
        <f t="shared" si="0"/>
        <v>相對位置,</v>
      </c>
      <c r="H47"/>
    </row>
    <row r="48" spans="1:8">
      <c r="A48" s="7" t="s">
        <v>27</v>
      </c>
      <c r="B48" s="7" t="s">
        <v>137</v>
      </c>
      <c r="C48" s="7" t="s">
        <v>189</v>
      </c>
      <c r="E48" t="str">
        <f t="shared" si="0"/>
        <v>位置參數,</v>
      </c>
      <c r="H48"/>
    </row>
    <row r="49" spans="1:8">
      <c r="A49" s="7" t="s">
        <v>27</v>
      </c>
      <c r="B49" s="7" t="s">
        <v>190</v>
      </c>
      <c r="C49" s="7" t="s">
        <v>191</v>
      </c>
      <c r="E49" t="str">
        <f t="shared" si="0"/>
        <v>加位置,</v>
      </c>
      <c r="H49"/>
    </row>
    <row r="50" spans="1:8">
      <c r="A50" s="7" t="s">
        <v>27</v>
      </c>
      <c r="B50" s="7" t="s">
        <v>250</v>
      </c>
      <c r="C50" s="7" t="s">
        <v>251</v>
      </c>
      <c r="E50" t="str">
        <f t="shared" si="0"/>
        <v>記錄位置,</v>
      </c>
      <c r="H50"/>
    </row>
    <row r="51" spans="1:8">
      <c r="A51" s="7" t="s">
        <v>27</v>
      </c>
      <c r="B51" s="7" t="s">
        <v>252</v>
      </c>
      <c r="C51" s="7" t="s">
        <v>253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192</v>
      </c>
      <c r="E54" t="str">
        <f t="shared" si="0"/>
        <v>移動角度,</v>
      </c>
      <c r="H54"/>
    </row>
    <row r="55" spans="1:8">
      <c r="A55" s="7" t="s">
        <v>27</v>
      </c>
      <c r="B55" s="7" t="s">
        <v>115</v>
      </c>
      <c r="C55" s="7" t="s">
        <v>193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116</v>
      </c>
      <c r="C56" s="7" t="s">
        <v>194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117</v>
      </c>
      <c r="C57" s="7" t="s">
        <v>195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136</v>
      </c>
      <c r="C58" s="7" t="s">
        <v>196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197</v>
      </c>
      <c r="C59" s="7" t="s">
        <v>198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118</v>
      </c>
      <c r="C60" s="7" t="s">
        <v>199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244</v>
      </c>
      <c r="C61" s="7" t="s">
        <v>245</v>
      </c>
      <c r="E61" t="str">
        <f t="shared" si="0"/>
        <v>子旋轉角度,</v>
      </c>
      <c r="H61"/>
    </row>
    <row r="62" spans="1:8">
      <c r="A62" s="7" t="s">
        <v>27</v>
      </c>
      <c r="B62" s="25" t="s">
        <v>246</v>
      </c>
      <c r="C62" s="7" t="s">
        <v>247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254</v>
      </c>
      <c r="C63" s="7" t="s">
        <v>255</v>
      </c>
      <c r="E63" t="str">
        <f t="shared" si="0"/>
        <v>記錄角度,</v>
      </c>
      <c r="H63"/>
    </row>
    <row r="64" spans="1:8">
      <c r="A64" s="7" t="s">
        <v>27</v>
      </c>
      <c r="B64" s="7" t="s">
        <v>257</v>
      </c>
      <c r="C64" s="7" t="s">
        <v>256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200</v>
      </c>
      <c r="E67" t="str">
        <f t="shared" si="0"/>
        <v>速度,</v>
      </c>
      <c r="H67"/>
    </row>
    <row r="68" spans="1:11">
      <c r="A68" s="7" t="s">
        <v>27</v>
      </c>
      <c r="B68" s="7" t="s">
        <v>119</v>
      </c>
      <c r="C68" s="7" t="s">
        <v>201</v>
      </c>
      <c r="E68" t="str">
        <f t="shared" si="0"/>
        <v>加速度,</v>
      </c>
      <c r="H68"/>
    </row>
    <row r="69" spans="1:11">
      <c r="A69" s="7" t="s">
        <v>27</v>
      </c>
      <c r="B69" s="7" t="s">
        <v>112</v>
      </c>
      <c r="C69" s="7" t="s">
        <v>202</v>
      </c>
      <c r="E69" t="str">
        <f t="shared" si="0"/>
        <v>最小速度,</v>
      </c>
      <c r="H69"/>
    </row>
    <row r="70" spans="1:11">
      <c r="A70" s="7" t="s">
        <v>27</v>
      </c>
      <c r="B70" s="7" t="s">
        <v>113</v>
      </c>
      <c r="C70" s="7" t="s">
        <v>203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204</v>
      </c>
      <c r="C73" s="7" t="s">
        <v>205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206</v>
      </c>
      <c r="E74" t="str">
        <f t="shared" si="0"/>
        <v>無敵,</v>
      </c>
      <c r="H74"/>
    </row>
    <row r="75" spans="1:11">
      <c r="A75" s="7" t="s">
        <v>27</v>
      </c>
      <c r="B75" s="7" t="s">
        <v>121</v>
      </c>
      <c r="C75" s="7" t="s">
        <v>207</v>
      </c>
      <c r="E75" t="str">
        <f t="shared" si="0"/>
        <v>貫穿,</v>
      </c>
      <c r="H75"/>
    </row>
    <row r="76" spans="1:11">
      <c r="A76" s="7" t="s">
        <v>27</v>
      </c>
      <c r="B76" s="7" t="s">
        <v>129</v>
      </c>
      <c r="C76" s="7" t="s">
        <v>208</v>
      </c>
      <c r="E76" t="str">
        <f t="shared" si="0"/>
        <v>回收距離,</v>
      </c>
      <c r="H76"/>
    </row>
    <row r="77" spans="1:11">
      <c r="A77" s="7" t="s">
        <v>27</v>
      </c>
      <c r="B77" s="7" t="s">
        <v>209</v>
      </c>
      <c r="C77" s="7" t="s">
        <v>210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211</v>
      </c>
      <c r="C78" s="7" t="s">
        <v>212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213</v>
      </c>
      <c r="C79" s="7" t="s">
        <v>214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215</v>
      </c>
      <c r="C80" s="7" t="s">
        <v>216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123</v>
      </c>
      <c r="C83" s="7" t="s">
        <v>217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124</v>
      </c>
      <c r="C84" s="7" t="s">
        <v>218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125</v>
      </c>
      <c r="C85" s="7" t="s">
        <v>219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126</v>
      </c>
      <c r="C86" s="7" t="s">
        <v>220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127</v>
      </c>
      <c r="C87" s="7" t="s">
        <v>221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128</v>
      </c>
      <c r="C88" s="7" t="s">
        <v>222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223</v>
      </c>
      <c r="C91" s="7" t="s">
        <v>224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225</v>
      </c>
      <c r="C92" s="7" t="s">
        <v>226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227</v>
      </c>
      <c r="C93" s="7" t="s">
        <v>228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229</v>
      </c>
      <c r="C94" s="7" t="s">
        <v>230</v>
      </c>
      <c r="E94" t="str">
        <f t="shared" si="1"/>
        <v>玩家Shift,</v>
      </c>
      <c r="H94"/>
    </row>
    <row r="95" spans="1:11">
      <c r="A95" s="7" t="s">
        <v>27</v>
      </c>
      <c r="B95" s="7" t="s">
        <v>231</v>
      </c>
      <c r="C95" s="7" t="s">
        <v>232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146</v>
      </c>
      <c r="B103" s="7" t="s">
        <v>140</v>
      </c>
      <c r="C103" s="7" t="s">
        <v>21</v>
      </c>
      <c r="H103"/>
    </row>
    <row r="104" spans="1:12" customFormat="1">
      <c r="A104" s="7" t="s">
        <v>146</v>
      </c>
      <c r="B104" t="s">
        <v>141</v>
      </c>
      <c r="C104" s="7" t="s">
        <v>25</v>
      </c>
      <c r="D104" s="7"/>
      <c r="L104" s="7"/>
    </row>
    <row r="105" spans="1:12" customFormat="1">
      <c r="A105" s="7" t="s">
        <v>146</v>
      </c>
      <c r="B105" t="s">
        <v>142</v>
      </c>
      <c r="C105" s="7" t="s">
        <v>26</v>
      </c>
      <c r="D105" s="7"/>
      <c r="L105" s="7"/>
    </row>
    <row r="106" spans="1:12" customFormat="1">
      <c r="A106" s="7" t="s">
        <v>146</v>
      </c>
      <c r="B106" t="s">
        <v>233</v>
      </c>
      <c r="C106" s="7" t="s">
        <v>97</v>
      </c>
      <c r="D106" s="7"/>
      <c r="L106" s="7"/>
    </row>
    <row r="107" spans="1:12" customFormat="1">
      <c r="A107" s="7" t="s">
        <v>146</v>
      </c>
      <c r="B107" t="s">
        <v>234</v>
      </c>
      <c r="C107" s="7" t="s">
        <v>23</v>
      </c>
      <c r="D107" s="7"/>
      <c r="L107" s="7"/>
    </row>
    <row r="108" spans="1:12" customFormat="1">
      <c r="A108" s="7" t="s">
        <v>146</v>
      </c>
      <c r="B108" t="s">
        <v>235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147</v>
      </c>
      <c r="B111" t="s">
        <v>138</v>
      </c>
      <c r="C111" s="7" t="s">
        <v>21</v>
      </c>
      <c r="D111" s="4"/>
      <c r="L111" s="7"/>
    </row>
    <row r="112" spans="1:12" customFormat="1">
      <c r="A112" s="7" t="s">
        <v>147</v>
      </c>
      <c r="B112" t="s">
        <v>139</v>
      </c>
      <c r="C112" s="7" t="s">
        <v>37</v>
      </c>
      <c r="D112" s="7"/>
      <c r="L112" s="7"/>
    </row>
    <row r="113" spans="1:12" customFormat="1">
      <c r="A113" s="7" t="s">
        <v>147</v>
      </c>
      <c r="B113" t="s">
        <v>150</v>
      </c>
      <c r="C113" s="7" t="s">
        <v>38</v>
      </c>
      <c r="D113" s="7"/>
      <c r="L113" s="7"/>
    </row>
    <row r="114" spans="1:12" customFormat="1">
      <c r="A114" s="7" t="s">
        <v>147</v>
      </c>
      <c r="B114" t="s">
        <v>236</v>
      </c>
      <c r="C114" s="7" t="s">
        <v>22</v>
      </c>
      <c r="D114" s="7"/>
      <c r="L114" s="7"/>
    </row>
    <row r="115" spans="1:12">
      <c r="A115" s="7" t="s">
        <v>147</v>
      </c>
      <c r="B115" s="7" t="s">
        <v>237</v>
      </c>
      <c r="C115" s="7" t="s">
        <v>23</v>
      </c>
      <c r="H115"/>
    </row>
    <row r="116" spans="1:12">
      <c r="A116" s="7" t="s">
        <v>147</v>
      </c>
      <c r="B116" s="7" t="s">
        <v>258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6EF1-79B3-4DEB-A58A-B9B9946FF827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146</v>
      </c>
      <c r="C1" s="6" t="s">
        <v>147</v>
      </c>
      <c r="D1" s="8"/>
      <c r="E1" s="8"/>
      <c r="F1" s="8"/>
      <c r="G1" s="6"/>
      <c r="H1" s="8"/>
      <c r="I1" s="8"/>
      <c r="J1" s="8"/>
    </row>
    <row r="2" spans="1:10" ht="85.5">
      <c r="B2" s="20" t="s">
        <v>140</v>
      </c>
      <c r="C2" s="20" t="s">
        <v>138</v>
      </c>
      <c r="D2" s="20"/>
      <c r="G2" s="21" t="s">
        <v>152</v>
      </c>
    </row>
    <row r="3" spans="1:10">
      <c r="A3" s="20" t="s">
        <v>93</v>
      </c>
      <c r="B3" s="20" t="s">
        <v>141</v>
      </c>
      <c r="C3" s="20" t="s">
        <v>139</v>
      </c>
      <c r="D3" s="20"/>
      <c r="G3" s="9"/>
    </row>
    <row r="4" spans="1:10">
      <c r="A4" s="20" t="s">
        <v>105</v>
      </c>
      <c r="B4" s="20" t="s">
        <v>142</v>
      </c>
      <c r="C4" s="20" t="s">
        <v>238</v>
      </c>
      <c r="D4" s="20"/>
      <c r="G4" s="9"/>
      <c r="H4" s="18"/>
    </row>
    <row r="5" spans="1:10" ht="17.25" customHeight="1">
      <c r="A5" s="20" t="s">
        <v>103</v>
      </c>
      <c r="B5" s="20" t="s">
        <v>233</v>
      </c>
      <c r="C5" s="20" t="s">
        <v>236</v>
      </c>
      <c r="D5" s="20"/>
      <c r="G5" s="9"/>
    </row>
    <row r="6" spans="1:10">
      <c r="A6" s="20" t="s">
        <v>106</v>
      </c>
      <c r="B6" s="20" t="s">
        <v>234</v>
      </c>
      <c r="C6" s="20" t="s">
        <v>237</v>
      </c>
      <c r="D6" s="20"/>
      <c r="G6" s="9"/>
    </row>
    <row r="7" spans="1:10">
      <c r="A7" s="20" t="s">
        <v>48</v>
      </c>
      <c r="B7" s="20" t="s">
        <v>235</v>
      </c>
      <c r="C7" s="24" t="s">
        <v>258</v>
      </c>
      <c r="D7" s="20"/>
      <c r="G7" s="9"/>
    </row>
    <row r="8" spans="1:10">
      <c r="A8" s="20" t="s">
        <v>160</v>
      </c>
      <c r="B8" s="24"/>
      <c r="C8" s="20"/>
      <c r="D8" s="20"/>
      <c r="G8" s="9"/>
    </row>
    <row r="9" spans="1:10">
      <c r="A9" s="20" t="s">
        <v>114</v>
      </c>
      <c r="B9" s="20"/>
      <c r="C9" s="20"/>
      <c r="D9" s="20"/>
      <c r="G9" s="9"/>
    </row>
    <row r="10" spans="1:10">
      <c r="A10" s="20" t="s">
        <v>242</v>
      </c>
      <c r="B10" s="20"/>
      <c r="C10" s="20"/>
      <c r="D10" s="20"/>
      <c r="G10" s="9"/>
    </row>
    <row r="11" spans="1:10">
      <c r="A11" s="20" t="s">
        <v>161</v>
      </c>
      <c r="G11" s="9"/>
    </row>
    <row r="12" spans="1:10">
      <c r="A12" s="20" t="s">
        <v>45</v>
      </c>
      <c r="G12" s="9"/>
    </row>
    <row r="13" spans="1:10">
      <c r="A13" s="20" t="s">
        <v>107</v>
      </c>
      <c r="G13" s="9"/>
    </row>
    <row r="14" spans="1:10">
      <c r="A14" s="20" t="s">
        <v>108</v>
      </c>
      <c r="C14" s="9"/>
      <c r="G14" s="9"/>
    </row>
    <row r="15" spans="1:10">
      <c r="A15" s="20" t="s">
        <v>134</v>
      </c>
      <c r="G15" s="9"/>
    </row>
    <row r="16" spans="1:10">
      <c r="A16" s="20" t="s">
        <v>135</v>
      </c>
      <c r="C16"/>
      <c r="G16" s="9"/>
    </row>
    <row r="17" spans="1:7">
      <c r="A17" s="20" t="s">
        <v>162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149</v>
      </c>
      <c r="C20"/>
      <c r="G20" s="9"/>
    </row>
    <row r="21" spans="1:7">
      <c r="A21" s="20" t="s">
        <v>164</v>
      </c>
      <c r="C21"/>
      <c r="G21" s="9"/>
    </row>
    <row r="22" spans="1:7">
      <c r="A22" s="20" t="s">
        <v>130</v>
      </c>
      <c r="C22"/>
      <c r="G22" s="9"/>
    </row>
    <row r="23" spans="1:7">
      <c r="A23" s="20" t="s">
        <v>131</v>
      </c>
      <c r="C23"/>
      <c r="G23" s="9"/>
    </row>
    <row r="24" spans="1:7">
      <c r="A24" s="20" t="s">
        <v>132</v>
      </c>
      <c r="C24"/>
      <c r="G24" s="9"/>
    </row>
    <row r="25" spans="1:7" s="9" customFormat="1">
      <c r="A25" s="20" t="s">
        <v>133</v>
      </c>
      <c r="C25"/>
      <c r="F25" s="4"/>
    </row>
    <row r="26" spans="1:7">
      <c r="A26" s="20" t="s">
        <v>170</v>
      </c>
      <c r="C26"/>
      <c r="G26" s="9"/>
    </row>
    <row r="27" spans="1:7">
      <c r="A27" s="20" t="s">
        <v>172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122</v>
      </c>
      <c r="C31"/>
      <c r="G31" s="9"/>
    </row>
    <row r="32" spans="1:7">
      <c r="A32" s="20" t="s">
        <v>104</v>
      </c>
      <c r="C32"/>
      <c r="G32" s="9"/>
    </row>
    <row r="33" spans="1:7">
      <c r="A33" s="20" t="s">
        <v>110</v>
      </c>
      <c r="C33"/>
      <c r="G33" s="9"/>
    </row>
    <row r="34" spans="1:7">
      <c r="A34" s="20" t="s">
        <v>109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180</v>
      </c>
      <c r="C36"/>
    </row>
    <row r="37" spans="1:7">
      <c r="A37" s="20" t="s">
        <v>182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111</v>
      </c>
      <c r="C42"/>
      <c r="G42" s="9"/>
    </row>
    <row r="43" spans="1:7">
      <c r="A43" s="24" t="s">
        <v>239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120</v>
      </c>
      <c r="C47"/>
      <c r="G47" s="9"/>
    </row>
    <row r="48" spans="1:7">
      <c r="A48" s="20" t="s">
        <v>137</v>
      </c>
      <c r="C48"/>
      <c r="G48" s="9"/>
    </row>
    <row r="49" spans="1:8">
      <c r="A49" s="20" t="s">
        <v>190</v>
      </c>
      <c r="C49"/>
      <c r="G49" s="9"/>
    </row>
    <row r="50" spans="1:8">
      <c r="A50" s="25" t="s">
        <v>254</v>
      </c>
      <c r="C50"/>
      <c r="G50" s="9"/>
    </row>
    <row r="51" spans="1:8">
      <c r="A51" s="25" t="s">
        <v>259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115</v>
      </c>
      <c r="C55"/>
      <c r="G55" s="9"/>
      <c r="H55" s="11"/>
    </row>
    <row r="56" spans="1:8">
      <c r="A56" s="20" t="s">
        <v>116</v>
      </c>
      <c r="C56"/>
      <c r="G56" s="9"/>
      <c r="H56" s="11"/>
    </row>
    <row r="57" spans="1:8">
      <c r="A57" s="26" t="s">
        <v>248</v>
      </c>
      <c r="C57"/>
      <c r="G57" s="9"/>
    </row>
    <row r="58" spans="1:8">
      <c r="A58" s="20" t="s">
        <v>136</v>
      </c>
      <c r="G58" s="9"/>
    </row>
    <row r="59" spans="1:8">
      <c r="A59" s="20" t="s">
        <v>197</v>
      </c>
      <c r="G59" s="9"/>
    </row>
    <row r="60" spans="1:8">
      <c r="A60" s="20" t="s">
        <v>118</v>
      </c>
      <c r="G60" s="9"/>
    </row>
    <row r="61" spans="1:8">
      <c r="A61" s="25" t="s">
        <v>244</v>
      </c>
      <c r="G61" s="9"/>
    </row>
    <row r="62" spans="1:8">
      <c r="A62" s="25" t="s">
        <v>246</v>
      </c>
      <c r="G62" s="9"/>
    </row>
    <row r="63" spans="1:8">
      <c r="A63" s="25" t="s">
        <v>254</v>
      </c>
      <c r="G63" s="9"/>
    </row>
    <row r="64" spans="1:8">
      <c r="A64" s="25" t="s">
        <v>257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119</v>
      </c>
      <c r="C68"/>
      <c r="G68" s="9"/>
    </row>
    <row r="69" spans="1:7">
      <c r="A69" s="20" t="s">
        <v>112</v>
      </c>
      <c r="C69"/>
      <c r="G69" s="9"/>
    </row>
    <row r="70" spans="1:7">
      <c r="A70" s="20" t="s">
        <v>113</v>
      </c>
      <c r="G70" s="9"/>
    </row>
    <row r="71" spans="1:7">
      <c r="G71" s="9"/>
    </row>
    <row r="72" spans="1:7">
      <c r="G72" s="9"/>
    </row>
    <row r="73" spans="1:7">
      <c r="A73" s="20" t="s">
        <v>204</v>
      </c>
    </row>
    <row r="74" spans="1:7">
      <c r="A74" s="20" t="s">
        <v>47</v>
      </c>
    </row>
    <row r="75" spans="1:7">
      <c r="A75" s="20" t="s">
        <v>121</v>
      </c>
    </row>
    <row r="76" spans="1:7">
      <c r="A76" s="20" t="s">
        <v>129</v>
      </c>
      <c r="G76" s="9"/>
    </row>
    <row r="77" spans="1:7">
      <c r="A77" s="20" t="s">
        <v>209</v>
      </c>
      <c r="G77" s="9"/>
    </row>
    <row r="78" spans="1:7">
      <c r="A78" s="20" t="s">
        <v>211</v>
      </c>
      <c r="G78" s="9"/>
    </row>
    <row r="79" spans="1:7">
      <c r="A79" s="20" t="s">
        <v>213</v>
      </c>
    </row>
    <row r="80" spans="1:7">
      <c r="A80" s="20" t="s">
        <v>215</v>
      </c>
    </row>
    <row r="83" spans="1:1">
      <c r="A83" s="20" t="s">
        <v>123</v>
      </c>
    </row>
    <row r="84" spans="1:1">
      <c r="A84" s="20" t="s">
        <v>124</v>
      </c>
    </row>
    <row r="85" spans="1:1">
      <c r="A85" s="20" t="s">
        <v>125</v>
      </c>
    </row>
    <row r="86" spans="1:1">
      <c r="A86" s="20" t="s">
        <v>126</v>
      </c>
    </row>
    <row r="87" spans="1:1">
      <c r="A87" s="20" t="s">
        <v>127</v>
      </c>
    </row>
    <row r="88" spans="1:1">
      <c r="A88" s="20" t="s">
        <v>128</v>
      </c>
    </row>
    <row r="91" spans="1:1">
      <c r="A91" s="20" t="s">
        <v>223</v>
      </c>
    </row>
    <row r="92" spans="1:1">
      <c r="A92" s="20" t="s">
        <v>225</v>
      </c>
    </row>
    <row r="93" spans="1:1">
      <c r="A93" s="20" t="s">
        <v>227</v>
      </c>
    </row>
    <row r="94" spans="1:1">
      <c r="A94" s="20" t="s">
        <v>229</v>
      </c>
    </row>
    <row r="95" spans="1:1">
      <c r="A95" s="20" t="s">
        <v>231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7A8C8B8-012F-4669-9D0E-CB790A72F246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6526-AABC-4E14-92B9-6A2CDD66AEA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4BC7-E5F1-4847-8B59-0AF95796076A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BAC86-C6FC-44E7-A919-2BFDDD7E66B7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stage7_card2light_shot3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2025-04-16T06:38:20Z</dcterms:modified>
</cp:coreProperties>
</file>