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F3930C88-2C2D-4788-81AD-1AD3059E910B}" xr6:coauthVersionLast="47" xr6:coauthVersionMax="47" xr10:uidLastSave="{00000000-0000-0000-0000-000000000000}"/>
  <bookViews>
    <workbookView xWindow="1515" yWindow="1515" windowWidth="21975" windowHeight="12210" xr2:uid="{00000000-000D-0000-FFFF-FFFF00000000}"/>
  </bookViews>
  <sheets>
    <sheet name="stage7_notcard5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stage7_notcard5!$D$1:$D$12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29" i="1" l="1"/>
  <c r="E31" i="1" l="1"/>
  <c r="E30" i="1"/>
  <c r="E29" i="1"/>
  <c r="M26" i="1" l="1"/>
  <c r="M27" i="1" l="1"/>
  <c r="M23" i="1"/>
  <c r="M22" i="1"/>
  <c r="M19" i="1" l="1"/>
  <c r="E19" i="1"/>
  <c r="E26" i="1" l="1"/>
  <c r="E27" i="1"/>
  <c r="E28" i="1"/>
  <c r="E16" i="1"/>
  <c r="E17" i="1"/>
  <c r="E18" i="1"/>
  <c r="E21" i="1"/>
  <c r="E22" i="1"/>
  <c r="E23" i="1"/>
  <c r="E24" i="1"/>
  <c r="E25" i="1"/>
  <c r="E15" i="1" l="1"/>
</calcChain>
</file>

<file path=xl/sharedStrings.xml><?xml version="1.0" encoding="utf-8"?>
<sst xmlns="http://schemas.openxmlformats.org/spreadsheetml/2006/main" count="465" uniqueCount="258">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</sst>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4"/>
  <sheetViews>
    <sheetView tabSelected="1" zoomScale="115" zoomScaleNormal="115" workbookViewId="0">
      <pane ySplit="1" topLeftCell="A2" activePane="bottomLeft" state="frozen"/>
      <selection pane="bottomLeft" activeCell="J9" sqref="J9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14400</v>
      </c>
    </row>
    <row r="7" spans="3:56">
      <c r="E7" s="22">
        <f t="shared" ref="E7:E11" si="0">ROW(E7)</f>
        <v>7</v>
      </c>
      <c r="F7" s="9" t="s">
        <v>156</v>
      </c>
      <c r="M7" s="22">
        <v>7500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14410</v>
      </c>
      <c r="N15" s="22"/>
    </row>
    <row r="16" spans="3:56">
      <c r="E16" s="22">
        <f t="shared" ref="E16:E28" si="1">ROW(E16)</f>
        <v>16</v>
      </c>
      <c r="F16" s="9" t="s">
        <v>156</v>
      </c>
      <c r="M16" s="22">
        <v>7600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50</v>
      </c>
      <c r="M19" s="22">
        <f>G19*60</f>
        <v>3000</v>
      </c>
    </row>
    <row r="20" spans="5:14">
      <c r="F20" s="9" t="s">
        <v>151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144101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14410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150</v>
      </c>
      <c r="M25" s="22" t="b">
        <v>0</v>
      </c>
      <c r="N25" s="22"/>
    </row>
    <row r="26" spans="5:14">
      <c r="E26" s="22">
        <f t="shared" si="1"/>
        <v>26</v>
      </c>
      <c r="F26" s="9" t="s">
        <v>102</v>
      </c>
      <c r="M26" s="22">
        <f>M15*10+9</f>
        <v>144109</v>
      </c>
    </row>
    <row r="27" spans="5:14">
      <c r="E27" s="22">
        <f t="shared" si="1"/>
        <v>27</v>
      </c>
      <c r="F27" s="9" t="s">
        <v>146</v>
      </c>
      <c r="M27" s="22">
        <f>M15</f>
        <v>14410</v>
      </c>
    </row>
    <row r="28" spans="5:14">
      <c r="E28" s="22">
        <f t="shared" si="1"/>
        <v>28</v>
      </c>
      <c r="F28" s="9" t="s">
        <v>127</v>
      </c>
      <c r="M28" s="22">
        <v>240</v>
      </c>
    </row>
    <row r="29" spans="5:14">
      <c r="E29" s="22">
        <f>ROW(E29)</f>
        <v>29</v>
      </c>
      <c r="F29" s="9" t="s">
        <v>146</v>
      </c>
      <c r="M29" s="22">
        <f>M26</f>
        <v>144109</v>
      </c>
    </row>
    <row r="30" spans="5:14">
      <c r="E30" s="22">
        <f>ROW(E30)</f>
        <v>30</v>
      </c>
      <c r="F30" s="9" t="s">
        <v>128</v>
      </c>
      <c r="M30" s="22">
        <v>0</v>
      </c>
    </row>
    <row r="31" spans="5:14">
      <c r="E31" s="22">
        <f t="shared" ref="E31" si="2">ROW(E31)</f>
        <v>31</v>
      </c>
      <c r="F31" s="9" t="s">
        <v>148</v>
      </c>
      <c r="M31" s="22">
        <v>180</v>
      </c>
      <c r="N31" s="22"/>
    </row>
    <row r="34" spans="14:14">
      <c r="N34" s="24"/>
    </row>
  </sheetData>
  <autoFilter ref="D1:D12" xr:uid="{00000000-0001-0000-0000-000000000000}"/>
  <phoneticPr fontId="2" type="noConversion"/>
  <conditionalFormatting sqref="N1:BD1">
    <cfRule type="duplicateValues" dxfId="66" priority="557"/>
  </conditionalFormatting>
  <conditionalFormatting sqref="BE1:XFD1 E1:I1">
    <cfRule type="duplicateValues" dxfId="65" priority="637"/>
  </conditionalFormatting>
  <conditionalFormatting sqref="F1:F5 F12:F32">
    <cfRule type="cellIs" dxfId="64" priority="138" operator="equal">
      <formula>"ID"</formula>
    </cfRule>
    <cfRule type="cellIs" dxfId="63" priority="553" operator="equal">
      <formula>"行動序號"</formula>
    </cfRule>
  </conditionalFormatting>
  <conditionalFormatting sqref="N15:N17 N21:N25 M1:M30 M32:M1048576 M31:N31">
    <cfRule type="expression" dxfId="62" priority="640">
      <formula>OR($F1="行動序號",$F1="ID")</formula>
    </cfRule>
  </conditionalFormatting>
  <conditionalFormatting sqref="N15:N17 N21:N25 M1:M30 M32:M1048576 M31:N31">
    <cfRule type="expression" dxfId="61" priority="552">
      <formula>$F1="行動ID"</formula>
    </cfRule>
  </conditionalFormatting>
  <conditionalFormatting sqref="J1">
    <cfRule type="duplicateValues" dxfId="60" priority="136"/>
  </conditionalFormatting>
  <conditionalFormatting sqref="K1:L1">
    <cfRule type="duplicateValues" dxfId="59" priority="133"/>
  </conditionalFormatting>
  <conditionalFormatting sqref="F18:F20">
    <cfRule type="cellIs" dxfId="58" priority="35" operator="equal">
      <formula>"行動ID"</formula>
    </cfRule>
    <cfRule type="cellIs" dxfId="57" priority="36" operator="equal">
      <formula>"ID"</formula>
    </cfRule>
    <cfRule type="cellIs" dxfId="56" priority="37" operator="equal">
      <formula>"行動序號"</formula>
    </cfRule>
  </conditionalFormatting>
  <conditionalFormatting sqref="F37">
    <cfRule type="cellIs" dxfId="55" priority="27" operator="equal">
      <formula>"行動ID"</formula>
    </cfRule>
    <cfRule type="cellIs" dxfId="54" priority="28" operator="equal">
      <formula>"ID"</formula>
    </cfRule>
    <cfRule type="cellIs" dxfId="53" priority="30" operator="equal">
      <formula>"行動序號"</formula>
    </cfRule>
  </conditionalFormatting>
  <conditionalFormatting sqref="F37">
    <cfRule type="cellIs" dxfId="52" priority="29" operator="equal">
      <formula>"行動序號"</formula>
    </cfRule>
  </conditionalFormatting>
  <conditionalFormatting sqref="F34">
    <cfRule type="cellIs" dxfId="51" priority="15" operator="equal">
      <formula>"ID"</formula>
    </cfRule>
    <cfRule type="cellIs" dxfId="50" priority="17" operator="equal">
      <formula>"行動序號"</formula>
    </cfRule>
  </conditionalFormatting>
  <conditionalFormatting sqref="N34">
    <cfRule type="expression" dxfId="49" priority="18">
      <formula>OR($F34="行動序號",$F34="ID")</formula>
    </cfRule>
  </conditionalFormatting>
  <conditionalFormatting sqref="N34">
    <cfRule type="expression" dxfId="48" priority="16">
      <formula>$F34="行動ID"</formula>
    </cfRule>
  </conditionalFormatting>
  <conditionalFormatting sqref="F7">
    <cfRule type="cellIs" dxfId="47" priority="11" operator="equal">
      <formula>"ID"</formula>
    </cfRule>
    <cfRule type="cellIs" dxfId="46" priority="13" operator="equal">
      <formula>"行動序號"</formula>
    </cfRule>
  </conditionalFormatting>
  <conditionalFormatting sqref="N7">
    <cfRule type="expression" dxfId="45" priority="14">
      <formula>OR($F7="行動序號",$F7="ID")</formula>
    </cfRule>
  </conditionalFormatting>
  <conditionalFormatting sqref="N7">
    <cfRule type="expression" dxfId="44" priority="12">
      <formula>$F7="行動ID"</formula>
    </cfRule>
  </conditionalFormatting>
  <conditionalFormatting sqref="F10">
    <cfRule type="cellIs" dxfId="43" priority="7" operator="equal">
      <formula>"行動ID"</formula>
    </cfRule>
    <cfRule type="cellIs" dxfId="42" priority="8" operator="equal">
      <formula>"ID"</formula>
    </cfRule>
    <cfRule type="cellIs" dxfId="41" priority="10" operator="equal">
      <formula>"行動序號"</formula>
    </cfRule>
  </conditionalFormatting>
  <conditionalFormatting sqref="F10">
    <cfRule type="cellIs" dxfId="40" priority="9" operator="equal">
      <formula>"行動序號"</formula>
    </cfRule>
  </conditionalFormatting>
  <conditionalFormatting sqref="M1:M1048576">
    <cfRule type="expression" dxfId="39" priority="2">
      <formula>_xlfn.ISFORMULA(M1)</formula>
    </cfRule>
  </conditionalFormatting>
  <dataValidations count="1">
    <dataValidation type="list" allowBlank="1" showInputMessage="1" showErrorMessage="1" sqref="L5 L16 F37:F38 K13:L13 L9:L10 K7 F16 F19:F20 K19:L19 L14 M25 F30 F22:L26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6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5" t="s">
        <v>256</v>
      </c>
      <c r="D7" s="20"/>
      <c r="G7" s="9"/>
    </row>
    <row r="8" spans="1:10">
      <c r="A8" s="20" t="s">
        <v>158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6" t="s">
        <v>252</v>
      </c>
      <c r="C50"/>
      <c r="G50" s="9"/>
    </row>
    <row r="51" spans="1:8">
      <c r="A51" s="26" t="s">
        <v>257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6" t="s">
        <v>243</v>
      </c>
      <c r="G61" s="9"/>
    </row>
    <row r="62" spans="1:8">
      <c r="A62" s="26" t="s">
        <v>245</v>
      </c>
      <c r="G62" s="9"/>
    </row>
    <row r="63" spans="1:8">
      <c r="A63" s="26" t="s">
        <v>252</v>
      </c>
      <c r="G63" s="9"/>
    </row>
    <row r="64" spans="1:8">
      <c r="A64" s="26" t="s">
        <v>255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stage7_notcard5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2025-04-16T06:39:24Z</dcterms:modified>
</cp:coreProperties>
</file>