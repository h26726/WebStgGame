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06640CBB-CAAF-45F9-9F9B-7373D8A58B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stage7_card13!$D$1:$D$12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" i="1" l="1"/>
  <c r="E39" i="1"/>
  <c r="E40" i="1"/>
  <c r="E41" i="1"/>
  <c r="E42" i="1"/>
  <c r="E43" i="1"/>
  <c r="M38" i="1" l="1"/>
  <c r="M41" i="1"/>
  <c r="E25" i="1"/>
  <c r="E24" i="1"/>
  <c r="M23" i="1"/>
  <c r="E23" i="1"/>
  <c r="M22" i="1"/>
  <c r="E22" i="1"/>
  <c r="E18" i="1" l="1"/>
  <c r="E20" i="1" l="1"/>
  <c r="M32" i="1" l="1"/>
  <c r="M35" i="1" s="1"/>
  <c r="E37" i="1"/>
  <c r="E36" i="1"/>
  <c r="E35" i="1"/>
  <c r="E34" i="1"/>
  <c r="E33" i="1"/>
  <c r="E32" i="1"/>
  <c r="E31" i="1"/>
  <c r="E30" i="1"/>
  <c r="E29" i="1"/>
  <c r="E28" i="1"/>
  <c r="M27" i="1"/>
  <c r="M33" i="1" s="1"/>
  <c r="M39" i="1" s="1"/>
  <c r="E27" i="1"/>
  <c r="M26" i="1"/>
  <c r="M29" i="1" s="1"/>
  <c r="E26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21" i="1"/>
  <c r="E15" i="1" l="1"/>
</calcChain>
</file>

<file path=xl/sharedStrings.xml><?xml version="1.0" encoding="utf-8"?>
<sst xmlns="http://schemas.openxmlformats.org/spreadsheetml/2006/main" count="475" uniqueCount="258">
  <si>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</si>
  <si>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</si>
  <si>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</si>
  <si>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</si>
  <si>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</si>
  <si>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</si>
  <si>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</si>
  <si>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</si>
  <si>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</si>
  <si>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</si>
  <si>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</si>
  <si>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</si>
  <si>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</si>
  <si>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</si>
  <si>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</si>
  <si>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</si>
  <si>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</si>
  <si>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</si>
  <si>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</si>
  <si>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</si>
  <si>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</si>
  <si>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</si>
  <si>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</si>
  <si>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</si>
  <si>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</si>
  <si>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</si>
  <si>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</si>
  <si>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</si>
  <si>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</si>
  <si>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</si>
  <si>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</si>
  <si>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</si>
  <si>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</si>
  <si>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</si>
  <si>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</si>
  <si>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</si>
  <si>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</si>
  <si>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</si>
  <si>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</si>
  <si>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</si>
  <si>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</si>
  <si>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</si>
  <si>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</si>
  <si>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</si>
  <si>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</si>
  <si>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</si>
  <si>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</si>
  <si>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</si>
  <si>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</si>
  <si>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</si>
  <si>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</si>
  <si>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</si>
  <si>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</si>
  <si>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</si>
  <si>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</si>
  <si>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</si>
  <si>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</si>
  <si>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</si>
  <si>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</si>
  <si>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</si>
  <si>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</si>
  <si>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</si>
  <si>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</si>
  <si>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</si>
  <si>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</si>
  <si>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</si>
  <si>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</si>
  <si>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</si>
  <si>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</si>
  <si>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</si>
  <si>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</si>
  <si>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</si>
  <si>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</si>
  <si>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</si>
  <si>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</si>
  <si>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</si>
  <si>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</si>
  <si>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</si>
  <si>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</si>
  <si>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</si>
  <si>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</si>
  <si>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</si>
  <si>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</si>
  <si>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</si>
  <si>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</si>
  <si>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</si>
  <si>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</si>
  <si>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</si>
  <si>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</si>
  <si>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</si>
  <si>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</si>
  <si>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</si>
  <si>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</si>
  <si>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</si>
  <si>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</si>
  <si>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</si>
  <si>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</si>
  <si>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</si>
  <si>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</si>
  <si>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</si>
  <si>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</si>
  <si>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</si>
  <si>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</si>
  <si>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</si>
  <si>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</si>
  <si>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</si>
  <si>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</si>
  <si>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</si>
  <si>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</si>
  <si>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</si>
  <si>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</si>
  <si>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</si>
  <si>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</si>
  <si>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</si>
  <si>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</si>
  <si>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</si>
  <si>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</si>
  <si>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</si>
  <si>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</si>
  <si>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</si>
  <si>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</si>
  <si>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</si>
  <si>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</si>
  <si>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</si>
  <si>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</si>
  <si>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</si>
  <si>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</si>
  <si>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</si>
  <si>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</si>
  <si>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</si>
  <si>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</si>
  <si>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</si>
  <si>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</si>
  <si>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</si>
  <si>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</si>
  <si>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</si>
  <si>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</si>
  <si>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</si>
  <si>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</si>
  <si>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</si>
  <si>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</si>
  <si>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</si>
  <si>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</si>
  <si>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</si>
  <si>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</si>
  <si>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</si>
  <si>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</si>
  <si>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</si>
  <si>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</si>
  <si>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</si>
  <si>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</si>
  <si>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</si>
  <si>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</si>
  <si>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</si>
  <si>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</si>
  <si>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</si>
  <si>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</si>
  <si>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</si>
  <si>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</si>
  <si>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</si>
  <si>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</si>
  <si>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</si>
  <si>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</si>
  <si>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</si>
  <si>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</si>
  <si>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</si>
  <si>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</si>
  <si>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</si>
  <si>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</si>
  <si>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</si>
  <si>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</si>
  <si>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</si>
  <si>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</si>
  <si>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</si>
  <si>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</si>
  <si>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</si>
  <si>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</si>
  <si>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</si>
  <si>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</si>
  <si>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</si>
  <si>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</si>
  <si>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</si>
  <si>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</si>
  <si>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</si>
  <si>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</si>
  <si>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</si>
  <si>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</si>
  <si>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</si>
  <si>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</si>
  <si>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</si>
  <si>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</si>
  <si>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</si>
  <si>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</si>
  <si>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</si>
  <si>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</si>
  <si>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</si>
  <si>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</si>
  <si>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</si>
  <si>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</si>
  <si>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</si>
  <si>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</si>
  <si>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</si>
  <si>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</si>
  <si>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</si>
  <si>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</si>
  <si>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</si>
  <si>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</si>
  <si>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</si>
  <si>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</si>
  <si>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</si>
  <si>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</si>
  <si>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</si>
  <si>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</si>
  <si>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</si>
  <si>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</si>
  <si>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</si>
  <si>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</si>
  <si>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</si>
  <si>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</si>
  <si>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</si>
  <si>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</si>
  <si>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</si>
  <si>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</si>
  <si>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</si>
  <si>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</si>
  <si>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</si>
  <si>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</si>
  <si>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</si>
  <si>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</si>
  <si>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</si>
  <si>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</si>
  <si>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</si>
  <si>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</si>
  <si>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</si>
  <si>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</si>
  <si>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</si>
  <si>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</si>
  <si>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</si>
  <si>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</si>
  <si>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</si>
  <si>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</si>
  <si>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</si>
  <si>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</si>
  <si>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</si>
  <si>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</si>
  <si>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</si>
  <si>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</si>
  <si>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</si>
  <si>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</si>
  <si>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</si>
  <si>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</si>
  <si>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</si>
  <si>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</si>
  <si>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</si>
  <si>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</si>
  <si>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</si>
  <si>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</si>
  <si>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「致道路上的自我」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</si>
</sst>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43"/>
  <sheetViews>
    <sheetView tabSelected="1" zoomScale="115" zoomScaleNormal="115" workbookViewId="0">
      <pane ySplit="1" topLeftCell="A26" activePane="bottomLeft" state="frozen"/>
      <selection pane="bottomLeft" activeCell="O41" sqref="O41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19900</v>
      </c>
    </row>
    <row r="7" spans="3:56">
      <c r="E7" s="22">
        <f t="shared" ref="E7:E11" si="0">ROW(E7)</f>
        <v>7</v>
      </c>
      <c r="F7" s="9" t="s">
        <v>156</v>
      </c>
      <c r="M7" s="22">
        <v>10100</v>
      </c>
      <c r="N7" s="22"/>
    </row>
    <row r="8" spans="3:56">
      <c r="E8" s="22">
        <f t="shared" si="0"/>
        <v>8</v>
      </c>
      <c r="F8" s="9" t="s">
        <v>35</v>
      </c>
      <c r="M8" s="22">
        <v>30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6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19910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10200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>
        <v>1000</v>
      </c>
    </row>
    <row r="19" spans="5:14">
      <c r="E19" s="22">
        <f t="shared" si="1"/>
        <v>19</v>
      </c>
      <c r="F19" s="9" t="s">
        <v>237</v>
      </c>
      <c r="G19" s="22">
        <v>60</v>
      </c>
      <c r="M19" s="22">
        <f>G19*60</f>
        <v>3600</v>
      </c>
    </row>
    <row r="20" spans="5:14">
      <c r="E20" s="22">
        <f t="shared" si="1"/>
        <v>20</v>
      </c>
      <c r="F20" s="9" t="s">
        <v>151</v>
      </c>
      <c r="M20" s="22" t="s">
        <v>257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199101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19910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199109</v>
      </c>
    </row>
    <row r="27" spans="5:14">
      <c r="E27" s="22">
        <f t="shared" si="1"/>
        <v>27</v>
      </c>
      <c r="F27" s="9" t="s">
        <v>146</v>
      </c>
      <c r="M27" s="22">
        <f>M15</f>
        <v>19910</v>
      </c>
    </row>
    <row r="28" spans="5:14">
      <c r="E28" s="22">
        <f t="shared" si="1"/>
        <v>28</v>
      </c>
      <c r="F28" s="9" t="s">
        <v>127</v>
      </c>
      <c r="M28" s="22">
        <v>0</v>
      </c>
    </row>
    <row r="29" spans="5:14">
      <c r="E29" s="22">
        <f>ROW(E29)</f>
        <v>29</v>
      </c>
      <c r="F29" s="9" t="s">
        <v>146</v>
      </c>
      <c r="M29" s="22">
        <f>M26</f>
        <v>199109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:E34" si="2">ROW(E31)</f>
        <v>31</v>
      </c>
      <c r="F31" s="9" t="s">
        <v>148</v>
      </c>
      <c r="M31" s="22">
        <v>180</v>
      </c>
      <c r="N31" s="22"/>
    </row>
    <row r="32" spans="5:14">
      <c r="E32" s="22">
        <f t="shared" si="2"/>
        <v>32</v>
      </c>
      <c r="F32" s="9" t="s">
        <v>102</v>
      </c>
      <c r="M32" s="22">
        <f>M15*10+8</f>
        <v>199108</v>
      </c>
    </row>
    <row r="33" spans="5:14">
      <c r="E33" s="22">
        <f t="shared" si="2"/>
        <v>33</v>
      </c>
      <c r="F33" s="9" t="s">
        <v>146</v>
      </c>
      <c r="M33" s="22">
        <f>M27</f>
        <v>19910</v>
      </c>
    </row>
    <row r="34" spans="5:14">
      <c r="E34" s="22">
        <f t="shared" si="2"/>
        <v>34</v>
      </c>
      <c r="F34" s="9" t="s">
        <v>127</v>
      </c>
      <c r="M34" s="22">
        <v>240</v>
      </c>
    </row>
    <row r="35" spans="5:14">
      <c r="E35" s="22">
        <f>ROW(E35)</f>
        <v>35</v>
      </c>
      <c r="F35" s="9" t="s">
        <v>146</v>
      </c>
      <c r="M35" s="22">
        <f>M32</f>
        <v>199108</v>
      </c>
    </row>
    <row r="36" spans="5:14">
      <c r="E36" s="22">
        <f>ROW(E36)</f>
        <v>36</v>
      </c>
      <c r="F36" s="9" t="s">
        <v>128</v>
      </c>
      <c r="M36" s="22">
        <v>0</v>
      </c>
    </row>
    <row r="37" spans="5:14">
      <c r="E37" s="22">
        <f t="shared" ref="E37:E43" si="3">ROW(E37)</f>
        <v>37</v>
      </c>
      <c r="F37" s="9" t="s">
        <v>148</v>
      </c>
      <c r="M37" s="22">
        <v>240</v>
      </c>
      <c r="N37" s="22"/>
    </row>
    <row r="38" spans="5:14">
      <c r="E38" s="22">
        <f t="shared" si="3"/>
        <v>38</v>
      </c>
      <c r="F38" s="9" t="s">
        <v>102</v>
      </c>
      <c r="M38" s="22">
        <f>M15*10+7</f>
        <v>199107</v>
      </c>
    </row>
    <row r="39" spans="5:14">
      <c r="E39" s="22">
        <f t="shared" si="3"/>
        <v>39</v>
      </c>
      <c r="F39" s="9" t="s">
        <v>146</v>
      </c>
      <c r="M39" s="22">
        <f>M33</f>
        <v>19910</v>
      </c>
    </row>
    <row r="40" spans="5:14">
      <c r="E40" s="22">
        <f t="shared" si="3"/>
        <v>40</v>
      </c>
      <c r="F40" s="9" t="s">
        <v>127</v>
      </c>
      <c r="M40" s="22">
        <v>240</v>
      </c>
    </row>
    <row r="41" spans="5:14">
      <c r="E41" s="22">
        <f t="shared" si="3"/>
        <v>41</v>
      </c>
      <c r="F41" s="9" t="s">
        <v>146</v>
      </c>
      <c r="M41" s="22">
        <f>M38</f>
        <v>199107</v>
      </c>
    </row>
    <row r="42" spans="5:14">
      <c r="E42" s="22">
        <f t="shared" si="3"/>
        <v>42</v>
      </c>
      <c r="F42" s="9" t="s">
        <v>128</v>
      </c>
      <c r="M42" s="22">
        <v>0</v>
      </c>
    </row>
    <row r="43" spans="5:14">
      <c r="E43" s="22">
        <f t="shared" si="3"/>
        <v>43</v>
      </c>
      <c r="F43" s="9" t="s">
        <v>148</v>
      </c>
      <c r="M43" s="22">
        <v>360</v>
      </c>
      <c r="N43" s="22"/>
    </row>
  </sheetData>
  <autoFilter ref="D1:D12" xr:uid="{00000000-0001-0000-0000-000000000000}"/>
  <phoneticPr fontId="2" type="noConversion"/>
  <conditionalFormatting sqref="N1:BD1">
    <cfRule type="duplicateValues" dxfId="62" priority="572"/>
  </conditionalFormatting>
  <conditionalFormatting sqref="BE1:XFD1 E1:I1">
    <cfRule type="duplicateValues" dxfId="61" priority="652"/>
  </conditionalFormatting>
  <conditionalFormatting sqref="F1:F5 F12:F43">
    <cfRule type="cellIs" dxfId="60" priority="153" operator="equal">
      <formula>"ID"</formula>
    </cfRule>
    <cfRule type="cellIs" dxfId="59" priority="568" operator="equal">
      <formula>"行動序號"</formula>
    </cfRule>
  </conditionalFormatting>
  <conditionalFormatting sqref="N15:N17 N21 M22:N25">
    <cfRule type="expression" dxfId="58" priority="655">
      <formula>OR($F15="行動序號",$F15="ID")</formula>
    </cfRule>
  </conditionalFormatting>
  <conditionalFormatting sqref="N15:N17 N21 M22:N25">
    <cfRule type="expression" dxfId="57" priority="567">
      <formula>$F15="行動ID"</formula>
    </cfRule>
  </conditionalFormatting>
  <conditionalFormatting sqref="J1">
    <cfRule type="duplicateValues" dxfId="56" priority="151"/>
  </conditionalFormatting>
  <conditionalFormatting sqref="K1:L1">
    <cfRule type="duplicateValues" dxfId="55" priority="148"/>
  </conditionalFormatting>
  <conditionalFormatting sqref="F18:F20">
    <cfRule type="cellIs" dxfId="54" priority="50" operator="equal">
      <formula>"行動ID"</formula>
    </cfRule>
    <cfRule type="cellIs" dxfId="53" priority="51" operator="equal">
      <formula>"ID"</formula>
    </cfRule>
    <cfRule type="cellIs" dxfId="52" priority="52" operator="equal">
      <formula>"行動序號"</formula>
    </cfRule>
  </conditionalFormatting>
  <conditionalFormatting sqref="F7">
    <cfRule type="cellIs" dxfId="51" priority="26" operator="equal">
      <formula>"ID"</formula>
    </cfRule>
    <cfRule type="cellIs" dxfId="50" priority="28" operator="equal">
      <formula>"行動序號"</formula>
    </cfRule>
  </conditionalFormatting>
  <conditionalFormatting sqref="N7">
    <cfRule type="expression" dxfId="49" priority="29">
      <formula>OR($F7="行動序號",$F7="ID")</formula>
    </cfRule>
  </conditionalFormatting>
  <conditionalFormatting sqref="N7">
    <cfRule type="expression" dxfId="48" priority="27">
      <formula>$F7="行動ID"</formula>
    </cfRule>
  </conditionalFormatting>
  <conditionalFormatting sqref="F10">
    <cfRule type="cellIs" dxfId="47" priority="22" operator="equal">
      <formula>"行動ID"</formula>
    </cfRule>
    <cfRule type="cellIs" dxfId="46" priority="23" operator="equal">
      <formula>"ID"</formula>
    </cfRule>
    <cfRule type="cellIs" dxfId="45" priority="25" operator="equal">
      <formula>"行動序號"</formula>
    </cfRule>
  </conditionalFormatting>
  <conditionalFormatting sqref="F10">
    <cfRule type="cellIs" dxfId="44" priority="24" operator="equal">
      <formula>"行動序號"</formula>
    </cfRule>
  </conditionalFormatting>
  <conditionalFormatting sqref="M1:M21 M44:M1048576">
    <cfRule type="expression" dxfId="43" priority="13">
      <formula>AND(_xlfn.ISFORMULA(M1),OR($F1="行動ID", $F1="ID"))</formula>
    </cfRule>
    <cfRule type="expression" dxfId="42" priority="15">
      <formula>OR($F1="行動ID", $F1="ID")</formula>
    </cfRule>
  </conditionalFormatting>
  <conditionalFormatting sqref="M1:M1048576">
    <cfRule type="expression" dxfId="41" priority="14">
      <formula>_xlfn.ISFORMULA(M1)</formula>
    </cfRule>
  </conditionalFormatting>
  <conditionalFormatting sqref="M31:N31 M26:M30 M37:N37 M32:M36 M43:N43 M38:M42">
    <cfRule type="expression" dxfId="40" priority="12">
      <formula>OR($F26="行動序號",$F26="ID")</formula>
    </cfRule>
  </conditionalFormatting>
  <conditionalFormatting sqref="M31:N31 M26:M30 M37:N37 M32:M36 M43:N43 M38:M42">
    <cfRule type="expression" dxfId="39" priority="10">
      <formula>$F26="行動ID"</formula>
    </cfRule>
  </conditionalFormatting>
  <dataValidations count="1">
    <dataValidation type="list" allowBlank="1" showInputMessage="1" showErrorMessage="1" sqref="K31 K17 K7 F16 F19:F20 L14:L16 L4:L5 L45 K12:L13 L10 K11 F3 K19:L20 K2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5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255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251</v>
      </c>
      <c r="C50"/>
      <c r="G50" s="9"/>
    </row>
    <row r="51" spans="1:8">
      <c r="A51" s="25" t="s">
        <v>256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246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242</v>
      </c>
      <c r="G61" s="9"/>
    </row>
    <row r="62" spans="1:8">
      <c r="A62" s="25" t="s">
        <v>244</v>
      </c>
      <c r="G62" s="9"/>
    </row>
    <row r="63" spans="1:8">
      <c r="A63" s="25" t="s">
        <v>251</v>
      </c>
      <c r="G63" s="9"/>
    </row>
    <row r="64" spans="1:8">
      <c r="A64" s="25" t="s">
        <v>254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2025-04-29T08:11:37Z</dcterms:modified>
</cp:coreProperties>
</file>