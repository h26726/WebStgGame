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603E8143-539E-416F-91DB-5EAF86ADACC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1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xlnm._FilterDatabase" localSheetId="0" hidden="1">stage7_card1!$D$1:$D$12</definedName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5" i="93" l="1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M25" i="1" l="1"/>
  <c r="M44" i="1" l="1"/>
  <c r="M41" i="1"/>
  <c r="M42" i="1" l="1"/>
  <c r="M37" i="1"/>
  <c r="M32" i="1"/>
  <c r="M23" i="1"/>
  <c r="M36" i="1"/>
  <c r="M31" i="1"/>
  <c r="M22" i="1"/>
  <c r="M19" i="1" l="1"/>
  <c r="E19" i="1"/>
  <c r="E41" i="1" l="1"/>
  <c r="E42" i="1"/>
  <c r="E43" i="1"/>
  <c r="E44" i="1"/>
  <c r="E45" i="1"/>
  <c r="E46" i="1"/>
  <c r="E16" i="1"/>
  <c r="E17" i="1"/>
  <c r="E18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15" i="1" l="1"/>
</calcChain>
</file>

<file path=xl/sharedStrings.xml><?xml version="1.0" encoding="utf-8"?>
<sst xmlns="http://schemas.openxmlformats.org/spreadsheetml/2006/main" count="482" uniqueCount="259">
  <si>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</si>
  <si>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</si>
  <si>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</si>
  <si>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</si>
  <si>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</si>
  <si>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</si>
  <si>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</si>
  <si>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</si>
  <si>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</si>
  <si>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</si>
  <si>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</si>
  <si>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</si>
  <si>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</si>
  <si>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</si>
  <si>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</si>
  <si>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</si>
  <si>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</si>
  <si>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</si>
  <si>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</si>
  <si>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</si>
  <si>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</si>
  <si>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</si>
  <si>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</si>
  <si>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</si>
  <si>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</si>
  <si>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</si>
  <si>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</si>
  <si>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</si>
  <si>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</si>
  <si>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</si>
  <si>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</si>
  <si>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</si>
  <si>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</si>
  <si>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</si>
  <si>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</si>
  <si>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</si>
  <si>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</si>
  <si>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</si>
  <si>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</si>
  <si>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</si>
  <si>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</si>
  <si>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</si>
  <si>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</si>
  <si>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</si>
  <si>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</si>
  <si>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</si>
  <si>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</si>
  <si>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</si>
  <si>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</si>
  <si>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</si>
  <si>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</si>
  <si>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</si>
  <si>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</si>
  <si>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</si>
  <si>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</si>
  <si>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</si>
  <si>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</si>
  <si>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</si>
  <si>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</si>
  <si>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</si>
  <si>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</si>
  <si>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</si>
  <si>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</si>
  <si>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</si>
  <si>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</si>
  <si>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</si>
  <si>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</si>
  <si>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</si>
  <si>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</si>
  <si>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</si>
  <si>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</si>
  <si>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</si>
  <si>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</si>
  <si>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</si>
  <si>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</si>
  <si>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</si>
  <si>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</si>
  <si>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</si>
  <si>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</si>
  <si>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</si>
  <si>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</si>
  <si>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</si>
  <si>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</si>
  <si>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</si>
  <si>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</si>
  <si>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</si>
  <si>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</si>
  <si>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</si>
  <si>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</si>
  <si>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</si>
  <si>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</si>
  <si>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</si>
  <si>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</si>
  <si>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</si>
  <si>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</si>
  <si>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</si>
  <si>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</si>
  <si>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</si>
  <si>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</si>
  <si>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時位變速點</t>
    <phoneticPr fontId="2" type="noConversion"/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</si>
  <si>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</si>
  <si>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</si>
  <si>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</si>
  <si>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</si>
  <si>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</si>
  <si>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</si>
  <si>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</si>
  <si>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</si>
  <si>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</si>
  <si>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</si>
  <si>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</si>
  <si>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</si>
  <si>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</si>
  <si>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</si>
  <si>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</si>
  <si>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</si>
  <si>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</si>
  <si>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</si>
  <si>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</si>
  <si>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</si>
  <si>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</si>
  <si>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</si>
  <si>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</si>
  <si>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</si>
  <si>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</si>
  <si>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</si>
  <si>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</si>
  <si>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</si>
  <si>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</si>
  <si>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</si>
  <si>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</si>
  <si>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</si>
  <si>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</si>
  <si>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</si>
  <si>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</si>
  <si>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</si>
  <si>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</si>
  <si>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</si>
  <si>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</si>
  <si>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</si>
  <si>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無行動時間=永久</t>
    <phoneticPr fontId="2" type="noConversion"/>
  </si>
  <si>
    <t>角度預設為角度值</t>
    <phoneticPr fontId="2" type="noConversion"/>
  </si>
  <si>
    <t>移動角度速度預設繼承父終值</t>
    <phoneticPr fontId="2" type="noConversion"/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</si>
  <si>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</si>
  <si>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</si>
  <si>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</si>
  <si>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</si>
  <si>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</si>
  <si>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行動時間</t>
    <phoneticPr fontId="2" type="noConversion"/>
  </si>
  <si>
    <t>HP</t>
    <phoneticPr fontId="2" type="noConversion"/>
  </si>
  <si>
    <t>無敵</t>
    <phoneticPr fontId="2" type="noConversion"/>
  </si>
  <si>
    <t>Name</t>
    <phoneticPr fontId="2" type="noConversion"/>
  </si>
  <si>
    <t>動畫</t>
    <phoneticPr fontId="2" type="noConversion"/>
  </si>
  <si>
    <t>復位</t>
    <phoneticPr fontId="2" type="noConversion"/>
  </si>
  <si>
    <t>0</t>
    <phoneticPr fontId="2" type="noConversion"/>
  </si>
  <si>
    <t>30</t>
    <phoneticPr fontId="2" type="noConversion"/>
  </si>
  <si>
    <t>迴「陷阱投擲」</t>
    <phoneticPr fontId="2" type="noConversion"/>
  </si>
  <si>
    <t>啟動依遊戲時間</t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</si>
  <si>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</si>
  <si>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</si>
  <si>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</si>
  <si>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</si>
  <si>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</si>
  <si>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</si>
  <si>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</si>
  <si>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</si>
  <si>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</si>
  <si>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</si>
  <si>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</si>
  <si>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</si>
  <si>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</si>
  <si>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</si>
  <si>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</si>
  <si>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</si>
  <si>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</si>
  <si>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</si>
  <si>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</si>
  <si>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</si>
  <si>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</si>
  <si>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</si>
  <si>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</si>
  <si>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</si>
  <si>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</si>
  <si>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</si>
  <si>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</si>
  <si>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</si>
  <si>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</si>
  <si>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</si>
  <si>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</si>
  <si>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</si>
  <si>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</si>
  <si>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</si>
  <si>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</si>
  <si>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</si>
  <si>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</si>
  <si>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</si>
  <si>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</si>
  <si>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</si>
  <si>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</si>
  <si>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</si>
  <si>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</si>
  <si>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</si>
  <si>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</si>
  <si>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</si>
  <si>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</si>
  <si>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</si>
  <si>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</si>
  <si>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</si>
  <si>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</si>
  <si>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</si>
  <si>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</si>
  <si>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</si>
  <si>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</si>
  <si>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</si>
  <si>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</si>
  <si>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</si>
  <si>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</si>
  <si>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</si>
  <si>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</si>
  <si>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</si>
  <si>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</si>
  <si>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</si>
  <si>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</si>
  <si>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</si>
  <si>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</si>
  <si>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</si>
  <si>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</si>
  <si>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</si>
  <si>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</si>
  <si>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</si>
  <si>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</si>
  <si>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</si>
  <si>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</si>
  <si>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</si>
  <si>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</si>
  <si>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</si>
  <si>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</si>
  <si>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</si>
  <si>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</si>
  <si>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</si>
  <si>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>Sera</t>
    <phoneticPr fontId="2" type="noConversion"/>
  </si>
  <si>
    <t>1000</t>
    <phoneticPr fontId="2" type="noConversion"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</si>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</sst>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176" fontId="0" fillId="0" borderId="0" xfId="0" applyNumberFormat="1" applyAlignment="1">
      <alignment horizontal="center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6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BH49"/>
  <sheetViews>
    <sheetView tabSelected="1" zoomScale="115" zoomScaleNormal="115" workbookViewId="0">
      <pane ySplit="1" topLeftCell="A26" activePane="bottomLeft" state="frozen"/>
      <selection pane="bottomLeft" activeCell="A22" sqref="A22:XFD40"/>
    </sheetView>
  </sheetViews>
  <sheetFormatPr defaultRowHeight="19.5"/>
  <cols>
    <col min="1" max="2" width="9" style="9"/>
    <col min="3" max="3" width="5.875" style="22" customWidth="1"/>
    <col min="4" max="4" width="6.125" style="22" customWidth="1"/>
    <col min="5" max="5" width="9" style="22"/>
    <col min="6" max="6" width="16.125" style="9" bestFit="1" customWidth="1"/>
    <col min="7" max="7" width="7.375" style="22" customWidth="1"/>
    <col min="8" max="8" width="5" style="22" customWidth="1"/>
    <col min="9" max="9" width="5.125" style="22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2" bestFit="1" customWidth="1"/>
    <col min="14" max="14" width="16.125" style="9" bestFit="1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3:56" s="17" customFormat="1">
      <c r="C1" s="23"/>
      <c r="D1" s="23"/>
      <c r="E1" s="23" t="s">
        <v>49</v>
      </c>
      <c r="F1" s="19" t="s">
        <v>27</v>
      </c>
      <c r="G1" s="23"/>
      <c r="H1" s="23"/>
      <c r="I1" s="23"/>
      <c r="K1" s="17" t="s">
        <v>143</v>
      </c>
      <c r="L1" s="17" t="s">
        <v>144</v>
      </c>
      <c r="M1" s="22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2" spans="3:56">
      <c r="C2" s="22" t="s">
        <v>140</v>
      </c>
    </row>
    <row r="3" spans="3:56">
      <c r="C3" s="22" t="s">
        <v>141</v>
      </c>
    </row>
    <row r="4" spans="3:56">
      <c r="C4" s="22" t="s">
        <v>142</v>
      </c>
    </row>
    <row r="6" spans="3:56">
      <c r="F6" s="9" t="s">
        <v>153</v>
      </c>
      <c r="M6" s="22">
        <v>11300</v>
      </c>
    </row>
    <row r="7" spans="3:56">
      <c r="F7" s="9" t="s">
        <v>157</v>
      </c>
      <c r="M7" s="22">
        <v>3600</v>
      </c>
      <c r="N7" s="22"/>
    </row>
    <row r="8" spans="3:56">
      <c r="F8" s="9" t="s">
        <v>35</v>
      </c>
      <c r="M8" s="22" t="s">
        <v>155</v>
      </c>
    </row>
    <row r="9" spans="3:56">
      <c r="F9" s="9" t="s">
        <v>120</v>
      </c>
      <c r="M9" s="22" t="s">
        <v>155</v>
      </c>
    </row>
    <row r="10" spans="3:56">
      <c r="F10" s="9" t="s">
        <v>99</v>
      </c>
      <c r="M10" s="22" t="s">
        <v>154</v>
      </c>
    </row>
    <row r="11" spans="3:56">
      <c r="F11" s="9" t="s">
        <v>121</v>
      </c>
      <c r="K11" s="9" t="s">
        <v>138</v>
      </c>
      <c r="M11" s="22" t="s">
        <v>24</v>
      </c>
    </row>
    <row r="15" spans="3:56">
      <c r="E15" s="22">
        <f>ROW(E15)</f>
        <v>15</v>
      </c>
      <c r="F15" s="9" t="s">
        <v>45</v>
      </c>
      <c r="G15" s="22">
        <v>1</v>
      </c>
      <c r="M15" s="22">
        <v>11301</v>
      </c>
      <c r="N15" s="22"/>
    </row>
    <row r="16" spans="3:56">
      <c r="E16" s="22">
        <f t="shared" ref="E16:E46" si="0">ROW(E16)</f>
        <v>16</v>
      </c>
      <c r="F16" s="9" t="s">
        <v>157</v>
      </c>
      <c r="M16" s="22">
        <v>3600</v>
      </c>
      <c r="N16" s="22"/>
    </row>
    <row r="17" spans="5:14">
      <c r="E17" s="22">
        <f t="shared" si="0"/>
        <v>17</v>
      </c>
      <c r="F17" s="9" t="s">
        <v>152</v>
      </c>
      <c r="M17" s="22" t="s">
        <v>240</v>
      </c>
      <c r="N17" s="22"/>
    </row>
    <row r="18" spans="5:14">
      <c r="E18" s="22">
        <f t="shared" si="0"/>
        <v>18</v>
      </c>
      <c r="F18" s="9" t="s">
        <v>149</v>
      </c>
      <c r="M18" s="22" t="s">
        <v>241</v>
      </c>
    </row>
    <row r="19" spans="5:14">
      <c r="E19" s="22">
        <f t="shared" si="0"/>
        <v>19</v>
      </c>
      <c r="F19" s="9" t="s">
        <v>238</v>
      </c>
      <c r="G19" s="22">
        <v>50</v>
      </c>
      <c r="M19" s="22">
        <f>G19*60</f>
        <v>3000</v>
      </c>
    </row>
    <row r="20" spans="5:14">
      <c r="E20" s="22">
        <f t="shared" si="0"/>
        <v>20</v>
      </c>
      <c r="F20" s="9" t="s">
        <v>151</v>
      </c>
      <c r="M20" s="22" t="s">
        <v>156</v>
      </c>
    </row>
    <row r="21" spans="5:14">
      <c r="E21" s="22">
        <f t="shared" si="0"/>
        <v>21</v>
      </c>
      <c r="F21" s="9" t="s">
        <v>148</v>
      </c>
      <c r="M21" s="22">
        <v>120</v>
      </c>
      <c r="N21" s="22"/>
    </row>
    <row r="22" spans="5:14">
      <c r="E22" s="22">
        <f t="shared" si="0"/>
        <v>22</v>
      </c>
      <c r="F22" s="9" t="s">
        <v>102</v>
      </c>
      <c r="M22" s="22">
        <f>M15*10+1</f>
        <v>113011</v>
      </c>
      <c r="N22" s="22"/>
    </row>
    <row r="23" spans="5:14">
      <c r="E23" s="22">
        <f t="shared" si="0"/>
        <v>23</v>
      </c>
      <c r="F23" s="9" t="s">
        <v>146</v>
      </c>
      <c r="M23" s="22">
        <f>M15</f>
        <v>11301</v>
      </c>
      <c r="N23" s="22"/>
    </row>
    <row r="24" spans="5:14">
      <c r="E24" s="22">
        <f t="shared" si="0"/>
        <v>24</v>
      </c>
      <c r="F24" s="9" t="s">
        <v>128</v>
      </c>
      <c r="M24" s="22">
        <v>0</v>
      </c>
      <c r="N24" s="22"/>
    </row>
    <row r="25" spans="5:14">
      <c r="E25" s="22">
        <f t="shared" si="0"/>
        <v>25</v>
      </c>
      <c r="F25" s="9" t="s">
        <v>146</v>
      </c>
      <c r="M25" s="22">
        <f>M36</f>
        <v>113013</v>
      </c>
      <c r="N25" s="22"/>
    </row>
    <row r="26" spans="5:14">
      <c r="E26" s="22">
        <f t="shared" si="0"/>
        <v>26</v>
      </c>
      <c r="F26" s="9" t="s">
        <v>128</v>
      </c>
      <c r="M26" s="22">
        <v>0</v>
      </c>
      <c r="N26" s="22"/>
    </row>
    <row r="27" spans="5:14">
      <c r="E27" s="22">
        <f t="shared" si="0"/>
        <v>27</v>
      </c>
      <c r="F27" s="9" t="s">
        <v>148</v>
      </c>
      <c r="M27" s="22">
        <v>120</v>
      </c>
      <c r="N27" s="22"/>
    </row>
    <row r="28" spans="5:14">
      <c r="E28" s="22">
        <f t="shared" si="0"/>
        <v>28</v>
      </c>
      <c r="F28" s="9" t="s">
        <v>150</v>
      </c>
      <c r="M28" s="22" t="b">
        <v>0</v>
      </c>
      <c r="N28" s="22"/>
    </row>
    <row r="29" spans="5:14">
      <c r="E29" s="22">
        <f t="shared" si="0"/>
        <v>29</v>
      </c>
      <c r="F29" s="9" t="s">
        <v>30</v>
      </c>
      <c r="M29" s="22">
        <v>1.5</v>
      </c>
      <c r="N29" s="24"/>
    </row>
    <row r="30" spans="5:14">
      <c r="E30" s="22">
        <f t="shared" si="0"/>
        <v>30</v>
      </c>
      <c r="F30" s="9" t="s">
        <v>31</v>
      </c>
      <c r="L30" s="9" t="s">
        <v>135</v>
      </c>
      <c r="M30" s="22">
        <v>180</v>
      </c>
      <c r="N30" s="22"/>
    </row>
    <row r="31" spans="5:14">
      <c r="E31" s="22">
        <f t="shared" si="0"/>
        <v>31</v>
      </c>
      <c r="F31" s="9" t="s">
        <v>102</v>
      </c>
      <c r="M31" s="22">
        <f>M15*10+2</f>
        <v>113012</v>
      </c>
      <c r="N31" s="22"/>
    </row>
    <row r="32" spans="5:14">
      <c r="E32" s="22">
        <f t="shared" si="0"/>
        <v>32</v>
      </c>
      <c r="F32" s="9" t="s">
        <v>146</v>
      </c>
      <c r="M32" s="22">
        <f>M22</f>
        <v>113011</v>
      </c>
      <c r="N32" s="22"/>
    </row>
    <row r="33" spans="5:14">
      <c r="E33" s="22">
        <f t="shared" si="0"/>
        <v>33</v>
      </c>
      <c r="F33" s="9" t="s">
        <v>128</v>
      </c>
      <c r="M33" s="22">
        <v>0</v>
      </c>
      <c r="N33" s="22"/>
    </row>
    <row r="34" spans="5:14">
      <c r="E34" s="22">
        <f t="shared" si="0"/>
        <v>34</v>
      </c>
      <c r="F34" s="9" t="s">
        <v>148</v>
      </c>
      <c r="M34" s="22">
        <v>240</v>
      </c>
      <c r="N34" s="22"/>
    </row>
    <row r="35" spans="5:14">
      <c r="E35" s="22">
        <f t="shared" si="0"/>
        <v>35</v>
      </c>
      <c r="F35" s="9" t="s">
        <v>30</v>
      </c>
      <c r="M35" s="22">
        <v>-1.5</v>
      </c>
      <c r="N35" s="24"/>
    </row>
    <row r="36" spans="5:14">
      <c r="E36" s="22">
        <f t="shared" si="0"/>
        <v>36</v>
      </c>
      <c r="F36" s="9" t="s">
        <v>102</v>
      </c>
      <c r="M36" s="22">
        <f>M15*10+3</f>
        <v>113013</v>
      </c>
      <c r="N36" s="22"/>
    </row>
    <row r="37" spans="5:14">
      <c r="E37" s="22">
        <f t="shared" si="0"/>
        <v>37</v>
      </c>
      <c r="F37" s="9" t="s">
        <v>146</v>
      </c>
      <c r="M37" s="22">
        <f>M31</f>
        <v>113012</v>
      </c>
      <c r="N37" s="22"/>
    </row>
    <row r="38" spans="5:14">
      <c r="E38" s="22">
        <f t="shared" si="0"/>
        <v>38</v>
      </c>
      <c r="F38" s="9" t="s">
        <v>128</v>
      </c>
      <c r="M38" s="22">
        <v>0</v>
      </c>
      <c r="N38" s="22"/>
    </row>
    <row r="39" spans="5:14">
      <c r="E39" s="22">
        <f t="shared" si="0"/>
        <v>39</v>
      </c>
      <c r="F39" s="9" t="s">
        <v>148</v>
      </c>
      <c r="M39" s="22">
        <v>120</v>
      </c>
      <c r="N39" s="22"/>
    </row>
    <row r="40" spans="5:14">
      <c r="E40" s="22">
        <f t="shared" si="0"/>
        <v>40</v>
      </c>
      <c r="F40" s="9" t="s">
        <v>30</v>
      </c>
      <c r="M40" s="22">
        <v>1.5</v>
      </c>
      <c r="N40" s="24"/>
    </row>
    <row r="41" spans="5:14">
      <c r="E41" s="22">
        <f t="shared" si="0"/>
        <v>41</v>
      </c>
      <c r="F41" s="9" t="s">
        <v>102</v>
      </c>
      <c r="M41" s="22">
        <f>M15*10+9</f>
        <v>113019</v>
      </c>
    </row>
    <row r="42" spans="5:14">
      <c r="E42" s="22">
        <f t="shared" si="0"/>
        <v>42</v>
      </c>
      <c r="F42" s="9" t="s">
        <v>146</v>
      </c>
      <c r="M42" s="22">
        <f>M15</f>
        <v>11301</v>
      </c>
    </row>
    <row r="43" spans="5:14">
      <c r="E43" s="22">
        <f t="shared" si="0"/>
        <v>43</v>
      </c>
      <c r="F43" s="9" t="s">
        <v>127</v>
      </c>
      <c r="M43" s="22">
        <v>240</v>
      </c>
    </row>
    <row r="44" spans="5:14">
      <c r="E44" s="22">
        <f t="shared" si="0"/>
        <v>44</v>
      </c>
      <c r="F44" s="9" t="s">
        <v>146</v>
      </c>
      <c r="M44" s="22">
        <f>M41</f>
        <v>113019</v>
      </c>
    </row>
    <row r="45" spans="5:14">
      <c r="E45" s="22">
        <f t="shared" si="0"/>
        <v>45</v>
      </c>
      <c r="F45" s="9" t="s">
        <v>128</v>
      </c>
      <c r="M45" s="22">
        <v>0</v>
      </c>
    </row>
    <row r="46" spans="5:14">
      <c r="E46" s="22">
        <f t="shared" si="0"/>
        <v>46</v>
      </c>
      <c r="F46" s="9" t="s">
        <v>148</v>
      </c>
      <c r="M46" s="22">
        <v>360</v>
      </c>
    </row>
    <row r="49" spans="14:14">
      <c r="N49" s="24"/>
    </row>
  </sheetData>
  <autoFilter ref="D1:D12" xr:uid="{00000000-0001-0000-0000-000000000000}"/>
  <phoneticPr fontId="2" type="noConversion"/>
  <conditionalFormatting sqref="N1:BD1">
    <cfRule type="duplicateValues" dxfId="68" priority="557"/>
  </conditionalFormatting>
  <conditionalFormatting sqref="BE1:XFD1 E1:I1">
    <cfRule type="duplicateValues" dxfId="67" priority="637"/>
  </conditionalFormatting>
  <conditionalFormatting sqref="F1:F5 F12:F47">
    <cfRule type="cellIs" dxfId="66" priority="138" operator="equal">
      <formula>"ID"</formula>
    </cfRule>
    <cfRule type="cellIs" dxfId="65" priority="553" operator="equal">
      <formula>"行動序號"</formula>
    </cfRule>
  </conditionalFormatting>
  <conditionalFormatting sqref="N15:N17 N21:N40">
    <cfRule type="expression" dxfId="64" priority="640">
      <formula>OR($F15="行動序號",$F15="ID")</formula>
    </cfRule>
  </conditionalFormatting>
  <conditionalFormatting sqref="N15:N17 N21:N40">
    <cfRule type="expression" dxfId="63" priority="552">
      <formula>$F15="行動ID"</formula>
    </cfRule>
  </conditionalFormatting>
  <conditionalFormatting sqref="J1">
    <cfRule type="duplicateValues" dxfId="62" priority="136"/>
  </conditionalFormatting>
  <conditionalFormatting sqref="K1:L1">
    <cfRule type="duplicateValues" dxfId="61" priority="133"/>
  </conditionalFormatting>
  <conditionalFormatting sqref="F18:F20">
    <cfRule type="cellIs" dxfId="60" priority="35" operator="equal">
      <formula>"行動ID"</formula>
    </cfRule>
    <cfRule type="cellIs" dxfId="59" priority="36" operator="equal">
      <formula>"ID"</formula>
    </cfRule>
    <cfRule type="cellIs" dxfId="58" priority="37" operator="equal">
      <formula>"行動序號"</formula>
    </cfRule>
  </conditionalFormatting>
  <conditionalFormatting sqref="F52">
    <cfRule type="cellIs" dxfId="57" priority="27" operator="equal">
      <formula>"行動ID"</formula>
    </cfRule>
    <cfRule type="cellIs" dxfId="56" priority="28" operator="equal">
      <formula>"ID"</formula>
    </cfRule>
    <cfRule type="cellIs" dxfId="55" priority="30" operator="equal">
      <formula>"行動序號"</formula>
    </cfRule>
  </conditionalFormatting>
  <conditionalFormatting sqref="F52">
    <cfRule type="cellIs" dxfId="54" priority="29" operator="equal">
      <formula>"行動序號"</formula>
    </cfRule>
  </conditionalFormatting>
  <conditionalFormatting sqref="F49">
    <cfRule type="cellIs" dxfId="53" priority="15" operator="equal">
      <formula>"ID"</formula>
    </cfRule>
    <cfRule type="cellIs" dxfId="52" priority="17" operator="equal">
      <formula>"行動序號"</formula>
    </cfRule>
  </conditionalFormatting>
  <conditionalFormatting sqref="N49">
    <cfRule type="expression" dxfId="51" priority="18">
      <formula>OR($F49="行動序號",$F49="ID")</formula>
    </cfRule>
  </conditionalFormatting>
  <conditionalFormatting sqref="N49">
    <cfRule type="expression" dxfId="50" priority="16">
      <formula>$F49="行動ID"</formula>
    </cfRule>
  </conditionalFormatting>
  <conditionalFormatting sqref="F7">
    <cfRule type="cellIs" dxfId="49" priority="11" operator="equal">
      <formula>"ID"</formula>
    </cfRule>
    <cfRule type="cellIs" dxfId="48" priority="13" operator="equal">
      <formula>"行動序號"</formula>
    </cfRule>
  </conditionalFormatting>
  <conditionalFormatting sqref="N7">
    <cfRule type="expression" dxfId="47" priority="14">
      <formula>OR($F7="行動序號",$F7="ID")</formula>
    </cfRule>
  </conditionalFormatting>
  <conditionalFormatting sqref="N7">
    <cfRule type="expression" dxfId="46" priority="12">
      <formula>$F7="行動ID"</formula>
    </cfRule>
  </conditionalFormatting>
  <conditionalFormatting sqref="F10">
    <cfRule type="cellIs" dxfId="45" priority="7" operator="equal">
      <formula>"行動ID"</formula>
    </cfRule>
    <cfRule type="cellIs" dxfId="44" priority="8" operator="equal">
      <formula>"ID"</formula>
    </cfRule>
    <cfRule type="cellIs" dxfId="43" priority="10" operator="equal">
      <formula>"行動序號"</formula>
    </cfRule>
  </conditionalFormatting>
  <conditionalFormatting sqref="F10">
    <cfRule type="cellIs" dxfId="42" priority="9" operator="equal">
      <formula>"行動序號"</formula>
    </cfRule>
  </conditionalFormatting>
  <conditionalFormatting sqref="M1:M1048576">
    <cfRule type="expression" dxfId="41" priority="3">
      <formula>OR($F1="行動序號",$F1="ID")</formula>
    </cfRule>
  </conditionalFormatting>
  <conditionalFormatting sqref="M1:M1048576">
    <cfRule type="expression" dxfId="40" priority="2">
      <formula>_xlfn.ISFORMULA(M1)</formula>
    </cfRule>
  </conditionalFormatting>
  <conditionalFormatting sqref="M1:M1048576">
    <cfRule type="expression" dxfId="39" priority="1">
      <formula>$F1="行動ID"</formula>
    </cfRule>
  </conditionalFormatting>
  <dataValidations count="1">
    <dataValidation type="list" allowBlank="1" showInputMessage="1" showErrorMessage="1" sqref="L19 L5 L14 L16 F20 M46:M47 F52:F53 K13:L13 F41:L47 K19 K7 F16 F19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A0049-B824-48C9-9D78-D139D6C84453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144</v>
      </c>
      <c r="D1" s="17" t="s">
        <v>143</v>
      </c>
      <c r="E1" s="6" t="s">
        <v>36</v>
      </c>
    </row>
    <row r="2" spans="1:5">
      <c r="A2" s="9" t="s">
        <v>50</v>
      </c>
      <c r="B2" s="9" t="s">
        <v>28</v>
      </c>
      <c r="C2" s="9" t="s">
        <v>144</v>
      </c>
      <c r="D2" s="9" t="s">
        <v>145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22089383-EC3C-459D-B27B-7971C045B585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E8FB2-760D-45CF-97FF-9838C8AB7F11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158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159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242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160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161</v>
      </c>
      <c r="C17" s="7" t="s">
        <v>243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146</v>
      </c>
      <c r="C20" s="7" t="s">
        <v>162</v>
      </c>
      <c r="E20" t="str">
        <f t="shared" si="0"/>
        <v>啟動依ID,</v>
      </c>
      <c r="H20"/>
    </row>
    <row r="21" spans="1:8">
      <c r="A21" s="7" t="s">
        <v>27</v>
      </c>
      <c r="B21" s="7" t="s">
        <v>157</v>
      </c>
      <c r="C21" s="7" t="s">
        <v>163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164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165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166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167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168</v>
      </c>
      <c r="C26" s="7" t="s">
        <v>169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170</v>
      </c>
      <c r="C27" s="7" t="s">
        <v>171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172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173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174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175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176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177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178</v>
      </c>
      <c r="C36" s="7" t="s">
        <v>179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180</v>
      </c>
      <c r="C37" s="7" t="s">
        <v>181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182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183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184</v>
      </c>
      <c r="E42" t="str">
        <f t="shared" si="0"/>
        <v>死亡時間,</v>
      </c>
      <c r="H42"/>
    </row>
    <row r="43" spans="1:8">
      <c r="A43" s="7" t="s">
        <v>27</v>
      </c>
      <c r="B43" s="7" t="s">
        <v>238</v>
      </c>
      <c r="C43" s="7" t="s">
        <v>239</v>
      </c>
      <c r="E43" t="str">
        <f t="shared" si="0"/>
        <v>符卡時間,</v>
      </c>
      <c r="H43"/>
    </row>
    <row r="44" spans="1:8">
      <c r="B44" s="25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185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186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187</v>
      </c>
      <c r="E48" t="str">
        <f t="shared" si="0"/>
        <v>位置參數,</v>
      </c>
      <c r="H48"/>
    </row>
    <row r="49" spans="1:8">
      <c r="A49" s="7" t="s">
        <v>27</v>
      </c>
      <c r="B49" s="7" t="s">
        <v>188</v>
      </c>
      <c r="C49" s="7" t="s">
        <v>189</v>
      </c>
      <c r="E49" t="str">
        <f t="shared" si="0"/>
        <v>加位置,</v>
      </c>
      <c r="H49"/>
    </row>
    <row r="50" spans="1:8">
      <c r="A50" s="7" t="s">
        <v>27</v>
      </c>
      <c r="B50" s="7" t="s">
        <v>249</v>
      </c>
      <c r="C50" s="7" t="s">
        <v>250</v>
      </c>
      <c r="E50" t="str">
        <f t="shared" si="0"/>
        <v>記錄位置,</v>
      </c>
      <c r="H50"/>
    </row>
    <row r="51" spans="1:8">
      <c r="A51" s="7" t="s">
        <v>27</v>
      </c>
      <c r="B51" s="7" t="s">
        <v>251</v>
      </c>
      <c r="C51" s="7" t="s">
        <v>252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190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191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192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193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194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195</v>
      </c>
      <c r="C59" s="7" t="s">
        <v>196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197</v>
      </c>
      <c r="E60" t="str">
        <f t="shared" si="0"/>
        <v>旋轉是移動角度,</v>
      </c>
      <c r="H60"/>
    </row>
    <row r="61" spans="1:8">
      <c r="A61" s="7" t="s">
        <v>27</v>
      </c>
      <c r="B61" s="26" t="s">
        <v>244</v>
      </c>
      <c r="C61" s="7" t="s">
        <v>245</v>
      </c>
      <c r="E61" t="str">
        <f t="shared" si="0"/>
        <v>子旋轉角度,</v>
      </c>
      <c r="H61"/>
    </row>
    <row r="62" spans="1:8">
      <c r="A62" s="7" t="s">
        <v>27</v>
      </c>
      <c r="B62" s="26" t="s">
        <v>246</v>
      </c>
      <c r="C62" s="7" t="s">
        <v>247</v>
      </c>
      <c r="E62" t="str">
        <f t="shared" si="0"/>
        <v>子加旋轉角度,</v>
      </c>
      <c r="H62"/>
    </row>
    <row r="63" spans="1:8">
      <c r="A63" s="7" t="s">
        <v>27</v>
      </c>
      <c r="B63" s="7" t="s">
        <v>253</v>
      </c>
      <c r="C63" s="7" t="s">
        <v>254</v>
      </c>
      <c r="E63" t="str">
        <f t="shared" si="0"/>
        <v>記錄角度,</v>
      </c>
      <c r="H63"/>
    </row>
    <row r="64" spans="1:8">
      <c r="A64" s="7" t="s">
        <v>27</v>
      </c>
      <c r="B64" s="7" t="s">
        <v>256</v>
      </c>
      <c r="C64" s="7" t="s">
        <v>255</v>
      </c>
      <c r="E64" t="str">
        <f t="shared" si="0"/>
        <v>記錄角度ID,</v>
      </c>
      <c r="H64"/>
    </row>
    <row r="65" spans="1:11">
      <c r="B65" s="26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198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199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200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201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202</v>
      </c>
      <c r="C73" s="7" t="s">
        <v>203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204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205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206</v>
      </c>
      <c r="E76" t="str">
        <f t="shared" si="0"/>
        <v>回收距離,</v>
      </c>
      <c r="H76"/>
    </row>
    <row r="77" spans="1:11">
      <c r="A77" s="7" t="s">
        <v>27</v>
      </c>
      <c r="B77" s="7" t="s">
        <v>207</v>
      </c>
      <c r="C77" s="7" t="s">
        <v>208</v>
      </c>
      <c r="E77" t="str">
        <f t="shared" si="0"/>
        <v>出生動畫速率,</v>
      </c>
      <c r="H77"/>
    </row>
    <row r="78" spans="1:11">
      <c r="A78" s="7" t="s">
        <v>27</v>
      </c>
      <c r="B78" s="7" t="s">
        <v>209</v>
      </c>
      <c r="C78" s="7" t="s">
        <v>210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211</v>
      </c>
      <c r="C79" s="7" t="s">
        <v>212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213</v>
      </c>
      <c r="C80" s="7" t="s">
        <v>214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215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216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217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218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219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220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221</v>
      </c>
      <c r="C91" s="7" t="s">
        <v>222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223</v>
      </c>
      <c r="C92" s="7" t="s">
        <v>224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225</v>
      </c>
      <c r="C93" s="7" t="s">
        <v>226</v>
      </c>
      <c r="E93" t="str">
        <f t="shared" si="1"/>
        <v>玩家Power需求,</v>
      </c>
      <c r="H93"/>
    </row>
    <row r="94" spans="1:11">
      <c r="A94" s="7" t="s">
        <v>27</v>
      </c>
      <c r="B94" s="7" t="s">
        <v>227</v>
      </c>
      <c r="C94" s="7" t="s">
        <v>228</v>
      </c>
      <c r="E94" t="str">
        <f t="shared" si="1"/>
        <v>玩家Shift,</v>
      </c>
      <c r="H94"/>
    </row>
    <row r="95" spans="1:11">
      <c r="A95" s="7" t="s">
        <v>27</v>
      </c>
      <c r="B95" s="7" t="s">
        <v>229</v>
      </c>
      <c r="C95" s="7" t="s">
        <v>230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143</v>
      </c>
      <c r="B103" s="7" t="s">
        <v>137</v>
      </c>
      <c r="C103" s="7" t="s">
        <v>21</v>
      </c>
      <c r="H103"/>
    </row>
    <row r="104" spans="1:12" customFormat="1">
      <c r="A104" s="7" t="s">
        <v>143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143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143</v>
      </c>
      <c r="B106" t="s">
        <v>231</v>
      </c>
      <c r="C106" s="7" t="s">
        <v>96</v>
      </c>
      <c r="D106" s="7"/>
      <c r="L106" s="7"/>
    </row>
    <row r="107" spans="1:12" customFormat="1">
      <c r="A107" s="7" t="s">
        <v>143</v>
      </c>
      <c r="B107" t="s">
        <v>232</v>
      </c>
      <c r="C107" s="7" t="s">
        <v>23</v>
      </c>
      <c r="D107" s="7"/>
      <c r="L107" s="7"/>
    </row>
    <row r="108" spans="1:12" customFormat="1">
      <c r="A108" s="7" t="s">
        <v>143</v>
      </c>
      <c r="B108" t="s">
        <v>233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144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144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144</v>
      </c>
      <c r="B113" t="s">
        <v>147</v>
      </c>
      <c r="C113" s="7" t="s">
        <v>38</v>
      </c>
      <c r="D113" s="7"/>
      <c r="L113" s="7"/>
    </row>
    <row r="114" spans="1:12" customFormat="1">
      <c r="A114" s="7" t="s">
        <v>144</v>
      </c>
      <c r="B114" t="s">
        <v>234</v>
      </c>
      <c r="C114" s="7" t="s">
        <v>22</v>
      </c>
      <c r="D114" s="7"/>
      <c r="L114" s="7"/>
    </row>
    <row r="115" spans="1:12">
      <c r="A115" s="7" t="s">
        <v>144</v>
      </c>
      <c r="B115" s="7" t="s">
        <v>235</v>
      </c>
      <c r="C115" s="7" t="s">
        <v>23</v>
      </c>
      <c r="H115"/>
    </row>
    <row r="116" spans="1:12">
      <c r="A116" s="7" t="s">
        <v>144</v>
      </c>
      <c r="B116" s="7" t="s">
        <v>257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C4D4B-EBD2-412C-A394-8B2364FDD97F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143</v>
      </c>
      <c r="C1" s="6" t="s">
        <v>144</v>
      </c>
      <c r="D1" s="8"/>
      <c r="E1" s="8"/>
      <c r="F1" s="8"/>
      <c r="G1" s="6"/>
      <c r="H1" s="8"/>
      <c r="I1" s="8"/>
      <c r="J1" s="8"/>
    </row>
    <row r="2" spans="1:10" ht="85.5">
      <c r="B2" s="20" t="s">
        <v>137</v>
      </c>
      <c r="C2" s="20" t="s">
        <v>135</v>
      </c>
      <c r="D2" s="20"/>
      <c r="G2" s="21" t="s">
        <v>236</v>
      </c>
    </row>
    <row r="3" spans="1:10">
      <c r="A3" s="20" t="s">
        <v>93</v>
      </c>
      <c r="B3" s="20" t="s">
        <v>138</v>
      </c>
      <c r="C3" s="20" t="s">
        <v>136</v>
      </c>
      <c r="D3" s="20"/>
      <c r="G3" s="9"/>
    </row>
    <row r="4" spans="1:10">
      <c r="A4" s="20" t="s">
        <v>102</v>
      </c>
      <c r="B4" s="20" t="s">
        <v>139</v>
      </c>
      <c r="C4" s="20" t="s">
        <v>237</v>
      </c>
      <c r="D4" s="20"/>
      <c r="G4" s="9"/>
      <c r="H4" s="18"/>
    </row>
    <row r="5" spans="1:10" ht="17.25" customHeight="1">
      <c r="A5" s="20" t="s">
        <v>100</v>
      </c>
      <c r="B5" s="20" t="s">
        <v>231</v>
      </c>
      <c r="C5" s="20" t="s">
        <v>234</v>
      </c>
      <c r="D5" s="20"/>
      <c r="G5" s="9"/>
    </row>
    <row r="6" spans="1:10">
      <c r="A6" s="20" t="s">
        <v>103</v>
      </c>
      <c r="B6" s="20" t="s">
        <v>232</v>
      </c>
      <c r="C6" s="20" t="s">
        <v>235</v>
      </c>
      <c r="D6" s="20"/>
      <c r="G6" s="9"/>
    </row>
    <row r="7" spans="1:10">
      <c r="A7" s="20" t="s">
        <v>48</v>
      </c>
      <c r="B7" s="20" t="s">
        <v>233</v>
      </c>
      <c r="C7" s="25" t="s">
        <v>257</v>
      </c>
      <c r="D7" s="20"/>
      <c r="G7" s="9"/>
    </row>
    <row r="8" spans="1:10">
      <c r="A8" s="20" t="s">
        <v>159</v>
      </c>
      <c r="B8" s="25"/>
      <c r="C8" s="20"/>
      <c r="D8" s="20"/>
      <c r="G8" s="9"/>
    </row>
    <row r="9" spans="1:10">
      <c r="A9" s="20" t="s">
        <v>111</v>
      </c>
      <c r="B9" s="20"/>
      <c r="C9" s="20"/>
      <c r="D9" s="20"/>
      <c r="G9" s="9"/>
    </row>
    <row r="10" spans="1:10">
      <c r="A10" s="20" t="s">
        <v>242</v>
      </c>
      <c r="B10" s="20"/>
      <c r="C10" s="20"/>
      <c r="D10" s="20"/>
      <c r="G10" s="9"/>
    </row>
    <row r="11" spans="1:10">
      <c r="A11" s="20" t="s">
        <v>160</v>
      </c>
      <c r="G11" s="9"/>
    </row>
    <row r="12" spans="1:10">
      <c r="A12" s="20" t="s">
        <v>45</v>
      </c>
      <c r="G12" s="9"/>
    </row>
    <row r="13" spans="1:10">
      <c r="A13" s="20" t="s">
        <v>104</v>
      </c>
      <c r="G13" s="9"/>
    </row>
    <row r="14" spans="1:10">
      <c r="A14" s="20" t="s">
        <v>105</v>
      </c>
      <c r="C14" s="9"/>
      <c r="G14" s="9"/>
    </row>
    <row r="15" spans="1:10">
      <c r="A15" s="20" t="s">
        <v>131</v>
      </c>
      <c r="G15" s="9"/>
    </row>
    <row r="16" spans="1:10">
      <c r="A16" s="20" t="s">
        <v>132</v>
      </c>
      <c r="C16"/>
      <c r="G16" s="9"/>
    </row>
    <row r="17" spans="1:7">
      <c r="A17" s="20" t="s">
        <v>161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146</v>
      </c>
      <c r="C20"/>
      <c r="G20" s="9"/>
    </row>
    <row r="21" spans="1:7">
      <c r="A21" s="20" t="s">
        <v>157</v>
      </c>
      <c r="C21"/>
      <c r="G21" s="9"/>
    </row>
    <row r="22" spans="1:7">
      <c r="A22" s="20" t="s">
        <v>127</v>
      </c>
      <c r="C22"/>
      <c r="G22" s="9"/>
    </row>
    <row r="23" spans="1:7">
      <c r="A23" s="20" t="s">
        <v>128</v>
      </c>
      <c r="C23"/>
      <c r="G23" s="9"/>
    </row>
    <row r="24" spans="1:7">
      <c r="A24" s="20" t="s">
        <v>129</v>
      </c>
      <c r="C24"/>
      <c r="G24" s="9"/>
    </row>
    <row r="25" spans="1:7" s="9" customFormat="1">
      <c r="A25" s="20" t="s">
        <v>130</v>
      </c>
      <c r="C25"/>
      <c r="F25" s="4"/>
    </row>
    <row r="26" spans="1:7">
      <c r="A26" s="20" t="s">
        <v>168</v>
      </c>
      <c r="C26"/>
      <c r="G26" s="9"/>
    </row>
    <row r="27" spans="1:7">
      <c r="A27" s="20" t="s">
        <v>170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119</v>
      </c>
      <c r="C31"/>
      <c r="G31" s="9"/>
    </row>
    <row r="32" spans="1:7">
      <c r="A32" s="20" t="s">
        <v>101</v>
      </c>
      <c r="C32"/>
      <c r="G32" s="9"/>
    </row>
    <row r="33" spans="1:7">
      <c r="A33" s="20" t="s">
        <v>107</v>
      </c>
      <c r="C33"/>
      <c r="G33" s="9"/>
    </row>
    <row r="34" spans="1:7">
      <c r="A34" s="20" t="s">
        <v>106</v>
      </c>
      <c r="C34"/>
      <c r="G34" s="9"/>
    </row>
    <row r="35" spans="1:7">
      <c r="A35" s="20" t="s">
        <v>46</v>
      </c>
      <c r="C35"/>
      <c r="G35" s="9"/>
    </row>
    <row r="36" spans="1:7">
      <c r="A36" s="20" t="s">
        <v>178</v>
      </c>
      <c r="C36"/>
    </row>
    <row r="37" spans="1:7">
      <c r="A37" s="20" t="s">
        <v>180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97</v>
      </c>
      <c r="C41"/>
      <c r="G41" s="9"/>
    </row>
    <row r="42" spans="1:7">
      <c r="A42" s="20" t="s">
        <v>108</v>
      </c>
      <c r="C42"/>
      <c r="G42" s="9"/>
    </row>
    <row r="43" spans="1:7">
      <c r="A43" s="25" t="s">
        <v>238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98</v>
      </c>
      <c r="C46"/>
      <c r="G46" s="9"/>
    </row>
    <row r="47" spans="1:7">
      <c r="A47" s="20" t="s">
        <v>117</v>
      </c>
      <c r="C47"/>
      <c r="G47" s="9"/>
    </row>
    <row r="48" spans="1:7">
      <c r="A48" s="20" t="s">
        <v>134</v>
      </c>
      <c r="C48"/>
      <c r="G48" s="9"/>
    </row>
    <row r="49" spans="1:8">
      <c r="A49" s="20" t="s">
        <v>188</v>
      </c>
      <c r="C49"/>
      <c r="G49" s="9"/>
    </row>
    <row r="50" spans="1:8">
      <c r="A50" s="26" t="s">
        <v>253</v>
      </c>
      <c r="C50"/>
      <c r="G50" s="9"/>
    </row>
    <row r="51" spans="1:8">
      <c r="A51" s="26" t="s">
        <v>258</v>
      </c>
      <c r="C51"/>
      <c r="G51" s="9"/>
    </row>
    <row r="52" spans="1:8">
      <c r="A52" s="26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112</v>
      </c>
      <c r="C55"/>
      <c r="G55" s="9"/>
      <c r="H55" s="11"/>
    </row>
    <row r="56" spans="1:8">
      <c r="A56" s="20" t="s">
        <v>113</v>
      </c>
      <c r="C56"/>
      <c r="G56" s="9"/>
      <c r="H56" s="11"/>
    </row>
    <row r="57" spans="1:8">
      <c r="A57" s="27" t="s">
        <v>248</v>
      </c>
      <c r="C57"/>
      <c r="G57" s="9"/>
    </row>
    <row r="58" spans="1:8">
      <c r="A58" s="20" t="s">
        <v>133</v>
      </c>
      <c r="G58" s="9"/>
    </row>
    <row r="59" spans="1:8">
      <c r="A59" s="20" t="s">
        <v>195</v>
      </c>
      <c r="G59" s="9"/>
    </row>
    <row r="60" spans="1:8">
      <c r="A60" s="20" t="s">
        <v>115</v>
      </c>
      <c r="G60" s="9"/>
    </row>
    <row r="61" spans="1:8">
      <c r="A61" s="26" t="s">
        <v>244</v>
      </c>
      <c r="G61" s="9"/>
    </row>
    <row r="62" spans="1:8">
      <c r="A62" s="26" t="s">
        <v>246</v>
      </c>
      <c r="G62" s="9"/>
    </row>
    <row r="63" spans="1:8">
      <c r="A63" s="26" t="s">
        <v>253</v>
      </c>
      <c r="G63" s="9"/>
    </row>
    <row r="64" spans="1:8">
      <c r="A64" s="26" t="s">
        <v>256</v>
      </c>
      <c r="G64" s="9"/>
    </row>
    <row r="65" spans="1:7">
      <c r="A65" s="26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116</v>
      </c>
      <c r="C68"/>
      <c r="G68" s="9"/>
    </row>
    <row r="69" spans="1:7">
      <c r="A69" s="20" t="s">
        <v>109</v>
      </c>
      <c r="C69"/>
      <c r="G69" s="9"/>
    </row>
    <row r="70" spans="1:7">
      <c r="A70" s="20" t="s">
        <v>110</v>
      </c>
      <c r="G70" s="9"/>
    </row>
    <row r="71" spans="1:7">
      <c r="G71" s="9"/>
    </row>
    <row r="72" spans="1:7">
      <c r="G72" s="9"/>
    </row>
    <row r="73" spans="1:7">
      <c r="A73" s="20" t="s">
        <v>202</v>
      </c>
    </row>
    <row r="74" spans="1:7">
      <c r="A74" s="20" t="s">
        <v>47</v>
      </c>
    </row>
    <row r="75" spans="1:7">
      <c r="A75" s="20" t="s">
        <v>118</v>
      </c>
    </row>
    <row r="76" spans="1:7">
      <c r="A76" s="20" t="s">
        <v>126</v>
      </c>
      <c r="G76" s="9"/>
    </row>
    <row r="77" spans="1:7">
      <c r="A77" s="20" t="s">
        <v>207</v>
      </c>
      <c r="G77" s="9"/>
    </row>
    <row r="78" spans="1:7">
      <c r="A78" s="20" t="s">
        <v>209</v>
      </c>
      <c r="G78" s="9"/>
    </row>
    <row r="79" spans="1:7">
      <c r="A79" s="20" t="s">
        <v>211</v>
      </c>
    </row>
    <row r="80" spans="1:7">
      <c r="A80" s="20" t="s">
        <v>213</v>
      </c>
    </row>
    <row r="83" spans="1:1">
      <c r="A83" s="20" t="s">
        <v>120</v>
      </c>
    </row>
    <row r="84" spans="1:1">
      <c r="A84" s="20" t="s">
        <v>121</v>
      </c>
    </row>
    <row r="85" spans="1:1">
      <c r="A85" s="20" t="s">
        <v>122</v>
      </c>
    </row>
    <row r="86" spans="1:1">
      <c r="A86" s="20" t="s">
        <v>123</v>
      </c>
    </row>
    <row r="87" spans="1:1">
      <c r="A87" s="20" t="s">
        <v>124</v>
      </c>
    </row>
    <row r="88" spans="1:1">
      <c r="A88" s="20" t="s">
        <v>125</v>
      </c>
    </row>
    <row r="91" spans="1:1">
      <c r="A91" s="20" t="s">
        <v>221</v>
      </c>
    </row>
    <row r="92" spans="1:1">
      <c r="A92" s="20" t="s">
        <v>223</v>
      </c>
    </row>
    <row r="93" spans="1:1">
      <c r="A93" s="20" t="s">
        <v>225</v>
      </c>
    </row>
    <row r="94" spans="1:1">
      <c r="A94" s="20" t="s">
        <v>227</v>
      </c>
    </row>
    <row r="95" spans="1:1">
      <c r="A95" s="20" t="s">
        <v>229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055DECAD-4D8A-4462-B1E5-70B2A3076E0E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B4FE7-C8D8-4312-92BB-1794ED2AD83D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92C08-24E5-49BB-8EF6-12F1796EB484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192F7-E452-45D1-A99A-576A3E9F8056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stage7_card1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2025-04-24T16:38:00Z</dcterms:modified>
</cp:coreProperties>
</file>