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684D1667-F1AF-4D24-B55F-85A50D00801D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card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externalReferences>
    <externalReference r:id="rId8"/>
  </externalReferences>
  <definedNames>
    <definedName name="_xlnm._FilterDatabase" localSheetId="0" hidden="1">stage7_card3!$D$1:$D$33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N18" i="1" l="1"/>
  <c r="E18" i="1"/>
  <c r="E10" i="1" l="1"/>
  <c r="E9" i="1"/>
  <c r="E8" i="1"/>
  <c r="E7" i="1"/>
  <c r="E6" i="1"/>
  <c r="E24" i="1" l="1"/>
  <c r="N21" i="1"/>
  <c r="E15" i="1"/>
  <c r="E16" i="1"/>
  <c r="E17" i="1"/>
  <c r="E19" i="1"/>
  <c r="E20" i="1"/>
  <c r="E21" i="1"/>
  <c r="E22" i="1"/>
  <c r="E23" i="1"/>
  <c r="E25" i="1"/>
  <c r="E14" i="1"/>
</calcChain>
</file>

<file path=xl/sharedStrings.xml><?xml version="1.0" encoding="utf-8"?>
<sst xmlns="http://schemas.openxmlformats.org/spreadsheetml/2006/main" count="459" uniqueCount="255">
  <si>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</si>
  <si>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</si>
  <si>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</si>
  <si>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</si>
  <si>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</si>
  <si>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</si>
  <si>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</si>
  <si>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</si>
  <si>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</si>
  <si>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</si>
  <si>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</si>
  <si>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</si>
  <si>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</si>
  <si>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</si>
  <si>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</si>
  <si>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</si>
  <si>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</si>
  <si>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</si>
  <si>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</si>
  <si>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</si>
  <si>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</si>
  <si>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</si>
  <si>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</si>
  <si>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</si>
  <si>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</si>
  <si>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</si>
  <si>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</si>
  <si>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</si>
  <si>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</si>
  <si>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</si>
  <si>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</si>
  <si>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</si>
  <si>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</si>
  <si>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</si>
  <si>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</si>
  <si>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</si>
  <si>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</si>
  <si>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</si>
  <si>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</si>
  <si>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</si>
  <si>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</si>
  <si>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</si>
  <si>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</si>
  <si>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</si>
  <si>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</si>
  <si>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</si>
  <si>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</si>
  <si>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</si>
  <si>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</si>
  <si>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</si>
  <si>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ParamFormat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</si>
  <si>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</si>
  <si>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</si>
  <si>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</si>
  <si>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</si>
  <si>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</si>
  <si>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</si>
  <si>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</si>
  <si>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</si>
  <si>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</si>
  <si>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</si>
  <si>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</si>
  <si>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</si>
  <si>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</si>
  <si>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</si>
  <si>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</si>
  <si>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</si>
  <si>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</si>
  <si>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</si>
  <si>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</si>
  <si>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</si>
  <si>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</si>
  <si>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</si>
  <si>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</si>
  <si>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</si>
  <si>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</si>
  <si>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</si>
  <si>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</si>
  <si>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</si>
  <si>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</si>
  <si>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</si>
  <si>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</si>
  <si>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</si>
  <si>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</si>
  <si>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</si>
  <si>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</si>
  <si>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</si>
  <si>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</si>
  <si>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</si>
  <si>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</si>
  <si>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</si>
  <si>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</si>
  <si>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</si>
  <si>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</si>
  <si>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</si>
  <si>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</si>
  <si>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</si>
  <si>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</si>
  <si>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</si>
  <si>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</si>
  <si>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</si>
  <si>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</si>
  <si>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</si>
  <si>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</si>
  <si>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</si>
  <si>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</si>
  <si>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</si>
  <si>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</si>
  <si>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</si>
  <si>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</si>
  <si>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</si>
  <si>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</si>
  <si>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</si>
  <si>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</si>
  <si>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</si>
  <si>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</si>
  <si>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</si>
  <si>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</si>
  <si>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</si>
  <si>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</si>
  <si>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</si>
  <si>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</si>
  <si>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</si>
  <si>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</si>
  <si>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</si>
  <si>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</si>
  <si>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</si>
  <si>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</si>
  <si>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</si>
  <si>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</si>
  <si>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</si>
  <si>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</si>
  <si>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</si>
  <si>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</si>
  <si>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</si>
  <si>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</si>
  <si>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</si>
  <si>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</si>
  <si>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</si>
  <si>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</si>
  <si>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</si>
  <si>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</si>
  <si>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</si>
  <si>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</si>
  <si>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</si>
  <si>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</si>
  <si>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</si>
  <si>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</si>
  <si>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Self = 1,
Parent = 2,
Player = 3,
Boss = 4,
Center=5,
BossHome=6,</t>
    <phoneticPr fontId="2" type="noConversion"/>
  </si>
  <si>
    <t>Sera</t>
  </si>
  <si>
    <t>1000</t>
  </si>
  <si>
    <t>鎖定「跳躍痕跡」</t>
    <phoneticPr fontId="2" type="noConversion"/>
  </si>
  <si>
    <t>啟動依遊戲時間</t>
  </si>
  <si>
    <t>行動時間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</si>
  <si>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</si>
  <si>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</si>
  <si>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</si>
  <si>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</si>
  <si>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</si>
  <si>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</si>
  <si>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</si>
  <si>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</si>
  <si>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</si>
  <si>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</si>
  <si>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</si>
  <si>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</si>
  <si>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</si>
  <si>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</si>
  <si>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</si>
  <si>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</si>
  <si>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</si>
  <si>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</si>
  <si>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</si>
  <si>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</si>
  <si>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</si>
  <si>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</si>
  <si>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</si>
  <si>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</si>
  <si>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</si>
  <si>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</si>
  <si>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</si>
  <si>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</si>
  <si>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</si>
  <si>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</si>
  <si>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</si>
  <si>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</si>
  <si>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</si>
  <si>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</si>
  <si>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</si>
  <si>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</si>
  <si>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</si>
  <si>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</si>
  <si>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</si>
  <si>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</si>
  <si>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</si>
  <si>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</si>
  <si>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</si>
  <si>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</si>
  <si>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</si>
  <si>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</si>
  <si>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</si>
  <si>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</si>
  <si>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</si>
  <si>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</si>
  <si>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</si>
  <si>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</si>
  <si>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</si>
  <si>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</si>
  <si>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</si>
  <si>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</si>
  <si>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</si>
  <si>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</si>
  <si>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</si>
  <si>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</si>
  <si>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</si>
  <si>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</si>
  <si>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</si>
  <si>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</si>
  <si>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</si>
  <si>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</si>
  <si>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</si>
  <si>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</si>
  <si>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</si>
  <si>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</si>
  <si>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</si>
  <si>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</si>
  <si>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</si>
  <si>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</si>
  <si>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</si>
  <si>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</si>
  <si>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</si>
  <si>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</si>
  <si>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新參照位置12</t>
  </si>
  <si>
    <t>復位</t>
    <phoneticPr fontId="2" type="noConversion"/>
  </si>
  <si>
    <t>60</t>
    <phoneticPr fontId="2" type="noConversion"/>
  </si>
  <si>
    <t>符卡時間</t>
    <phoneticPr fontId="2" type="noConversion"/>
  </si>
  <si>
    <t>304</t>
  </si>
  <si>
    <t>符卡時間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</si>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</sst>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I25"/>
  <sheetViews>
    <sheetView zoomScale="115" zoomScaleNormal="115" workbookViewId="0">
      <pane ySplit="1" topLeftCell="A2" activePane="bottomLeft" state="frozen"/>
      <selection pane="bottomLeft" activeCell="K11" sqref="K11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20.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14.625" style="9" bestFit="1" customWidth="1"/>
    <col min="14" max="14" width="12.625" style="22" bestFit="1" customWidth="1"/>
    <col min="15" max="15" width="16.125" style="9" customWidth="1"/>
    <col min="16" max="16" width="12.625" style="9" bestFit="1" customWidth="1"/>
    <col min="17" max="17" width="13.875" style="9" bestFit="1" customWidth="1"/>
    <col min="18" max="18" width="9" style="9"/>
    <col min="19" max="19" width="8" style="9" bestFit="1" customWidth="1"/>
    <col min="20" max="20" width="9.25" style="12" bestFit="1" customWidth="1"/>
    <col min="21" max="21" width="13.875" style="9" bestFit="1" customWidth="1"/>
    <col min="22" max="22" width="13.25" style="9" bestFit="1" customWidth="1"/>
    <col min="23" max="23" width="10.5" style="12" bestFit="1" customWidth="1"/>
    <col min="24" max="24" width="16.125" style="12" bestFit="1" customWidth="1"/>
    <col min="25" max="25" width="16.125" style="12" customWidth="1"/>
    <col min="26" max="27" width="16.125" style="15" bestFit="1" customWidth="1"/>
    <col min="28" max="32" width="13.25" style="15" bestFit="1" customWidth="1"/>
    <col min="33" max="34" width="13.25" style="16" bestFit="1" customWidth="1"/>
    <col min="35" max="61" width="14.625" style="16" bestFit="1" customWidth="1"/>
    <col min="62" max="16384" width="9" style="9"/>
  </cols>
  <sheetData>
    <row r="1" spans="3:61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17" t="s">
        <v>50</v>
      </c>
      <c r="N1" s="22" t="s">
        <v>95</v>
      </c>
      <c r="O1" s="6" t="s">
        <v>96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  <c r="BE1" s="6" t="s">
        <v>93</v>
      </c>
    </row>
    <row r="2" spans="3:61">
      <c r="C2" s="22" t="s">
        <v>140</v>
      </c>
    </row>
    <row r="3" spans="3:61">
      <c r="C3" s="22" t="s">
        <v>141</v>
      </c>
    </row>
    <row r="4" spans="3:61">
      <c r="C4" s="22" t="s">
        <v>142</v>
      </c>
    </row>
    <row r="6" spans="3:61">
      <c r="E6" s="22">
        <f t="shared" ref="E6:E10" si="0">ROW(E6)</f>
        <v>6</v>
      </c>
      <c r="F6" s="9" t="s">
        <v>233</v>
      </c>
      <c r="N6" s="22">
        <v>12700</v>
      </c>
      <c r="R6" s="12"/>
      <c r="T6" s="9"/>
      <c r="U6" s="12"/>
      <c r="V6" s="12"/>
      <c r="X6" s="15"/>
      <c r="Y6" s="15"/>
      <c r="AE6" s="16"/>
      <c r="AF6" s="16"/>
      <c r="BH6" s="9"/>
      <c r="BI6" s="9"/>
    </row>
    <row r="7" spans="3:61">
      <c r="E7" s="22">
        <f t="shared" si="0"/>
        <v>7</v>
      </c>
      <c r="F7" s="9" t="s">
        <v>152</v>
      </c>
      <c r="N7" s="22">
        <v>4000</v>
      </c>
      <c r="R7" s="12"/>
      <c r="T7" s="9"/>
      <c r="U7" s="12"/>
      <c r="V7" s="12"/>
      <c r="X7" s="15"/>
      <c r="Y7" s="15"/>
      <c r="AE7" s="16"/>
      <c r="AF7" s="16"/>
      <c r="BH7" s="9"/>
      <c r="BI7" s="9"/>
    </row>
    <row r="8" spans="3:61">
      <c r="E8" s="22">
        <f t="shared" si="0"/>
        <v>8</v>
      </c>
      <c r="F8" s="9" t="s">
        <v>35</v>
      </c>
      <c r="N8" s="22">
        <v>60</v>
      </c>
      <c r="R8" s="12"/>
      <c r="T8" s="9"/>
      <c r="U8" s="12"/>
      <c r="V8" s="12"/>
      <c r="X8" s="15"/>
      <c r="Y8" s="15"/>
      <c r="AE8" s="16"/>
      <c r="AF8" s="16"/>
      <c r="BH8" s="9"/>
      <c r="BI8" s="9"/>
    </row>
    <row r="9" spans="3:61">
      <c r="E9" s="22">
        <f t="shared" si="0"/>
        <v>9</v>
      </c>
      <c r="F9" s="9" t="s">
        <v>120</v>
      </c>
      <c r="N9" s="22" t="s">
        <v>234</v>
      </c>
      <c r="R9" s="12"/>
      <c r="T9" s="9"/>
      <c r="U9" s="12"/>
      <c r="V9" s="12"/>
      <c r="X9" s="15"/>
      <c r="Y9" s="15"/>
      <c r="AE9" s="16"/>
      <c r="AF9" s="16"/>
      <c r="BH9" s="9"/>
      <c r="BI9" s="9"/>
    </row>
    <row r="10" spans="3:61">
      <c r="E10" s="22">
        <f t="shared" si="0"/>
        <v>10</v>
      </c>
      <c r="F10" s="9" t="s">
        <v>121</v>
      </c>
      <c r="K10" s="9" t="s">
        <v>138</v>
      </c>
      <c r="N10" s="22" t="s">
        <v>24</v>
      </c>
      <c r="R10" s="12"/>
      <c r="T10" s="9"/>
      <c r="U10" s="12"/>
      <c r="V10" s="12"/>
      <c r="X10" s="15"/>
      <c r="Y10" s="15"/>
      <c r="AE10" s="16"/>
      <c r="AF10" s="16"/>
      <c r="BH10" s="9"/>
      <c r="BI10" s="9"/>
    </row>
    <row r="14" spans="3:61">
      <c r="E14" s="22">
        <f t="shared" ref="E14:E25" si="1">ROW(E14)</f>
        <v>14</v>
      </c>
      <c r="F14" s="9" t="s">
        <v>45</v>
      </c>
      <c r="G14" s="22">
        <v>1</v>
      </c>
      <c r="N14" s="22">
        <v>12800</v>
      </c>
    </row>
    <row r="15" spans="3:61">
      <c r="E15" s="22">
        <f t="shared" si="1"/>
        <v>15</v>
      </c>
      <c r="F15" s="9" t="s">
        <v>152</v>
      </c>
      <c r="N15" s="22">
        <v>4100</v>
      </c>
    </row>
    <row r="16" spans="3:61">
      <c r="E16" s="22">
        <f t="shared" si="1"/>
        <v>16</v>
      </c>
      <c r="F16" s="9" t="s">
        <v>101</v>
      </c>
      <c r="N16" s="22" t="s">
        <v>149</v>
      </c>
    </row>
    <row r="17" spans="5:14">
      <c r="E17" s="22">
        <f t="shared" si="1"/>
        <v>17</v>
      </c>
      <c r="F17" s="9" t="s">
        <v>46</v>
      </c>
      <c r="N17" s="22" t="s">
        <v>150</v>
      </c>
    </row>
    <row r="18" spans="5:14">
      <c r="E18" s="22">
        <f t="shared" si="1"/>
        <v>18</v>
      </c>
      <c r="F18" s="9" t="s">
        <v>237</v>
      </c>
      <c r="G18" s="22">
        <v>30</v>
      </c>
      <c r="N18" s="22">
        <f>G18*60</f>
        <v>1800</v>
      </c>
    </row>
    <row r="19" spans="5:14">
      <c r="E19" s="22">
        <f t="shared" si="1"/>
        <v>19</v>
      </c>
      <c r="F19" s="9" t="s">
        <v>107</v>
      </c>
      <c r="N19" s="22" t="s">
        <v>151</v>
      </c>
    </row>
    <row r="20" spans="5:14">
      <c r="E20" s="22">
        <f t="shared" si="1"/>
        <v>20</v>
      </c>
      <c r="F20" s="9" t="s">
        <v>35</v>
      </c>
      <c r="N20" s="22">
        <v>180</v>
      </c>
    </row>
    <row r="21" spans="5:14">
      <c r="E21" s="22">
        <f t="shared" si="1"/>
        <v>21</v>
      </c>
      <c r="F21" s="9" t="s">
        <v>102</v>
      </c>
      <c r="N21" s="22">
        <f>N14*10+1</f>
        <v>128001</v>
      </c>
    </row>
    <row r="22" spans="5:14">
      <c r="E22" s="22">
        <f t="shared" si="1"/>
        <v>22</v>
      </c>
      <c r="F22" s="9" t="s">
        <v>146</v>
      </c>
      <c r="N22" s="22">
        <v>12800</v>
      </c>
    </row>
    <row r="23" spans="5:14">
      <c r="E23" s="22">
        <f t="shared" si="1"/>
        <v>23</v>
      </c>
      <c r="F23" s="9" t="s">
        <v>128</v>
      </c>
      <c r="N23" s="22">
        <v>0</v>
      </c>
    </row>
    <row r="24" spans="5:14">
      <c r="E24" s="22">
        <f t="shared" si="1"/>
        <v>24</v>
      </c>
      <c r="F24" s="9" t="s">
        <v>153</v>
      </c>
      <c r="N24" s="22">
        <v>10000</v>
      </c>
    </row>
    <row r="25" spans="5:14">
      <c r="E25" s="22">
        <f t="shared" si="1"/>
        <v>25</v>
      </c>
      <c r="F25" s="9" t="s">
        <v>47</v>
      </c>
      <c r="N25" s="22" t="b">
        <v>0</v>
      </c>
    </row>
  </sheetData>
  <autoFilter ref="D1:D33" xr:uid="{00000000-0001-0000-0000-000000000000}"/>
  <phoneticPr fontId="2" type="noConversion"/>
  <conditionalFormatting sqref="BF1:XFD1 E1:I1 M1">
    <cfRule type="duplicateValues" dxfId="53" priority="1743"/>
  </conditionalFormatting>
  <conditionalFormatting sqref="F1:F5 F11:F33">
    <cfRule type="cellIs" dxfId="52" priority="1244" operator="equal">
      <formula>"ID"</formula>
    </cfRule>
    <cfRule type="cellIs" dxfId="51" priority="1659" operator="equal">
      <formula>"行動序號"</formula>
    </cfRule>
  </conditionalFormatting>
  <conditionalFormatting sqref="N1:N1048576">
    <cfRule type="expression" dxfId="50" priority="1663">
      <formula>OR($F1="行動序號",$F1="ID")</formula>
    </cfRule>
  </conditionalFormatting>
  <conditionalFormatting sqref="N1:N1048576">
    <cfRule type="expression" dxfId="49" priority="1130">
      <formula>$F1="行動ID"</formula>
    </cfRule>
  </conditionalFormatting>
  <conditionalFormatting sqref="K1:L1">
    <cfRule type="duplicateValues" dxfId="48" priority="1239"/>
  </conditionalFormatting>
  <conditionalFormatting sqref="N1:N1048576">
    <cfRule type="expression" dxfId="47" priority="854">
      <formula>_xlfn.ISFORMULA(N1)</formula>
    </cfRule>
  </conditionalFormatting>
  <conditionalFormatting sqref="N1">
    <cfRule type="expression" dxfId="46" priority="7">
      <formula>OR($F1="行動序號",$F1="ID")</formula>
    </cfRule>
  </conditionalFormatting>
  <conditionalFormatting sqref="N1">
    <cfRule type="expression" dxfId="45" priority="6">
      <formula>$F1="行動ID"</formula>
    </cfRule>
  </conditionalFormatting>
  <conditionalFormatting sqref="F7">
    <cfRule type="cellIs" dxfId="44" priority="1" operator="equal">
      <formula>"ID"</formula>
    </cfRule>
    <cfRule type="cellIs" dxfId="43" priority="3" operator="equal">
      <formula>"行動序號"</formula>
    </cfRule>
  </conditionalFormatting>
  <conditionalFormatting sqref="N7">
    <cfRule type="expression" dxfId="42" priority="4">
      <formula>OR($F7="行動序號",$F7="ID")</formula>
    </cfRule>
  </conditionalFormatting>
  <conditionalFormatting sqref="N7">
    <cfRule type="expression" dxfId="41" priority="2">
      <formula>$F7="行動ID"</formula>
    </cfRule>
  </conditionalFormatting>
  <conditionalFormatting sqref="J1">
    <cfRule type="duplicateValues" dxfId="40" priority="1746"/>
  </conditionalFormatting>
  <conditionalFormatting sqref="N1:BE1">
    <cfRule type="duplicateValues" dxfId="39" priority="1750"/>
  </conditionalFormatting>
  <dataValidations count="1">
    <dataValidation type="list" allowBlank="1" showInputMessage="1" showErrorMessage="1" sqref="F14:F15 F12 K29 K15:K16 M27 M22 F24:F25 L12:L13 K7 F18 L25 K11" xr:uid="{4F4EA61E-002C-4E17-B463-CD736E7322BC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5CD6B-16D6-41DC-854F-EAF402E32AEE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51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6DD25055-194E-40DA-8C79-506E32F4947E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3F9BE-29A8-4A72-B5DA-776E2B08D540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157</v>
      </c>
      <c r="C17" s="7" t="s">
        <v>239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158</v>
      </c>
      <c r="E20" t="str">
        <f t="shared" si="0"/>
        <v>啟動依ID,</v>
      </c>
      <c r="H20"/>
    </row>
    <row r="21" spans="1:8">
      <c r="A21" s="7" t="s">
        <v>27</v>
      </c>
      <c r="B21" s="7" t="s">
        <v>152</v>
      </c>
      <c r="C21" s="7" t="s">
        <v>159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160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161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162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163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164</v>
      </c>
      <c r="C26" s="7" t="s">
        <v>165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166</v>
      </c>
      <c r="C27" s="7" t="s">
        <v>167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168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169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170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171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172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173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174</v>
      </c>
      <c r="C36" s="7" t="s">
        <v>175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176</v>
      </c>
      <c r="C37" s="7" t="s">
        <v>177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178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179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180</v>
      </c>
      <c r="E42" t="str">
        <f t="shared" si="0"/>
        <v>死亡時間,</v>
      </c>
      <c r="H42"/>
    </row>
    <row r="43" spans="1:8">
      <c r="A43" s="7" t="s">
        <v>27</v>
      </c>
      <c r="B43" s="7" t="s">
        <v>235</v>
      </c>
      <c r="C43" s="7" t="s">
        <v>236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181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182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183</v>
      </c>
      <c r="E48" t="str">
        <f t="shared" si="0"/>
        <v>位置參數,</v>
      </c>
      <c r="H48"/>
    </row>
    <row r="49" spans="1:8">
      <c r="A49" s="7" t="s">
        <v>27</v>
      </c>
      <c r="B49" s="7" t="s">
        <v>184</v>
      </c>
      <c r="C49" s="7" t="s">
        <v>185</v>
      </c>
      <c r="E49" t="str">
        <f t="shared" si="0"/>
        <v>加位置,</v>
      </c>
      <c r="H49"/>
    </row>
    <row r="50" spans="1:8">
      <c r="A50" s="7" t="s">
        <v>27</v>
      </c>
      <c r="B50" s="7" t="s">
        <v>245</v>
      </c>
      <c r="C50" s="7" t="s">
        <v>246</v>
      </c>
      <c r="E50" t="str">
        <f t="shared" si="0"/>
        <v>記錄位置,</v>
      </c>
      <c r="H50"/>
    </row>
    <row r="51" spans="1:8">
      <c r="A51" s="7" t="s">
        <v>27</v>
      </c>
      <c r="B51" s="7" t="s">
        <v>247</v>
      </c>
      <c r="C51" s="7" t="s">
        <v>248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186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187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188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189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190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191</v>
      </c>
      <c r="C59" s="7" t="s">
        <v>192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193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240</v>
      </c>
      <c r="C61" s="7" t="s">
        <v>241</v>
      </c>
      <c r="E61" t="str">
        <f t="shared" si="0"/>
        <v>子旋轉角度,</v>
      </c>
      <c r="H61"/>
    </row>
    <row r="62" spans="1:8">
      <c r="A62" s="7" t="s">
        <v>27</v>
      </c>
      <c r="B62" s="25" t="s">
        <v>242</v>
      </c>
      <c r="C62" s="7" t="s">
        <v>243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249</v>
      </c>
      <c r="C63" s="7" t="s">
        <v>250</v>
      </c>
      <c r="E63" t="str">
        <f t="shared" si="0"/>
        <v>記錄角度,</v>
      </c>
      <c r="H63"/>
    </row>
    <row r="64" spans="1:8">
      <c r="A64" s="7" t="s">
        <v>27</v>
      </c>
      <c r="B64" s="7" t="s">
        <v>252</v>
      </c>
      <c r="C64" s="7" t="s">
        <v>251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194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195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196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197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198</v>
      </c>
      <c r="C73" s="7" t="s">
        <v>199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200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201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202</v>
      </c>
      <c r="E76" t="str">
        <f t="shared" si="0"/>
        <v>回收距離,</v>
      </c>
      <c r="H76"/>
    </row>
    <row r="77" spans="1:11">
      <c r="A77" s="7" t="s">
        <v>27</v>
      </c>
      <c r="B77" s="7" t="s">
        <v>203</v>
      </c>
      <c r="C77" s="7" t="s">
        <v>204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205</v>
      </c>
      <c r="C78" s="7" t="s">
        <v>206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207</v>
      </c>
      <c r="C79" s="7" t="s">
        <v>208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209</v>
      </c>
      <c r="C80" s="7" t="s">
        <v>210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211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212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213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214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215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216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217</v>
      </c>
      <c r="C91" s="7" t="s">
        <v>218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219</v>
      </c>
      <c r="C92" s="7" t="s">
        <v>220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221</v>
      </c>
      <c r="C93" s="7" t="s">
        <v>222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223</v>
      </c>
      <c r="C94" s="7" t="s">
        <v>224</v>
      </c>
      <c r="E94" t="str">
        <f t="shared" si="1"/>
        <v>玩家Shift,</v>
      </c>
      <c r="H94"/>
    </row>
    <row r="95" spans="1:11">
      <c r="A95" s="7" t="s">
        <v>27</v>
      </c>
      <c r="B95" s="7" t="s">
        <v>225</v>
      </c>
      <c r="C95" s="7" t="s">
        <v>226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227</v>
      </c>
      <c r="C106" s="7" t="s">
        <v>97</v>
      </c>
      <c r="D106" s="7"/>
      <c r="L106" s="7"/>
    </row>
    <row r="107" spans="1:12" customFormat="1">
      <c r="A107" s="7" t="s">
        <v>143</v>
      </c>
      <c r="B107" t="s">
        <v>228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229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230</v>
      </c>
      <c r="C114" s="7" t="s">
        <v>22</v>
      </c>
      <c r="D114" s="7"/>
      <c r="L114" s="7"/>
    </row>
    <row r="115" spans="1:12">
      <c r="A115" s="7" t="s">
        <v>144</v>
      </c>
      <c r="B115" s="7" t="s">
        <v>231</v>
      </c>
      <c r="C115" s="7" t="s">
        <v>23</v>
      </c>
      <c r="H115"/>
    </row>
    <row r="116" spans="1:12">
      <c r="A116" s="7" t="s">
        <v>144</v>
      </c>
      <c r="B116" s="7" t="s">
        <v>253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C64E-296A-45CD-B13B-904DDEFED8E1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148</v>
      </c>
    </row>
    <row r="3" spans="1:10">
      <c r="A3" s="20" t="s">
        <v>94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232</v>
      </c>
      <c r="D4" s="20"/>
      <c r="G4" s="9"/>
      <c r="H4" s="18"/>
    </row>
    <row r="5" spans="1:10" ht="17.25" customHeight="1">
      <c r="A5" s="20" t="s">
        <v>100</v>
      </c>
      <c r="B5" s="20" t="s">
        <v>227</v>
      </c>
      <c r="C5" s="20" t="s">
        <v>230</v>
      </c>
      <c r="D5" s="20"/>
      <c r="G5" s="9"/>
    </row>
    <row r="6" spans="1:10">
      <c r="A6" s="20" t="s">
        <v>103</v>
      </c>
      <c r="B6" s="20" t="s">
        <v>228</v>
      </c>
      <c r="C6" s="20" t="s">
        <v>231</v>
      </c>
      <c r="D6" s="20"/>
      <c r="G6" s="9"/>
    </row>
    <row r="7" spans="1:10">
      <c r="A7" s="20" t="s">
        <v>48</v>
      </c>
      <c r="B7" s="20" t="s">
        <v>229</v>
      </c>
      <c r="C7" s="24" t="s">
        <v>253</v>
      </c>
      <c r="D7" s="20"/>
      <c r="G7" s="9"/>
    </row>
    <row r="8" spans="1:10">
      <c r="A8" s="20" t="s">
        <v>155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238</v>
      </c>
      <c r="B10" s="20"/>
      <c r="C10" s="20"/>
      <c r="D10" s="20"/>
      <c r="G10" s="9"/>
    </row>
    <row r="11" spans="1:10">
      <c r="A11" s="20" t="s">
        <v>156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157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152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164</v>
      </c>
      <c r="C26"/>
      <c r="G26" s="9"/>
    </row>
    <row r="27" spans="1:7">
      <c r="A27" s="20" t="s">
        <v>166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174</v>
      </c>
      <c r="C36"/>
    </row>
    <row r="37" spans="1:7">
      <c r="A37" s="20" t="s">
        <v>176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184</v>
      </c>
      <c r="C49"/>
      <c r="G49" s="9"/>
    </row>
    <row r="50" spans="1:8">
      <c r="A50" s="25" t="s">
        <v>249</v>
      </c>
      <c r="C50"/>
      <c r="G50" s="9"/>
    </row>
    <row r="51" spans="1:8">
      <c r="A51" s="25" t="s">
        <v>254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244</v>
      </c>
      <c r="C57"/>
      <c r="G57" s="9"/>
    </row>
    <row r="58" spans="1:8">
      <c r="A58" s="20" t="s">
        <v>133</v>
      </c>
      <c r="G58" s="9"/>
    </row>
    <row r="59" spans="1:8">
      <c r="A59" s="20" t="s">
        <v>191</v>
      </c>
      <c r="G59" s="9"/>
    </row>
    <row r="60" spans="1:8">
      <c r="A60" s="20" t="s">
        <v>115</v>
      </c>
      <c r="G60" s="9"/>
    </row>
    <row r="61" spans="1:8">
      <c r="A61" s="25" t="s">
        <v>240</v>
      </c>
      <c r="G61" s="9"/>
    </row>
    <row r="62" spans="1:8">
      <c r="A62" s="25" t="s">
        <v>242</v>
      </c>
      <c r="G62" s="9"/>
    </row>
    <row r="63" spans="1:8">
      <c r="A63" s="25" t="s">
        <v>249</v>
      </c>
      <c r="G63" s="9"/>
    </row>
    <row r="64" spans="1:8">
      <c r="A64" s="25" t="s">
        <v>252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198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203</v>
      </c>
      <c r="G77" s="9"/>
    </row>
    <row r="78" spans="1:7">
      <c r="A78" s="20" t="s">
        <v>205</v>
      </c>
      <c r="G78" s="9"/>
    </row>
    <row r="79" spans="1:7">
      <c r="A79" s="20" t="s">
        <v>207</v>
      </c>
    </row>
    <row r="80" spans="1:7">
      <c r="A80" s="20" t="s">
        <v>209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217</v>
      </c>
    </row>
    <row r="92" spans="1:1">
      <c r="A92" s="20" t="s">
        <v>219</v>
      </c>
    </row>
    <row r="93" spans="1:1">
      <c r="A93" s="20" t="s">
        <v>221</v>
      </c>
    </row>
    <row r="94" spans="1:1">
      <c r="A94" s="20" t="s">
        <v>223</v>
      </c>
    </row>
    <row r="95" spans="1:1">
      <c r="A95" s="20" t="s">
        <v>225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3613D12D-7E54-4D2B-8435-EF891FA05CC1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D4E0-623F-4EFB-8482-5D97F2A20CAA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7E41-0B06-47A4-9550-FED415DBA8D2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F055-90E2-49C3-9D2E-52FDBCA0BE65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stage7_card3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2025-04-16T06:38:20Z</dcterms:modified>
</cp:coreProperties>
</file>