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22DC7654-715D-4EA2-B911-FDDC101FE4FC}" xr6:coauthVersionLast="47" xr6:coauthVersionMax="47" xr10:uidLastSave="{00000000-0000-0000-0000-000000000000}"/>
  <bookViews>
    <workbookView minimized="1" xWindow="17940" yWindow="10755" windowWidth="6150" windowHeight="3210" xr2:uid="{00000000-000D-0000-FFFF-FFFF00000000}"/>
  </bookViews>
  <sheets>
    <sheet name="stage7_card9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81" i="1" l="1"/>
  <c r="E380" i="1"/>
  <c r="E379" i="1"/>
  <c r="E378" i="1"/>
  <c r="E377" i="1"/>
  <c r="E376" i="1"/>
  <c r="E375" i="1"/>
  <c r="E374" i="1"/>
  <c r="E373" i="1"/>
  <c r="E372" i="1"/>
  <c r="E371" i="1"/>
  <c r="E370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5" i="1"/>
  <c r="E94" i="1"/>
  <c r="E93" i="1"/>
  <c r="E92" i="1"/>
  <c r="E91" i="1"/>
  <c r="E90" i="1"/>
  <c r="E89" i="1"/>
  <c r="E88" i="1"/>
  <c r="E87" i="1"/>
  <c r="E86" i="1"/>
  <c r="E85" i="1"/>
  <c r="E84" i="1"/>
  <c r="D83" i="1"/>
  <c r="E80" i="1"/>
  <c r="D122" i="1" l="1"/>
  <c r="B83" i="1"/>
  <c r="D135" i="1"/>
  <c r="D96" i="1"/>
  <c r="M84" i="1"/>
  <c r="D109" i="1"/>
  <c r="M97" i="1" l="1"/>
  <c r="D148" i="1"/>
  <c r="B96" i="1"/>
  <c r="C96" i="1" s="1"/>
  <c r="M99" i="1" s="1"/>
  <c r="B135" i="1"/>
  <c r="M136" i="1"/>
  <c r="B122" i="1"/>
  <c r="C122" i="1" s="1"/>
  <c r="M125" i="1" s="1"/>
  <c r="M123" i="1"/>
  <c r="C109" i="1"/>
  <c r="M112" i="1" s="1"/>
  <c r="B109" i="1"/>
  <c r="M110" i="1"/>
  <c r="M85" i="1"/>
  <c r="C83" i="1"/>
  <c r="M86" i="1" s="1"/>
  <c r="M137" i="1" l="1"/>
  <c r="M144" i="1"/>
  <c r="M149" i="1"/>
  <c r="C148" i="1"/>
  <c r="M151" i="1" s="1"/>
  <c r="B148" i="1"/>
  <c r="D161" i="1"/>
  <c r="M92" i="1"/>
  <c r="M124" i="1"/>
  <c r="M131" i="1"/>
  <c r="M118" i="1"/>
  <c r="M111" i="1"/>
  <c r="C135" i="1"/>
  <c r="M138" i="1" s="1"/>
  <c r="M105" i="1"/>
  <c r="M98" i="1"/>
  <c r="M162" i="1" l="1"/>
  <c r="C161" i="1"/>
  <c r="M164" i="1" s="1"/>
  <c r="B161" i="1"/>
  <c r="D174" i="1"/>
  <c r="M150" i="1"/>
  <c r="M157" i="1"/>
  <c r="D187" i="1" l="1"/>
  <c r="M175" i="1"/>
  <c r="B174" i="1"/>
  <c r="M170" i="1"/>
  <c r="M163" i="1"/>
  <c r="M176" i="1" l="1"/>
  <c r="C174" i="1"/>
  <c r="M177" i="1" s="1"/>
  <c r="C187" i="1"/>
  <c r="M190" i="1" s="1"/>
  <c r="M188" i="1"/>
  <c r="B187" i="1"/>
  <c r="D200" i="1"/>
  <c r="D213" i="1"/>
  <c r="D226" i="1"/>
  <c r="M227" i="1" l="1"/>
  <c r="C226" i="1"/>
  <c r="M229" i="1" s="1"/>
  <c r="B226" i="1"/>
  <c r="B213" i="1"/>
  <c r="C213" i="1" s="1"/>
  <c r="M216" i="1" s="1"/>
  <c r="M214" i="1"/>
  <c r="C200" i="1"/>
  <c r="M203" i="1" s="1"/>
  <c r="B200" i="1"/>
  <c r="M201" i="1"/>
  <c r="D239" i="1"/>
  <c r="M183" i="1"/>
  <c r="M189" i="1"/>
  <c r="M196" i="1"/>
  <c r="M240" i="1" l="1"/>
  <c r="B239" i="1"/>
  <c r="D252" i="1"/>
  <c r="M215" i="1"/>
  <c r="M222" i="1"/>
  <c r="M202" i="1"/>
  <c r="M209" i="1"/>
  <c r="M235" i="1"/>
  <c r="M228" i="1"/>
  <c r="M253" i="1" l="1"/>
  <c r="B252" i="1"/>
  <c r="D265" i="1"/>
  <c r="M248" i="1"/>
  <c r="M241" i="1"/>
  <c r="C239" i="1"/>
  <c r="M242" i="1" s="1"/>
  <c r="E77" i="1"/>
  <c r="E78" i="1"/>
  <c r="E82" i="1"/>
  <c r="E48" i="1"/>
  <c r="E47" i="1"/>
  <c r="E46" i="1"/>
  <c r="E45" i="1"/>
  <c r="E44" i="1"/>
  <c r="E43" i="1"/>
  <c r="E42" i="1"/>
  <c r="E41" i="1"/>
  <c r="E40" i="1"/>
  <c r="E39" i="1"/>
  <c r="E38" i="1"/>
  <c r="E37" i="1"/>
  <c r="E34" i="1"/>
  <c r="E33" i="1"/>
  <c r="E30" i="1"/>
  <c r="E31" i="1"/>
  <c r="E32" i="1"/>
  <c r="E35" i="1"/>
  <c r="M254" i="1" l="1"/>
  <c r="B265" i="1"/>
  <c r="C265" i="1"/>
  <c r="M268" i="1" s="1"/>
  <c r="M266" i="1"/>
  <c r="D278" i="1"/>
  <c r="C252" i="1"/>
  <c r="M255" i="1" s="1"/>
  <c r="B278" i="1" l="1"/>
  <c r="M279" i="1"/>
  <c r="D291" i="1"/>
  <c r="M267" i="1"/>
  <c r="M274" i="1"/>
  <c r="M261" i="1"/>
  <c r="B291" i="1" l="1"/>
  <c r="C291" i="1" s="1"/>
  <c r="M294" i="1" s="1"/>
  <c r="M292" i="1"/>
  <c r="D304" i="1"/>
  <c r="M280" i="1"/>
  <c r="C278" i="1"/>
  <c r="M281" i="1" s="1"/>
  <c r="M287" i="1" l="1"/>
  <c r="M305" i="1"/>
  <c r="B304" i="1"/>
  <c r="D317" i="1"/>
  <c r="M293" i="1"/>
  <c r="M300" i="1"/>
  <c r="M318" i="1" l="1"/>
  <c r="B317" i="1"/>
  <c r="C317" i="1"/>
  <c r="M320" i="1" s="1"/>
  <c r="D330" i="1"/>
  <c r="M306" i="1"/>
  <c r="C304" i="1"/>
  <c r="M307" i="1" s="1"/>
  <c r="B330" i="1" l="1"/>
  <c r="M331" i="1"/>
  <c r="D343" i="1"/>
  <c r="M313" i="1"/>
  <c r="M326" i="1"/>
  <c r="M319" i="1"/>
  <c r="E81" i="1"/>
  <c r="E79" i="1"/>
  <c r="B343" i="1" l="1"/>
  <c r="M344" i="1"/>
  <c r="D356" i="1"/>
  <c r="M332" i="1"/>
  <c r="C330" i="1"/>
  <c r="M333" i="1" s="1"/>
  <c r="E76" i="1"/>
  <c r="E75" i="1"/>
  <c r="E74" i="1"/>
  <c r="E73" i="1"/>
  <c r="E72" i="1"/>
  <c r="E71" i="1"/>
  <c r="D70" i="1"/>
  <c r="M345" i="1" l="1"/>
  <c r="M352" i="1"/>
  <c r="M339" i="1"/>
  <c r="B356" i="1"/>
  <c r="M357" i="1"/>
  <c r="D369" i="1"/>
  <c r="C343" i="1"/>
  <c r="M346" i="1" s="1"/>
  <c r="B70" i="1"/>
  <c r="M71" i="1"/>
  <c r="A69" i="1"/>
  <c r="M358" i="1" l="1"/>
  <c r="C356" i="1"/>
  <c r="M359" i="1" s="1"/>
  <c r="B369" i="1"/>
  <c r="C369" i="1" s="1"/>
  <c r="M372" i="1" s="1"/>
  <c r="M370" i="1"/>
  <c r="C70" i="1"/>
  <c r="M73" i="1" s="1"/>
  <c r="M72" i="1"/>
  <c r="E29" i="1"/>
  <c r="M371" i="1" l="1"/>
  <c r="M378" i="1"/>
  <c r="M365" i="1"/>
  <c r="M79" i="1"/>
  <c r="E28" i="1"/>
  <c r="E27" i="1"/>
  <c r="E26" i="1"/>
  <c r="E25" i="1"/>
  <c r="E24" i="1"/>
  <c r="D23" i="1"/>
  <c r="D36" i="1" s="1"/>
  <c r="A22" i="1"/>
  <c r="B36" i="1" l="1"/>
  <c r="C36" i="1" s="1"/>
  <c r="M37" i="1"/>
  <c r="M24" i="1"/>
  <c r="M30" i="1" s="1"/>
  <c r="M33" i="1" s="1"/>
  <c r="B23" i="1"/>
  <c r="M41" i="1" l="1"/>
  <c r="M42" i="1"/>
  <c r="M43" i="1"/>
  <c r="M46" i="1" s="1"/>
  <c r="M44" i="1"/>
  <c r="M31" i="1"/>
  <c r="C23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9" i="1" l="1"/>
  <c r="M28" i="1"/>
</calcChain>
</file>

<file path=xl/sharedStrings.xml><?xml version="1.0" encoding="utf-8"?>
<sst xmlns="http://schemas.openxmlformats.org/spreadsheetml/2006/main" count="954" uniqueCount="260">
  <si>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</si>
  <si>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</si>
  <si>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</si>
  <si>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</si>
  <si>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</si>
  <si>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</si>
  <si>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</si>
  <si>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</si>
  <si>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</si>
  <si>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</si>
  <si>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</si>
  <si>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</si>
  <si>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</si>
  <si>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</si>
  <si>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</si>
  <si>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</si>
  <si>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</si>
  <si>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</si>
  <si>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</si>
  <si>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</si>
  <si>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</si>
  <si>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</si>
  <si>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</si>
  <si>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</si>
  <si>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</si>
  <si>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</si>
  <si>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</si>
  <si>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</si>
  <si>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</si>
  <si>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</si>
  <si>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</si>
  <si>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</si>
  <si>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</si>
  <si>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</si>
  <si>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</si>
  <si>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</si>
  <si>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</si>
  <si>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</si>
  <si>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</si>
  <si>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</si>
  <si>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</si>
  <si>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</si>
  <si>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</si>
  <si>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</si>
  <si>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</si>
  <si>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</si>
  <si>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</si>
  <si>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</si>
  <si>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</si>
  <si>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</si>
  <si>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</si>
  <si>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</si>
  <si>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</si>
  <si>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</si>
  <si>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</si>
  <si>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</si>
  <si>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</si>
  <si>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</si>
  <si>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</si>
  <si>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</si>
  <si>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</si>
  <si>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</si>
  <si>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</si>
  <si>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</si>
  <si>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</si>
  <si>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</si>
  <si>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</si>
  <si>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</si>
  <si>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</si>
  <si>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</si>
  <si>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</si>
  <si>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</si>
  <si>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</si>
  <si>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</si>
  <si>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</si>
  <si>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</si>
  <si>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</si>
  <si>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</si>
  <si>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</si>
  <si>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</si>
  <si>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</si>
  <si>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</si>
  <si>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</si>
  <si>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</si>
  <si>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</si>
  <si>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</si>
  <si>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</si>
  <si>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</si>
  <si>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</si>
  <si>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</si>
  <si>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</si>
  <si>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</si>
  <si>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</si>
  <si>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</si>
  <si>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</si>
  <si>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</si>
  <si>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</si>
  <si>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</si>
  <si>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</si>
  <si>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</si>
  <si>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</si>
  <si>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</si>
  <si>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</si>
  <si>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</si>
  <si>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</si>
  <si>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</si>
  <si>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</si>
  <si>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</si>
  <si>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</si>
  <si>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</si>
  <si>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</si>
  <si>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</si>
  <si>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</si>
  <si>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</si>
  <si>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</si>
  <si>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</si>
  <si>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</si>
  <si>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</si>
  <si>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</si>
  <si>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</si>
  <si>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</si>
  <si>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</si>
  <si>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</si>
  <si>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</si>
  <si>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</si>
  <si>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</si>
  <si>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</si>
  <si>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</si>
  <si>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</si>
  <si>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</si>
  <si>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</si>
  <si>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</si>
  <si>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</si>
  <si>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</si>
  <si>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</si>
  <si>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</si>
  <si>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</si>
  <si>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</si>
  <si>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</si>
  <si>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</si>
  <si>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</si>
  <si>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</si>
  <si>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</si>
  <si>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</si>
  <si>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</si>
  <si>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</si>
  <si>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</si>
  <si>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</si>
  <si>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</si>
  <si>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</si>
  <si>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</si>
  <si>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</si>
  <si>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</si>
  <si>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</si>
  <si>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</si>
  <si>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</si>
  <si>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</si>
  <si>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</si>
  <si>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</si>
  <si>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</si>
  <si>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</si>
  <si>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</si>
  <si>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</si>
  <si>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</si>
  <si>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</si>
  <si>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</si>
  <si>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</si>
  <si>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</si>
  <si>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</si>
  <si>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</si>
  <si>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</si>
  <si>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</si>
  <si>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</si>
  <si>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</si>
  <si>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</si>
  <si>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</si>
  <si>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</si>
  <si>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</si>
  <si>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</si>
  <si>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</si>
  <si>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</si>
  <si>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</si>
  <si>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</si>
  <si>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</si>
  <si>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</si>
  <si>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</si>
  <si>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</si>
  <si>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</si>
  <si>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</si>
  <si>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</si>
  <si>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</si>
  <si>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</si>
  <si>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</si>
  <si>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</si>
  <si>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</si>
  <si>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</si>
  <si>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</si>
  <si>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</si>
  <si>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</si>
  <si>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</si>
  <si>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</si>
  <si>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</si>
  <si>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</si>
  <si>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</si>
  <si>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</si>
  <si>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</si>
  <si>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</si>
  <si>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</si>
  <si>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</si>
  <si>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</si>
  <si>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</si>
  <si>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</si>
  <si>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</si>
  <si>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</si>
  <si>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</si>
  <si>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</si>
  <si>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</si>
  <si>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</si>
  <si>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</si>
  <si>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</si>
  <si>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</si>
  <si>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</si>
  <si>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</si>
  <si>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</si>
  <si>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</si>
  <si>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</si>
  <si>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</si>
  <si>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</si>
  <si>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</si>
  <si>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</si>
  <si>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</si>
  <si>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</si>
  <si>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</si>
  <si>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</si>
  <si>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</si>
  <si>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</si>
  <si>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</si>
  <si>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</si>
  <si>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</si>
  <si>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</si>
  <si>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</si>
  <si>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</si>
  <si>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</si>
  <si>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</si>
  <si>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</si>
  <si>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</si>
  <si>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</si>
  <si>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</si>
  <si>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Empty</t>
    <phoneticPr fontId="2" type="noConversion"/>
  </si>
  <si>
    <t>子加旋轉角度</t>
  </si>
  <si>
    <t>Empty</t>
  </si>
  <si>
    <t>EnemyShot5</t>
  </si>
  <si>
    <t>18400</t>
  </si>
  <si>
    <t>18400</t>
    <phoneticPr fontId="2" type="noConversion"/>
  </si>
  <si>
    <t>Shot5_yellow</t>
  </si>
  <si>
    <t>Shot5_yellow</t>
    <phoneticPr fontId="2" type="noConversion"/>
  </si>
  <si>
    <t>30</t>
    <phoneticPr fontId="2" type="noConversion"/>
  </si>
  <si>
    <t>-30</t>
    <phoneticPr fontId="2" type="noConversion"/>
  </si>
  <si>
    <t>-2.25,0</t>
    <phoneticPr fontId="2" type="noConversion"/>
  </si>
  <si>
    <t>2.25,0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</si>
</sst>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81"/>
  <sheetViews>
    <sheetView tabSelected="1" zoomScale="115" zoomScaleNormal="115" workbookViewId="0">
      <pane ySplit="1" topLeftCell="A68" activePane="bottomLeft" state="frozen"/>
      <selection pane="bottomLeft" activeCell="Q82" sqref="Q82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22" spans="1:60">
      <c r="A22" s="21">
        <f>G24*H24</f>
        <v>2</v>
      </c>
      <c r="B22" s="9"/>
      <c r="C22" s="9"/>
      <c r="D22" s="9"/>
      <c r="R22" s="12"/>
      <c r="S22" s="9"/>
      <c r="U22" s="12"/>
      <c r="X22" s="15"/>
      <c r="AE22" s="16"/>
      <c r="BH22" s="9"/>
    </row>
    <row r="23" spans="1:60">
      <c r="A23" s="9"/>
      <c r="B23" s="21">
        <f>QUOTIENT( D23-1,G24)+1</f>
        <v>1</v>
      </c>
      <c r="C23" s="21">
        <f>D23-(B23-1)*G24</f>
        <v>1</v>
      </c>
      <c r="D23" s="21">
        <f>COUNT($D$14:$D22)+1</f>
        <v>1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>ROW(E24)</f>
        <v>24</v>
      </c>
      <c r="F24" s="9" t="s">
        <v>93</v>
      </c>
      <c r="G24" s="21">
        <v>2</v>
      </c>
      <c r="H24" s="21">
        <v>1</v>
      </c>
      <c r="J24" s="21">
        <v>18300</v>
      </c>
      <c r="M24" s="21">
        <f>J24+D23</f>
        <v>18301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ref="E25:E28" si="0">ROW(E25)</f>
        <v>25</v>
      </c>
      <c r="F25" s="9" t="s">
        <v>143</v>
      </c>
      <c r="M25" s="21">
        <v>18210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128</v>
      </c>
      <c r="M26" s="27">
        <v>0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96</v>
      </c>
      <c r="M27" s="21" t="s">
        <v>248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99</v>
      </c>
      <c r="G28" s="21" t="s">
        <v>259</v>
      </c>
      <c r="H28" s="9" t="s">
        <v>258</v>
      </c>
      <c r="I28" s="9"/>
      <c r="K28" s="9" t="s">
        <v>137</v>
      </c>
      <c r="M28" s="27" t="str">
        <f>IF(C23=1,G28,H28)</f>
        <v>2.25,0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>ROW(E29)</f>
        <v>29</v>
      </c>
      <c r="F29" s="9" t="s">
        <v>249</v>
      </c>
      <c r="G29" s="9" t="s">
        <v>256</v>
      </c>
      <c r="H29" s="9" t="s">
        <v>257</v>
      </c>
      <c r="I29" s="9"/>
      <c r="L29" s="9" t="s">
        <v>135</v>
      </c>
      <c r="M29" s="27" t="str">
        <f>IF(C23=1,G29,H29)</f>
        <v>30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 t="shared" ref="E30:E35" si="1">ROW(E30)</f>
        <v>30</v>
      </c>
      <c r="F30" s="9" t="s">
        <v>102</v>
      </c>
      <c r="J30" s="21"/>
      <c r="M30" s="21">
        <f>M24*10+9</f>
        <v>183019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1"/>
        <v>31</v>
      </c>
      <c r="F31" s="9" t="s">
        <v>143</v>
      </c>
      <c r="M31" s="21">
        <f>M24</f>
        <v>18301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si="1"/>
        <v>32</v>
      </c>
      <c r="F32" s="9" t="s">
        <v>127</v>
      </c>
      <c r="M32" s="27">
        <v>0</v>
      </c>
      <c r="R32" s="12"/>
      <c r="S32" s="9"/>
      <c r="U32" s="12"/>
      <c r="X32" s="15"/>
      <c r="AE32" s="16"/>
      <c r="BH32" s="9"/>
    </row>
    <row r="33" spans="1:60">
      <c r="A33" s="9"/>
      <c r="B33" s="9"/>
      <c r="E33" s="21">
        <f t="shared" si="1"/>
        <v>33</v>
      </c>
      <c r="F33" s="9" t="s">
        <v>143</v>
      </c>
      <c r="M33" s="21">
        <f>M30</f>
        <v>183019</v>
      </c>
      <c r="R33" s="12"/>
      <c r="S33" s="9"/>
      <c r="U33" s="12"/>
      <c r="X33" s="15"/>
      <c r="AE33" s="16"/>
      <c r="BH33" s="9"/>
    </row>
    <row r="34" spans="1:60">
      <c r="A34" s="9"/>
      <c r="B34" s="9"/>
      <c r="E34" s="21">
        <f t="shared" si="1"/>
        <v>34</v>
      </c>
      <c r="F34" s="9" t="s">
        <v>128</v>
      </c>
      <c r="M34" s="27">
        <v>0</v>
      </c>
      <c r="R34" s="12"/>
      <c r="S34" s="9"/>
      <c r="U34" s="12"/>
      <c r="X34" s="15"/>
      <c r="AE34" s="16"/>
      <c r="BH34" s="9"/>
    </row>
    <row r="35" spans="1:60">
      <c r="A35" s="9"/>
      <c r="B35" s="9"/>
      <c r="E35" s="21">
        <f t="shared" si="1"/>
        <v>35</v>
      </c>
      <c r="F35" s="9" t="s">
        <v>35</v>
      </c>
      <c r="G35" s="26"/>
      <c r="H35" s="28"/>
      <c r="I35" s="27"/>
      <c r="J35" s="27"/>
      <c r="M35" s="21">
        <v>120</v>
      </c>
      <c r="R35" s="12"/>
      <c r="S35" s="9"/>
      <c r="U35" s="12"/>
      <c r="X35" s="15"/>
      <c r="AE35" s="16"/>
      <c r="BH35" s="9"/>
    </row>
    <row r="36" spans="1:60">
      <c r="A36" s="9"/>
      <c r="B36" s="9">
        <f t="shared" ref="B36" si="2">QUOTIENT( D36-1,G37)+1</f>
        <v>1</v>
      </c>
      <c r="C36" s="21">
        <f t="shared" ref="C36" si="3">D36-(B36-1)*G37</f>
        <v>2</v>
      </c>
      <c r="D36" s="21">
        <f>COUNT($D$14:$D35)+1</f>
        <v>2</v>
      </c>
      <c r="G36" s="9"/>
      <c r="H36" s="9"/>
      <c r="I36" s="9"/>
      <c r="M36" s="27"/>
      <c r="R36" s="12"/>
      <c r="S36" s="9"/>
      <c r="U36" s="12"/>
      <c r="X36" s="15"/>
      <c r="AE36" s="16"/>
      <c r="BH36" s="9"/>
    </row>
    <row r="37" spans="1:60">
      <c r="E37" s="21">
        <f t="shared" ref="E37:E48" si="4">ROW(E37)</f>
        <v>37</v>
      </c>
      <c r="F37" s="9" t="s">
        <v>93</v>
      </c>
      <c r="G37" s="21">
        <v>2</v>
      </c>
      <c r="H37" s="21">
        <v>1</v>
      </c>
      <c r="J37" s="9">
        <v>18300</v>
      </c>
      <c r="M37" s="21">
        <f t="shared" ref="M37:M48" si="5">J37+D36</f>
        <v>18302</v>
      </c>
    </row>
    <row r="38" spans="1:60">
      <c r="E38" s="21">
        <f t="shared" si="4"/>
        <v>38</v>
      </c>
      <c r="F38" s="9" t="s">
        <v>143</v>
      </c>
      <c r="M38" s="21">
        <v>18210</v>
      </c>
    </row>
    <row r="39" spans="1:60">
      <c r="E39" s="21">
        <f t="shared" si="4"/>
        <v>39</v>
      </c>
      <c r="F39" s="9" t="s">
        <v>128</v>
      </c>
      <c r="M39" s="21">
        <v>0</v>
      </c>
    </row>
    <row r="40" spans="1:60">
      <c r="E40" s="21">
        <f t="shared" si="4"/>
        <v>40</v>
      </c>
      <c r="F40" s="9" t="s">
        <v>29</v>
      </c>
      <c r="M40" s="21" t="s">
        <v>250</v>
      </c>
    </row>
    <row r="41" spans="1:60">
      <c r="E41" s="21">
        <f t="shared" si="4"/>
        <v>41</v>
      </c>
      <c r="F41" s="9" t="s">
        <v>99</v>
      </c>
      <c r="G41" s="21" t="s">
        <v>259</v>
      </c>
      <c r="H41" s="9" t="s">
        <v>258</v>
      </c>
      <c r="K41" s="9" t="s">
        <v>137</v>
      </c>
      <c r="M41" s="21" t="str">
        <f t="shared" ref="M41" si="6">IF(C36=1,G41,H41)</f>
        <v>-2.25,0</v>
      </c>
    </row>
    <row r="42" spans="1:60">
      <c r="E42" s="21">
        <f t="shared" si="4"/>
        <v>42</v>
      </c>
      <c r="F42" s="9" t="s">
        <v>249</v>
      </c>
      <c r="G42" s="9" t="s">
        <v>256</v>
      </c>
      <c r="H42" s="9" t="s">
        <v>257</v>
      </c>
      <c r="L42" s="9" t="s">
        <v>135</v>
      </c>
      <c r="M42" s="21" t="str">
        <f t="shared" ref="M42" si="7">IF(C36=1,G42,H42)</f>
        <v>-30</v>
      </c>
    </row>
    <row r="43" spans="1:60">
      <c r="E43" s="21">
        <f t="shared" si="4"/>
        <v>43</v>
      </c>
      <c r="F43" s="9" t="s">
        <v>102</v>
      </c>
      <c r="G43" s="9"/>
      <c r="H43" s="9"/>
      <c r="M43" s="21">
        <f t="shared" ref="M43" si="8">M37*10+9</f>
        <v>183029</v>
      </c>
    </row>
    <row r="44" spans="1:60">
      <c r="E44" s="21">
        <f t="shared" si="4"/>
        <v>44</v>
      </c>
      <c r="F44" s="9" t="s">
        <v>143</v>
      </c>
      <c r="M44" s="21">
        <f t="shared" ref="M44" si="9">M37</f>
        <v>18302</v>
      </c>
    </row>
    <row r="45" spans="1:60">
      <c r="E45" s="21">
        <f t="shared" si="4"/>
        <v>45</v>
      </c>
      <c r="F45" s="9" t="s">
        <v>127</v>
      </c>
      <c r="M45" s="21">
        <v>0</v>
      </c>
    </row>
    <row r="46" spans="1:60">
      <c r="E46" s="21">
        <f t="shared" si="4"/>
        <v>46</v>
      </c>
      <c r="F46" s="9" t="s">
        <v>143</v>
      </c>
      <c r="G46" s="9"/>
      <c r="H46" s="9"/>
      <c r="M46" s="21">
        <f t="shared" ref="M46" si="10">M43</f>
        <v>183029</v>
      </c>
    </row>
    <row r="47" spans="1:60">
      <c r="E47" s="21">
        <f t="shared" si="4"/>
        <v>47</v>
      </c>
      <c r="F47" s="9" t="s">
        <v>128</v>
      </c>
      <c r="M47" s="21">
        <v>0</v>
      </c>
    </row>
    <row r="48" spans="1:60">
      <c r="E48" s="21">
        <f t="shared" si="4"/>
        <v>48</v>
      </c>
      <c r="F48" s="9" t="s">
        <v>35</v>
      </c>
      <c r="M48" s="21">
        <v>120</v>
      </c>
    </row>
    <row r="69" spans="1:60">
      <c r="A69" s="21">
        <f>G71*H71</f>
        <v>24</v>
      </c>
      <c r="B69" s="9"/>
      <c r="C69" s="9"/>
      <c r="D69" s="9"/>
      <c r="R69" s="12"/>
      <c r="S69" s="9"/>
      <c r="U69" s="12"/>
      <c r="X69" s="15"/>
      <c r="AE69" s="16"/>
      <c r="BH69" s="9"/>
    </row>
    <row r="70" spans="1:60">
      <c r="A70" s="21" t="s">
        <v>228</v>
      </c>
      <c r="B70" s="21">
        <f t="shared" ref="B70" si="11">QUOTIENT( D70-1,G71)+1</f>
        <v>1</v>
      </c>
      <c r="C70" s="21">
        <f t="shared" ref="C70" si="12">D70-(B70-1)*G71</f>
        <v>1</v>
      </c>
      <c r="D70" s="21">
        <f>COUNT($D$69:$D69)+1</f>
        <v>1</v>
      </c>
      <c r="R70" s="12"/>
      <c r="S70" s="9"/>
      <c r="U70" s="12"/>
      <c r="X70" s="15"/>
      <c r="AE70" s="16"/>
      <c r="BH70" s="9"/>
    </row>
    <row r="71" spans="1:60">
      <c r="E71" s="21">
        <f t="shared" ref="E71:E135" si="13">ROW(E71)</f>
        <v>71</v>
      </c>
      <c r="F71" s="9" t="s">
        <v>93</v>
      </c>
      <c r="G71" s="21">
        <v>12</v>
      </c>
      <c r="H71" s="21">
        <v>2</v>
      </c>
      <c r="J71" s="9" t="s">
        <v>253</v>
      </c>
      <c r="M71" s="21">
        <f t="shared" ref="M71" si="14">J71+D70</f>
        <v>18401</v>
      </c>
      <c r="R71" s="12"/>
      <c r="S71" s="9"/>
      <c r="U71" s="12"/>
      <c r="X71" s="15"/>
      <c r="AE71" s="16"/>
      <c r="BH71" s="9"/>
    </row>
    <row r="72" spans="1:60">
      <c r="E72" s="21">
        <f t="shared" si="13"/>
        <v>72</v>
      </c>
      <c r="F72" s="9" t="s">
        <v>143</v>
      </c>
      <c r="G72" s="21">
        <v>183019</v>
      </c>
      <c r="H72" s="21">
        <v>183029</v>
      </c>
      <c r="M72" s="21">
        <f>IF(B70=1,G72,H72)</f>
        <v>183019</v>
      </c>
      <c r="R72" s="12"/>
      <c r="S72" s="9"/>
      <c r="U72" s="12"/>
      <c r="X72" s="15"/>
      <c r="AE72" s="16"/>
      <c r="BH72" s="9"/>
    </row>
    <row r="73" spans="1:60">
      <c r="E73" s="21">
        <f t="shared" si="13"/>
        <v>73</v>
      </c>
      <c r="F73" s="9" t="s">
        <v>127</v>
      </c>
      <c r="G73" s="21">
        <v>120</v>
      </c>
      <c r="M73" s="27">
        <f>G73/G71*C70</f>
        <v>10</v>
      </c>
      <c r="R73" s="12"/>
      <c r="S73" s="9"/>
      <c r="U73" s="12"/>
      <c r="X73" s="15"/>
      <c r="AE73" s="16"/>
      <c r="BH73" s="9"/>
    </row>
    <row r="74" spans="1:60">
      <c r="E74" s="21">
        <f t="shared" si="13"/>
        <v>74</v>
      </c>
      <c r="F74" s="9" t="s">
        <v>29</v>
      </c>
      <c r="M74" s="21" t="s">
        <v>251</v>
      </c>
      <c r="R74" s="12"/>
      <c r="S74" s="9"/>
      <c r="U74" s="12"/>
      <c r="X74" s="15"/>
      <c r="AE74" s="16"/>
      <c r="BH74" s="9"/>
    </row>
    <row r="75" spans="1:60">
      <c r="E75" s="21">
        <f t="shared" si="13"/>
        <v>75</v>
      </c>
      <c r="F75" s="9" t="s">
        <v>119</v>
      </c>
      <c r="M75" s="21" t="s">
        <v>255</v>
      </c>
      <c r="R75" s="12"/>
      <c r="S75" s="9"/>
      <c r="U75" s="12"/>
      <c r="X75" s="15"/>
      <c r="AE75" s="16"/>
      <c r="BH75" s="9"/>
    </row>
    <row r="76" spans="1:60">
      <c r="E76" s="21">
        <f t="shared" si="13"/>
        <v>76</v>
      </c>
      <c r="F76" s="9" t="s">
        <v>99</v>
      </c>
      <c r="K76" s="9" t="s">
        <v>138</v>
      </c>
      <c r="M76" s="21">
        <v>2</v>
      </c>
      <c r="R76" s="12"/>
      <c r="S76" s="9"/>
      <c r="U76" s="12"/>
      <c r="X76" s="15"/>
      <c r="AE76" s="16"/>
      <c r="BH76" s="9"/>
    </row>
    <row r="77" spans="1:60">
      <c r="E77" s="21">
        <f t="shared" si="13"/>
        <v>77</v>
      </c>
      <c r="F77" s="9" t="s">
        <v>117</v>
      </c>
      <c r="K77" s="9" t="s">
        <v>138</v>
      </c>
      <c r="M77" s="21">
        <v>2</v>
      </c>
      <c r="R77" s="12"/>
      <c r="S77" s="9"/>
      <c r="U77" s="12"/>
      <c r="X77" s="15"/>
      <c r="AE77" s="16"/>
      <c r="BH77" s="9"/>
    </row>
    <row r="78" spans="1:60">
      <c r="E78" s="21">
        <f t="shared" si="13"/>
        <v>78</v>
      </c>
      <c r="F78" s="9" t="s">
        <v>118</v>
      </c>
      <c r="M78" s="21" t="b">
        <v>1</v>
      </c>
      <c r="R78" s="12"/>
      <c r="S78" s="9"/>
      <c r="U78" s="12"/>
      <c r="X78" s="15"/>
      <c r="AE78" s="16"/>
      <c r="BH78" s="9"/>
    </row>
    <row r="79" spans="1:60">
      <c r="E79" s="21">
        <f t="shared" si="13"/>
        <v>79</v>
      </c>
      <c r="F79" s="9" t="s">
        <v>31</v>
      </c>
      <c r="G79" s="21">
        <v>360</v>
      </c>
      <c r="H79" s="21">
        <v>-360</v>
      </c>
      <c r="L79" s="9" t="s">
        <v>135</v>
      </c>
      <c r="M79" s="26">
        <f>IF(B70=1,G79/G71*C70,H79/G71*C70)</f>
        <v>30</v>
      </c>
      <c r="R79" s="12"/>
      <c r="S79" s="9"/>
      <c r="U79" s="12"/>
      <c r="X79" s="15"/>
      <c r="AE79" s="16"/>
      <c r="BH79" s="9"/>
    </row>
    <row r="80" spans="1:60">
      <c r="E80" s="21">
        <f t="shared" si="13"/>
        <v>80</v>
      </c>
      <c r="F80" s="9" t="s">
        <v>114</v>
      </c>
      <c r="L80" s="9" t="s">
        <v>135</v>
      </c>
      <c r="M80" s="26">
        <v>90</v>
      </c>
      <c r="R80" s="12"/>
      <c r="S80" s="9"/>
      <c r="U80" s="12"/>
      <c r="X80" s="15"/>
      <c r="AE80" s="16"/>
      <c r="BH80" s="9"/>
    </row>
    <row r="81" spans="1:60">
      <c r="E81" s="21">
        <f t="shared" si="13"/>
        <v>81</v>
      </c>
      <c r="F81" s="9" t="s">
        <v>30</v>
      </c>
      <c r="M81" s="26">
        <v>1.2</v>
      </c>
      <c r="R81" s="12"/>
      <c r="S81" s="9"/>
      <c r="U81" s="12"/>
      <c r="X81" s="15"/>
      <c r="AE81" s="16"/>
      <c r="BH81" s="9"/>
    </row>
    <row r="82" spans="1:60">
      <c r="E82" s="21">
        <f t="shared" si="13"/>
        <v>82</v>
      </c>
      <c r="F82" s="9" t="s">
        <v>197</v>
      </c>
      <c r="M82" s="21">
        <v>0</v>
      </c>
      <c r="R82" s="12"/>
      <c r="S82" s="9"/>
      <c r="U82" s="12"/>
      <c r="X82" s="15"/>
      <c r="AE82" s="16"/>
      <c r="BH82" s="9"/>
    </row>
    <row r="83" spans="1:60">
      <c r="A83" s="21" t="s">
        <v>228</v>
      </c>
      <c r="B83" s="21">
        <f t="shared" ref="B83:B146" si="15">QUOTIENT( D83-1,G84)+1</f>
        <v>1</v>
      </c>
      <c r="C83" s="21">
        <f t="shared" ref="C83:C146" si="16">D83-(B83-1)*G84</f>
        <v>2</v>
      </c>
      <c r="D83" s="21">
        <f>COUNT($D$69:$D82)+1</f>
        <v>2</v>
      </c>
    </row>
    <row r="84" spans="1:60">
      <c r="E84" s="21">
        <f t="shared" si="13"/>
        <v>84</v>
      </c>
      <c r="F84" s="9" t="s">
        <v>93</v>
      </c>
      <c r="G84" s="21">
        <v>12</v>
      </c>
      <c r="H84" s="21">
        <v>2</v>
      </c>
      <c r="J84" s="9" t="s">
        <v>252</v>
      </c>
      <c r="M84" s="21">
        <f t="shared" ref="M84:M147" si="17">J84+D83</f>
        <v>18402</v>
      </c>
    </row>
    <row r="85" spans="1:60">
      <c r="E85" s="21">
        <f t="shared" si="13"/>
        <v>85</v>
      </c>
      <c r="F85" s="9" t="s">
        <v>143</v>
      </c>
      <c r="G85" s="21">
        <v>183019</v>
      </c>
      <c r="H85" s="21">
        <v>183029</v>
      </c>
      <c r="M85" s="21">
        <f t="shared" ref="M85" si="18">IF(B83=1,G85,H85)</f>
        <v>183019</v>
      </c>
    </row>
    <row r="86" spans="1:60">
      <c r="E86" s="21">
        <f t="shared" si="13"/>
        <v>86</v>
      </c>
      <c r="F86" s="9" t="s">
        <v>127</v>
      </c>
      <c r="G86" s="21">
        <v>120</v>
      </c>
      <c r="M86" s="21">
        <f t="shared" ref="M86" si="19">G86/G84*C83</f>
        <v>20</v>
      </c>
    </row>
    <row r="87" spans="1:60">
      <c r="E87" s="21">
        <f t="shared" si="13"/>
        <v>87</v>
      </c>
      <c r="F87" s="9" t="s">
        <v>29</v>
      </c>
      <c r="M87" s="21" t="s">
        <v>251</v>
      </c>
    </row>
    <row r="88" spans="1:60">
      <c r="E88" s="21">
        <f t="shared" si="13"/>
        <v>88</v>
      </c>
      <c r="F88" s="9" t="s">
        <v>119</v>
      </c>
      <c r="M88" s="21" t="s">
        <v>254</v>
      </c>
    </row>
    <row r="89" spans="1:60">
      <c r="E89" s="21">
        <f t="shared" si="13"/>
        <v>89</v>
      </c>
      <c r="F89" s="9" t="s">
        <v>99</v>
      </c>
      <c r="K89" s="9" t="s">
        <v>138</v>
      </c>
      <c r="M89" s="21">
        <v>2</v>
      </c>
    </row>
    <row r="90" spans="1:60">
      <c r="E90" s="21">
        <f t="shared" si="13"/>
        <v>90</v>
      </c>
      <c r="F90" s="9" t="s">
        <v>117</v>
      </c>
      <c r="K90" s="9" t="s">
        <v>138</v>
      </c>
      <c r="M90" s="21">
        <v>2</v>
      </c>
    </row>
    <row r="91" spans="1:60">
      <c r="E91" s="21">
        <f t="shared" si="13"/>
        <v>91</v>
      </c>
      <c r="F91" s="9" t="s">
        <v>118</v>
      </c>
      <c r="M91" s="21" t="b">
        <v>1</v>
      </c>
    </row>
    <row r="92" spans="1:60">
      <c r="E92" s="21">
        <f t="shared" si="13"/>
        <v>92</v>
      </c>
      <c r="F92" s="9" t="s">
        <v>31</v>
      </c>
      <c r="G92" s="21">
        <v>360</v>
      </c>
      <c r="H92" s="21">
        <v>-360</v>
      </c>
      <c r="L92" s="9" t="s">
        <v>135</v>
      </c>
      <c r="M92" s="21">
        <f t="shared" ref="M92" si="20">IF(B83=1,G92/G84*C83,H92/G84*C83)</f>
        <v>60</v>
      </c>
    </row>
    <row r="93" spans="1:60">
      <c r="E93" s="21">
        <f t="shared" si="13"/>
        <v>93</v>
      </c>
      <c r="F93" s="9" t="s">
        <v>114</v>
      </c>
      <c r="L93" s="9" t="s">
        <v>135</v>
      </c>
      <c r="M93" s="21">
        <v>90</v>
      </c>
    </row>
    <row r="94" spans="1:60">
      <c r="E94" s="21">
        <f t="shared" si="13"/>
        <v>94</v>
      </c>
      <c r="F94" s="9" t="s">
        <v>30</v>
      </c>
      <c r="M94" s="21">
        <v>1.2</v>
      </c>
    </row>
    <row r="95" spans="1:60">
      <c r="E95" s="21">
        <f t="shared" si="13"/>
        <v>95</v>
      </c>
      <c r="F95" s="9" t="s">
        <v>197</v>
      </c>
      <c r="M95" s="21">
        <v>0</v>
      </c>
    </row>
    <row r="96" spans="1:60">
      <c r="A96" s="21" t="s">
        <v>228</v>
      </c>
      <c r="B96" s="21">
        <f t="shared" ref="B96:B159" si="21">QUOTIENT( D96-1,G97)+1</f>
        <v>1</v>
      </c>
      <c r="C96" s="21">
        <f t="shared" ref="C96:C159" si="22">D96-(B96-1)*G97</f>
        <v>3</v>
      </c>
      <c r="D96" s="21">
        <f>COUNT($D$69:$D95)+1</f>
        <v>3</v>
      </c>
    </row>
    <row r="97" spans="1:13">
      <c r="E97" s="21">
        <f t="shared" si="13"/>
        <v>97</v>
      </c>
      <c r="F97" s="9" t="s">
        <v>93</v>
      </c>
      <c r="G97" s="21">
        <v>12</v>
      </c>
      <c r="H97" s="21">
        <v>2</v>
      </c>
      <c r="J97" s="9" t="s">
        <v>252</v>
      </c>
      <c r="M97" s="21">
        <f t="shared" ref="M97:M160" si="23">J97+D96</f>
        <v>18403</v>
      </c>
    </row>
    <row r="98" spans="1:13">
      <c r="E98" s="21">
        <f t="shared" si="13"/>
        <v>98</v>
      </c>
      <c r="F98" s="9" t="s">
        <v>143</v>
      </c>
      <c r="G98" s="21">
        <v>183019</v>
      </c>
      <c r="H98" s="21">
        <v>183029</v>
      </c>
      <c r="M98" s="21">
        <f t="shared" ref="M98" si="24">IF(B96=1,G98,H98)</f>
        <v>183019</v>
      </c>
    </row>
    <row r="99" spans="1:13">
      <c r="E99" s="21">
        <f t="shared" si="13"/>
        <v>99</v>
      </c>
      <c r="F99" s="9" t="s">
        <v>127</v>
      </c>
      <c r="G99" s="21">
        <v>120</v>
      </c>
      <c r="M99" s="21">
        <f t="shared" ref="M99" si="25">G99/G97*C96</f>
        <v>30</v>
      </c>
    </row>
    <row r="100" spans="1:13">
      <c r="E100" s="21">
        <f t="shared" si="13"/>
        <v>100</v>
      </c>
      <c r="F100" s="9" t="s">
        <v>29</v>
      </c>
      <c r="M100" s="21" t="s">
        <v>251</v>
      </c>
    </row>
    <row r="101" spans="1:13">
      <c r="E101" s="21">
        <f t="shared" si="13"/>
        <v>101</v>
      </c>
      <c r="F101" s="9" t="s">
        <v>119</v>
      </c>
      <c r="M101" s="21" t="s">
        <v>254</v>
      </c>
    </row>
    <row r="102" spans="1:13">
      <c r="E102" s="21">
        <f t="shared" si="13"/>
        <v>102</v>
      </c>
      <c r="F102" s="9" t="s">
        <v>99</v>
      </c>
      <c r="K102" s="9" t="s">
        <v>138</v>
      </c>
      <c r="M102" s="21">
        <v>2</v>
      </c>
    </row>
    <row r="103" spans="1:13">
      <c r="E103" s="21">
        <f t="shared" si="13"/>
        <v>103</v>
      </c>
      <c r="F103" s="9" t="s">
        <v>117</v>
      </c>
      <c r="G103" s="27"/>
      <c r="H103" s="28"/>
      <c r="K103" s="9" t="s">
        <v>138</v>
      </c>
      <c r="M103" s="21">
        <v>2</v>
      </c>
    </row>
    <row r="104" spans="1:13">
      <c r="E104" s="21">
        <f t="shared" si="13"/>
        <v>104</v>
      </c>
      <c r="F104" s="9" t="s">
        <v>118</v>
      </c>
      <c r="M104" s="21" t="b">
        <v>1</v>
      </c>
    </row>
    <row r="105" spans="1:13">
      <c r="E105" s="21">
        <f t="shared" si="13"/>
        <v>105</v>
      </c>
      <c r="F105" s="9" t="s">
        <v>31</v>
      </c>
      <c r="G105" s="21">
        <v>360</v>
      </c>
      <c r="H105" s="21">
        <v>-360</v>
      </c>
      <c r="L105" s="9" t="s">
        <v>135</v>
      </c>
      <c r="M105" s="21">
        <f t="shared" ref="M105" si="26">IF(B96=1,G105/G97*C96,H105/G97*C96)</f>
        <v>90</v>
      </c>
    </row>
    <row r="106" spans="1:13">
      <c r="E106" s="21">
        <f t="shared" si="13"/>
        <v>106</v>
      </c>
      <c r="F106" s="9" t="s">
        <v>114</v>
      </c>
      <c r="L106" s="9" t="s">
        <v>135</v>
      </c>
      <c r="M106" s="21">
        <v>90</v>
      </c>
    </row>
    <row r="107" spans="1:13">
      <c r="E107" s="21">
        <f t="shared" si="13"/>
        <v>107</v>
      </c>
      <c r="F107" s="9" t="s">
        <v>30</v>
      </c>
      <c r="M107" s="21">
        <v>1.2</v>
      </c>
    </row>
    <row r="108" spans="1:13">
      <c r="E108" s="21">
        <f t="shared" si="13"/>
        <v>108</v>
      </c>
      <c r="F108" s="9" t="s">
        <v>197</v>
      </c>
      <c r="M108" s="21">
        <v>0</v>
      </c>
    </row>
    <row r="109" spans="1:13">
      <c r="A109" s="21" t="s">
        <v>228</v>
      </c>
      <c r="B109" s="21">
        <f t="shared" ref="B109:B172" si="27">QUOTIENT( D109-1,G110)+1</f>
        <v>1</v>
      </c>
      <c r="C109" s="21">
        <f t="shared" ref="C109:C172" si="28">D109-(B109-1)*G110</f>
        <v>4</v>
      </c>
      <c r="D109" s="21">
        <f>COUNT($D$69:$D108)+1</f>
        <v>4</v>
      </c>
    </row>
    <row r="110" spans="1:13">
      <c r="E110" s="21">
        <f t="shared" si="13"/>
        <v>110</v>
      </c>
      <c r="F110" s="9" t="s">
        <v>93</v>
      </c>
      <c r="G110" s="21">
        <v>12</v>
      </c>
      <c r="H110" s="21">
        <v>2</v>
      </c>
      <c r="J110" s="9" t="s">
        <v>252</v>
      </c>
      <c r="M110" s="21">
        <f t="shared" ref="M110:M173" si="29">J110+D109</f>
        <v>18404</v>
      </c>
    </row>
    <row r="111" spans="1:13">
      <c r="E111" s="21">
        <f t="shared" si="13"/>
        <v>111</v>
      </c>
      <c r="F111" s="9" t="s">
        <v>143</v>
      </c>
      <c r="G111" s="21">
        <v>183019</v>
      </c>
      <c r="H111" s="21">
        <v>183029</v>
      </c>
      <c r="M111" s="21">
        <f t="shared" ref="M111" si="30">IF(B109=1,G111,H111)</f>
        <v>183019</v>
      </c>
    </row>
    <row r="112" spans="1:13">
      <c r="E112" s="21">
        <f t="shared" si="13"/>
        <v>112</v>
      </c>
      <c r="F112" s="9" t="s">
        <v>127</v>
      </c>
      <c r="G112" s="21">
        <v>120</v>
      </c>
      <c r="M112" s="21">
        <f t="shared" ref="M112" si="31">G112/G110*C109</f>
        <v>40</v>
      </c>
    </row>
    <row r="113" spans="1:13">
      <c r="E113" s="21">
        <f t="shared" si="13"/>
        <v>113</v>
      </c>
      <c r="F113" s="9" t="s">
        <v>29</v>
      </c>
      <c r="M113" s="21" t="s">
        <v>251</v>
      </c>
    </row>
    <row r="114" spans="1:13">
      <c r="E114" s="21">
        <f t="shared" si="13"/>
        <v>114</v>
      </c>
      <c r="F114" s="9" t="s">
        <v>119</v>
      </c>
      <c r="M114" s="21" t="s">
        <v>254</v>
      </c>
    </row>
    <row r="115" spans="1:13">
      <c r="E115" s="21">
        <f t="shared" si="13"/>
        <v>115</v>
      </c>
      <c r="F115" s="9" t="s">
        <v>99</v>
      </c>
      <c r="K115" s="9" t="s">
        <v>138</v>
      </c>
      <c r="M115" s="21">
        <v>2</v>
      </c>
    </row>
    <row r="116" spans="1:13">
      <c r="E116" s="21">
        <f t="shared" si="13"/>
        <v>116</v>
      </c>
      <c r="F116" s="9" t="s">
        <v>117</v>
      </c>
      <c r="K116" s="9" t="s">
        <v>138</v>
      </c>
      <c r="M116" s="21">
        <v>2</v>
      </c>
    </row>
    <row r="117" spans="1:13">
      <c r="E117" s="21">
        <f t="shared" si="13"/>
        <v>117</v>
      </c>
      <c r="F117" s="9" t="s">
        <v>118</v>
      </c>
      <c r="M117" s="21" t="b">
        <v>1</v>
      </c>
    </row>
    <row r="118" spans="1:13">
      <c r="E118" s="21">
        <f t="shared" si="13"/>
        <v>118</v>
      </c>
      <c r="F118" s="9" t="s">
        <v>31</v>
      </c>
      <c r="G118" s="21">
        <v>360</v>
      </c>
      <c r="H118" s="21">
        <v>-360</v>
      </c>
      <c r="L118" s="9" t="s">
        <v>135</v>
      </c>
      <c r="M118" s="21">
        <f t="shared" ref="M118" si="32">IF(B109=1,G118/G110*C109,H118/G110*C109)</f>
        <v>120</v>
      </c>
    </row>
    <row r="119" spans="1:13">
      <c r="E119" s="21">
        <f t="shared" si="13"/>
        <v>119</v>
      </c>
      <c r="F119" s="9" t="s">
        <v>114</v>
      </c>
      <c r="L119" s="9" t="s">
        <v>135</v>
      </c>
      <c r="M119" s="21">
        <v>90</v>
      </c>
    </row>
    <row r="120" spans="1:13">
      <c r="E120" s="21">
        <f t="shared" si="13"/>
        <v>120</v>
      </c>
      <c r="F120" s="9" t="s">
        <v>30</v>
      </c>
      <c r="M120" s="21">
        <v>1.2</v>
      </c>
    </row>
    <row r="121" spans="1:13">
      <c r="E121" s="21">
        <f t="shared" si="13"/>
        <v>121</v>
      </c>
      <c r="F121" s="9" t="s">
        <v>197</v>
      </c>
      <c r="M121" s="21">
        <v>0</v>
      </c>
    </row>
    <row r="122" spans="1:13">
      <c r="A122" s="21" t="s">
        <v>228</v>
      </c>
      <c r="B122" s="21">
        <f t="shared" ref="B122:B185" si="33">QUOTIENT( D122-1,G123)+1</f>
        <v>1</v>
      </c>
      <c r="C122" s="21">
        <f t="shared" ref="C122:C185" si="34">D122-(B122-1)*G123</f>
        <v>5</v>
      </c>
      <c r="D122" s="21">
        <f>COUNT($D$69:$D121)+1</f>
        <v>5</v>
      </c>
    </row>
    <row r="123" spans="1:13">
      <c r="E123" s="21">
        <f t="shared" si="13"/>
        <v>123</v>
      </c>
      <c r="F123" s="9" t="s">
        <v>93</v>
      </c>
      <c r="G123" s="21">
        <v>12</v>
      </c>
      <c r="H123" s="21">
        <v>2</v>
      </c>
      <c r="J123" s="9" t="s">
        <v>252</v>
      </c>
      <c r="M123" s="21">
        <f t="shared" ref="M123:M186" si="35">J123+D122</f>
        <v>18405</v>
      </c>
    </row>
    <row r="124" spans="1:13">
      <c r="E124" s="21">
        <f t="shared" si="13"/>
        <v>124</v>
      </c>
      <c r="F124" s="9" t="s">
        <v>143</v>
      </c>
      <c r="G124" s="21">
        <v>183019</v>
      </c>
      <c r="H124" s="21">
        <v>183029</v>
      </c>
      <c r="M124" s="21">
        <f t="shared" ref="M124" si="36">IF(B122=1,G124,H124)</f>
        <v>183019</v>
      </c>
    </row>
    <row r="125" spans="1:13">
      <c r="E125" s="21">
        <f t="shared" si="13"/>
        <v>125</v>
      </c>
      <c r="F125" s="9" t="s">
        <v>127</v>
      </c>
      <c r="G125" s="21">
        <v>120</v>
      </c>
      <c r="M125" s="21">
        <f t="shared" ref="M125" si="37">G125/G123*C122</f>
        <v>50</v>
      </c>
    </row>
    <row r="126" spans="1:13">
      <c r="E126" s="21">
        <f t="shared" si="13"/>
        <v>126</v>
      </c>
      <c r="F126" s="9" t="s">
        <v>29</v>
      </c>
      <c r="M126" s="21" t="s">
        <v>251</v>
      </c>
    </row>
    <row r="127" spans="1:13">
      <c r="E127" s="21">
        <f t="shared" si="13"/>
        <v>127</v>
      </c>
      <c r="F127" s="9" t="s">
        <v>119</v>
      </c>
      <c r="M127" s="21" t="s">
        <v>254</v>
      </c>
    </row>
    <row r="128" spans="1:13">
      <c r="E128" s="21">
        <f t="shared" si="13"/>
        <v>128</v>
      </c>
      <c r="F128" s="9" t="s">
        <v>99</v>
      </c>
      <c r="K128" s="9" t="s">
        <v>138</v>
      </c>
      <c r="M128" s="21">
        <v>2</v>
      </c>
    </row>
    <row r="129" spans="1:13">
      <c r="E129" s="21">
        <f t="shared" si="13"/>
        <v>129</v>
      </c>
      <c r="F129" s="9" t="s">
        <v>117</v>
      </c>
      <c r="K129" s="9" t="s">
        <v>138</v>
      </c>
      <c r="M129" s="21">
        <v>2</v>
      </c>
    </row>
    <row r="130" spans="1:13">
      <c r="E130" s="21">
        <f t="shared" si="13"/>
        <v>130</v>
      </c>
      <c r="F130" s="9" t="s">
        <v>118</v>
      </c>
      <c r="M130" s="21" t="b">
        <v>1</v>
      </c>
    </row>
    <row r="131" spans="1:13">
      <c r="E131" s="21">
        <f t="shared" si="13"/>
        <v>131</v>
      </c>
      <c r="F131" s="9" t="s">
        <v>31</v>
      </c>
      <c r="G131" s="21">
        <v>360</v>
      </c>
      <c r="H131" s="21">
        <v>-360</v>
      </c>
      <c r="L131" s="9" t="s">
        <v>135</v>
      </c>
      <c r="M131" s="21">
        <f t="shared" ref="M131" si="38">IF(B122=1,G131/G123*C122,H131/G123*C122)</f>
        <v>150</v>
      </c>
    </row>
    <row r="132" spans="1:13">
      <c r="E132" s="21">
        <f t="shared" si="13"/>
        <v>132</v>
      </c>
      <c r="F132" s="9" t="s">
        <v>114</v>
      </c>
      <c r="L132" s="9" t="s">
        <v>135</v>
      </c>
      <c r="M132" s="21">
        <v>90</v>
      </c>
    </row>
    <row r="133" spans="1:13">
      <c r="E133" s="21">
        <f t="shared" si="13"/>
        <v>133</v>
      </c>
      <c r="F133" s="9" t="s">
        <v>30</v>
      </c>
      <c r="M133" s="21">
        <v>1.2</v>
      </c>
    </row>
    <row r="134" spans="1:13">
      <c r="E134" s="21">
        <f t="shared" si="13"/>
        <v>134</v>
      </c>
      <c r="F134" s="9" t="s">
        <v>197</v>
      </c>
      <c r="M134" s="21">
        <v>0</v>
      </c>
    </row>
    <row r="135" spans="1:13">
      <c r="A135" s="21" t="s">
        <v>228</v>
      </c>
      <c r="B135" s="21">
        <f t="shared" ref="B135:B198" si="39">QUOTIENT( D135-1,G136)+1</f>
        <v>1</v>
      </c>
      <c r="C135" s="21">
        <f t="shared" ref="C135:C198" si="40">D135-(B135-1)*G136</f>
        <v>6</v>
      </c>
      <c r="D135" s="21">
        <f>COUNT($D$69:$D134)+1</f>
        <v>6</v>
      </c>
    </row>
    <row r="136" spans="1:13">
      <c r="E136" s="21">
        <f t="shared" ref="E136:E199" si="41">ROW(E136)</f>
        <v>136</v>
      </c>
      <c r="F136" s="9" t="s">
        <v>93</v>
      </c>
      <c r="G136" s="21">
        <v>12</v>
      </c>
      <c r="H136" s="21">
        <v>2</v>
      </c>
      <c r="J136" s="9" t="s">
        <v>252</v>
      </c>
      <c r="M136" s="21">
        <f t="shared" ref="M136:M199" si="42">J136+D135</f>
        <v>18406</v>
      </c>
    </row>
    <row r="137" spans="1:13">
      <c r="E137" s="21">
        <f t="shared" si="41"/>
        <v>137</v>
      </c>
      <c r="F137" s="9" t="s">
        <v>143</v>
      </c>
      <c r="G137" s="21">
        <v>183019</v>
      </c>
      <c r="H137" s="21">
        <v>183029</v>
      </c>
      <c r="M137" s="21">
        <f t="shared" ref="M137" si="43">IF(B135=1,G137,H137)</f>
        <v>183019</v>
      </c>
    </row>
    <row r="138" spans="1:13">
      <c r="E138" s="21">
        <f t="shared" si="41"/>
        <v>138</v>
      </c>
      <c r="F138" s="9" t="s">
        <v>127</v>
      </c>
      <c r="G138" s="21">
        <v>120</v>
      </c>
      <c r="M138" s="21">
        <f t="shared" ref="M138" si="44">G138/G136*C135</f>
        <v>60</v>
      </c>
    </row>
    <row r="139" spans="1:13">
      <c r="E139" s="21">
        <f t="shared" si="41"/>
        <v>139</v>
      </c>
      <c r="F139" s="9" t="s">
        <v>29</v>
      </c>
      <c r="M139" s="21" t="s">
        <v>251</v>
      </c>
    </row>
    <row r="140" spans="1:13">
      <c r="E140" s="21">
        <f t="shared" si="41"/>
        <v>140</v>
      </c>
      <c r="F140" s="9" t="s">
        <v>119</v>
      </c>
      <c r="M140" s="21" t="s">
        <v>254</v>
      </c>
    </row>
    <row r="141" spans="1:13">
      <c r="E141" s="21">
        <f t="shared" si="41"/>
        <v>141</v>
      </c>
      <c r="F141" s="9" t="s">
        <v>99</v>
      </c>
      <c r="K141" s="9" t="s">
        <v>138</v>
      </c>
      <c r="M141" s="21">
        <v>2</v>
      </c>
    </row>
    <row r="142" spans="1:13">
      <c r="E142" s="21">
        <f t="shared" si="41"/>
        <v>142</v>
      </c>
      <c r="F142" s="9" t="s">
        <v>117</v>
      </c>
      <c r="K142" s="9" t="s">
        <v>138</v>
      </c>
      <c r="M142" s="21">
        <v>2</v>
      </c>
    </row>
    <row r="143" spans="1:13">
      <c r="E143" s="21">
        <f t="shared" si="41"/>
        <v>143</v>
      </c>
      <c r="F143" s="9" t="s">
        <v>118</v>
      </c>
      <c r="M143" s="21" t="b">
        <v>1</v>
      </c>
    </row>
    <row r="144" spans="1:13">
      <c r="E144" s="21">
        <f t="shared" si="41"/>
        <v>144</v>
      </c>
      <c r="F144" s="9" t="s">
        <v>31</v>
      </c>
      <c r="G144" s="21">
        <v>360</v>
      </c>
      <c r="H144" s="21">
        <v>-360</v>
      </c>
      <c r="L144" s="9" t="s">
        <v>135</v>
      </c>
      <c r="M144" s="21">
        <f t="shared" ref="M144" si="45">IF(B135=1,G144/G136*C135,H144/G136*C135)</f>
        <v>180</v>
      </c>
    </row>
    <row r="145" spans="1:13">
      <c r="E145" s="21">
        <f t="shared" si="41"/>
        <v>145</v>
      </c>
      <c r="F145" s="9" t="s">
        <v>114</v>
      </c>
      <c r="L145" s="9" t="s">
        <v>135</v>
      </c>
      <c r="M145" s="21">
        <v>90</v>
      </c>
    </row>
    <row r="146" spans="1:13">
      <c r="E146" s="21">
        <f t="shared" si="41"/>
        <v>146</v>
      </c>
      <c r="F146" s="9" t="s">
        <v>30</v>
      </c>
      <c r="M146" s="21">
        <v>1.2</v>
      </c>
    </row>
    <row r="147" spans="1:13">
      <c r="E147" s="21">
        <f t="shared" si="41"/>
        <v>147</v>
      </c>
      <c r="F147" s="9" t="s">
        <v>197</v>
      </c>
      <c r="M147" s="21">
        <v>0</v>
      </c>
    </row>
    <row r="148" spans="1:13">
      <c r="A148" s="21" t="s">
        <v>228</v>
      </c>
      <c r="B148" s="21">
        <f t="shared" ref="B148:B211" si="46">QUOTIENT( D148-1,G149)+1</f>
        <v>1</v>
      </c>
      <c r="C148" s="21">
        <f t="shared" ref="C148:C211" si="47">D148-(B148-1)*G149</f>
        <v>7</v>
      </c>
      <c r="D148" s="21">
        <f>COUNT($D$69:$D147)+1</f>
        <v>7</v>
      </c>
    </row>
    <row r="149" spans="1:13">
      <c r="E149" s="21">
        <f t="shared" si="41"/>
        <v>149</v>
      </c>
      <c r="F149" s="9" t="s">
        <v>93</v>
      </c>
      <c r="G149" s="21">
        <v>12</v>
      </c>
      <c r="H149" s="21">
        <v>2</v>
      </c>
      <c r="J149" s="9" t="s">
        <v>252</v>
      </c>
      <c r="M149" s="21">
        <f t="shared" ref="M149:M212" si="48">J149+D148</f>
        <v>18407</v>
      </c>
    </row>
    <row r="150" spans="1:13">
      <c r="E150" s="21">
        <f t="shared" si="41"/>
        <v>150</v>
      </c>
      <c r="F150" s="9" t="s">
        <v>143</v>
      </c>
      <c r="G150" s="21">
        <v>183019</v>
      </c>
      <c r="H150" s="21">
        <v>183029</v>
      </c>
      <c r="M150" s="21">
        <f t="shared" ref="M150" si="49">IF(B148=1,G150,H150)</f>
        <v>183019</v>
      </c>
    </row>
    <row r="151" spans="1:13">
      <c r="E151" s="21">
        <f t="shared" si="41"/>
        <v>151</v>
      </c>
      <c r="F151" s="9" t="s">
        <v>127</v>
      </c>
      <c r="G151" s="21">
        <v>120</v>
      </c>
      <c r="M151" s="21">
        <f t="shared" ref="M151" si="50">G151/G149*C148</f>
        <v>70</v>
      </c>
    </row>
    <row r="152" spans="1:13">
      <c r="E152" s="21">
        <f t="shared" si="41"/>
        <v>152</v>
      </c>
      <c r="F152" s="9" t="s">
        <v>29</v>
      </c>
      <c r="M152" s="21" t="s">
        <v>251</v>
      </c>
    </row>
    <row r="153" spans="1:13">
      <c r="E153" s="21">
        <f t="shared" si="41"/>
        <v>153</v>
      </c>
      <c r="F153" s="9" t="s">
        <v>119</v>
      </c>
      <c r="M153" s="21" t="s">
        <v>254</v>
      </c>
    </row>
    <row r="154" spans="1:13">
      <c r="E154" s="21">
        <f t="shared" si="41"/>
        <v>154</v>
      </c>
      <c r="F154" s="9" t="s">
        <v>99</v>
      </c>
      <c r="K154" s="9" t="s">
        <v>138</v>
      </c>
      <c r="M154" s="21">
        <v>2</v>
      </c>
    </row>
    <row r="155" spans="1:13">
      <c r="E155" s="21">
        <f t="shared" si="41"/>
        <v>155</v>
      </c>
      <c r="F155" s="9" t="s">
        <v>117</v>
      </c>
      <c r="K155" s="9" t="s">
        <v>138</v>
      </c>
      <c r="M155" s="21">
        <v>2</v>
      </c>
    </row>
    <row r="156" spans="1:13">
      <c r="E156" s="21">
        <f t="shared" si="41"/>
        <v>156</v>
      </c>
      <c r="F156" s="9" t="s">
        <v>118</v>
      </c>
      <c r="M156" s="21" t="b">
        <v>1</v>
      </c>
    </row>
    <row r="157" spans="1:13">
      <c r="E157" s="21">
        <f t="shared" si="41"/>
        <v>157</v>
      </c>
      <c r="F157" s="9" t="s">
        <v>31</v>
      </c>
      <c r="G157" s="21">
        <v>360</v>
      </c>
      <c r="H157" s="21">
        <v>-360</v>
      </c>
      <c r="L157" s="9" t="s">
        <v>135</v>
      </c>
      <c r="M157" s="21">
        <f t="shared" ref="M157" si="51">IF(B148=1,G157/G149*C148,H157/G149*C148)</f>
        <v>210</v>
      </c>
    </row>
    <row r="158" spans="1:13">
      <c r="E158" s="21">
        <f t="shared" si="41"/>
        <v>158</v>
      </c>
      <c r="F158" s="9" t="s">
        <v>114</v>
      </c>
      <c r="L158" s="9" t="s">
        <v>135</v>
      </c>
      <c r="M158" s="21">
        <v>90</v>
      </c>
    </row>
    <row r="159" spans="1:13">
      <c r="E159" s="21">
        <f t="shared" si="41"/>
        <v>159</v>
      </c>
      <c r="F159" s="9" t="s">
        <v>30</v>
      </c>
      <c r="M159" s="21">
        <v>1.2</v>
      </c>
    </row>
    <row r="160" spans="1:13">
      <c r="E160" s="21">
        <f t="shared" si="41"/>
        <v>160</v>
      </c>
      <c r="F160" s="9" t="s">
        <v>197</v>
      </c>
      <c r="M160" s="21">
        <v>0</v>
      </c>
    </row>
    <row r="161" spans="1:13">
      <c r="A161" s="21" t="s">
        <v>228</v>
      </c>
      <c r="B161" s="21">
        <f t="shared" ref="B161:B224" si="52">QUOTIENT( D161-1,G162)+1</f>
        <v>1</v>
      </c>
      <c r="C161" s="21">
        <f t="shared" ref="C161:C224" si="53">D161-(B161-1)*G162</f>
        <v>8</v>
      </c>
      <c r="D161" s="21">
        <f>COUNT($D$69:$D160)+1</f>
        <v>8</v>
      </c>
    </row>
    <row r="162" spans="1:13">
      <c r="E162" s="21">
        <f t="shared" si="41"/>
        <v>162</v>
      </c>
      <c r="F162" s="9" t="s">
        <v>93</v>
      </c>
      <c r="G162" s="21">
        <v>12</v>
      </c>
      <c r="H162" s="21">
        <v>2</v>
      </c>
      <c r="J162" s="9" t="s">
        <v>252</v>
      </c>
      <c r="M162" s="21">
        <f t="shared" ref="M162:M225" si="54">J162+D161</f>
        <v>18408</v>
      </c>
    </row>
    <row r="163" spans="1:13">
      <c r="E163" s="21">
        <f t="shared" si="41"/>
        <v>163</v>
      </c>
      <c r="F163" s="9" t="s">
        <v>143</v>
      </c>
      <c r="G163" s="21">
        <v>183019</v>
      </c>
      <c r="H163" s="21">
        <v>183029</v>
      </c>
      <c r="M163" s="21">
        <f t="shared" ref="M163" si="55">IF(B161=1,G163,H163)</f>
        <v>183019</v>
      </c>
    </row>
    <row r="164" spans="1:13">
      <c r="E164" s="21">
        <f t="shared" si="41"/>
        <v>164</v>
      </c>
      <c r="F164" s="9" t="s">
        <v>127</v>
      </c>
      <c r="G164" s="21">
        <v>120</v>
      </c>
      <c r="M164" s="21">
        <f t="shared" ref="M164" si="56">G164/G162*C161</f>
        <v>80</v>
      </c>
    </row>
    <row r="165" spans="1:13">
      <c r="E165" s="21">
        <f t="shared" si="41"/>
        <v>165</v>
      </c>
      <c r="F165" s="9" t="s">
        <v>29</v>
      </c>
      <c r="M165" s="21" t="s">
        <v>251</v>
      </c>
    </row>
    <row r="166" spans="1:13">
      <c r="E166" s="21">
        <f t="shared" si="41"/>
        <v>166</v>
      </c>
      <c r="F166" s="9" t="s">
        <v>119</v>
      </c>
      <c r="M166" s="21" t="s">
        <v>254</v>
      </c>
    </row>
    <row r="167" spans="1:13">
      <c r="E167" s="21">
        <f t="shared" si="41"/>
        <v>167</v>
      </c>
      <c r="F167" s="9" t="s">
        <v>99</v>
      </c>
      <c r="K167" s="9" t="s">
        <v>138</v>
      </c>
      <c r="M167" s="21">
        <v>2</v>
      </c>
    </row>
    <row r="168" spans="1:13">
      <c r="E168" s="21">
        <f t="shared" si="41"/>
        <v>168</v>
      </c>
      <c r="F168" s="9" t="s">
        <v>117</v>
      </c>
      <c r="K168" s="9" t="s">
        <v>138</v>
      </c>
      <c r="M168" s="21">
        <v>2</v>
      </c>
    </row>
    <row r="169" spans="1:13">
      <c r="E169" s="21">
        <f t="shared" si="41"/>
        <v>169</v>
      </c>
      <c r="F169" s="9" t="s">
        <v>118</v>
      </c>
      <c r="M169" s="21" t="b">
        <v>1</v>
      </c>
    </row>
    <row r="170" spans="1:13">
      <c r="E170" s="21">
        <f t="shared" si="41"/>
        <v>170</v>
      </c>
      <c r="F170" s="9" t="s">
        <v>31</v>
      </c>
      <c r="G170" s="21">
        <v>360</v>
      </c>
      <c r="H170" s="21">
        <v>-360</v>
      </c>
      <c r="L170" s="9" t="s">
        <v>135</v>
      </c>
      <c r="M170" s="21">
        <f t="shared" ref="M170" si="57">IF(B161=1,G170/G162*C161,H170/G162*C161)</f>
        <v>240</v>
      </c>
    </row>
    <row r="171" spans="1:13">
      <c r="E171" s="21">
        <f t="shared" si="41"/>
        <v>171</v>
      </c>
      <c r="F171" s="9" t="s">
        <v>114</v>
      </c>
      <c r="L171" s="9" t="s">
        <v>135</v>
      </c>
      <c r="M171" s="21">
        <v>90</v>
      </c>
    </row>
    <row r="172" spans="1:13">
      <c r="E172" s="21">
        <f t="shared" si="41"/>
        <v>172</v>
      </c>
      <c r="F172" s="9" t="s">
        <v>30</v>
      </c>
      <c r="M172" s="21">
        <v>1.2</v>
      </c>
    </row>
    <row r="173" spans="1:13">
      <c r="E173" s="21">
        <f t="shared" si="41"/>
        <v>173</v>
      </c>
      <c r="F173" s="9" t="s">
        <v>197</v>
      </c>
      <c r="M173" s="21">
        <v>0</v>
      </c>
    </row>
    <row r="174" spans="1:13">
      <c r="A174" s="21" t="s">
        <v>228</v>
      </c>
      <c r="B174" s="21">
        <f t="shared" ref="B174:B237" si="58">QUOTIENT( D174-1,G175)+1</f>
        <v>1</v>
      </c>
      <c r="C174" s="21">
        <f t="shared" ref="C174:C237" si="59">D174-(B174-1)*G175</f>
        <v>9</v>
      </c>
      <c r="D174" s="21">
        <f>COUNT($D$69:$D173)+1</f>
        <v>9</v>
      </c>
    </row>
    <row r="175" spans="1:13">
      <c r="E175" s="21">
        <f t="shared" si="41"/>
        <v>175</v>
      </c>
      <c r="F175" s="9" t="s">
        <v>93</v>
      </c>
      <c r="G175" s="21">
        <v>12</v>
      </c>
      <c r="H175" s="21">
        <v>2</v>
      </c>
      <c r="J175" s="9" t="s">
        <v>252</v>
      </c>
      <c r="M175" s="21">
        <f t="shared" ref="M175:M238" si="60">J175+D174</f>
        <v>18409</v>
      </c>
    </row>
    <row r="176" spans="1:13">
      <c r="E176" s="21">
        <f t="shared" si="41"/>
        <v>176</v>
      </c>
      <c r="F176" s="9" t="s">
        <v>143</v>
      </c>
      <c r="G176" s="21">
        <v>183019</v>
      </c>
      <c r="H176" s="21">
        <v>183029</v>
      </c>
      <c r="M176" s="21">
        <f t="shared" ref="M176" si="61">IF(B174=1,G176,H176)</f>
        <v>183019</v>
      </c>
    </row>
    <row r="177" spans="1:13">
      <c r="E177" s="21">
        <f t="shared" si="41"/>
        <v>177</v>
      </c>
      <c r="F177" s="9" t="s">
        <v>127</v>
      </c>
      <c r="G177" s="21">
        <v>120</v>
      </c>
      <c r="M177" s="21">
        <f t="shared" ref="M177" si="62">G177/G175*C174</f>
        <v>90</v>
      </c>
    </row>
    <row r="178" spans="1:13">
      <c r="E178" s="21">
        <f t="shared" si="41"/>
        <v>178</v>
      </c>
      <c r="F178" s="9" t="s">
        <v>29</v>
      </c>
      <c r="M178" s="21" t="s">
        <v>251</v>
      </c>
    </row>
    <row r="179" spans="1:13">
      <c r="E179" s="21">
        <f t="shared" si="41"/>
        <v>179</v>
      </c>
      <c r="F179" s="9" t="s">
        <v>119</v>
      </c>
      <c r="M179" s="21" t="s">
        <v>254</v>
      </c>
    </row>
    <row r="180" spans="1:13">
      <c r="E180" s="21">
        <f t="shared" si="41"/>
        <v>180</v>
      </c>
      <c r="F180" s="9" t="s">
        <v>99</v>
      </c>
      <c r="K180" s="9" t="s">
        <v>138</v>
      </c>
      <c r="M180" s="21">
        <v>2</v>
      </c>
    </row>
    <row r="181" spans="1:13">
      <c r="E181" s="21">
        <f t="shared" si="41"/>
        <v>181</v>
      </c>
      <c r="F181" s="9" t="s">
        <v>117</v>
      </c>
      <c r="K181" s="9" t="s">
        <v>138</v>
      </c>
      <c r="M181" s="21">
        <v>2</v>
      </c>
    </row>
    <row r="182" spans="1:13">
      <c r="E182" s="21">
        <f t="shared" si="41"/>
        <v>182</v>
      </c>
      <c r="F182" s="9" t="s">
        <v>118</v>
      </c>
      <c r="M182" s="21" t="b">
        <v>1</v>
      </c>
    </row>
    <row r="183" spans="1:13">
      <c r="E183" s="21">
        <f t="shared" si="41"/>
        <v>183</v>
      </c>
      <c r="F183" s="9" t="s">
        <v>31</v>
      </c>
      <c r="G183" s="21">
        <v>360</v>
      </c>
      <c r="H183" s="21">
        <v>-360</v>
      </c>
      <c r="L183" s="9" t="s">
        <v>135</v>
      </c>
      <c r="M183" s="21">
        <f t="shared" ref="M183" si="63">IF(B174=1,G183/G175*C174,H183/G175*C174)</f>
        <v>270</v>
      </c>
    </row>
    <row r="184" spans="1:13">
      <c r="E184" s="21">
        <f t="shared" si="41"/>
        <v>184</v>
      </c>
      <c r="F184" s="9" t="s">
        <v>114</v>
      </c>
      <c r="L184" s="9" t="s">
        <v>135</v>
      </c>
      <c r="M184" s="21">
        <v>90</v>
      </c>
    </row>
    <row r="185" spans="1:13">
      <c r="E185" s="21">
        <f t="shared" si="41"/>
        <v>185</v>
      </c>
      <c r="F185" s="9" t="s">
        <v>30</v>
      </c>
      <c r="M185" s="21">
        <v>1.2</v>
      </c>
    </row>
    <row r="186" spans="1:13">
      <c r="E186" s="21">
        <f t="shared" si="41"/>
        <v>186</v>
      </c>
      <c r="F186" s="9" t="s">
        <v>197</v>
      </c>
      <c r="M186" s="21">
        <v>0</v>
      </c>
    </row>
    <row r="187" spans="1:13">
      <c r="A187" s="21" t="s">
        <v>228</v>
      </c>
      <c r="B187" s="21">
        <f t="shared" ref="B187:B250" si="64">QUOTIENT( D187-1,G188)+1</f>
        <v>1</v>
      </c>
      <c r="C187" s="21">
        <f t="shared" ref="C187:C250" si="65">D187-(B187-1)*G188</f>
        <v>10</v>
      </c>
      <c r="D187" s="21">
        <f>COUNT($D$69:$D186)+1</f>
        <v>10</v>
      </c>
    </row>
    <row r="188" spans="1:13">
      <c r="E188" s="21">
        <f t="shared" si="41"/>
        <v>188</v>
      </c>
      <c r="F188" s="9" t="s">
        <v>93</v>
      </c>
      <c r="G188" s="21">
        <v>12</v>
      </c>
      <c r="H188" s="21">
        <v>2</v>
      </c>
      <c r="J188" s="9" t="s">
        <v>252</v>
      </c>
      <c r="M188" s="21">
        <f t="shared" ref="M188:M251" si="66">J188+D187</f>
        <v>18410</v>
      </c>
    </row>
    <row r="189" spans="1:13">
      <c r="E189" s="21">
        <f t="shared" si="41"/>
        <v>189</v>
      </c>
      <c r="F189" s="9" t="s">
        <v>143</v>
      </c>
      <c r="G189" s="21">
        <v>183019</v>
      </c>
      <c r="H189" s="21">
        <v>183029</v>
      </c>
      <c r="M189" s="21">
        <f t="shared" ref="M189" si="67">IF(B187=1,G189,H189)</f>
        <v>183019</v>
      </c>
    </row>
    <row r="190" spans="1:13">
      <c r="E190" s="21">
        <f t="shared" si="41"/>
        <v>190</v>
      </c>
      <c r="F190" s="9" t="s">
        <v>127</v>
      </c>
      <c r="G190" s="21">
        <v>120</v>
      </c>
      <c r="M190" s="21">
        <f t="shared" ref="M190" si="68">G190/G188*C187</f>
        <v>100</v>
      </c>
    </row>
    <row r="191" spans="1:13">
      <c r="E191" s="21">
        <f t="shared" si="41"/>
        <v>191</v>
      </c>
      <c r="F191" s="9" t="s">
        <v>29</v>
      </c>
      <c r="M191" s="21" t="s">
        <v>251</v>
      </c>
    </row>
    <row r="192" spans="1:13">
      <c r="E192" s="21">
        <f t="shared" si="41"/>
        <v>192</v>
      </c>
      <c r="F192" s="9" t="s">
        <v>119</v>
      </c>
      <c r="M192" s="21" t="s">
        <v>254</v>
      </c>
    </row>
    <row r="193" spans="1:13">
      <c r="E193" s="21">
        <f t="shared" si="41"/>
        <v>193</v>
      </c>
      <c r="F193" s="9" t="s">
        <v>99</v>
      </c>
      <c r="K193" s="9" t="s">
        <v>138</v>
      </c>
      <c r="M193" s="21">
        <v>2</v>
      </c>
    </row>
    <row r="194" spans="1:13">
      <c r="E194" s="21">
        <f t="shared" si="41"/>
        <v>194</v>
      </c>
      <c r="F194" s="9" t="s">
        <v>117</v>
      </c>
      <c r="K194" s="9" t="s">
        <v>138</v>
      </c>
      <c r="M194" s="21">
        <v>2</v>
      </c>
    </row>
    <row r="195" spans="1:13">
      <c r="E195" s="21">
        <f t="shared" si="41"/>
        <v>195</v>
      </c>
      <c r="F195" s="9" t="s">
        <v>118</v>
      </c>
      <c r="M195" s="21" t="b">
        <v>1</v>
      </c>
    </row>
    <row r="196" spans="1:13">
      <c r="E196" s="21">
        <f t="shared" si="41"/>
        <v>196</v>
      </c>
      <c r="F196" s="9" t="s">
        <v>31</v>
      </c>
      <c r="G196" s="21">
        <v>360</v>
      </c>
      <c r="H196" s="21">
        <v>-360</v>
      </c>
      <c r="L196" s="9" t="s">
        <v>135</v>
      </c>
      <c r="M196" s="21">
        <f t="shared" ref="M196" si="69">IF(B187=1,G196/G188*C187,H196/G188*C187)</f>
        <v>300</v>
      </c>
    </row>
    <row r="197" spans="1:13">
      <c r="E197" s="21">
        <f t="shared" si="41"/>
        <v>197</v>
      </c>
      <c r="F197" s="9" t="s">
        <v>114</v>
      </c>
      <c r="L197" s="9" t="s">
        <v>135</v>
      </c>
      <c r="M197" s="21">
        <v>90</v>
      </c>
    </row>
    <row r="198" spans="1:13">
      <c r="E198" s="21">
        <f t="shared" si="41"/>
        <v>198</v>
      </c>
      <c r="F198" s="9" t="s">
        <v>30</v>
      </c>
      <c r="M198" s="21">
        <v>1.2</v>
      </c>
    </row>
    <row r="199" spans="1:13">
      <c r="E199" s="21">
        <f t="shared" si="41"/>
        <v>199</v>
      </c>
      <c r="F199" s="9" t="s">
        <v>197</v>
      </c>
      <c r="M199" s="21">
        <v>0</v>
      </c>
    </row>
    <row r="200" spans="1:13">
      <c r="A200" s="21" t="s">
        <v>228</v>
      </c>
      <c r="B200" s="21">
        <f t="shared" ref="B200:B263" si="70">QUOTIENT( D200-1,G201)+1</f>
        <v>1</v>
      </c>
      <c r="C200" s="21">
        <f t="shared" ref="C200:C263" si="71">D200-(B200-1)*G201</f>
        <v>11</v>
      </c>
      <c r="D200" s="21">
        <f>COUNT($D$69:$D199)+1</f>
        <v>11</v>
      </c>
    </row>
    <row r="201" spans="1:13">
      <c r="E201" s="21">
        <f t="shared" ref="E201:E264" si="72">ROW(E201)</f>
        <v>201</v>
      </c>
      <c r="F201" s="9" t="s">
        <v>93</v>
      </c>
      <c r="G201" s="21">
        <v>12</v>
      </c>
      <c r="H201" s="21">
        <v>2</v>
      </c>
      <c r="J201" s="9" t="s">
        <v>252</v>
      </c>
      <c r="M201" s="21">
        <f t="shared" ref="M201:M264" si="73">J201+D200</f>
        <v>18411</v>
      </c>
    </row>
    <row r="202" spans="1:13">
      <c r="E202" s="21">
        <f t="shared" si="72"/>
        <v>202</v>
      </c>
      <c r="F202" s="9" t="s">
        <v>143</v>
      </c>
      <c r="G202" s="21">
        <v>183019</v>
      </c>
      <c r="H202" s="21">
        <v>183029</v>
      </c>
      <c r="M202" s="21">
        <f t="shared" ref="M202" si="74">IF(B200=1,G202,H202)</f>
        <v>183019</v>
      </c>
    </row>
    <row r="203" spans="1:13">
      <c r="E203" s="21">
        <f t="shared" si="72"/>
        <v>203</v>
      </c>
      <c r="F203" s="9" t="s">
        <v>127</v>
      </c>
      <c r="G203" s="21">
        <v>120</v>
      </c>
      <c r="M203" s="21">
        <f t="shared" ref="M203" si="75">G203/G201*C200</f>
        <v>110</v>
      </c>
    </row>
    <row r="204" spans="1:13">
      <c r="E204" s="21">
        <f t="shared" si="72"/>
        <v>204</v>
      </c>
      <c r="F204" s="9" t="s">
        <v>29</v>
      </c>
      <c r="M204" s="21" t="s">
        <v>251</v>
      </c>
    </row>
    <row r="205" spans="1:13">
      <c r="E205" s="21">
        <f t="shared" si="72"/>
        <v>205</v>
      </c>
      <c r="F205" s="9" t="s">
        <v>119</v>
      </c>
      <c r="M205" s="21" t="s">
        <v>254</v>
      </c>
    </row>
    <row r="206" spans="1:13">
      <c r="E206" s="21">
        <f t="shared" si="72"/>
        <v>206</v>
      </c>
      <c r="F206" s="9" t="s">
        <v>99</v>
      </c>
      <c r="K206" s="9" t="s">
        <v>138</v>
      </c>
      <c r="M206" s="21">
        <v>2</v>
      </c>
    </row>
    <row r="207" spans="1:13">
      <c r="E207" s="21">
        <f t="shared" si="72"/>
        <v>207</v>
      </c>
      <c r="F207" s="9" t="s">
        <v>117</v>
      </c>
      <c r="K207" s="9" t="s">
        <v>138</v>
      </c>
      <c r="M207" s="21">
        <v>2</v>
      </c>
    </row>
    <row r="208" spans="1:13">
      <c r="E208" s="21">
        <f t="shared" si="72"/>
        <v>208</v>
      </c>
      <c r="F208" s="9" t="s">
        <v>118</v>
      </c>
      <c r="M208" s="21" t="b">
        <v>1</v>
      </c>
    </row>
    <row r="209" spans="1:13">
      <c r="E209" s="21">
        <f t="shared" si="72"/>
        <v>209</v>
      </c>
      <c r="F209" s="9" t="s">
        <v>31</v>
      </c>
      <c r="G209" s="21">
        <v>360</v>
      </c>
      <c r="H209" s="21">
        <v>-360</v>
      </c>
      <c r="L209" s="9" t="s">
        <v>135</v>
      </c>
      <c r="M209" s="21">
        <f t="shared" ref="M209" si="76">IF(B200=1,G209/G201*C200,H209/G201*C200)</f>
        <v>330</v>
      </c>
    </row>
    <row r="210" spans="1:13">
      <c r="E210" s="21">
        <f t="shared" si="72"/>
        <v>210</v>
      </c>
      <c r="F210" s="9" t="s">
        <v>114</v>
      </c>
      <c r="L210" s="9" t="s">
        <v>135</v>
      </c>
      <c r="M210" s="21">
        <v>90</v>
      </c>
    </row>
    <row r="211" spans="1:13">
      <c r="E211" s="21">
        <f t="shared" si="72"/>
        <v>211</v>
      </c>
      <c r="F211" s="9" t="s">
        <v>30</v>
      </c>
      <c r="M211" s="21">
        <v>1.2</v>
      </c>
    </row>
    <row r="212" spans="1:13">
      <c r="E212" s="21">
        <f t="shared" si="72"/>
        <v>212</v>
      </c>
      <c r="F212" s="9" t="s">
        <v>197</v>
      </c>
      <c r="M212" s="21">
        <v>0</v>
      </c>
    </row>
    <row r="213" spans="1:13">
      <c r="A213" s="21" t="s">
        <v>228</v>
      </c>
      <c r="B213" s="21">
        <f t="shared" ref="B213:B276" si="77">QUOTIENT( D213-1,G214)+1</f>
        <v>1</v>
      </c>
      <c r="C213" s="21">
        <f t="shared" ref="C213:C276" si="78">D213-(B213-1)*G214</f>
        <v>12</v>
      </c>
      <c r="D213" s="21">
        <f>COUNT($D$69:$D212)+1</f>
        <v>12</v>
      </c>
    </row>
    <row r="214" spans="1:13">
      <c r="E214" s="21">
        <f t="shared" si="72"/>
        <v>214</v>
      </c>
      <c r="F214" s="9" t="s">
        <v>93</v>
      </c>
      <c r="G214" s="21">
        <v>12</v>
      </c>
      <c r="H214" s="21">
        <v>2</v>
      </c>
      <c r="J214" s="9" t="s">
        <v>252</v>
      </c>
      <c r="M214" s="21">
        <f t="shared" ref="M214:M277" si="79">J214+D213</f>
        <v>18412</v>
      </c>
    </row>
    <row r="215" spans="1:13">
      <c r="E215" s="21">
        <f t="shared" si="72"/>
        <v>215</v>
      </c>
      <c r="F215" s="9" t="s">
        <v>143</v>
      </c>
      <c r="G215" s="21">
        <v>183019</v>
      </c>
      <c r="H215" s="21">
        <v>183029</v>
      </c>
      <c r="M215" s="21">
        <f t="shared" ref="M215" si="80">IF(B213=1,G215,H215)</f>
        <v>183019</v>
      </c>
    </row>
    <row r="216" spans="1:13">
      <c r="E216" s="21">
        <f t="shared" si="72"/>
        <v>216</v>
      </c>
      <c r="F216" s="9" t="s">
        <v>127</v>
      </c>
      <c r="G216" s="21">
        <v>120</v>
      </c>
      <c r="M216" s="21">
        <f t="shared" ref="M216" si="81">G216/G214*C213</f>
        <v>120</v>
      </c>
    </row>
    <row r="217" spans="1:13">
      <c r="E217" s="21">
        <f t="shared" si="72"/>
        <v>217</v>
      </c>
      <c r="F217" s="9" t="s">
        <v>29</v>
      </c>
      <c r="M217" s="21" t="s">
        <v>251</v>
      </c>
    </row>
    <row r="218" spans="1:13">
      <c r="E218" s="21">
        <f t="shared" si="72"/>
        <v>218</v>
      </c>
      <c r="F218" s="9" t="s">
        <v>119</v>
      </c>
      <c r="M218" s="21" t="s">
        <v>254</v>
      </c>
    </row>
    <row r="219" spans="1:13">
      <c r="E219" s="21">
        <f t="shared" si="72"/>
        <v>219</v>
      </c>
      <c r="F219" s="9" t="s">
        <v>99</v>
      </c>
      <c r="K219" s="9" t="s">
        <v>138</v>
      </c>
      <c r="M219" s="21">
        <v>2</v>
      </c>
    </row>
    <row r="220" spans="1:13">
      <c r="E220" s="21">
        <f t="shared" si="72"/>
        <v>220</v>
      </c>
      <c r="F220" s="9" t="s">
        <v>117</v>
      </c>
      <c r="K220" s="9" t="s">
        <v>138</v>
      </c>
      <c r="M220" s="21">
        <v>2</v>
      </c>
    </row>
    <row r="221" spans="1:13">
      <c r="E221" s="21">
        <f t="shared" si="72"/>
        <v>221</v>
      </c>
      <c r="F221" s="9" t="s">
        <v>118</v>
      </c>
      <c r="M221" s="21" t="b">
        <v>1</v>
      </c>
    </row>
    <row r="222" spans="1:13">
      <c r="E222" s="21">
        <f t="shared" si="72"/>
        <v>222</v>
      </c>
      <c r="F222" s="9" t="s">
        <v>31</v>
      </c>
      <c r="G222" s="21">
        <v>360</v>
      </c>
      <c r="H222" s="21">
        <v>-360</v>
      </c>
      <c r="L222" s="9" t="s">
        <v>135</v>
      </c>
      <c r="M222" s="21">
        <f t="shared" ref="M222" si="82">IF(B213=1,G222/G214*C213,H222/G214*C213)</f>
        <v>360</v>
      </c>
    </row>
    <row r="223" spans="1:13">
      <c r="E223" s="21">
        <f t="shared" si="72"/>
        <v>223</v>
      </c>
      <c r="F223" s="9" t="s">
        <v>114</v>
      </c>
      <c r="L223" s="9" t="s">
        <v>135</v>
      </c>
      <c r="M223" s="21">
        <v>90</v>
      </c>
    </row>
    <row r="224" spans="1:13">
      <c r="E224" s="21">
        <f t="shared" si="72"/>
        <v>224</v>
      </c>
      <c r="F224" s="9" t="s">
        <v>30</v>
      </c>
      <c r="M224" s="21">
        <v>1.2</v>
      </c>
    </row>
    <row r="225" spans="1:13">
      <c r="E225" s="21">
        <f t="shared" si="72"/>
        <v>225</v>
      </c>
      <c r="F225" s="9" t="s">
        <v>197</v>
      </c>
      <c r="M225" s="21">
        <v>0</v>
      </c>
    </row>
    <row r="226" spans="1:13">
      <c r="A226" s="21" t="s">
        <v>228</v>
      </c>
      <c r="B226" s="21">
        <f t="shared" ref="B226:B289" si="83">QUOTIENT( D226-1,G227)+1</f>
        <v>2</v>
      </c>
      <c r="C226" s="21">
        <f t="shared" ref="C226:C289" si="84">D226-(B226-1)*G227</f>
        <v>1</v>
      </c>
      <c r="D226" s="21">
        <f>COUNT($D$69:$D225)+1</f>
        <v>13</v>
      </c>
    </row>
    <row r="227" spans="1:13">
      <c r="E227" s="21">
        <f t="shared" si="72"/>
        <v>227</v>
      </c>
      <c r="F227" s="9" t="s">
        <v>93</v>
      </c>
      <c r="G227" s="21">
        <v>12</v>
      </c>
      <c r="H227" s="21">
        <v>2</v>
      </c>
      <c r="J227" s="9" t="s">
        <v>252</v>
      </c>
      <c r="M227" s="21">
        <f t="shared" ref="M227:M290" si="85">J227+D226</f>
        <v>18413</v>
      </c>
    </row>
    <row r="228" spans="1:13">
      <c r="E228" s="21">
        <f t="shared" si="72"/>
        <v>228</v>
      </c>
      <c r="F228" s="9" t="s">
        <v>143</v>
      </c>
      <c r="G228" s="21">
        <v>183019</v>
      </c>
      <c r="H228" s="21">
        <v>183029</v>
      </c>
      <c r="M228" s="21">
        <f t="shared" ref="M228" si="86">IF(B226=1,G228,H228)</f>
        <v>183029</v>
      </c>
    </row>
    <row r="229" spans="1:13">
      <c r="E229" s="21">
        <f t="shared" si="72"/>
        <v>229</v>
      </c>
      <c r="F229" s="9" t="s">
        <v>127</v>
      </c>
      <c r="G229" s="21">
        <v>120</v>
      </c>
      <c r="M229" s="21">
        <f t="shared" ref="M229" si="87">G229/G227*C226</f>
        <v>10</v>
      </c>
    </row>
    <row r="230" spans="1:13">
      <c r="E230" s="21">
        <f t="shared" si="72"/>
        <v>230</v>
      </c>
      <c r="F230" s="9" t="s">
        <v>29</v>
      </c>
      <c r="M230" s="21" t="s">
        <v>251</v>
      </c>
    </row>
    <row r="231" spans="1:13">
      <c r="E231" s="21">
        <f t="shared" si="72"/>
        <v>231</v>
      </c>
      <c r="F231" s="9" t="s">
        <v>119</v>
      </c>
      <c r="M231" s="21" t="s">
        <v>254</v>
      </c>
    </row>
    <row r="232" spans="1:13">
      <c r="E232" s="21">
        <f t="shared" si="72"/>
        <v>232</v>
      </c>
      <c r="F232" s="9" t="s">
        <v>99</v>
      </c>
      <c r="K232" s="9" t="s">
        <v>138</v>
      </c>
      <c r="M232" s="21">
        <v>2</v>
      </c>
    </row>
    <row r="233" spans="1:13">
      <c r="E233" s="21">
        <f t="shared" si="72"/>
        <v>233</v>
      </c>
      <c r="F233" s="9" t="s">
        <v>117</v>
      </c>
      <c r="K233" s="9" t="s">
        <v>138</v>
      </c>
      <c r="M233" s="21">
        <v>2</v>
      </c>
    </row>
    <row r="234" spans="1:13">
      <c r="E234" s="21">
        <f t="shared" si="72"/>
        <v>234</v>
      </c>
      <c r="F234" s="9" t="s">
        <v>118</v>
      </c>
      <c r="M234" s="21" t="b">
        <v>1</v>
      </c>
    </row>
    <row r="235" spans="1:13">
      <c r="E235" s="21">
        <f t="shared" si="72"/>
        <v>235</v>
      </c>
      <c r="F235" s="9" t="s">
        <v>31</v>
      </c>
      <c r="G235" s="21">
        <v>360</v>
      </c>
      <c r="H235" s="21">
        <v>-360</v>
      </c>
      <c r="L235" s="9" t="s">
        <v>135</v>
      </c>
      <c r="M235" s="21">
        <f t="shared" ref="M235" si="88">IF(B226=1,G235/G227*C226,H235/G227*C226)</f>
        <v>-30</v>
      </c>
    </row>
    <row r="236" spans="1:13">
      <c r="E236" s="21">
        <f t="shared" si="72"/>
        <v>236</v>
      </c>
      <c r="F236" s="9" t="s">
        <v>114</v>
      </c>
      <c r="L236" s="9" t="s">
        <v>135</v>
      </c>
      <c r="M236" s="21">
        <v>90</v>
      </c>
    </row>
    <row r="237" spans="1:13">
      <c r="E237" s="21">
        <f t="shared" si="72"/>
        <v>237</v>
      </c>
      <c r="F237" s="9" t="s">
        <v>30</v>
      </c>
      <c r="M237" s="21">
        <v>1.2</v>
      </c>
    </row>
    <row r="238" spans="1:13">
      <c r="E238" s="21">
        <f t="shared" si="72"/>
        <v>238</v>
      </c>
      <c r="F238" s="9" t="s">
        <v>197</v>
      </c>
      <c r="M238" s="21">
        <v>0</v>
      </c>
    </row>
    <row r="239" spans="1:13">
      <c r="A239" s="21" t="s">
        <v>228</v>
      </c>
      <c r="B239" s="21">
        <f t="shared" ref="B239:B302" si="89">QUOTIENT( D239-1,G240)+1</f>
        <v>2</v>
      </c>
      <c r="C239" s="21">
        <f t="shared" ref="C239:C302" si="90">D239-(B239-1)*G240</f>
        <v>2</v>
      </c>
      <c r="D239" s="21">
        <f>COUNT($D$69:$D238)+1</f>
        <v>14</v>
      </c>
    </row>
    <row r="240" spans="1:13">
      <c r="E240" s="21">
        <f t="shared" si="72"/>
        <v>240</v>
      </c>
      <c r="F240" s="9" t="s">
        <v>93</v>
      </c>
      <c r="G240" s="21">
        <v>12</v>
      </c>
      <c r="H240" s="21">
        <v>2</v>
      </c>
      <c r="J240" s="9" t="s">
        <v>252</v>
      </c>
      <c r="M240" s="21">
        <f t="shared" ref="M240:M303" si="91">J240+D239</f>
        <v>18414</v>
      </c>
    </row>
    <row r="241" spans="1:13">
      <c r="E241" s="21">
        <f t="shared" si="72"/>
        <v>241</v>
      </c>
      <c r="F241" s="9" t="s">
        <v>143</v>
      </c>
      <c r="G241" s="21">
        <v>183019</v>
      </c>
      <c r="H241" s="21">
        <v>183029</v>
      </c>
      <c r="M241" s="21">
        <f t="shared" ref="M241" si="92">IF(B239=1,G241,H241)</f>
        <v>183029</v>
      </c>
    </row>
    <row r="242" spans="1:13">
      <c r="E242" s="21">
        <f t="shared" si="72"/>
        <v>242</v>
      </c>
      <c r="F242" s="9" t="s">
        <v>127</v>
      </c>
      <c r="G242" s="21">
        <v>120</v>
      </c>
      <c r="M242" s="21">
        <f t="shared" ref="M242" si="93">G242/G240*C239</f>
        <v>20</v>
      </c>
    </row>
    <row r="243" spans="1:13">
      <c r="E243" s="21">
        <f t="shared" si="72"/>
        <v>243</v>
      </c>
      <c r="F243" s="9" t="s">
        <v>29</v>
      </c>
      <c r="M243" s="21" t="s">
        <v>251</v>
      </c>
    </row>
    <row r="244" spans="1:13">
      <c r="E244" s="21">
        <f t="shared" si="72"/>
        <v>244</v>
      </c>
      <c r="F244" s="9" t="s">
        <v>119</v>
      </c>
      <c r="M244" s="21" t="s">
        <v>254</v>
      </c>
    </row>
    <row r="245" spans="1:13">
      <c r="E245" s="21">
        <f t="shared" si="72"/>
        <v>245</v>
      </c>
      <c r="F245" s="9" t="s">
        <v>99</v>
      </c>
      <c r="K245" s="9" t="s">
        <v>138</v>
      </c>
      <c r="M245" s="21">
        <v>2</v>
      </c>
    </row>
    <row r="246" spans="1:13">
      <c r="E246" s="21">
        <f t="shared" si="72"/>
        <v>246</v>
      </c>
      <c r="F246" s="9" t="s">
        <v>117</v>
      </c>
      <c r="K246" s="9" t="s">
        <v>138</v>
      </c>
      <c r="M246" s="21">
        <v>2</v>
      </c>
    </row>
    <row r="247" spans="1:13">
      <c r="E247" s="21">
        <f t="shared" si="72"/>
        <v>247</v>
      </c>
      <c r="F247" s="9" t="s">
        <v>118</v>
      </c>
      <c r="M247" s="21" t="b">
        <v>1</v>
      </c>
    </row>
    <row r="248" spans="1:13">
      <c r="E248" s="21">
        <f t="shared" si="72"/>
        <v>248</v>
      </c>
      <c r="F248" s="9" t="s">
        <v>31</v>
      </c>
      <c r="G248" s="21">
        <v>360</v>
      </c>
      <c r="H248" s="21">
        <v>-360</v>
      </c>
      <c r="L248" s="9" t="s">
        <v>135</v>
      </c>
      <c r="M248" s="21">
        <f t="shared" ref="M248" si="94">IF(B239=1,G248/G240*C239,H248/G240*C239)</f>
        <v>-60</v>
      </c>
    </row>
    <row r="249" spans="1:13">
      <c r="E249" s="21">
        <f t="shared" si="72"/>
        <v>249</v>
      </c>
      <c r="F249" s="9" t="s">
        <v>114</v>
      </c>
      <c r="L249" s="9" t="s">
        <v>135</v>
      </c>
      <c r="M249" s="21">
        <v>90</v>
      </c>
    </row>
    <row r="250" spans="1:13">
      <c r="E250" s="21">
        <f t="shared" si="72"/>
        <v>250</v>
      </c>
      <c r="F250" s="9" t="s">
        <v>30</v>
      </c>
      <c r="M250" s="21">
        <v>1.2</v>
      </c>
    </row>
    <row r="251" spans="1:13">
      <c r="E251" s="21">
        <f t="shared" si="72"/>
        <v>251</v>
      </c>
      <c r="F251" s="9" t="s">
        <v>197</v>
      </c>
      <c r="M251" s="21">
        <v>0</v>
      </c>
    </row>
    <row r="252" spans="1:13">
      <c r="A252" s="21" t="s">
        <v>228</v>
      </c>
      <c r="B252" s="21">
        <f t="shared" ref="B252:B315" si="95">QUOTIENT( D252-1,G253)+1</f>
        <v>2</v>
      </c>
      <c r="C252" s="21">
        <f t="shared" ref="C252:C315" si="96">D252-(B252-1)*G253</f>
        <v>3</v>
      </c>
      <c r="D252" s="21">
        <f>COUNT($D$69:$D251)+1</f>
        <v>15</v>
      </c>
    </row>
    <row r="253" spans="1:13">
      <c r="E253" s="21">
        <f t="shared" si="72"/>
        <v>253</v>
      </c>
      <c r="F253" s="9" t="s">
        <v>93</v>
      </c>
      <c r="G253" s="21">
        <v>12</v>
      </c>
      <c r="H253" s="21">
        <v>2</v>
      </c>
      <c r="J253" s="9" t="s">
        <v>252</v>
      </c>
      <c r="M253" s="21">
        <f t="shared" ref="M253:M316" si="97">J253+D252</f>
        <v>18415</v>
      </c>
    </row>
    <row r="254" spans="1:13">
      <c r="E254" s="21">
        <f t="shared" si="72"/>
        <v>254</v>
      </c>
      <c r="F254" s="9" t="s">
        <v>143</v>
      </c>
      <c r="G254" s="21">
        <v>183019</v>
      </c>
      <c r="H254" s="21">
        <v>183029</v>
      </c>
      <c r="M254" s="21">
        <f t="shared" ref="M254" si="98">IF(B252=1,G254,H254)</f>
        <v>183029</v>
      </c>
    </row>
    <row r="255" spans="1:13">
      <c r="E255" s="21">
        <f t="shared" si="72"/>
        <v>255</v>
      </c>
      <c r="F255" s="9" t="s">
        <v>127</v>
      </c>
      <c r="G255" s="21">
        <v>120</v>
      </c>
      <c r="M255" s="21">
        <f t="shared" ref="M255" si="99">G255/G253*C252</f>
        <v>30</v>
      </c>
    </row>
    <row r="256" spans="1:13">
      <c r="E256" s="21">
        <f t="shared" si="72"/>
        <v>256</v>
      </c>
      <c r="F256" s="9" t="s">
        <v>29</v>
      </c>
      <c r="M256" s="21" t="s">
        <v>251</v>
      </c>
    </row>
    <row r="257" spans="1:13">
      <c r="E257" s="21">
        <f t="shared" si="72"/>
        <v>257</v>
      </c>
      <c r="F257" s="9" t="s">
        <v>119</v>
      </c>
      <c r="M257" s="21" t="s">
        <v>254</v>
      </c>
    </row>
    <row r="258" spans="1:13">
      <c r="E258" s="21">
        <f t="shared" si="72"/>
        <v>258</v>
      </c>
      <c r="F258" s="9" t="s">
        <v>99</v>
      </c>
      <c r="K258" s="9" t="s">
        <v>138</v>
      </c>
      <c r="M258" s="21">
        <v>2</v>
      </c>
    </row>
    <row r="259" spans="1:13">
      <c r="E259" s="21">
        <f t="shared" si="72"/>
        <v>259</v>
      </c>
      <c r="F259" s="9" t="s">
        <v>117</v>
      </c>
      <c r="K259" s="9" t="s">
        <v>138</v>
      </c>
      <c r="M259" s="21">
        <v>2</v>
      </c>
    </row>
    <row r="260" spans="1:13">
      <c r="E260" s="21">
        <f t="shared" si="72"/>
        <v>260</v>
      </c>
      <c r="F260" s="9" t="s">
        <v>118</v>
      </c>
      <c r="M260" s="21" t="b">
        <v>1</v>
      </c>
    </row>
    <row r="261" spans="1:13">
      <c r="E261" s="21">
        <f t="shared" si="72"/>
        <v>261</v>
      </c>
      <c r="F261" s="9" t="s">
        <v>31</v>
      </c>
      <c r="G261" s="21">
        <v>360</v>
      </c>
      <c r="H261" s="21">
        <v>-360</v>
      </c>
      <c r="L261" s="9" t="s">
        <v>135</v>
      </c>
      <c r="M261" s="21">
        <f t="shared" ref="M261" si="100">IF(B252=1,G261/G253*C252,H261/G253*C252)</f>
        <v>-90</v>
      </c>
    </row>
    <row r="262" spans="1:13">
      <c r="E262" s="21">
        <f t="shared" si="72"/>
        <v>262</v>
      </c>
      <c r="F262" s="9" t="s">
        <v>114</v>
      </c>
      <c r="L262" s="9" t="s">
        <v>135</v>
      </c>
      <c r="M262" s="21">
        <v>90</v>
      </c>
    </row>
    <row r="263" spans="1:13">
      <c r="E263" s="21">
        <f t="shared" si="72"/>
        <v>263</v>
      </c>
      <c r="F263" s="9" t="s">
        <v>30</v>
      </c>
      <c r="M263" s="21">
        <v>1.2</v>
      </c>
    </row>
    <row r="264" spans="1:13">
      <c r="E264" s="21">
        <f t="shared" si="72"/>
        <v>264</v>
      </c>
      <c r="F264" s="9" t="s">
        <v>197</v>
      </c>
      <c r="M264" s="21">
        <v>0</v>
      </c>
    </row>
    <row r="265" spans="1:13">
      <c r="A265" s="21" t="s">
        <v>228</v>
      </c>
      <c r="B265" s="21">
        <f t="shared" ref="B265:B328" si="101">QUOTIENT( D265-1,G266)+1</f>
        <v>2</v>
      </c>
      <c r="C265" s="21">
        <f t="shared" ref="C265:C328" si="102">D265-(B265-1)*G266</f>
        <v>4</v>
      </c>
      <c r="D265" s="21">
        <f>COUNT($D$69:$D264)+1</f>
        <v>16</v>
      </c>
    </row>
    <row r="266" spans="1:13">
      <c r="E266" s="21">
        <f t="shared" ref="E266:E329" si="103">ROW(E266)</f>
        <v>266</v>
      </c>
      <c r="F266" s="9" t="s">
        <v>93</v>
      </c>
      <c r="G266" s="21">
        <v>12</v>
      </c>
      <c r="H266" s="21">
        <v>2</v>
      </c>
      <c r="J266" s="9" t="s">
        <v>252</v>
      </c>
      <c r="M266" s="21">
        <f t="shared" ref="M266:M329" si="104">J266+D265</f>
        <v>18416</v>
      </c>
    </row>
    <row r="267" spans="1:13">
      <c r="E267" s="21">
        <f t="shared" si="103"/>
        <v>267</v>
      </c>
      <c r="F267" s="9" t="s">
        <v>143</v>
      </c>
      <c r="G267" s="21">
        <v>183019</v>
      </c>
      <c r="H267" s="21">
        <v>183029</v>
      </c>
      <c r="M267" s="21">
        <f t="shared" ref="M267" si="105">IF(B265=1,G267,H267)</f>
        <v>183029</v>
      </c>
    </row>
    <row r="268" spans="1:13">
      <c r="E268" s="21">
        <f t="shared" si="103"/>
        <v>268</v>
      </c>
      <c r="F268" s="9" t="s">
        <v>127</v>
      </c>
      <c r="G268" s="21">
        <v>120</v>
      </c>
      <c r="M268" s="21">
        <f t="shared" ref="M268" si="106">G268/G266*C265</f>
        <v>40</v>
      </c>
    </row>
    <row r="269" spans="1:13">
      <c r="E269" s="21">
        <f t="shared" si="103"/>
        <v>269</v>
      </c>
      <c r="F269" s="9" t="s">
        <v>29</v>
      </c>
      <c r="M269" s="21" t="s">
        <v>251</v>
      </c>
    </row>
    <row r="270" spans="1:13">
      <c r="E270" s="21">
        <f t="shared" si="103"/>
        <v>270</v>
      </c>
      <c r="F270" s="9" t="s">
        <v>119</v>
      </c>
      <c r="M270" s="21" t="s">
        <v>254</v>
      </c>
    </row>
    <row r="271" spans="1:13">
      <c r="E271" s="21">
        <f t="shared" si="103"/>
        <v>271</v>
      </c>
      <c r="F271" s="9" t="s">
        <v>99</v>
      </c>
      <c r="K271" s="9" t="s">
        <v>138</v>
      </c>
      <c r="M271" s="21">
        <v>2</v>
      </c>
    </row>
    <row r="272" spans="1:13">
      <c r="E272" s="21">
        <f t="shared" si="103"/>
        <v>272</v>
      </c>
      <c r="F272" s="9" t="s">
        <v>117</v>
      </c>
      <c r="K272" s="9" t="s">
        <v>138</v>
      </c>
      <c r="M272" s="21">
        <v>2</v>
      </c>
    </row>
    <row r="273" spans="1:13">
      <c r="E273" s="21">
        <f t="shared" si="103"/>
        <v>273</v>
      </c>
      <c r="F273" s="9" t="s">
        <v>118</v>
      </c>
      <c r="M273" s="21" t="b">
        <v>1</v>
      </c>
    </row>
    <row r="274" spans="1:13">
      <c r="E274" s="21">
        <f t="shared" si="103"/>
        <v>274</v>
      </c>
      <c r="F274" s="9" t="s">
        <v>31</v>
      </c>
      <c r="G274" s="21">
        <v>360</v>
      </c>
      <c r="H274" s="21">
        <v>-360</v>
      </c>
      <c r="L274" s="9" t="s">
        <v>135</v>
      </c>
      <c r="M274" s="21">
        <f t="shared" ref="M274" si="107">IF(B265=1,G274/G266*C265,H274/G266*C265)</f>
        <v>-120</v>
      </c>
    </row>
    <row r="275" spans="1:13">
      <c r="E275" s="21">
        <f t="shared" si="103"/>
        <v>275</v>
      </c>
      <c r="F275" s="9" t="s">
        <v>114</v>
      </c>
      <c r="L275" s="9" t="s">
        <v>135</v>
      </c>
      <c r="M275" s="21">
        <v>90</v>
      </c>
    </row>
    <row r="276" spans="1:13">
      <c r="E276" s="21">
        <f t="shared" si="103"/>
        <v>276</v>
      </c>
      <c r="F276" s="9" t="s">
        <v>30</v>
      </c>
      <c r="M276" s="21">
        <v>1.2</v>
      </c>
    </row>
    <row r="277" spans="1:13">
      <c r="E277" s="21">
        <f t="shared" si="103"/>
        <v>277</v>
      </c>
      <c r="F277" s="9" t="s">
        <v>197</v>
      </c>
      <c r="M277" s="21">
        <v>0</v>
      </c>
    </row>
    <row r="278" spans="1:13">
      <c r="A278" s="21" t="s">
        <v>228</v>
      </c>
      <c r="B278" s="21">
        <f t="shared" ref="B278:B341" si="108">QUOTIENT( D278-1,G279)+1</f>
        <v>2</v>
      </c>
      <c r="C278" s="21">
        <f t="shared" ref="C278:C341" si="109">D278-(B278-1)*G279</f>
        <v>5</v>
      </c>
      <c r="D278" s="21">
        <f>COUNT($D$69:$D277)+1</f>
        <v>17</v>
      </c>
    </row>
    <row r="279" spans="1:13">
      <c r="E279" s="21">
        <f t="shared" si="103"/>
        <v>279</v>
      </c>
      <c r="F279" s="9" t="s">
        <v>93</v>
      </c>
      <c r="G279" s="21">
        <v>12</v>
      </c>
      <c r="H279" s="21">
        <v>2</v>
      </c>
      <c r="J279" s="9" t="s">
        <v>252</v>
      </c>
      <c r="M279" s="21">
        <f t="shared" ref="M279:M342" si="110">J279+D278</f>
        <v>18417</v>
      </c>
    </row>
    <row r="280" spans="1:13">
      <c r="E280" s="21">
        <f t="shared" si="103"/>
        <v>280</v>
      </c>
      <c r="F280" s="9" t="s">
        <v>143</v>
      </c>
      <c r="G280" s="21">
        <v>183019</v>
      </c>
      <c r="H280" s="21">
        <v>183029</v>
      </c>
      <c r="M280" s="21">
        <f t="shared" ref="M280" si="111">IF(B278=1,G280,H280)</f>
        <v>183029</v>
      </c>
    </row>
    <row r="281" spans="1:13">
      <c r="E281" s="21">
        <f t="shared" si="103"/>
        <v>281</v>
      </c>
      <c r="F281" s="9" t="s">
        <v>127</v>
      </c>
      <c r="G281" s="21">
        <v>120</v>
      </c>
      <c r="M281" s="21">
        <f t="shared" ref="M281" si="112">G281/G279*C278</f>
        <v>50</v>
      </c>
    </row>
    <row r="282" spans="1:13">
      <c r="E282" s="21">
        <f t="shared" si="103"/>
        <v>282</v>
      </c>
      <c r="F282" s="9" t="s">
        <v>29</v>
      </c>
      <c r="M282" s="21" t="s">
        <v>251</v>
      </c>
    </row>
    <row r="283" spans="1:13">
      <c r="E283" s="21">
        <f t="shared" si="103"/>
        <v>283</v>
      </c>
      <c r="F283" s="9" t="s">
        <v>119</v>
      </c>
      <c r="M283" s="21" t="s">
        <v>254</v>
      </c>
    </row>
    <row r="284" spans="1:13">
      <c r="E284" s="21">
        <f t="shared" si="103"/>
        <v>284</v>
      </c>
      <c r="F284" s="9" t="s">
        <v>99</v>
      </c>
      <c r="K284" s="9" t="s">
        <v>138</v>
      </c>
      <c r="M284" s="21">
        <v>2</v>
      </c>
    </row>
    <row r="285" spans="1:13">
      <c r="E285" s="21">
        <f t="shared" si="103"/>
        <v>285</v>
      </c>
      <c r="F285" s="9" t="s">
        <v>117</v>
      </c>
      <c r="K285" s="9" t="s">
        <v>138</v>
      </c>
      <c r="M285" s="21">
        <v>2</v>
      </c>
    </row>
    <row r="286" spans="1:13">
      <c r="E286" s="21">
        <f t="shared" si="103"/>
        <v>286</v>
      </c>
      <c r="F286" s="9" t="s">
        <v>118</v>
      </c>
      <c r="M286" s="21" t="b">
        <v>1</v>
      </c>
    </row>
    <row r="287" spans="1:13">
      <c r="E287" s="21">
        <f t="shared" si="103"/>
        <v>287</v>
      </c>
      <c r="F287" s="9" t="s">
        <v>31</v>
      </c>
      <c r="G287" s="21">
        <v>360</v>
      </c>
      <c r="H287" s="21">
        <v>-360</v>
      </c>
      <c r="L287" s="9" t="s">
        <v>135</v>
      </c>
      <c r="M287" s="21">
        <f t="shared" ref="M287" si="113">IF(B278=1,G287/G279*C278,H287/G279*C278)</f>
        <v>-150</v>
      </c>
    </row>
    <row r="288" spans="1:13">
      <c r="E288" s="21">
        <f t="shared" si="103"/>
        <v>288</v>
      </c>
      <c r="F288" s="9" t="s">
        <v>114</v>
      </c>
      <c r="L288" s="9" t="s">
        <v>135</v>
      </c>
      <c r="M288" s="21">
        <v>90</v>
      </c>
    </row>
    <row r="289" spans="1:13">
      <c r="E289" s="21">
        <f t="shared" si="103"/>
        <v>289</v>
      </c>
      <c r="F289" s="9" t="s">
        <v>30</v>
      </c>
      <c r="M289" s="21">
        <v>1.2</v>
      </c>
    </row>
    <row r="290" spans="1:13">
      <c r="E290" s="21">
        <f t="shared" si="103"/>
        <v>290</v>
      </c>
      <c r="F290" s="9" t="s">
        <v>197</v>
      </c>
      <c r="M290" s="21">
        <v>0</v>
      </c>
    </row>
    <row r="291" spans="1:13">
      <c r="A291" s="21" t="s">
        <v>228</v>
      </c>
      <c r="B291" s="21">
        <f t="shared" ref="B291:B354" si="114">QUOTIENT( D291-1,G292)+1</f>
        <v>2</v>
      </c>
      <c r="C291" s="21">
        <f t="shared" ref="C291:C354" si="115">D291-(B291-1)*G292</f>
        <v>6</v>
      </c>
      <c r="D291" s="21">
        <f>COUNT($D$69:$D290)+1</f>
        <v>18</v>
      </c>
    </row>
    <row r="292" spans="1:13">
      <c r="E292" s="21">
        <f t="shared" si="103"/>
        <v>292</v>
      </c>
      <c r="F292" s="9" t="s">
        <v>93</v>
      </c>
      <c r="G292" s="21">
        <v>12</v>
      </c>
      <c r="H292" s="21">
        <v>2</v>
      </c>
      <c r="J292" s="9" t="s">
        <v>252</v>
      </c>
      <c r="M292" s="21">
        <f t="shared" ref="M292:M355" si="116">J292+D291</f>
        <v>18418</v>
      </c>
    </row>
    <row r="293" spans="1:13">
      <c r="E293" s="21">
        <f t="shared" si="103"/>
        <v>293</v>
      </c>
      <c r="F293" s="9" t="s">
        <v>143</v>
      </c>
      <c r="G293" s="21">
        <v>183019</v>
      </c>
      <c r="H293" s="21">
        <v>183029</v>
      </c>
      <c r="M293" s="21">
        <f t="shared" ref="M293" si="117">IF(B291=1,G293,H293)</f>
        <v>183029</v>
      </c>
    </row>
    <row r="294" spans="1:13">
      <c r="E294" s="21">
        <f t="shared" si="103"/>
        <v>294</v>
      </c>
      <c r="F294" s="9" t="s">
        <v>127</v>
      </c>
      <c r="G294" s="21">
        <v>120</v>
      </c>
      <c r="M294" s="21">
        <f t="shared" ref="M294" si="118">G294/G292*C291</f>
        <v>60</v>
      </c>
    </row>
    <row r="295" spans="1:13">
      <c r="E295" s="21">
        <f t="shared" si="103"/>
        <v>295</v>
      </c>
      <c r="F295" s="9" t="s">
        <v>29</v>
      </c>
      <c r="M295" s="21" t="s">
        <v>251</v>
      </c>
    </row>
    <row r="296" spans="1:13">
      <c r="E296" s="21">
        <f t="shared" si="103"/>
        <v>296</v>
      </c>
      <c r="F296" s="9" t="s">
        <v>119</v>
      </c>
      <c r="M296" s="21" t="s">
        <v>254</v>
      </c>
    </row>
    <row r="297" spans="1:13">
      <c r="E297" s="21">
        <f t="shared" si="103"/>
        <v>297</v>
      </c>
      <c r="F297" s="9" t="s">
        <v>99</v>
      </c>
      <c r="K297" s="9" t="s">
        <v>138</v>
      </c>
      <c r="M297" s="21">
        <v>2</v>
      </c>
    </row>
    <row r="298" spans="1:13">
      <c r="E298" s="21">
        <f t="shared" si="103"/>
        <v>298</v>
      </c>
      <c r="F298" s="9" t="s">
        <v>117</v>
      </c>
      <c r="K298" s="9" t="s">
        <v>138</v>
      </c>
      <c r="M298" s="21">
        <v>2</v>
      </c>
    </row>
    <row r="299" spans="1:13">
      <c r="E299" s="21">
        <f t="shared" si="103"/>
        <v>299</v>
      </c>
      <c r="F299" s="9" t="s">
        <v>118</v>
      </c>
      <c r="M299" s="21" t="b">
        <v>1</v>
      </c>
    </row>
    <row r="300" spans="1:13">
      <c r="E300" s="21">
        <f t="shared" si="103"/>
        <v>300</v>
      </c>
      <c r="F300" s="9" t="s">
        <v>31</v>
      </c>
      <c r="G300" s="21">
        <v>360</v>
      </c>
      <c r="H300" s="21">
        <v>-360</v>
      </c>
      <c r="L300" s="9" t="s">
        <v>135</v>
      </c>
      <c r="M300" s="21">
        <f t="shared" ref="M300" si="119">IF(B291=1,G300/G292*C291,H300/G292*C291)</f>
        <v>-180</v>
      </c>
    </row>
    <row r="301" spans="1:13">
      <c r="E301" s="21">
        <f t="shared" si="103"/>
        <v>301</v>
      </c>
      <c r="F301" s="9" t="s">
        <v>114</v>
      </c>
      <c r="L301" s="9" t="s">
        <v>135</v>
      </c>
      <c r="M301" s="21">
        <v>90</v>
      </c>
    </row>
    <row r="302" spans="1:13">
      <c r="E302" s="21">
        <f t="shared" si="103"/>
        <v>302</v>
      </c>
      <c r="F302" s="9" t="s">
        <v>30</v>
      </c>
      <c r="M302" s="21">
        <v>1.2</v>
      </c>
    </row>
    <row r="303" spans="1:13">
      <c r="E303" s="21">
        <f t="shared" si="103"/>
        <v>303</v>
      </c>
      <c r="F303" s="9" t="s">
        <v>197</v>
      </c>
      <c r="M303" s="21">
        <v>0</v>
      </c>
    </row>
    <row r="304" spans="1:13">
      <c r="A304" s="21" t="s">
        <v>228</v>
      </c>
      <c r="B304" s="21">
        <f t="shared" ref="B304:B367" si="120">QUOTIENT( D304-1,G305)+1</f>
        <v>2</v>
      </c>
      <c r="C304" s="21">
        <f t="shared" ref="C304:C367" si="121">D304-(B304-1)*G305</f>
        <v>7</v>
      </c>
      <c r="D304" s="21">
        <f>COUNT($D$69:$D303)+1</f>
        <v>19</v>
      </c>
    </row>
    <row r="305" spans="1:13">
      <c r="E305" s="21">
        <f t="shared" si="103"/>
        <v>305</v>
      </c>
      <c r="F305" s="9" t="s">
        <v>93</v>
      </c>
      <c r="G305" s="21">
        <v>12</v>
      </c>
      <c r="H305" s="21">
        <v>2</v>
      </c>
      <c r="J305" s="9" t="s">
        <v>252</v>
      </c>
      <c r="M305" s="21">
        <f t="shared" ref="M305:M368" si="122">J305+D304</f>
        <v>18419</v>
      </c>
    </row>
    <row r="306" spans="1:13">
      <c r="E306" s="21">
        <f t="shared" si="103"/>
        <v>306</v>
      </c>
      <c r="F306" s="9" t="s">
        <v>143</v>
      </c>
      <c r="G306" s="21">
        <v>183019</v>
      </c>
      <c r="H306" s="21">
        <v>183029</v>
      </c>
      <c r="M306" s="21">
        <f t="shared" ref="M306" si="123">IF(B304=1,G306,H306)</f>
        <v>183029</v>
      </c>
    </row>
    <row r="307" spans="1:13">
      <c r="E307" s="21">
        <f t="shared" si="103"/>
        <v>307</v>
      </c>
      <c r="F307" s="9" t="s">
        <v>127</v>
      </c>
      <c r="G307" s="21">
        <v>120</v>
      </c>
      <c r="M307" s="21">
        <f t="shared" ref="M307" si="124">G307/G305*C304</f>
        <v>70</v>
      </c>
    </row>
    <row r="308" spans="1:13">
      <c r="E308" s="21">
        <f t="shared" si="103"/>
        <v>308</v>
      </c>
      <c r="F308" s="9" t="s">
        <v>29</v>
      </c>
      <c r="M308" s="21" t="s">
        <v>251</v>
      </c>
    </row>
    <row r="309" spans="1:13">
      <c r="E309" s="21">
        <f t="shared" si="103"/>
        <v>309</v>
      </c>
      <c r="F309" s="9" t="s">
        <v>119</v>
      </c>
      <c r="M309" s="21" t="s">
        <v>254</v>
      </c>
    </row>
    <row r="310" spans="1:13">
      <c r="E310" s="21">
        <f t="shared" si="103"/>
        <v>310</v>
      </c>
      <c r="F310" s="9" t="s">
        <v>99</v>
      </c>
      <c r="K310" s="9" t="s">
        <v>138</v>
      </c>
      <c r="M310" s="21">
        <v>2</v>
      </c>
    </row>
    <row r="311" spans="1:13">
      <c r="E311" s="21">
        <f t="shared" si="103"/>
        <v>311</v>
      </c>
      <c r="F311" s="9" t="s">
        <v>117</v>
      </c>
      <c r="K311" s="9" t="s">
        <v>138</v>
      </c>
      <c r="M311" s="21">
        <v>2</v>
      </c>
    </row>
    <row r="312" spans="1:13">
      <c r="E312" s="21">
        <f t="shared" si="103"/>
        <v>312</v>
      </c>
      <c r="F312" s="9" t="s">
        <v>118</v>
      </c>
      <c r="M312" s="21" t="b">
        <v>1</v>
      </c>
    </row>
    <row r="313" spans="1:13">
      <c r="E313" s="21">
        <f t="shared" si="103"/>
        <v>313</v>
      </c>
      <c r="F313" s="9" t="s">
        <v>31</v>
      </c>
      <c r="G313" s="21">
        <v>360</v>
      </c>
      <c r="H313" s="21">
        <v>-360</v>
      </c>
      <c r="L313" s="9" t="s">
        <v>135</v>
      </c>
      <c r="M313" s="21">
        <f t="shared" ref="M313" si="125">IF(B304=1,G313/G305*C304,H313/G305*C304)</f>
        <v>-210</v>
      </c>
    </row>
    <row r="314" spans="1:13">
      <c r="E314" s="21">
        <f t="shared" si="103"/>
        <v>314</v>
      </c>
      <c r="F314" s="9" t="s">
        <v>114</v>
      </c>
      <c r="L314" s="9" t="s">
        <v>135</v>
      </c>
      <c r="M314" s="21">
        <v>90</v>
      </c>
    </row>
    <row r="315" spans="1:13">
      <c r="E315" s="21">
        <f t="shared" si="103"/>
        <v>315</v>
      </c>
      <c r="F315" s="9" t="s">
        <v>30</v>
      </c>
      <c r="M315" s="21">
        <v>1.2</v>
      </c>
    </row>
    <row r="316" spans="1:13">
      <c r="E316" s="21">
        <f t="shared" si="103"/>
        <v>316</v>
      </c>
      <c r="F316" s="9" t="s">
        <v>197</v>
      </c>
      <c r="M316" s="21">
        <v>0</v>
      </c>
    </row>
    <row r="317" spans="1:13">
      <c r="A317" s="21" t="s">
        <v>228</v>
      </c>
      <c r="B317" s="21">
        <f t="shared" ref="B317:B380" si="126">QUOTIENT( D317-1,G318)+1</f>
        <v>2</v>
      </c>
      <c r="C317" s="21">
        <f t="shared" ref="C317:C380" si="127">D317-(B317-1)*G318</f>
        <v>8</v>
      </c>
      <c r="D317" s="21">
        <f>COUNT($D$69:$D316)+1</f>
        <v>20</v>
      </c>
    </row>
    <row r="318" spans="1:13">
      <c r="E318" s="21">
        <f t="shared" si="103"/>
        <v>318</v>
      </c>
      <c r="F318" s="9" t="s">
        <v>93</v>
      </c>
      <c r="G318" s="21">
        <v>12</v>
      </c>
      <c r="H318" s="21">
        <v>2</v>
      </c>
      <c r="J318" s="9" t="s">
        <v>252</v>
      </c>
      <c r="M318" s="21">
        <f t="shared" ref="M318:M381" si="128">J318+D317</f>
        <v>18420</v>
      </c>
    </row>
    <row r="319" spans="1:13">
      <c r="E319" s="21">
        <f t="shared" si="103"/>
        <v>319</v>
      </c>
      <c r="F319" s="9" t="s">
        <v>143</v>
      </c>
      <c r="G319" s="21">
        <v>183019</v>
      </c>
      <c r="H319" s="21">
        <v>183029</v>
      </c>
      <c r="M319" s="21">
        <f t="shared" ref="M319" si="129">IF(B317=1,G319,H319)</f>
        <v>183029</v>
      </c>
    </row>
    <row r="320" spans="1:13">
      <c r="E320" s="21">
        <f t="shared" si="103"/>
        <v>320</v>
      </c>
      <c r="F320" s="9" t="s">
        <v>127</v>
      </c>
      <c r="G320" s="21">
        <v>120</v>
      </c>
      <c r="M320" s="21">
        <f t="shared" ref="M320" si="130">G320/G318*C317</f>
        <v>80</v>
      </c>
    </row>
    <row r="321" spans="1:13">
      <c r="E321" s="21">
        <f t="shared" si="103"/>
        <v>321</v>
      </c>
      <c r="F321" s="9" t="s">
        <v>29</v>
      </c>
      <c r="M321" s="21" t="s">
        <v>251</v>
      </c>
    </row>
    <row r="322" spans="1:13">
      <c r="E322" s="21">
        <f t="shared" si="103"/>
        <v>322</v>
      </c>
      <c r="F322" s="9" t="s">
        <v>119</v>
      </c>
      <c r="M322" s="21" t="s">
        <v>254</v>
      </c>
    </row>
    <row r="323" spans="1:13">
      <c r="E323" s="21">
        <f t="shared" si="103"/>
        <v>323</v>
      </c>
      <c r="F323" s="9" t="s">
        <v>99</v>
      </c>
      <c r="K323" s="9" t="s">
        <v>138</v>
      </c>
      <c r="M323" s="21">
        <v>2</v>
      </c>
    </row>
    <row r="324" spans="1:13">
      <c r="E324" s="21">
        <f t="shared" si="103"/>
        <v>324</v>
      </c>
      <c r="F324" s="9" t="s">
        <v>117</v>
      </c>
      <c r="K324" s="9" t="s">
        <v>138</v>
      </c>
      <c r="M324" s="21">
        <v>2</v>
      </c>
    </row>
    <row r="325" spans="1:13">
      <c r="E325" s="21">
        <f t="shared" si="103"/>
        <v>325</v>
      </c>
      <c r="F325" s="9" t="s">
        <v>118</v>
      </c>
      <c r="M325" s="21" t="b">
        <v>1</v>
      </c>
    </row>
    <row r="326" spans="1:13">
      <c r="E326" s="21">
        <f t="shared" si="103"/>
        <v>326</v>
      </c>
      <c r="F326" s="9" t="s">
        <v>31</v>
      </c>
      <c r="G326" s="21">
        <v>360</v>
      </c>
      <c r="H326" s="21">
        <v>-360</v>
      </c>
      <c r="L326" s="9" t="s">
        <v>135</v>
      </c>
      <c r="M326" s="21">
        <f t="shared" ref="M326" si="131">IF(B317=1,G326/G318*C317,H326/G318*C317)</f>
        <v>-240</v>
      </c>
    </row>
    <row r="327" spans="1:13">
      <c r="E327" s="21">
        <f t="shared" si="103"/>
        <v>327</v>
      </c>
      <c r="F327" s="9" t="s">
        <v>114</v>
      </c>
      <c r="L327" s="9" t="s">
        <v>135</v>
      </c>
      <c r="M327" s="21">
        <v>90</v>
      </c>
    </row>
    <row r="328" spans="1:13">
      <c r="E328" s="21">
        <f t="shared" si="103"/>
        <v>328</v>
      </c>
      <c r="F328" s="9" t="s">
        <v>30</v>
      </c>
      <c r="M328" s="21">
        <v>1.2</v>
      </c>
    </row>
    <row r="329" spans="1:13">
      <c r="E329" s="21">
        <f t="shared" si="103"/>
        <v>329</v>
      </c>
      <c r="F329" s="9" t="s">
        <v>197</v>
      </c>
      <c r="M329" s="21">
        <v>0</v>
      </c>
    </row>
    <row r="330" spans="1:13">
      <c r="A330" s="21" t="s">
        <v>228</v>
      </c>
      <c r="B330" s="21">
        <f t="shared" ref="B330:B381" si="132">QUOTIENT( D330-1,G331)+1</f>
        <v>2</v>
      </c>
      <c r="C330" s="21">
        <f t="shared" ref="C330:C381" si="133">D330-(B330-1)*G331</f>
        <v>9</v>
      </c>
      <c r="D330" s="21">
        <f>COUNT($D$69:$D329)+1</f>
        <v>21</v>
      </c>
    </row>
    <row r="331" spans="1:13">
      <c r="E331" s="21">
        <f t="shared" ref="E331:E381" si="134">ROW(E331)</f>
        <v>331</v>
      </c>
      <c r="F331" s="9" t="s">
        <v>93</v>
      </c>
      <c r="G331" s="21">
        <v>12</v>
      </c>
      <c r="H331" s="21">
        <v>2</v>
      </c>
      <c r="J331" s="9" t="s">
        <v>252</v>
      </c>
      <c r="M331" s="21">
        <f t="shared" ref="M331:M381" si="135">J331+D330</f>
        <v>18421</v>
      </c>
    </row>
    <row r="332" spans="1:13">
      <c r="E332" s="21">
        <f t="shared" si="134"/>
        <v>332</v>
      </c>
      <c r="F332" s="9" t="s">
        <v>143</v>
      </c>
      <c r="G332" s="21">
        <v>183019</v>
      </c>
      <c r="H332" s="21">
        <v>183029</v>
      </c>
      <c r="M332" s="21">
        <f t="shared" ref="M332" si="136">IF(B330=1,G332,H332)</f>
        <v>183029</v>
      </c>
    </row>
    <row r="333" spans="1:13">
      <c r="E333" s="21">
        <f t="shared" si="134"/>
        <v>333</v>
      </c>
      <c r="F333" s="9" t="s">
        <v>127</v>
      </c>
      <c r="G333" s="21">
        <v>120</v>
      </c>
      <c r="M333" s="21">
        <f t="shared" ref="M333" si="137">G333/G331*C330</f>
        <v>90</v>
      </c>
    </row>
    <row r="334" spans="1:13">
      <c r="E334" s="21">
        <f t="shared" si="134"/>
        <v>334</v>
      </c>
      <c r="F334" s="9" t="s">
        <v>29</v>
      </c>
      <c r="M334" s="21" t="s">
        <v>251</v>
      </c>
    </row>
    <row r="335" spans="1:13">
      <c r="E335" s="21">
        <f t="shared" si="134"/>
        <v>335</v>
      </c>
      <c r="F335" s="9" t="s">
        <v>119</v>
      </c>
      <c r="M335" s="21" t="s">
        <v>254</v>
      </c>
    </row>
    <row r="336" spans="1:13">
      <c r="E336" s="21">
        <f t="shared" si="134"/>
        <v>336</v>
      </c>
      <c r="F336" s="9" t="s">
        <v>99</v>
      </c>
      <c r="K336" s="9" t="s">
        <v>138</v>
      </c>
      <c r="M336" s="21">
        <v>2</v>
      </c>
    </row>
    <row r="337" spans="1:13">
      <c r="E337" s="21">
        <f t="shared" si="134"/>
        <v>337</v>
      </c>
      <c r="F337" s="9" t="s">
        <v>117</v>
      </c>
      <c r="K337" s="9" t="s">
        <v>138</v>
      </c>
      <c r="M337" s="21">
        <v>2</v>
      </c>
    </row>
    <row r="338" spans="1:13">
      <c r="E338" s="21">
        <f t="shared" si="134"/>
        <v>338</v>
      </c>
      <c r="F338" s="9" t="s">
        <v>118</v>
      </c>
      <c r="M338" s="21" t="b">
        <v>1</v>
      </c>
    </row>
    <row r="339" spans="1:13">
      <c r="E339" s="21">
        <f t="shared" si="134"/>
        <v>339</v>
      </c>
      <c r="F339" s="9" t="s">
        <v>31</v>
      </c>
      <c r="G339" s="21">
        <v>360</v>
      </c>
      <c r="H339" s="21">
        <v>-360</v>
      </c>
      <c r="L339" s="9" t="s">
        <v>135</v>
      </c>
      <c r="M339" s="21">
        <f t="shared" ref="M339" si="138">IF(B330=1,G339/G331*C330,H339/G331*C330)</f>
        <v>-270</v>
      </c>
    </row>
    <row r="340" spans="1:13">
      <c r="E340" s="21">
        <f t="shared" si="134"/>
        <v>340</v>
      </c>
      <c r="F340" s="9" t="s">
        <v>114</v>
      </c>
      <c r="L340" s="9" t="s">
        <v>135</v>
      </c>
      <c r="M340" s="21">
        <v>90</v>
      </c>
    </row>
    <row r="341" spans="1:13">
      <c r="E341" s="21">
        <f t="shared" si="134"/>
        <v>341</v>
      </c>
      <c r="F341" s="9" t="s">
        <v>30</v>
      </c>
      <c r="M341" s="21">
        <v>1.2</v>
      </c>
    </row>
    <row r="342" spans="1:13">
      <c r="E342" s="21">
        <f t="shared" si="134"/>
        <v>342</v>
      </c>
      <c r="F342" s="9" t="s">
        <v>197</v>
      </c>
      <c r="M342" s="21">
        <v>0</v>
      </c>
    </row>
    <row r="343" spans="1:13">
      <c r="A343" s="21" t="s">
        <v>228</v>
      </c>
      <c r="B343" s="21">
        <f t="shared" ref="B343:B381" si="139">QUOTIENT( D343-1,G344)+1</f>
        <v>2</v>
      </c>
      <c r="C343" s="21">
        <f t="shared" ref="C343:C381" si="140">D343-(B343-1)*G344</f>
        <v>10</v>
      </c>
      <c r="D343" s="21">
        <f>COUNT($D$69:$D342)+1</f>
        <v>22</v>
      </c>
    </row>
    <row r="344" spans="1:13">
      <c r="E344" s="21">
        <f t="shared" si="134"/>
        <v>344</v>
      </c>
      <c r="F344" s="9" t="s">
        <v>93</v>
      </c>
      <c r="G344" s="21">
        <v>12</v>
      </c>
      <c r="H344" s="21">
        <v>2</v>
      </c>
      <c r="J344" s="9" t="s">
        <v>252</v>
      </c>
      <c r="M344" s="21">
        <f t="shared" ref="M344:M381" si="141">J344+D343</f>
        <v>18422</v>
      </c>
    </row>
    <row r="345" spans="1:13">
      <c r="E345" s="21">
        <f t="shared" si="134"/>
        <v>345</v>
      </c>
      <c r="F345" s="9" t="s">
        <v>143</v>
      </c>
      <c r="G345" s="21">
        <v>183019</v>
      </c>
      <c r="H345" s="21">
        <v>183029</v>
      </c>
      <c r="M345" s="21">
        <f t="shared" ref="M345" si="142">IF(B343=1,G345,H345)</f>
        <v>183029</v>
      </c>
    </row>
    <row r="346" spans="1:13">
      <c r="E346" s="21">
        <f t="shared" si="134"/>
        <v>346</v>
      </c>
      <c r="F346" s="9" t="s">
        <v>127</v>
      </c>
      <c r="G346" s="21">
        <v>120</v>
      </c>
      <c r="M346" s="21">
        <f t="shared" ref="M346" si="143">G346/G344*C343</f>
        <v>100</v>
      </c>
    </row>
    <row r="347" spans="1:13">
      <c r="E347" s="21">
        <f t="shared" si="134"/>
        <v>347</v>
      </c>
      <c r="F347" s="9" t="s">
        <v>29</v>
      </c>
      <c r="M347" s="21" t="s">
        <v>251</v>
      </c>
    </row>
    <row r="348" spans="1:13">
      <c r="E348" s="21">
        <f t="shared" si="134"/>
        <v>348</v>
      </c>
      <c r="F348" s="9" t="s">
        <v>119</v>
      </c>
      <c r="M348" s="21" t="s">
        <v>254</v>
      </c>
    </row>
    <row r="349" spans="1:13">
      <c r="E349" s="21">
        <f t="shared" si="134"/>
        <v>349</v>
      </c>
      <c r="F349" s="9" t="s">
        <v>99</v>
      </c>
      <c r="K349" s="9" t="s">
        <v>138</v>
      </c>
      <c r="M349" s="21">
        <v>2</v>
      </c>
    </row>
    <row r="350" spans="1:13">
      <c r="E350" s="21">
        <f t="shared" si="134"/>
        <v>350</v>
      </c>
      <c r="F350" s="9" t="s">
        <v>117</v>
      </c>
      <c r="K350" s="9" t="s">
        <v>138</v>
      </c>
      <c r="M350" s="21">
        <v>2</v>
      </c>
    </row>
    <row r="351" spans="1:13">
      <c r="E351" s="21">
        <f t="shared" si="134"/>
        <v>351</v>
      </c>
      <c r="F351" s="9" t="s">
        <v>118</v>
      </c>
      <c r="M351" s="21" t="b">
        <v>1</v>
      </c>
    </row>
    <row r="352" spans="1:13">
      <c r="E352" s="21">
        <f t="shared" si="134"/>
        <v>352</v>
      </c>
      <c r="F352" s="9" t="s">
        <v>31</v>
      </c>
      <c r="G352" s="21">
        <v>360</v>
      </c>
      <c r="H352" s="21">
        <v>-360</v>
      </c>
      <c r="L352" s="9" t="s">
        <v>135</v>
      </c>
      <c r="M352" s="21">
        <f t="shared" ref="M352" si="144">IF(B343=1,G352/G344*C343,H352/G344*C343)</f>
        <v>-300</v>
      </c>
    </row>
    <row r="353" spans="1:13">
      <c r="E353" s="21">
        <f t="shared" si="134"/>
        <v>353</v>
      </c>
      <c r="F353" s="9" t="s">
        <v>114</v>
      </c>
      <c r="L353" s="9" t="s">
        <v>135</v>
      </c>
      <c r="M353" s="21">
        <v>90</v>
      </c>
    </row>
    <row r="354" spans="1:13">
      <c r="E354" s="21">
        <f t="shared" si="134"/>
        <v>354</v>
      </c>
      <c r="F354" s="9" t="s">
        <v>30</v>
      </c>
      <c r="M354" s="21">
        <v>1.2</v>
      </c>
    </row>
    <row r="355" spans="1:13">
      <c r="E355" s="21">
        <f t="shared" si="134"/>
        <v>355</v>
      </c>
      <c r="F355" s="9" t="s">
        <v>197</v>
      </c>
      <c r="M355" s="21">
        <v>0</v>
      </c>
    </row>
    <row r="356" spans="1:13">
      <c r="A356" s="21" t="s">
        <v>228</v>
      </c>
      <c r="B356" s="21">
        <f t="shared" ref="B356:B381" si="145">QUOTIENT( D356-1,G357)+1</f>
        <v>2</v>
      </c>
      <c r="C356" s="21">
        <f t="shared" ref="C356:C381" si="146">D356-(B356-1)*G357</f>
        <v>11</v>
      </c>
      <c r="D356" s="21">
        <f>COUNT($D$69:$D355)+1</f>
        <v>23</v>
      </c>
    </row>
    <row r="357" spans="1:13">
      <c r="E357" s="21">
        <f t="shared" si="134"/>
        <v>357</v>
      </c>
      <c r="F357" s="9" t="s">
        <v>93</v>
      </c>
      <c r="G357" s="21">
        <v>12</v>
      </c>
      <c r="H357" s="21">
        <v>2</v>
      </c>
      <c r="J357" s="9" t="s">
        <v>252</v>
      </c>
      <c r="M357" s="21">
        <f t="shared" ref="M357:M381" si="147">J357+D356</f>
        <v>18423</v>
      </c>
    </row>
    <row r="358" spans="1:13">
      <c r="E358" s="21">
        <f t="shared" si="134"/>
        <v>358</v>
      </c>
      <c r="F358" s="9" t="s">
        <v>143</v>
      </c>
      <c r="G358" s="21">
        <v>183019</v>
      </c>
      <c r="H358" s="21">
        <v>183029</v>
      </c>
      <c r="M358" s="21">
        <f t="shared" ref="M358" si="148">IF(B356=1,G358,H358)</f>
        <v>183029</v>
      </c>
    </row>
    <row r="359" spans="1:13">
      <c r="E359" s="21">
        <f t="shared" si="134"/>
        <v>359</v>
      </c>
      <c r="F359" s="9" t="s">
        <v>127</v>
      </c>
      <c r="G359" s="21">
        <v>120</v>
      </c>
      <c r="M359" s="21">
        <f t="shared" ref="M359" si="149">G359/G357*C356</f>
        <v>110</v>
      </c>
    </row>
    <row r="360" spans="1:13">
      <c r="E360" s="21">
        <f t="shared" si="134"/>
        <v>360</v>
      </c>
      <c r="F360" s="9" t="s">
        <v>29</v>
      </c>
      <c r="M360" s="21" t="s">
        <v>251</v>
      </c>
    </row>
    <row r="361" spans="1:13">
      <c r="E361" s="21">
        <f t="shared" si="134"/>
        <v>361</v>
      </c>
      <c r="F361" s="9" t="s">
        <v>119</v>
      </c>
      <c r="M361" s="21" t="s">
        <v>254</v>
      </c>
    </row>
    <row r="362" spans="1:13">
      <c r="E362" s="21">
        <f t="shared" si="134"/>
        <v>362</v>
      </c>
      <c r="F362" s="9" t="s">
        <v>99</v>
      </c>
      <c r="K362" s="9" t="s">
        <v>138</v>
      </c>
      <c r="M362" s="21">
        <v>2</v>
      </c>
    </row>
    <row r="363" spans="1:13">
      <c r="E363" s="21">
        <f t="shared" si="134"/>
        <v>363</v>
      </c>
      <c r="F363" s="9" t="s">
        <v>117</v>
      </c>
      <c r="K363" s="9" t="s">
        <v>138</v>
      </c>
      <c r="M363" s="21">
        <v>2</v>
      </c>
    </row>
    <row r="364" spans="1:13">
      <c r="E364" s="21">
        <f t="shared" si="134"/>
        <v>364</v>
      </c>
      <c r="F364" s="9" t="s">
        <v>118</v>
      </c>
      <c r="M364" s="21" t="b">
        <v>1</v>
      </c>
    </row>
    <row r="365" spans="1:13">
      <c r="E365" s="21">
        <f t="shared" si="134"/>
        <v>365</v>
      </c>
      <c r="F365" s="9" t="s">
        <v>31</v>
      </c>
      <c r="G365" s="21">
        <v>360</v>
      </c>
      <c r="H365" s="21">
        <v>-360</v>
      </c>
      <c r="L365" s="9" t="s">
        <v>135</v>
      </c>
      <c r="M365" s="21">
        <f t="shared" ref="M365" si="150">IF(B356=1,G365/G357*C356,H365/G357*C356)</f>
        <v>-330</v>
      </c>
    </row>
    <row r="366" spans="1:13">
      <c r="E366" s="21">
        <f t="shared" si="134"/>
        <v>366</v>
      </c>
      <c r="F366" s="9" t="s">
        <v>114</v>
      </c>
      <c r="L366" s="9" t="s">
        <v>135</v>
      </c>
      <c r="M366" s="21">
        <v>90</v>
      </c>
    </row>
    <row r="367" spans="1:13">
      <c r="E367" s="21">
        <f t="shared" si="134"/>
        <v>367</v>
      </c>
      <c r="F367" s="9" t="s">
        <v>30</v>
      </c>
      <c r="M367" s="21">
        <v>1.2</v>
      </c>
    </row>
    <row r="368" spans="1:13">
      <c r="E368" s="21">
        <f t="shared" si="134"/>
        <v>368</v>
      </c>
      <c r="F368" s="9" t="s">
        <v>197</v>
      </c>
      <c r="M368" s="21">
        <v>0</v>
      </c>
    </row>
    <row r="369" spans="1:13">
      <c r="A369" s="21" t="s">
        <v>228</v>
      </c>
      <c r="B369" s="21">
        <f t="shared" ref="B369:B381" si="151">QUOTIENT( D369-1,G370)+1</f>
        <v>2</v>
      </c>
      <c r="C369" s="21">
        <f t="shared" ref="C369:C381" si="152">D369-(B369-1)*G370</f>
        <v>12</v>
      </c>
      <c r="D369" s="21">
        <f>COUNT($D$69:$D368)+1</f>
        <v>24</v>
      </c>
    </row>
    <row r="370" spans="1:13">
      <c r="E370" s="21">
        <f t="shared" si="134"/>
        <v>370</v>
      </c>
      <c r="F370" s="9" t="s">
        <v>93</v>
      </c>
      <c r="G370" s="21">
        <v>12</v>
      </c>
      <c r="H370" s="21">
        <v>2</v>
      </c>
      <c r="J370" s="9" t="s">
        <v>252</v>
      </c>
      <c r="M370" s="21">
        <f t="shared" ref="M370:M381" si="153">J370+D369</f>
        <v>18424</v>
      </c>
    </row>
    <row r="371" spans="1:13">
      <c r="E371" s="21">
        <f t="shared" si="134"/>
        <v>371</v>
      </c>
      <c r="F371" s="9" t="s">
        <v>143</v>
      </c>
      <c r="G371" s="21">
        <v>183019</v>
      </c>
      <c r="H371" s="21">
        <v>183029</v>
      </c>
      <c r="M371" s="21">
        <f t="shared" ref="M371" si="154">IF(B369=1,G371,H371)</f>
        <v>183029</v>
      </c>
    </row>
    <row r="372" spans="1:13">
      <c r="E372" s="21">
        <f t="shared" si="134"/>
        <v>372</v>
      </c>
      <c r="F372" s="9" t="s">
        <v>127</v>
      </c>
      <c r="G372" s="21">
        <v>120</v>
      </c>
      <c r="M372" s="21">
        <f t="shared" ref="M372" si="155">G372/G370*C369</f>
        <v>120</v>
      </c>
    </row>
    <row r="373" spans="1:13">
      <c r="E373" s="21">
        <f t="shared" si="134"/>
        <v>373</v>
      </c>
      <c r="F373" s="9" t="s">
        <v>29</v>
      </c>
      <c r="M373" s="21" t="s">
        <v>251</v>
      </c>
    </row>
    <row r="374" spans="1:13">
      <c r="E374" s="21">
        <f t="shared" si="134"/>
        <v>374</v>
      </c>
      <c r="F374" s="9" t="s">
        <v>119</v>
      </c>
      <c r="M374" s="21" t="s">
        <v>254</v>
      </c>
    </row>
    <row r="375" spans="1:13">
      <c r="E375" s="21">
        <f t="shared" si="134"/>
        <v>375</v>
      </c>
      <c r="F375" s="9" t="s">
        <v>99</v>
      </c>
      <c r="K375" s="9" t="s">
        <v>138</v>
      </c>
      <c r="M375" s="21">
        <v>2</v>
      </c>
    </row>
    <row r="376" spans="1:13">
      <c r="E376" s="21">
        <f t="shared" si="134"/>
        <v>376</v>
      </c>
      <c r="F376" s="9" t="s">
        <v>117</v>
      </c>
      <c r="K376" s="9" t="s">
        <v>138</v>
      </c>
      <c r="M376" s="21">
        <v>2</v>
      </c>
    </row>
    <row r="377" spans="1:13">
      <c r="E377" s="21">
        <f t="shared" si="134"/>
        <v>377</v>
      </c>
      <c r="F377" s="9" t="s">
        <v>118</v>
      </c>
      <c r="M377" s="21" t="b">
        <v>1</v>
      </c>
    </row>
    <row r="378" spans="1:13">
      <c r="E378" s="21">
        <f t="shared" si="134"/>
        <v>378</v>
      </c>
      <c r="F378" s="9" t="s">
        <v>31</v>
      </c>
      <c r="G378" s="21">
        <v>360</v>
      </c>
      <c r="H378" s="21">
        <v>-360</v>
      </c>
      <c r="L378" s="9" t="s">
        <v>135</v>
      </c>
      <c r="M378" s="21">
        <f t="shared" ref="M378" si="156">IF(B369=1,G378/G370*C369,H378/G370*C369)</f>
        <v>-360</v>
      </c>
    </row>
    <row r="379" spans="1:13">
      <c r="E379" s="21">
        <f t="shared" si="134"/>
        <v>379</v>
      </c>
      <c r="F379" s="9" t="s">
        <v>114</v>
      </c>
      <c r="L379" s="9" t="s">
        <v>135</v>
      </c>
      <c r="M379" s="21">
        <v>90</v>
      </c>
    </row>
    <row r="380" spans="1:13">
      <c r="E380" s="21">
        <f t="shared" si="134"/>
        <v>380</v>
      </c>
      <c r="F380" s="9" t="s">
        <v>30</v>
      </c>
      <c r="M380" s="21">
        <v>1.2</v>
      </c>
    </row>
    <row r="381" spans="1:13">
      <c r="E381" s="21">
        <f t="shared" si="134"/>
        <v>381</v>
      </c>
      <c r="F381" s="9" t="s">
        <v>197</v>
      </c>
      <c r="M381" s="21">
        <v>0</v>
      </c>
    </row>
  </sheetData>
  <phoneticPr fontId="2" type="noConversion"/>
  <conditionalFormatting sqref="BE1:XFD1 E1:I1">
    <cfRule type="duplicateValues" dxfId="57" priority="1879"/>
  </conditionalFormatting>
  <conditionalFormatting sqref="F1:F10 F13">
    <cfRule type="cellIs" dxfId="56" priority="1380" operator="equal">
      <formula>"ID"</formula>
    </cfRule>
    <cfRule type="cellIs" dxfId="55" priority="1795" operator="equal">
      <formula>"行動序號"</formula>
    </cfRule>
  </conditionalFormatting>
  <conditionalFormatting sqref="J1">
    <cfRule type="duplicateValues" dxfId="54" priority="1378"/>
  </conditionalFormatting>
  <conditionalFormatting sqref="K1:L1">
    <cfRule type="duplicateValues" dxfId="53" priority="1375"/>
  </conditionalFormatting>
  <conditionalFormatting sqref="M1:M18 M22:M1048576">
    <cfRule type="expression" dxfId="52" priority="990">
      <formula>_xlfn.ISFORMULA(M1)</formula>
    </cfRule>
  </conditionalFormatting>
  <conditionalFormatting sqref="N1:BD1">
    <cfRule type="duplicateValues" dxfId="51" priority="1895"/>
  </conditionalFormatting>
  <conditionalFormatting sqref="F14 F11:F12">
    <cfRule type="cellIs" dxfId="50" priority="100" operator="equal">
      <formula>"ID"</formula>
    </cfRule>
    <cfRule type="cellIs" dxfId="49" priority="101" operator="equal">
      <formula>"行動序號"</formula>
    </cfRule>
  </conditionalFormatting>
  <conditionalFormatting sqref="J24">
    <cfRule type="expression" dxfId="48" priority="98">
      <formula>_xlfn.ISFORMULA(J24)</formula>
    </cfRule>
  </conditionalFormatting>
  <conditionalFormatting sqref="F1:F18 F22:F1048576">
    <cfRule type="cellIs" dxfId="47" priority="93" operator="equal">
      <formula>"ID"</formula>
    </cfRule>
    <cfRule type="cellIs" dxfId="46" priority="94" operator="equal">
      <formula>"行動ID"</formula>
    </cfRule>
  </conditionalFormatting>
  <conditionalFormatting sqref="J24">
    <cfRule type="expression" dxfId="45" priority="103">
      <formula>OR($F22="行動序號",$F22="ID")</formula>
    </cfRule>
  </conditionalFormatting>
  <conditionalFormatting sqref="J24">
    <cfRule type="expression" dxfId="44" priority="104">
      <formula>$F22="行動ID"</formula>
    </cfRule>
  </conditionalFormatting>
  <conditionalFormatting sqref="M1:M18 M22:M1048576">
    <cfRule type="expression" dxfId="43" priority="54">
      <formula>AND(_xlfn.ISFORMULA(M1),OR($F1="行動ID", $F1="ID"))</formula>
    </cfRule>
    <cfRule type="expression" dxfId="42" priority="56">
      <formula>OR($F1="行動ID", $F1="ID")</formula>
    </cfRule>
  </conditionalFormatting>
  <conditionalFormatting sqref="J30">
    <cfRule type="expression" dxfId="41" priority="1">
      <formula>_xlfn.ISFORMULA(J30)</formula>
    </cfRule>
  </conditionalFormatting>
  <conditionalFormatting sqref="J30">
    <cfRule type="expression" dxfId="40" priority="2">
      <formula>OR($F28="行動序號",$F28="ID")</formula>
    </cfRule>
  </conditionalFormatting>
  <conditionalFormatting sqref="J30">
    <cfRule type="expression" dxfId="39" priority="3">
      <formula>$F28="行動ID"</formula>
    </cfRule>
  </conditionalFormatting>
  <dataValidations count="1">
    <dataValidation type="list" allowBlank="1" showInputMessage="1" showErrorMessage="1" sqref="K8 L5:L6 F10 K4 L14:L15 K15 L21 L69 K19 L37 L3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stage7_card9shot1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2025-04-23T13:58:16Z</dcterms:modified>
</cp:coreProperties>
</file>