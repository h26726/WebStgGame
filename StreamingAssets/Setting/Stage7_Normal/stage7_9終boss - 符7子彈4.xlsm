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D0100835-D141-444A-8E16-04BDC151BF4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card7shot4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1" i="1" l="1"/>
  <c r="E50" i="1"/>
  <c r="E49" i="1"/>
  <c r="E48" i="1"/>
  <c r="E47" i="1"/>
  <c r="E46" i="1"/>
  <c r="E45" i="1"/>
  <c r="M44" i="1"/>
  <c r="E44" i="1"/>
  <c r="E43" i="1"/>
  <c r="E42" i="1"/>
  <c r="E41" i="1"/>
  <c r="E40" i="1"/>
  <c r="E39" i="1"/>
  <c r="E38" i="1"/>
  <c r="E37" i="1"/>
  <c r="D36" i="1"/>
  <c r="M37" i="1" s="1"/>
  <c r="B36" i="1"/>
  <c r="E35" i="1"/>
  <c r="E32" i="1"/>
  <c r="E31" i="1"/>
  <c r="E30" i="1"/>
  <c r="E34" i="1"/>
  <c r="E33" i="1"/>
  <c r="E29" i="1"/>
  <c r="M28" i="1"/>
  <c r="E28" i="1"/>
  <c r="M46" i="1" l="1"/>
  <c r="M47" i="1"/>
  <c r="C36" i="1"/>
  <c r="M43" i="1" s="1"/>
  <c r="E27" i="1"/>
  <c r="E26" i="1"/>
  <c r="E25" i="1" l="1"/>
  <c r="E24" i="1"/>
  <c r="E23" i="1"/>
  <c r="E22" i="1"/>
  <c r="E21" i="1"/>
  <c r="D20" i="1"/>
  <c r="A19" i="1"/>
  <c r="M21" i="1" l="1"/>
  <c r="B20" i="1"/>
  <c r="M30" i="1" l="1"/>
  <c r="M31" i="1"/>
  <c r="C20" i="1"/>
  <c r="M27" i="1" s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</calcChain>
</file>

<file path=xl/sharedStrings.xml><?xml version="1.0" encoding="utf-8"?>
<sst xmlns="http://schemas.openxmlformats.org/spreadsheetml/2006/main" count="483" uniqueCount="255">
  <si>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</si>
  <si>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</si>
  <si>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</si>
  <si>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</si>
  <si>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</si>
  <si>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</si>
  <si>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</si>
  <si>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</si>
  <si>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</si>
  <si>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</si>
  <si>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</si>
  <si>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</si>
  <si>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</si>
  <si>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</si>
  <si>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</si>
  <si>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</si>
  <si>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</si>
  <si>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</si>
  <si>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</si>
  <si>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</si>
  <si>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</si>
  <si>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</si>
  <si>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</si>
  <si>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</si>
  <si>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</si>
  <si>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</si>
  <si>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</si>
  <si>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</si>
  <si>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</si>
  <si>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</si>
  <si>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</si>
  <si>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</si>
  <si>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</si>
  <si>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</si>
  <si>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</si>
  <si>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</si>
  <si>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</si>
  <si>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</si>
  <si>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</si>
  <si>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</si>
  <si>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</si>
  <si>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</si>
  <si>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</si>
  <si>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</si>
  <si>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</si>
  <si>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</si>
  <si>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</si>
  <si>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</si>
  <si>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</si>
  <si>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</si>
  <si>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</si>
  <si>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</si>
  <si>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</si>
  <si>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</si>
  <si>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</si>
  <si>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</si>
  <si>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</si>
  <si>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</si>
  <si>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</si>
  <si>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</si>
  <si>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</si>
  <si>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</si>
  <si>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</si>
  <si>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</si>
  <si>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</si>
  <si>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</si>
  <si>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</si>
  <si>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</si>
  <si>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</si>
  <si>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</si>
  <si>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</si>
  <si>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</si>
  <si>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</si>
  <si>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</si>
  <si>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</si>
  <si>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</si>
  <si>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</si>
  <si>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</si>
  <si>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</si>
  <si>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</si>
  <si>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</si>
  <si>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</si>
  <si>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</si>
  <si>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</si>
  <si>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</si>
  <si>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</si>
  <si>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</si>
  <si>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</si>
  <si>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</si>
  <si>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</si>
  <si>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</si>
  <si>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</si>
  <si>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</si>
  <si>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</si>
  <si>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</si>
  <si>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</si>
  <si>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物件</t>
    <phoneticPr fontId="2" type="noConversion"/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</si>
  <si>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</si>
  <si>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</si>
  <si>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</si>
  <si>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</si>
  <si>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</si>
  <si>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</si>
  <si>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</si>
  <si>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</si>
  <si>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</si>
  <si>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</si>
  <si>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</si>
  <si>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</si>
  <si>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</si>
  <si>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</si>
  <si>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</si>
  <si>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</si>
  <si>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</si>
  <si>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</si>
  <si>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</si>
  <si>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</si>
  <si>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</si>
  <si>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</si>
  <si>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</si>
  <si>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</si>
  <si>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</si>
  <si>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</si>
  <si>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</si>
  <si>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</si>
  <si>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</si>
  <si>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</si>
  <si>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</si>
  <si>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</si>
  <si>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</si>
  <si>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</si>
  <si>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</si>
  <si>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</si>
  <si>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</si>
  <si>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</si>
  <si>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</si>
  <si>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</si>
  <si>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</si>
  <si>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</si>
  <si>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</si>
  <si>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</si>
  <si>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</si>
  <si>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</si>
  <si>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</si>
  <si>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</si>
  <si>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</si>
  <si>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</si>
  <si>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</si>
  <si>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</si>
  <si>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</si>
  <si>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</si>
  <si>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</si>
  <si>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</si>
  <si>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</si>
  <si>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</si>
  <si>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</si>
  <si>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</si>
  <si>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</si>
  <si>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</si>
  <si>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</si>
  <si>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</si>
  <si>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</si>
  <si>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</si>
  <si>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</si>
  <si>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</si>
  <si>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</si>
  <si>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</si>
  <si>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</si>
  <si>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</si>
  <si>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</si>
  <si>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</si>
  <si>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</si>
  <si>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</si>
  <si>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</si>
  <si>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</si>
  <si>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</si>
  <si>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</si>
  <si>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</si>
  <si>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</si>
  <si>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</si>
  <si>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</si>
  <si>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</si>
  <si>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</si>
  <si>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</si>
  <si>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</si>
  <si>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</si>
  <si>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</si>
  <si>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</si>
  <si>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</si>
  <si>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</si>
  <si>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</si>
  <si>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</si>
  <si>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</si>
  <si>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</si>
  <si>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</si>
  <si>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</si>
  <si>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</si>
  <si>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</si>
  <si>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</si>
  <si>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</si>
  <si>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</si>
  <si>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</si>
  <si>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</si>
  <si>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</si>
  <si>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</si>
  <si>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</si>
  <si>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</si>
  <si>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</si>
  <si>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</si>
  <si>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</si>
  <si>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</si>
  <si>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</si>
  <si>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</si>
  <si>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</si>
  <si>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</si>
  <si>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</si>
  <si>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</si>
  <si>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</si>
  <si>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</si>
  <si>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</si>
  <si>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</si>
  <si>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</si>
  <si>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</si>
  <si>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</si>
  <si>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</si>
  <si>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</si>
  <si>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</si>
  <si>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</si>
  <si>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</si>
  <si>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</si>
  <si>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</si>
  <si>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</si>
  <si>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</si>
  <si>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</si>
  <si>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</si>
  <si>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</si>
  <si>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</si>
  <si>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</si>
  <si>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</si>
  <si>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</si>
  <si>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</si>
  <si>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</si>
  <si>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</si>
  <si>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</si>
  <si>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</si>
  <si>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</si>
  <si>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角度ID移動角度</t>
    <phoneticPr fontId="2" type="noConversion"/>
  </si>
  <si>
    <t>7</t>
    <phoneticPr fontId="2" type="noConversion"/>
  </si>
  <si>
    <t>Empty</t>
  </si>
  <si>
    <t>4,4</t>
  </si>
  <si>
    <t>4,4</t>
    <phoneticPr fontId="2" type="noConversion"/>
  </si>
  <si>
    <t>-4,4</t>
  </si>
  <si>
    <t>-4,4</t>
    <phoneticPr fontId="2" type="noConversion"/>
  </si>
  <si>
    <t>1,3</t>
  </si>
  <si>
    <t>1,3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</si>
</sst>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0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17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5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51"/>
  <sheetViews>
    <sheetView tabSelected="1" zoomScale="115" zoomScaleNormal="115" workbookViewId="0">
      <pane ySplit="1" topLeftCell="A17" activePane="bottomLeft" state="frozen"/>
      <selection pane="bottomLeft" activeCell="P25" sqref="P25"/>
    </sheetView>
  </sheetViews>
  <sheetFormatPr defaultRowHeight="19.5"/>
  <cols>
    <col min="1" max="4" width="6.125" style="21" customWidth="1"/>
    <col min="5" max="5" width="9" style="21"/>
    <col min="6" max="6" width="16.125" style="9" bestFit="1" customWidth="1"/>
    <col min="7" max="7" width="7.375" style="21" customWidth="1"/>
    <col min="8" max="8" width="6.125" style="21" customWidth="1"/>
    <col min="9" max="9" width="5.125" style="21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1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60" s="17" customFormat="1">
      <c r="A1" s="22"/>
      <c r="B1" s="22"/>
      <c r="C1" s="22"/>
      <c r="D1" s="22"/>
      <c r="E1" s="22" t="s">
        <v>49</v>
      </c>
      <c r="F1" s="9" t="s">
        <v>27</v>
      </c>
      <c r="G1" s="22"/>
      <c r="H1" s="22"/>
      <c r="I1" s="22"/>
      <c r="K1" s="17" t="s">
        <v>140</v>
      </c>
      <c r="L1" s="17" t="s">
        <v>141</v>
      </c>
      <c r="M1" s="21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11" spans="1:60">
      <c r="A11" s="9"/>
      <c r="B11" s="9"/>
    </row>
    <row r="12" spans="1:60">
      <c r="B12" s="9"/>
      <c r="C12" s="9"/>
      <c r="D12" s="9"/>
    </row>
    <row r="13" spans="1:60">
      <c r="A13" s="9"/>
      <c r="B13" s="9"/>
      <c r="R13" s="12"/>
      <c r="S13" s="9"/>
      <c r="U13" s="12"/>
      <c r="X13" s="15"/>
      <c r="AE13" s="16"/>
      <c r="BH13" s="9"/>
    </row>
    <row r="14" spans="1:60">
      <c r="A14" s="9"/>
    </row>
    <row r="15" spans="1:60">
      <c r="A15" s="9"/>
      <c r="B15" s="9"/>
    </row>
    <row r="16" spans="1:60">
      <c r="A16" s="9"/>
      <c r="B16" s="9"/>
    </row>
    <row r="17" spans="1:60">
      <c r="A17" s="9"/>
      <c r="B17" s="9"/>
    </row>
    <row r="18" spans="1:60">
      <c r="A18" s="9"/>
      <c r="B18" s="9"/>
      <c r="M18" s="21" t="s">
        <v>248</v>
      </c>
      <c r="R18" s="12"/>
      <c r="S18" s="9"/>
      <c r="U18" s="12"/>
      <c r="X18" s="15"/>
      <c r="AE18" s="16"/>
      <c r="BH18" s="9"/>
    </row>
    <row r="19" spans="1:60">
      <c r="A19" s="21">
        <f>G21*H21</f>
        <v>2</v>
      </c>
      <c r="B19" s="9"/>
      <c r="C19" s="9"/>
      <c r="D19" s="9"/>
      <c r="R19" s="12"/>
      <c r="S19" s="9"/>
      <c r="U19" s="12"/>
      <c r="X19" s="15"/>
      <c r="AE19" s="16"/>
      <c r="BH19" s="9"/>
    </row>
    <row r="20" spans="1:60">
      <c r="A20" s="9" t="s">
        <v>228</v>
      </c>
      <c r="B20" s="21">
        <f>QUOTIENT( D20-1,G21)+1</f>
        <v>1</v>
      </c>
      <c r="C20" s="21">
        <f>D20-(B20-1)*G21</f>
        <v>1</v>
      </c>
      <c r="D20" s="21">
        <f>COUNT($D$14:$D19)+1</f>
        <v>1</v>
      </c>
      <c r="R20" s="12"/>
      <c r="S20" s="9"/>
      <c r="U20" s="12"/>
      <c r="X20" s="15"/>
      <c r="AE20" s="16"/>
      <c r="BH20" s="9"/>
    </row>
    <row r="21" spans="1:60">
      <c r="A21" s="9"/>
      <c r="B21" s="9"/>
      <c r="E21" s="21">
        <f>ROW(E21)</f>
        <v>21</v>
      </c>
      <c r="F21" s="9" t="s">
        <v>93</v>
      </c>
      <c r="G21" s="21">
        <v>2</v>
      </c>
      <c r="H21" s="21">
        <v>1</v>
      </c>
      <c r="J21" s="21">
        <v>16800</v>
      </c>
      <c r="M21" s="21">
        <f>J21+D20</f>
        <v>16801</v>
      </c>
      <c r="R21" s="12"/>
      <c r="S21" s="9"/>
      <c r="U21" s="12"/>
      <c r="X21" s="15"/>
      <c r="AE21" s="16"/>
      <c r="BH21" s="9"/>
    </row>
    <row r="22" spans="1:60">
      <c r="A22" s="9"/>
      <c r="B22" s="9"/>
      <c r="E22" s="21">
        <f t="shared" ref="E22:E35" si="0">ROW(E22)</f>
        <v>22</v>
      </c>
      <c r="F22" s="9" t="s">
        <v>143</v>
      </c>
      <c r="M22" s="21">
        <v>164109</v>
      </c>
      <c r="R22" s="12"/>
      <c r="S22" s="9"/>
      <c r="U22" s="12"/>
      <c r="X22" s="15"/>
      <c r="AE22" s="16"/>
      <c r="BH22" s="9"/>
    </row>
    <row r="23" spans="1:60">
      <c r="A23" s="9"/>
      <c r="B23" s="9"/>
      <c r="E23" s="21">
        <f t="shared" si="0"/>
        <v>23</v>
      </c>
      <c r="F23" s="9" t="s">
        <v>128</v>
      </c>
      <c r="M23" s="27">
        <v>60</v>
      </c>
      <c r="R23" s="12"/>
      <c r="S23" s="9"/>
      <c r="U23" s="12"/>
      <c r="X23" s="15"/>
      <c r="AE23" s="16"/>
      <c r="BH23" s="9"/>
    </row>
    <row r="24" spans="1:60">
      <c r="A24" s="9"/>
      <c r="B24" s="9"/>
      <c r="E24" s="21">
        <f t="shared" si="0"/>
        <v>24</v>
      </c>
      <c r="F24" s="9" t="s">
        <v>96</v>
      </c>
      <c r="M24" s="21" t="s">
        <v>248</v>
      </c>
      <c r="R24" s="12"/>
      <c r="S24" s="9"/>
      <c r="U24" s="12"/>
      <c r="X24" s="15"/>
      <c r="AE24" s="16"/>
      <c r="BH24" s="9"/>
    </row>
    <row r="25" spans="1:60">
      <c r="A25" s="9"/>
      <c r="B25" s="9"/>
      <c r="E25" s="21">
        <f t="shared" si="0"/>
        <v>25</v>
      </c>
      <c r="F25" s="9" t="s">
        <v>99</v>
      </c>
      <c r="G25" s="26"/>
      <c r="H25" s="28"/>
      <c r="I25" s="27"/>
      <c r="J25" s="27"/>
      <c r="K25" s="9" t="s">
        <v>138</v>
      </c>
      <c r="M25" s="27">
        <v>2</v>
      </c>
      <c r="R25" s="12"/>
      <c r="S25" s="9"/>
      <c r="U25" s="12"/>
      <c r="X25" s="15"/>
      <c r="AE25" s="16"/>
      <c r="BH25" s="9"/>
    </row>
    <row r="26" spans="1:60">
      <c r="A26" s="9"/>
      <c r="B26" s="9"/>
      <c r="E26" s="21">
        <f t="shared" si="0"/>
        <v>26</v>
      </c>
      <c r="F26" s="9" t="s">
        <v>120</v>
      </c>
      <c r="G26" s="26"/>
      <c r="H26" s="28"/>
      <c r="I26" s="27"/>
      <c r="J26" s="27"/>
      <c r="M26" s="27">
        <v>60</v>
      </c>
      <c r="R26" s="12"/>
      <c r="S26" s="9"/>
      <c r="U26" s="12"/>
      <c r="X26" s="15"/>
      <c r="AE26" s="16"/>
      <c r="BH26" s="9"/>
    </row>
    <row r="27" spans="1:60">
      <c r="A27" s="9"/>
      <c r="B27" s="9"/>
      <c r="E27" s="21">
        <f t="shared" si="0"/>
        <v>27</v>
      </c>
      <c r="F27" s="9" t="s">
        <v>121</v>
      </c>
      <c r="G27" s="9" t="s">
        <v>250</v>
      </c>
      <c r="H27" s="9" t="s">
        <v>252</v>
      </c>
      <c r="I27" s="9"/>
      <c r="K27" s="9" t="s">
        <v>137</v>
      </c>
      <c r="M27" s="27" t="str">
        <f>IF(MOD(C20,2)=0,G27,H27)</f>
        <v>-4,4</v>
      </c>
      <c r="R27" s="12"/>
      <c r="S27" s="9"/>
      <c r="U27" s="12"/>
      <c r="X27" s="15"/>
      <c r="AE27" s="16"/>
      <c r="BH27" s="9"/>
    </row>
    <row r="28" spans="1:60">
      <c r="A28" s="9"/>
      <c r="B28" s="9"/>
      <c r="E28" s="21">
        <f t="shared" si="0"/>
        <v>28</v>
      </c>
      <c r="F28" s="9" t="s">
        <v>168</v>
      </c>
      <c r="G28" s="9"/>
      <c r="H28" s="9"/>
      <c r="I28" s="9"/>
      <c r="M28" s="27">
        <f>J21</f>
        <v>16800</v>
      </c>
      <c r="R28" s="12"/>
      <c r="S28" s="9"/>
      <c r="U28" s="12"/>
      <c r="X28" s="15"/>
      <c r="AE28" s="16"/>
      <c r="BH28" s="9"/>
    </row>
    <row r="29" spans="1:60">
      <c r="A29" s="9"/>
      <c r="B29" s="9"/>
      <c r="E29" s="21">
        <f t="shared" si="0"/>
        <v>29</v>
      </c>
      <c r="F29" s="9" t="s">
        <v>35</v>
      </c>
      <c r="G29" s="26"/>
      <c r="H29" s="28"/>
      <c r="I29" s="27"/>
      <c r="J29" s="27"/>
      <c r="M29" s="27">
        <v>60</v>
      </c>
      <c r="R29" s="12"/>
      <c r="S29" s="9"/>
      <c r="U29" s="12"/>
      <c r="X29" s="15"/>
      <c r="AE29" s="16"/>
      <c r="BH29" s="9"/>
    </row>
    <row r="30" spans="1:60">
      <c r="A30" s="9"/>
      <c r="B30" s="9"/>
      <c r="E30" s="21">
        <f t="shared" si="0"/>
        <v>30</v>
      </c>
      <c r="F30" s="9" t="s">
        <v>102</v>
      </c>
      <c r="G30" s="26"/>
      <c r="H30" s="28"/>
      <c r="I30" s="27"/>
      <c r="J30" s="27"/>
      <c r="M30" s="27">
        <f>M21*10+1</f>
        <v>168011</v>
      </c>
      <c r="R30" s="12"/>
      <c r="S30" s="9"/>
      <c r="U30" s="12"/>
      <c r="X30" s="15"/>
      <c r="AE30" s="16"/>
      <c r="BH30" s="9"/>
    </row>
    <row r="31" spans="1:60">
      <c r="A31" s="9"/>
      <c r="B31" s="9"/>
      <c r="E31" s="21">
        <f t="shared" si="0"/>
        <v>31</v>
      </c>
      <c r="F31" s="9" t="s">
        <v>143</v>
      </c>
      <c r="M31" s="21">
        <f>M21</f>
        <v>16801</v>
      </c>
      <c r="R31" s="12"/>
      <c r="S31" s="9"/>
      <c r="U31" s="12"/>
      <c r="X31" s="15"/>
      <c r="AE31" s="16"/>
      <c r="BH31" s="9"/>
    </row>
    <row r="32" spans="1:60">
      <c r="A32" s="9"/>
      <c r="B32" s="9"/>
      <c r="E32" s="21">
        <f t="shared" si="0"/>
        <v>32</v>
      </c>
      <c r="F32" s="9" t="s">
        <v>128</v>
      </c>
      <c r="M32" s="27">
        <v>0</v>
      </c>
      <c r="R32" s="12"/>
      <c r="S32" s="9"/>
      <c r="U32" s="12"/>
      <c r="X32" s="15"/>
      <c r="AE32" s="16"/>
      <c r="BH32" s="9"/>
    </row>
    <row r="33" spans="1:60">
      <c r="A33" s="9"/>
      <c r="B33" s="9"/>
      <c r="E33" s="21">
        <f t="shared" si="0"/>
        <v>33</v>
      </c>
      <c r="F33" s="9" t="s">
        <v>30</v>
      </c>
      <c r="G33" s="26"/>
      <c r="H33" s="28"/>
      <c r="I33" s="27"/>
      <c r="J33" s="27"/>
      <c r="M33" s="27">
        <v>3.5</v>
      </c>
      <c r="R33" s="12"/>
      <c r="S33" s="9"/>
      <c r="U33" s="12"/>
      <c r="X33" s="15"/>
      <c r="AE33" s="16"/>
      <c r="BH33" s="9"/>
    </row>
    <row r="34" spans="1:60">
      <c r="A34" s="9"/>
      <c r="B34" s="9"/>
      <c r="E34" s="21">
        <f t="shared" si="0"/>
        <v>34</v>
      </c>
      <c r="F34" s="9" t="s">
        <v>31</v>
      </c>
      <c r="G34" s="26"/>
      <c r="H34" s="28"/>
      <c r="I34" s="27"/>
      <c r="J34" s="27"/>
      <c r="L34" s="9" t="s">
        <v>136</v>
      </c>
      <c r="M34" s="27" t="s">
        <v>254</v>
      </c>
      <c r="R34" s="12"/>
      <c r="S34" s="9"/>
      <c r="U34" s="12"/>
      <c r="X34" s="15"/>
      <c r="AE34" s="16"/>
      <c r="BH34" s="9"/>
    </row>
    <row r="35" spans="1:60">
      <c r="A35" s="9"/>
      <c r="B35" s="9"/>
      <c r="E35" s="21">
        <f t="shared" si="0"/>
        <v>35</v>
      </c>
      <c r="F35" s="9" t="s">
        <v>98</v>
      </c>
      <c r="G35" s="26"/>
      <c r="H35" s="28"/>
      <c r="I35" s="27"/>
      <c r="J35" s="27"/>
      <c r="M35" s="27">
        <v>600</v>
      </c>
      <c r="R35" s="12"/>
      <c r="S35" s="9"/>
      <c r="U35" s="12"/>
      <c r="X35" s="15"/>
      <c r="AE35" s="16"/>
      <c r="BH35" s="9"/>
    </row>
    <row r="36" spans="1:60">
      <c r="A36" s="21" t="s">
        <v>228</v>
      </c>
      <c r="B36" s="21">
        <f t="shared" ref="B36:B51" si="1">QUOTIENT( D36-1,G37)+1</f>
        <v>1</v>
      </c>
      <c r="C36" s="21">
        <f t="shared" ref="C36" si="2">D36-(B36-1)*G37</f>
        <v>2</v>
      </c>
      <c r="D36" s="21">
        <f>COUNT($D$14:$D35)+1</f>
        <v>2</v>
      </c>
    </row>
    <row r="37" spans="1:60">
      <c r="E37" s="21">
        <f t="shared" ref="E37:E51" si="3">ROW(E37)</f>
        <v>37</v>
      </c>
      <c r="F37" s="9" t="s">
        <v>93</v>
      </c>
      <c r="G37" s="21">
        <v>2</v>
      </c>
      <c r="H37" s="21">
        <v>1</v>
      </c>
      <c r="J37" s="21">
        <v>16800</v>
      </c>
      <c r="M37" s="21">
        <f t="shared" ref="M37:M51" si="4">J37+D36</f>
        <v>16802</v>
      </c>
    </row>
    <row r="38" spans="1:60">
      <c r="E38" s="21">
        <f t="shared" si="3"/>
        <v>38</v>
      </c>
      <c r="F38" s="9" t="s">
        <v>143</v>
      </c>
      <c r="M38" s="21">
        <v>164109</v>
      </c>
    </row>
    <row r="39" spans="1:60">
      <c r="E39" s="21">
        <f t="shared" si="3"/>
        <v>39</v>
      </c>
      <c r="F39" s="9" t="s">
        <v>128</v>
      </c>
      <c r="M39" s="21">
        <v>60</v>
      </c>
    </row>
    <row r="40" spans="1:60">
      <c r="A40" s="9"/>
      <c r="B40" s="9"/>
      <c r="E40" s="21">
        <f t="shared" si="3"/>
        <v>40</v>
      </c>
      <c r="F40" s="9" t="s">
        <v>29</v>
      </c>
      <c r="M40" s="21" t="s">
        <v>248</v>
      </c>
      <c r="R40" s="12"/>
      <c r="S40" s="9"/>
      <c r="U40" s="12"/>
      <c r="X40" s="15"/>
      <c r="AE40" s="16"/>
      <c r="BH40" s="9"/>
    </row>
    <row r="41" spans="1:60">
      <c r="E41" s="21">
        <f t="shared" si="3"/>
        <v>41</v>
      </c>
      <c r="F41" s="9" t="s">
        <v>99</v>
      </c>
      <c r="K41" s="9" t="s">
        <v>138</v>
      </c>
      <c r="M41" s="21">
        <v>2</v>
      </c>
    </row>
    <row r="42" spans="1:60">
      <c r="E42" s="21">
        <f t="shared" si="3"/>
        <v>42</v>
      </c>
      <c r="F42" s="9" t="s">
        <v>120</v>
      </c>
      <c r="M42" s="21">
        <v>60</v>
      </c>
    </row>
    <row r="43" spans="1:60">
      <c r="E43" s="21">
        <f t="shared" si="3"/>
        <v>43</v>
      </c>
      <c r="F43" s="9" t="s">
        <v>121</v>
      </c>
      <c r="G43" s="21" t="s">
        <v>249</v>
      </c>
      <c r="H43" s="21" t="s">
        <v>251</v>
      </c>
      <c r="K43" s="9" t="s">
        <v>137</v>
      </c>
      <c r="M43" s="21" t="str">
        <f t="shared" ref="M43" si="5">IF(MOD(C36,2)=0,G43,H43)</f>
        <v>4,4</v>
      </c>
    </row>
    <row r="44" spans="1:60">
      <c r="E44" s="21">
        <f t="shared" si="3"/>
        <v>44</v>
      </c>
      <c r="F44" s="9" t="s">
        <v>168</v>
      </c>
      <c r="M44" s="21">
        <f t="shared" ref="M44" si="6">J37</f>
        <v>16800</v>
      </c>
    </row>
    <row r="45" spans="1:60">
      <c r="A45" s="9"/>
      <c r="B45" s="9"/>
      <c r="E45" s="21">
        <f t="shared" si="3"/>
        <v>45</v>
      </c>
      <c r="F45" s="9" t="s">
        <v>35</v>
      </c>
      <c r="G45" s="9"/>
      <c r="H45" s="9"/>
      <c r="I45" s="9"/>
      <c r="M45" s="27">
        <v>60</v>
      </c>
      <c r="R45" s="12"/>
      <c r="S45" s="9"/>
      <c r="U45" s="12"/>
      <c r="X45" s="15"/>
      <c r="AE45" s="16"/>
      <c r="BH45" s="9"/>
    </row>
    <row r="46" spans="1:60">
      <c r="E46" s="21">
        <f t="shared" si="3"/>
        <v>46</v>
      </c>
      <c r="F46" s="9" t="s">
        <v>102</v>
      </c>
      <c r="M46" s="21">
        <f t="shared" ref="M46" si="7">M37*10+1</f>
        <v>168021</v>
      </c>
    </row>
    <row r="47" spans="1:60">
      <c r="E47" s="21">
        <f t="shared" si="3"/>
        <v>47</v>
      </c>
      <c r="F47" s="9" t="s">
        <v>143</v>
      </c>
      <c r="M47" s="21">
        <f t="shared" ref="M47" si="8">M37</f>
        <v>16802</v>
      </c>
    </row>
    <row r="48" spans="1:60">
      <c r="E48" s="21">
        <f t="shared" si="3"/>
        <v>48</v>
      </c>
      <c r="F48" s="9" t="s">
        <v>128</v>
      </c>
      <c r="M48" s="21">
        <v>0</v>
      </c>
    </row>
    <row r="49" spans="5:13">
      <c r="E49" s="21">
        <f t="shared" si="3"/>
        <v>49</v>
      </c>
      <c r="F49" s="9" t="s">
        <v>30</v>
      </c>
      <c r="M49" s="21">
        <v>3.5</v>
      </c>
    </row>
    <row r="50" spans="5:13">
      <c r="E50" s="21">
        <f t="shared" si="3"/>
        <v>50</v>
      </c>
      <c r="F50" s="9" t="s">
        <v>31</v>
      </c>
      <c r="L50" s="9" t="s">
        <v>136</v>
      </c>
      <c r="M50" s="21" t="s">
        <v>253</v>
      </c>
    </row>
    <row r="51" spans="5:13">
      <c r="E51" s="21">
        <f t="shared" si="3"/>
        <v>51</v>
      </c>
      <c r="F51" s="9" t="s">
        <v>98</v>
      </c>
      <c r="M51" s="21">
        <v>600</v>
      </c>
    </row>
  </sheetData>
  <phoneticPr fontId="2" type="noConversion"/>
  <conditionalFormatting sqref="BE1:XFD1 E1:I1">
    <cfRule type="duplicateValues" dxfId="57" priority="1862"/>
  </conditionalFormatting>
  <conditionalFormatting sqref="F1:F10 F13">
    <cfRule type="cellIs" dxfId="56" priority="1363" operator="equal">
      <formula>"ID"</formula>
    </cfRule>
    <cfRule type="cellIs" dxfId="55" priority="1778" operator="equal">
      <formula>"行動序號"</formula>
    </cfRule>
  </conditionalFormatting>
  <conditionalFormatting sqref="J1">
    <cfRule type="duplicateValues" dxfId="54" priority="1361"/>
  </conditionalFormatting>
  <conditionalFormatting sqref="K1:L1">
    <cfRule type="duplicateValues" dxfId="53" priority="1358"/>
  </conditionalFormatting>
  <conditionalFormatting sqref="M1:M1048576">
    <cfRule type="expression" dxfId="52" priority="973">
      <formula>_xlfn.ISFORMULA(M1)</formula>
    </cfRule>
  </conditionalFormatting>
  <conditionalFormatting sqref="N1:BD1">
    <cfRule type="duplicateValues" dxfId="51" priority="1878"/>
  </conditionalFormatting>
  <conditionalFormatting sqref="F14 F11:F12">
    <cfRule type="cellIs" dxfId="50" priority="83" operator="equal">
      <formula>"ID"</formula>
    </cfRule>
    <cfRule type="cellIs" dxfId="49" priority="84" operator="equal">
      <formula>"行動序號"</formula>
    </cfRule>
  </conditionalFormatting>
  <conditionalFormatting sqref="J21">
    <cfRule type="expression" dxfId="48" priority="81">
      <formula>_xlfn.ISFORMULA(J21)</formula>
    </cfRule>
  </conditionalFormatting>
  <conditionalFormatting sqref="F1:F1048576">
    <cfRule type="cellIs" dxfId="47" priority="76" operator="equal">
      <formula>"ID"</formula>
    </cfRule>
    <cfRule type="cellIs" dxfId="46" priority="77" operator="equal">
      <formula>"行動ID"</formula>
    </cfRule>
  </conditionalFormatting>
  <conditionalFormatting sqref="J21">
    <cfRule type="expression" dxfId="45" priority="86">
      <formula>OR($F19="行動序號",$F19="ID")</formula>
    </cfRule>
  </conditionalFormatting>
  <conditionalFormatting sqref="J21">
    <cfRule type="expression" dxfId="44" priority="87">
      <formula>$F19="行動ID"</formula>
    </cfRule>
  </conditionalFormatting>
  <conditionalFormatting sqref="M1:M1048576">
    <cfRule type="expression" dxfId="43" priority="37">
      <formula>AND(_xlfn.ISFORMULA(M1),OR($F1="行動ID", $F1="ID"))</formula>
    </cfRule>
    <cfRule type="expression" dxfId="42" priority="39">
      <formula>OR($F1="行動ID", $F1="ID")</formula>
    </cfRule>
  </conditionalFormatting>
  <conditionalFormatting sqref="J37">
    <cfRule type="expression" dxfId="41" priority="1">
      <formula>_xlfn.ISFORMULA(J37)</formula>
    </cfRule>
  </conditionalFormatting>
  <conditionalFormatting sqref="J37">
    <cfRule type="expression" dxfId="40" priority="2">
      <formula>OR(#REF!="行動序號",#REF!="ID")</formula>
    </cfRule>
  </conditionalFormatting>
  <conditionalFormatting sqref="J37">
    <cfRule type="expression" dxfId="39" priority="3">
      <formula>#REF!="行動ID"</formula>
    </cfRule>
  </conditionalFormatting>
  <dataValidations count="1">
    <dataValidation type="list" allowBlank="1" showInputMessage="1" showErrorMessage="1" sqref="K8 L5:L6 F10 K4 L14:L17 K15:K16 L18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86284-E628-4F0C-B0E6-77BD87376CAD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141</v>
      </c>
      <c r="D1" s="17" t="s">
        <v>140</v>
      </c>
      <c r="E1" s="6" t="s">
        <v>36</v>
      </c>
    </row>
    <row r="2" spans="1:5">
      <c r="A2" s="9" t="s">
        <v>50</v>
      </c>
      <c r="B2" s="9" t="s">
        <v>28</v>
      </c>
      <c r="C2" s="9" t="s">
        <v>141</v>
      </c>
      <c r="D2" s="9" t="s">
        <v>142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1FA0B0C4-4DD6-43BF-88E8-C62243C6C5BB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821BE-83CD-42F6-98C5-07413F4C9C35}">
  <sheetPr codeName="DefineSheet"/>
  <dimension ref="A1:L117"/>
  <sheetViews>
    <sheetView topLeftCell="A94" workbookViewId="0">
      <selection activeCell="B117" sqref="B117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145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146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229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147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148</v>
      </c>
      <c r="C17" s="7" t="s">
        <v>230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143</v>
      </c>
      <c r="C20" s="7" t="s">
        <v>149</v>
      </c>
      <c r="E20" t="str">
        <f t="shared" si="0"/>
        <v>啟動依ID,</v>
      </c>
      <c r="H20"/>
    </row>
    <row r="21" spans="1:8">
      <c r="A21" s="7" t="s">
        <v>27</v>
      </c>
      <c r="B21" s="7" t="s">
        <v>150</v>
      </c>
      <c r="C21" s="7" t="s">
        <v>151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152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153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154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155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156</v>
      </c>
      <c r="C26" s="7" t="s">
        <v>157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158</v>
      </c>
      <c r="C27" s="7" t="s">
        <v>159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160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161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162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163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164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165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166</v>
      </c>
      <c r="C36" s="7" t="s">
        <v>167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168</v>
      </c>
      <c r="C37" s="7" t="s">
        <v>169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170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98</v>
      </c>
      <c r="C41" s="7" t="s">
        <v>171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172</v>
      </c>
      <c r="E42" t="str">
        <f t="shared" si="0"/>
        <v>死亡時間,</v>
      </c>
      <c r="H42"/>
    </row>
    <row r="43" spans="1:8">
      <c r="A43" s="7" t="s">
        <v>27</v>
      </c>
      <c r="B43" s="7" t="s">
        <v>226</v>
      </c>
      <c r="C43" s="7" t="s">
        <v>227</v>
      </c>
      <c r="E43" t="str">
        <f t="shared" si="0"/>
        <v>符卡時間,</v>
      </c>
      <c r="H43"/>
    </row>
    <row r="44" spans="1:8">
      <c r="B44" s="23"/>
      <c r="H44"/>
    </row>
    <row r="45" spans="1:8">
      <c r="H45"/>
    </row>
    <row r="46" spans="1:8">
      <c r="A46" s="7" t="s">
        <v>27</v>
      </c>
      <c r="B46" s="7" t="s">
        <v>99</v>
      </c>
      <c r="C46" s="7" t="s">
        <v>173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174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175</v>
      </c>
      <c r="E48" t="str">
        <f t="shared" si="0"/>
        <v>位置參數,</v>
      </c>
      <c r="H48"/>
    </row>
    <row r="49" spans="1:8">
      <c r="A49" s="7" t="s">
        <v>27</v>
      </c>
      <c r="B49" s="7" t="s">
        <v>176</v>
      </c>
      <c r="C49" s="7" t="s">
        <v>177</v>
      </c>
      <c r="E49" t="str">
        <f t="shared" si="0"/>
        <v>加位置,</v>
      </c>
      <c r="H49"/>
    </row>
    <row r="50" spans="1:8">
      <c r="A50" s="7" t="s">
        <v>27</v>
      </c>
      <c r="B50" s="7" t="s">
        <v>236</v>
      </c>
      <c r="C50" s="7" t="s">
        <v>237</v>
      </c>
      <c r="E50" t="str">
        <f t="shared" si="0"/>
        <v>記錄位置,</v>
      </c>
      <c r="H50"/>
    </row>
    <row r="51" spans="1:8">
      <c r="A51" s="7" t="s">
        <v>27</v>
      </c>
      <c r="B51" s="7" t="s">
        <v>238</v>
      </c>
      <c r="C51" s="7" t="s">
        <v>239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178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179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180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181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182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183</v>
      </c>
      <c r="C59" s="7" t="s">
        <v>184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185</v>
      </c>
      <c r="E60" t="str">
        <f t="shared" si="0"/>
        <v>旋轉是移動角度,</v>
      </c>
      <c r="H60"/>
    </row>
    <row r="61" spans="1:8">
      <c r="A61" s="7" t="s">
        <v>27</v>
      </c>
      <c r="B61" s="24" t="s">
        <v>231</v>
      </c>
      <c r="C61" s="7" t="s">
        <v>232</v>
      </c>
      <c r="E61" t="str">
        <f t="shared" si="0"/>
        <v>子旋轉角度,</v>
      </c>
      <c r="H61"/>
    </row>
    <row r="62" spans="1:8">
      <c r="A62" s="7" t="s">
        <v>27</v>
      </c>
      <c r="B62" s="24" t="s">
        <v>233</v>
      </c>
      <c r="C62" s="7" t="s">
        <v>234</v>
      </c>
      <c r="E62" t="str">
        <f t="shared" si="0"/>
        <v>子加旋轉角度,</v>
      </c>
      <c r="H62"/>
    </row>
    <row r="63" spans="1:8">
      <c r="A63" s="7" t="s">
        <v>27</v>
      </c>
      <c r="B63" s="7" t="s">
        <v>240</v>
      </c>
      <c r="C63" s="7" t="s">
        <v>241</v>
      </c>
      <c r="E63" t="str">
        <f t="shared" si="0"/>
        <v>記錄角度,</v>
      </c>
      <c r="H63"/>
    </row>
    <row r="64" spans="1:8">
      <c r="A64" s="7" t="s">
        <v>27</v>
      </c>
      <c r="B64" s="7" t="s">
        <v>243</v>
      </c>
      <c r="C64" s="7" t="s">
        <v>242</v>
      </c>
      <c r="E64" t="str">
        <f t="shared" si="0"/>
        <v>記錄角度ID,</v>
      </c>
      <c r="H64"/>
    </row>
    <row r="65" spans="1:11">
      <c r="B65" s="24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186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187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188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189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190</v>
      </c>
      <c r="C73" s="7" t="s">
        <v>191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192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193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194</v>
      </c>
      <c r="E76" t="str">
        <f t="shared" si="0"/>
        <v>回收距離,</v>
      </c>
      <c r="H76"/>
    </row>
    <row r="77" spans="1:11">
      <c r="A77" s="7" t="s">
        <v>27</v>
      </c>
      <c r="B77" s="7" t="s">
        <v>195</v>
      </c>
      <c r="C77" s="7" t="s">
        <v>196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197</v>
      </c>
      <c r="C78" s="7" t="s">
        <v>198</v>
      </c>
      <c r="E78" t="str">
        <f t="shared" si="0"/>
        <v>出生動畫時間,</v>
      </c>
      <c r="H78"/>
    </row>
    <row r="79" spans="1:11">
      <c r="A79" s="7" t="s">
        <v>27</v>
      </c>
      <c r="B79" s="7" t="s">
        <v>199</v>
      </c>
      <c r="C79" s="7" t="s">
        <v>200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201</v>
      </c>
      <c r="C80" s="7" t="s">
        <v>202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203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204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205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206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207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208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209</v>
      </c>
      <c r="C91" s="7" t="s">
        <v>210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211</v>
      </c>
      <c r="C92" s="7" t="s">
        <v>212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213</v>
      </c>
      <c r="C93" s="7" t="s">
        <v>214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215</v>
      </c>
      <c r="C94" s="7" t="s">
        <v>216</v>
      </c>
      <c r="E94" t="str">
        <f t="shared" si="1"/>
        <v>玩家Shift,</v>
      </c>
      <c r="H94"/>
    </row>
    <row r="95" spans="1:11">
      <c r="A95" s="7" t="s">
        <v>27</v>
      </c>
      <c r="B95" s="7" t="s">
        <v>217</v>
      </c>
      <c r="C95" s="7" t="s">
        <v>218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140</v>
      </c>
      <c r="B103" s="7" t="s">
        <v>137</v>
      </c>
      <c r="C103" s="7" t="s">
        <v>21</v>
      </c>
      <c r="H103"/>
    </row>
    <row r="104" spans="1:12" customFormat="1">
      <c r="A104" s="7" t="s">
        <v>140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140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140</v>
      </c>
      <c r="B106" t="s">
        <v>219</v>
      </c>
      <c r="C106" s="7" t="s">
        <v>97</v>
      </c>
      <c r="D106" s="7"/>
      <c r="L106" s="7"/>
    </row>
    <row r="107" spans="1:12" customFormat="1">
      <c r="A107" s="7" t="s">
        <v>140</v>
      </c>
      <c r="B107" t="s">
        <v>220</v>
      </c>
      <c r="C107" s="7" t="s">
        <v>23</v>
      </c>
      <c r="D107" s="7"/>
      <c r="L107" s="7"/>
    </row>
    <row r="108" spans="1:12" customFormat="1">
      <c r="A108" s="7" t="s">
        <v>140</v>
      </c>
      <c r="B108" t="s">
        <v>221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141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141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141</v>
      </c>
      <c r="B113" t="s">
        <v>144</v>
      </c>
      <c r="C113" s="7" t="s">
        <v>38</v>
      </c>
      <c r="D113" s="7"/>
      <c r="L113" s="7"/>
    </row>
    <row r="114" spans="1:12" customFormat="1">
      <c r="A114" s="7" t="s">
        <v>141</v>
      </c>
      <c r="B114" t="s">
        <v>222</v>
      </c>
      <c r="C114" s="7" t="s">
        <v>22</v>
      </c>
      <c r="D114" s="7"/>
      <c r="L114" s="7"/>
    </row>
    <row r="115" spans="1:12">
      <c r="A115" s="7" t="s">
        <v>141</v>
      </c>
      <c r="B115" s="7" t="s">
        <v>223</v>
      </c>
      <c r="C115" s="7" t="s">
        <v>23</v>
      </c>
      <c r="H115"/>
    </row>
    <row r="116" spans="1:12">
      <c r="A116" s="7" t="s">
        <v>141</v>
      </c>
      <c r="B116" s="7" t="s">
        <v>244</v>
      </c>
      <c r="C116" s="7" t="s">
        <v>24</v>
      </c>
      <c r="H116"/>
    </row>
    <row r="117" spans="1:12">
      <c r="A117" s="7" t="s">
        <v>141</v>
      </c>
      <c r="B117" s="7" t="s">
        <v>246</v>
      </c>
      <c r="C117" s="7" t="s">
        <v>247</v>
      </c>
      <c r="H117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CD32F-7827-44EF-9394-CEFA5C17A833}">
  <sheetPr codeName="OptionSheet"/>
  <dimension ref="A1:J112"/>
  <sheetViews>
    <sheetView topLeftCell="A67" zoomScale="115" zoomScaleNormal="115" workbookViewId="0">
      <selection activeCell="D13" sqref="D13"/>
    </sheetView>
  </sheetViews>
  <sheetFormatPr defaultRowHeight="16.5"/>
  <cols>
    <col min="1" max="1" width="20.5" style="19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140</v>
      </c>
      <c r="C1" s="6" t="s">
        <v>141</v>
      </c>
      <c r="D1" s="8"/>
      <c r="E1" s="8"/>
      <c r="F1" s="8"/>
      <c r="G1" s="6"/>
      <c r="H1" s="8"/>
      <c r="I1" s="8"/>
      <c r="J1" s="8"/>
    </row>
    <row r="2" spans="1:10" ht="85.5">
      <c r="B2" s="19" t="s">
        <v>137</v>
      </c>
      <c r="C2" s="19" t="s">
        <v>135</v>
      </c>
      <c r="D2" s="19"/>
      <c r="G2" s="20" t="s">
        <v>224</v>
      </c>
    </row>
    <row r="3" spans="1:10">
      <c r="A3" s="19" t="s">
        <v>93</v>
      </c>
      <c r="B3" s="19" t="s">
        <v>138</v>
      </c>
      <c r="C3" s="19" t="s">
        <v>136</v>
      </c>
      <c r="D3" s="19"/>
      <c r="G3" s="9"/>
    </row>
    <row r="4" spans="1:10">
      <c r="A4" s="19" t="s">
        <v>102</v>
      </c>
      <c r="B4" s="19" t="s">
        <v>139</v>
      </c>
      <c r="C4" s="19" t="s">
        <v>225</v>
      </c>
      <c r="D4" s="19"/>
      <c r="G4" s="9"/>
      <c r="H4" s="18"/>
    </row>
    <row r="5" spans="1:10" ht="17.25" customHeight="1">
      <c r="A5" s="19" t="s">
        <v>100</v>
      </c>
      <c r="B5" s="19" t="s">
        <v>219</v>
      </c>
      <c r="C5" s="19" t="s">
        <v>222</v>
      </c>
      <c r="D5" s="19"/>
      <c r="G5" s="9"/>
    </row>
    <row r="6" spans="1:10">
      <c r="A6" s="19" t="s">
        <v>103</v>
      </c>
      <c r="B6" s="19" t="s">
        <v>220</v>
      </c>
      <c r="C6" s="19" t="s">
        <v>223</v>
      </c>
      <c r="D6" s="19"/>
      <c r="G6" s="9"/>
    </row>
    <row r="7" spans="1:10">
      <c r="A7" s="19" t="s">
        <v>48</v>
      </c>
      <c r="B7" s="19" t="s">
        <v>221</v>
      </c>
      <c r="C7" s="23" t="s">
        <v>244</v>
      </c>
      <c r="D7" s="19"/>
      <c r="G7" s="9"/>
    </row>
    <row r="8" spans="1:10">
      <c r="A8" s="19" t="s">
        <v>146</v>
      </c>
      <c r="B8" s="23"/>
      <c r="C8" s="7" t="s">
        <v>246</v>
      </c>
      <c r="D8" s="19"/>
      <c r="G8" s="9"/>
    </row>
    <row r="9" spans="1:10">
      <c r="A9" s="19" t="s">
        <v>111</v>
      </c>
      <c r="B9" s="19"/>
      <c r="C9" s="19"/>
      <c r="D9" s="19"/>
      <c r="G9" s="9"/>
    </row>
    <row r="10" spans="1:10">
      <c r="A10" s="19" t="s">
        <v>229</v>
      </c>
      <c r="B10" s="19"/>
      <c r="C10" s="19"/>
      <c r="D10" s="19"/>
      <c r="G10" s="9"/>
    </row>
    <row r="11" spans="1:10">
      <c r="A11" s="19" t="s">
        <v>147</v>
      </c>
      <c r="G11" s="9"/>
    </row>
    <row r="12" spans="1:10">
      <c r="A12" s="19" t="s">
        <v>45</v>
      </c>
      <c r="G12" s="9"/>
    </row>
    <row r="13" spans="1:10">
      <c r="A13" s="19" t="s">
        <v>104</v>
      </c>
      <c r="G13" s="9"/>
    </row>
    <row r="14" spans="1:10">
      <c r="A14" s="19" t="s">
        <v>105</v>
      </c>
      <c r="C14" s="9"/>
      <c r="G14" s="9"/>
    </row>
    <row r="15" spans="1:10">
      <c r="A15" s="19" t="s">
        <v>131</v>
      </c>
      <c r="G15" s="9"/>
    </row>
    <row r="16" spans="1:10">
      <c r="A16" s="19" t="s">
        <v>132</v>
      </c>
      <c r="C16"/>
      <c r="G16" s="9"/>
    </row>
    <row r="17" spans="1:7">
      <c r="A17" s="19" t="s">
        <v>148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19" t="s">
        <v>143</v>
      </c>
      <c r="C20"/>
      <c r="G20" s="9"/>
    </row>
    <row r="21" spans="1:7">
      <c r="A21" s="19" t="s">
        <v>150</v>
      </c>
      <c r="C21"/>
      <c r="G21" s="9"/>
    </row>
    <row r="22" spans="1:7">
      <c r="A22" s="19" t="s">
        <v>127</v>
      </c>
      <c r="C22"/>
      <c r="G22" s="9"/>
    </row>
    <row r="23" spans="1:7">
      <c r="A23" s="19" t="s">
        <v>128</v>
      </c>
      <c r="C23"/>
      <c r="G23" s="9"/>
    </row>
    <row r="24" spans="1:7">
      <c r="A24" s="19" t="s">
        <v>129</v>
      </c>
      <c r="C24"/>
      <c r="G24" s="9"/>
    </row>
    <row r="25" spans="1:7" s="9" customFormat="1">
      <c r="A25" s="19" t="s">
        <v>130</v>
      </c>
      <c r="C25"/>
      <c r="F25" s="4"/>
    </row>
    <row r="26" spans="1:7">
      <c r="A26" s="19" t="s">
        <v>156</v>
      </c>
      <c r="C26"/>
      <c r="G26" s="9"/>
    </row>
    <row r="27" spans="1:7">
      <c r="A27" s="19" t="s">
        <v>158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19" t="s">
        <v>29</v>
      </c>
      <c r="C30"/>
      <c r="G30" s="9"/>
    </row>
    <row r="31" spans="1:7">
      <c r="A31" s="19" t="s">
        <v>119</v>
      </c>
      <c r="C31"/>
      <c r="G31" s="9"/>
    </row>
    <row r="32" spans="1:7">
      <c r="A32" s="19" t="s">
        <v>101</v>
      </c>
      <c r="C32"/>
      <c r="G32" s="9"/>
    </row>
    <row r="33" spans="1:7">
      <c r="A33" s="19" t="s">
        <v>107</v>
      </c>
      <c r="C33"/>
      <c r="G33" s="9"/>
    </row>
    <row r="34" spans="1:7">
      <c r="A34" s="19" t="s">
        <v>106</v>
      </c>
      <c r="C34"/>
      <c r="G34" s="9"/>
    </row>
    <row r="35" spans="1:7">
      <c r="A35" s="19" t="s">
        <v>46</v>
      </c>
      <c r="C35"/>
      <c r="G35" s="9"/>
    </row>
    <row r="36" spans="1:7">
      <c r="A36" s="19" t="s">
        <v>166</v>
      </c>
      <c r="C36"/>
    </row>
    <row r="37" spans="1:7">
      <c r="A37" s="19" t="s">
        <v>168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19" t="s">
        <v>35</v>
      </c>
      <c r="C40"/>
      <c r="G40" s="9"/>
    </row>
    <row r="41" spans="1:7">
      <c r="A41" s="19" t="s">
        <v>98</v>
      </c>
      <c r="C41"/>
      <c r="G41" s="9"/>
    </row>
    <row r="42" spans="1:7">
      <c r="A42" s="19" t="s">
        <v>108</v>
      </c>
      <c r="C42"/>
      <c r="G42" s="9"/>
    </row>
    <row r="43" spans="1:7">
      <c r="A43" s="23" t="s">
        <v>226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19" t="s">
        <v>99</v>
      </c>
      <c r="C46"/>
      <c r="G46" s="9"/>
    </row>
    <row r="47" spans="1:7">
      <c r="A47" s="19" t="s">
        <v>117</v>
      </c>
      <c r="C47"/>
      <c r="G47" s="9"/>
    </row>
    <row r="48" spans="1:7">
      <c r="A48" s="19" t="s">
        <v>134</v>
      </c>
      <c r="C48"/>
      <c r="G48" s="9"/>
    </row>
    <row r="49" spans="1:8">
      <c r="A49" s="19" t="s">
        <v>176</v>
      </c>
      <c r="C49"/>
      <c r="G49" s="9"/>
    </row>
    <row r="50" spans="1:8">
      <c r="A50" s="24" t="s">
        <v>240</v>
      </c>
      <c r="C50"/>
      <c r="G50" s="9"/>
    </row>
    <row r="51" spans="1:8">
      <c r="A51" s="24" t="s">
        <v>245</v>
      </c>
      <c r="C51"/>
      <c r="G51" s="9"/>
    </row>
    <row r="52" spans="1:8">
      <c r="A52" s="24"/>
      <c r="C52"/>
      <c r="G52" s="9"/>
    </row>
    <row r="53" spans="1:8">
      <c r="C53"/>
      <c r="G53" s="9"/>
    </row>
    <row r="54" spans="1:8">
      <c r="A54" s="19" t="s">
        <v>31</v>
      </c>
      <c r="C54"/>
      <c r="G54" s="9"/>
      <c r="H54" s="10"/>
    </row>
    <row r="55" spans="1:8">
      <c r="A55" s="19" t="s">
        <v>112</v>
      </c>
      <c r="C55"/>
      <c r="G55" s="9"/>
      <c r="H55" s="11"/>
    </row>
    <row r="56" spans="1:8">
      <c r="A56" s="19" t="s">
        <v>113</v>
      </c>
      <c r="C56"/>
      <c r="G56" s="9"/>
      <c r="H56" s="11"/>
    </row>
    <row r="57" spans="1:8">
      <c r="A57" s="25" t="s">
        <v>235</v>
      </c>
      <c r="C57"/>
      <c r="G57" s="9"/>
    </row>
    <row r="58" spans="1:8">
      <c r="A58" s="19" t="s">
        <v>133</v>
      </c>
      <c r="G58" s="9"/>
    </row>
    <row r="59" spans="1:8">
      <c r="A59" s="19" t="s">
        <v>183</v>
      </c>
      <c r="G59" s="9"/>
    </row>
    <row r="60" spans="1:8">
      <c r="A60" s="19" t="s">
        <v>115</v>
      </c>
      <c r="G60" s="9"/>
    </row>
    <row r="61" spans="1:8">
      <c r="A61" s="24" t="s">
        <v>231</v>
      </c>
      <c r="G61" s="9"/>
    </row>
    <row r="62" spans="1:8">
      <c r="A62" s="24" t="s">
        <v>233</v>
      </c>
      <c r="G62" s="9"/>
    </row>
    <row r="63" spans="1:8">
      <c r="A63" s="24" t="s">
        <v>240</v>
      </c>
      <c r="G63" s="9"/>
    </row>
    <row r="64" spans="1:8">
      <c r="A64" s="24" t="s">
        <v>243</v>
      </c>
      <c r="G64" s="9"/>
    </row>
    <row r="65" spans="1:7">
      <c r="A65" s="24"/>
      <c r="G65" s="9"/>
    </row>
    <row r="66" spans="1:7">
      <c r="G66" s="9"/>
    </row>
    <row r="67" spans="1:7">
      <c r="A67" s="19" t="s">
        <v>30</v>
      </c>
      <c r="G67" s="9"/>
    </row>
    <row r="68" spans="1:7">
      <c r="A68" s="19" t="s">
        <v>116</v>
      </c>
      <c r="C68"/>
      <c r="G68" s="9"/>
    </row>
    <row r="69" spans="1:7">
      <c r="A69" s="19" t="s">
        <v>109</v>
      </c>
      <c r="C69"/>
      <c r="G69" s="9"/>
    </row>
    <row r="70" spans="1:7">
      <c r="A70" s="19" t="s">
        <v>110</v>
      </c>
      <c r="G70" s="9"/>
    </row>
    <row r="71" spans="1:7">
      <c r="G71" s="9"/>
    </row>
    <row r="72" spans="1:7">
      <c r="G72" s="9"/>
    </row>
    <row r="73" spans="1:7">
      <c r="A73" s="19" t="s">
        <v>190</v>
      </c>
    </row>
    <row r="74" spans="1:7">
      <c r="A74" s="19" t="s">
        <v>47</v>
      </c>
    </row>
    <row r="75" spans="1:7">
      <c r="A75" s="19" t="s">
        <v>118</v>
      </c>
    </row>
    <row r="76" spans="1:7">
      <c r="A76" s="19" t="s">
        <v>126</v>
      </c>
      <c r="G76" s="9"/>
    </row>
    <row r="77" spans="1:7">
      <c r="A77" s="19" t="s">
        <v>195</v>
      </c>
      <c r="G77" s="9"/>
    </row>
    <row r="78" spans="1:7">
      <c r="A78" s="19" t="s">
        <v>197</v>
      </c>
      <c r="G78" s="9"/>
    </row>
    <row r="79" spans="1:7">
      <c r="A79" s="19" t="s">
        <v>199</v>
      </c>
    </row>
    <row r="80" spans="1:7">
      <c r="A80" s="19" t="s">
        <v>201</v>
      </c>
    </row>
    <row r="83" spans="1:1">
      <c r="A83" s="19" t="s">
        <v>120</v>
      </c>
    </row>
    <row r="84" spans="1:1">
      <c r="A84" s="19" t="s">
        <v>121</v>
      </c>
    </row>
    <row r="85" spans="1:1">
      <c r="A85" s="19" t="s">
        <v>122</v>
      </c>
    </row>
    <row r="86" spans="1:1">
      <c r="A86" s="19" t="s">
        <v>123</v>
      </c>
    </row>
    <row r="87" spans="1:1">
      <c r="A87" s="19" t="s">
        <v>124</v>
      </c>
    </row>
    <row r="88" spans="1:1">
      <c r="A88" s="19" t="s">
        <v>125</v>
      </c>
    </row>
    <row r="91" spans="1:1">
      <c r="A91" s="19" t="s">
        <v>209</v>
      </c>
    </row>
    <row r="92" spans="1:1">
      <c r="A92" s="19" t="s">
        <v>211</v>
      </c>
    </row>
    <row r="93" spans="1:1">
      <c r="A93" s="19" t="s">
        <v>213</v>
      </c>
    </row>
    <row r="94" spans="1:1">
      <c r="A94" s="19" t="s">
        <v>215</v>
      </c>
    </row>
    <row r="95" spans="1:1">
      <c r="A95" s="19" t="s">
        <v>217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9EE074A-5257-43D6-94C5-98E4D1E7AE34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F938-0F7E-4076-BB7F-B736752C816F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1EA5-DB89-4E73-B219-79B11632C46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7EACB-D388-4D23-B9BA-0A5C032BB482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stage7_card7shot4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2025-04-21T08:34:28Z</dcterms:modified>
</cp:coreProperties>
</file>