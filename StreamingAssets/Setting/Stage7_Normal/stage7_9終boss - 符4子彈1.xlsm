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E380C4D9-3F6F-4D3A-A01D-E2E160E095BB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4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246" i="1" l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74" i="1"/>
  <c r="E173" i="1"/>
  <c r="E152" i="1"/>
  <c r="M151" i="1"/>
  <c r="E151" i="1"/>
  <c r="E150" i="1"/>
  <c r="E149" i="1"/>
  <c r="E148" i="1"/>
  <c r="E147" i="1"/>
  <c r="E146" i="1"/>
  <c r="E145" i="1"/>
  <c r="E144" i="1"/>
  <c r="E141" i="1"/>
  <c r="E140" i="1"/>
  <c r="E139" i="1"/>
  <c r="E138" i="1"/>
  <c r="E137" i="1"/>
  <c r="E136" i="1"/>
  <c r="E135" i="1"/>
  <c r="E134" i="1"/>
  <c r="E133" i="1"/>
  <c r="E132" i="1"/>
  <c r="E131" i="1"/>
  <c r="E129" i="1"/>
  <c r="M128" i="1"/>
  <c r="E128" i="1"/>
  <c r="E127" i="1"/>
  <c r="E126" i="1"/>
  <c r="E125" i="1"/>
  <c r="E124" i="1"/>
  <c r="E123" i="1"/>
  <c r="E122" i="1"/>
  <c r="E121" i="1"/>
  <c r="E118" i="1"/>
  <c r="E117" i="1"/>
  <c r="E116" i="1"/>
  <c r="E115" i="1"/>
  <c r="E114" i="1"/>
  <c r="E113" i="1"/>
  <c r="E112" i="1"/>
  <c r="E111" i="1"/>
  <c r="E110" i="1"/>
  <c r="E109" i="1"/>
  <c r="E108" i="1"/>
  <c r="E106" i="1"/>
  <c r="M105" i="1"/>
  <c r="E105" i="1"/>
  <c r="E104" i="1"/>
  <c r="E103" i="1"/>
  <c r="E102" i="1"/>
  <c r="E101" i="1"/>
  <c r="E100" i="1"/>
  <c r="E99" i="1"/>
  <c r="E98" i="1"/>
  <c r="E95" i="1"/>
  <c r="E94" i="1"/>
  <c r="E93" i="1"/>
  <c r="E92" i="1"/>
  <c r="E91" i="1"/>
  <c r="E90" i="1"/>
  <c r="E89" i="1"/>
  <c r="E88" i="1"/>
  <c r="E87" i="1"/>
  <c r="E86" i="1"/>
  <c r="E85" i="1"/>
  <c r="E83" i="1"/>
  <c r="M82" i="1"/>
  <c r="E82" i="1"/>
  <c r="E81" i="1"/>
  <c r="E80" i="1"/>
  <c r="E79" i="1"/>
  <c r="E78" i="1"/>
  <c r="E77" i="1"/>
  <c r="E76" i="1"/>
  <c r="E75" i="1"/>
  <c r="E72" i="1"/>
  <c r="E71" i="1"/>
  <c r="E70" i="1"/>
  <c r="E69" i="1"/>
  <c r="E68" i="1"/>
  <c r="E67" i="1"/>
  <c r="E66" i="1"/>
  <c r="E65" i="1"/>
  <c r="E64" i="1"/>
  <c r="E63" i="1"/>
  <c r="E62" i="1"/>
  <c r="E60" i="1"/>
  <c r="M59" i="1"/>
  <c r="E59" i="1"/>
  <c r="E58" i="1"/>
  <c r="E57" i="1"/>
  <c r="E56" i="1"/>
  <c r="E55" i="1"/>
  <c r="E54" i="1"/>
  <c r="E53" i="1"/>
  <c r="E52" i="1"/>
  <c r="E49" i="1"/>
  <c r="E48" i="1"/>
  <c r="E47" i="1"/>
  <c r="E46" i="1"/>
  <c r="E45" i="1"/>
  <c r="E44" i="1"/>
  <c r="E43" i="1"/>
  <c r="E42" i="1"/>
  <c r="E41" i="1"/>
  <c r="E40" i="1"/>
  <c r="E39" i="1"/>
  <c r="D15" i="1"/>
  <c r="B15" i="1" s="1"/>
  <c r="E16" i="1"/>
  <c r="E17" i="1"/>
  <c r="E18" i="1"/>
  <c r="E19" i="1"/>
  <c r="E20" i="1"/>
  <c r="E21" i="1"/>
  <c r="E22" i="1"/>
  <c r="E23" i="1"/>
  <c r="E24" i="1"/>
  <c r="E25" i="1"/>
  <c r="E26" i="1"/>
  <c r="E29" i="1"/>
  <c r="E30" i="1"/>
  <c r="E31" i="1"/>
  <c r="E32" i="1"/>
  <c r="E33" i="1"/>
  <c r="E34" i="1"/>
  <c r="E35" i="1"/>
  <c r="E36" i="1"/>
  <c r="M36" i="1"/>
  <c r="E37" i="1"/>
  <c r="A166" i="1"/>
  <c r="D167" i="1"/>
  <c r="M168" i="1" s="1"/>
  <c r="E168" i="1"/>
  <c r="E169" i="1"/>
  <c r="E170" i="1"/>
  <c r="E171" i="1"/>
  <c r="E172" i="1"/>
  <c r="E175" i="1"/>
  <c r="E176" i="1"/>
  <c r="E177" i="1"/>
  <c r="E178" i="1"/>
  <c r="E179" i="1"/>
  <c r="E180" i="1"/>
  <c r="E181" i="1"/>
  <c r="D183" i="1" l="1"/>
  <c r="M184" i="1"/>
  <c r="D38" i="1"/>
  <c r="D61" i="1" s="1"/>
  <c r="B61" i="1" s="1"/>
  <c r="C61" i="1" s="1"/>
  <c r="M16" i="1"/>
  <c r="M34" i="1" s="1"/>
  <c r="C15" i="1"/>
  <c r="M18" i="1" s="1"/>
  <c r="B167" i="1"/>
  <c r="C167" i="1" s="1"/>
  <c r="M178" i="1" s="1"/>
  <c r="E182" i="1"/>
  <c r="D199" i="1" l="1"/>
  <c r="B183" i="1"/>
  <c r="C183" i="1" s="1"/>
  <c r="M194" i="1" s="1"/>
  <c r="B38" i="1"/>
  <c r="C38" i="1" s="1"/>
  <c r="M49" i="1" s="1"/>
  <c r="M39" i="1"/>
  <c r="M56" i="1" s="1"/>
  <c r="M62" i="1"/>
  <c r="D84" i="1"/>
  <c r="D107" i="1" s="1"/>
  <c r="M108" i="1"/>
  <c r="B107" i="1"/>
  <c r="C107" i="1" s="1"/>
  <c r="M64" i="1"/>
  <c r="M72" i="1"/>
  <c r="M41" i="1"/>
  <c r="M85" i="1"/>
  <c r="C84" i="1"/>
  <c r="B84" i="1"/>
  <c r="M80" i="1"/>
  <c r="M79" i="1"/>
  <c r="M33" i="1"/>
  <c r="M26" i="1"/>
  <c r="A14" i="1"/>
  <c r="D231" i="1" l="1"/>
  <c r="M57" i="1"/>
  <c r="D215" i="1"/>
  <c r="D130" i="1"/>
  <c r="M131" i="1" s="1"/>
  <c r="B199" i="1"/>
  <c r="M200" i="1"/>
  <c r="C199" i="1"/>
  <c r="M210" i="1" s="1"/>
  <c r="M118" i="1"/>
  <c r="M110" i="1"/>
  <c r="M102" i="1"/>
  <c r="M103" i="1"/>
  <c r="M95" i="1"/>
  <c r="M87" i="1"/>
  <c r="B130" i="1"/>
  <c r="C130" i="1" s="1"/>
  <c r="M126" i="1"/>
  <c r="M125" i="1"/>
  <c r="M232" i="1" l="1"/>
  <c r="B231" i="1"/>
  <c r="C231" i="1" s="1"/>
  <c r="M242" i="1" s="1"/>
  <c r="M216" i="1"/>
  <c r="B215" i="1"/>
  <c r="C215" i="1" s="1"/>
  <c r="M226" i="1" s="1"/>
  <c r="M149" i="1"/>
  <c r="M148" i="1"/>
  <c r="M133" i="1"/>
  <c r="M141" i="1"/>
</calcChain>
</file>

<file path=xl/sharedStrings.xml><?xml version="1.0" encoding="utf-8"?>
<sst xmlns="http://schemas.openxmlformats.org/spreadsheetml/2006/main" count="1422" uniqueCount="288">
  <si>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</si>
  <si>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</si>
  <si>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</si>
  <si>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</si>
  <si>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</si>
  <si>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</si>
  <si>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</si>
  <si>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</si>
  <si>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</si>
  <si>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</si>
  <si>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</si>
  <si>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</si>
  <si>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</si>
  <si>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</si>
  <si>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</si>
  <si>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</si>
  <si>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</si>
  <si>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</si>
  <si>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</si>
  <si>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</si>
  <si>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</si>
  <si>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</si>
  <si>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</si>
  <si>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</si>
  <si>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</si>
  <si>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</si>
  <si>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</si>
  <si>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</si>
  <si>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</si>
  <si>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</si>
  <si>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</si>
  <si>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</si>
  <si>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</si>
  <si>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</si>
  <si>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</si>
  <si>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</si>
  <si>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</si>
  <si>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</si>
  <si>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</si>
  <si>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</si>
  <si>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</si>
  <si>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</si>
  <si>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</si>
  <si>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</si>
  <si>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</si>
  <si>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</si>
  <si>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</si>
  <si>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</si>
  <si>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</si>
  <si>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</si>
  <si>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</si>
  <si>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</si>
  <si>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</si>
  <si>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</si>
  <si>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</si>
  <si>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</si>
  <si>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</si>
  <si>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</si>
  <si>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</si>
  <si>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</si>
  <si>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</si>
  <si>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</si>
  <si>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</si>
  <si>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</si>
  <si>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</si>
  <si>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</si>
  <si>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</si>
  <si>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</si>
  <si>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</si>
  <si>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</si>
  <si>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</si>
  <si>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</si>
  <si>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</si>
  <si>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</si>
  <si>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</si>
  <si>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</si>
  <si>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</si>
  <si>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</si>
  <si>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</si>
  <si>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</si>
  <si>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</si>
  <si>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</si>
  <si>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</si>
  <si>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</si>
  <si>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</si>
  <si>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</si>
  <si>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</si>
  <si>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</si>
  <si>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</si>
  <si>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</si>
  <si>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</si>
  <si>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</si>
  <si>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</si>
  <si>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</si>
  <si>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</si>
  <si>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</si>
  <si>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</si>
  <si>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</si>
  <si>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</si>
  <si>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</si>
  <si>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</si>
  <si>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</si>
  <si>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</si>
  <si>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</si>
  <si>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</si>
  <si>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</si>
  <si>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</si>
  <si>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</si>
  <si>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</si>
  <si>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</si>
  <si>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</si>
  <si>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</si>
  <si>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</si>
  <si>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</si>
  <si>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</si>
  <si>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</si>
  <si>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</si>
  <si>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</si>
  <si>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</si>
  <si>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</si>
  <si>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</si>
  <si>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</si>
  <si>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</si>
  <si>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</si>
  <si>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</si>
  <si>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</si>
  <si>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</si>
  <si>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</si>
  <si>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</si>
  <si>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</si>
  <si>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</si>
  <si>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</si>
  <si>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</si>
  <si>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</si>
  <si>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</si>
  <si>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</si>
  <si>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</si>
  <si>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</si>
  <si>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</si>
  <si>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</si>
  <si>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</si>
  <si>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</si>
  <si>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</si>
  <si>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</si>
  <si>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</si>
  <si>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</si>
  <si>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</si>
  <si>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</si>
  <si>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</si>
  <si>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</si>
  <si>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</si>
  <si>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</si>
  <si>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</si>
  <si>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</si>
  <si>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</si>
  <si>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</si>
  <si>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</si>
  <si>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</si>
  <si>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</si>
  <si>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</si>
  <si>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</si>
  <si>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</si>
  <si>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</si>
  <si>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</si>
  <si>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</si>
  <si>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</si>
  <si>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</si>
  <si>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</si>
  <si>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</si>
  <si>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</si>
  <si>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</si>
  <si>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</si>
  <si>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</si>
  <si>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</si>
  <si>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</si>
  <si>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</si>
  <si>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</si>
  <si>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</si>
  <si>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</si>
  <si>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</si>
  <si>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</si>
  <si>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</si>
  <si>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</si>
  <si>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</si>
  <si>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</si>
  <si>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</si>
  <si>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</si>
  <si>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</si>
  <si>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</si>
  <si>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</si>
  <si>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</si>
  <si>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</si>
  <si>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</si>
  <si>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</si>
  <si>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</si>
  <si>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</si>
  <si>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</si>
  <si>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</si>
  <si>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</si>
  <si>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</si>
  <si>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</si>
  <si>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</si>
  <si>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</si>
  <si>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</si>
  <si>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</si>
  <si>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</si>
  <si>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</si>
  <si>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</si>
  <si>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</si>
  <si>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</si>
  <si>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</si>
  <si>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</si>
  <si>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</si>
  <si>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</si>
  <si>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</si>
  <si>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</si>
  <si>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</si>
  <si>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</si>
  <si>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</si>
  <si>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</si>
  <si>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</si>
  <si>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</si>
  <si>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</si>
  <si>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</si>
  <si>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</si>
  <si>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</si>
  <si>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</si>
  <si>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</si>
  <si>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</si>
  <si>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</si>
  <si>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</si>
  <si>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</si>
  <si>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</si>
  <si>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</si>
  <si>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</si>
  <si>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</si>
  <si>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</si>
  <si>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啟動依ID</t>
    <phoneticPr fontId="2" type="noConversion"/>
  </si>
  <si>
    <t>EnemyShot2</t>
    <phoneticPr fontId="2" type="noConversion"/>
  </si>
  <si>
    <t>Shot2_purple</t>
    <phoneticPr fontId="2" type="noConversion"/>
  </si>
  <si>
    <t>EnemyShot5</t>
    <phoneticPr fontId="2" type="noConversion"/>
  </si>
  <si>
    <t>EnemyShot5</t>
  </si>
  <si>
    <t>Shot5_blue</t>
  </si>
  <si>
    <t>Shot5_blue</t>
    <phoneticPr fontId="2" type="noConversion"/>
  </si>
  <si>
    <t>360</t>
  </si>
  <si>
    <t>360</t>
    <phoneticPr fontId="2" type="noConversion"/>
  </si>
  <si>
    <t>2,3</t>
  </si>
  <si>
    <t>2,3</t>
    <phoneticPr fontId="2" type="noConversion"/>
  </si>
  <si>
    <t>移動角度</t>
    <phoneticPr fontId="2" type="noConversion"/>
  </si>
  <si>
    <t>1,2</t>
  </si>
  <si>
    <t>1,2</t>
    <phoneticPr fontId="2" type="noConversion"/>
  </si>
  <si>
    <t>加速度</t>
    <phoneticPr fontId="2" type="noConversion"/>
  </si>
  <si>
    <t>EnemyShot2</t>
  </si>
  <si>
    <t>Shot2_purple</t>
  </si>
  <si>
    <t>星星分裂</t>
    <phoneticPr fontId="2" type="noConversion"/>
  </si>
  <si>
    <t>6星射擊</t>
    <phoneticPr fontId="2" type="noConversion"/>
  </si>
  <si>
    <t>啟動依開始時間後</t>
    <phoneticPr fontId="2" type="noConversion"/>
  </si>
  <si>
    <t>行動時間</t>
    <phoneticPr fontId="2" type="noConversion"/>
  </si>
  <si>
    <t>Sprite</t>
    <phoneticPr fontId="2" type="noConversion"/>
  </si>
  <si>
    <t>位置ID</t>
    <phoneticPr fontId="2" type="noConversion"/>
  </si>
  <si>
    <t>貫穿</t>
    <phoneticPr fontId="2" type="noConversion"/>
  </si>
  <si>
    <t>時位位置</t>
    <phoneticPr fontId="2" type="noConversion"/>
  </si>
  <si>
    <t>加位置</t>
    <phoneticPr fontId="2" type="noConversion"/>
  </si>
  <si>
    <t>位置xy</t>
    <phoneticPr fontId="2" type="noConversion"/>
  </si>
  <si>
    <t>時位時間</t>
    <phoneticPr fontId="2" type="noConversion"/>
  </si>
  <si>
    <t>時位開始速度</t>
    <phoneticPr fontId="2" type="noConversion"/>
  </si>
  <si>
    <t>角度值</t>
    <phoneticPr fontId="2" type="noConversion"/>
  </si>
  <si>
    <t>行動ID</t>
    <phoneticPr fontId="2" type="noConversion"/>
  </si>
  <si>
    <t>啟動依結束時間前</t>
    <phoneticPr fontId="2" type="noConversion"/>
  </si>
  <si>
    <t>加ID</t>
    <phoneticPr fontId="2" type="noConversion"/>
  </si>
  <si>
    <t>死亡時間</t>
    <phoneticPr fontId="2" type="noConversion"/>
  </si>
  <si>
    <t>位置參數角距距離</t>
    <phoneticPr fontId="2" type="noConversion"/>
  </si>
  <si>
    <t>位置參數</t>
    <phoneticPr fontId="2" type="noConversion"/>
  </si>
  <si>
    <t>位置參數角距角度</t>
    <phoneticPr fontId="2" type="noConversion"/>
  </si>
  <si>
    <t>角度參數</t>
    <phoneticPr fontId="2" type="noConversion"/>
  </si>
  <si>
    <t>加角度</t>
    <phoneticPr fontId="2" type="noConversion"/>
  </si>
  <si>
    <t>角度IDs</t>
    <phoneticPr fontId="2" type="noConversion"/>
  </si>
  <si>
    <t>旋轉是移動角度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</si>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</sst>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46"/>
  <sheetViews>
    <sheetView zoomScale="115" zoomScaleNormal="115" workbookViewId="0">
      <pane ySplit="1" topLeftCell="A236" activePane="bottomLeft" state="frozen"/>
      <selection pane="bottomLeft" activeCell="A247" sqref="A247:XFD1048576"/>
    </sheetView>
  </sheetViews>
  <sheetFormatPr defaultRowHeight="19.5"/>
  <cols>
    <col min="1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6.12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3"/>
      <c r="B1" s="23"/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140</v>
      </c>
      <c r="L1" s="17" t="s">
        <v>141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4" spans="1:56">
      <c r="A14" s="22">
        <f>G16*H16</f>
        <v>6</v>
      </c>
      <c r="B14" s="16" t="s">
        <v>255</v>
      </c>
      <c r="C14" s="9"/>
      <c r="D14" s="9"/>
    </row>
    <row r="15" spans="1:56">
      <c r="A15" s="9" t="s">
        <v>229</v>
      </c>
      <c r="B15" s="22">
        <f>QUOTIENT( D15-1,G16)+1</f>
        <v>1</v>
      </c>
      <c r="C15" s="22">
        <f>D15-(B15-1)*G16</f>
        <v>1</v>
      </c>
      <c r="D15" s="22">
        <f>COUNT($D14:$D$14)+1</f>
        <v>1</v>
      </c>
      <c r="F15" s="9" t="s">
        <v>229</v>
      </c>
      <c r="J15" s="9" t="s">
        <v>229</v>
      </c>
      <c r="K15" s="9" t="s">
        <v>229</v>
      </c>
      <c r="L15" s="9" t="s">
        <v>229</v>
      </c>
    </row>
    <row r="16" spans="1:56">
      <c r="E16" s="22">
        <f t="shared" ref="E16:E26" si="0">ROW(E16)</f>
        <v>16</v>
      </c>
      <c r="F16" s="9" t="s">
        <v>146</v>
      </c>
      <c r="G16" s="22">
        <v>6</v>
      </c>
      <c r="H16" s="22">
        <v>1</v>
      </c>
      <c r="J16" s="22">
        <v>14200</v>
      </c>
      <c r="K16" s="9" t="s">
        <v>229</v>
      </c>
      <c r="L16" s="9" t="s">
        <v>229</v>
      </c>
      <c r="M16" s="22">
        <f>J16+D15</f>
        <v>14201</v>
      </c>
    </row>
    <row r="17" spans="5:13">
      <c r="E17" s="22">
        <f t="shared" si="0"/>
        <v>17</v>
      </c>
      <c r="F17" s="9" t="s">
        <v>237</v>
      </c>
      <c r="J17" s="9" t="s">
        <v>229</v>
      </c>
      <c r="K17" s="9" t="s">
        <v>229</v>
      </c>
      <c r="L17" s="9" t="s">
        <v>229</v>
      </c>
      <c r="M17" s="22">
        <v>141109</v>
      </c>
    </row>
    <row r="18" spans="5:13">
      <c r="E18" s="22">
        <f t="shared" si="0"/>
        <v>18</v>
      </c>
      <c r="F18" s="9" t="s">
        <v>256</v>
      </c>
      <c r="G18" s="22">
        <v>0</v>
      </c>
      <c r="H18" s="22">
        <v>30</v>
      </c>
      <c r="I18" s="22">
        <v>60</v>
      </c>
      <c r="J18" s="9" t="s">
        <v>229</v>
      </c>
      <c r="K18" s="9" t="s">
        <v>229</v>
      </c>
      <c r="L18" s="9" t="s">
        <v>229</v>
      </c>
      <c r="M18" s="22">
        <f>_xlfn.SWITCH(C15,1,G18,2,G18,3,H18,4,H18,5,I18,6,I18)</f>
        <v>0</v>
      </c>
    </row>
    <row r="19" spans="5:13">
      <c r="E19" s="22">
        <f t="shared" si="0"/>
        <v>19</v>
      </c>
      <c r="F19" s="9" t="s">
        <v>257</v>
      </c>
      <c r="J19" s="9" t="s">
        <v>229</v>
      </c>
      <c r="K19" s="9" t="s">
        <v>229</v>
      </c>
      <c r="L19" s="9" t="s">
        <v>229</v>
      </c>
      <c r="M19" s="22">
        <v>0</v>
      </c>
    </row>
    <row r="20" spans="5:13">
      <c r="E20" s="22">
        <f t="shared" si="0"/>
        <v>20</v>
      </c>
      <c r="F20" s="9" t="s">
        <v>96</v>
      </c>
      <c r="J20" s="9" t="s">
        <v>229</v>
      </c>
      <c r="K20" s="9" t="s">
        <v>229</v>
      </c>
      <c r="L20" s="9" t="s">
        <v>229</v>
      </c>
      <c r="M20" s="22" t="s">
        <v>240</v>
      </c>
    </row>
    <row r="21" spans="5:13">
      <c r="E21" s="22">
        <f t="shared" si="0"/>
        <v>21</v>
      </c>
      <c r="F21" s="9" t="s">
        <v>258</v>
      </c>
      <c r="J21" s="9" t="s">
        <v>229</v>
      </c>
      <c r="K21" s="9" t="s">
        <v>229</v>
      </c>
      <c r="L21" s="9" t="s">
        <v>229</v>
      </c>
      <c r="M21" s="22" t="s">
        <v>243</v>
      </c>
    </row>
    <row r="22" spans="5:13">
      <c r="E22" s="22">
        <f t="shared" si="0"/>
        <v>22</v>
      </c>
      <c r="F22" s="9" t="s">
        <v>145</v>
      </c>
      <c r="G22" s="9" t="s">
        <v>229</v>
      </c>
      <c r="H22" s="9" t="s">
        <v>229</v>
      </c>
      <c r="I22" s="9" t="s">
        <v>229</v>
      </c>
      <c r="J22" s="9" t="s">
        <v>229</v>
      </c>
      <c r="K22" s="9" t="s">
        <v>259</v>
      </c>
      <c r="L22" s="9" t="s">
        <v>229</v>
      </c>
      <c r="M22" s="22">
        <v>2</v>
      </c>
    </row>
    <row r="23" spans="5:13">
      <c r="E23" s="22">
        <f t="shared" si="0"/>
        <v>23</v>
      </c>
      <c r="F23" s="9" t="s">
        <v>260</v>
      </c>
      <c r="J23" s="9" t="s">
        <v>229</v>
      </c>
      <c r="K23" s="9" t="s">
        <v>229</v>
      </c>
      <c r="L23" s="9" t="s">
        <v>229</v>
      </c>
      <c r="M23" s="22" t="b">
        <v>1</v>
      </c>
    </row>
    <row r="24" spans="5:13">
      <c r="E24" s="22">
        <f t="shared" si="0"/>
        <v>24</v>
      </c>
      <c r="F24" s="9" t="s">
        <v>261</v>
      </c>
      <c r="J24" s="9" t="s">
        <v>229</v>
      </c>
      <c r="K24" s="9" t="s">
        <v>259</v>
      </c>
      <c r="L24" s="9" t="s">
        <v>229</v>
      </c>
      <c r="M24" s="22">
        <v>3</v>
      </c>
    </row>
    <row r="25" spans="5:13">
      <c r="E25" s="22">
        <f t="shared" si="0"/>
        <v>25</v>
      </c>
      <c r="F25" s="9" t="s">
        <v>262</v>
      </c>
      <c r="J25" s="9" t="s">
        <v>229</v>
      </c>
      <c r="K25" s="9" t="s">
        <v>259</v>
      </c>
      <c r="L25" s="9" t="s">
        <v>229</v>
      </c>
      <c r="M25" s="22">
        <v>7</v>
      </c>
    </row>
    <row r="26" spans="5:13">
      <c r="E26" s="22">
        <f t="shared" si="0"/>
        <v>26</v>
      </c>
      <c r="F26" s="9" t="s">
        <v>262</v>
      </c>
      <c r="G26" s="28">
        <v>-0.8</v>
      </c>
      <c r="H26" s="28">
        <v>-2.4</v>
      </c>
      <c r="I26" s="28">
        <v>-4</v>
      </c>
      <c r="K26" s="9" t="s">
        <v>263</v>
      </c>
      <c r="L26" s="9" t="s">
        <v>229</v>
      </c>
      <c r="M26" s="22" t="str">
        <f>_xlfn.SWITCH(C15,1,G26,2,G27,3,H26,4,H27,5,I26,6,I27)&amp;","&amp;J28</f>
        <v>-0.8,0</v>
      </c>
    </row>
    <row r="27" spans="5:13">
      <c r="F27" s="9" t="s">
        <v>229</v>
      </c>
      <c r="G27" s="28">
        <v>0.8</v>
      </c>
      <c r="H27" s="28">
        <v>2.4</v>
      </c>
      <c r="I27" s="28">
        <v>4</v>
      </c>
      <c r="K27" s="9" t="s">
        <v>229</v>
      </c>
      <c r="L27" s="9" t="s">
        <v>229</v>
      </c>
    </row>
    <row r="28" spans="5:13">
      <c r="F28" s="9" t="s">
        <v>229</v>
      </c>
      <c r="G28" s="27">
        <v>0</v>
      </c>
      <c r="H28" s="28">
        <v>0.25</v>
      </c>
      <c r="I28" s="27">
        <v>0.5</v>
      </c>
      <c r="J28" s="27">
        <v>0</v>
      </c>
      <c r="K28" s="9" t="s">
        <v>229</v>
      </c>
      <c r="L28" s="9" t="s">
        <v>229</v>
      </c>
    </row>
    <row r="29" spans="5:13">
      <c r="E29" s="22">
        <f t="shared" ref="E29:E37" si="1">ROW(E29)</f>
        <v>29</v>
      </c>
      <c r="F29" s="9" t="s">
        <v>264</v>
      </c>
      <c r="J29" s="9" t="s">
        <v>229</v>
      </c>
      <c r="K29" s="9" t="s">
        <v>229</v>
      </c>
      <c r="L29" s="9" t="s">
        <v>229</v>
      </c>
      <c r="M29" s="22">
        <v>120</v>
      </c>
    </row>
    <row r="30" spans="5:13">
      <c r="E30" s="22">
        <f t="shared" si="1"/>
        <v>30</v>
      </c>
      <c r="F30" s="9" t="s">
        <v>265</v>
      </c>
      <c r="J30" s="9" t="s">
        <v>229</v>
      </c>
      <c r="K30" s="9" t="s">
        <v>229</v>
      </c>
      <c r="L30" s="9" t="s">
        <v>229</v>
      </c>
      <c r="M30" s="22">
        <v>5</v>
      </c>
    </row>
    <row r="31" spans="5:13">
      <c r="E31" s="22">
        <f t="shared" si="1"/>
        <v>31</v>
      </c>
      <c r="F31" s="9" t="s">
        <v>236</v>
      </c>
      <c r="J31" s="9" t="s">
        <v>229</v>
      </c>
      <c r="K31" s="9" t="s">
        <v>229</v>
      </c>
      <c r="L31" s="9" t="s">
        <v>266</v>
      </c>
      <c r="M31" s="22">
        <v>90</v>
      </c>
    </row>
    <row r="32" spans="5:13">
      <c r="E32" s="22">
        <f t="shared" si="1"/>
        <v>32</v>
      </c>
      <c r="F32" s="9" t="s">
        <v>257</v>
      </c>
      <c r="J32" s="9" t="s">
        <v>229</v>
      </c>
      <c r="K32" s="9" t="s">
        <v>229</v>
      </c>
      <c r="L32" s="9" t="s">
        <v>229</v>
      </c>
      <c r="M32" s="22">
        <v>120</v>
      </c>
    </row>
    <row r="33" spans="1:13">
      <c r="E33" s="22">
        <f t="shared" si="1"/>
        <v>33</v>
      </c>
      <c r="F33" s="9" t="s">
        <v>267</v>
      </c>
      <c r="J33" s="9" t="s">
        <v>229</v>
      </c>
      <c r="K33" s="9" t="s">
        <v>229</v>
      </c>
      <c r="L33" s="9" t="s">
        <v>229</v>
      </c>
      <c r="M33" s="22">
        <f>M16*10+1</f>
        <v>142011</v>
      </c>
    </row>
    <row r="34" spans="1:13">
      <c r="E34" s="22">
        <f t="shared" si="1"/>
        <v>34</v>
      </c>
      <c r="F34" s="9" t="s">
        <v>237</v>
      </c>
      <c r="J34" s="9" t="s">
        <v>229</v>
      </c>
      <c r="K34" s="9" t="s">
        <v>229</v>
      </c>
      <c r="L34" s="9" t="s">
        <v>229</v>
      </c>
      <c r="M34" s="22">
        <f>M16</f>
        <v>14201</v>
      </c>
    </row>
    <row r="35" spans="1:13">
      <c r="E35" s="22">
        <f t="shared" si="1"/>
        <v>35</v>
      </c>
      <c r="F35" s="9" t="s">
        <v>268</v>
      </c>
      <c r="J35" s="9" t="s">
        <v>229</v>
      </c>
      <c r="K35" s="9" t="s">
        <v>229</v>
      </c>
      <c r="L35" s="9" t="s">
        <v>229</v>
      </c>
      <c r="M35" s="22">
        <v>0</v>
      </c>
    </row>
    <row r="36" spans="1:13">
      <c r="E36" s="22">
        <f t="shared" si="1"/>
        <v>36</v>
      </c>
      <c r="F36" s="9" t="s">
        <v>269</v>
      </c>
      <c r="J36" s="9" t="s">
        <v>229</v>
      </c>
      <c r="K36" s="9" t="s">
        <v>229</v>
      </c>
      <c r="L36" s="9" t="s">
        <v>229</v>
      </c>
      <c r="M36" s="22">
        <f>J16</f>
        <v>14200</v>
      </c>
    </row>
    <row r="37" spans="1:13">
      <c r="E37" s="22">
        <f t="shared" si="1"/>
        <v>37</v>
      </c>
      <c r="F37" s="9" t="s">
        <v>270</v>
      </c>
      <c r="J37" s="9" t="s">
        <v>229</v>
      </c>
      <c r="K37" s="9" t="s">
        <v>229</v>
      </c>
      <c r="L37" s="9" t="s">
        <v>229</v>
      </c>
      <c r="M37" s="22">
        <v>1</v>
      </c>
    </row>
    <row r="38" spans="1:13">
      <c r="A38" s="22" t="s">
        <v>229</v>
      </c>
      <c r="B38" s="22">
        <f t="shared" ref="B38" si="2">QUOTIENT( D38-1,G39)+1</f>
        <v>1</v>
      </c>
      <c r="C38" s="22">
        <f t="shared" ref="C38" si="3">D38-(B38-1)*G39</f>
        <v>2</v>
      </c>
      <c r="D38" s="22">
        <f>COUNT($D$14:$D37)+1</f>
        <v>2</v>
      </c>
      <c r="F38" s="9" t="s">
        <v>229</v>
      </c>
      <c r="J38" s="9" t="s">
        <v>229</v>
      </c>
      <c r="K38" s="9" t="s">
        <v>229</v>
      </c>
      <c r="L38" s="9" t="s">
        <v>229</v>
      </c>
    </row>
    <row r="39" spans="1:13">
      <c r="E39" s="22">
        <f t="shared" ref="E39:E49" si="4">ROW(E39)</f>
        <v>39</v>
      </c>
      <c r="F39" s="9" t="s">
        <v>93</v>
      </c>
      <c r="G39" s="22">
        <v>6</v>
      </c>
      <c r="H39" s="22">
        <v>1</v>
      </c>
      <c r="J39" s="9">
        <v>14200</v>
      </c>
      <c r="K39" s="9" t="s">
        <v>229</v>
      </c>
      <c r="L39" s="9" t="s">
        <v>229</v>
      </c>
      <c r="M39" s="22">
        <f t="shared" ref="M39" si="5">J39+D38</f>
        <v>14202</v>
      </c>
    </row>
    <row r="40" spans="1:13">
      <c r="E40" s="22">
        <f t="shared" si="4"/>
        <v>40</v>
      </c>
      <c r="F40" s="9" t="s">
        <v>143</v>
      </c>
      <c r="J40" s="9" t="s">
        <v>229</v>
      </c>
      <c r="K40" s="9" t="s">
        <v>229</v>
      </c>
      <c r="L40" s="9" t="s">
        <v>229</v>
      </c>
      <c r="M40" s="22">
        <v>141109</v>
      </c>
    </row>
    <row r="41" spans="1:13">
      <c r="E41" s="22">
        <f t="shared" si="4"/>
        <v>41</v>
      </c>
      <c r="F41" s="9" t="s">
        <v>127</v>
      </c>
      <c r="G41" s="22">
        <v>0</v>
      </c>
      <c r="H41" s="22">
        <v>30</v>
      </c>
      <c r="I41" s="22">
        <v>60</v>
      </c>
      <c r="J41" s="9" t="s">
        <v>229</v>
      </c>
      <c r="K41" s="9" t="s">
        <v>229</v>
      </c>
      <c r="L41" s="9" t="s">
        <v>229</v>
      </c>
      <c r="M41" s="22">
        <f t="shared" ref="M41" si="6">_xlfn.SWITCH(C38,1,G41,2,G41,3,H41,4,H41,5,I41,6,I41)</f>
        <v>0</v>
      </c>
    </row>
    <row r="42" spans="1:13">
      <c r="E42" s="22">
        <f t="shared" si="4"/>
        <v>42</v>
      </c>
      <c r="F42" s="9" t="s">
        <v>35</v>
      </c>
      <c r="J42" s="9" t="s">
        <v>229</v>
      </c>
      <c r="K42" s="9" t="s">
        <v>229</v>
      </c>
      <c r="L42" s="9" t="s">
        <v>229</v>
      </c>
      <c r="M42" s="22">
        <v>0</v>
      </c>
    </row>
    <row r="43" spans="1:13">
      <c r="E43" s="22">
        <f t="shared" si="4"/>
        <v>43</v>
      </c>
      <c r="F43" s="9" t="s">
        <v>29</v>
      </c>
      <c r="J43" s="9" t="s">
        <v>229</v>
      </c>
      <c r="K43" s="9" t="s">
        <v>229</v>
      </c>
      <c r="L43" s="9" t="s">
        <v>229</v>
      </c>
      <c r="M43" s="22" t="s">
        <v>241</v>
      </c>
    </row>
    <row r="44" spans="1:13">
      <c r="E44" s="22">
        <f t="shared" si="4"/>
        <v>44</v>
      </c>
      <c r="F44" s="9" t="s">
        <v>119</v>
      </c>
      <c r="J44" s="9" t="s">
        <v>229</v>
      </c>
      <c r="K44" s="9" t="s">
        <v>229</v>
      </c>
      <c r="L44" s="9" t="s">
        <v>229</v>
      </c>
      <c r="M44" s="22" t="s">
        <v>242</v>
      </c>
    </row>
    <row r="45" spans="1:13">
      <c r="E45" s="22">
        <f t="shared" si="4"/>
        <v>45</v>
      </c>
      <c r="F45" s="9" t="s">
        <v>99</v>
      </c>
      <c r="G45" s="22" t="s">
        <v>229</v>
      </c>
      <c r="H45" s="22" t="s">
        <v>229</v>
      </c>
      <c r="I45" s="22" t="s">
        <v>229</v>
      </c>
      <c r="J45" s="9" t="s">
        <v>229</v>
      </c>
      <c r="K45" s="9" t="s">
        <v>138</v>
      </c>
      <c r="L45" s="9" t="s">
        <v>229</v>
      </c>
      <c r="M45" s="22">
        <v>2</v>
      </c>
    </row>
    <row r="46" spans="1:13">
      <c r="E46" s="22">
        <f t="shared" si="4"/>
        <v>46</v>
      </c>
      <c r="F46" s="9" t="s">
        <v>118</v>
      </c>
      <c r="J46" s="9" t="s">
        <v>229</v>
      </c>
      <c r="K46" s="9" t="s">
        <v>229</v>
      </c>
      <c r="L46" s="9" t="s">
        <v>229</v>
      </c>
      <c r="M46" s="22" t="b">
        <v>1</v>
      </c>
    </row>
    <row r="47" spans="1:13">
      <c r="E47" s="22">
        <f t="shared" si="4"/>
        <v>47</v>
      </c>
      <c r="F47" s="9" t="s">
        <v>121</v>
      </c>
      <c r="J47" s="9" t="s">
        <v>229</v>
      </c>
      <c r="K47" s="9" t="s">
        <v>138</v>
      </c>
      <c r="L47" s="9" t="s">
        <v>229</v>
      </c>
      <c r="M47" s="22">
        <v>3</v>
      </c>
    </row>
    <row r="48" spans="1:13">
      <c r="E48" s="22">
        <f t="shared" si="4"/>
        <v>48</v>
      </c>
      <c r="F48" s="9" t="s">
        <v>177</v>
      </c>
      <c r="J48" s="9" t="s">
        <v>229</v>
      </c>
      <c r="K48" s="9" t="s">
        <v>138</v>
      </c>
      <c r="L48" s="9" t="s">
        <v>229</v>
      </c>
      <c r="M48" s="22">
        <v>7</v>
      </c>
    </row>
    <row r="49" spans="1:13">
      <c r="E49" s="22">
        <f t="shared" si="4"/>
        <v>49</v>
      </c>
      <c r="F49" s="9" t="s">
        <v>177</v>
      </c>
      <c r="G49" s="22">
        <v>-0.8</v>
      </c>
      <c r="H49" s="22">
        <v>-2.4</v>
      </c>
      <c r="I49" s="22">
        <v>-4</v>
      </c>
      <c r="K49" s="9" t="s">
        <v>137</v>
      </c>
      <c r="L49" s="9" t="s">
        <v>229</v>
      </c>
      <c r="M49" s="22" t="str">
        <f t="shared" ref="M49" si="7">_xlfn.SWITCH(C38,1,G49,2,G50,3,H49,4,H50,5,I49,6,I50)&amp;","&amp;J51</f>
        <v>0.8,0</v>
      </c>
    </row>
    <row r="50" spans="1:13">
      <c r="F50" s="9" t="s">
        <v>229</v>
      </c>
      <c r="G50" s="22">
        <v>0.8</v>
      </c>
      <c r="H50" s="22">
        <v>2.4</v>
      </c>
      <c r="I50" s="22">
        <v>4</v>
      </c>
      <c r="K50" s="9" t="s">
        <v>229</v>
      </c>
      <c r="L50" s="9" t="s">
        <v>229</v>
      </c>
    </row>
    <row r="51" spans="1:13">
      <c r="F51" s="9" t="s">
        <v>229</v>
      </c>
      <c r="G51" s="22">
        <v>0</v>
      </c>
      <c r="H51" s="22">
        <v>0.25</v>
      </c>
      <c r="I51" s="22">
        <v>0.5</v>
      </c>
      <c r="J51" s="9">
        <v>0</v>
      </c>
      <c r="K51" s="9" t="s">
        <v>229</v>
      </c>
      <c r="L51" s="9" t="s">
        <v>229</v>
      </c>
    </row>
    <row r="52" spans="1:13">
      <c r="E52" s="22">
        <f t="shared" ref="E52:E60" si="8">ROW(E52)</f>
        <v>52</v>
      </c>
      <c r="F52" s="9" t="s">
        <v>120</v>
      </c>
      <c r="J52" s="9" t="s">
        <v>229</v>
      </c>
      <c r="K52" s="9" t="s">
        <v>229</v>
      </c>
      <c r="L52" s="9" t="s">
        <v>229</v>
      </c>
      <c r="M52" s="22">
        <v>120</v>
      </c>
    </row>
    <row r="53" spans="1:13">
      <c r="E53" s="22">
        <f t="shared" si="8"/>
        <v>53</v>
      </c>
      <c r="F53" s="9" t="s">
        <v>123</v>
      </c>
      <c r="J53" s="9" t="s">
        <v>229</v>
      </c>
      <c r="K53" s="9" t="s">
        <v>229</v>
      </c>
      <c r="L53" s="9" t="s">
        <v>229</v>
      </c>
      <c r="M53" s="22">
        <v>5</v>
      </c>
    </row>
    <row r="54" spans="1:13">
      <c r="E54" s="22">
        <f t="shared" si="8"/>
        <v>54</v>
      </c>
      <c r="F54" s="9" t="s">
        <v>114</v>
      </c>
      <c r="J54" s="9" t="s">
        <v>229</v>
      </c>
      <c r="K54" s="9" t="s">
        <v>229</v>
      </c>
      <c r="L54" s="9" t="s">
        <v>135</v>
      </c>
      <c r="M54" s="22">
        <v>90</v>
      </c>
    </row>
    <row r="55" spans="1:13">
      <c r="E55" s="22">
        <f t="shared" si="8"/>
        <v>55</v>
      </c>
      <c r="F55" s="9" t="s">
        <v>35</v>
      </c>
      <c r="J55" s="9" t="s">
        <v>229</v>
      </c>
      <c r="K55" s="9" t="s">
        <v>229</v>
      </c>
      <c r="L55" s="9" t="s">
        <v>229</v>
      </c>
      <c r="M55" s="22">
        <v>120</v>
      </c>
    </row>
    <row r="56" spans="1:13">
      <c r="E56" s="22">
        <f t="shared" si="8"/>
        <v>56</v>
      </c>
      <c r="F56" s="9" t="s">
        <v>102</v>
      </c>
      <c r="J56" s="9" t="s">
        <v>229</v>
      </c>
      <c r="K56" s="9" t="s">
        <v>229</v>
      </c>
      <c r="L56" s="9" t="s">
        <v>229</v>
      </c>
      <c r="M56" s="22">
        <f t="shared" ref="M56" si="9">M39*10+1</f>
        <v>142021</v>
      </c>
    </row>
    <row r="57" spans="1:13">
      <c r="E57" s="22">
        <f t="shared" si="8"/>
        <v>57</v>
      </c>
      <c r="F57" s="9" t="s">
        <v>143</v>
      </c>
      <c r="J57" s="9" t="s">
        <v>229</v>
      </c>
      <c r="K57" s="9" t="s">
        <v>229</v>
      </c>
      <c r="L57" s="9" t="s">
        <v>229</v>
      </c>
      <c r="M57" s="22">
        <f t="shared" ref="M57" si="10">M39</f>
        <v>14202</v>
      </c>
    </row>
    <row r="58" spans="1:13">
      <c r="E58" s="22">
        <f t="shared" si="8"/>
        <v>58</v>
      </c>
      <c r="F58" s="9" t="s">
        <v>128</v>
      </c>
      <c r="J58" s="9" t="s">
        <v>229</v>
      </c>
      <c r="K58" s="9" t="s">
        <v>229</v>
      </c>
      <c r="L58" s="9" t="s">
        <v>229</v>
      </c>
      <c r="M58" s="22">
        <v>0</v>
      </c>
    </row>
    <row r="59" spans="1:13">
      <c r="E59" s="22">
        <f t="shared" si="8"/>
        <v>59</v>
      </c>
      <c r="F59" s="9" t="s">
        <v>169</v>
      </c>
      <c r="J59" s="9" t="s">
        <v>229</v>
      </c>
      <c r="K59" s="9" t="s">
        <v>229</v>
      </c>
      <c r="L59" s="9" t="s">
        <v>229</v>
      </c>
      <c r="M59" s="22">
        <f t="shared" ref="M59" si="11">J39</f>
        <v>14200</v>
      </c>
    </row>
    <row r="60" spans="1:13">
      <c r="E60" s="22">
        <f t="shared" si="8"/>
        <v>60</v>
      </c>
      <c r="F60" s="9" t="s">
        <v>108</v>
      </c>
      <c r="J60" s="9" t="s">
        <v>229</v>
      </c>
      <c r="K60" s="9" t="s">
        <v>229</v>
      </c>
      <c r="L60" s="9" t="s">
        <v>229</v>
      </c>
      <c r="M60" s="22">
        <v>1</v>
      </c>
    </row>
    <row r="61" spans="1:13">
      <c r="A61" s="22" t="s">
        <v>229</v>
      </c>
      <c r="B61" s="22">
        <f t="shared" ref="B61" si="12">QUOTIENT( D61-1,G62)+1</f>
        <v>1</v>
      </c>
      <c r="C61" s="22">
        <f t="shared" ref="C61" si="13">D61-(B61-1)*G62</f>
        <v>3</v>
      </c>
      <c r="D61" s="22">
        <f>COUNT($D$14:$D60)+1</f>
        <v>3</v>
      </c>
      <c r="F61" s="9" t="s">
        <v>229</v>
      </c>
      <c r="J61" s="9" t="s">
        <v>229</v>
      </c>
      <c r="K61" s="9" t="s">
        <v>229</v>
      </c>
      <c r="L61" s="9" t="s">
        <v>229</v>
      </c>
    </row>
    <row r="62" spans="1:13">
      <c r="E62" s="22">
        <f t="shared" ref="E62:E72" si="14">ROW(E62)</f>
        <v>62</v>
      </c>
      <c r="F62" s="9" t="s">
        <v>93</v>
      </c>
      <c r="G62" s="22">
        <v>6</v>
      </c>
      <c r="H62" s="22">
        <v>1</v>
      </c>
      <c r="J62" s="9">
        <v>14200</v>
      </c>
      <c r="K62" s="9" t="s">
        <v>229</v>
      </c>
      <c r="L62" s="9" t="s">
        <v>229</v>
      </c>
      <c r="M62" s="22">
        <f t="shared" ref="M62" si="15">J62+D61</f>
        <v>14203</v>
      </c>
    </row>
    <row r="63" spans="1:13">
      <c r="E63" s="22">
        <f t="shared" si="14"/>
        <v>63</v>
      </c>
      <c r="F63" s="9" t="s">
        <v>143</v>
      </c>
      <c r="J63" s="9" t="s">
        <v>229</v>
      </c>
      <c r="K63" s="9" t="s">
        <v>229</v>
      </c>
      <c r="L63" s="9" t="s">
        <v>229</v>
      </c>
      <c r="M63" s="22">
        <v>141109</v>
      </c>
    </row>
    <row r="64" spans="1:13">
      <c r="E64" s="22">
        <f t="shared" si="14"/>
        <v>64</v>
      </c>
      <c r="F64" s="9" t="s">
        <v>127</v>
      </c>
      <c r="G64" s="22">
        <v>0</v>
      </c>
      <c r="H64" s="22">
        <v>30</v>
      </c>
      <c r="I64" s="22">
        <v>60</v>
      </c>
      <c r="J64" s="9" t="s">
        <v>229</v>
      </c>
      <c r="K64" s="9" t="s">
        <v>229</v>
      </c>
      <c r="L64" s="9" t="s">
        <v>229</v>
      </c>
      <c r="M64" s="22">
        <f t="shared" ref="M64" si="16">_xlfn.SWITCH(C61,1,G64,2,G64,3,H64,4,H64,5,I64,6,I64)</f>
        <v>30</v>
      </c>
    </row>
    <row r="65" spans="5:13">
      <c r="E65" s="22">
        <f t="shared" si="14"/>
        <v>65</v>
      </c>
      <c r="F65" s="9" t="s">
        <v>35</v>
      </c>
      <c r="J65" s="9" t="s">
        <v>229</v>
      </c>
      <c r="K65" s="9" t="s">
        <v>229</v>
      </c>
      <c r="L65" s="9" t="s">
        <v>229</v>
      </c>
      <c r="M65" s="22">
        <v>0</v>
      </c>
    </row>
    <row r="66" spans="5:13">
      <c r="E66" s="22">
        <f t="shared" si="14"/>
        <v>66</v>
      </c>
      <c r="F66" s="9" t="s">
        <v>29</v>
      </c>
      <c r="J66" s="9" t="s">
        <v>229</v>
      </c>
      <c r="K66" s="9" t="s">
        <v>229</v>
      </c>
      <c r="L66" s="9" t="s">
        <v>229</v>
      </c>
      <c r="M66" s="22" t="s">
        <v>241</v>
      </c>
    </row>
    <row r="67" spans="5:13">
      <c r="E67" s="22">
        <f t="shared" si="14"/>
        <v>67</v>
      </c>
      <c r="F67" s="9" t="s">
        <v>119</v>
      </c>
      <c r="J67" s="9" t="s">
        <v>229</v>
      </c>
      <c r="K67" s="9" t="s">
        <v>229</v>
      </c>
      <c r="L67" s="9" t="s">
        <v>229</v>
      </c>
      <c r="M67" s="22" t="s">
        <v>242</v>
      </c>
    </row>
    <row r="68" spans="5:13">
      <c r="E68" s="22">
        <f t="shared" si="14"/>
        <v>68</v>
      </c>
      <c r="F68" s="9" t="s">
        <v>99</v>
      </c>
      <c r="G68" s="22" t="s">
        <v>229</v>
      </c>
      <c r="H68" s="22" t="s">
        <v>229</v>
      </c>
      <c r="I68" s="22" t="s">
        <v>229</v>
      </c>
      <c r="J68" s="9" t="s">
        <v>229</v>
      </c>
      <c r="K68" s="9" t="s">
        <v>138</v>
      </c>
      <c r="L68" s="9" t="s">
        <v>229</v>
      </c>
      <c r="M68" s="22">
        <v>2</v>
      </c>
    </row>
    <row r="69" spans="5:13">
      <c r="E69" s="22">
        <f t="shared" si="14"/>
        <v>69</v>
      </c>
      <c r="F69" s="9" t="s">
        <v>118</v>
      </c>
      <c r="J69" s="9" t="s">
        <v>229</v>
      </c>
      <c r="K69" s="9" t="s">
        <v>229</v>
      </c>
      <c r="L69" s="9" t="s">
        <v>229</v>
      </c>
      <c r="M69" s="22" t="b">
        <v>1</v>
      </c>
    </row>
    <row r="70" spans="5:13">
      <c r="E70" s="22">
        <f t="shared" si="14"/>
        <v>70</v>
      </c>
      <c r="F70" s="9" t="s">
        <v>121</v>
      </c>
      <c r="J70" s="9" t="s">
        <v>229</v>
      </c>
      <c r="K70" s="9" t="s">
        <v>138</v>
      </c>
      <c r="L70" s="9" t="s">
        <v>229</v>
      </c>
      <c r="M70" s="22">
        <v>3</v>
      </c>
    </row>
    <row r="71" spans="5:13">
      <c r="E71" s="22">
        <f t="shared" si="14"/>
        <v>71</v>
      </c>
      <c r="F71" s="9" t="s">
        <v>177</v>
      </c>
      <c r="J71" s="9" t="s">
        <v>229</v>
      </c>
      <c r="K71" s="9" t="s">
        <v>138</v>
      </c>
      <c r="L71" s="9" t="s">
        <v>229</v>
      </c>
      <c r="M71" s="22">
        <v>7</v>
      </c>
    </row>
    <row r="72" spans="5:13">
      <c r="E72" s="22">
        <f t="shared" si="14"/>
        <v>72</v>
      </c>
      <c r="F72" s="9" t="s">
        <v>177</v>
      </c>
      <c r="G72" s="22">
        <v>-0.8</v>
      </c>
      <c r="H72" s="22">
        <v>-2.4</v>
      </c>
      <c r="I72" s="22">
        <v>-4</v>
      </c>
      <c r="K72" s="9" t="s">
        <v>137</v>
      </c>
      <c r="L72" s="9" t="s">
        <v>229</v>
      </c>
      <c r="M72" s="22" t="str">
        <f t="shared" ref="M72" si="17">_xlfn.SWITCH(C61,1,G72,2,G73,3,H72,4,H73,5,I72,6,I73)&amp;","&amp;J74</f>
        <v>-2.4,0</v>
      </c>
    </row>
    <row r="73" spans="5:13">
      <c r="F73" s="9" t="s">
        <v>229</v>
      </c>
      <c r="G73" s="22">
        <v>0.8</v>
      </c>
      <c r="H73" s="22">
        <v>2.4</v>
      </c>
      <c r="I73" s="22">
        <v>4</v>
      </c>
      <c r="K73" s="9" t="s">
        <v>229</v>
      </c>
      <c r="L73" s="9" t="s">
        <v>229</v>
      </c>
    </row>
    <row r="74" spans="5:13">
      <c r="F74" s="9" t="s">
        <v>229</v>
      </c>
      <c r="G74" s="22">
        <v>0</v>
      </c>
      <c r="H74" s="22">
        <v>0.25</v>
      </c>
      <c r="I74" s="22">
        <v>0.5</v>
      </c>
      <c r="J74" s="9">
        <v>0</v>
      </c>
      <c r="K74" s="9" t="s">
        <v>229</v>
      </c>
      <c r="L74" s="9" t="s">
        <v>229</v>
      </c>
    </row>
    <row r="75" spans="5:13">
      <c r="E75" s="22">
        <f t="shared" ref="E75:E83" si="18">ROW(E75)</f>
        <v>75</v>
      </c>
      <c r="F75" s="9" t="s">
        <v>120</v>
      </c>
      <c r="J75" s="9" t="s">
        <v>229</v>
      </c>
      <c r="K75" s="9" t="s">
        <v>229</v>
      </c>
      <c r="L75" s="9" t="s">
        <v>229</v>
      </c>
      <c r="M75" s="22">
        <v>120</v>
      </c>
    </row>
    <row r="76" spans="5:13">
      <c r="E76" s="22">
        <f t="shared" si="18"/>
        <v>76</v>
      </c>
      <c r="F76" s="9" t="s">
        <v>123</v>
      </c>
      <c r="J76" s="9" t="s">
        <v>229</v>
      </c>
      <c r="K76" s="9" t="s">
        <v>229</v>
      </c>
      <c r="L76" s="9" t="s">
        <v>229</v>
      </c>
      <c r="M76" s="22">
        <v>5</v>
      </c>
    </row>
    <row r="77" spans="5:13">
      <c r="E77" s="22">
        <f t="shared" si="18"/>
        <v>77</v>
      </c>
      <c r="F77" s="9" t="s">
        <v>114</v>
      </c>
      <c r="J77" s="9" t="s">
        <v>229</v>
      </c>
      <c r="K77" s="9" t="s">
        <v>229</v>
      </c>
      <c r="L77" s="9" t="s">
        <v>135</v>
      </c>
      <c r="M77" s="22">
        <v>90</v>
      </c>
    </row>
    <row r="78" spans="5:13">
      <c r="E78" s="22">
        <f t="shared" si="18"/>
        <v>78</v>
      </c>
      <c r="F78" s="9" t="s">
        <v>35</v>
      </c>
      <c r="J78" s="9" t="s">
        <v>229</v>
      </c>
      <c r="K78" s="9" t="s">
        <v>229</v>
      </c>
      <c r="L78" s="9" t="s">
        <v>229</v>
      </c>
      <c r="M78" s="22">
        <v>120</v>
      </c>
    </row>
    <row r="79" spans="5:13">
      <c r="E79" s="22">
        <f t="shared" si="18"/>
        <v>79</v>
      </c>
      <c r="F79" s="9" t="s">
        <v>102</v>
      </c>
      <c r="J79" s="9" t="s">
        <v>229</v>
      </c>
      <c r="K79" s="9" t="s">
        <v>229</v>
      </c>
      <c r="L79" s="9" t="s">
        <v>229</v>
      </c>
      <c r="M79" s="22">
        <f t="shared" ref="M79" si="19">M62*10+1</f>
        <v>142031</v>
      </c>
    </row>
    <row r="80" spans="5:13">
      <c r="E80" s="22">
        <f t="shared" si="18"/>
        <v>80</v>
      </c>
      <c r="F80" s="9" t="s">
        <v>143</v>
      </c>
      <c r="J80" s="9" t="s">
        <v>229</v>
      </c>
      <c r="K80" s="9" t="s">
        <v>229</v>
      </c>
      <c r="L80" s="9" t="s">
        <v>229</v>
      </c>
      <c r="M80" s="22">
        <f t="shared" ref="M80" si="20">M62</f>
        <v>14203</v>
      </c>
    </row>
    <row r="81" spans="1:13">
      <c r="E81" s="22">
        <f t="shared" si="18"/>
        <v>81</v>
      </c>
      <c r="F81" s="9" t="s">
        <v>128</v>
      </c>
      <c r="J81" s="9" t="s">
        <v>229</v>
      </c>
      <c r="K81" s="9" t="s">
        <v>229</v>
      </c>
      <c r="L81" s="9" t="s">
        <v>229</v>
      </c>
      <c r="M81" s="22">
        <v>0</v>
      </c>
    </row>
    <row r="82" spans="1:13">
      <c r="E82" s="22">
        <f t="shared" si="18"/>
        <v>82</v>
      </c>
      <c r="F82" s="9" t="s">
        <v>169</v>
      </c>
      <c r="J82" s="9" t="s">
        <v>229</v>
      </c>
      <c r="K82" s="9" t="s">
        <v>229</v>
      </c>
      <c r="L82" s="9" t="s">
        <v>229</v>
      </c>
      <c r="M82" s="22">
        <f t="shared" ref="M82" si="21">J62</f>
        <v>14200</v>
      </c>
    </row>
    <row r="83" spans="1:13">
      <c r="E83" s="22">
        <f t="shared" si="18"/>
        <v>83</v>
      </c>
      <c r="F83" s="9" t="s">
        <v>108</v>
      </c>
      <c r="J83" s="9" t="s">
        <v>229</v>
      </c>
      <c r="K83" s="9" t="s">
        <v>229</v>
      </c>
      <c r="L83" s="9" t="s">
        <v>229</v>
      </c>
      <c r="M83" s="22">
        <v>1</v>
      </c>
    </row>
    <row r="84" spans="1:13">
      <c r="A84" s="22" t="s">
        <v>229</v>
      </c>
      <c r="B84" s="22">
        <f t="shared" ref="B84" si="22">QUOTIENT( D84-1,G85)+1</f>
        <v>1</v>
      </c>
      <c r="C84" s="22">
        <f t="shared" ref="C84" si="23">D84-(B84-1)*G85</f>
        <v>4</v>
      </c>
      <c r="D84" s="22">
        <f>COUNT($D$14:$D83)+1</f>
        <v>4</v>
      </c>
      <c r="F84" s="9" t="s">
        <v>229</v>
      </c>
      <c r="J84" s="9" t="s">
        <v>229</v>
      </c>
      <c r="K84" s="9" t="s">
        <v>229</v>
      </c>
      <c r="L84" s="9" t="s">
        <v>229</v>
      </c>
    </row>
    <row r="85" spans="1:13">
      <c r="E85" s="22">
        <f t="shared" ref="E85:E95" si="24">ROW(E85)</f>
        <v>85</v>
      </c>
      <c r="F85" s="9" t="s">
        <v>93</v>
      </c>
      <c r="G85" s="22">
        <v>6</v>
      </c>
      <c r="H85" s="22">
        <v>1</v>
      </c>
      <c r="J85" s="9">
        <v>14200</v>
      </c>
      <c r="K85" s="9" t="s">
        <v>229</v>
      </c>
      <c r="L85" s="9" t="s">
        <v>229</v>
      </c>
      <c r="M85" s="22">
        <f t="shared" ref="M85" si="25">J85+D84</f>
        <v>14204</v>
      </c>
    </row>
    <row r="86" spans="1:13">
      <c r="E86" s="22">
        <f t="shared" si="24"/>
        <v>86</v>
      </c>
      <c r="F86" s="9" t="s">
        <v>143</v>
      </c>
      <c r="J86" s="9" t="s">
        <v>229</v>
      </c>
      <c r="K86" s="9" t="s">
        <v>229</v>
      </c>
      <c r="L86" s="9" t="s">
        <v>229</v>
      </c>
      <c r="M86" s="22">
        <v>141109</v>
      </c>
    </row>
    <row r="87" spans="1:13">
      <c r="E87" s="22">
        <f t="shared" si="24"/>
        <v>87</v>
      </c>
      <c r="F87" s="9" t="s">
        <v>127</v>
      </c>
      <c r="G87" s="22">
        <v>0</v>
      </c>
      <c r="H87" s="22">
        <v>30</v>
      </c>
      <c r="I87" s="22">
        <v>60</v>
      </c>
      <c r="J87" s="9" t="s">
        <v>229</v>
      </c>
      <c r="K87" s="9" t="s">
        <v>229</v>
      </c>
      <c r="L87" s="9" t="s">
        <v>229</v>
      </c>
      <c r="M87" s="22">
        <f t="shared" ref="M87" si="26">_xlfn.SWITCH(C84,1,G87,2,G87,3,H87,4,H87,5,I87,6,I87)</f>
        <v>30</v>
      </c>
    </row>
    <row r="88" spans="1:13">
      <c r="E88" s="22">
        <f t="shared" si="24"/>
        <v>88</v>
      </c>
      <c r="F88" s="9" t="s">
        <v>35</v>
      </c>
      <c r="J88" s="9" t="s">
        <v>229</v>
      </c>
      <c r="K88" s="9" t="s">
        <v>229</v>
      </c>
      <c r="L88" s="9" t="s">
        <v>229</v>
      </c>
      <c r="M88" s="22">
        <v>0</v>
      </c>
    </row>
    <row r="89" spans="1:13">
      <c r="E89" s="22">
        <f t="shared" si="24"/>
        <v>89</v>
      </c>
      <c r="F89" s="9" t="s">
        <v>29</v>
      </c>
      <c r="J89" s="9" t="s">
        <v>229</v>
      </c>
      <c r="K89" s="9" t="s">
        <v>229</v>
      </c>
      <c r="L89" s="9" t="s">
        <v>229</v>
      </c>
      <c r="M89" s="22" t="s">
        <v>241</v>
      </c>
    </row>
    <row r="90" spans="1:13">
      <c r="E90" s="22">
        <f t="shared" si="24"/>
        <v>90</v>
      </c>
      <c r="F90" s="9" t="s">
        <v>119</v>
      </c>
      <c r="J90" s="9" t="s">
        <v>229</v>
      </c>
      <c r="K90" s="9" t="s">
        <v>229</v>
      </c>
      <c r="L90" s="9" t="s">
        <v>229</v>
      </c>
      <c r="M90" s="22" t="s">
        <v>242</v>
      </c>
    </row>
    <row r="91" spans="1:13">
      <c r="E91" s="22">
        <f t="shared" si="24"/>
        <v>91</v>
      </c>
      <c r="F91" s="9" t="s">
        <v>99</v>
      </c>
      <c r="G91" s="22" t="s">
        <v>229</v>
      </c>
      <c r="H91" s="22" t="s">
        <v>229</v>
      </c>
      <c r="I91" s="22" t="s">
        <v>229</v>
      </c>
      <c r="J91" s="9" t="s">
        <v>229</v>
      </c>
      <c r="K91" s="9" t="s">
        <v>138</v>
      </c>
      <c r="L91" s="9" t="s">
        <v>229</v>
      </c>
      <c r="M91" s="22">
        <v>2</v>
      </c>
    </row>
    <row r="92" spans="1:13">
      <c r="E92" s="22">
        <f t="shared" si="24"/>
        <v>92</v>
      </c>
      <c r="F92" s="9" t="s">
        <v>118</v>
      </c>
      <c r="J92" s="9" t="s">
        <v>229</v>
      </c>
      <c r="K92" s="9" t="s">
        <v>229</v>
      </c>
      <c r="L92" s="9" t="s">
        <v>229</v>
      </c>
      <c r="M92" s="22" t="b">
        <v>1</v>
      </c>
    </row>
    <row r="93" spans="1:13">
      <c r="E93" s="22">
        <f t="shared" si="24"/>
        <v>93</v>
      </c>
      <c r="F93" s="9" t="s">
        <v>121</v>
      </c>
      <c r="J93" s="9" t="s">
        <v>229</v>
      </c>
      <c r="K93" s="9" t="s">
        <v>138</v>
      </c>
      <c r="L93" s="9" t="s">
        <v>229</v>
      </c>
      <c r="M93" s="22">
        <v>3</v>
      </c>
    </row>
    <row r="94" spans="1:13">
      <c r="E94" s="22">
        <f t="shared" si="24"/>
        <v>94</v>
      </c>
      <c r="F94" s="9" t="s">
        <v>177</v>
      </c>
      <c r="J94" s="9" t="s">
        <v>229</v>
      </c>
      <c r="K94" s="9" t="s">
        <v>138</v>
      </c>
      <c r="L94" s="9" t="s">
        <v>229</v>
      </c>
      <c r="M94" s="22">
        <v>7</v>
      </c>
    </row>
    <row r="95" spans="1:13">
      <c r="E95" s="22">
        <f t="shared" si="24"/>
        <v>95</v>
      </c>
      <c r="F95" s="9" t="s">
        <v>177</v>
      </c>
      <c r="G95" s="22">
        <v>-0.8</v>
      </c>
      <c r="H95" s="22">
        <v>-2.4</v>
      </c>
      <c r="I95" s="22">
        <v>-4</v>
      </c>
      <c r="K95" s="9" t="s">
        <v>137</v>
      </c>
      <c r="L95" s="9" t="s">
        <v>229</v>
      </c>
      <c r="M95" s="22" t="str">
        <f t="shared" ref="M95" si="27">_xlfn.SWITCH(C84,1,G95,2,G96,3,H95,4,H96,5,I95,6,I96)&amp;","&amp;J97</f>
        <v>2.4,0</v>
      </c>
    </row>
    <row r="96" spans="1:13">
      <c r="F96" s="9" t="s">
        <v>229</v>
      </c>
      <c r="G96" s="22">
        <v>0.8</v>
      </c>
      <c r="H96" s="22">
        <v>2.4</v>
      </c>
      <c r="I96" s="22">
        <v>4</v>
      </c>
      <c r="K96" s="9" t="s">
        <v>229</v>
      </c>
      <c r="L96" s="9" t="s">
        <v>229</v>
      </c>
    </row>
    <row r="97" spans="1:13">
      <c r="F97" s="9" t="s">
        <v>229</v>
      </c>
      <c r="G97" s="22">
        <v>0</v>
      </c>
      <c r="H97" s="22">
        <v>0.25</v>
      </c>
      <c r="I97" s="22">
        <v>0.5</v>
      </c>
      <c r="J97" s="9">
        <v>0</v>
      </c>
      <c r="K97" s="9" t="s">
        <v>229</v>
      </c>
      <c r="L97" s="9" t="s">
        <v>229</v>
      </c>
    </row>
    <row r="98" spans="1:13">
      <c r="E98" s="22">
        <f t="shared" ref="E98:E106" si="28">ROW(E98)</f>
        <v>98</v>
      </c>
      <c r="F98" s="9" t="s">
        <v>120</v>
      </c>
      <c r="J98" s="9" t="s">
        <v>229</v>
      </c>
      <c r="K98" s="9" t="s">
        <v>229</v>
      </c>
      <c r="L98" s="9" t="s">
        <v>229</v>
      </c>
      <c r="M98" s="22">
        <v>120</v>
      </c>
    </row>
    <row r="99" spans="1:13">
      <c r="E99" s="22">
        <f t="shared" si="28"/>
        <v>99</v>
      </c>
      <c r="F99" s="9" t="s">
        <v>123</v>
      </c>
      <c r="J99" s="9" t="s">
        <v>229</v>
      </c>
      <c r="K99" s="9" t="s">
        <v>229</v>
      </c>
      <c r="L99" s="9" t="s">
        <v>229</v>
      </c>
      <c r="M99" s="22">
        <v>5</v>
      </c>
    </row>
    <row r="100" spans="1:13">
      <c r="E100" s="22">
        <f t="shared" si="28"/>
        <v>100</v>
      </c>
      <c r="F100" s="9" t="s">
        <v>114</v>
      </c>
      <c r="J100" s="9" t="s">
        <v>229</v>
      </c>
      <c r="K100" s="9" t="s">
        <v>229</v>
      </c>
      <c r="L100" s="9" t="s">
        <v>135</v>
      </c>
      <c r="M100" s="22">
        <v>90</v>
      </c>
    </row>
    <row r="101" spans="1:13">
      <c r="E101" s="22">
        <f t="shared" si="28"/>
        <v>101</v>
      </c>
      <c r="F101" s="9" t="s">
        <v>35</v>
      </c>
      <c r="J101" s="9" t="s">
        <v>229</v>
      </c>
      <c r="K101" s="9" t="s">
        <v>229</v>
      </c>
      <c r="L101" s="9" t="s">
        <v>229</v>
      </c>
      <c r="M101" s="22">
        <v>120</v>
      </c>
    </row>
    <row r="102" spans="1:13">
      <c r="E102" s="22">
        <f t="shared" si="28"/>
        <v>102</v>
      </c>
      <c r="F102" s="9" t="s">
        <v>102</v>
      </c>
      <c r="J102" s="9" t="s">
        <v>229</v>
      </c>
      <c r="K102" s="9" t="s">
        <v>229</v>
      </c>
      <c r="L102" s="9" t="s">
        <v>229</v>
      </c>
      <c r="M102" s="22">
        <f t="shared" ref="M102" si="29">M85*10+1</f>
        <v>142041</v>
      </c>
    </row>
    <row r="103" spans="1:13">
      <c r="E103" s="22">
        <f t="shared" si="28"/>
        <v>103</v>
      </c>
      <c r="F103" s="9" t="s">
        <v>143</v>
      </c>
      <c r="J103" s="9" t="s">
        <v>229</v>
      </c>
      <c r="K103" s="9" t="s">
        <v>229</v>
      </c>
      <c r="L103" s="9" t="s">
        <v>229</v>
      </c>
      <c r="M103" s="22">
        <f t="shared" ref="M103" si="30">M85</f>
        <v>14204</v>
      </c>
    </row>
    <row r="104" spans="1:13">
      <c r="E104" s="22">
        <f t="shared" si="28"/>
        <v>104</v>
      </c>
      <c r="F104" s="9" t="s">
        <v>128</v>
      </c>
      <c r="J104" s="9" t="s">
        <v>229</v>
      </c>
      <c r="K104" s="9" t="s">
        <v>229</v>
      </c>
      <c r="L104" s="9" t="s">
        <v>229</v>
      </c>
      <c r="M104" s="22">
        <v>0</v>
      </c>
    </row>
    <row r="105" spans="1:13">
      <c r="E105" s="22">
        <f t="shared" si="28"/>
        <v>105</v>
      </c>
      <c r="F105" s="9" t="s">
        <v>169</v>
      </c>
      <c r="J105" s="9" t="s">
        <v>229</v>
      </c>
      <c r="K105" s="9" t="s">
        <v>229</v>
      </c>
      <c r="L105" s="9" t="s">
        <v>229</v>
      </c>
      <c r="M105" s="22">
        <f t="shared" ref="M105" si="31">J85</f>
        <v>14200</v>
      </c>
    </row>
    <row r="106" spans="1:13">
      <c r="E106" s="22">
        <f t="shared" si="28"/>
        <v>106</v>
      </c>
      <c r="F106" s="9" t="s">
        <v>108</v>
      </c>
      <c r="J106" s="9" t="s">
        <v>229</v>
      </c>
      <c r="K106" s="9" t="s">
        <v>229</v>
      </c>
      <c r="L106" s="9" t="s">
        <v>229</v>
      </c>
      <c r="M106" s="22">
        <v>1</v>
      </c>
    </row>
    <row r="107" spans="1:13">
      <c r="A107" s="22" t="s">
        <v>229</v>
      </c>
      <c r="B107" s="22">
        <f t="shared" ref="B107" si="32">QUOTIENT( D107-1,G108)+1</f>
        <v>1</v>
      </c>
      <c r="C107" s="22">
        <f t="shared" ref="C107" si="33">D107-(B107-1)*G108</f>
        <v>5</v>
      </c>
      <c r="D107" s="22">
        <f>COUNT($D$14:$D106)+1</f>
        <v>5</v>
      </c>
      <c r="F107" s="9" t="s">
        <v>229</v>
      </c>
      <c r="J107" s="9" t="s">
        <v>229</v>
      </c>
      <c r="K107" s="9" t="s">
        <v>229</v>
      </c>
      <c r="L107" s="9" t="s">
        <v>229</v>
      </c>
    </row>
    <row r="108" spans="1:13">
      <c r="E108" s="22">
        <f t="shared" ref="E108:E118" si="34">ROW(E108)</f>
        <v>108</v>
      </c>
      <c r="F108" s="9" t="s">
        <v>93</v>
      </c>
      <c r="G108" s="22">
        <v>6</v>
      </c>
      <c r="H108" s="22">
        <v>1</v>
      </c>
      <c r="J108" s="9">
        <v>14200</v>
      </c>
      <c r="K108" s="9" t="s">
        <v>229</v>
      </c>
      <c r="L108" s="9" t="s">
        <v>229</v>
      </c>
      <c r="M108" s="22">
        <f t="shared" ref="M108" si="35">J108+D107</f>
        <v>14205</v>
      </c>
    </row>
    <row r="109" spans="1:13">
      <c r="E109" s="22">
        <f t="shared" si="34"/>
        <v>109</v>
      </c>
      <c r="F109" s="9" t="s">
        <v>143</v>
      </c>
      <c r="J109" s="9" t="s">
        <v>229</v>
      </c>
      <c r="K109" s="9" t="s">
        <v>229</v>
      </c>
      <c r="L109" s="9" t="s">
        <v>229</v>
      </c>
      <c r="M109" s="22">
        <v>141109</v>
      </c>
    </row>
    <row r="110" spans="1:13">
      <c r="E110" s="22">
        <f t="shared" si="34"/>
        <v>110</v>
      </c>
      <c r="F110" s="9" t="s">
        <v>127</v>
      </c>
      <c r="G110" s="22">
        <v>0</v>
      </c>
      <c r="H110" s="22">
        <v>30</v>
      </c>
      <c r="I110" s="22">
        <v>60</v>
      </c>
      <c r="J110" s="9" t="s">
        <v>229</v>
      </c>
      <c r="K110" s="9" t="s">
        <v>229</v>
      </c>
      <c r="L110" s="9" t="s">
        <v>229</v>
      </c>
      <c r="M110" s="22">
        <f t="shared" ref="M110" si="36">_xlfn.SWITCH(C107,1,G110,2,G110,3,H110,4,H110,5,I110,6,I110)</f>
        <v>60</v>
      </c>
    </row>
    <row r="111" spans="1:13">
      <c r="E111" s="22">
        <f t="shared" si="34"/>
        <v>111</v>
      </c>
      <c r="F111" s="9" t="s">
        <v>35</v>
      </c>
      <c r="J111" s="9" t="s">
        <v>229</v>
      </c>
      <c r="K111" s="9" t="s">
        <v>229</v>
      </c>
      <c r="L111" s="9" t="s">
        <v>229</v>
      </c>
      <c r="M111" s="22">
        <v>0</v>
      </c>
    </row>
    <row r="112" spans="1:13">
      <c r="E112" s="22">
        <f t="shared" si="34"/>
        <v>112</v>
      </c>
      <c r="F112" s="9" t="s">
        <v>29</v>
      </c>
      <c r="J112" s="9" t="s">
        <v>229</v>
      </c>
      <c r="K112" s="9" t="s">
        <v>229</v>
      </c>
      <c r="L112" s="9" t="s">
        <v>229</v>
      </c>
      <c r="M112" s="22" t="s">
        <v>241</v>
      </c>
    </row>
    <row r="113" spans="5:13">
      <c r="E113" s="22">
        <f t="shared" si="34"/>
        <v>113</v>
      </c>
      <c r="F113" s="9" t="s">
        <v>119</v>
      </c>
      <c r="J113" s="9" t="s">
        <v>229</v>
      </c>
      <c r="K113" s="9" t="s">
        <v>229</v>
      </c>
      <c r="L113" s="9" t="s">
        <v>229</v>
      </c>
      <c r="M113" s="22" t="s">
        <v>242</v>
      </c>
    </row>
    <row r="114" spans="5:13">
      <c r="E114" s="22">
        <f t="shared" si="34"/>
        <v>114</v>
      </c>
      <c r="F114" s="9" t="s">
        <v>99</v>
      </c>
      <c r="G114" s="22" t="s">
        <v>229</v>
      </c>
      <c r="H114" s="22" t="s">
        <v>229</v>
      </c>
      <c r="I114" s="22" t="s">
        <v>229</v>
      </c>
      <c r="J114" s="9" t="s">
        <v>229</v>
      </c>
      <c r="K114" s="9" t="s">
        <v>138</v>
      </c>
      <c r="L114" s="9" t="s">
        <v>229</v>
      </c>
      <c r="M114" s="22">
        <v>2</v>
      </c>
    </row>
    <row r="115" spans="5:13">
      <c r="E115" s="22">
        <f t="shared" si="34"/>
        <v>115</v>
      </c>
      <c r="F115" s="9" t="s">
        <v>118</v>
      </c>
      <c r="J115" s="9" t="s">
        <v>229</v>
      </c>
      <c r="K115" s="9" t="s">
        <v>229</v>
      </c>
      <c r="L115" s="9" t="s">
        <v>229</v>
      </c>
      <c r="M115" s="22" t="b">
        <v>1</v>
      </c>
    </row>
    <row r="116" spans="5:13">
      <c r="E116" s="22">
        <f t="shared" si="34"/>
        <v>116</v>
      </c>
      <c r="F116" s="9" t="s">
        <v>121</v>
      </c>
      <c r="J116" s="9" t="s">
        <v>229</v>
      </c>
      <c r="K116" s="9" t="s">
        <v>138</v>
      </c>
      <c r="L116" s="9" t="s">
        <v>229</v>
      </c>
      <c r="M116" s="22">
        <v>3</v>
      </c>
    </row>
    <row r="117" spans="5:13">
      <c r="E117" s="22">
        <f t="shared" si="34"/>
        <v>117</v>
      </c>
      <c r="F117" s="9" t="s">
        <v>177</v>
      </c>
      <c r="J117" s="9" t="s">
        <v>229</v>
      </c>
      <c r="K117" s="9" t="s">
        <v>138</v>
      </c>
      <c r="L117" s="9" t="s">
        <v>229</v>
      </c>
      <c r="M117" s="22">
        <v>7</v>
      </c>
    </row>
    <row r="118" spans="5:13">
      <c r="E118" s="22">
        <f t="shared" si="34"/>
        <v>118</v>
      </c>
      <c r="F118" s="9" t="s">
        <v>177</v>
      </c>
      <c r="G118" s="22">
        <v>-0.8</v>
      </c>
      <c r="H118" s="22">
        <v>-2.4</v>
      </c>
      <c r="I118" s="22">
        <v>-4</v>
      </c>
      <c r="K118" s="9" t="s">
        <v>137</v>
      </c>
      <c r="L118" s="9" t="s">
        <v>229</v>
      </c>
      <c r="M118" s="22" t="str">
        <f t="shared" ref="M118" si="37">_xlfn.SWITCH(C107,1,G118,2,G119,3,H118,4,H119,5,I118,6,I119)&amp;","&amp;J120</f>
        <v>-4,0</v>
      </c>
    </row>
    <row r="119" spans="5:13">
      <c r="F119" s="9" t="s">
        <v>229</v>
      </c>
      <c r="G119" s="22">
        <v>0.8</v>
      </c>
      <c r="H119" s="22">
        <v>2.4</v>
      </c>
      <c r="I119" s="22">
        <v>4</v>
      </c>
      <c r="K119" s="9" t="s">
        <v>229</v>
      </c>
      <c r="L119" s="9" t="s">
        <v>229</v>
      </c>
    </row>
    <row r="120" spans="5:13">
      <c r="F120" s="9" t="s">
        <v>229</v>
      </c>
      <c r="G120" s="22">
        <v>0</v>
      </c>
      <c r="H120" s="22">
        <v>0.25</v>
      </c>
      <c r="I120" s="22">
        <v>0.5</v>
      </c>
      <c r="J120" s="9">
        <v>0</v>
      </c>
      <c r="K120" s="9" t="s">
        <v>229</v>
      </c>
      <c r="L120" s="9" t="s">
        <v>229</v>
      </c>
    </row>
    <row r="121" spans="5:13">
      <c r="E121" s="22">
        <f t="shared" ref="E121:E129" si="38">ROW(E121)</f>
        <v>121</v>
      </c>
      <c r="F121" s="9" t="s">
        <v>120</v>
      </c>
      <c r="J121" s="9" t="s">
        <v>229</v>
      </c>
      <c r="K121" s="9" t="s">
        <v>229</v>
      </c>
      <c r="L121" s="9" t="s">
        <v>229</v>
      </c>
      <c r="M121" s="22">
        <v>120</v>
      </c>
    </row>
    <row r="122" spans="5:13">
      <c r="E122" s="22">
        <f t="shared" si="38"/>
        <v>122</v>
      </c>
      <c r="F122" s="9" t="s">
        <v>123</v>
      </c>
      <c r="J122" s="9" t="s">
        <v>229</v>
      </c>
      <c r="K122" s="9" t="s">
        <v>229</v>
      </c>
      <c r="L122" s="9" t="s">
        <v>229</v>
      </c>
      <c r="M122" s="22">
        <v>5</v>
      </c>
    </row>
    <row r="123" spans="5:13">
      <c r="E123" s="22">
        <f t="shared" si="38"/>
        <v>123</v>
      </c>
      <c r="F123" s="9" t="s">
        <v>114</v>
      </c>
      <c r="J123" s="9" t="s">
        <v>229</v>
      </c>
      <c r="K123" s="9" t="s">
        <v>229</v>
      </c>
      <c r="L123" s="9" t="s">
        <v>135</v>
      </c>
      <c r="M123" s="22">
        <v>90</v>
      </c>
    </row>
    <row r="124" spans="5:13">
      <c r="E124" s="22">
        <f t="shared" si="38"/>
        <v>124</v>
      </c>
      <c r="F124" s="9" t="s">
        <v>35</v>
      </c>
      <c r="J124" s="9" t="s">
        <v>229</v>
      </c>
      <c r="K124" s="9" t="s">
        <v>229</v>
      </c>
      <c r="L124" s="9" t="s">
        <v>229</v>
      </c>
      <c r="M124" s="22">
        <v>120</v>
      </c>
    </row>
    <row r="125" spans="5:13">
      <c r="E125" s="22">
        <f t="shared" si="38"/>
        <v>125</v>
      </c>
      <c r="F125" s="9" t="s">
        <v>102</v>
      </c>
      <c r="J125" s="9" t="s">
        <v>229</v>
      </c>
      <c r="K125" s="9" t="s">
        <v>229</v>
      </c>
      <c r="L125" s="9" t="s">
        <v>229</v>
      </c>
      <c r="M125" s="22">
        <f t="shared" ref="M125" si="39">M108*10+1</f>
        <v>142051</v>
      </c>
    </row>
    <row r="126" spans="5:13">
      <c r="E126" s="22">
        <f t="shared" si="38"/>
        <v>126</v>
      </c>
      <c r="F126" s="9" t="s">
        <v>143</v>
      </c>
      <c r="J126" s="9" t="s">
        <v>229</v>
      </c>
      <c r="K126" s="9" t="s">
        <v>229</v>
      </c>
      <c r="L126" s="9" t="s">
        <v>229</v>
      </c>
      <c r="M126" s="22">
        <f t="shared" ref="M126" si="40">M108</f>
        <v>14205</v>
      </c>
    </row>
    <row r="127" spans="5:13">
      <c r="E127" s="22">
        <f t="shared" si="38"/>
        <v>127</v>
      </c>
      <c r="F127" s="9" t="s">
        <v>128</v>
      </c>
      <c r="J127" s="9" t="s">
        <v>229</v>
      </c>
      <c r="K127" s="9" t="s">
        <v>229</v>
      </c>
      <c r="L127" s="9" t="s">
        <v>229</v>
      </c>
      <c r="M127" s="22">
        <v>0</v>
      </c>
    </row>
    <row r="128" spans="5:13">
      <c r="E128" s="22">
        <f t="shared" si="38"/>
        <v>128</v>
      </c>
      <c r="F128" s="9" t="s">
        <v>169</v>
      </c>
      <c r="J128" s="9" t="s">
        <v>229</v>
      </c>
      <c r="K128" s="9" t="s">
        <v>229</v>
      </c>
      <c r="L128" s="9" t="s">
        <v>229</v>
      </c>
      <c r="M128" s="22">
        <f t="shared" ref="M128" si="41">J108</f>
        <v>14200</v>
      </c>
    </row>
    <row r="129" spans="1:13">
      <c r="E129" s="22">
        <f t="shared" si="38"/>
        <v>129</v>
      </c>
      <c r="F129" s="9" t="s">
        <v>108</v>
      </c>
      <c r="J129" s="9" t="s">
        <v>229</v>
      </c>
      <c r="K129" s="9" t="s">
        <v>229</v>
      </c>
      <c r="L129" s="9" t="s">
        <v>229</v>
      </c>
      <c r="M129" s="22">
        <v>1</v>
      </c>
    </row>
    <row r="130" spans="1:13">
      <c r="A130" s="22" t="s">
        <v>229</v>
      </c>
      <c r="B130" s="22">
        <f t="shared" ref="B130" si="42">QUOTIENT( D130-1,G131)+1</f>
        <v>1</v>
      </c>
      <c r="C130" s="22">
        <f t="shared" ref="C130" si="43">D130-(B130-1)*G131</f>
        <v>6</v>
      </c>
      <c r="D130" s="22">
        <f>COUNT($D$14:$D129)+1</f>
        <v>6</v>
      </c>
      <c r="F130" s="9" t="s">
        <v>229</v>
      </c>
      <c r="J130" s="9" t="s">
        <v>229</v>
      </c>
      <c r="K130" s="9" t="s">
        <v>229</v>
      </c>
      <c r="L130" s="9" t="s">
        <v>229</v>
      </c>
    </row>
    <row r="131" spans="1:13">
      <c r="E131" s="22">
        <f t="shared" ref="E131:E141" si="44">ROW(E131)</f>
        <v>131</v>
      </c>
      <c r="F131" s="9" t="s">
        <v>93</v>
      </c>
      <c r="G131" s="22">
        <v>6</v>
      </c>
      <c r="H131" s="22">
        <v>1</v>
      </c>
      <c r="J131" s="9">
        <v>14200</v>
      </c>
      <c r="K131" s="9" t="s">
        <v>229</v>
      </c>
      <c r="L131" s="9" t="s">
        <v>229</v>
      </c>
      <c r="M131" s="22">
        <f t="shared" ref="M131" si="45">J131+D130</f>
        <v>14206</v>
      </c>
    </row>
    <row r="132" spans="1:13">
      <c r="E132" s="22">
        <f t="shared" si="44"/>
        <v>132</v>
      </c>
      <c r="F132" s="9" t="s">
        <v>143</v>
      </c>
      <c r="J132" s="9" t="s">
        <v>229</v>
      </c>
      <c r="K132" s="9" t="s">
        <v>229</v>
      </c>
      <c r="L132" s="9" t="s">
        <v>229</v>
      </c>
      <c r="M132" s="22">
        <v>141109</v>
      </c>
    </row>
    <row r="133" spans="1:13">
      <c r="E133" s="22">
        <f t="shared" si="44"/>
        <v>133</v>
      </c>
      <c r="F133" s="9" t="s">
        <v>127</v>
      </c>
      <c r="G133" s="22">
        <v>0</v>
      </c>
      <c r="H133" s="22">
        <v>30</v>
      </c>
      <c r="I133" s="22">
        <v>60</v>
      </c>
      <c r="J133" s="9" t="s">
        <v>229</v>
      </c>
      <c r="K133" s="9" t="s">
        <v>229</v>
      </c>
      <c r="L133" s="9" t="s">
        <v>229</v>
      </c>
      <c r="M133" s="22">
        <f t="shared" ref="M133" si="46">_xlfn.SWITCH(C130,1,G133,2,G133,3,H133,4,H133,5,I133,6,I133)</f>
        <v>60</v>
      </c>
    </row>
    <row r="134" spans="1:13">
      <c r="E134" s="22">
        <f t="shared" si="44"/>
        <v>134</v>
      </c>
      <c r="F134" s="9" t="s">
        <v>35</v>
      </c>
      <c r="J134" s="9" t="s">
        <v>229</v>
      </c>
      <c r="K134" s="9" t="s">
        <v>229</v>
      </c>
      <c r="L134" s="9" t="s">
        <v>229</v>
      </c>
      <c r="M134" s="22">
        <v>0</v>
      </c>
    </row>
    <row r="135" spans="1:13">
      <c r="E135" s="22">
        <f t="shared" si="44"/>
        <v>135</v>
      </c>
      <c r="F135" s="9" t="s">
        <v>29</v>
      </c>
      <c r="J135" s="9" t="s">
        <v>229</v>
      </c>
      <c r="K135" s="9" t="s">
        <v>229</v>
      </c>
      <c r="L135" s="9" t="s">
        <v>229</v>
      </c>
      <c r="M135" s="22" t="s">
        <v>241</v>
      </c>
    </row>
    <row r="136" spans="1:13">
      <c r="E136" s="22">
        <f t="shared" si="44"/>
        <v>136</v>
      </c>
      <c r="F136" s="9" t="s">
        <v>119</v>
      </c>
      <c r="J136" s="9" t="s">
        <v>229</v>
      </c>
      <c r="K136" s="9" t="s">
        <v>229</v>
      </c>
      <c r="L136" s="9" t="s">
        <v>229</v>
      </c>
      <c r="M136" s="22" t="s">
        <v>242</v>
      </c>
    </row>
    <row r="137" spans="1:13">
      <c r="E137" s="22">
        <f t="shared" si="44"/>
        <v>137</v>
      </c>
      <c r="F137" s="9" t="s">
        <v>99</v>
      </c>
      <c r="G137" s="22" t="s">
        <v>229</v>
      </c>
      <c r="H137" s="22" t="s">
        <v>229</v>
      </c>
      <c r="I137" s="22" t="s">
        <v>229</v>
      </c>
      <c r="J137" s="9" t="s">
        <v>229</v>
      </c>
      <c r="K137" s="9" t="s">
        <v>138</v>
      </c>
      <c r="L137" s="9" t="s">
        <v>229</v>
      </c>
      <c r="M137" s="22">
        <v>2</v>
      </c>
    </row>
    <row r="138" spans="1:13">
      <c r="E138" s="22">
        <f t="shared" si="44"/>
        <v>138</v>
      </c>
      <c r="F138" s="9" t="s">
        <v>118</v>
      </c>
      <c r="J138" s="9" t="s">
        <v>229</v>
      </c>
      <c r="K138" s="9" t="s">
        <v>229</v>
      </c>
      <c r="L138" s="9" t="s">
        <v>229</v>
      </c>
      <c r="M138" s="22" t="b">
        <v>1</v>
      </c>
    </row>
    <row r="139" spans="1:13">
      <c r="E139" s="22">
        <f t="shared" si="44"/>
        <v>139</v>
      </c>
      <c r="F139" s="9" t="s">
        <v>121</v>
      </c>
      <c r="J139" s="9" t="s">
        <v>229</v>
      </c>
      <c r="K139" s="9" t="s">
        <v>138</v>
      </c>
      <c r="L139" s="9" t="s">
        <v>229</v>
      </c>
      <c r="M139" s="22">
        <v>3</v>
      </c>
    </row>
    <row r="140" spans="1:13">
      <c r="E140" s="22">
        <f t="shared" si="44"/>
        <v>140</v>
      </c>
      <c r="F140" s="9" t="s">
        <v>177</v>
      </c>
      <c r="J140" s="9" t="s">
        <v>229</v>
      </c>
      <c r="K140" s="9" t="s">
        <v>138</v>
      </c>
      <c r="L140" s="9" t="s">
        <v>229</v>
      </c>
      <c r="M140" s="22">
        <v>7</v>
      </c>
    </row>
    <row r="141" spans="1:13">
      <c r="E141" s="22">
        <f t="shared" si="44"/>
        <v>141</v>
      </c>
      <c r="F141" s="9" t="s">
        <v>177</v>
      </c>
      <c r="G141" s="22">
        <v>-0.8</v>
      </c>
      <c r="H141" s="22">
        <v>-2.4</v>
      </c>
      <c r="I141" s="22">
        <v>-4</v>
      </c>
      <c r="K141" s="9" t="s">
        <v>137</v>
      </c>
      <c r="L141" s="9" t="s">
        <v>229</v>
      </c>
      <c r="M141" s="22" t="str">
        <f t="shared" ref="M141" si="47">_xlfn.SWITCH(C130,1,G141,2,G142,3,H141,4,H142,5,I141,6,I142)&amp;","&amp;J143</f>
        <v>4,0</v>
      </c>
    </row>
    <row r="142" spans="1:13">
      <c r="F142" s="9" t="s">
        <v>229</v>
      </c>
      <c r="G142" s="22">
        <v>0.8</v>
      </c>
      <c r="H142" s="22">
        <v>2.4</v>
      </c>
      <c r="I142" s="22">
        <v>4</v>
      </c>
      <c r="K142" s="9" t="s">
        <v>229</v>
      </c>
      <c r="L142" s="9" t="s">
        <v>229</v>
      </c>
    </row>
    <row r="143" spans="1:13">
      <c r="F143" s="9" t="s">
        <v>229</v>
      </c>
      <c r="G143" s="22">
        <v>0</v>
      </c>
      <c r="H143" s="22">
        <v>0.25</v>
      </c>
      <c r="I143" s="22">
        <v>0.5</v>
      </c>
      <c r="J143" s="9">
        <v>0</v>
      </c>
      <c r="K143" s="9" t="s">
        <v>229</v>
      </c>
      <c r="L143" s="9" t="s">
        <v>229</v>
      </c>
    </row>
    <row r="144" spans="1:13">
      <c r="E144" s="22">
        <f t="shared" ref="E144:E152" si="48">ROW(E144)</f>
        <v>144</v>
      </c>
      <c r="F144" s="9" t="s">
        <v>120</v>
      </c>
      <c r="J144" s="9" t="s">
        <v>229</v>
      </c>
      <c r="K144" s="9" t="s">
        <v>229</v>
      </c>
      <c r="L144" s="9" t="s">
        <v>229</v>
      </c>
      <c r="M144" s="22">
        <v>120</v>
      </c>
    </row>
    <row r="145" spans="5:13">
      <c r="E145" s="22">
        <f t="shared" si="48"/>
        <v>145</v>
      </c>
      <c r="F145" s="9" t="s">
        <v>123</v>
      </c>
      <c r="J145" s="9" t="s">
        <v>229</v>
      </c>
      <c r="K145" s="9" t="s">
        <v>229</v>
      </c>
      <c r="L145" s="9" t="s">
        <v>229</v>
      </c>
      <c r="M145" s="22">
        <v>5</v>
      </c>
    </row>
    <row r="146" spans="5:13">
      <c r="E146" s="22">
        <f t="shared" si="48"/>
        <v>146</v>
      </c>
      <c r="F146" s="9" t="s">
        <v>114</v>
      </c>
      <c r="J146" s="9" t="s">
        <v>229</v>
      </c>
      <c r="K146" s="9" t="s">
        <v>229</v>
      </c>
      <c r="L146" s="9" t="s">
        <v>135</v>
      </c>
      <c r="M146" s="22">
        <v>90</v>
      </c>
    </row>
    <row r="147" spans="5:13">
      <c r="E147" s="22">
        <f t="shared" si="48"/>
        <v>147</v>
      </c>
      <c r="F147" s="9" t="s">
        <v>35</v>
      </c>
      <c r="J147" s="9" t="s">
        <v>229</v>
      </c>
      <c r="K147" s="9" t="s">
        <v>229</v>
      </c>
      <c r="L147" s="9" t="s">
        <v>229</v>
      </c>
      <c r="M147" s="22">
        <v>120</v>
      </c>
    </row>
    <row r="148" spans="5:13">
      <c r="E148" s="22">
        <f t="shared" si="48"/>
        <v>148</v>
      </c>
      <c r="F148" s="9" t="s">
        <v>102</v>
      </c>
      <c r="J148" s="9" t="s">
        <v>229</v>
      </c>
      <c r="K148" s="9" t="s">
        <v>229</v>
      </c>
      <c r="L148" s="9" t="s">
        <v>229</v>
      </c>
      <c r="M148" s="22">
        <f t="shared" ref="M148" si="49">M131*10+1</f>
        <v>142061</v>
      </c>
    </row>
    <row r="149" spans="5:13">
      <c r="E149" s="22">
        <f t="shared" si="48"/>
        <v>149</v>
      </c>
      <c r="F149" s="9" t="s">
        <v>143</v>
      </c>
      <c r="J149" s="9" t="s">
        <v>229</v>
      </c>
      <c r="K149" s="9" t="s">
        <v>229</v>
      </c>
      <c r="L149" s="9" t="s">
        <v>229</v>
      </c>
      <c r="M149" s="22">
        <f t="shared" ref="M149" si="50">M131</f>
        <v>14206</v>
      </c>
    </row>
    <row r="150" spans="5:13">
      <c r="E150" s="22">
        <f t="shared" si="48"/>
        <v>150</v>
      </c>
      <c r="F150" s="9" t="s">
        <v>128</v>
      </c>
      <c r="J150" s="9" t="s">
        <v>229</v>
      </c>
      <c r="K150" s="9" t="s">
        <v>229</v>
      </c>
      <c r="L150" s="9" t="s">
        <v>229</v>
      </c>
      <c r="M150" s="22">
        <v>0</v>
      </c>
    </row>
    <row r="151" spans="5:13">
      <c r="E151" s="22">
        <f t="shared" si="48"/>
        <v>151</v>
      </c>
      <c r="F151" s="9" t="s">
        <v>169</v>
      </c>
      <c r="J151" s="9" t="s">
        <v>229</v>
      </c>
      <c r="K151" s="9" t="s">
        <v>229</v>
      </c>
      <c r="L151" s="9" t="s">
        <v>229</v>
      </c>
      <c r="M151" s="22">
        <f t="shared" ref="M151" si="51">J131</f>
        <v>14200</v>
      </c>
    </row>
    <row r="152" spans="5:13">
      <c r="E152" s="22">
        <f t="shared" si="48"/>
        <v>152</v>
      </c>
      <c r="F152" s="9" t="s">
        <v>108</v>
      </c>
      <c r="J152" s="9" t="s">
        <v>229</v>
      </c>
      <c r="K152" s="9" t="s">
        <v>229</v>
      </c>
      <c r="L152" s="9" t="s">
        <v>229</v>
      </c>
      <c r="M152" s="22">
        <v>1</v>
      </c>
    </row>
    <row r="154" spans="5:13" ht="18.75" customHeight="1">
      <c r="F154" s="9" t="s">
        <v>229</v>
      </c>
      <c r="J154" s="9" t="s">
        <v>229</v>
      </c>
      <c r="K154" s="9" t="s">
        <v>229</v>
      </c>
      <c r="L154" s="9" t="s">
        <v>229</v>
      </c>
    </row>
    <row r="155" spans="5:13">
      <c r="F155" s="9" t="s">
        <v>229</v>
      </c>
      <c r="J155" s="9" t="s">
        <v>229</v>
      </c>
      <c r="K155" s="9" t="s">
        <v>229</v>
      </c>
      <c r="L155" s="9" t="s">
        <v>229</v>
      </c>
    </row>
    <row r="156" spans="5:13">
      <c r="F156" s="9" t="s">
        <v>229</v>
      </c>
      <c r="J156" s="9" t="s">
        <v>229</v>
      </c>
      <c r="K156" s="9" t="s">
        <v>229</v>
      </c>
      <c r="L156" s="9" t="s">
        <v>229</v>
      </c>
    </row>
    <row r="157" spans="5:13">
      <c r="F157" s="9" t="s">
        <v>229</v>
      </c>
      <c r="J157" s="9" t="s">
        <v>229</v>
      </c>
      <c r="K157" s="9" t="s">
        <v>229</v>
      </c>
      <c r="L157" s="9" t="s">
        <v>229</v>
      </c>
    </row>
    <row r="158" spans="5:13">
      <c r="F158" s="9" t="s">
        <v>229</v>
      </c>
      <c r="J158" s="9" t="s">
        <v>229</v>
      </c>
      <c r="K158" s="9" t="s">
        <v>229</v>
      </c>
      <c r="L158" s="9" t="s">
        <v>229</v>
      </c>
    </row>
    <row r="159" spans="5:13">
      <c r="F159" s="9" t="s">
        <v>229</v>
      </c>
      <c r="J159" s="9" t="s">
        <v>229</v>
      </c>
      <c r="K159" s="9" t="s">
        <v>229</v>
      </c>
      <c r="L159" s="9" t="s">
        <v>229</v>
      </c>
    </row>
    <row r="160" spans="5:13">
      <c r="F160" s="9" t="s">
        <v>229</v>
      </c>
      <c r="J160" s="9" t="s">
        <v>229</v>
      </c>
      <c r="K160" s="9" t="s">
        <v>229</v>
      </c>
      <c r="L160" s="9" t="s">
        <v>229</v>
      </c>
    </row>
    <row r="161" spans="1:13">
      <c r="F161" s="9" t="s">
        <v>229</v>
      </c>
      <c r="J161" s="9" t="s">
        <v>229</v>
      </c>
      <c r="K161" s="9" t="s">
        <v>229</v>
      </c>
      <c r="L161" s="9" t="s">
        <v>229</v>
      </c>
    </row>
    <row r="162" spans="1:13">
      <c r="F162" s="9" t="s">
        <v>229</v>
      </c>
      <c r="J162" s="9" t="s">
        <v>229</v>
      </c>
      <c r="K162" s="9" t="s">
        <v>229</v>
      </c>
      <c r="L162" s="9" t="s">
        <v>229</v>
      </c>
    </row>
    <row r="163" spans="1:13">
      <c r="F163" s="9" t="s">
        <v>229</v>
      </c>
      <c r="J163" s="9" t="s">
        <v>229</v>
      </c>
      <c r="K163" s="9" t="s">
        <v>229</v>
      </c>
      <c r="L163" s="9" t="s">
        <v>229</v>
      </c>
    </row>
    <row r="164" spans="1:13">
      <c r="F164" s="9" t="s">
        <v>229</v>
      </c>
      <c r="J164" s="9" t="s">
        <v>229</v>
      </c>
      <c r="K164" s="9" t="s">
        <v>229</v>
      </c>
      <c r="L164" s="9" t="s">
        <v>229</v>
      </c>
    </row>
    <row r="165" spans="1:13">
      <c r="F165" s="9" t="s">
        <v>229</v>
      </c>
      <c r="J165" s="9" t="s">
        <v>229</v>
      </c>
      <c r="K165" s="9" t="s">
        <v>229</v>
      </c>
      <c r="L165" s="9" t="s">
        <v>229</v>
      </c>
    </row>
    <row r="166" spans="1:13">
      <c r="A166" s="22">
        <f>G168*H168</f>
        <v>5</v>
      </c>
      <c r="B166" s="16" t="s">
        <v>254</v>
      </c>
      <c r="C166" s="9" t="s">
        <v>229</v>
      </c>
      <c r="D166" s="9" t="s">
        <v>229</v>
      </c>
      <c r="F166" s="9" t="s">
        <v>229</v>
      </c>
      <c r="J166" s="9" t="s">
        <v>229</v>
      </c>
      <c r="K166" s="9" t="s">
        <v>229</v>
      </c>
      <c r="L166" s="9" t="s">
        <v>229</v>
      </c>
    </row>
    <row r="167" spans="1:13">
      <c r="A167" s="9" t="s">
        <v>229</v>
      </c>
      <c r="B167" s="22">
        <f>QUOTIENT( D167-1,G168)+1</f>
        <v>1</v>
      </c>
      <c r="C167" s="22">
        <f>D167-(B167-1)*G168</f>
        <v>1</v>
      </c>
      <c r="D167" s="22">
        <f>COUNT($D$166:$D166)+1</f>
        <v>1</v>
      </c>
      <c r="F167" s="9" t="s">
        <v>229</v>
      </c>
      <c r="J167" s="9" t="s">
        <v>229</v>
      </c>
      <c r="K167" s="9" t="s">
        <v>229</v>
      </c>
      <c r="L167" s="9" t="s">
        <v>229</v>
      </c>
    </row>
    <row r="168" spans="1:13">
      <c r="E168" s="22">
        <f t="shared" ref="E168:E181" si="52">ROW(E168)</f>
        <v>168</v>
      </c>
      <c r="F168" s="9" t="s">
        <v>146</v>
      </c>
      <c r="G168" s="22">
        <v>5</v>
      </c>
      <c r="H168" s="22">
        <v>1</v>
      </c>
      <c r="J168" s="22">
        <v>14300</v>
      </c>
      <c r="K168" s="9" t="s">
        <v>229</v>
      </c>
      <c r="L168" s="9" t="s">
        <v>229</v>
      </c>
      <c r="M168" s="22">
        <f>J168+D167</f>
        <v>14301</v>
      </c>
    </row>
    <row r="169" spans="1:13">
      <c r="E169" s="22">
        <f t="shared" si="52"/>
        <v>169</v>
      </c>
      <c r="F169" s="9" t="s">
        <v>237</v>
      </c>
      <c r="J169" s="9" t="s">
        <v>229</v>
      </c>
      <c r="K169" s="9" t="s">
        <v>229</v>
      </c>
      <c r="L169" s="9" t="s">
        <v>229</v>
      </c>
      <c r="M169" s="22">
        <v>14200</v>
      </c>
    </row>
    <row r="170" spans="1:13">
      <c r="E170" s="22">
        <f t="shared" si="52"/>
        <v>170</v>
      </c>
      <c r="F170" s="9" t="s">
        <v>256</v>
      </c>
      <c r="J170" s="9" t="s">
        <v>229</v>
      </c>
      <c r="K170" s="9" t="s">
        <v>229</v>
      </c>
      <c r="L170" s="9" t="s">
        <v>229</v>
      </c>
      <c r="M170" s="22">
        <v>0</v>
      </c>
    </row>
    <row r="171" spans="1:13">
      <c r="E171" s="22">
        <f t="shared" si="52"/>
        <v>171</v>
      </c>
      <c r="F171" s="9" t="s">
        <v>96</v>
      </c>
      <c r="J171" s="9" t="s">
        <v>229</v>
      </c>
      <c r="K171" s="9" t="s">
        <v>229</v>
      </c>
      <c r="L171" s="9" t="s">
        <v>229</v>
      </c>
      <c r="M171" s="22" t="s">
        <v>238</v>
      </c>
    </row>
    <row r="172" spans="1:13">
      <c r="E172" s="22">
        <f t="shared" si="52"/>
        <v>172</v>
      </c>
      <c r="F172" s="9" t="s">
        <v>258</v>
      </c>
      <c r="J172" s="9" t="s">
        <v>229</v>
      </c>
      <c r="K172" s="9" t="s">
        <v>229</v>
      </c>
      <c r="L172" s="9" t="s">
        <v>229</v>
      </c>
      <c r="M172" s="22" t="s">
        <v>239</v>
      </c>
    </row>
    <row r="173" spans="1:13">
      <c r="E173" s="22">
        <f t="shared" si="52"/>
        <v>173</v>
      </c>
      <c r="F173" s="9" t="s">
        <v>196</v>
      </c>
      <c r="M173" s="27">
        <v>0.5</v>
      </c>
    </row>
    <row r="174" spans="1:13">
      <c r="E174" s="22">
        <f t="shared" si="52"/>
        <v>174</v>
      </c>
      <c r="F174" s="9" t="s">
        <v>198</v>
      </c>
      <c r="M174" s="27">
        <v>20</v>
      </c>
    </row>
    <row r="175" spans="1:13">
      <c r="E175" s="22">
        <f t="shared" si="52"/>
        <v>175</v>
      </c>
      <c r="F175" s="9" t="s">
        <v>145</v>
      </c>
      <c r="G175" s="9" t="s">
        <v>229</v>
      </c>
      <c r="H175" s="9" t="s">
        <v>229</v>
      </c>
      <c r="I175" s="9" t="s">
        <v>229</v>
      </c>
      <c r="J175" s="9" t="s">
        <v>229</v>
      </c>
      <c r="K175" s="9" t="s">
        <v>259</v>
      </c>
      <c r="L175" s="9" t="s">
        <v>229</v>
      </c>
      <c r="M175" s="22">
        <v>2</v>
      </c>
    </row>
    <row r="176" spans="1:13">
      <c r="E176" s="22">
        <f t="shared" si="52"/>
        <v>176</v>
      </c>
      <c r="F176" s="9" t="s">
        <v>262</v>
      </c>
      <c r="G176" s="9" t="s">
        <v>229</v>
      </c>
      <c r="H176" s="9" t="s">
        <v>229</v>
      </c>
      <c r="I176" s="9" t="s">
        <v>229</v>
      </c>
      <c r="J176" s="9" t="s">
        <v>229</v>
      </c>
      <c r="K176" s="9" t="s">
        <v>271</v>
      </c>
      <c r="L176" s="9" t="s">
        <v>229</v>
      </c>
      <c r="M176" s="28">
        <v>0.15</v>
      </c>
    </row>
    <row r="177" spans="1:13">
      <c r="E177" s="22">
        <f t="shared" si="52"/>
        <v>177</v>
      </c>
      <c r="F177" s="9" t="s">
        <v>272</v>
      </c>
      <c r="G177" s="9" t="s">
        <v>229</v>
      </c>
      <c r="H177" s="9" t="s">
        <v>229</v>
      </c>
      <c r="I177" s="9" t="s">
        <v>229</v>
      </c>
      <c r="J177" s="9" t="s">
        <v>229</v>
      </c>
      <c r="K177" s="9" t="s">
        <v>273</v>
      </c>
      <c r="L177" s="9" t="s">
        <v>229</v>
      </c>
      <c r="M177" s="27"/>
    </row>
    <row r="178" spans="1:13">
      <c r="E178" s="22">
        <f t="shared" si="52"/>
        <v>178</v>
      </c>
      <c r="F178" s="9" t="s">
        <v>274</v>
      </c>
      <c r="G178" s="9" t="s">
        <v>245</v>
      </c>
      <c r="H178" s="9" t="s">
        <v>229</v>
      </c>
      <c r="I178" s="9" t="s">
        <v>229</v>
      </c>
      <c r="J178" s="9" t="s">
        <v>229</v>
      </c>
      <c r="K178" s="9" t="s">
        <v>229</v>
      </c>
      <c r="L178" s="9" t="s">
        <v>266</v>
      </c>
      <c r="M178" s="22">
        <f>G178/G168*C167</f>
        <v>72</v>
      </c>
    </row>
    <row r="179" spans="1:13">
      <c r="E179" s="22">
        <f t="shared" si="52"/>
        <v>179</v>
      </c>
      <c r="F179" s="9" t="s">
        <v>275</v>
      </c>
      <c r="G179" s="9" t="s">
        <v>229</v>
      </c>
      <c r="H179" s="9" t="s">
        <v>229</v>
      </c>
      <c r="I179" s="9" t="s">
        <v>229</v>
      </c>
      <c r="J179" s="9" t="s">
        <v>229</v>
      </c>
      <c r="K179" s="9" t="s">
        <v>229</v>
      </c>
      <c r="L179" s="9" t="s">
        <v>276</v>
      </c>
      <c r="M179" s="27" t="s">
        <v>247</v>
      </c>
    </row>
    <row r="180" spans="1:13">
      <c r="E180" s="22">
        <f t="shared" si="52"/>
        <v>180</v>
      </c>
      <c r="F180" s="9" t="s">
        <v>248</v>
      </c>
      <c r="J180" s="9" t="s">
        <v>229</v>
      </c>
      <c r="K180" s="9" t="s">
        <v>229</v>
      </c>
      <c r="L180" s="9" t="s">
        <v>276</v>
      </c>
      <c r="M180" s="22" t="s">
        <v>250</v>
      </c>
    </row>
    <row r="181" spans="1:13">
      <c r="E181" s="22">
        <f t="shared" si="52"/>
        <v>181</v>
      </c>
      <c r="F181" s="9" t="s">
        <v>277</v>
      </c>
      <c r="J181" s="9" t="s">
        <v>229</v>
      </c>
      <c r="K181" s="9" t="s">
        <v>229</v>
      </c>
      <c r="L181" s="9" t="s">
        <v>229</v>
      </c>
      <c r="M181" s="22" t="b">
        <v>1</v>
      </c>
    </row>
    <row r="182" spans="1:13">
      <c r="E182" s="22">
        <f t="shared" ref="E182:E230" si="53">ROW(E182)</f>
        <v>182</v>
      </c>
      <c r="F182" s="9" t="s">
        <v>251</v>
      </c>
      <c r="M182" s="27">
        <v>0.3</v>
      </c>
    </row>
    <row r="183" spans="1:13">
      <c r="A183" s="22" t="s">
        <v>229</v>
      </c>
      <c r="B183" s="22">
        <f t="shared" ref="B183" si="54">QUOTIENT( D183-1,G184)+1</f>
        <v>1</v>
      </c>
      <c r="C183" s="22">
        <f t="shared" ref="C183" si="55">D183-(B183-1)*G184</f>
        <v>2</v>
      </c>
      <c r="D183" s="22">
        <f>COUNT($D$166:$D182)+1</f>
        <v>2</v>
      </c>
      <c r="F183" s="9" t="s">
        <v>229</v>
      </c>
      <c r="J183" s="9" t="s">
        <v>229</v>
      </c>
      <c r="K183" s="9" t="s">
        <v>229</v>
      </c>
      <c r="L183" s="9" t="s">
        <v>229</v>
      </c>
    </row>
    <row r="184" spans="1:13">
      <c r="E184" s="22">
        <f t="shared" ref="E184:E197" si="56">ROW(E184)</f>
        <v>184</v>
      </c>
      <c r="F184" s="9" t="s">
        <v>93</v>
      </c>
      <c r="G184" s="22">
        <v>5</v>
      </c>
      <c r="H184" s="22">
        <v>1</v>
      </c>
      <c r="J184" s="9">
        <v>14300</v>
      </c>
      <c r="K184" s="9" t="s">
        <v>229</v>
      </c>
      <c r="L184" s="9" t="s">
        <v>229</v>
      </c>
      <c r="M184" s="22">
        <f t="shared" ref="M184" si="57">J184+D183</f>
        <v>14302</v>
      </c>
    </row>
    <row r="185" spans="1:13">
      <c r="E185" s="22">
        <f t="shared" si="56"/>
        <v>185</v>
      </c>
      <c r="F185" s="9" t="s">
        <v>143</v>
      </c>
      <c r="J185" s="9" t="s">
        <v>229</v>
      </c>
      <c r="K185" s="9" t="s">
        <v>229</v>
      </c>
      <c r="L185" s="9" t="s">
        <v>229</v>
      </c>
      <c r="M185" s="22">
        <v>14200</v>
      </c>
    </row>
    <row r="186" spans="1:13">
      <c r="E186" s="22">
        <f t="shared" si="56"/>
        <v>186</v>
      </c>
      <c r="F186" s="9" t="s">
        <v>127</v>
      </c>
      <c r="J186" s="9" t="s">
        <v>229</v>
      </c>
      <c r="K186" s="9" t="s">
        <v>229</v>
      </c>
      <c r="L186" s="9" t="s">
        <v>229</v>
      </c>
      <c r="M186" s="22">
        <v>0</v>
      </c>
    </row>
    <row r="187" spans="1:13">
      <c r="E187" s="22">
        <f t="shared" si="56"/>
        <v>187</v>
      </c>
      <c r="F187" s="9" t="s">
        <v>29</v>
      </c>
      <c r="J187" s="9" t="s">
        <v>229</v>
      </c>
      <c r="K187" s="9" t="s">
        <v>229</v>
      </c>
      <c r="L187" s="9" t="s">
        <v>229</v>
      </c>
      <c r="M187" s="22" t="s">
        <v>252</v>
      </c>
    </row>
    <row r="188" spans="1:13">
      <c r="E188" s="22">
        <f t="shared" si="56"/>
        <v>188</v>
      </c>
      <c r="F188" s="9" t="s">
        <v>119</v>
      </c>
      <c r="J188" s="9" t="s">
        <v>229</v>
      </c>
      <c r="K188" s="9" t="s">
        <v>229</v>
      </c>
      <c r="L188" s="9" t="s">
        <v>229</v>
      </c>
      <c r="M188" s="22" t="s">
        <v>253</v>
      </c>
    </row>
    <row r="189" spans="1:13">
      <c r="E189" s="22">
        <f t="shared" si="56"/>
        <v>189</v>
      </c>
      <c r="F189" s="9" t="s">
        <v>196</v>
      </c>
      <c r="M189" s="22">
        <v>0.5</v>
      </c>
    </row>
    <row r="190" spans="1:13">
      <c r="E190" s="22">
        <f t="shared" si="56"/>
        <v>190</v>
      </c>
      <c r="F190" s="9" t="s">
        <v>198</v>
      </c>
      <c r="M190" s="22">
        <v>20</v>
      </c>
    </row>
    <row r="191" spans="1:13">
      <c r="E191" s="22">
        <f t="shared" si="56"/>
        <v>191</v>
      </c>
      <c r="F191" s="9" t="s">
        <v>99</v>
      </c>
      <c r="G191" s="22" t="s">
        <v>229</v>
      </c>
      <c r="H191" s="22" t="s">
        <v>229</v>
      </c>
      <c r="I191" s="22" t="s">
        <v>229</v>
      </c>
      <c r="J191" s="9" t="s">
        <v>229</v>
      </c>
      <c r="K191" s="9" t="s">
        <v>138</v>
      </c>
      <c r="L191" s="9" t="s">
        <v>229</v>
      </c>
      <c r="M191" s="22">
        <v>2</v>
      </c>
    </row>
    <row r="192" spans="1:13">
      <c r="E192" s="22">
        <f t="shared" si="56"/>
        <v>192</v>
      </c>
      <c r="F192" s="9" t="s">
        <v>177</v>
      </c>
      <c r="G192" s="22" t="s">
        <v>229</v>
      </c>
      <c r="H192" s="22" t="s">
        <v>229</v>
      </c>
      <c r="I192" s="22" t="s">
        <v>229</v>
      </c>
      <c r="J192" s="9" t="s">
        <v>229</v>
      </c>
      <c r="K192" s="9" t="s">
        <v>220</v>
      </c>
      <c r="L192" s="9" t="s">
        <v>229</v>
      </c>
      <c r="M192" s="22">
        <v>0.15</v>
      </c>
    </row>
    <row r="193" spans="1:13">
      <c r="E193" s="22">
        <f t="shared" si="56"/>
        <v>193</v>
      </c>
      <c r="F193" s="9" t="s">
        <v>134</v>
      </c>
      <c r="G193" s="22" t="s">
        <v>229</v>
      </c>
      <c r="H193" s="22" t="s">
        <v>229</v>
      </c>
      <c r="I193" s="22" t="s">
        <v>229</v>
      </c>
      <c r="J193" s="9" t="s">
        <v>229</v>
      </c>
      <c r="K193" s="9" t="s">
        <v>221</v>
      </c>
      <c r="L193" s="9" t="s">
        <v>229</v>
      </c>
    </row>
    <row r="194" spans="1:13">
      <c r="E194" s="22">
        <f t="shared" si="56"/>
        <v>194</v>
      </c>
      <c r="F194" s="9" t="s">
        <v>133</v>
      </c>
      <c r="G194" s="22" t="s">
        <v>244</v>
      </c>
      <c r="H194" s="22" t="s">
        <v>229</v>
      </c>
      <c r="I194" s="22" t="s">
        <v>229</v>
      </c>
      <c r="J194" s="9" t="s">
        <v>229</v>
      </c>
      <c r="K194" s="9" t="s">
        <v>229</v>
      </c>
      <c r="L194" s="9" t="s">
        <v>135</v>
      </c>
      <c r="M194" s="22">
        <f t="shared" ref="M194" si="58">G194/G184*C183</f>
        <v>144</v>
      </c>
    </row>
    <row r="195" spans="1:13">
      <c r="E195" s="22">
        <f t="shared" si="56"/>
        <v>195</v>
      </c>
      <c r="F195" s="9" t="s">
        <v>184</v>
      </c>
      <c r="G195" s="22" t="s">
        <v>229</v>
      </c>
      <c r="H195" s="22" t="s">
        <v>229</v>
      </c>
      <c r="I195" s="22" t="s">
        <v>229</v>
      </c>
      <c r="J195" s="9" t="s">
        <v>229</v>
      </c>
      <c r="K195" s="9" t="s">
        <v>229</v>
      </c>
      <c r="L195" s="9" t="s">
        <v>136</v>
      </c>
      <c r="M195" s="22" t="s">
        <v>246</v>
      </c>
    </row>
    <row r="196" spans="1:13">
      <c r="E196" s="22">
        <f t="shared" si="56"/>
        <v>196</v>
      </c>
      <c r="F196" s="9" t="s">
        <v>31</v>
      </c>
      <c r="J196" s="9" t="s">
        <v>229</v>
      </c>
      <c r="K196" s="9" t="s">
        <v>229</v>
      </c>
      <c r="L196" s="9" t="s">
        <v>136</v>
      </c>
      <c r="M196" s="22" t="s">
        <v>249</v>
      </c>
    </row>
    <row r="197" spans="1:13">
      <c r="E197" s="22">
        <f t="shared" si="56"/>
        <v>197</v>
      </c>
      <c r="F197" s="9" t="s">
        <v>115</v>
      </c>
      <c r="J197" s="9" t="s">
        <v>229</v>
      </c>
      <c r="K197" s="9" t="s">
        <v>229</v>
      </c>
      <c r="L197" s="9" t="s">
        <v>229</v>
      </c>
      <c r="M197" s="22" t="b">
        <v>1</v>
      </c>
    </row>
    <row r="198" spans="1:13">
      <c r="E198" s="22">
        <f t="shared" si="53"/>
        <v>198</v>
      </c>
      <c r="F198" s="9" t="s">
        <v>116</v>
      </c>
      <c r="M198" s="22">
        <v>0.3</v>
      </c>
    </row>
    <row r="199" spans="1:13">
      <c r="A199" s="22" t="s">
        <v>229</v>
      </c>
      <c r="B199" s="22">
        <f t="shared" ref="B199" si="59">QUOTIENT( D199-1,G200)+1</f>
        <v>1</v>
      </c>
      <c r="C199" s="22">
        <f t="shared" ref="C199" si="60">D199-(B199-1)*G200</f>
        <v>3</v>
      </c>
      <c r="D199" s="22">
        <f>COUNT($D$166:$D198)+1</f>
        <v>3</v>
      </c>
      <c r="F199" s="9" t="s">
        <v>229</v>
      </c>
      <c r="J199" s="9" t="s">
        <v>229</v>
      </c>
      <c r="K199" s="9" t="s">
        <v>229</v>
      </c>
      <c r="L199" s="9" t="s">
        <v>229</v>
      </c>
    </row>
    <row r="200" spans="1:13">
      <c r="E200" s="22">
        <f t="shared" ref="E200:E213" si="61">ROW(E200)</f>
        <v>200</v>
      </c>
      <c r="F200" s="9" t="s">
        <v>93</v>
      </c>
      <c r="G200" s="22">
        <v>5</v>
      </c>
      <c r="H200" s="22">
        <v>1</v>
      </c>
      <c r="J200" s="9">
        <v>14300</v>
      </c>
      <c r="K200" s="9" t="s">
        <v>229</v>
      </c>
      <c r="L200" s="9" t="s">
        <v>229</v>
      </c>
      <c r="M200" s="22">
        <f t="shared" ref="M200" si="62">J200+D199</f>
        <v>14303</v>
      </c>
    </row>
    <row r="201" spans="1:13">
      <c r="E201" s="22">
        <f t="shared" si="61"/>
        <v>201</v>
      </c>
      <c r="F201" s="9" t="s">
        <v>143</v>
      </c>
      <c r="J201" s="9" t="s">
        <v>229</v>
      </c>
      <c r="K201" s="9" t="s">
        <v>229</v>
      </c>
      <c r="L201" s="9" t="s">
        <v>229</v>
      </c>
      <c r="M201" s="22">
        <v>14200</v>
      </c>
    </row>
    <row r="202" spans="1:13">
      <c r="E202" s="22">
        <f t="shared" si="61"/>
        <v>202</v>
      </c>
      <c r="F202" s="9" t="s">
        <v>127</v>
      </c>
      <c r="J202" s="9" t="s">
        <v>229</v>
      </c>
      <c r="K202" s="9" t="s">
        <v>229</v>
      </c>
      <c r="L202" s="9" t="s">
        <v>229</v>
      </c>
      <c r="M202" s="22">
        <v>0</v>
      </c>
    </row>
    <row r="203" spans="1:13">
      <c r="E203" s="22">
        <f t="shared" si="61"/>
        <v>203</v>
      </c>
      <c r="F203" s="9" t="s">
        <v>29</v>
      </c>
      <c r="J203" s="9" t="s">
        <v>229</v>
      </c>
      <c r="K203" s="9" t="s">
        <v>229</v>
      </c>
      <c r="L203" s="9" t="s">
        <v>229</v>
      </c>
      <c r="M203" s="22" t="s">
        <v>252</v>
      </c>
    </row>
    <row r="204" spans="1:13">
      <c r="E204" s="22">
        <f t="shared" si="61"/>
        <v>204</v>
      </c>
      <c r="F204" s="9" t="s">
        <v>119</v>
      </c>
      <c r="J204" s="9" t="s">
        <v>229</v>
      </c>
      <c r="K204" s="9" t="s">
        <v>229</v>
      </c>
      <c r="L204" s="9" t="s">
        <v>229</v>
      </c>
      <c r="M204" s="22" t="s">
        <v>253</v>
      </c>
    </row>
    <row r="205" spans="1:13">
      <c r="E205" s="22">
        <f t="shared" si="61"/>
        <v>205</v>
      </c>
      <c r="F205" s="9" t="s">
        <v>196</v>
      </c>
      <c r="M205" s="22">
        <v>0.5</v>
      </c>
    </row>
    <row r="206" spans="1:13">
      <c r="E206" s="22">
        <f t="shared" si="61"/>
        <v>206</v>
      </c>
      <c r="F206" s="9" t="s">
        <v>198</v>
      </c>
      <c r="M206" s="22">
        <v>20</v>
      </c>
    </row>
    <row r="207" spans="1:13">
      <c r="E207" s="22">
        <f t="shared" si="61"/>
        <v>207</v>
      </c>
      <c r="F207" s="9" t="s">
        <v>99</v>
      </c>
      <c r="G207" s="22" t="s">
        <v>229</v>
      </c>
      <c r="H207" s="22" t="s">
        <v>229</v>
      </c>
      <c r="I207" s="22" t="s">
        <v>229</v>
      </c>
      <c r="J207" s="9" t="s">
        <v>229</v>
      </c>
      <c r="K207" s="9" t="s">
        <v>138</v>
      </c>
      <c r="L207" s="9" t="s">
        <v>229</v>
      </c>
      <c r="M207" s="22">
        <v>2</v>
      </c>
    </row>
    <row r="208" spans="1:13">
      <c r="E208" s="22">
        <f t="shared" si="61"/>
        <v>208</v>
      </c>
      <c r="F208" s="9" t="s">
        <v>177</v>
      </c>
      <c r="G208" s="22" t="s">
        <v>229</v>
      </c>
      <c r="H208" s="22" t="s">
        <v>229</v>
      </c>
      <c r="I208" s="22" t="s">
        <v>229</v>
      </c>
      <c r="J208" s="9" t="s">
        <v>229</v>
      </c>
      <c r="K208" s="9" t="s">
        <v>220</v>
      </c>
      <c r="L208" s="9" t="s">
        <v>229</v>
      </c>
      <c r="M208" s="22">
        <v>0.15</v>
      </c>
    </row>
    <row r="209" spans="1:31">
      <c r="E209" s="22">
        <f t="shared" si="61"/>
        <v>209</v>
      </c>
      <c r="F209" s="9" t="s">
        <v>134</v>
      </c>
      <c r="G209" s="22" t="s">
        <v>229</v>
      </c>
      <c r="H209" s="22" t="s">
        <v>229</v>
      </c>
      <c r="I209" s="22" t="s">
        <v>229</v>
      </c>
      <c r="J209" s="9" t="s">
        <v>229</v>
      </c>
      <c r="K209" s="9" t="s">
        <v>221</v>
      </c>
      <c r="L209" s="9" t="s">
        <v>229</v>
      </c>
    </row>
    <row r="210" spans="1:31">
      <c r="E210" s="22">
        <f t="shared" si="61"/>
        <v>210</v>
      </c>
      <c r="F210" s="9" t="s">
        <v>133</v>
      </c>
      <c r="G210" s="22" t="s">
        <v>244</v>
      </c>
      <c r="H210" s="22" t="s">
        <v>229</v>
      </c>
      <c r="I210" s="22" t="s">
        <v>229</v>
      </c>
      <c r="J210" s="9" t="s">
        <v>229</v>
      </c>
      <c r="K210" s="9" t="s">
        <v>229</v>
      </c>
      <c r="L210" s="9" t="s">
        <v>135</v>
      </c>
      <c r="M210" s="22">
        <f t="shared" ref="M210" si="63">G210/G200*C199</f>
        <v>216</v>
      </c>
    </row>
    <row r="211" spans="1:31">
      <c r="E211" s="22">
        <f t="shared" si="61"/>
        <v>211</v>
      </c>
      <c r="F211" s="9" t="s">
        <v>184</v>
      </c>
      <c r="G211" s="22" t="s">
        <v>229</v>
      </c>
      <c r="H211" s="22" t="s">
        <v>229</v>
      </c>
      <c r="I211" s="22" t="s">
        <v>229</v>
      </c>
      <c r="J211" s="9" t="s">
        <v>229</v>
      </c>
      <c r="K211" s="9" t="s">
        <v>229</v>
      </c>
      <c r="L211" s="9" t="s">
        <v>136</v>
      </c>
      <c r="M211" s="22" t="s">
        <v>246</v>
      </c>
    </row>
    <row r="212" spans="1:31">
      <c r="E212" s="22">
        <f t="shared" si="61"/>
        <v>212</v>
      </c>
      <c r="F212" s="9" t="s">
        <v>31</v>
      </c>
      <c r="J212" s="9" t="s">
        <v>229</v>
      </c>
      <c r="K212" s="9" t="s">
        <v>229</v>
      </c>
      <c r="L212" s="9" t="s">
        <v>136</v>
      </c>
      <c r="M212" s="22" t="s">
        <v>249</v>
      </c>
    </row>
    <row r="213" spans="1:31">
      <c r="E213" s="22">
        <f t="shared" si="61"/>
        <v>213</v>
      </c>
      <c r="F213" s="9" t="s">
        <v>115</v>
      </c>
      <c r="J213" s="9" t="s">
        <v>229</v>
      </c>
      <c r="K213" s="9" t="s">
        <v>229</v>
      </c>
      <c r="L213" s="9" t="s">
        <v>229</v>
      </c>
      <c r="M213" s="22" t="b">
        <v>1</v>
      </c>
    </row>
    <row r="214" spans="1:31">
      <c r="E214" s="22">
        <f t="shared" si="53"/>
        <v>214</v>
      </c>
      <c r="F214" s="9" t="s">
        <v>116</v>
      </c>
      <c r="M214" s="22">
        <v>0.3</v>
      </c>
    </row>
    <row r="215" spans="1:31">
      <c r="A215" s="22" t="s">
        <v>229</v>
      </c>
      <c r="B215" s="22">
        <f t="shared" ref="B215" si="64">QUOTIENT( D215-1,G216)+1</f>
        <v>1</v>
      </c>
      <c r="C215" s="22">
        <f t="shared" ref="C215" si="65">D215-(B215-1)*G216</f>
        <v>4</v>
      </c>
      <c r="D215" s="22">
        <f>COUNT($D$166:$D214)+1</f>
        <v>4</v>
      </c>
      <c r="F215" s="9" t="s">
        <v>229</v>
      </c>
      <c r="J215" s="9" t="s">
        <v>229</v>
      </c>
      <c r="K215" s="9" t="s">
        <v>229</v>
      </c>
      <c r="L215" s="9" t="s">
        <v>229</v>
      </c>
    </row>
    <row r="216" spans="1:31" s="16" customFormat="1">
      <c r="A216" s="22"/>
      <c r="B216" s="22"/>
      <c r="C216" s="22"/>
      <c r="D216" s="22"/>
      <c r="E216" s="22">
        <f t="shared" ref="E216:E229" si="66">ROW(E216)</f>
        <v>216</v>
      </c>
      <c r="F216" s="9" t="s">
        <v>93</v>
      </c>
      <c r="G216" s="22">
        <v>5</v>
      </c>
      <c r="H216" s="22">
        <v>1</v>
      </c>
      <c r="I216" s="22"/>
      <c r="J216" s="9">
        <v>14300</v>
      </c>
      <c r="K216" s="9" t="s">
        <v>229</v>
      </c>
      <c r="L216" s="9" t="s">
        <v>229</v>
      </c>
      <c r="M216" s="22">
        <f t="shared" ref="M216" si="67">J216+D215</f>
        <v>14304</v>
      </c>
      <c r="N216" s="9"/>
      <c r="O216" s="9"/>
      <c r="P216" s="9"/>
      <c r="Q216" s="9"/>
      <c r="R216" s="9"/>
      <c r="S216" s="12"/>
      <c r="T216" s="9"/>
      <c r="U216" s="9"/>
      <c r="V216" s="12"/>
      <c r="W216" s="12"/>
      <c r="X216" s="12"/>
      <c r="Y216" s="15"/>
      <c r="Z216" s="15"/>
      <c r="AA216" s="15"/>
      <c r="AB216" s="15"/>
      <c r="AC216" s="15"/>
      <c r="AD216" s="15"/>
      <c r="AE216" s="15"/>
    </row>
    <row r="217" spans="1:31" s="16" customFormat="1">
      <c r="A217" s="22"/>
      <c r="B217" s="22"/>
      <c r="C217" s="22"/>
      <c r="D217" s="22"/>
      <c r="E217" s="22">
        <f t="shared" si="66"/>
        <v>217</v>
      </c>
      <c r="F217" s="9" t="s">
        <v>143</v>
      </c>
      <c r="G217" s="22"/>
      <c r="H217" s="22"/>
      <c r="I217" s="22"/>
      <c r="J217" s="9" t="s">
        <v>229</v>
      </c>
      <c r="K217" s="9" t="s">
        <v>229</v>
      </c>
      <c r="L217" s="9" t="s">
        <v>229</v>
      </c>
      <c r="M217" s="22">
        <v>14200</v>
      </c>
      <c r="N217" s="9"/>
      <c r="O217" s="9"/>
      <c r="P217" s="9"/>
      <c r="Q217" s="9"/>
      <c r="R217" s="9"/>
      <c r="S217" s="12"/>
      <c r="T217" s="9"/>
      <c r="U217" s="9"/>
      <c r="V217" s="12"/>
      <c r="W217" s="12"/>
      <c r="X217" s="12"/>
      <c r="Y217" s="15"/>
      <c r="Z217" s="15"/>
      <c r="AA217" s="15"/>
      <c r="AB217" s="15"/>
      <c r="AC217" s="15"/>
      <c r="AD217" s="15"/>
      <c r="AE217" s="15"/>
    </row>
    <row r="218" spans="1:31" s="16" customFormat="1">
      <c r="A218" s="22"/>
      <c r="B218" s="22"/>
      <c r="C218" s="22"/>
      <c r="D218" s="22"/>
      <c r="E218" s="22">
        <f t="shared" si="66"/>
        <v>218</v>
      </c>
      <c r="F218" s="9" t="s">
        <v>127</v>
      </c>
      <c r="G218" s="22"/>
      <c r="H218" s="22"/>
      <c r="I218" s="22"/>
      <c r="J218" s="9" t="s">
        <v>229</v>
      </c>
      <c r="K218" s="9" t="s">
        <v>229</v>
      </c>
      <c r="L218" s="9" t="s">
        <v>229</v>
      </c>
      <c r="M218" s="22">
        <v>0</v>
      </c>
      <c r="N218" s="9"/>
      <c r="O218" s="9"/>
      <c r="P218" s="9"/>
      <c r="Q218" s="9"/>
      <c r="R218" s="9"/>
      <c r="S218" s="12"/>
      <c r="T218" s="9"/>
      <c r="U218" s="9"/>
      <c r="V218" s="12"/>
      <c r="W218" s="12"/>
      <c r="X218" s="12"/>
      <c r="Y218" s="15"/>
      <c r="Z218" s="15"/>
      <c r="AA218" s="15"/>
      <c r="AB218" s="15"/>
      <c r="AC218" s="15"/>
      <c r="AD218" s="15"/>
      <c r="AE218" s="15"/>
    </row>
    <row r="219" spans="1:31" s="16" customFormat="1">
      <c r="A219" s="22"/>
      <c r="B219" s="22"/>
      <c r="C219" s="22"/>
      <c r="D219" s="22"/>
      <c r="E219" s="22">
        <f t="shared" si="66"/>
        <v>219</v>
      </c>
      <c r="F219" s="9" t="s">
        <v>29</v>
      </c>
      <c r="G219" s="22"/>
      <c r="H219" s="22"/>
      <c r="I219" s="22"/>
      <c r="J219" s="9" t="s">
        <v>229</v>
      </c>
      <c r="K219" s="9" t="s">
        <v>229</v>
      </c>
      <c r="L219" s="9" t="s">
        <v>229</v>
      </c>
      <c r="M219" s="22" t="s">
        <v>252</v>
      </c>
      <c r="N219" s="9"/>
      <c r="O219" s="9"/>
      <c r="P219" s="9"/>
      <c r="Q219" s="9"/>
      <c r="R219" s="9"/>
      <c r="S219" s="12"/>
      <c r="T219" s="9"/>
      <c r="U219" s="9"/>
      <c r="V219" s="12"/>
      <c r="W219" s="12"/>
      <c r="X219" s="12"/>
      <c r="Y219" s="15"/>
      <c r="Z219" s="15"/>
      <c r="AA219" s="15"/>
      <c r="AB219" s="15"/>
      <c r="AC219" s="15"/>
      <c r="AD219" s="15"/>
      <c r="AE219" s="15"/>
    </row>
    <row r="220" spans="1:31" s="16" customFormat="1">
      <c r="A220" s="22"/>
      <c r="B220" s="22"/>
      <c r="C220" s="22"/>
      <c r="D220" s="22"/>
      <c r="E220" s="22">
        <f t="shared" si="66"/>
        <v>220</v>
      </c>
      <c r="F220" s="9" t="s">
        <v>119</v>
      </c>
      <c r="G220" s="22"/>
      <c r="H220" s="22"/>
      <c r="I220" s="22"/>
      <c r="J220" s="9" t="s">
        <v>229</v>
      </c>
      <c r="K220" s="9" t="s">
        <v>229</v>
      </c>
      <c r="L220" s="9" t="s">
        <v>229</v>
      </c>
      <c r="M220" s="22" t="s">
        <v>253</v>
      </c>
      <c r="N220" s="9"/>
      <c r="O220" s="9"/>
      <c r="P220" s="9"/>
      <c r="Q220" s="9"/>
      <c r="R220" s="9"/>
      <c r="S220" s="12"/>
      <c r="T220" s="9"/>
      <c r="U220" s="9"/>
      <c r="V220" s="12"/>
      <c r="W220" s="12"/>
      <c r="X220" s="12"/>
      <c r="Y220" s="15"/>
      <c r="Z220" s="15"/>
      <c r="AA220" s="15"/>
      <c r="AB220" s="15"/>
      <c r="AC220" s="15"/>
      <c r="AD220" s="15"/>
      <c r="AE220" s="15"/>
    </row>
    <row r="221" spans="1:31" s="16" customFormat="1">
      <c r="A221" s="22"/>
      <c r="B221" s="22"/>
      <c r="C221" s="22"/>
      <c r="D221" s="22"/>
      <c r="E221" s="22">
        <f t="shared" si="66"/>
        <v>221</v>
      </c>
      <c r="F221" s="9" t="s">
        <v>196</v>
      </c>
      <c r="G221" s="22"/>
      <c r="H221" s="22"/>
      <c r="I221" s="22"/>
      <c r="J221" s="9"/>
      <c r="K221" s="9"/>
      <c r="L221" s="9"/>
      <c r="M221" s="22">
        <v>0.5</v>
      </c>
      <c r="N221" s="9"/>
      <c r="O221" s="9"/>
      <c r="P221" s="9"/>
      <c r="Q221" s="9"/>
      <c r="R221" s="9"/>
      <c r="S221" s="12"/>
      <c r="T221" s="9"/>
      <c r="U221" s="9"/>
      <c r="V221" s="12"/>
      <c r="W221" s="12"/>
      <c r="X221" s="12"/>
      <c r="Y221" s="15"/>
      <c r="Z221" s="15"/>
      <c r="AA221" s="15"/>
      <c r="AB221" s="15"/>
      <c r="AC221" s="15"/>
      <c r="AD221" s="15"/>
      <c r="AE221" s="15"/>
    </row>
    <row r="222" spans="1:31">
      <c r="E222" s="22">
        <f t="shared" si="66"/>
        <v>222</v>
      </c>
      <c r="F222" s="9" t="s">
        <v>198</v>
      </c>
      <c r="M222" s="22">
        <v>20</v>
      </c>
    </row>
    <row r="223" spans="1:31">
      <c r="E223" s="22">
        <f t="shared" si="66"/>
        <v>223</v>
      </c>
      <c r="F223" s="9" t="s">
        <v>99</v>
      </c>
      <c r="G223" s="22" t="s">
        <v>229</v>
      </c>
      <c r="H223" s="22" t="s">
        <v>229</v>
      </c>
      <c r="I223" s="22" t="s">
        <v>229</v>
      </c>
      <c r="J223" s="9" t="s">
        <v>229</v>
      </c>
      <c r="K223" s="9" t="s">
        <v>138</v>
      </c>
      <c r="L223" s="9" t="s">
        <v>229</v>
      </c>
      <c r="M223" s="22">
        <v>2</v>
      </c>
    </row>
    <row r="224" spans="1:31">
      <c r="E224" s="22">
        <f t="shared" si="66"/>
        <v>224</v>
      </c>
      <c r="F224" s="9" t="s">
        <v>177</v>
      </c>
      <c r="G224" s="22" t="s">
        <v>229</v>
      </c>
      <c r="H224" s="22" t="s">
        <v>229</v>
      </c>
      <c r="I224" s="22" t="s">
        <v>229</v>
      </c>
      <c r="J224" s="9" t="s">
        <v>229</v>
      </c>
      <c r="K224" s="9" t="s">
        <v>220</v>
      </c>
      <c r="L224" s="9" t="s">
        <v>229</v>
      </c>
      <c r="M224" s="22">
        <v>0.15</v>
      </c>
    </row>
    <row r="225" spans="1:13">
      <c r="E225" s="22">
        <f t="shared" si="66"/>
        <v>225</v>
      </c>
      <c r="F225" s="9" t="s">
        <v>134</v>
      </c>
      <c r="G225" s="22" t="s">
        <v>229</v>
      </c>
      <c r="H225" s="22" t="s">
        <v>229</v>
      </c>
      <c r="I225" s="22" t="s">
        <v>229</v>
      </c>
      <c r="J225" s="9" t="s">
        <v>229</v>
      </c>
      <c r="K225" s="9" t="s">
        <v>221</v>
      </c>
      <c r="L225" s="9" t="s">
        <v>229</v>
      </c>
    </row>
    <row r="226" spans="1:13">
      <c r="E226" s="22">
        <f t="shared" si="66"/>
        <v>226</v>
      </c>
      <c r="F226" s="9" t="s">
        <v>133</v>
      </c>
      <c r="G226" s="22" t="s">
        <v>244</v>
      </c>
      <c r="H226" s="22" t="s">
        <v>229</v>
      </c>
      <c r="I226" s="22" t="s">
        <v>229</v>
      </c>
      <c r="J226" s="9" t="s">
        <v>229</v>
      </c>
      <c r="K226" s="9" t="s">
        <v>229</v>
      </c>
      <c r="L226" s="9" t="s">
        <v>135</v>
      </c>
      <c r="M226" s="22">
        <f t="shared" ref="M226" si="68">G226/G216*C215</f>
        <v>288</v>
      </c>
    </row>
    <row r="227" spans="1:13">
      <c r="E227" s="22">
        <f t="shared" si="66"/>
        <v>227</v>
      </c>
      <c r="F227" s="9" t="s">
        <v>184</v>
      </c>
      <c r="G227" s="22" t="s">
        <v>229</v>
      </c>
      <c r="H227" s="22" t="s">
        <v>229</v>
      </c>
      <c r="I227" s="22" t="s">
        <v>229</v>
      </c>
      <c r="J227" s="9" t="s">
        <v>229</v>
      </c>
      <c r="K227" s="9" t="s">
        <v>229</v>
      </c>
      <c r="L227" s="9" t="s">
        <v>136</v>
      </c>
      <c r="M227" s="22" t="s">
        <v>246</v>
      </c>
    </row>
    <row r="228" spans="1:13">
      <c r="E228" s="22">
        <f t="shared" si="66"/>
        <v>228</v>
      </c>
      <c r="F228" s="9" t="s">
        <v>31</v>
      </c>
      <c r="J228" s="9" t="s">
        <v>229</v>
      </c>
      <c r="K228" s="9" t="s">
        <v>229</v>
      </c>
      <c r="L228" s="9" t="s">
        <v>136</v>
      </c>
      <c r="M228" s="22" t="s">
        <v>249</v>
      </c>
    </row>
    <row r="229" spans="1:13">
      <c r="E229" s="22">
        <f t="shared" si="66"/>
        <v>229</v>
      </c>
      <c r="F229" s="9" t="s">
        <v>115</v>
      </c>
      <c r="J229" s="9" t="s">
        <v>229</v>
      </c>
      <c r="K229" s="9" t="s">
        <v>229</v>
      </c>
      <c r="L229" s="9" t="s">
        <v>229</v>
      </c>
      <c r="M229" s="22" t="b">
        <v>1</v>
      </c>
    </row>
    <row r="230" spans="1:13">
      <c r="E230" s="22">
        <f t="shared" si="53"/>
        <v>230</v>
      </c>
      <c r="F230" s="9" t="s">
        <v>116</v>
      </c>
      <c r="M230" s="22">
        <v>0.3</v>
      </c>
    </row>
    <row r="231" spans="1:13">
      <c r="A231" s="22" t="s">
        <v>229</v>
      </c>
      <c r="B231" s="22">
        <f t="shared" ref="B231" si="69">QUOTIENT( D231-1,G232)+1</f>
        <v>1</v>
      </c>
      <c r="C231" s="22">
        <f t="shared" ref="C231" si="70">D231-(B231-1)*G232</f>
        <v>5</v>
      </c>
      <c r="D231" s="22">
        <f>COUNT($D$166:$D230)+1</f>
        <v>5</v>
      </c>
      <c r="F231" s="9" t="s">
        <v>229</v>
      </c>
      <c r="J231" s="9" t="s">
        <v>229</v>
      </c>
      <c r="K231" s="9" t="s">
        <v>229</v>
      </c>
      <c r="L231" s="9" t="s">
        <v>229</v>
      </c>
    </row>
    <row r="232" spans="1:13">
      <c r="E232" s="22">
        <f t="shared" ref="E232:E246" si="71">ROW(E232)</f>
        <v>232</v>
      </c>
      <c r="F232" s="9" t="s">
        <v>93</v>
      </c>
      <c r="G232" s="22">
        <v>5</v>
      </c>
      <c r="H232" s="22">
        <v>1</v>
      </c>
      <c r="J232" s="9">
        <v>14300</v>
      </c>
      <c r="K232" s="9" t="s">
        <v>229</v>
      </c>
      <c r="L232" s="9" t="s">
        <v>229</v>
      </c>
      <c r="M232" s="22">
        <f t="shared" ref="M232" si="72">J232+D231</f>
        <v>14305</v>
      </c>
    </row>
    <row r="233" spans="1:13">
      <c r="E233" s="22">
        <f t="shared" si="71"/>
        <v>233</v>
      </c>
      <c r="F233" s="9" t="s">
        <v>143</v>
      </c>
      <c r="J233" s="9" t="s">
        <v>229</v>
      </c>
      <c r="K233" s="9" t="s">
        <v>229</v>
      </c>
      <c r="L233" s="9" t="s">
        <v>229</v>
      </c>
      <c r="M233" s="22">
        <v>14200</v>
      </c>
    </row>
    <row r="234" spans="1:13">
      <c r="E234" s="22">
        <f t="shared" si="71"/>
        <v>234</v>
      </c>
      <c r="F234" s="9" t="s">
        <v>127</v>
      </c>
      <c r="J234" s="9" t="s">
        <v>229</v>
      </c>
      <c r="K234" s="9" t="s">
        <v>229</v>
      </c>
      <c r="L234" s="9" t="s">
        <v>229</v>
      </c>
      <c r="M234" s="22">
        <v>0</v>
      </c>
    </row>
    <row r="235" spans="1:13">
      <c r="E235" s="22">
        <f t="shared" si="71"/>
        <v>235</v>
      </c>
      <c r="F235" s="9" t="s">
        <v>29</v>
      </c>
      <c r="J235" s="9" t="s">
        <v>229</v>
      </c>
      <c r="K235" s="9" t="s">
        <v>229</v>
      </c>
      <c r="L235" s="9" t="s">
        <v>229</v>
      </c>
      <c r="M235" s="22" t="s">
        <v>252</v>
      </c>
    </row>
    <row r="236" spans="1:13">
      <c r="E236" s="22">
        <f t="shared" si="71"/>
        <v>236</v>
      </c>
      <c r="F236" s="9" t="s">
        <v>119</v>
      </c>
      <c r="J236" s="9" t="s">
        <v>229</v>
      </c>
      <c r="K236" s="9" t="s">
        <v>229</v>
      </c>
      <c r="L236" s="9" t="s">
        <v>229</v>
      </c>
      <c r="M236" s="22" t="s">
        <v>253</v>
      </c>
    </row>
    <row r="237" spans="1:13">
      <c r="E237" s="22">
        <f t="shared" si="71"/>
        <v>237</v>
      </c>
      <c r="F237" s="9" t="s">
        <v>196</v>
      </c>
      <c r="M237" s="22">
        <v>0.5</v>
      </c>
    </row>
    <row r="238" spans="1:13">
      <c r="E238" s="22">
        <f t="shared" si="71"/>
        <v>238</v>
      </c>
      <c r="F238" s="9" t="s">
        <v>198</v>
      </c>
      <c r="M238" s="22">
        <v>20</v>
      </c>
    </row>
    <row r="239" spans="1:13">
      <c r="E239" s="22">
        <f t="shared" si="71"/>
        <v>239</v>
      </c>
      <c r="F239" s="9" t="s">
        <v>99</v>
      </c>
      <c r="G239" s="22" t="s">
        <v>229</v>
      </c>
      <c r="H239" s="22" t="s">
        <v>229</v>
      </c>
      <c r="I239" s="22" t="s">
        <v>229</v>
      </c>
      <c r="J239" s="9" t="s">
        <v>229</v>
      </c>
      <c r="K239" s="9" t="s">
        <v>138</v>
      </c>
      <c r="L239" s="9" t="s">
        <v>229</v>
      </c>
      <c r="M239" s="22">
        <v>2</v>
      </c>
    </row>
    <row r="240" spans="1:13">
      <c r="E240" s="22">
        <f t="shared" si="71"/>
        <v>240</v>
      </c>
      <c r="F240" s="9" t="s">
        <v>177</v>
      </c>
      <c r="G240" s="22" t="s">
        <v>229</v>
      </c>
      <c r="H240" s="22" t="s">
        <v>229</v>
      </c>
      <c r="I240" s="22" t="s">
        <v>229</v>
      </c>
      <c r="J240" s="9" t="s">
        <v>229</v>
      </c>
      <c r="K240" s="9" t="s">
        <v>220</v>
      </c>
      <c r="L240" s="9" t="s">
        <v>229</v>
      </c>
      <c r="M240" s="22">
        <v>0.15</v>
      </c>
    </row>
    <row r="241" spans="5:13">
      <c r="E241" s="22">
        <f t="shared" si="71"/>
        <v>241</v>
      </c>
      <c r="F241" s="9" t="s">
        <v>134</v>
      </c>
      <c r="G241" s="22" t="s">
        <v>229</v>
      </c>
      <c r="H241" s="22" t="s">
        <v>229</v>
      </c>
      <c r="I241" s="22" t="s">
        <v>229</v>
      </c>
      <c r="J241" s="9" t="s">
        <v>229</v>
      </c>
      <c r="K241" s="9" t="s">
        <v>221</v>
      </c>
      <c r="L241" s="9" t="s">
        <v>229</v>
      </c>
    </row>
    <row r="242" spans="5:13">
      <c r="E242" s="22">
        <f t="shared" si="71"/>
        <v>242</v>
      </c>
      <c r="F242" s="9" t="s">
        <v>133</v>
      </c>
      <c r="G242" s="22" t="s">
        <v>244</v>
      </c>
      <c r="H242" s="22" t="s">
        <v>229</v>
      </c>
      <c r="I242" s="22" t="s">
        <v>229</v>
      </c>
      <c r="J242" s="9" t="s">
        <v>229</v>
      </c>
      <c r="K242" s="9" t="s">
        <v>229</v>
      </c>
      <c r="L242" s="9" t="s">
        <v>135</v>
      </c>
      <c r="M242" s="22">
        <f t="shared" ref="M242" si="73">G242/G232*C231</f>
        <v>360</v>
      </c>
    </row>
    <row r="243" spans="5:13">
      <c r="E243" s="22">
        <f t="shared" si="71"/>
        <v>243</v>
      </c>
      <c r="F243" s="9" t="s">
        <v>184</v>
      </c>
      <c r="G243" s="22" t="s">
        <v>229</v>
      </c>
      <c r="H243" s="22" t="s">
        <v>229</v>
      </c>
      <c r="I243" s="22" t="s">
        <v>229</v>
      </c>
      <c r="J243" s="9" t="s">
        <v>229</v>
      </c>
      <c r="K243" s="9" t="s">
        <v>229</v>
      </c>
      <c r="L243" s="9" t="s">
        <v>136</v>
      </c>
      <c r="M243" s="22" t="s">
        <v>246</v>
      </c>
    </row>
    <row r="244" spans="5:13">
      <c r="E244" s="22">
        <f t="shared" si="71"/>
        <v>244</v>
      </c>
      <c r="F244" s="9" t="s">
        <v>31</v>
      </c>
      <c r="J244" s="9" t="s">
        <v>229</v>
      </c>
      <c r="K244" s="9" t="s">
        <v>229</v>
      </c>
      <c r="L244" s="9" t="s">
        <v>136</v>
      </c>
      <c r="M244" s="22" t="s">
        <v>249</v>
      </c>
    </row>
    <row r="245" spans="5:13">
      <c r="E245" s="22">
        <f t="shared" si="71"/>
        <v>245</v>
      </c>
      <c r="F245" s="9" t="s">
        <v>115</v>
      </c>
      <c r="J245" s="9" t="s">
        <v>229</v>
      </c>
      <c r="K245" s="9" t="s">
        <v>229</v>
      </c>
      <c r="L245" s="9" t="s">
        <v>229</v>
      </c>
      <c r="M245" s="22" t="b">
        <v>1</v>
      </c>
    </row>
    <row r="246" spans="5:13">
      <c r="E246" s="22">
        <f t="shared" si="71"/>
        <v>246</v>
      </c>
      <c r="F246" s="9" t="s">
        <v>116</v>
      </c>
      <c r="M246" s="22">
        <v>0.3</v>
      </c>
    </row>
  </sheetData>
  <phoneticPr fontId="2" type="noConversion"/>
  <conditionalFormatting sqref="BE1:XFD1 E1:I1">
    <cfRule type="duplicateValues" dxfId="79" priority="1733"/>
  </conditionalFormatting>
  <conditionalFormatting sqref="F237:F245 F1:F10 F19:F22 F36:F37 F213:F233 F171:F179">
    <cfRule type="cellIs" dxfId="78" priority="1234" operator="equal">
      <formula>"ID"</formula>
    </cfRule>
    <cfRule type="cellIs" dxfId="77" priority="1649" operator="equal">
      <formula>"行動序號"</formula>
    </cfRule>
  </conditionalFormatting>
  <conditionalFormatting sqref="M1:M246">
    <cfRule type="expression" dxfId="76" priority="1653">
      <formula>OR($F1="行動序號",$F1="ID")</formula>
    </cfRule>
  </conditionalFormatting>
  <conditionalFormatting sqref="M1:M246">
    <cfRule type="expression" dxfId="75" priority="1120">
      <formula>$F1="行動ID"</formula>
    </cfRule>
  </conditionalFormatting>
  <conditionalFormatting sqref="J1">
    <cfRule type="duplicateValues" dxfId="74" priority="1232"/>
  </conditionalFormatting>
  <conditionalFormatting sqref="K1:L1">
    <cfRule type="duplicateValues" dxfId="73" priority="1229"/>
  </conditionalFormatting>
  <conditionalFormatting sqref="F16:F17 F41:F42 F58:F59 F75:F76 F44:F46 F61:F63 F78:F80 F50 F67 F84 F48 F65 F82">
    <cfRule type="cellIs" dxfId="72" priority="1099" operator="equal">
      <formula>"ID"</formula>
    </cfRule>
    <cfRule type="cellIs" dxfId="71" priority="1101" operator="equal">
      <formula>"行動序號"</formula>
    </cfRule>
  </conditionalFormatting>
  <conditionalFormatting sqref="F52:F53 F69:F70 F187:F212">
    <cfRule type="cellIs" dxfId="70" priority="1093" operator="equal">
      <formula>"ID"</formula>
    </cfRule>
    <cfRule type="cellIs" dxfId="69" priority="1094" operator="equal">
      <formula>"行動序號"</formula>
    </cfRule>
  </conditionalFormatting>
  <conditionalFormatting sqref="F18 F43 F60 F77">
    <cfRule type="cellIs" dxfId="68" priority="1083" operator="equal">
      <formula>"ID"</formula>
    </cfRule>
    <cfRule type="cellIs" dxfId="67" priority="1084" operator="equal">
      <formula>"行動序號"</formula>
    </cfRule>
  </conditionalFormatting>
  <conditionalFormatting sqref="F49 F66 F83">
    <cfRule type="cellIs" dxfId="66" priority="1081" operator="equal">
      <formula>"ID"</formula>
    </cfRule>
    <cfRule type="cellIs" dxfId="65" priority="1082" operator="equal">
      <formula>"行動序號"</formula>
    </cfRule>
  </conditionalFormatting>
  <conditionalFormatting sqref="F54 F71">
    <cfRule type="cellIs" dxfId="64" priority="1075" operator="equal">
      <formula>"ID"</formula>
    </cfRule>
    <cfRule type="cellIs" dxfId="63" priority="1076" operator="equal">
      <formula>"行動序號"</formula>
    </cfRule>
  </conditionalFormatting>
  <conditionalFormatting sqref="F55 F72 F23:F33 F36:F37">
    <cfRule type="cellIs" dxfId="62" priority="1071" operator="equal">
      <formula>"ID"</formula>
    </cfRule>
    <cfRule type="cellIs" dxfId="61" priority="1072" operator="equal">
      <formula>"行動序號"</formula>
    </cfRule>
  </conditionalFormatting>
  <conditionalFormatting sqref="F47 F64 F81">
    <cfRule type="cellIs" dxfId="60" priority="1068" operator="equal">
      <formula>"ID"</formula>
    </cfRule>
    <cfRule type="cellIs" dxfId="59" priority="1069" operator="equal">
      <formula>"行動序號"</formula>
    </cfRule>
  </conditionalFormatting>
  <conditionalFormatting sqref="J16 J168 M1:M246">
    <cfRule type="expression" dxfId="58" priority="844">
      <formula>_xlfn.ISFORMULA(J1)</formula>
    </cfRule>
  </conditionalFormatting>
  <conditionalFormatting sqref="F234:F236">
    <cfRule type="cellIs" dxfId="57" priority="668" operator="equal">
      <formula>"行動ID"</formula>
    </cfRule>
    <cfRule type="cellIs" dxfId="56" priority="669" operator="equal">
      <formula>"ID"</formula>
    </cfRule>
    <cfRule type="cellIs" dxfId="55" priority="671" operator="equal">
      <formula>"行動序號"</formula>
    </cfRule>
  </conditionalFormatting>
  <conditionalFormatting sqref="F234:F236">
    <cfRule type="cellIs" dxfId="54" priority="670" operator="equal">
      <formula>"行動序號"</formula>
    </cfRule>
  </conditionalFormatting>
  <conditionalFormatting sqref="J16">
    <cfRule type="expression" dxfId="53" priority="1740">
      <formula>OR(#REF!="行動序號",#REF!="ID")</formula>
    </cfRule>
  </conditionalFormatting>
  <conditionalFormatting sqref="J16">
    <cfRule type="expression" dxfId="52" priority="1742">
      <formula>#REF!="行動ID"</formula>
    </cfRule>
  </conditionalFormatting>
  <conditionalFormatting sqref="N1:BD1">
    <cfRule type="duplicateValues" dxfId="51" priority="1749"/>
  </conditionalFormatting>
  <conditionalFormatting sqref="F34">
    <cfRule type="cellIs" dxfId="50" priority="31" operator="equal">
      <formula>"ID"</formula>
    </cfRule>
    <cfRule type="cellIs" dxfId="49" priority="32" operator="equal">
      <formula>"行動序號"</formula>
    </cfRule>
  </conditionalFormatting>
  <conditionalFormatting sqref="F35">
    <cfRule type="cellIs" dxfId="48" priority="29" operator="equal">
      <formula>"ID"</formula>
    </cfRule>
    <cfRule type="cellIs" dxfId="47" priority="30" operator="equal">
      <formula>"行動序號"</formula>
    </cfRule>
  </conditionalFormatting>
  <conditionalFormatting sqref="F38">
    <cfRule type="cellIs" dxfId="46" priority="25" operator="equal">
      <formula>"ID"</formula>
    </cfRule>
    <cfRule type="cellIs" dxfId="45" priority="26" operator="equal">
      <formula>"行動序號"</formula>
    </cfRule>
  </conditionalFormatting>
  <conditionalFormatting sqref="F168:F169">
    <cfRule type="cellIs" dxfId="44" priority="9" operator="equal">
      <formula>"ID"</formula>
    </cfRule>
    <cfRule type="cellIs" dxfId="43" priority="10" operator="equal">
      <formula>"行動序號"</formula>
    </cfRule>
  </conditionalFormatting>
  <conditionalFormatting sqref="F170">
    <cfRule type="cellIs" dxfId="42" priority="7" operator="equal">
      <formula>"ID"</formula>
    </cfRule>
    <cfRule type="cellIs" dxfId="41" priority="8" operator="equal">
      <formula>"行動序號"</formula>
    </cfRule>
  </conditionalFormatting>
  <conditionalFormatting sqref="J168">
    <cfRule type="expression" dxfId="40" priority="13">
      <formula>OR(#REF!="行動序號",#REF!="ID")</formula>
    </cfRule>
  </conditionalFormatting>
  <conditionalFormatting sqref="J168">
    <cfRule type="expression" dxfId="39" priority="14">
      <formula>#REF!="行動ID"</formula>
    </cfRule>
  </conditionalFormatting>
  <dataValidations count="1">
    <dataValidation type="list" allowBlank="1" showInputMessage="1" showErrorMessage="1" sqref="K8 L14 L5:L6 L22 L160 K1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1E2CB-1972-4B13-A7E6-481AAAFAAF77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8ECB67B1-E393-47A2-A7BA-A1F81B3BBB7F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CCA78-ABD8-47AB-BA6F-28E0AA1828DC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146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147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148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149</v>
      </c>
      <c r="C17" s="7" t="s">
        <v>231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150</v>
      </c>
      <c r="E20" t="str">
        <f t="shared" si="0"/>
        <v>啟動依ID,</v>
      </c>
      <c r="H20"/>
    </row>
    <row r="21" spans="1:8">
      <c r="A21" s="7" t="s">
        <v>27</v>
      </c>
      <c r="B21" s="7" t="s">
        <v>151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278</v>
      </c>
      <c r="C50" s="7" t="s">
        <v>279</v>
      </c>
      <c r="E50" t="str">
        <f t="shared" si="0"/>
        <v>記錄位置,</v>
      </c>
      <c r="H50"/>
    </row>
    <row r="51" spans="1:8">
      <c r="A51" s="7" t="s">
        <v>27</v>
      </c>
      <c r="B51" s="7" t="s">
        <v>280</v>
      </c>
      <c r="C51" s="7" t="s">
        <v>281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232</v>
      </c>
      <c r="C61" s="7" t="s">
        <v>233</v>
      </c>
      <c r="E61" t="str">
        <f t="shared" si="0"/>
        <v>子旋轉角度,</v>
      </c>
      <c r="H61"/>
    </row>
    <row r="62" spans="1:8">
      <c r="A62" s="7" t="s">
        <v>27</v>
      </c>
      <c r="B62" s="25" t="s">
        <v>234</v>
      </c>
      <c r="C62" s="7" t="s">
        <v>235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282</v>
      </c>
      <c r="C63" s="7" t="s">
        <v>283</v>
      </c>
      <c r="E63" t="str">
        <f t="shared" si="0"/>
        <v>記錄角度,</v>
      </c>
      <c r="H63"/>
    </row>
    <row r="64" spans="1:8">
      <c r="A64" s="7" t="s">
        <v>27</v>
      </c>
      <c r="B64" s="7" t="s">
        <v>285</v>
      </c>
      <c r="C64" s="7" t="s">
        <v>284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1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220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223</v>
      </c>
      <c r="C114" s="7" t="s">
        <v>22</v>
      </c>
      <c r="D114" s="7"/>
      <c r="L114" s="7"/>
    </row>
    <row r="115" spans="1:12">
      <c r="A115" s="7" t="s">
        <v>141</v>
      </c>
      <c r="B115" s="7" t="s">
        <v>224</v>
      </c>
      <c r="C115" s="7" t="s">
        <v>23</v>
      </c>
      <c r="H115"/>
    </row>
    <row r="116" spans="1:12">
      <c r="A116" s="7" t="s">
        <v>141</v>
      </c>
      <c r="B116" s="7" t="s">
        <v>286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6D902-CE23-45F0-947C-FEE886E770B0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225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226</v>
      </c>
      <c r="D4" s="20"/>
      <c r="G4" s="9"/>
      <c r="H4" s="18"/>
    </row>
    <row r="5" spans="1:10" ht="17.25" customHeight="1">
      <c r="A5" s="20" t="s">
        <v>100</v>
      </c>
      <c r="B5" s="20" t="s">
        <v>220</v>
      </c>
      <c r="C5" s="20" t="s">
        <v>223</v>
      </c>
      <c r="D5" s="20"/>
      <c r="G5" s="9"/>
    </row>
    <row r="6" spans="1:10">
      <c r="A6" s="20" t="s">
        <v>103</v>
      </c>
      <c r="B6" s="20" t="s">
        <v>221</v>
      </c>
      <c r="C6" s="20" t="s">
        <v>224</v>
      </c>
      <c r="D6" s="20"/>
      <c r="G6" s="9"/>
    </row>
    <row r="7" spans="1:10">
      <c r="A7" s="20" t="s">
        <v>48</v>
      </c>
      <c r="B7" s="20" t="s">
        <v>222</v>
      </c>
      <c r="C7" s="24" t="s">
        <v>286</v>
      </c>
      <c r="D7" s="20"/>
      <c r="G7" s="9"/>
    </row>
    <row r="8" spans="1:10">
      <c r="A8" s="20" t="s">
        <v>147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230</v>
      </c>
      <c r="B10" s="20"/>
      <c r="C10" s="20"/>
      <c r="D10" s="20"/>
      <c r="G10" s="9"/>
    </row>
    <row r="11" spans="1:10">
      <c r="A11" s="20" t="s">
        <v>148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149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143</v>
      </c>
      <c r="C20"/>
      <c r="G20" s="9"/>
    </row>
    <row r="21" spans="1:7">
      <c r="A21" s="20" t="s">
        <v>151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157</v>
      </c>
      <c r="C26"/>
      <c r="G26" s="9"/>
    </row>
    <row r="27" spans="1:7">
      <c r="A27" s="20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167</v>
      </c>
      <c r="C36"/>
    </row>
    <row r="37" spans="1:7">
      <c r="A37" s="20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177</v>
      </c>
      <c r="C49"/>
      <c r="G49" s="9"/>
    </row>
    <row r="50" spans="1:8">
      <c r="A50" s="25" t="s">
        <v>282</v>
      </c>
      <c r="C50"/>
      <c r="G50" s="9"/>
    </row>
    <row r="51" spans="1:8">
      <c r="A51" s="25" t="s">
        <v>287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236</v>
      </c>
      <c r="C57"/>
      <c r="G57" s="9"/>
    </row>
    <row r="58" spans="1:8">
      <c r="A58" s="20" t="s">
        <v>133</v>
      </c>
      <c r="G58" s="9"/>
    </row>
    <row r="59" spans="1:8">
      <c r="A59" s="20" t="s">
        <v>184</v>
      </c>
      <c r="G59" s="9"/>
    </row>
    <row r="60" spans="1:8">
      <c r="A60" s="20" t="s">
        <v>115</v>
      </c>
      <c r="G60" s="9"/>
    </row>
    <row r="61" spans="1:8">
      <c r="A61" s="25" t="s">
        <v>232</v>
      </c>
      <c r="G61" s="9"/>
    </row>
    <row r="62" spans="1:8">
      <c r="A62" s="25" t="s">
        <v>234</v>
      </c>
      <c r="G62" s="9"/>
    </row>
    <row r="63" spans="1:8">
      <c r="A63" s="25" t="s">
        <v>282</v>
      </c>
      <c r="G63" s="9"/>
    </row>
    <row r="64" spans="1:8">
      <c r="A64" s="25" t="s">
        <v>285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191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196</v>
      </c>
      <c r="G77" s="9"/>
    </row>
    <row r="78" spans="1:7">
      <c r="A78" s="20" t="s">
        <v>198</v>
      </c>
      <c r="G78" s="9"/>
    </row>
    <row r="79" spans="1:7">
      <c r="A79" s="20" t="s">
        <v>200</v>
      </c>
    </row>
    <row r="80" spans="1:7">
      <c r="A80" s="20" t="s">
        <v>202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210</v>
      </c>
    </row>
    <row r="92" spans="1:1">
      <c r="A92" s="20" t="s">
        <v>212</v>
      </c>
    </row>
    <row r="93" spans="1:1">
      <c r="A93" s="20" t="s">
        <v>214</v>
      </c>
    </row>
    <row r="94" spans="1:1">
      <c r="A94" s="20" t="s">
        <v>216</v>
      </c>
    </row>
    <row r="95" spans="1:1">
      <c r="A95" s="20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76F60A8C-64D6-4872-9926-524346B60ACE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E7C29-5E0A-4534-B913-048DC792287E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62349-EC64-42AD-9863-8FD59001AF7B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76EAC-F83E-4172-9AB8-F7B6A698087D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stage7_card4shot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2025-04-16T06:38:16Z</dcterms:modified>
</cp:coreProperties>
</file>