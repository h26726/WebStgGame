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cook-win\STG project\Assets\Setting\Stage7_Normal\"/>
    </mc:Choice>
  </mc:AlternateContent>
  <xr:revisionPtr revIDLastSave="0" documentId="13_ncr:1_{BB0B707E-8D2B-4000-9567-F7DB5CE96880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stage7_4" sheetId="1" r:id="rId1"/>
    <sheet name="#ALIAS" sheetId="66" r:id="rId2"/>
    <sheet name="#DEFINE" sheetId="67" r:id="rId3"/>
    <sheet name="#OPTION" sheetId="68" r:id="rId4"/>
    <sheet name="#PARAM" sheetId="69" r:id="rId5"/>
    <sheet name="#OUTPUT" sheetId="70" r:id="rId6"/>
    <sheet name="#使用說明" sheetId="71" r:id="rId7"/>
  </sheets>
  <functionGroups builtInGroupCount="19"/>
  <externalReferences>
    <externalReference r:id="rId8"/>
  </externalReferences>
  <definedNames>
    <definedName name="_xlnm._FilterDatabase" localSheetId="0" hidden="1">stage7_4!#REF!</definedName>
    <definedName name="_OPTION_" localSheetId="1">#REF!</definedName>
    <definedName name="_OPTION_" localSheetId="2">#REF!</definedName>
    <definedName name="_OPTION_" localSheetId="3">'#OPTION'!$A$2:$A$98</definedName>
    <definedName name="_OPTION_" localSheetId="5">#REF!</definedName>
    <definedName name="_OPTION_" localSheetId="4">#REF!</definedName>
    <definedName name="_OPTION_" localSheetId="6">#REF!</definedName>
    <definedName name="_OPTION_">#REF!</definedName>
    <definedName name="一般物品">#REF!</definedName>
    <definedName name="無償商城幣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5" i="67" l="1"/>
  <c r="E94" i="67"/>
  <c r="E93" i="67"/>
  <c r="E92" i="67"/>
  <c r="E91" i="67"/>
  <c r="E88" i="67"/>
  <c r="E87" i="67"/>
  <c r="E86" i="67"/>
  <c r="E85" i="67"/>
  <c r="E84" i="67"/>
  <c r="E83" i="67"/>
  <c r="E80" i="67"/>
  <c r="E79" i="67"/>
  <c r="E78" i="67"/>
  <c r="E77" i="67"/>
  <c r="E76" i="67"/>
  <c r="E75" i="67"/>
  <c r="E74" i="67"/>
  <c r="E73" i="67"/>
  <c r="E70" i="67"/>
  <c r="E69" i="67"/>
  <c r="E68" i="67"/>
  <c r="E67" i="67"/>
  <c r="E64" i="67"/>
  <c r="E63" i="67"/>
  <c r="E62" i="67"/>
  <c r="E61" i="67"/>
  <c r="E60" i="67"/>
  <c r="E59" i="67"/>
  <c r="E58" i="67"/>
  <c r="E57" i="67"/>
  <c r="E56" i="67"/>
  <c r="E55" i="67"/>
  <c r="E54" i="67"/>
  <c r="E51" i="67"/>
  <c r="E50" i="67"/>
  <c r="E49" i="67"/>
  <c r="E48" i="67"/>
  <c r="E47" i="67"/>
  <c r="E46" i="67"/>
  <c r="E43" i="67"/>
  <c r="E42" i="67"/>
  <c r="E41" i="67"/>
  <c r="E40" i="67"/>
  <c r="E37" i="67"/>
  <c r="E36" i="67"/>
  <c r="E35" i="67"/>
  <c r="E34" i="67"/>
  <c r="E33" i="67"/>
  <c r="E32" i="67"/>
  <c r="E31" i="67"/>
  <c r="E30" i="67"/>
  <c r="E27" i="67"/>
  <c r="E26" i="67"/>
  <c r="E25" i="67"/>
  <c r="E24" i="67"/>
  <c r="E23" i="67"/>
  <c r="E22" i="67"/>
  <c r="E21" i="67"/>
  <c r="E20" i="67"/>
  <c r="E17" i="67"/>
  <c r="E16" i="67"/>
  <c r="E15" i="67"/>
  <c r="E14" i="67"/>
  <c r="E13" i="67"/>
  <c r="E12" i="67"/>
  <c r="E11" i="67"/>
  <c r="E10" i="67"/>
  <c r="E9" i="67"/>
  <c r="E8" i="67"/>
  <c r="E7" i="67"/>
  <c r="E6" i="67"/>
  <c r="E5" i="67"/>
  <c r="E4" i="67"/>
  <c r="E3" i="67"/>
  <c r="E491" i="1" l="1"/>
  <c r="E490" i="1"/>
  <c r="E489" i="1"/>
  <c r="E488" i="1"/>
  <c r="E487" i="1"/>
  <c r="E486" i="1"/>
  <c r="E485" i="1"/>
  <c r="E484" i="1"/>
  <c r="E483" i="1"/>
  <c r="E482" i="1"/>
  <c r="E481" i="1"/>
  <c r="E480" i="1"/>
  <c r="E479" i="1"/>
  <c r="E477" i="1"/>
  <c r="E476" i="1"/>
  <c r="E475" i="1"/>
  <c r="E474" i="1"/>
  <c r="E473" i="1"/>
  <c r="E472" i="1"/>
  <c r="E471" i="1"/>
  <c r="E469" i="1"/>
  <c r="E468" i="1"/>
  <c r="E467" i="1"/>
  <c r="E466" i="1"/>
  <c r="E465" i="1"/>
  <c r="E464" i="1"/>
  <c r="E463" i="1"/>
  <c r="E462" i="1"/>
  <c r="E461" i="1"/>
  <c r="E460" i="1"/>
  <c r="E459" i="1"/>
  <c r="E458" i="1"/>
  <c r="E457" i="1"/>
  <c r="E455" i="1"/>
  <c r="E454" i="1"/>
  <c r="E453" i="1"/>
  <c r="E452" i="1"/>
  <c r="E451" i="1"/>
  <c r="E450" i="1"/>
  <c r="E449" i="1"/>
  <c r="E447" i="1"/>
  <c r="E446" i="1"/>
  <c r="E445" i="1"/>
  <c r="E444" i="1"/>
  <c r="E443" i="1"/>
  <c r="E442" i="1"/>
  <c r="E441" i="1"/>
  <c r="E440" i="1"/>
  <c r="E439" i="1"/>
  <c r="E438" i="1"/>
  <c r="E437" i="1"/>
  <c r="E436" i="1"/>
  <c r="E435" i="1"/>
  <c r="E433" i="1"/>
  <c r="E432" i="1"/>
  <c r="E431" i="1"/>
  <c r="E430" i="1"/>
  <c r="E429" i="1"/>
  <c r="E428" i="1"/>
  <c r="E427" i="1"/>
  <c r="E425" i="1"/>
  <c r="E424" i="1"/>
  <c r="E423" i="1"/>
  <c r="E422" i="1"/>
  <c r="E421" i="1"/>
  <c r="E420" i="1"/>
  <c r="E419" i="1"/>
  <c r="E418" i="1"/>
  <c r="E417" i="1"/>
  <c r="E416" i="1"/>
  <c r="E415" i="1"/>
  <c r="E414" i="1"/>
  <c r="E413" i="1"/>
  <c r="E411" i="1"/>
  <c r="E410" i="1"/>
  <c r="E409" i="1"/>
  <c r="E408" i="1"/>
  <c r="E407" i="1"/>
  <c r="E406" i="1"/>
  <c r="E405" i="1"/>
  <c r="E403" i="1"/>
  <c r="E402" i="1"/>
  <c r="E401" i="1"/>
  <c r="E400" i="1"/>
  <c r="E399" i="1"/>
  <c r="E398" i="1"/>
  <c r="E397" i="1"/>
  <c r="E396" i="1"/>
  <c r="E395" i="1"/>
  <c r="E394" i="1"/>
  <c r="E393" i="1"/>
  <c r="E392" i="1"/>
  <c r="E391" i="1"/>
  <c r="E389" i="1"/>
  <c r="E388" i="1"/>
  <c r="E387" i="1"/>
  <c r="E386" i="1"/>
  <c r="E385" i="1"/>
  <c r="E384" i="1"/>
  <c r="E383" i="1"/>
  <c r="E381" i="1"/>
  <c r="E380" i="1"/>
  <c r="E379" i="1"/>
  <c r="E378" i="1"/>
  <c r="E377" i="1"/>
  <c r="E376" i="1"/>
  <c r="E375" i="1"/>
  <c r="E374" i="1"/>
  <c r="E373" i="1"/>
  <c r="E372" i="1"/>
  <c r="E371" i="1"/>
  <c r="E370" i="1"/>
  <c r="E369" i="1"/>
  <c r="E367" i="1"/>
  <c r="E366" i="1"/>
  <c r="E365" i="1"/>
  <c r="E364" i="1"/>
  <c r="E363" i="1"/>
  <c r="E362" i="1"/>
  <c r="E361" i="1"/>
  <c r="E359" i="1"/>
  <c r="E358" i="1"/>
  <c r="E357" i="1"/>
  <c r="E356" i="1"/>
  <c r="E355" i="1"/>
  <c r="E354" i="1"/>
  <c r="E353" i="1"/>
  <c r="E352" i="1"/>
  <c r="E351" i="1"/>
  <c r="E350" i="1"/>
  <c r="E349" i="1"/>
  <c r="E348" i="1"/>
  <c r="E347" i="1"/>
  <c r="E345" i="1"/>
  <c r="E344" i="1"/>
  <c r="E343" i="1"/>
  <c r="E342" i="1"/>
  <c r="E341" i="1"/>
  <c r="E340" i="1"/>
  <c r="E339" i="1"/>
  <c r="E337" i="1"/>
  <c r="E336" i="1"/>
  <c r="E335" i="1"/>
  <c r="E334" i="1"/>
  <c r="E333" i="1"/>
  <c r="E332" i="1"/>
  <c r="E331" i="1"/>
  <c r="E330" i="1"/>
  <c r="E329" i="1"/>
  <c r="E328" i="1"/>
  <c r="E327" i="1"/>
  <c r="E326" i="1"/>
  <c r="E325" i="1"/>
  <c r="E323" i="1"/>
  <c r="E322" i="1"/>
  <c r="E321" i="1"/>
  <c r="E320" i="1"/>
  <c r="E319" i="1"/>
  <c r="E318" i="1"/>
  <c r="E317" i="1"/>
  <c r="E315" i="1"/>
  <c r="E314" i="1"/>
  <c r="E313" i="1"/>
  <c r="E312" i="1"/>
  <c r="E311" i="1"/>
  <c r="E310" i="1"/>
  <c r="E309" i="1"/>
  <c r="E308" i="1"/>
  <c r="E307" i="1"/>
  <c r="E306" i="1"/>
  <c r="E305" i="1"/>
  <c r="E304" i="1"/>
  <c r="E303" i="1"/>
  <c r="E301" i="1"/>
  <c r="E300" i="1"/>
  <c r="E299" i="1"/>
  <c r="E298" i="1"/>
  <c r="E297" i="1"/>
  <c r="E296" i="1"/>
  <c r="E295" i="1"/>
  <c r="E293" i="1"/>
  <c r="E292" i="1"/>
  <c r="E291" i="1"/>
  <c r="E290" i="1"/>
  <c r="E289" i="1"/>
  <c r="E288" i="1"/>
  <c r="E287" i="1"/>
  <c r="E286" i="1"/>
  <c r="E285" i="1"/>
  <c r="E284" i="1"/>
  <c r="E283" i="1"/>
  <c r="E282" i="1"/>
  <c r="E281" i="1"/>
  <c r="E279" i="1"/>
  <c r="E278" i="1"/>
  <c r="E277" i="1"/>
  <c r="E276" i="1"/>
  <c r="E275" i="1"/>
  <c r="E274" i="1"/>
  <c r="E273" i="1"/>
  <c r="E271" i="1"/>
  <c r="E270" i="1"/>
  <c r="E269" i="1"/>
  <c r="E268" i="1"/>
  <c r="E267" i="1"/>
  <c r="E266" i="1"/>
  <c r="E265" i="1"/>
  <c r="E264" i="1"/>
  <c r="E263" i="1"/>
  <c r="E262" i="1"/>
  <c r="E261" i="1"/>
  <c r="E260" i="1"/>
  <c r="E259" i="1"/>
  <c r="E257" i="1"/>
  <c r="E256" i="1"/>
  <c r="E255" i="1"/>
  <c r="E254" i="1"/>
  <c r="E253" i="1"/>
  <c r="E252" i="1"/>
  <c r="E251" i="1"/>
  <c r="E249" i="1"/>
  <c r="E248" i="1"/>
  <c r="E247" i="1"/>
  <c r="E246" i="1"/>
  <c r="E245" i="1"/>
  <c r="E244" i="1"/>
  <c r="E243" i="1"/>
  <c r="E242" i="1"/>
  <c r="E241" i="1"/>
  <c r="E240" i="1"/>
  <c r="E239" i="1"/>
  <c r="E238" i="1"/>
  <c r="E237" i="1"/>
  <c r="E235" i="1"/>
  <c r="E234" i="1"/>
  <c r="E233" i="1"/>
  <c r="E232" i="1"/>
  <c r="E231" i="1"/>
  <c r="E230" i="1"/>
  <c r="E229" i="1"/>
  <c r="E227" i="1"/>
  <c r="E226" i="1"/>
  <c r="E225" i="1"/>
  <c r="E224" i="1"/>
  <c r="E223" i="1"/>
  <c r="E222" i="1"/>
  <c r="E221" i="1"/>
  <c r="E220" i="1"/>
  <c r="E219" i="1"/>
  <c r="E218" i="1"/>
  <c r="E217" i="1"/>
  <c r="E216" i="1"/>
  <c r="E215" i="1"/>
  <c r="E213" i="1"/>
  <c r="E212" i="1"/>
  <c r="E211" i="1"/>
  <c r="E210" i="1"/>
  <c r="E209" i="1"/>
  <c r="E208" i="1"/>
  <c r="E207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1" i="1"/>
  <c r="E190" i="1"/>
  <c r="E189" i="1"/>
  <c r="E188" i="1"/>
  <c r="E187" i="1"/>
  <c r="E186" i="1"/>
  <c r="E185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69" i="1"/>
  <c r="E168" i="1"/>
  <c r="E167" i="1"/>
  <c r="E166" i="1"/>
  <c r="E165" i="1"/>
  <c r="E164" i="1"/>
  <c r="E163" i="1"/>
  <c r="E161" i="1"/>
  <c r="E160" i="1"/>
  <c r="E159" i="1"/>
  <c r="E158" i="1"/>
  <c r="E157" i="1"/>
  <c r="E156" i="1"/>
  <c r="E155" i="1"/>
  <c r="E154" i="1"/>
  <c r="E153" i="1"/>
  <c r="E152" i="1"/>
  <c r="E151" i="1"/>
  <c r="E150" i="1"/>
  <c r="E149" i="1"/>
  <c r="E147" i="1"/>
  <c r="E146" i="1"/>
  <c r="E145" i="1"/>
  <c r="E144" i="1"/>
  <c r="E143" i="1"/>
  <c r="E142" i="1"/>
  <c r="E141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5" i="1"/>
  <c r="E124" i="1"/>
  <c r="E123" i="1"/>
  <c r="E122" i="1"/>
  <c r="E121" i="1"/>
  <c r="E120" i="1"/>
  <c r="E119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3" i="1"/>
  <c r="E102" i="1"/>
  <c r="E101" i="1"/>
  <c r="E100" i="1"/>
  <c r="E99" i="1"/>
  <c r="E98" i="1"/>
  <c r="E97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1" i="1"/>
  <c r="E80" i="1"/>
  <c r="E79" i="1"/>
  <c r="E78" i="1"/>
  <c r="E77" i="1"/>
  <c r="E76" i="1"/>
  <c r="E75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59" i="1"/>
  <c r="E58" i="1"/>
  <c r="E57" i="1"/>
  <c r="E56" i="1"/>
  <c r="E55" i="1"/>
  <c r="E54" i="1"/>
  <c r="E53" i="1"/>
  <c r="E51" i="1"/>
  <c r="E50" i="1"/>
  <c r="E49" i="1"/>
  <c r="E48" i="1"/>
  <c r="E47" i="1"/>
  <c r="E46" i="1"/>
  <c r="E45" i="1"/>
  <c r="G44" i="1"/>
  <c r="M44" i="1" s="1"/>
  <c r="E44" i="1"/>
  <c r="E43" i="1"/>
  <c r="E42" i="1"/>
  <c r="E41" i="1"/>
  <c r="E40" i="1"/>
  <c r="E39" i="1"/>
  <c r="E37" i="1"/>
  <c r="E36" i="1"/>
  <c r="E35" i="1"/>
  <c r="E34" i="1"/>
  <c r="E33" i="1"/>
  <c r="E32" i="1"/>
  <c r="E31" i="1"/>
  <c r="D30" i="1"/>
  <c r="M31" i="1" l="1"/>
  <c r="D52" i="1"/>
  <c r="B30" i="1"/>
  <c r="D8" i="1"/>
  <c r="M9" i="1" s="1"/>
  <c r="M19" i="1" s="1"/>
  <c r="M26" i="1" s="1"/>
  <c r="A7" i="1"/>
  <c r="M53" i="1" l="1"/>
  <c r="G66" i="1"/>
  <c r="M66" i="1" s="1"/>
  <c r="B52" i="1"/>
  <c r="C52" i="1" s="1"/>
  <c r="M42" i="1"/>
  <c r="M41" i="1"/>
  <c r="M48" i="1" s="1"/>
  <c r="M47" i="1"/>
  <c r="G40" i="1"/>
  <c r="M40" i="1" s="1"/>
  <c r="G36" i="1"/>
  <c r="M36" i="1" s="1"/>
  <c r="M46" i="1" s="1"/>
  <c r="M51" i="1" s="1"/>
  <c r="C30" i="1"/>
  <c r="G37" i="1"/>
  <c r="M37" i="1" s="1"/>
  <c r="D96" i="1"/>
  <c r="D118" i="1" s="1"/>
  <c r="D74" i="1"/>
  <c r="M20" i="1"/>
  <c r="G22" i="1"/>
  <c r="M22" i="1" s="1"/>
  <c r="M25" i="1"/>
  <c r="B8" i="1"/>
  <c r="G132" i="1" l="1"/>
  <c r="M132" i="1" s="1"/>
  <c r="M119" i="1"/>
  <c r="B118" i="1"/>
  <c r="D140" i="1"/>
  <c r="D162" i="1"/>
  <c r="B74" i="1"/>
  <c r="G88" i="1"/>
  <c r="M88" i="1" s="1"/>
  <c r="C74" i="1"/>
  <c r="M75" i="1"/>
  <c r="G59" i="1"/>
  <c r="M59" i="1" s="1"/>
  <c r="G58" i="1"/>
  <c r="M58" i="1" s="1"/>
  <c r="M68" i="1" s="1"/>
  <c r="M73" i="1" s="1"/>
  <c r="G62" i="1"/>
  <c r="M62" i="1" s="1"/>
  <c r="M97" i="1"/>
  <c r="B96" i="1"/>
  <c r="G110" i="1"/>
  <c r="M110" i="1" s="1"/>
  <c r="C96" i="1"/>
  <c r="M69" i="1"/>
  <c r="M64" i="1"/>
  <c r="M63" i="1"/>
  <c r="M70" i="1" s="1"/>
  <c r="G18" i="1"/>
  <c r="M18" i="1" s="1"/>
  <c r="G15" i="1"/>
  <c r="M15" i="1" s="1"/>
  <c r="C8" i="1"/>
  <c r="G14" i="1"/>
  <c r="M14" i="1" s="1"/>
  <c r="M24" i="1" s="1"/>
  <c r="M29" i="1" s="1"/>
  <c r="G124" i="1" l="1"/>
  <c r="M124" i="1" s="1"/>
  <c r="M134" i="1" s="1"/>
  <c r="M139" i="1" s="1"/>
  <c r="G125" i="1"/>
  <c r="M125" i="1" s="1"/>
  <c r="G128" i="1"/>
  <c r="M128" i="1" s="1"/>
  <c r="G106" i="1"/>
  <c r="M106" i="1" s="1"/>
  <c r="G102" i="1"/>
  <c r="M102" i="1" s="1"/>
  <c r="M112" i="1" s="1"/>
  <c r="M117" i="1" s="1"/>
  <c r="G103" i="1"/>
  <c r="M103" i="1" s="1"/>
  <c r="D184" i="1"/>
  <c r="G81" i="1"/>
  <c r="M81" i="1" s="1"/>
  <c r="G84" i="1"/>
  <c r="M84" i="1" s="1"/>
  <c r="G80" i="1"/>
  <c r="M80" i="1" s="1"/>
  <c r="M90" i="1" s="1"/>
  <c r="M95" i="1" s="1"/>
  <c r="M163" i="1"/>
  <c r="B162" i="1"/>
  <c r="C162" i="1"/>
  <c r="G176" i="1"/>
  <c r="M176" i="1" s="1"/>
  <c r="M85" i="1"/>
  <c r="M92" i="1" s="1"/>
  <c r="M91" i="1"/>
  <c r="M86" i="1"/>
  <c r="M129" i="1"/>
  <c r="M136" i="1" s="1"/>
  <c r="M130" i="1"/>
  <c r="M135" i="1"/>
  <c r="C118" i="1"/>
  <c r="M108" i="1"/>
  <c r="M113" i="1"/>
  <c r="M107" i="1"/>
  <c r="M114" i="1" s="1"/>
  <c r="G154" i="1"/>
  <c r="M154" i="1" s="1"/>
  <c r="B140" i="1"/>
  <c r="M141" i="1"/>
  <c r="D206" i="1"/>
  <c r="E27" i="1"/>
  <c r="E21" i="1"/>
  <c r="E28" i="1"/>
  <c r="E29" i="1"/>
  <c r="E26" i="1"/>
  <c r="E25" i="1"/>
  <c r="E19" i="1"/>
  <c r="E20" i="1"/>
  <c r="E22" i="1"/>
  <c r="E23" i="1"/>
  <c r="E24" i="1"/>
  <c r="M174" i="1" l="1"/>
  <c r="M179" i="1"/>
  <c r="M173" i="1"/>
  <c r="M180" i="1" s="1"/>
  <c r="G147" i="1"/>
  <c r="M147" i="1" s="1"/>
  <c r="G150" i="1"/>
  <c r="M150" i="1" s="1"/>
  <c r="G146" i="1"/>
  <c r="M146" i="1" s="1"/>
  <c r="M156" i="1" s="1"/>
  <c r="M161" i="1" s="1"/>
  <c r="G220" i="1"/>
  <c r="M220" i="1" s="1"/>
  <c r="B206" i="1"/>
  <c r="M207" i="1"/>
  <c r="M157" i="1"/>
  <c r="M151" i="1"/>
  <c r="M158" i="1" s="1"/>
  <c r="M152" i="1"/>
  <c r="G172" i="1"/>
  <c r="M172" i="1" s="1"/>
  <c r="G168" i="1"/>
  <c r="M168" i="1" s="1"/>
  <c r="M178" i="1" s="1"/>
  <c r="M183" i="1" s="1"/>
  <c r="G169" i="1"/>
  <c r="M169" i="1" s="1"/>
  <c r="C140" i="1"/>
  <c r="G198" i="1"/>
  <c r="M198" i="1" s="1"/>
  <c r="M185" i="1"/>
  <c r="B184" i="1"/>
  <c r="D228" i="1"/>
  <c r="E10" i="1"/>
  <c r="E11" i="1"/>
  <c r="E12" i="1"/>
  <c r="E13" i="1"/>
  <c r="E14" i="1"/>
  <c r="E15" i="1"/>
  <c r="E17" i="1"/>
  <c r="E18" i="1"/>
  <c r="E9" i="1"/>
  <c r="M229" i="1" l="1"/>
  <c r="B228" i="1"/>
  <c r="G242" i="1"/>
  <c r="M242" i="1" s="1"/>
  <c r="C228" i="1"/>
  <c r="G213" i="1"/>
  <c r="M213" i="1" s="1"/>
  <c r="G216" i="1"/>
  <c r="M216" i="1" s="1"/>
  <c r="G212" i="1"/>
  <c r="M212" i="1" s="1"/>
  <c r="M222" i="1" s="1"/>
  <c r="M227" i="1" s="1"/>
  <c r="M195" i="1"/>
  <c r="M202" i="1" s="1"/>
  <c r="M201" i="1"/>
  <c r="M196" i="1"/>
  <c r="D250" i="1"/>
  <c r="M223" i="1"/>
  <c r="M217" i="1"/>
  <c r="M224" i="1" s="1"/>
  <c r="M218" i="1"/>
  <c r="G191" i="1"/>
  <c r="M191" i="1" s="1"/>
  <c r="G190" i="1"/>
  <c r="M190" i="1" s="1"/>
  <c r="M200" i="1" s="1"/>
  <c r="M205" i="1" s="1"/>
  <c r="G194" i="1"/>
  <c r="M194" i="1" s="1"/>
  <c r="C206" i="1"/>
  <c r="C184" i="1"/>
  <c r="G238" i="1" l="1"/>
  <c r="M238" i="1" s="1"/>
  <c r="G234" i="1"/>
  <c r="M234" i="1" s="1"/>
  <c r="M244" i="1" s="1"/>
  <c r="M249" i="1" s="1"/>
  <c r="G235" i="1"/>
  <c r="M235" i="1" s="1"/>
  <c r="G264" i="1"/>
  <c r="M264" i="1" s="1"/>
  <c r="C250" i="1"/>
  <c r="M251" i="1"/>
  <c r="B250" i="1"/>
  <c r="D272" i="1"/>
  <c r="M240" i="1"/>
  <c r="M245" i="1"/>
  <c r="M239" i="1"/>
  <c r="M246" i="1" s="1"/>
  <c r="G286" i="1" l="1"/>
  <c r="M286" i="1" s="1"/>
  <c r="B272" i="1"/>
  <c r="M273" i="1"/>
  <c r="D294" i="1"/>
  <c r="G257" i="1"/>
  <c r="M257" i="1" s="1"/>
  <c r="G256" i="1"/>
  <c r="M256" i="1" s="1"/>
  <c r="M266" i="1" s="1"/>
  <c r="M271" i="1" s="1"/>
  <c r="G260" i="1"/>
  <c r="M260" i="1" s="1"/>
  <c r="M261" i="1"/>
  <c r="M268" i="1" s="1"/>
  <c r="M267" i="1"/>
  <c r="M262" i="1"/>
  <c r="M295" i="1" l="1"/>
  <c r="B294" i="1"/>
  <c r="G308" i="1"/>
  <c r="M308" i="1" s="1"/>
  <c r="C294" i="1"/>
  <c r="D316" i="1"/>
  <c r="M289" i="1"/>
  <c r="M283" i="1"/>
  <c r="M290" i="1" s="1"/>
  <c r="M284" i="1"/>
  <c r="G279" i="1"/>
  <c r="M279" i="1" s="1"/>
  <c r="G282" i="1"/>
  <c r="M282" i="1" s="1"/>
  <c r="G278" i="1"/>
  <c r="M278" i="1" s="1"/>
  <c r="M288" i="1" s="1"/>
  <c r="M293" i="1" s="1"/>
  <c r="C272" i="1"/>
  <c r="G304" i="1" l="1"/>
  <c r="M304" i="1" s="1"/>
  <c r="G300" i="1"/>
  <c r="M300" i="1" s="1"/>
  <c r="M310" i="1" s="1"/>
  <c r="M315" i="1" s="1"/>
  <c r="G301" i="1"/>
  <c r="M301" i="1" s="1"/>
  <c r="B316" i="1"/>
  <c r="G330" i="1"/>
  <c r="M330" i="1" s="1"/>
  <c r="M317" i="1"/>
  <c r="D338" i="1"/>
  <c r="M306" i="1"/>
  <c r="M305" i="1"/>
  <c r="M312" i="1" s="1"/>
  <c r="M311" i="1"/>
  <c r="G323" i="1" l="1"/>
  <c r="M323" i="1" s="1"/>
  <c r="G322" i="1"/>
  <c r="M322" i="1" s="1"/>
  <c r="M332" i="1" s="1"/>
  <c r="M337" i="1" s="1"/>
  <c r="G326" i="1"/>
  <c r="M326" i="1" s="1"/>
  <c r="G352" i="1"/>
  <c r="M352" i="1" s="1"/>
  <c r="C338" i="1"/>
  <c r="M339" i="1"/>
  <c r="B338" i="1"/>
  <c r="D360" i="1"/>
  <c r="M327" i="1"/>
  <c r="M334" i="1" s="1"/>
  <c r="M333" i="1"/>
  <c r="M328" i="1"/>
  <c r="C316" i="1"/>
  <c r="M361" i="1" l="1"/>
  <c r="B360" i="1"/>
  <c r="C360" i="1"/>
  <c r="G374" i="1"/>
  <c r="M374" i="1" s="1"/>
  <c r="D382" i="1"/>
  <c r="M355" i="1"/>
  <c r="M350" i="1"/>
  <c r="M349" i="1"/>
  <c r="M356" i="1" s="1"/>
  <c r="G345" i="1"/>
  <c r="M345" i="1" s="1"/>
  <c r="G344" i="1"/>
  <c r="M344" i="1" s="1"/>
  <c r="M354" i="1" s="1"/>
  <c r="M359" i="1" s="1"/>
  <c r="G348" i="1"/>
  <c r="M348" i="1" s="1"/>
  <c r="G370" i="1" l="1"/>
  <c r="M370" i="1" s="1"/>
  <c r="G366" i="1"/>
  <c r="M366" i="1" s="1"/>
  <c r="M376" i="1" s="1"/>
  <c r="M381" i="1" s="1"/>
  <c r="G367" i="1"/>
  <c r="M367" i="1" s="1"/>
  <c r="G396" i="1"/>
  <c r="M396" i="1" s="1"/>
  <c r="M383" i="1"/>
  <c r="B382" i="1"/>
  <c r="C382" i="1" s="1"/>
  <c r="D404" i="1"/>
  <c r="M372" i="1"/>
  <c r="M371" i="1"/>
  <c r="M378" i="1" s="1"/>
  <c r="M377" i="1"/>
  <c r="G418" i="1" l="1"/>
  <c r="M418" i="1" s="1"/>
  <c r="B404" i="1"/>
  <c r="M405" i="1"/>
  <c r="D426" i="1"/>
  <c r="G389" i="1"/>
  <c r="M389" i="1" s="1"/>
  <c r="G388" i="1"/>
  <c r="M388" i="1" s="1"/>
  <c r="M398" i="1" s="1"/>
  <c r="M403" i="1" s="1"/>
  <c r="G392" i="1"/>
  <c r="M392" i="1" s="1"/>
  <c r="M393" i="1"/>
  <c r="M400" i="1" s="1"/>
  <c r="M399" i="1"/>
  <c r="M394" i="1"/>
  <c r="M427" i="1" l="1"/>
  <c r="B426" i="1"/>
  <c r="G440" i="1"/>
  <c r="M440" i="1" s="1"/>
  <c r="C426" i="1"/>
  <c r="D448" i="1"/>
  <c r="M421" i="1"/>
  <c r="M416" i="1"/>
  <c r="M415" i="1"/>
  <c r="M422" i="1" s="1"/>
  <c r="G411" i="1"/>
  <c r="M411" i="1" s="1"/>
  <c r="G410" i="1"/>
  <c r="M410" i="1" s="1"/>
  <c r="M420" i="1" s="1"/>
  <c r="M425" i="1" s="1"/>
  <c r="G414" i="1"/>
  <c r="M414" i="1" s="1"/>
  <c r="C404" i="1"/>
  <c r="G462" i="1" l="1"/>
  <c r="M462" i="1" s="1"/>
  <c r="B448" i="1"/>
  <c r="C448" i="1" s="1"/>
  <c r="M449" i="1"/>
  <c r="D470" i="1"/>
  <c r="G436" i="1"/>
  <c r="M436" i="1" s="1"/>
  <c r="G432" i="1"/>
  <c r="M432" i="1" s="1"/>
  <c r="M442" i="1" s="1"/>
  <c r="M447" i="1" s="1"/>
  <c r="G433" i="1"/>
  <c r="M433" i="1" s="1"/>
  <c r="M438" i="1"/>
  <c r="M437" i="1"/>
  <c r="M444" i="1" s="1"/>
  <c r="M443" i="1"/>
  <c r="G484" i="1" l="1"/>
  <c r="M484" i="1" s="1"/>
  <c r="B470" i="1"/>
  <c r="M471" i="1"/>
  <c r="M459" i="1"/>
  <c r="M466" i="1" s="1"/>
  <c r="M465" i="1"/>
  <c r="M460" i="1"/>
  <c r="G455" i="1"/>
  <c r="M455" i="1" s="1"/>
  <c r="G454" i="1"/>
  <c r="M454" i="1" s="1"/>
  <c r="M464" i="1" s="1"/>
  <c r="M469" i="1" s="1"/>
  <c r="G458" i="1"/>
  <c r="M458" i="1" s="1"/>
  <c r="G477" i="1" l="1"/>
  <c r="M477" i="1" s="1"/>
  <c r="G480" i="1"/>
  <c r="M480" i="1" s="1"/>
  <c r="G476" i="1"/>
  <c r="M476" i="1" s="1"/>
  <c r="M486" i="1" s="1"/>
  <c r="M491" i="1" s="1"/>
  <c r="C470" i="1"/>
  <c r="M487" i="1"/>
  <c r="M482" i="1"/>
  <c r="M481" i="1"/>
  <c r="M488" i="1" s="1"/>
</calcChain>
</file>

<file path=xl/sharedStrings.xml><?xml version="1.0" encoding="utf-8"?>
<sst xmlns="http://schemas.openxmlformats.org/spreadsheetml/2006/main" count="1180" uniqueCount="255">
  <si>
    <t>Author: Overing</t>
    <phoneticPr fontId="2" type="noConversion"/>
  </si>
  <si>
    <t>當標題是</t>
    <phoneticPr fontId="2" type="noConversion"/>
  </si>
  <si>
    <t>且選項值為</t>
    <phoneticPr fontId="2" type="noConversion"/>
  </si>
  <si>
    <t>把後面的標題設定成…</t>
    <phoneticPr fontId="2" type="noConversion"/>
  </si>
  <si>
    <r>
      <t>沒有 '#' 開頭的 Sheet 會被當作輸出 XML 的主要資料來源</t>
    </r>
    <r>
      <rPr>
        <sz val="12"/>
        <rFont val="新細明體"/>
        <family val="1"/>
        <charset val="136"/>
      </rPr>
      <t xml:space="preserve">
Sheet name 會被做為輸出的 Node name           請依需求修改
如果需要自己開空的 Sheet 整理資料使用
請在最前方加上 '#' 符號避開輸出功能</t>
    </r>
    <phoneticPr fontId="2" type="noConversion"/>
  </si>
  <si>
    <r>
      <t>#DEFINE</t>
    </r>
    <r>
      <rPr>
        <sz val="12"/>
        <rFont val="新細明體"/>
        <family val="1"/>
        <charset val="136"/>
      </rPr>
      <t xml:space="preserve"> Sheet 功能
輸出 DEFINE Node 的資料列
Head 列要有值 且 下方任一 Row 有值才會被輸出</t>
    </r>
    <phoneticPr fontId="2" type="noConversion"/>
  </si>
  <si>
    <r>
      <t>#ALIAS</t>
    </r>
    <r>
      <rPr>
        <sz val="12"/>
        <rFont val="新細明體"/>
        <family val="1"/>
        <charset val="136"/>
      </rPr>
      <t xml:space="preserve"> Sheet 功能
輸出後 主要設定 Node 的 Attribute name 對照
主要設定 Sheet 的 Head 只要能在 ALIAS Sheet 的 Row1 被找到
就會輸出 ALIAS Sheet 的 Row2 名稱到 XML
反之 有在主要設定 Sheet 裡但是 ALIAS Sheet 找不到的 Column 就不會被輸出
可以拿來做為只有在表格上看得到的註解列使用</t>
    </r>
    <phoneticPr fontId="2" type="noConversion"/>
  </si>
  <si>
    <r>
      <t>#OPTION</t>
    </r>
    <r>
      <rPr>
        <sz val="12"/>
        <rFont val="新細明體"/>
        <family val="1"/>
        <charset val="136"/>
      </rPr>
      <t xml:space="preserve"> Sheet 功能
主要 Sheet 中需要被做成選項的項目參照
Head 為有選項的選項標題
後續值就是可以選項項目列舉
(被 #PARAM Sheet 設定變更過的 Head 也有用)</t>
    </r>
    <phoneticPr fontId="2" type="noConversion"/>
  </si>
  <si>
    <t>Update Note</t>
    <phoneticPr fontId="2" type="noConversion"/>
  </si>
  <si>
    <t>2015/09/07: 調整載入 Option 方式為設定定義名稱 (解決選項不能超過 255 字 bug)</t>
    <phoneticPr fontId="2" type="noConversion"/>
  </si>
  <si>
    <t>2015/09/10: 調整輸出巨集，改善輸出耗費時間 (減半)</t>
    <phoneticPr fontId="2" type="noConversion"/>
  </si>
  <si>
    <t>輸出路徑或參考檔案</t>
    <phoneticPr fontId="2" type="noConversion"/>
  </si>
  <si>
    <r>
      <t>#OUTPUT</t>
    </r>
    <r>
      <rPr>
        <sz val="12"/>
        <rFont val="新細明體"/>
        <family val="1"/>
        <charset val="136"/>
      </rPr>
      <t xml:space="preserve"> Sheet 功能
與前一版表格功能類似 不過改成可以讀檔或路徑兩者皆可
如果是檔案 就把他開起來讀取裡面的行當 </t>
    </r>
    <r>
      <rPr>
        <sz val="12"/>
        <rFont val="新細明體"/>
        <family val="1"/>
        <charset val="136"/>
      </rPr>
      <t xml:space="preserve">xml </t>
    </r>
    <r>
      <rPr>
        <sz val="12"/>
        <rFont val="新細明體"/>
        <family val="1"/>
        <charset val="136"/>
      </rPr>
      <t>輸出路徑
如果是路徑 就直接往該路徑輸出</t>
    </r>
    <r>
      <rPr>
        <sz val="12"/>
        <rFont val="新細明體"/>
        <family val="1"/>
        <charset val="136"/>
      </rPr>
      <t xml:space="preserve"> xml</t>
    </r>
    <phoneticPr fontId="2" type="noConversion"/>
  </si>
  <si>
    <t>2015/11/03: 調整巨集
 * 輸出再加速 (已經可以跟原本的 xml scheam 版比了)
 * 輸出超過 1000 筆資料量時 Call DoEvents (解決UI卡死 讓人以為當掉的問題)
 * 縮小無法 Undo 的影響範圍
 * 註解掉 HttpPost ReloadSetting 動作</t>
    <phoneticPr fontId="2" type="noConversion"/>
  </si>
  <si>
    <r>
      <t>#PARAM</t>
    </r>
    <r>
      <rPr>
        <sz val="12"/>
        <rFont val="新細明體"/>
        <family val="1"/>
        <charset val="136"/>
      </rPr>
      <t xml:space="preserve"> Sheet 功能
主要 Sheet 中 Head 需要根據選項變化的項目
當 標題 與 其下 Cell 值符合時會替換之後的標題
</t>
    </r>
    <r>
      <rPr>
        <sz val="12"/>
        <color indexed="10"/>
        <rFont val="新細明體"/>
        <family val="1"/>
        <charset val="136"/>
      </rPr>
      <t>需要留下一列 "當沒有選值的時候要指定的標題" 復原原始的標題才能正常輸出</t>
    </r>
    <r>
      <rPr>
        <sz val="12"/>
        <rFont val="新細明體"/>
        <family val="1"/>
        <charset val="136"/>
      </rPr>
      <t xml:space="preserve">
(需要注意重疊問題 請慎用 不然會無限迴圈XD)</t>
    </r>
    <phoneticPr fontId="2" type="noConversion"/>
  </si>
  <si>
    <t>2015/11/04: 修改說明注意事項</t>
    <phoneticPr fontId="2" type="noConversion"/>
  </si>
  <si>
    <t>Version: 2019/09/17</t>
    <phoneticPr fontId="2" type="noConversion"/>
  </si>
  <si>
    <t>輸出到XML時取代成…</t>
    <phoneticPr fontId="2" type="noConversion"/>
  </si>
  <si>
    <t>且值為</t>
    <phoneticPr fontId="2" type="noConversion"/>
  </si>
  <si>
    <t>2019/09/17:
* 支援複數同前綴欄位使用 "[]" 尾綴定義 #ALIAS Sheet 將值輸出到子節點 (方便程式碼使用陣列載入)
* 支援複數同前綴欄位使用 "[]" 尾綴定義 #OPTION Sheet 一次定義所有選項下拉選單
* 支援複數同前綴欄位使用 "[]" 尾綴定義 #PARAM Sheet 一次定義所有標題置換規則
* 新增 #DEFINE Sheet 做輸出值轉換</t>
    <phoneticPr fontId="2" type="noConversion"/>
  </si>
  <si>
    <t>/</t>
    <phoneticPr fontId="2" type="noConversion"/>
  </si>
  <si>
    <t>1</t>
    <phoneticPr fontId="2" type="noConversion"/>
  </si>
  <si>
    <t>4</t>
  </si>
  <si>
    <t>5</t>
  </si>
  <si>
    <t>6</t>
    <phoneticPr fontId="2" type="noConversion"/>
  </si>
  <si>
    <t>2</t>
    <phoneticPr fontId="2" type="noConversion"/>
  </si>
  <si>
    <t>3</t>
    <phoneticPr fontId="2" type="noConversion"/>
  </si>
  <si>
    <t>類型</t>
    <phoneticPr fontId="2" type="noConversion"/>
  </si>
  <si>
    <t>Type</t>
    <phoneticPr fontId="2" type="noConversion"/>
  </si>
  <si>
    <t>物件</t>
  </si>
  <si>
    <t>速度</t>
  </si>
  <si>
    <t>移動角度</t>
  </si>
  <si>
    <t>6</t>
  </si>
  <si>
    <t>8</t>
  </si>
  <si>
    <t>10</t>
  </si>
  <si>
    <t>行動時間</t>
  </si>
  <si>
    <t>ParamVals[]</t>
    <phoneticPr fontId="2" type="noConversion"/>
  </si>
  <si>
    <t>2</t>
  </si>
  <si>
    <t>3</t>
  </si>
  <si>
    <t>7</t>
  </si>
  <si>
    <t>9</t>
  </si>
  <si>
    <t>11</t>
  </si>
  <si>
    <t>12</t>
  </si>
  <si>
    <t>13</t>
  </si>
  <si>
    <t>14</t>
  </si>
  <si>
    <t>符卡</t>
  </si>
  <si>
    <t>HP</t>
  </si>
  <si>
    <t>無敵</t>
  </si>
  <si>
    <t>BOSS</t>
  </si>
  <si>
    <t>順序</t>
    <phoneticPr fontId="2" type="noConversion"/>
  </si>
  <si>
    <t>Order</t>
    <phoneticPr fontId="2" type="noConversion"/>
  </si>
  <si>
    <t>ParamVals2</t>
  </si>
  <si>
    <t>ParamVals3</t>
  </si>
  <si>
    <t>ParamVals4</t>
  </si>
  <si>
    <t>ParamVals5</t>
  </si>
  <si>
    <t>ParamVals6</t>
  </si>
  <si>
    <t>ParamVals7</t>
  </si>
  <si>
    <t>ParamVals8</t>
  </si>
  <si>
    <t>ParamVals9</t>
  </si>
  <si>
    <t>ParamVals10</t>
  </si>
  <si>
    <t>ParamVals11</t>
  </si>
  <si>
    <t>ParamVals12</t>
  </si>
  <si>
    <t>ParamVals13</t>
  </si>
  <si>
    <t>ParamVals14</t>
  </si>
  <si>
    <t>ParamVals15</t>
  </si>
  <si>
    <t>ParamVals16</t>
  </si>
  <si>
    <t>ParamVals17</t>
  </si>
  <si>
    <t>ParamVals18</t>
  </si>
  <si>
    <t>ParamVals19</t>
  </si>
  <si>
    <t>ParamVals20</t>
  </si>
  <si>
    <t>ParamVals21</t>
  </si>
  <si>
    <t>ParamVals22</t>
  </si>
  <si>
    <t>ParamVals23</t>
  </si>
  <si>
    <t>ParamVals24</t>
  </si>
  <si>
    <t>ParamVals25</t>
  </si>
  <si>
    <t>ParamVals26</t>
  </si>
  <si>
    <t>ParamVals27</t>
  </si>
  <si>
    <t>ParamVals28</t>
  </si>
  <si>
    <t>ParamVals29</t>
  </si>
  <si>
    <t>ParamVals30</t>
  </si>
  <si>
    <t>ParamVals31</t>
  </si>
  <si>
    <t>ParamVals32</t>
  </si>
  <si>
    <t>ParamVals33</t>
  </si>
  <si>
    <t>ParamVals34</t>
  </si>
  <si>
    <t>ParamVals35</t>
  </si>
  <si>
    <t>ParamVals36</t>
  </si>
  <si>
    <t>ParamVals37</t>
  </si>
  <si>
    <t>ParamVals38</t>
  </si>
  <si>
    <t>ParamVals39</t>
  </si>
  <si>
    <t>ParamVals40</t>
  </si>
  <si>
    <t>ParamVals41</t>
  </si>
  <si>
    <t>ParamVals42</t>
  </si>
  <si>
    <t>ParamVals43</t>
  </si>
  <si>
    <t>ID</t>
  </si>
  <si>
    <t>ParamVals0</t>
    <phoneticPr fontId="2" type="noConversion"/>
  </si>
  <si>
    <t>ParamVals1</t>
  </si>
  <si>
    <t>4</t>
    <phoneticPr fontId="2" type="noConversion"/>
  </si>
  <si>
    <t>回收時間</t>
  </si>
  <si>
    <t>移位置</t>
  </si>
  <si>
    <t>玩家</t>
  </si>
  <si>
    <t>動畫</t>
  </si>
  <si>
    <t>行動ID</t>
  </si>
  <si>
    <t>玩家子彈</t>
  </si>
  <si>
    <t>標題</t>
  </si>
  <si>
    <t>對話</t>
  </si>
  <si>
    <t>傷害</t>
  </si>
  <si>
    <t>Name</t>
  </si>
  <si>
    <t>死亡時間</t>
  </si>
  <si>
    <t>最小速度</t>
  </si>
  <si>
    <t>最大速度</t>
  </si>
  <si>
    <t>BOSSDEAD</t>
  </si>
  <si>
    <t>加移動角度</t>
  </si>
  <si>
    <t>旋轉角度</t>
  </si>
  <si>
    <t>加旋轉角度</t>
  </si>
  <si>
    <t>旋轉是移動角度</t>
  </si>
  <si>
    <t>加速度</t>
  </si>
  <si>
    <t>相對位置</t>
  </si>
  <si>
    <t>貫穿</t>
  </si>
  <si>
    <t>Sprite</t>
  </si>
  <si>
    <t>時位時間</t>
  </si>
  <si>
    <t>時位位置</t>
  </si>
  <si>
    <t>時位變速點</t>
  </si>
  <si>
    <t>時位開始速度</t>
  </si>
  <si>
    <t>時位結束速度</t>
  </si>
  <si>
    <t>時位移動角度</t>
  </si>
  <si>
    <t>回收距離</t>
  </si>
  <si>
    <t>啟動依開始時間後</t>
  </si>
  <si>
    <t>啟動依結束時間前</t>
  </si>
  <si>
    <t>啟動依位置</t>
  </si>
  <si>
    <t>啟動依位置距離</t>
  </si>
  <si>
    <t>播放音樂</t>
  </si>
  <si>
    <t>關卡結束</t>
  </si>
  <si>
    <t>角度參數</t>
  </si>
  <si>
    <t>位置參數</t>
  </si>
  <si>
    <t>角度值</t>
  </si>
  <si>
    <t>角度IDs</t>
  </si>
  <si>
    <t>位置xy</t>
  </si>
  <si>
    <t>位置ID</t>
  </si>
  <si>
    <t>位置Gene</t>
  </si>
  <si>
    <t>PosParamType</t>
  </si>
  <si>
    <t>PosParamType</t>
    <phoneticPr fontId="2" type="noConversion"/>
  </si>
  <si>
    <t>AngleParamType</t>
    <phoneticPr fontId="2" type="noConversion"/>
  </si>
  <si>
    <t>新參照位置12</t>
    <phoneticPr fontId="2" type="noConversion"/>
  </si>
  <si>
    <t>啟動依ID</t>
  </si>
  <si>
    <t>Shot5_yellow</t>
  </si>
  <si>
    <t>EnemyShot5</t>
  </si>
  <si>
    <t>-6</t>
    <phoneticPr fontId="2" type="noConversion"/>
  </si>
  <si>
    <t>-0.8</t>
    <phoneticPr fontId="2" type="noConversion"/>
  </si>
  <si>
    <t>90</t>
    <phoneticPr fontId="2" type="noConversion"/>
  </si>
  <si>
    <t>80</t>
    <phoneticPr fontId="2" type="noConversion"/>
  </si>
  <si>
    <t>啟動依遊戲時間</t>
  </si>
  <si>
    <t>ID</t>
    <phoneticPr fontId="2" type="noConversion"/>
  </si>
  <si>
    <t>復位</t>
  </si>
  <si>
    <t>Power</t>
  </si>
  <si>
    <t>下一關</t>
  </si>
  <si>
    <t>101</t>
    <phoneticPr fontId="2" type="noConversion"/>
  </si>
  <si>
    <t>102</t>
  </si>
  <si>
    <t>103</t>
  </si>
  <si>
    <t>104</t>
  </si>
  <si>
    <t>105</t>
  </si>
  <si>
    <t>106</t>
  </si>
  <si>
    <t>啟動依玩家死亡</t>
  </si>
  <si>
    <t>107</t>
  </si>
  <si>
    <t>啟動位置是活動</t>
  </si>
  <si>
    <t>108</t>
  </si>
  <si>
    <t>201</t>
    <phoneticPr fontId="2" type="noConversion"/>
  </si>
  <si>
    <t>202</t>
  </si>
  <si>
    <t>203</t>
  </si>
  <si>
    <t>204</t>
  </si>
  <si>
    <t>205</t>
  </si>
  <si>
    <t>206</t>
  </si>
  <si>
    <t>Power掉落</t>
  </si>
  <si>
    <t>207</t>
  </si>
  <si>
    <t>加ID</t>
  </si>
  <si>
    <t>208</t>
  </si>
  <si>
    <t>301</t>
    <phoneticPr fontId="2" type="noConversion"/>
  </si>
  <si>
    <t>302</t>
  </si>
  <si>
    <t>303</t>
  </si>
  <si>
    <t>401</t>
    <phoneticPr fontId="2" type="noConversion"/>
  </si>
  <si>
    <t>402</t>
  </si>
  <si>
    <t>403</t>
  </si>
  <si>
    <t>加位置</t>
  </si>
  <si>
    <t>404</t>
  </si>
  <si>
    <t>501</t>
    <phoneticPr fontId="2" type="noConversion"/>
  </si>
  <si>
    <t>502</t>
  </si>
  <si>
    <t>503</t>
  </si>
  <si>
    <t>504</t>
  </si>
  <si>
    <t>505</t>
  </si>
  <si>
    <t>加角度</t>
  </si>
  <si>
    <t>506</t>
  </si>
  <si>
    <t>507</t>
  </si>
  <si>
    <t>601</t>
    <phoneticPr fontId="2" type="noConversion"/>
  </si>
  <si>
    <t>602</t>
  </si>
  <si>
    <t>603</t>
  </si>
  <si>
    <t>604</t>
  </si>
  <si>
    <t>是界內</t>
  </si>
  <si>
    <t>701</t>
    <phoneticPr fontId="2" type="noConversion"/>
  </si>
  <si>
    <t>702</t>
  </si>
  <si>
    <t>703</t>
  </si>
  <si>
    <t>704</t>
  </si>
  <si>
    <t>出生動畫速率</t>
  </si>
  <si>
    <t>705</t>
  </si>
  <si>
    <t>出生動畫時間</t>
  </si>
  <si>
    <t>706</t>
  </si>
  <si>
    <t>出生動畫開始</t>
  </si>
  <si>
    <t>707</t>
  </si>
  <si>
    <t>行動ID結束</t>
  </si>
  <si>
    <t>708</t>
  </si>
  <si>
    <t>801</t>
    <phoneticPr fontId="2" type="noConversion"/>
  </si>
  <si>
    <t>802</t>
  </si>
  <si>
    <t>803</t>
  </si>
  <si>
    <t>804</t>
  </si>
  <si>
    <t>805</t>
  </si>
  <si>
    <t>806</t>
  </si>
  <si>
    <t>玩家遊戲時間</t>
  </si>
  <si>
    <t>901</t>
    <phoneticPr fontId="2" type="noConversion"/>
  </si>
  <si>
    <t>玩家子彈間隔</t>
  </si>
  <si>
    <t>902</t>
  </si>
  <si>
    <t>玩家Power需求</t>
  </si>
  <si>
    <t>903</t>
  </si>
  <si>
    <t>玩家Shift</t>
  </si>
  <si>
    <t>904</t>
  </si>
  <si>
    <t>玩家子彈延遲</t>
  </si>
  <si>
    <t>905</t>
  </si>
  <si>
    <t>位置參數角距距離</t>
  </si>
  <si>
    <t>位置參數角距角度</t>
  </si>
  <si>
    <t>新參照位置</t>
  </si>
  <si>
    <t>新參照角度</t>
  </si>
  <si>
    <t>角度ID旋轉</t>
  </si>
  <si>
    <t>Self = 1,
Parent = 2,
Player = 3,
Boss = 4,
Center=5,
BossHome=6,</t>
    <phoneticPr fontId="2" type="noConversion"/>
  </si>
  <si>
    <t>新參照位置12</t>
  </si>
  <si>
    <t>符卡時間</t>
    <phoneticPr fontId="2" type="noConversion"/>
  </si>
  <si>
    <t>304</t>
  </si>
  <si>
    <t/>
  </si>
  <si>
    <t>90</t>
  </si>
  <si>
    <t>-6</t>
  </si>
  <si>
    <t>-0.8</t>
  </si>
  <si>
    <t>80</t>
  </si>
  <si>
    <t>BOSSLEAVE</t>
    <phoneticPr fontId="2" type="noConversion"/>
  </si>
  <si>
    <t>15</t>
  </si>
  <si>
    <t>子旋轉角度</t>
    <phoneticPr fontId="2" type="noConversion"/>
  </si>
  <si>
    <t>508</t>
  </si>
  <si>
    <r>
      <rPr>
        <sz val="11"/>
        <rFont val="Microsoft JhengHei UI"/>
        <family val="3"/>
        <charset val="136"/>
      </rPr>
      <t>子</t>
    </r>
    <r>
      <rPr>
        <sz val="11"/>
        <rFont val="微軟正黑體"/>
        <family val="3"/>
        <charset val="136"/>
      </rPr>
      <t>加旋轉角度</t>
    </r>
    <phoneticPr fontId="2" type="noConversion"/>
  </si>
  <si>
    <t>509</t>
  </si>
  <si>
    <t>加旋轉角度</t>
    <phoneticPr fontId="2" type="noConversion"/>
  </si>
  <si>
    <t>記錄位置</t>
    <phoneticPr fontId="2" type="noConversion"/>
  </si>
  <si>
    <t>405</t>
  </si>
  <si>
    <t>記錄位置序號</t>
    <phoneticPr fontId="2" type="noConversion"/>
  </si>
  <si>
    <t>406</t>
  </si>
  <si>
    <t>記錄角度</t>
    <phoneticPr fontId="2" type="noConversion"/>
  </si>
  <si>
    <t>510</t>
  </si>
  <si>
    <t>511</t>
  </si>
  <si>
    <t>記錄角度ID</t>
    <phoneticPr fontId="2" type="noConversion"/>
  </si>
  <si>
    <t>角度ID記錄</t>
    <phoneticPr fontId="2" type="noConversion"/>
  </si>
  <si>
    <t>記錄位置ID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</si>
</sst>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);[Red]\(0\)"/>
    <numFmt numFmtId="177" formatCode="0.0"/>
  </numFmts>
  <fonts count="3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新細明體"/>
      <family val="1"/>
      <charset val="136"/>
    </font>
    <font>
      <sz val="12"/>
      <name val="微軟正黑體"/>
      <family val="2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b/>
      <sz val="12"/>
      <name val="新細明體"/>
      <family val="1"/>
      <charset val="136"/>
    </font>
    <font>
      <b/>
      <sz val="12"/>
      <color theme="0"/>
      <name val="新細明體"/>
      <family val="1"/>
      <charset val="136"/>
    </font>
    <font>
      <sz val="14"/>
      <name val="細明體"/>
      <family val="1"/>
      <charset val="136"/>
    </font>
    <font>
      <sz val="12"/>
      <color theme="0"/>
      <name val="新細明體"/>
      <family val="1"/>
      <charset val="136"/>
    </font>
    <font>
      <sz val="11"/>
      <color rgb="FFCCCCCC"/>
      <name val="Consolas"/>
      <family val="3"/>
    </font>
    <font>
      <sz val="11"/>
      <color rgb="FF4FC1FF"/>
      <name val="Consolas"/>
      <family val="3"/>
    </font>
    <font>
      <sz val="14"/>
      <color theme="0"/>
      <name val="細明體"/>
      <family val="1"/>
      <charset val="136"/>
    </font>
    <font>
      <sz val="12"/>
      <name val="Microsoft JhengHei"/>
      <family val="1"/>
      <charset val="136"/>
    </font>
    <font>
      <sz val="11"/>
      <name val="Consolas"/>
      <family val="3"/>
    </font>
    <font>
      <sz val="10"/>
      <name val="新細明體"/>
      <family val="1"/>
      <charset val="136"/>
    </font>
    <font>
      <sz val="11"/>
      <name val="Microsoft JhengHei"/>
      <family val="3"/>
    </font>
    <font>
      <sz val="11"/>
      <name val="微軟正黑體"/>
      <family val="3"/>
      <charset val="136"/>
    </font>
    <font>
      <sz val="11"/>
      <name val="Microsoft JhengHei UI"/>
      <family val="3"/>
      <charset val="136"/>
    </font>
    <font>
      <sz val="11"/>
      <name val="微軟正黑體"/>
      <family val="2"/>
      <charset val="136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64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17" borderId="2" applyNumberForma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" fillId="18" borderId="4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" fillId="0" borderId="0"/>
    <xf numFmtId="0" fontId="14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2" applyNumberFormat="0" applyAlignment="0" applyProtection="0">
      <alignment vertical="center"/>
    </xf>
    <xf numFmtId="0" fontId="19" fillId="17" borderId="8" applyNumberFormat="0" applyAlignment="0" applyProtection="0">
      <alignment vertical="center"/>
    </xf>
    <xf numFmtId="0" fontId="20" fillId="23" borderId="9" applyNumberForma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23" fillId="0" borderId="0" xfId="0" applyFont="1">
      <alignment vertical="center"/>
    </xf>
    <xf numFmtId="0" fontId="0" fillId="0" borderId="0" xfId="0" applyAlignment="1">
      <alignment vertical="center" wrapText="1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24" fillId="24" borderId="0" xfId="0" applyFont="1" applyFill="1" applyAlignment="1">
      <alignment horizontal="center" vertical="center"/>
    </xf>
    <xf numFmtId="49" fontId="24" fillId="24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49" fontId="24" fillId="24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28" fillId="0" borderId="0" xfId="0" applyFont="1">
      <alignment vertical="center"/>
    </xf>
    <xf numFmtId="0" fontId="27" fillId="0" borderId="0" xfId="0" applyFont="1">
      <alignment vertical="center"/>
    </xf>
    <xf numFmtId="49" fontId="25" fillId="0" borderId="0" xfId="0" applyNumberFormat="1" applyFont="1" applyAlignment="1">
      <alignment horizontal="center" vertical="center"/>
    </xf>
    <xf numFmtId="49" fontId="26" fillId="25" borderId="0" xfId="0" applyNumberFormat="1" applyFont="1" applyFill="1" applyAlignment="1">
      <alignment horizontal="center" vertical="center"/>
    </xf>
    <xf numFmtId="49" fontId="0" fillId="26" borderId="0" xfId="0" applyNumberFormat="1" applyFill="1" applyAlignment="1">
      <alignment horizontal="center" vertical="center"/>
    </xf>
    <xf numFmtId="49" fontId="25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29" fillId="24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/>
    </xf>
    <xf numFmtId="49" fontId="26" fillId="24" borderId="0" xfId="0" applyNumberFormat="1" applyFont="1" applyFill="1" applyAlignment="1">
      <alignment horizontal="center" vertical="center"/>
    </xf>
    <xf numFmtId="0" fontId="31" fillId="0" borderId="0" xfId="0" applyFont="1">
      <alignment vertical="center"/>
    </xf>
    <xf numFmtId="176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32" fillId="0" borderId="0" xfId="0" applyFont="1" applyAlignment="1">
      <alignment horizontal="center" vertical="center" wrapText="1"/>
    </xf>
    <xf numFmtId="177" fontId="0" fillId="0" borderId="0" xfId="0" applyNumberFormat="1" applyAlignment="1">
      <alignment horizontal="center"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36" fillId="0" borderId="0" xfId="0" applyFont="1">
      <alignment vertical="center"/>
    </xf>
  </cellXfs>
  <cellStyles count="6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中等" xfId="19" builtinId="28" customBuiltin="1"/>
    <cellStyle name="合計" xfId="20" builtinId="25" customBuiltin="1"/>
    <cellStyle name="好" xfId="21" builtinId="26" customBuiltin="1"/>
    <cellStyle name="計算方式" xfId="22" builtinId="22" customBuiltin="1"/>
    <cellStyle name="連結的儲存格" xfId="23" builtinId="24" customBuiltin="1"/>
    <cellStyle name="備註" xfId="24" builtinId="10" customBuiltin="1"/>
    <cellStyle name="說明文字" xfId="25" builtinId="53" customBuiltin="1"/>
    <cellStyle name="輔色1" xfId="26" builtinId="29" customBuiltin="1"/>
    <cellStyle name="輔色2" xfId="27" builtinId="33" customBuiltin="1"/>
    <cellStyle name="輔色3" xfId="28" builtinId="37" customBuiltin="1"/>
    <cellStyle name="輔色4" xfId="29" builtinId="41" customBuiltin="1"/>
    <cellStyle name="輔色5" xfId="30" builtinId="45" customBuiltin="1"/>
    <cellStyle name="輔色6" xfId="31" builtinId="49" customBuiltin="1"/>
    <cellStyle name="標準 10" xfId="32" xr:uid="{00000000-0005-0000-0000-000021000000}"/>
    <cellStyle name="標準 11" xfId="33" xr:uid="{00000000-0005-0000-0000-000022000000}"/>
    <cellStyle name="標準 12" xfId="34" xr:uid="{00000000-0005-0000-0000-000023000000}"/>
    <cellStyle name="標準 13" xfId="35" xr:uid="{00000000-0005-0000-0000-000024000000}"/>
    <cellStyle name="標準 14" xfId="36" xr:uid="{00000000-0005-0000-0000-000025000000}"/>
    <cellStyle name="標準 19" xfId="37" xr:uid="{00000000-0005-0000-0000-000026000000}"/>
    <cellStyle name="標準 2" xfId="38" xr:uid="{00000000-0005-0000-0000-000027000000}"/>
    <cellStyle name="標準 2 2" xfId="39" xr:uid="{00000000-0005-0000-0000-000028000000}"/>
    <cellStyle name="標準 2 3" xfId="40" xr:uid="{00000000-0005-0000-0000-000029000000}"/>
    <cellStyle name="標準 2 4" xfId="41" xr:uid="{00000000-0005-0000-0000-00002A000000}"/>
    <cellStyle name="標準 2 5" xfId="42" xr:uid="{00000000-0005-0000-0000-00002B000000}"/>
    <cellStyle name="標準 2 6" xfId="43" xr:uid="{00000000-0005-0000-0000-00002C000000}"/>
    <cellStyle name="標準 3" xfId="44" xr:uid="{00000000-0005-0000-0000-00002D000000}"/>
    <cellStyle name="標準 3 2" xfId="45" xr:uid="{00000000-0005-0000-0000-00002E000000}"/>
    <cellStyle name="標準 3 3" xfId="46" xr:uid="{00000000-0005-0000-0000-00002F000000}"/>
    <cellStyle name="標準 3 4" xfId="47" xr:uid="{00000000-0005-0000-0000-000030000000}"/>
    <cellStyle name="標準 4" xfId="48" xr:uid="{00000000-0005-0000-0000-000031000000}"/>
    <cellStyle name="標準 5" xfId="49" xr:uid="{00000000-0005-0000-0000-000032000000}"/>
    <cellStyle name="標準 6" xfId="50" xr:uid="{00000000-0005-0000-0000-000033000000}"/>
    <cellStyle name="標準 7" xfId="51" xr:uid="{00000000-0005-0000-0000-000034000000}"/>
    <cellStyle name="標準 8" xfId="52" xr:uid="{00000000-0005-0000-0000-000035000000}"/>
    <cellStyle name="標準 9" xfId="53" xr:uid="{00000000-0005-0000-0000-000036000000}"/>
    <cellStyle name="標題" xfId="54" builtinId="15" customBuiltin="1"/>
    <cellStyle name="標題 1" xfId="55" builtinId="16" customBuiltin="1"/>
    <cellStyle name="標題 2" xfId="56" builtinId="17" customBuiltin="1"/>
    <cellStyle name="標題 3" xfId="57" builtinId="18" customBuiltin="1"/>
    <cellStyle name="標題 4" xfId="58" builtinId="19" customBuiltin="1"/>
    <cellStyle name="輸入" xfId="59" builtinId="20" customBuiltin="1"/>
    <cellStyle name="輸出" xfId="60" builtinId="21" customBuiltin="1"/>
    <cellStyle name="檢查儲存格" xfId="61" builtinId="23" customBuiltin="1"/>
    <cellStyle name="壞" xfId="62" builtinId="27" customBuiltin="1"/>
    <cellStyle name="警告文字" xfId="63" builtinId="11" customBuiltin="1"/>
  </cellStyles>
  <dxfs count="6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hcook-win\STG%20project\Assets\Setting\Stage7_Normal\stage7_9&#32066;boss%20-%20&#31526;5&#23376;&#24392;2.xlsm" TargetMode="External"/><Relationship Id="rId1" Type="http://schemas.openxmlformats.org/officeDocument/2006/relationships/externalLinkPath" Target="stage7_9&#32066;boss%20-%20&#31526;5&#23376;&#24392;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tage7_card5shot2"/>
      <sheetName val="#ALIAS"/>
      <sheetName val="#DEFINE"/>
      <sheetName val="#OPTION"/>
      <sheetName val="#PARAM"/>
      <sheetName val="#OUTPUT"/>
      <sheetName val="#使用說明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H512"/>
  <sheetViews>
    <sheetView zoomScale="115" zoomScaleNormal="115" workbookViewId="0">
      <pane ySplit="1" topLeftCell="A2" activePane="bottomLeft" state="frozen"/>
      <selection pane="bottomLeft" activeCell="O14" sqref="O14"/>
    </sheetView>
  </sheetViews>
  <sheetFormatPr defaultRowHeight="19.5"/>
  <cols>
    <col min="1" max="4" width="5.25" style="21" customWidth="1"/>
    <col min="5" max="5" width="9" style="9"/>
    <col min="6" max="6" width="16.125" style="9" bestFit="1" customWidth="1"/>
    <col min="7" max="10" width="7.375" style="22" customWidth="1"/>
    <col min="11" max="11" width="16" style="9" customWidth="1"/>
    <col min="12" max="12" width="22.375" style="9" customWidth="1"/>
    <col min="13" max="13" width="18.75" style="22" customWidth="1"/>
    <col min="14" max="14" width="16.125" style="9" bestFit="1" customWidth="1"/>
    <col min="15" max="15" width="12.625" style="9" bestFit="1" customWidth="1"/>
    <col min="16" max="16" width="13.875" style="9" bestFit="1" customWidth="1"/>
    <col min="17" max="17" width="9" style="9"/>
    <col min="18" max="18" width="8" style="9" bestFit="1" customWidth="1"/>
    <col min="19" max="19" width="9.25" style="12" bestFit="1" customWidth="1"/>
    <col min="20" max="20" width="13.875" style="9" bestFit="1" customWidth="1"/>
    <col min="21" max="21" width="13.25" style="9" bestFit="1" customWidth="1"/>
    <col min="22" max="22" width="10.5" style="12" bestFit="1" customWidth="1"/>
    <col min="23" max="23" width="16.125" style="12" bestFit="1" customWidth="1"/>
    <col min="24" max="24" width="16.125" style="12" customWidth="1"/>
    <col min="25" max="26" width="16.125" style="15" bestFit="1" customWidth="1"/>
    <col min="27" max="31" width="13.25" style="15" bestFit="1" customWidth="1"/>
    <col min="32" max="33" width="13.25" style="16" bestFit="1" customWidth="1"/>
    <col min="34" max="60" width="14.625" style="16" bestFit="1" customWidth="1"/>
    <col min="61" max="16384" width="9" style="9"/>
  </cols>
  <sheetData>
    <row r="1" spans="1:56" s="17" customFormat="1">
      <c r="A1" s="22"/>
      <c r="B1" s="22"/>
      <c r="C1" s="22"/>
      <c r="D1" s="22"/>
      <c r="E1" s="17" t="s">
        <v>49</v>
      </c>
      <c r="F1" s="19" t="s">
        <v>27</v>
      </c>
      <c r="G1" s="22"/>
      <c r="H1" s="22"/>
      <c r="I1" s="22"/>
      <c r="J1" s="22"/>
      <c r="K1" s="17" t="s">
        <v>140</v>
      </c>
      <c r="L1" s="17" t="s">
        <v>141</v>
      </c>
      <c r="M1" s="22" t="s">
        <v>94</v>
      </c>
      <c r="N1" s="6" t="s">
        <v>95</v>
      </c>
      <c r="O1" s="6" t="s">
        <v>51</v>
      </c>
      <c r="P1" s="6" t="s">
        <v>52</v>
      </c>
      <c r="Q1" s="6" t="s">
        <v>53</v>
      </c>
      <c r="R1" s="6" t="s">
        <v>54</v>
      </c>
      <c r="S1" s="6" t="s">
        <v>55</v>
      </c>
      <c r="T1" s="6" t="s">
        <v>56</v>
      </c>
      <c r="U1" s="6" t="s">
        <v>57</v>
      </c>
      <c r="V1" s="6" t="s">
        <v>58</v>
      </c>
      <c r="W1" s="6" t="s">
        <v>59</v>
      </c>
      <c r="X1" s="6" t="s">
        <v>60</v>
      </c>
      <c r="Y1" s="6" t="s">
        <v>61</v>
      </c>
      <c r="Z1" s="6" t="s">
        <v>62</v>
      </c>
      <c r="AA1" s="6" t="s">
        <v>63</v>
      </c>
      <c r="AB1" s="6" t="s">
        <v>64</v>
      </c>
      <c r="AC1" s="6" t="s">
        <v>65</v>
      </c>
      <c r="AD1" s="6" t="s">
        <v>66</v>
      </c>
      <c r="AE1" s="6" t="s">
        <v>67</v>
      </c>
      <c r="AF1" s="6" t="s">
        <v>68</v>
      </c>
      <c r="AG1" s="6" t="s">
        <v>69</v>
      </c>
      <c r="AH1" s="6" t="s">
        <v>70</v>
      </c>
      <c r="AI1" s="6" t="s">
        <v>71</v>
      </c>
      <c r="AJ1" s="6" t="s">
        <v>72</v>
      </c>
      <c r="AK1" s="6" t="s">
        <v>73</v>
      </c>
      <c r="AL1" s="6" t="s">
        <v>74</v>
      </c>
      <c r="AM1" s="6" t="s">
        <v>75</v>
      </c>
      <c r="AN1" s="6" t="s">
        <v>76</v>
      </c>
      <c r="AO1" s="6" t="s">
        <v>77</v>
      </c>
      <c r="AP1" s="6" t="s">
        <v>78</v>
      </c>
      <c r="AQ1" s="6" t="s">
        <v>79</v>
      </c>
      <c r="AR1" s="6" t="s">
        <v>80</v>
      </c>
      <c r="AS1" s="6" t="s">
        <v>81</v>
      </c>
      <c r="AT1" s="6" t="s">
        <v>82</v>
      </c>
      <c r="AU1" s="6" t="s">
        <v>83</v>
      </c>
      <c r="AV1" s="6" t="s">
        <v>84</v>
      </c>
      <c r="AW1" s="6" t="s">
        <v>85</v>
      </c>
      <c r="AX1" s="6" t="s">
        <v>86</v>
      </c>
      <c r="AY1" s="6" t="s">
        <v>87</v>
      </c>
      <c r="AZ1" s="6" t="s">
        <v>88</v>
      </c>
      <c r="BA1" s="6" t="s">
        <v>89</v>
      </c>
      <c r="BB1" s="6" t="s">
        <v>90</v>
      </c>
      <c r="BC1" s="6" t="s">
        <v>91</v>
      </c>
      <c r="BD1" s="6" t="s">
        <v>92</v>
      </c>
    </row>
    <row r="2" spans="1:56">
      <c r="E2" s="4"/>
    </row>
    <row r="3" spans="1:56">
      <c r="E3" s="4"/>
    </row>
    <row r="4" spans="1:56">
      <c r="E4" s="4"/>
    </row>
    <row r="5" spans="1:56">
      <c r="E5" s="4"/>
    </row>
    <row r="6" spans="1:56">
      <c r="E6" s="4"/>
    </row>
    <row r="7" spans="1:56">
      <c r="A7" s="22">
        <f>G9*H9</f>
        <v>22</v>
      </c>
      <c r="B7" s="9"/>
      <c r="C7" s="9"/>
      <c r="D7" s="9"/>
      <c r="E7" s="4"/>
    </row>
    <row r="8" spans="1:56">
      <c r="A8" s="9" t="s">
        <v>233</v>
      </c>
      <c r="B8" s="22">
        <f>QUOTIENT( D8-1,G9)+1</f>
        <v>1</v>
      </c>
      <c r="C8" s="22">
        <f>D8-(B8-1)*G9</f>
        <v>1</v>
      </c>
      <c r="D8" s="22">
        <f>COUNT($D7:$D$7)+1</f>
        <v>1</v>
      </c>
      <c r="E8" s="4"/>
    </row>
    <row r="9" spans="1:56">
      <c r="E9" s="4">
        <f t="shared" ref="E9:E72" si="0">ROW(E9)</f>
        <v>9</v>
      </c>
      <c r="F9" s="9" t="s">
        <v>93</v>
      </c>
      <c r="G9" s="22">
        <v>11</v>
      </c>
      <c r="H9" s="22">
        <v>2</v>
      </c>
      <c r="J9" s="22">
        <v>10800</v>
      </c>
      <c r="M9" s="22">
        <f>J9+D8</f>
        <v>10801</v>
      </c>
    </row>
    <row r="10" spans="1:56">
      <c r="E10" s="4">
        <f t="shared" si="0"/>
        <v>10</v>
      </c>
      <c r="F10" s="9" t="s">
        <v>150</v>
      </c>
      <c r="M10" s="22">
        <v>2050</v>
      </c>
    </row>
    <row r="11" spans="1:56">
      <c r="E11" s="4">
        <f t="shared" si="0"/>
        <v>11</v>
      </c>
      <c r="F11" s="9" t="s">
        <v>35</v>
      </c>
      <c r="M11" s="22">
        <v>60</v>
      </c>
    </row>
    <row r="12" spans="1:56">
      <c r="E12" s="4">
        <f t="shared" si="0"/>
        <v>12</v>
      </c>
      <c r="F12" s="9" t="s">
        <v>29</v>
      </c>
      <c r="M12" s="22" t="s">
        <v>145</v>
      </c>
    </row>
    <row r="13" spans="1:56">
      <c r="E13" s="4">
        <f t="shared" si="0"/>
        <v>13</v>
      </c>
      <c r="F13" s="9" t="s">
        <v>118</v>
      </c>
      <c r="M13" s="22" t="s">
        <v>144</v>
      </c>
    </row>
    <row r="14" spans="1:56">
      <c r="E14" s="4">
        <f t="shared" si="0"/>
        <v>14</v>
      </c>
      <c r="F14" s="9" t="s">
        <v>113</v>
      </c>
      <c r="G14" s="22" t="b">
        <f>MOD(B8,2)=0</f>
        <v>0</v>
      </c>
      <c r="H14" s="22">
        <v>-90</v>
      </c>
      <c r="I14" s="9" t="s">
        <v>148</v>
      </c>
      <c r="L14" s="9" t="s">
        <v>134</v>
      </c>
      <c r="M14" s="22" t="str">
        <f>IF(G14,$H$14,$I$14)</f>
        <v>90</v>
      </c>
    </row>
    <row r="15" spans="1:56">
      <c r="E15" s="4">
        <f t="shared" si="0"/>
        <v>15</v>
      </c>
      <c r="F15" s="9" t="s">
        <v>98</v>
      </c>
      <c r="G15" s="22" t="b">
        <f>MOD(B8,2)=0</f>
        <v>0</v>
      </c>
      <c r="K15" s="9" t="s">
        <v>136</v>
      </c>
      <c r="M15" s="22" t="str">
        <f>CONCATENATE(ROUND($I$16+$J$16*(MOD(D8-1,$G$9)+1),10),",",IF(G15,$G$16,$H$16))</f>
        <v>4,-6</v>
      </c>
    </row>
    <row r="16" spans="1:56">
      <c r="E16" s="4"/>
      <c r="G16" s="22" t="s">
        <v>24</v>
      </c>
      <c r="H16" s="9" t="s">
        <v>146</v>
      </c>
      <c r="I16" s="24">
        <v>4.8</v>
      </c>
      <c r="J16" s="9" t="s">
        <v>147</v>
      </c>
    </row>
    <row r="17" spans="1:13">
      <c r="E17" s="4">
        <f t="shared" si="0"/>
        <v>17</v>
      </c>
      <c r="F17" s="9" t="s">
        <v>30</v>
      </c>
      <c r="M17" s="22">
        <v>1.4</v>
      </c>
    </row>
    <row r="18" spans="1:13">
      <c r="E18" s="4">
        <f t="shared" si="0"/>
        <v>18</v>
      </c>
      <c r="F18" s="9" t="s">
        <v>31</v>
      </c>
      <c r="G18" s="22" t="b">
        <f>MOD(B8,2)=0</f>
        <v>0</v>
      </c>
      <c r="H18" s="22">
        <v>-90</v>
      </c>
      <c r="I18" s="9" t="s">
        <v>148</v>
      </c>
      <c r="L18" s="9" t="s">
        <v>134</v>
      </c>
      <c r="M18" s="22" t="str">
        <f>IF(G18,$H$18,$I$18)</f>
        <v>90</v>
      </c>
    </row>
    <row r="19" spans="1:13">
      <c r="E19" s="4">
        <f t="shared" si="0"/>
        <v>19</v>
      </c>
      <c r="F19" s="9" t="s">
        <v>101</v>
      </c>
      <c r="M19" s="22">
        <f>M9*10+1</f>
        <v>108011</v>
      </c>
    </row>
    <row r="20" spans="1:13">
      <c r="E20" s="4">
        <f t="shared" si="0"/>
        <v>20</v>
      </c>
      <c r="F20" s="9" t="s">
        <v>143</v>
      </c>
      <c r="M20" s="22">
        <f>M9</f>
        <v>10801</v>
      </c>
    </row>
    <row r="21" spans="1:13">
      <c r="E21" s="4">
        <f t="shared" si="0"/>
        <v>21</v>
      </c>
      <c r="F21" s="9" t="s">
        <v>127</v>
      </c>
      <c r="G21" s="9"/>
      <c r="H21" s="9"/>
      <c r="I21" s="9"/>
      <c r="J21" s="9"/>
      <c r="M21" s="22">
        <v>0</v>
      </c>
    </row>
    <row r="22" spans="1:13">
      <c r="E22" s="4">
        <f t="shared" si="0"/>
        <v>22</v>
      </c>
      <c r="F22" s="9" t="s">
        <v>35</v>
      </c>
      <c r="G22" s="22" t="b">
        <f>MOD(D8,2)=0</f>
        <v>0</v>
      </c>
      <c r="H22" s="22">
        <v>220</v>
      </c>
      <c r="I22" s="9" t="s">
        <v>149</v>
      </c>
      <c r="J22" s="22">
        <v>0</v>
      </c>
      <c r="M22" s="22">
        <f>$H$22+IF(G22,$I$22,$J$22)</f>
        <v>220</v>
      </c>
    </row>
    <row r="23" spans="1:13">
      <c r="E23" s="4">
        <f t="shared" si="0"/>
        <v>23</v>
      </c>
      <c r="F23" s="9" t="s">
        <v>30</v>
      </c>
      <c r="M23" s="22">
        <v>0</v>
      </c>
    </row>
    <row r="24" spans="1:13">
      <c r="E24" s="4">
        <f t="shared" si="0"/>
        <v>24</v>
      </c>
      <c r="F24" s="9" t="s">
        <v>113</v>
      </c>
      <c r="L24" s="9" t="s">
        <v>134</v>
      </c>
      <c r="M24" s="22" t="str">
        <f>M14</f>
        <v>90</v>
      </c>
    </row>
    <row r="25" spans="1:13">
      <c r="E25" s="4">
        <f t="shared" si="0"/>
        <v>25</v>
      </c>
      <c r="F25" s="9" t="s">
        <v>101</v>
      </c>
      <c r="M25" s="22">
        <f>M9*10+2</f>
        <v>108012</v>
      </c>
    </row>
    <row r="26" spans="1:13">
      <c r="E26" s="4">
        <f t="shared" si="0"/>
        <v>26</v>
      </c>
      <c r="F26" s="9" t="s">
        <v>143</v>
      </c>
      <c r="M26" s="22">
        <f>M19</f>
        <v>108011</v>
      </c>
    </row>
    <row r="27" spans="1:13">
      <c r="E27" s="4">
        <f t="shared" si="0"/>
        <v>27</v>
      </c>
      <c r="F27" s="9" t="s">
        <v>127</v>
      </c>
      <c r="M27" s="22">
        <v>0</v>
      </c>
    </row>
    <row r="28" spans="1:13">
      <c r="E28" s="4">
        <f t="shared" si="0"/>
        <v>28</v>
      </c>
      <c r="F28" s="9" t="s">
        <v>30</v>
      </c>
      <c r="M28" s="22">
        <v>2</v>
      </c>
    </row>
    <row r="29" spans="1:13">
      <c r="E29" s="4">
        <f t="shared" si="0"/>
        <v>29</v>
      </c>
      <c r="F29" s="9" t="s">
        <v>113</v>
      </c>
      <c r="L29" s="9" t="s">
        <v>134</v>
      </c>
      <c r="M29" s="22" t="str">
        <f>M24</f>
        <v>90</v>
      </c>
    </row>
    <row r="30" spans="1:13">
      <c r="A30" s="21" t="s">
        <v>233</v>
      </c>
      <c r="B30" s="21">
        <f t="shared" ref="B30" si="1">QUOTIENT( D30-1,G31)+1</f>
        <v>1</v>
      </c>
      <c r="C30" s="21">
        <f t="shared" ref="C30" si="2">D30-(B30-1)*G31</f>
        <v>2</v>
      </c>
      <c r="D30" s="21">
        <f>COUNT($D$7:$D29)+1</f>
        <v>2</v>
      </c>
      <c r="E30" s="4"/>
    </row>
    <row r="31" spans="1:13">
      <c r="E31" s="4">
        <f t="shared" si="0"/>
        <v>31</v>
      </c>
      <c r="F31" s="9" t="s">
        <v>93</v>
      </c>
      <c r="G31" s="22">
        <v>11</v>
      </c>
      <c r="H31" s="22">
        <v>2</v>
      </c>
      <c r="J31" s="22">
        <v>10800</v>
      </c>
      <c r="M31" s="22">
        <f t="shared" ref="M31" si="3">J31+D30</f>
        <v>10802</v>
      </c>
    </row>
    <row r="32" spans="1:13">
      <c r="E32" s="4">
        <f t="shared" si="0"/>
        <v>32</v>
      </c>
      <c r="F32" s="9" t="s">
        <v>150</v>
      </c>
      <c r="M32" s="22">
        <v>2050</v>
      </c>
    </row>
    <row r="33" spans="5:13">
      <c r="E33" s="4">
        <f t="shared" si="0"/>
        <v>33</v>
      </c>
      <c r="F33" s="9" t="s">
        <v>35</v>
      </c>
      <c r="M33" s="22">
        <v>60</v>
      </c>
    </row>
    <row r="34" spans="5:13">
      <c r="E34" s="4">
        <f t="shared" si="0"/>
        <v>34</v>
      </c>
      <c r="F34" s="9" t="s">
        <v>29</v>
      </c>
      <c r="M34" s="22" t="s">
        <v>145</v>
      </c>
    </row>
    <row r="35" spans="5:13">
      <c r="E35" s="4">
        <f t="shared" si="0"/>
        <v>35</v>
      </c>
      <c r="F35" s="9" t="s">
        <v>118</v>
      </c>
      <c r="M35" s="22" t="s">
        <v>144</v>
      </c>
    </row>
    <row r="36" spans="5:13">
      <c r="E36" s="4">
        <f t="shared" si="0"/>
        <v>36</v>
      </c>
      <c r="F36" s="9" t="s">
        <v>113</v>
      </c>
      <c r="G36" s="22" t="b">
        <f t="shared" ref="G36" si="4">MOD(B30,2)=0</f>
        <v>0</v>
      </c>
      <c r="H36" s="22">
        <v>-90</v>
      </c>
      <c r="I36" s="22" t="s">
        <v>234</v>
      </c>
      <c r="L36" s="9" t="s">
        <v>134</v>
      </c>
      <c r="M36" s="22" t="str">
        <f t="shared" ref="M36" si="5">IF(G36,$H$14,$I$14)</f>
        <v>90</v>
      </c>
    </row>
    <row r="37" spans="5:13">
      <c r="E37" s="4">
        <f t="shared" si="0"/>
        <v>37</v>
      </c>
      <c r="F37" s="9" t="s">
        <v>98</v>
      </c>
      <c r="G37" s="22" t="b">
        <f t="shared" ref="G37" si="6">MOD(B30,2)=0</f>
        <v>0</v>
      </c>
      <c r="K37" s="9" t="s">
        <v>136</v>
      </c>
      <c r="M37" s="22" t="str">
        <f t="shared" ref="M37" si="7">CONCATENATE(ROUND($I$16+$J$16*(MOD(D30-1,$G$9)+1),10),",",IF(G37,$G$16,$H$16))</f>
        <v>3.2,-6</v>
      </c>
    </row>
    <row r="38" spans="5:13">
      <c r="E38" s="4"/>
      <c r="G38" s="22" t="s">
        <v>32</v>
      </c>
      <c r="H38" s="22" t="s">
        <v>235</v>
      </c>
      <c r="I38" s="22">
        <v>4.8</v>
      </c>
      <c r="J38" s="22" t="s">
        <v>236</v>
      </c>
    </row>
    <row r="39" spans="5:13">
      <c r="E39" s="4">
        <f t="shared" si="0"/>
        <v>39</v>
      </c>
      <c r="F39" s="9" t="s">
        <v>30</v>
      </c>
      <c r="M39" s="22">
        <v>1.4</v>
      </c>
    </row>
    <row r="40" spans="5:13">
      <c r="E40" s="4">
        <f t="shared" si="0"/>
        <v>40</v>
      </c>
      <c r="F40" s="9" t="s">
        <v>31</v>
      </c>
      <c r="G40" s="22" t="b">
        <f t="shared" ref="G40" si="8">MOD(B30,2)=0</f>
        <v>0</v>
      </c>
      <c r="H40" s="22">
        <v>-90</v>
      </c>
      <c r="I40" s="22" t="s">
        <v>234</v>
      </c>
      <c r="L40" s="9" t="s">
        <v>134</v>
      </c>
      <c r="M40" s="22" t="str">
        <f t="shared" ref="M40" si="9">IF(G40,$H$18,$I$18)</f>
        <v>90</v>
      </c>
    </row>
    <row r="41" spans="5:13">
      <c r="E41" s="4">
        <f t="shared" si="0"/>
        <v>41</v>
      </c>
      <c r="F41" s="9" t="s">
        <v>101</v>
      </c>
      <c r="M41" s="22">
        <f t="shared" ref="M41" si="10">M31*10+1</f>
        <v>108021</v>
      </c>
    </row>
    <row r="42" spans="5:13">
      <c r="E42" s="4">
        <f t="shared" si="0"/>
        <v>42</v>
      </c>
      <c r="F42" s="9" t="s">
        <v>143</v>
      </c>
      <c r="M42" s="22">
        <f t="shared" ref="M42" si="11">M31</f>
        <v>10802</v>
      </c>
    </row>
    <row r="43" spans="5:13">
      <c r="E43" s="4">
        <f t="shared" si="0"/>
        <v>43</v>
      </c>
      <c r="F43" s="9" t="s">
        <v>127</v>
      </c>
      <c r="G43" s="9"/>
      <c r="H43" s="9"/>
      <c r="I43" s="9"/>
      <c r="J43" s="9"/>
      <c r="M43" s="22">
        <v>0</v>
      </c>
    </row>
    <row r="44" spans="5:13">
      <c r="E44" s="4">
        <f t="shared" si="0"/>
        <v>44</v>
      </c>
      <c r="F44" s="9" t="s">
        <v>35</v>
      </c>
      <c r="G44" s="22" t="b">
        <f t="shared" ref="G44" si="12">MOD(D30,2)=0</f>
        <v>1</v>
      </c>
      <c r="H44" s="22">
        <v>220</v>
      </c>
      <c r="I44" s="22" t="s">
        <v>237</v>
      </c>
      <c r="J44" s="22">
        <v>0</v>
      </c>
      <c r="M44" s="22">
        <f t="shared" ref="M44" si="13">$H$22+IF(G44,$I$22,$J$22)</f>
        <v>300</v>
      </c>
    </row>
    <row r="45" spans="5:13">
      <c r="E45" s="4">
        <f t="shared" si="0"/>
        <v>45</v>
      </c>
      <c r="F45" s="9" t="s">
        <v>30</v>
      </c>
      <c r="M45" s="22">
        <v>0</v>
      </c>
    </row>
    <row r="46" spans="5:13">
      <c r="E46" s="4">
        <f t="shared" si="0"/>
        <v>46</v>
      </c>
      <c r="F46" s="9" t="s">
        <v>113</v>
      </c>
      <c r="L46" s="9" t="s">
        <v>134</v>
      </c>
      <c r="M46" s="22" t="str">
        <f t="shared" ref="M46" si="14">M36</f>
        <v>90</v>
      </c>
    </row>
    <row r="47" spans="5:13">
      <c r="E47" s="4">
        <f t="shared" si="0"/>
        <v>47</v>
      </c>
      <c r="F47" s="9" t="s">
        <v>101</v>
      </c>
      <c r="M47" s="22">
        <f t="shared" ref="M47" si="15">M31*10+2</f>
        <v>108022</v>
      </c>
    </row>
    <row r="48" spans="5:13">
      <c r="E48" s="4">
        <f t="shared" si="0"/>
        <v>48</v>
      </c>
      <c r="F48" s="9" t="s">
        <v>143</v>
      </c>
      <c r="M48" s="22">
        <f t="shared" ref="M48" si="16">M41</f>
        <v>108021</v>
      </c>
    </row>
    <row r="49" spans="1:13">
      <c r="E49" s="4">
        <f t="shared" si="0"/>
        <v>49</v>
      </c>
      <c r="F49" s="9" t="s">
        <v>127</v>
      </c>
      <c r="M49" s="22">
        <v>0</v>
      </c>
    </row>
    <row r="50" spans="1:13">
      <c r="E50" s="4">
        <f t="shared" si="0"/>
        <v>50</v>
      </c>
      <c r="F50" s="9" t="s">
        <v>30</v>
      </c>
      <c r="M50" s="22">
        <v>2</v>
      </c>
    </row>
    <row r="51" spans="1:13">
      <c r="E51" s="4">
        <f t="shared" si="0"/>
        <v>51</v>
      </c>
      <c r="F51" s="9" t="s">
        <v>113</v>
      </c>
      <c r="L51" s="9" t="s">
        <v>134</v>
      </c>
      <c r="M51" s="22" t="str">
        <f t="shared" ref="M51" si="17">M46</f>
        <v>90</v>
      </c>
    </row>
    <row r="52" spans="1:13">
      <c r="A52" s="21" t="s">
        <v>233</v>
      </c>
      <c r="B52" s="21">
        <f t="shared" ref="B52" si="18">QUOTIENT( D52-1,G53)+1</f>
        <v>1</v>
      </c>
      <c r="C52" s="21">
        <f t="shared" ref="C52" si="19">D52-(B52-1)*G53</f>
        <v>3</v>
      </c>
      <c r="D52" s="21">
        <f>COUNT($D$7:$D51)+1</f>
        <v>3</v>
      </c>
      <c r="E52" s="4"/>
    </row>
    <row r="53" spans="1:13">
      <c r="E53" s="4">
        <f t="shared" si="0"/>
        <v>53</v>
      </c>
      <c r="F53" s="9" t="s">
        <v>93</v>
      </c>
      <c r="G53" s="22">
        <v>11</v>
      </c>
      <c r="H53" s="22">
        <v>2</v>
      </c>
      <c r="J53" s="22">
        <v>10800</v>
      </c>
      <c r="M53" s="22">
        <f t="shared" ref="M53" si="20">J53+D52</f>
        <v>10803</v>
      </c>
    </row>
    <row r="54" spans="1:13">
      <c r="E54" s="4">
        <f t="shared" si="0"/>
        <v>54</v>
      </c>
      <c r="F54" s="9" t="s">
        <v>150</v>
      </c>
      <c r="M54" s="22">
        <v>2050</v>
      </c>
    </row>
    <row r="55" spans="1:13">
      <c r="E55" s="4">
        <f t="shared" si="0"/>
        <v>55</v>
      </c>
      <c r="F55" s="9" t="s">
        <v>35</v>
      </c>
      <c r="M55" s="22">
        <v>60</v>
      </c>
    </row>
    <row r="56" spans="1:13">
      <c r="E56" s="4">
        <f t="shared" si="0"/>
        <v>56</v>
      </c>
      <c r="F56" s="9" t="s">
        <v>29</v>
      </c>
      <c r="M56" s="22" t="s">
        <v>145</v>
      </c>
    </row>
    <row r="57" spans="1:13">
      <c r="E57" s="4">
        <f t="shared" si="0"/>
        <v>57</v>
      </c>
      <c r="F57" s="9" t="s">
        <v>118</v>
      </c>
      <c r="M57" s="22" t="s">
        <v>144</v>
      </c>
    </row>
    <row r="58" spans="1:13">
      <c r="E58" s="4">
        <f t="shared" si="0"/>
        <v>58</v>
      </c>
      <c r="F58" s="9" t="s">
        <v>113</v>
      </c>
      <c r="G58" s="22" t="b">
        <f t="shared" ref="G58" si="21">MOD(B52,2)=0</f>
        <v>0</v>
      </c>
      <c r="H58" s="22">
        <v>-90</v>
      </c>
      <c r="I58" s="22" t="s">
        <v>234</v>
      </c>
      <c r="L58" s="9" t="s">
        <v>134</v>
      </c>
      <c r="M58" s="22" t="str">
        <f t="shared" ref="M58" si="22">IF(G58,$H$14,$I$14)</f>
        <v>90</v>
      </c>
    </row>
    <row r="59" spans="1:13">
      <c r="E59" s="4">
        <f t="shared" si="0"/>
        <v>59</v>
      </c>
      <c r="F59" s="9" t="s">
        <v>98</v>
      </c>
      <c r="G59" s="22" t="b">
        <f t="shared" ref="G59" si="23">MOD(B52,2)=0</f>
        <v>0</v>
      </c>
      <c r="K59" s="9" t="s">
        <v>136</v>
      </c>
      <c r="M59" s="22" t="str">
        <f t="shared" ref="M59" si="24">CONCATENATE(ROUND($I$16+$J$16*(MOD(D52-1,$G$9)+1),10),",",IF(G59,$G$16,$H$16))</f>
        <v>2.4,-6</v>
      </c>
    </row>
    <row r="60" spans="1:13">
      <c r="E60" s="4"/>
      <c r="G60" s="22" t="s">
        <v>32</v>
      </c>
      <c r="H60" s="22" t="s">
        <v>235</v>
      </c>
      <c r="I60" s="22">
        <v>4.8</v>
      </c>
      <c r="J60" s="22" t="s">
        <v>236</v>
      </c>
    </row>
    <row r="61" spans="1:13">
      <c r="E61" s="4">
        <f t="shared" si="0"/>
        <v>61</v>
      </c>
      <c r="F61" s="9" t="s">
        <v>30</v>
      </c>
      <c r="M61" s="22">
        <v>1.4</v>
      </c>
    </row>
    <row r="62" spans="1:13">
      <c r="E62" s="4">
        <f t="shared" si="0"/>
        <v>62</v>
      </c>
      <c r="F62" s="9" t="s">
        <v>31</v>
      </c>
      <c r="G62" s="22" t="b">
        <f t="shared" ref="G62" si="25">MOD(B52,2)=0</f>
        <v>0</v>
      </c>
      <c r="H62" s="22">
        <v>-90</v>
      </c>
      <c r="I62" s="22" t="s">
        <v>234</v>
      </c>
      <c r="L62" s="9" t="s">
        <v>134</v>
      </c>
      <c r="M62" s="22" t="str">
        <f t="shared" ref="M62" si="26">IF(G62,$H$18,$I$18)</f>
        <v>90</v>
      </c>
    </row>
    <row r="63" spans="1:13">
      <c r="E63" s="4">
        <f t="shared" si="0"/>
        <v>63</v>
      </c>
      <c r="F63" s="9" t="s">
        <v>101</v>
      </c>
      <c r="M63" s="22">
        <f t="shared" ref="M63" si="27">M53*10+1</f>
        <v>108031</v>
      </c>
    </row>
    <row r="64" spans="1:13">
      <c r="E64" s="4">
        <f t="shared" si="0"/>
        <v>64</v>
      </c>
      <c r="F64" s="9" t="s">
        <v>143</v>
      </c>
      <c r="M64" s="22">
        <f t="shared" ref="M64" si="28">M53</f>
        <v>10803</v>
      </c>
    </row>
    <row r="65" spans="1:13">
      <c r="E65" s="4">
        <f t="shared" si="0"/>
        <v>65</v>
      </c>
      <c r="F65" s="9" t="s">
        <v>127</v>
      </c>
      <c r="M65" s="22">
        <v>0</v>
      </c>
    </row>
    <row r="66" spans="1:13">
      <c r="E66" s="4">
        <f t="shared" si="0"/>
        <v>66</v>
      </c>
      <c r="F66" s="9" t="s">
        <v>35</v>
      </c>
      <c r="G66" s="9" t="b">
        <f t="shared" ref="G66" si="29">MOD(D52,2)=0</f>
        <v>0</v>
      </c>
      <c r="H66" s="9">
        <v>220</v>
      </c>
      <c r="I66" s="9" t="s">
        <v>237</v>
      </c>
      <c r="J66" s="9">
        <v>0</v>
      </c>
      <c r="M66" s="22">
        <f t="shared" ref="M66" si="30">$H$22+IF(G66,$I$22,$J$22)</f>
        <v>220</v>
      </c>
    </row>
    <row r="67" spans="1:13">
      <c r="E67" s="4">
        <f t="shared" si="0"/>
        <v>67</v>
      </c>
      <c r="F67" s="9" t="s">
        <v>30</v>
      </c>
      <c r="M67" s="22">
        <v>0</v>
      </c>
    </row>
    <row r="68" spans="1:13">
      <c r="E68" s="4">
        <f t="shared" si="0"/>
        <v>68</v>
      </c>
      <c r="F68" s="9" t="s">
        <v>113</v>
      </c>
      <c r="L68" s="9" t="s">
        <v>134</v>
      </c>
      <c r="M68" s="22" t="str">
        <f t="shared" ref="M68" si="31">M58</f>
        <v>90</v>
      </c>
    </row>
    <row r="69" spans="1:13">
      <c r="E69" s="4">
        <f t="shared" si="0"/>
        <v>69</v>
      </c>
      <c r="F69" s="9" t="s">
        <v>101</v>
      </c>
      <c r="M69" s="22">
        <f t="shared" ref="M69" si="32">M53*10+2</f>
        <v>108032</v>
      </c>
    </row>
    <row r="70" spans="1:13">
      <c r="E70" s="4">
        <f t="shared" si="0"/>
        <v>70</v>
      </c>
      <c r="F70" s="9" t="s">
        <v>143</v>
      </c>
      <c r="M70" s="22">
        <f t="shared" ref="M70" si="33">M63</f>
        <v>108031</v>
      </c>
    </row>
    <row r="71" spans="1:13">
      <c r="E71" s="4">
        <f t="shared" si="0"/>
        <v>71</v>
      </c>
      <c r="F71" s="9" t="s">
        <v>127</v>
      </c>
      <c r="M71" s="22">
        <v>0</v>
      </c>
    </row>
    <row r="72" spans="1:13">
      <c r="E72" s="4">
        <f t="shared" si="0"/>
        <v>72</v>
      </c>
      <c r="F72" s="9" t="s">
        <v>30</v>
      </c>
      <c r="M72" s="22">
        <v>2</v>
      </c>
    </row>
    <row r="73" spans="1:13">
      <c r="E73" s="4">
        <f t="shared" ref="E73:E136" si="34">ROW(E73)</f>
        <v>73</v>
      </c>
      <c r="F73" s="9" t="s">
        <v>113</v>
      </c>
      <c r="L73" s="9" t="s">
        <v>134</v>
      </c>
      <c r="M73" s="22" t="str">
        <f t="shared" ref="M73" si="35">M68</f>
        <v>90</v>
      </c>
    </row>
    <row r="74" spans="1:13">
      <c r="A74" s="21" t="s">
        <v>233</v>
      </c>
      <c r="B74" s="21">
        <f t="shared" ref="B74" si="36">QUOTIENT( D74-1,G75)+1</f>
        <v>1</v>
      </c>
      <c r="C74" s="21">
        <f t="shared" ref="C74" si="37">D74-(B74-1)*G75</f>
        <v>4</v>
      </c>
      <c r="D74" s="21">
        <f>COUNT($D$7:$D73)+1</f>
        <v>4</v>
      </c>
      <c r="E74" s="4"/>
    </row>
    <row r="75" spans="1:13">
      <c r="E75" s="4">
        <f t="shared" si="34"/>
        <v>75</v>
      </c>
      <c r="F75" s="9" t="s">
        <v>93</v>
      </c>
      <c r="G75" s="22">
        <v>11</v>
      </c>
      <c r="H75" s="22">
        <v>2</v>
      </c>
      <c r="J75" s="22">
        <v>10800</v>
      </c>
      <c r="M75" s="22">
        <f t="shared" ref="M75" si="38">J75+D74</f>
        <v>10804</v>
      </c>
    </row>
    <row r="76" spans="1:13">
      <c r="E76" s="4">
        <f t="shared" si="34"/>
        <v>76</v>
      </c>
      <c r="F76" s="9" t="s">
        <v>150</v>
      </c>
      <c r="M76" s="22">
        <v>2050</v>
      </c>
    </row>
    <row r="77" spans="1:13">
      <c r="E77" s="4">
        <f t="shared" si="34"/>
        <v>77</v>
      </c>
      <c r="F77" s="9" t="s">
        <v>35</v>
      </c>
      <c r="M77" s="22">
        <v>60</v>
      </c>
    </row>
    <row r="78" spans="1:13">
      <c r="E78" s="4">
        <f t="shared" si="34"/>
        <v>78</v>
      </c>
      <c r="F78" s="9" t="s">
        <v>29</v>
      </c>
      <c r="M78" s="22" t="s">
        <v>145</v>
      </c>
    </row>
    <row r="79" spans="1:13">
      <c r="E79" s="4">
        <f t="shared" si="34"/>
        <v>79</v>
      </c>
      <c r="F79" s="9" t="s">
        <v>118</v>
      </c>
      <c r="M79" s="22" t="s">
        <v>144</v>
      </c>
    </row>
    <row r="80" spans="1:13">
      <c r="E80" s="4">
        <f t="shared" si="34"/>
        <v>80</v>
      </c>
      <c r="F80" s="9" t="s">
        <v>113</v>
      </c>
      <c r="G80" s="22" t="b">
        <f t="shared" ref="G80" si="39">MOD(B74,2)=0</f>
        <v>0</v>
      </c>
      <c r="H80" s="22">
        <v>-90</v>
      </c>
      <c r="I80" s="22" t="s">
        <v>234</v>
      </c>
      <c r="L80" s="9" t="s">
        <v>134</v>
      </c>
      <c r="M80" s="22" t="str">
        <f t="shared" ref="M80" si="40">IF(G80,$H$14,$I$14)</f>
        <v>90</v>
      </c>
    </row>
    <row r="81" spans="1:13">
      <c r="E81" s="4">
        <f t="shared" si="34"/>
        <v>81</v>
      </c>
      <c r="F81" s="9" t="s">
        <v>98</v>
      </c>
      <c r="G81" s="22" t="b">
        <f t="shared" ref="G81" si="41">MOD(B74,2)=0</f>
        <v>0</v>
      </c>
      <c r="K81" s="9" t="s">
        <v>136</v>
      </c>
      <c r="M81" s="22" t="str">
        <f t="shared" ref="M81" si="42">CONCATENATE(ROUND($I$16+$J$16*(MOD(D74-1,$G$9)+1),10),",",IF(G81,$G$16,$H$16))</f>
        <v>1.6,-6</v>
      </c>
    </row>
    <row r="82" spans="1:13">
      <c r="E82" s="4"/>
      <c r="G82" s="22" t="s">
        <v>32</v>
      </c>
      <c r="H82" s="22" t="s">
        <v>235</v>
      </c>
      <c r="I82" s="22">
        <v>4.8</v>
      </c>
      <c r="J82" s="22" t="s">
        <v>236</v>
      </c>
    </row>
    <row r="83" spans="1:13">
      <c r="E83" s="4">
        <f t="shared" si="34"/>
        <v>83</v>
      </c>
      <c r="F83" s="9" t="s">
        <v>30</v>
      </c>
      <c r="M83" s="22">
        <v>1.4</v>
      </c>
    </row>
    <row r="84" spans="1:13">
      <c r="E84" s="4">
        <f t="shared" si="34"/>
        <v>84</v>
      </c>
      <c r="F84" s="9" t="s">
        <v>31</v>
      </c>
      <c r="G84" s="22" t="b">
        <f t="shared" ref="G84" si="43">MOD(B74,2)=0</f>
        <v>0</v>
      </c>
      <c r="H84" s="22">
        <v>-90</v>
      </c>
      <c r="I84" s="22" t="s">
        <v>234</v>
      </c>
      <c r="L84" s="9" t="s">
        <v>134</v>
      </c>
      <c r="M84" s="22" t="str">
        <f t="shared" ref="M84" si="44">IF(G84,$H$18,$I$18)</f>
        <v>90</v>
      </c>
    </row>
    <row r="85" spans="1:13">
      <c r="E85" s="4">
        <f t="shared" si="34"/>
        <v>85</v>
      </c>
      <c r="F85" s="9" t="s">
        <v>101</v>
      </c>
      <c r="M85" s="22">
        <f t="shared" ref="M85" si="45">M75*10+1</f>
        <v>108041</v>
      </c>
    </row>
    <row r="86" spans="1:13">
      <c r="E86" s="4">
        <f t="shared" si="34"/>
        <v>86</v>
      </c>
      <c r="F86" s="9" t="s">
        <v>143</v>
      </c>
      <c r="M86" s="22">
        <f t="shared" ref="M86" si="46">M75</f>
        <v>10804</v>
      </c>
    </row>
    <row r="87" spans="1:13">
      <c r="E87" s="4">
        <f t="shared" si="34"/>
        <v>87</v>
      </c>
      <c r="F87" s="9" t="s">
        <v>127</v>
      </c>
      <c r="M87" s="22">
        <v>0</v>
      </c>
    </row>
    <row r="88" spans="1:13">
      <c r="E88" s="4">
        <f t="shared" si="34"/>
        <v>88</v>
      </c>
      <c r="F88" s="9" t="s">
        <v>35</v>
      </c>
      <c r="G88" s="22" t="b">
        <f t="shared" ref="G88" si="47">MOD(D74,2)=0</f>
        <v>1</v>
      </c>
      <c r="H88" s="22">
        <v>220</v>
      </c>
      <c r="I88" s="22" t="s">
        <v>237</v>
      </c>
      <c r="J88" s="22">
        <v>0</v>
      </c>
      <c r="M88" s="22">
        <f t="shared" ref="M88" si="48">$H$22+IF(G88,$I$22,$J$22)</f>
        <v>300</v>
      </c>
    </row>
    <row r="89" spans="1:13">
      <c r="E89" s="4">
        <f t="shared" si="34"/>
        <v>89</v>
      </c>
      <c r="F89" s="9" t="s">
        <v>30</v>
      </c>
      <c r="G89" s="9"/>
      <c r="H89" s="9"/>
      <c r="I89" s="9"/>
      <c r="J89" s="9"/>
      <c r="M89" s="22">
        <v>0</v>
      </c>
    </row>
    <row r="90" spans="1:13">
      <c r="E90" s="4">
        <f t="shared" si="34"/>
        <v>90</v>
      </c>
      <c r="F90" s="9" t="s">
        <v>113</v>
      </c>
      <c r="L90" s="9" t="s">
        <v>134</v>
      </c>
      <c r="M90" s="22" t="str">
        <f t="shared" ref="M90" si="49">M80</f>
        <v>90</v>
      </c>
    </row>
    <row r="91" spans="1:13">
      <c r="E91" s="4">
        <f t="shared" si="34"/>
        <v>91</v>
      </c>
      <c r="F91" s="9" t="s">
        <v>101</v>
      </c>
      <c r="M91" s="22">
        <f t="shared" ref="M91" si="50">M75*10+2</f>
        <v>108042</v>
      </c>
    </row>
    <row r="92" spans="1:13">
      <c r="E92" s="4">
        <f t="shared" si="34"/>
        <v>92</v>
      </c>
      <c r="F92" s="9" t="s">
        <v>143</v>
      </c>
      <c r="M92" s="22">
        <f t="shared" ref="M92" si="51">M85</f>
        <v>108041</v>
      </c>
    </row>
    <row r="93" spans="1:13">
      <c r="E93" s="4">
        <f t="shared" si="34"/>
        <v>93</v>
      </c>
      <c r="F93" s="9" t="s">
        <v>127</v>
      </c>
      <c r="M93" s="22">
        <v>0</v>
      </c>
    </row>
    <row r="94" spans="1:13">
      <c r="E94" s="4">
        <f t="shared" si="34"/>
        <v>94</v>
      </c>
      <c r="F94" s="9" t="s">
        <v>30</v>
      </c>
      <c r="M94" s="22">
        <v>2</v>
      </c>
    </row>
    <row r="95" spans="1:13">
      <c r="E95" s="4">
        <f t="shared" si="34"/>
        <v>95</v>
      </c>
      <c r="F95" s="9" t="s">
        <v>113</v>
      </c>
      <c r="L95" s="9" t="s">
        <v>134</v>
      </c>
      <c r="M95" s="22" t="str">
        <f t="shared" ref="M95" si="52">M90</f>
        <v>90</v>
      </c>
    </row>
    <row r="96" spans="1:13">
      <c r="A96" s="21" t="s">
        <v>233</v>
      </c>
      <c r="B96" s="21">
        <f t="shared" ref="B96" si="53">QUOTIENT( D96-1,G97)+1</f>
        <v>1</v>
      </c>
      <c r="C96" s="21">
        <f t="shared" ref="C96" si="54">D96-(B96-1)*G97</f>
        <v>5</v>
      </c>
      <c r="D96" s="21">
        <f>COUNT($D$7:$D95)+1</f>
        <v>5</v>
      </c>
      <c r="E96" s="4"/>
    </row>
    <row r="97" spans="5:13">
      <c r="E97" s="4">
        <f t="shared" si="34"/>
        <v>97</v>
      </c>
      <c r="F97" s="9" t="s">
        <v>93</v>
      </c>
      <c r="G97" s="22">
        <v>11</v>
      </c>
      <c r="H97" s="22">
        <v>2</v>
      </c>
      <c r="J97" s="22">
        <v>10800</v>
      </c>
      <c r="M97" s="22">
        <f t="shared" ref="M97" si="55">J97+D96</f>
        <v>10805</v>
      </c>
    </row>
    <row r="98" spans="5:13">
      <c r="E98" s="4">
        <f t="shared" si="34"/>
        <v>98</v>
      </c>
      <c r="F98" s="9" t="s">
        <v>150</v>
      </c>
      <c r="M98" s="22">
        <v>2050</v>
      </c>
    </row>
    <row r="99" spans="5:13">
      <c r="E99" s="4">
        <f t="shared" si="34"/>
        <v>99</v>
      </c>
      <c r="F99" s="9" t="s">
        <v>35</v>
      </c>
      <c r="M99" s="22">
        <v>60</v>
      </c>
    </row>
    <row r="100" spans="5:13">
      <c r="E100" s="4">
        <f t="shared" si="34"/>
        <v>100</v>
      </c>
      <c r="F100" s="9" t="s">
        <v>29</v>
      </c>
      <c r="M100" s="22" t="s">
        <v>145</v>
      </c>
    </row>
    <row r="101" spans="5:13">
      <c r="E101" s="4">
        <f t="shared" si="34"/>
        <v>101</v>
      </c>
      <c r="F101" s="9" t="s">
        <v>118</v>
      </c>
      <c r="M101" s="22" t="s">
        <v>144</v>
      </c>
    </row>
    <row r="102" spans="5:13">
      <c r="E102" s="4">
        <f t="shared" si="34"/>
        <v>102</v>
      </c>
      <c r="F102" s="9" t="s">
        <v>113</v>
      </c>
      <c r="G102" s="22" t="b">
        <f t="shared" ref="G102" si="56">MOD(B96,2)=0</f>
        <v>0</v>
      </c>
      <c r="H102" s="22">
        <v>-90</v>
      </c>
      <c r="I102" s="22" t="s">
        <v>234</v>
      </c>
      <c r="L102" s="9" t="s">
        <v>134</v>
      </c>
      <c r="M102" s="22" t="str">
        <f t="shared" ref="M102" si="57">IF(G102,$H$14,$I$14)</f>
        <v>90</v>
      </c>
    </row>
    <row r="103" spans="5:13">
      <c r="E103" s="4">
        <f t="shared" si="34"/>
        <v>103</v>
      </c>
      <c r="F103" s="9" t="s">
        <v>98</v>
      </c>
      <c r="G103" s="22" t="b">
        <f t="shared" ref="G103" si="58">MOD(B96,2)=0</f>
        <v>0</v>
      </c>
      <c r="K103" s="9" t="s">
        <v>136</v>
      </c>
      <c r="M103" s="22" t="str">
        <f t="shared" ref="M103" si="59">CONCATENATE(ROUND($I$16+$J$16*(MOD(D96-1,$G$9)+1),10),",",IF(G103,$G$16,$H$16))</f>
        <v>0.8,-6</v>
      </c>
    </row>
    <row r="104" spans="5:13">
      <c r="E104" s="4"/>
      <c r="G104" s="22" t="s">
        <v>32</v>
      </c>
      <c r="H104" s="22" t="s">
        <v>235</v>
      </c>
      <c r="I104" s="22">
        <v>4.8</v>
      </c>
      <c r="J104" s="22" t="s">
        <v>236</v>
      </c>
    </row>
    <row r="105" spans="5:13">
      <c r="E105" s="4">
        <f t="shared" si="34"/>
        <v>105</v>
      </c>
      <c r="F105" s="9" t="s">
        <v>30</v>
      </c>
      <c r="M105" s="22">
        <v>1.4</v>
      </c>
    </row>
    <row r="106" spans="5:13">
      <c r="E106" s="4">
        <f t="shared" si="34"/>
        <v>106</v>
      </c>
      <c r="F106" s="9" t="s">
        <v>31</v>
      </c>
      <c r="G106" s="22" t="b">
        <f t="shared" ref="G106" si="60">MOD(B96,2)=0</f>
        <v>0</v>
      </c>
      <c r="H106" s="22">
        <v>-90</v>
      </c>
      <c r="I106" s="22" t="s">
        <v>234</v>
      </c>
      <c r="L106" s="9" t="s">
        <v>134</v>
      </c>
      <c r="M106" s="22" t="str">
        <f t="shared" ref="M106" si="61">IF(G106,$H$18,$I$18)</f>
        <v>90</v>
      </c>
    </row>
    <row r="107" spans="5:13">
      <c r="E107" s="4">
        <f t="shared" si="34"/>
        <v>107</v>
      </c>
      <c r="F107" s="9" t="s">
        <v>101</v>
      </c>
      <c r="M107" s="22">
        <f t="shared" ref="M107" si="62">M97*10+1</f>
        <v>108051</v>
      </c>
    </row>
    <row r="108" spans="5:13">
      <c r="E108" s="4">
        <f t="shared" si="34"/>
        <v>108</v>
      </c>
      <c r="F108" s="9" t="s">
        <v>143</v>
      </c>
      <c r="M108" s="22">
        <f t="shared" ref="M108" si="63">M97</f>
        <v>10805</v>
      </c>
    </row>
    <row r="109" spans="5:13">
      <c r="E109" s="4">
        <f t="shared" si="34"/>
        <v>109</v>
      </c>
      <c r="F109" s="9" t="s">
        <v>127</v>
      </c>
      <c r="M109" s="22">
        <v>0</v>
      </c>
    </row>
    <row r="110" spans="5:13">
      <c r="E110" s="4">
        <f t="shared" si="34"/>
        <v>110</v>
      </c>
      <c r="F110" s="9" t="s">
        <v>35</v>
      </c>
      <c r="G110" s="22" t="b">
        <f t="shared" ref="G110" si="64">MOD(D96,2)=0</f>
        <v>0</v>
      </c>
      <c r="H110" s="22">
        <v>220</v>
      </c>
      <c r="I110" s="22" t="s">
        <v>237</v>
      </c>
      <c r="J110" s="22">
        <v>0</v>
      </c>
      <c r="M110" s="22">
        <f t="shared" ref="M110" si="65">$H$22+IF(G110,$I$22,$J$22)</f>
        <v>220</v>
      </c>
    </row>
    <row r="111" spans="5:13">
      <c r="E111" s="4">
        <f t="shared" si="34"/>
        <v>111</v>
      </c>
      <c r="F111" s="9" t="s">
        <v>30</v>
      </c>
      <c r="M111" s="22">
        <v>0</v>
      </c>
    </row>
    <row r="112" spans="5:13">
      <c r="E112" s="4">
        <f t="shared" si="34"/>
        <v>112</v>
      </c>
      <c r="F112" s="9" t="s">
        <v>113</v>
      </c>
      <c r="G112" s="9"/>
      <c r="H112" s="9"/>
      <c r="I112" s="9"/>
      <c r="J112" s="9"/>
      <c r="L112" s="9" t="s">
        <v>134</v>
      </c>
      <c r="M112" s="22" t="str">
        <f t="shared" ref="M112" si="66">M102</f>
        <v>90</v>
      </c>
    </row>
    <row r="113" spans="1:13">
      <c r="E113" s="4">
        <f t="shared" si="34"/>
        <v>113</v>
      </c>
      <c r="F113" s="9" t="s">
        <v>101</v>
      </c>
      <c r="M113" s="22">
        <f t="shared" ref="M113" si="67">M97*10+2</f>
        <v>108052</v>
      </c>
    </row>
    <row r="114" spans="1:13">
      <c r="E114" s="4">
        <f t="shared" si="34"/>
        <v>114</v>
      </c>
      <c r="F114" s="9" t="s">
        <v>143</v>
      </c>
      <c r="M114" s="22">
        <f t="shared" ref="M114" si="68">M107</f>
        <v>108051</v>
      </c>
    </row>
    <row r="115" spans="1:13">
      <c r="E115" s="4">
        <f t="shared" si="34"/>
        <v>115</v>
      </c>
      <c r="F115" s="9" t="s">
        <v>127</v>
      </c>
      <c r="M115" s="22">
        <v>0</v>
      </c>
    </row>
    <row r="116" spans="1:13">
      <c r="E116" s="4">
        <f t="shared" si="34"/>
        <v>116</v>
      </c>
      <c r="F116" s="9" t="s">
        <v>30</v>
      </c>
      <c r="M116" s="22">
        <v>2</v>
      </c>
    </row>
    <row r="117" spans="1:13">
      <c r="E117" s="4">
        <f t="shared" si="34"/>
        <v>117</v>
      </c>
      <c r="F117" s="9" t="s">
        <v>113</v>
      </c>
      <c r="L117" s="9" t="s">
        <v>134</v>
      </c>
      <c r="M117" s="22" t="str">
        <f t="shared" ref="M117" si="69">M112</f>
        <v>90</v>
      </c>
    </row>
    <row r="118" spans="1:13">
      <c r="A118" s="21" t="s">
        <v>233</v>
      </c>
      <c r="B118" s="21">
        <f t="shared" ref="B118" si="70">QUOTIENT( D118-1,G119)+1</f>
        <v>1</v>
      </c>
      <c r="C118" s="21">
        <f t="shared" ref="C118" si="71">D118-(B118-1)*G119</f>
        <v>6</v>
      </c>
      <c r="D118" s="21">
        <f>COUNT($D$7:$D117)+1</f>
        <v>6</v>
      </c>
      <c r="E118" s="4"/>
    </row>
    <row r="119" spans="1:13">
      <c r="E119" s="4">
        <f t="shared" si="34"/>
        <v>119</v>
      </c>
      <c r="F119" s="9" t="s">
        <v>93</v>
      </c>
      <c r="G119" s="22">
        <v>11</v>
      </c>
      <c r="H119" s="22">
        <v>2</v>
      </c>
      <c r="J119" s="22">
        <v>10800</v>
      </c>
      <c r="M119" s="22">
        <f t="shared" ref="M119" si="72">J119+D118</f>
        <v>10806</v>
      </c>
    </row>
    <row r="120" spans="1:13">
      <c r="E120" s="4">
        <f t="shared" si="34"/>
        <v>120</v>
      </c>
      <c r="F120" s="9" t="s">
        <v>150</v>
      </c>
      <c r="M120" s="22">
        <v>2050</v>
      </c>
    </row>
    <row r="121" spans="1:13">
      <c r="E121" s="4">
        <f t="shared" si="34"/>
        <v>121</v>
      </c>
      <c r="F121" s="9" t="s">
        <v>35</v>
      </c>
      <c r="M121" s="22">
        <v>60</v>
      </c>
    </row>
    <row r="122" spans="1:13">
      <c r="E122" s="4">
        <f t="shared" si="34"/>
        <v>122</v>
      </c>
      <c r="F122" s="9" t="s">
        <v>29</v>
      </c>
      <c r="M122" s="22" t="s">
        <v>145</v>
      </c>
    </row>
    <row r="123" spans="1:13">
      <c r="E123" s="4">
        <f t="shared" si="34"/>
        <v>123</v>
      </c>
      <c r="F123" s="9" t="s">
        <v>118</v>
      </c>
      <c r="M123" s="22" t="s">
        <v>144</v>
      </c>
    </row>
    <row r="124" spans="1:13">
      <c r="E124" s="4">
        <f t="shared" si="34"/>
        <v>124</v>
      </c>
      <c r="F124" s="9" t="s">
        <v>113</v>
      </c>
      <c r="G124" s="22" t="b">
        <f t="shared" ref="G124" si="73">MOD(B118,2)=0</f>
        <v>0</v>
      </c>
      <c r="H124" s="22">
        <v>-90</v>
      </c>
      <c r="I124" s="22" t="s">
        <v>234</v>
      </c>
      <c r="L124" s="9" t="s">
        <v>134</v>
      </c>
      <c r="M124" s="22" t="str">
        <f t="shared" ref="M124" si="74">IF(G124,$H$14,$I$14)</f>
        <v>90</v>
      </c>
    </row>
    <row r="125" spans="1:13">
      <c r="E125" s="4">
        <f t="shared" si="34"/>
        <v>125</v>
      </c>
      <c r="F125" s="9" t="s">
        <v>98</v>
      </c>
      <c r="G125" s="22" t="b">
        <f t="shared" ref="G125" si="75">MOD(B118,2)=0</f>
        <v>0</v>
      </c>
      <c r="K125" s="9" t="s">
        <v>136</v>
      </c>
      <c r="M125" s="22" t="str">
        <f t="shared" ref="M125" si="76">CONCATENATE(ROUND($I$16+$J$16*(MOD(D118-1,$G$9)+1),10),",",IF(G125,$G$16,$H$16))</f>
        <v>0,-6</v>
      </c>
    </row>
    <row r="126" spans="1:13">
      <c r="E126" s="4"/>
      <c r="G126" s="22" t="s">
        <v>32</v>
      </c>
      <c r="H126" s="22" t="s">
        <v>235</v>
      </c>
      <c r="I126" s="22">
        <v>4.8</v>
      </c>
      <c r="J126" s="22" t="s">
        <v>236</v>
      </c>
    </row>
    <row r="127" spans="1:13">
      <c r="E127" s="4">
        <f t="shared" si="34"/>
        <v>127</v>
      </c>
      <c r="F127" s="9" t="s">
        <v>30</v>
      </c>
      <c r="M127" s="22">
        <v>1.4</v>
      </c>
    </row>
    <row r="128" spans="1:13">
      <c r="E128" s="4">
        <f t="shared" si="34"/>
        <v>128</v>
      </c>
      <c r="F128" s="9" t="s">
        <v>31</v>
      </c>
      <c r="G128" s="22" t="b">
        <f t="shared" ref="G128" si="77">MOD(B118,2)=0</f>
        <v>0</v>
      </c>
      <c r="H128" s="22">
        <v>-90</v>
      </c>
      <c r="I128" s="22" t="s">
        <v>234</v>
      </c>
      <c r="L128" s="9" t="s">
        <v>134</v>
      </c>
      <c r="M128" s="22" t="str">
        <f t="shared" ref="M128" si="78">IF(G128,$H$18,$I$18)</f>
        <v>90</v>
      </c>
    </row>
    <row r="129" spans="1:16">
      <c r="E129" s="4">
        <f t="shared" si="34"/>
        <v>129</v>
      </c>
      <c r="F129" s="9" t="s">
        <v>101</v>
      </c>
      <c r="M129" s="22">
        <f t="shared" ref="M129" si="79">M119*10+1</f>
        <v>108061</v>
      </c>
    </row>
    <row r="130" spans="1:16">
      <c r="E130" s="4">
        <f t="shared" si="34"/>
        <v>130</v>
      </c>
      <c r="F130" s="9" t="s">
        <v>143</v>
      </c>
      <c r="M130" s="22">
        <f t="shared" ref="M130" si="80">M119</f>
        <v>10806</v>
      </c>
      <c r="N130" s="21"/>
      <c r="O130" s="21"/>
      <c r="P130" s="21"/>
    </row>
    <row r="131" spans="1:16">
      <c r="E131" s="4">
        <f t="shared" si="34"/>
        <v>131</v>
      </c>
      <c r="F131" s="9" t="s">
        <v>127</v>
      </c>
      <c r="M131" s="22">
        <v>0</v>
      </c>
    </row>
    <row r="132" spans="1:16">
      <c r="E132" s="4">
        <f t="shared" si="34"/>
        <v>132</v>
      </c>
      <c r="F132" s="9" t="s">
        <v>35</v>
      </c>
      <c r="G132" s="22" t="b">
        <f t="shared" ref="G132" si="81">MOD(D118,2)=0</f>
        <v>1</v>
      </c>
      <c r="H132" s="22">
        <v>220</v>
      </c>
      <c r="I132" s="22" t="s">
        <v>237</v>
      </c>
      <c r="J132" s="22">
        <v>0</v>
      </c>
      <c r="M132" s="22">
        <f t="shared" ref="M132" si="82">$H$22+IF(G132,$I$22,$J$22)</f>
        <v>300</v>
      </c>
    </row>
    <row r="133" spans="1:16">
      <c r="E133" s="4">
        <f t="shared" si="34"/>
        <v>133</v>
      </c>
      <c r="F133" s="9" t="s">
        <v>30</v>
      </c>
      <c r="M133" s="22">
        <v>0</v>
      </c>
    </row>
    <row r="134" spans="1:16">
      <c r="E134" s="4">
        <f t="shared" si="34"/>
        <v>134</v>
      </c>
      <c r="F134" s="9" t="s">
        <v>113</v>
      </c>
      <c r="L134" s="9" t="s">
        <v>134</v>
      </c>
      <c r="M134" s="22" t="str">
        <f t="shared" ref="M134" si="83">M124</f>
        <v>90</v>
      </c>
    </row>
    <row r="135" spans="1:16">
      <c r="E135" s="4">
        <f t="shared" si="34"/>
        <v>135</v>
      </c>
      <c r="F135" s="9" t="s">
        <v>101</v>
      </c>
      <c r="G135" s="9"/>
      <c r="H135" s="9"/>
      <c r="I135" s="9"/>
      <c r="J135" s="9"/>
      <c r="M135" s="22">
        <f t="shared" ref="M135" si="84">M119*10+2</f>
        <v>108062</v>
      </c>
    </row>
    <row r="136" spans="1:16">
      <c r="E136" s="4">
        <f t="shared" si="34"/>
        <v>136</v>
      </c>
      <c r="F136" s="9" t="s">
        <v>143</v>
      </c>
      <c r="M136" s="22">
        <f t="shared" ref="M136" si="85">M129</f>
        <v>108061</v>
      </c>
    </row>
    <row r="137" spans="1:16">
      <c r="E137" s="4">
        <f t="shared" ref="E137:E200" si="86">ROW(E137)</f>
        <v>137</v>
      </c>
      <c r="F137" s="9" t="s">
        <v>127</v>
      </c>
      <c r="M137" s="22">
        <v>0</v>
      </c>
    </row>
    <row r="138" spans="1:16">
      <c r="E138" s="4">
        <f t="shared" si="86"/>
        <v>138</v>
      </c>
      <c r="F138" s="9" t="s">
        <v>30</v>
      </c>
      <c r="M138" s="22">
        <v>2</v>
      </c>
    </row>
    <row r="139" spans="1:16">
      <c r="E139" s="4">
        <f t="shared" si="86"/>
        <v>139</v>
      </c>
      <c r="F139" s="9" t="s">
        <v>113</v>
      </c>
      <c r="L139" s="9" t="s">
        <v>134</v>
      </c>
      <c r="M139" s="22" t="str">
        <f t="shared" ref="M139" si="87">M134</f>
        <v>90</v>
      </c>
    </row>
    <row r="140" spans="1:16">
      <c r="A140" s="21" t="s">
        <v>233</v>
      </c>
      <c r="B140" s="21">
        <f t="shared" ref="B140" si="88">QUOTIENT( D140-1,G141)+1</f>
        <v>1</v>
      </c>
      <c r="C140" s="21">
        <f t="shared" ref="C140" si="89">D140-(B140-1)*G141</f>
        <v>7</v>
      </c>
      <c r="D140" s="21">
        <f>COUNT($D$7:$D139)+1</f>
        <v>7</v>
      </c>
      <c r="E140" s="4"/>
    </row>
    <row r="141" spans="1:16">
      <c r="E141" s="4">
        <f t="shared" si="86"/>
        <v>141</v>
      </c>
      <c r="F141" s="9" t="s">
        <v>93</v>
      </c>
      <c r="G141" s="22">
        <v>11</v>
      </c>
      <c r="H141" s="22">
        <v>2</v>
      </c>
      <c r="J141" s="22">
        <v>10800</v>
      </c>
      <c r="M141" s="22">
        <f t="shared" ref="M141" si="90">J141+D140</f>
        <v>10807</v>
      </c>
    </row>
    <row r="142" spans="1:16">
      <c r="E142" s="4">
        <f t="shared" si="86"/>
        <v>142</v>
      </c>
      <c r="F142" s="9" t="s">
        <v>150</v>
      </c>
      <c r="M142" s="22">
        <v>2050</v>
      </c>
    </row>
    <row r="143" spans="1:16">
      <c r="E143" s="4">
        <f t="shared" si="86"/>
        <v>143</v>
      </c>
      <c r="F143" s="9" t="s">
        <v>35</v>
      </c>
      <c r="M143" s="22">
        <v>60</v>
      </c>
    </row>
    <row r="144" spans="1:16">
      <c r="E144" s="4">
        <f t="shared" si="86"/>
        <v>144</v>
      </c>
      <c r="F144" s="9" t="s">
        <v>29</v>
      </c>
      <c r="M144" s="22" t="s">
        <v>145</v>
      </c>
    </row>
    <row r="145" spans="5:13">
      <c r="E145" s="4">
        <f t="shared" si="86"/>
        <v>145</v>
      </c>
      <c r="F145" s="9" t="s">
        <v>118</v>
      </c>
      <c r="M145" s="22" t="s">
        <v>144</v>
      </c>
    </row>
    <row r="146" spans="5:13">
      <c r="E146" s="4">
        <f t="shared" si="86"/>
        <v>146</v>
      </c>
      <c r="F146" s="9" t="s">
        <v>113</v>
      </c>
      <c r="G146" s="22" t="b">
        <f t="shared" ref="G146" si="91">MOD(B140,2)=0</f>
        <v>0</v>
      </c>
      <c r="H146" s="22">
        <v>-90</v>
      </c>
      <c r="I146" s="22" t="s">
        <v>234</v>
      </c>
      <c r="L146" s="9" t="s">
        <v>134</v>
      </c>
      <c r="M146" s="22" t="str">
        <f t="shared" ref="M146" si="92">IF(G146,$H$14,$I$14)</f>
        <v>90</v>
      </c>
    </row>
    <row r="147" spans="5:13">
      <c r="E147" s="4">
        <f t="shared" si="86"/>
        <v>147</v>
      </c>
      <c r="F147" s="9" t="s">
        <v>98</v>
      </c>
      <c r="G147" s="22" t="b">
        <f t="shared" ref="G147" si="93">MOD(B140,2)=0</f>
        <v>0</v>
      </c>
      <c r="K147" s="9" t="s">
        <v>136</v>
      </c>
      <c r="M147" s="22" t="str">
        <f t="shared" ref="M147" si="94">CONCATENATE(ROUND($I$16+$J$16*(MOD(D140-1,$G$9)+1),10),",",IF(G147,$G$16,$H$16))</f>
        <v>-0.8,-6</v>
      </c>
    </row>
    <row r="148" spans="5:13">
      <c r="E148" s="4"/>
      <c r="G148" s="22" t="s">
        <v>32</v>
      </c>
      <c r="H148" s="22" t="s">
        <v>235</v>
      </c>
      <c r="I148" s="22">
        <v>4.8</v>
      </c>
      <c r="J148" s="22" t="s">
        <v>236</v>
      </c>
    </row>
    <row r="149" spans="5:13">
      <c r="E149" s="4">
        <f t="shared" si="86"/>
        <v>149</v>
      </c>
      <c r="F149" s="9" t="s">
        <v>30</v>
      </c>
      <c r="M149" s="22">
        <v>1.4</v>
      </c>
    </row>
    <row r="150" spans="5:13">
      <c r="E150" s="4">
        <f t="shared" si="86"/>
        <v>150</v>
      </c>
      <c r="F150" s="9" t="s">
        <v>31</v>
      </c>
      <c r="G150" s="22" t="b">
        <f t="shared" ref="G150" si="95">MOD(B140,2)=0</f>
        <v>0</v>
      </c>
      <c r="H150" s="22">
        <v>-90</v>
      </c>
      <c r="I150" s="22" t="s">
        <v>234</v>
      </c>
      <c r="L150" s="9" t="s">
        <v>134</v>
      </c>
      <c r="M150" s="22" t="str">
        <f t="shared" ref="M150" si="96">IF(G150,$H$18,$I$18)</f>
        <v>90</v>
      </c>
    </row>
    <row r="151" spans="5:13">
      <c r="E151" s="4">
        <f t="shared" si="86"/>
        <v>151</v>
      </c>
      <c r="F151" s="9" t="s">
        <v>101</v>
      </c>
      <c r="M151" s="22">
        <f t="shared" ref="M151" si="97">M141*10+1</f>
        <v>108071</v>
      </c>
    </row>
    <row r="152" spans="5:13">
      <c r="E152" s="4">
        <f t="shared" si="86"/>
        <v>152</v>
      </c>
      <c r="F152" s="9" t="s">
        <v>143</v>
      </c>
      <c r="M152" s="22">
        <f t="shared" ref="M152" si="98">M141</f>
        <v>10807</v>
      </c>
    </row>
    <row r="153" spans="5:13">
      <c r="E153" s="4">
        <f t="shared" si="86"/>
        <v>153</v>
      </c>
      <c r="F153" s="9" t="s">
        <v>127</v>
      </c>
      <c r="M153" s="22">
        <v>0</v>
      </c>
    </row>
    <row r="154" spans="5:13">
      <c r="E154" s="4">
        <f t="shared" si="86"/>
        <v>154</v>
      </c>
      <c r="F154" s="9" t="s">
        <v>35</v>
      </c>
      <c r="G154" s="22" t="b">
        <f t="shared" ref="G154" si="99">MOD(D140,2)=0</f>
        <v>0</v>
      </c>
      <c r="H154" s="22">
        <v>220</v>
      </c>
      <c r="I154" s="22" t="s">
        <v>237</v>
      </c>
      <c r="J154" s="22">
        <v>0</v>
      </c>
      <c r="M154" s="22">
        <f t="shared" ref="M154" si="100">$H$22+IF(G154,$I$22,$J$22)</f>
        <v>220</v>
      </c>
    </row>
    <row r="155" spans="5:13">
      <c r="E155" s="4">
        <f t="shared" si="86"/>
        <v>155</v>
      </c>
      <c r="F155" s="9" t="s">
        <v>30</v>
      </c>
      <c r="M155" s="22">
        <v>0</v>
      </c>
    </row>
    <row r="156" spans="5:13">
      <c r="E156" s="4">
        <f t="shared" si="86"/>
        <v>156</v>
      </c>
      <c r="F156" s="9" t="s">
        <v>113</v>
      </c>
      <c r="L156" s="9" t="s">
        <v>134</v>
      </c>
      <c r="M156" s="22" t="str">
        <f t="shared" ref="M156" si="101">M146</f>
        <v>90</v>
      </c>
    </row>
    <row r="157" spans="5:13">
      <c r="E157" s="4">
        <f t="shared" si="86"/>
        <v>157</v>
      </c>
      <c r="F157" s="9" t="s">
        <v>101</v>
      </c>
      <c r="M157" s="22">
        <f t="shared" ref="M157" si="102">M141*10+2</f>
        <v>108072</v>
      </c>
    </row>
    <row r="158" spans="5:13">
      <c r="E158" s="4">
        <f t="shared" si="86"/>
        <v>158</v>
      </c>
      <c r="F158" s="9" t="s">
        <v>143</v>
      </c>
      <c r="G158" s="9"/>
      <c r="H158" s="9"/>
      <c r="I158" s="9"/>
      <c r="J158" s="9"/>
      <c r="M158" s="22">
        <f t="shared" ref="M158" si="103">M151</f>
        <v>108071</v>
      </c>
    </row>
    <row r="159" spans="5:13">
      <c r="E159" s="4">
        <f t="shared" si="86"/>
        <v>159</v>
      </c>
      <c r="F159" s="9" t="s">
        <v>127</v>
      </c>
      <c r="M159" s="22">
        <v>0</v>
      </c>
    </row>
    <row r="160" spans="5:13">
      <c r="E160" s="4">
        <f t="shared" si="86"/>
        <v>160</v>
      </c>
      <c r="F160" s="9" t="s">
        <v>30</v>
      </c>
      <c r="M160" s="22">
        <v>2</v>
      </c>
    </row>
    <row r="161" spans="1:13">
      <c r="E161" s="4">
        <f t="shared" si="86"/>
        <v>161</v>
      </c>
      <c r="F161" s="9" t="s">
        <v>113</v>
      </c>
      <c r="L161" s="9" t="s">
        <v>134</v>
      </c>
      <c r="M161" s="22" t="str">
        <f t="shared" ref="M161" si="104">M156</f>
        <v>90</v>
      </c>
    </row>
    <row r="162" spans="1:13">
      <c r="A162" s="21" t="s">
        <v>233</v>
      </c>
      <c r="B162" s="21">
        <f t="shared" ref="B162" si="105">QUOTIENT( D162-1,G163)+1</f>
        <v>1</v>
      </c>
      <c r="C162" s="21">
        <f t="shared" ref="C162" si="106">D162-(B162-1)*G163</f>
        <v>8</v>
      </c>
      <c r="D162" s="21">
        <f>COUNT($D$7:$D161)+1</f>
        <v>8</v>
      </c>
      <c r="E162" s="4"/>
    </row>
    <row r="163" spans="1:13">
      <c r="E163" s="4">
        <f t="shared" si="86"/>
        <v>163</v>
      </c>
      <c r="F163" s="9" t="s">
        <v>93</v>
      </c>
      <c r="G163" s="22">
        <v>11</v>
      </c>
      <c r="H163" s="22">
        <v>2</v>
      </c>
      <c r="J163" s="22">
        <v>10800</v>
      </c>
      <c r="M163" s="22">
        <f t="shared" ref="M163" si="107">J163+D162</f>
        <v>10808</v>
      </c>
    </row>
    <row r="164" spans="1:13">
      <c r="E164" s="4">
        <f t="shared" si="86"/>
        <v>164</v>
      </c>
      <c r="F164" s="9" t="s">
        <v>150</v>
      </c>
      <c r="M164" s="22">
        <v>2050</v>
      </c>
    </row>
    <row r="165" spans="1:13">
      <c r="E165" s="4">
        <f t="shared" si="86"/>
        <v>165</v>
      </c>
      <c r="F165" s="9" t="s">
        <v>35</v>
      </c>
      <c r="M165" s="22">
        <v>60</v>
      </c>
    </row>
    <row r="166" spans="1:13">
      <c r="E166" s="4">
        <f t="shared" si="86"/>
        <v>166</v>
      </c>
      <c r="F166" s="9" t="s">
        <v>29</v>
      </c>
      <c r="M166" s="22" t="s">
        <v>145</v>
      </c>
    </row>
    <row r="167" spans="1:13">
      <c r="E167" s="4">
        <f t="shared" si="86"/>
        <v>167</v>
      </c>
      <c r="F167" s="9" t="s">
        <v>118</v>
      </c>
      <c r="M167" s="22" t="s">
        <v>144</v>
      </c>
    </row>
    <row r="168" spans="1:13">
      <c r="E168" s="4">
        <f t="shared" si="86"/>
        <v>168</v>
      </c>
      <c r="F168" s="9" t="s">
        <v>113</v>
      </c>
      <c r="G168" s="22" t="b">
        <f t="shared" ref="G168" si="108">MOD(B162,2)=0</f>
        <v>0</v>
      </c>
      <c r="H168" s="22">
        <v>-90</v>
      </c>
      <c r="I168" s="22" t="s">
        <v>234</v>
      </c>
      <c r="L168" s="9" t="s">
        <v>134</v>
      </c>
      <c r="M168" s="22" t="str">
        <f t="shared" ref="M168" si="109">IF(G168,$H$14,$I$14)</f>
        <v>90</v>
      </c>
    </row>
    <row r="169" spans="1:13">
      <c r="E169" s="4">
        <f t="shared" si="86"/>
        <v>169</v>
      </c>
      <c r="F169" s="9" t="s">
        <v>98</v>
      </c>
      <c r="G169" s="22" t="b">
        <f t="shared" ref="G169" si="110">MOD(B162,2)=0</f>
        <v>0</v>
      </c>
      <c r="K169" s="9" t="s">
        <v>136</v>
      </c>
      <c r="M169" s="22" t="str">
        <f t="shared" ref="M169" si="111">CONCATENATE(ROUND($I$16+$J$16*(MOD(D162-1,$G$9)+1),10),",",IF(G169,$G$16,$H$16))</f>
        <v>-1.6,-6</v>
      </c>
    </row>
    <row r="170" spans="1:13">
      <c r="E170" s="4"/>
      <c r="G170" s="22" t="s">
        <v>32</v>
      </c>
      <c r="H170" s="22" t="s">
        <v>235</v>
      </c>
      <c r="I170" s="22">
        <v>4.8</v>
      </c>
      <c r="J170" s="22" t="s">
        <v>236</v>
      </c>
    </row>
    <row r="171" spans="1:13">
      <c r="E171" s="4">
        <f t="shared" si="86"/>
        <v>171</v>
      </c>
      <c r="F171" s="9" t="s">
        <v>30</v>
      </c>
      <c r="M171" s="22">
        <v>1.4</v>
      </c>
    </row>
    <row r="172" spans="1:13">
      <c r="E172" s="4">
        <f t="shared" si="86"/>
        <v>172</v>
      </c>
      <c r="F172" s="9" t="s">
        <v>31</v>
      </c>
      <c r="G172" s="22" t="b">
        <f t="shared" ref="G172" si="112">MOD(B162,2)=0</f>
        <v>0</v>
      </c>
      <c r="H172" s="22">
        <v>-90</v>
      </c>
      <c r="I172" s="22" t="s">
        <v>234</v>
      </c>
      <c r="L172" s="9" t="s">
        <v>134</v>
      </c>
      <c r="M172" s="22" t="str">
        <f t="shared" ref="M172" si="113">IF(G172,$H$18,$I$18)</f>
        <v>90</v>
      </c>
    </row>
    <row r="173" spans="1:13">
      <c r="E173" s="4">
        <f t="shared" si="86"/>
        <v>173</v>
      </c>
      <c r="F173" s="9" t="s">
        <v>101</v>
      </c>
      <c r="M173" s="22">
        <f t="shared" ref="M173" si="114">M163*10+1</f>
        <v>108081</v>
      </c>
    </row>
    <row r="174" spans="1:13">
      <c r="E174" s="4">
        <f t="shared" si="86"/>
        <v>174</v>
      </c>
      <c r="F174" s="9" t="s">
        <v>143</v>
      </c>
      <c r="M174" s="22">
        <f t="shared" ref="M174" si="115">M163</f>
        <v>10808</v>
      </c>
    </row>
    <row r="175" spans="1:13">
      <c r="E175" s="4">
        <f t="shared" si="86"/>
        <v>175</v>
      </c>
      <c r="F175" s="9" t="s">
        <v>127</v>
      </c>
      <c r="M175" s="22">
        <v>0</v>
      </c>
    </row>
    <row r="176" spans="1:13">
      <c r="E176" s="4">
        <f t="shared" si="86"/>
        <v>176</v>
      </c>
      <c r="F176" s="9" t="s">
        <v>35</v>
      </c>
      <c r="G176" s="22" t="b">
        <f t="shared" ref="G176" si="116">MOD(D162,2)=0</f>
        <v>1</v>
      </c>
      <c r="H176" s="22">
        <v>220</v>
      </c>
      <c r="I176" s="22" t="s">
        <v>237</v>
      </c>
      <c r="J176" s="22">
        <v>0</v>
      </c>
      <c r="M176" s="22">
        <f t="shared" ref="M176" si="117">$H$22+IF(G176,$I$22,$J$22)</f>
        <v>300</v>
      </c>
    </row>
    <row r="177" spans="1:13">
      <c r="E177" s="4">
        <f t="shared" si="86"/>
        <v>177</v>
      </c>
      <c r="F177" s="9" t="s">
        <v>30</v>
      </c>
      <c r="M177" s="22">
        <v>0</v>
      </c>
    </row>
    <row r="178" spans="1:13">
      <c r="E178" s="4">
        <f t="shared" si="86"/>
        <v>178</v>
      </c>
      <c r="F178" s="9" t="s">
        <v>113</v>
      </c>
      <c r="L178" s="9" t="s">
        <v>134</v>
      </c>
      <c r="M178" s="22" t="str">
        <f t="shared" ref="M178" si="118">M168</f>
        <v>90</v>
      </c>
    </row>
    <row r="179" spans="1:13">
      <c r="E179" s="4">
        <f t="shared" si="86"/>
        <v>179</v>
      </c>
      <c r="F179" s="9" t="s">
        <v>101</v>
      </c>
      <c r="M179" s="22">
        <f t="shared" ref="M179" si="119">M163*10+2</f>
        <v>108082</v>
      </c>
    </row>
    <row r="180" spans="1:13">
      <c r="E180" s="4">
        <f t="shared" si="86"/>
        <v>180</v>
      </c>
      <c r="F180" s="9" t="s">
        <v>143</v>
      </c>
      <c r="M180" s="22">
        <f t="shared" ref="M180" si="120">M173</f>
        <v>108081</v>
      </c>
    </row>
    <row r="181" spans="1:13">
      <c r="E181" s="4">
        <f t="shared" si="86"/>
        <v>181</v>
      </c>
      <c r="F181" s="9" t="s">
        <v>127</v>
      </c>
      <c r="G181" s="9"/>
      <c r="H181" s="9"/>
      <c r="I181" s="9"/>
      <c r="J181" s="9"/>
      <c r="M181" s="22">
        <v>0</v>
      </c>
    </row>
    <row r="182" spans="1:13">
      <c r="E182" s="4">
        <f t="shared" si="86"/>
        <v>182</v>
      </c>
      <c r="F182" s="9" t="s">
        <v>30</v>
      </c>
      <c r="M182" s="22">
        <v>2</v>
      </c>
    </row>
    <row r="183" spans="1:13">
      <c r="E183" s="4">
        <f t="shared" si="86"/>
        <v>183</v>
      </c>
      <c r="F183" s="9" t="s">
        <v>113</v>
      </c>
      <c r="L183" s="9" t="s">
        <v>134</v>
      </c>
      <c r="M183" s="22" t="str">
        <f t="shared" ref="M183" si="121">M178</f>
        <v>90</v>
      </c>
    </row>
    <row r="184" spans="1:13">
      <c r="A184" s="21" t="s">
        <v>233</v>
      </c>
      <c r="B184" s="21">
        <f t="shared" ref="B184" si="122">QUOTIENT( D184-1,G185)+1</f>
        <v>1</v>
      </c>
      <c r="C184" s="21">
        <f t="shared" ref="C184" si="123">D184-(B184-1)*G185</f>
        <v>9</v>
      </c>
      <c r="D184" s="21">
        <f>COUNT($D$7:$D183)+1</f>
        <v>9</v>
      </c>
      <c r="E184" s="4"/>
    </row>
    <row r="185" spans="1:13">
      <c r="E185" s="4">
        <f t="shared" si="86"/>
        <v>185</v>
      </c>
      <c r="F185" s="9" t="s">
        <v>93</v>
      </c>
      <c r="G185" s="22">
        <v>11</v>
      </c>
      <c r="H185" s="22">
        <v>2</v>
      </c>
      <c r="J185" s="22">
        <v>10800</v>
      </c>
      <c r="M185" s="22">
        <f t="shared" ref="M185" si="124">J185+D184</f>
        <v>10809</v>
      </c>
    </row>
    <row r="186" spans="1:13">
      <c r="E186" s="4">
        <f t="shared" si="86"/>
        <v>186</v>
      </c>
      <c r="F186" s="9" t="s">
        <v>150</v>
      </c>
      <c r="M186" s="22">
        <v>2050</v>
      </c>
    </row>
    <row r="187" spans="1:13">
      <c r="E187" s="4">
        <f t="shared" si="86"/>
        <v>187</v>
      </c>
      <c r="F187" s="9" t="s">
        <v>35</v>
      </c>
      <c r="M187" s="22">
        <v>60</v>
      </c>
    </row>
    <row r="188" spans="1:13">
      <c r="E188" s="4">
        <f t="shared" si="86"/>
        <v>188</v>
      </c>
      <c r="F188" s="9" t="s">
        <v>29</v>
      </c>
      <c r="M188" s="22" t="s">
        <v>145</v>
      </c>
    </row>
    <row r="189" spans="1:13">
      <c r="E189" s="4">
        <f t="shared" si="86"/>
        <v>189</v>
      </c>
      <c r="F189" s="9" t="s">
        <v>118</v>
      </c>
      <c r="M189" s="22" t="s">
        <v>144</v>
      </c>
    </row>
    <row r="190" spans="1:13">
      <c r="E190" s="4">
        <f t="shared" si="86"/>
        <v>190</v>
      </c>
      <c r="F190" s="9" t="s">
        <v>113</v>
      </c>
      <c r="G190" s="22" t="b">
        <f t="shared" ref="G190" si="125">MOD(B184,2)=0</f>
        <v>0</v>
      </c>
      <c r="H190" s="22">
        <v>-90</v>
      </c>
      <c r="I190" s="22" t="s">
        <v>234</v>
      </c>
      <c r="L190" s="9" t="s">
        <v>134</v>
      </c>
      <c r="M190" s="22" t="str">
        <f t="shared" ref="M190" si="126">IF(G190,$H$14,$I$14)</f>
        <v>90</v>
      </c>
    </row>
    <row r="191" spans="1:13">
      <c r="E191" s="4">
        <f t="shared" si="86"/>
        <v>191</v>
      </c>
      <c r="F191" s="9" t="s">
        <v>98</v>
      </c>
      <c r="G191" s="22" t="b">
        <f t="shared" ref="G191" si="127">MOD(B184,2)=0</f>
        <v>0</v>
      </c>
      <c r="K191" s="9" t="s">
        <v>136</v>
      </c>
      <c r="M191" s="22" t="str">
        <f t="shared" ref="M191" si="128">CONCATENATE(ROUND($I$16+$J$16*(MOD(D184-1,$G$9)+1),10),",",IF(G191,$G$16,$H$16))</f>
        <v>-2.4,-6</v>
      </c>
    </row>
    <row r="192" spans="1:13">
      <c r="E192" s="4"/>
      <c r="G192" s="22" t="s">
        <v>32</v>
      </c>
      <c r="H192" s="22" t="s">
        <v>235</v>
      </c>
      <c r="I192" s="22">
        <v>4.8</v>
      </c>
      <c r="J192" s="22" t="s">
        <v>236</v>
      </c>
    </row>
    <row r="193" spans="1:13">
      <c r="E193" s="4">
        <f t="shared" si="86"/>
        <v>193</v>
      </c>
      <c r="F193" s="9" t="s">
        <v>30</v>
      </c>
      <c r="M193" s="22">
        <v>1.4</v>
      </c>
    </row>
    <row r="194" spans="1:13">
      <c r="E194" s="4">
        <f t="shared" si="86"/>
        <v>194</v>
      </c>
      <c r="F194" s="9" t="s">
        <v>31</v>
      </c>
      <c r="G194" s="22" t="b">
        <f t="shared" ref="G194" si="129">MOD(B184,2)=0</f>
        <v>0</v>
      </c>
      <c r="H194" s="22">
        <v>-90</v>
      </c>
      <c r="I194" s="22" t="s">
        <v>234</v>
      </c>
      <c r="L194" s="9" t="s">
        <v>134</v>
      </c>
      <c r="M194" s="22" t="str">
        <f t="shared" ref="M194" si="130">IF(G194,$H$18,$I$18)</f>
        <v>90</v>
      </c>
    </row>
    <row r="195" spans="1:13">
      <c r="E195" s="4">
        <f t="shared" si="86"/>
        <v>195</v>
      </c>
      <c r="F195" s="9" t="s">
        <v>101</v>
      </c>
      <c r="M195" s="22">
        <f t="shared" ref="M195" si="131">M185*10+1</f>
        <v>108091</v>
      </c>
    </row>
    <row r="196" spans="1:13">
      <c r="E196" s="4">
        <f t="shared" si="86"/>
        <v>196</v>
      </c>
      <c r="F196" s="9" t="s">
        <v>143</v>
      </c>
      <c r="M196" s="22">
        <f t="shared" ref="M196" si="132">M185</f>
        <v>10809</v>
      </c>
    </row>
    <row r="197" spans="1:13">
      <c r="E197" s="4">
        <f t="shared" si="86"/>
        <v>197</v>
      </c>
      <c r="F197" s="9" t="s">
        <v>127</v>
      </c>
      <c r="M197" s="22">
        <v>0</v>
      </c>
    </row>
    <row r="198" spans="1:13">
      <c r="E198" s="4">
        <f t="shared" si="86"/>
        <v>198</v>
      </c>
      <c r="F198" s="9" t="s">
        <v>35</v>
      </c>
      <c r="G198" s="22" t="b">
        <f t="shared" ref="G198" si="133">MOD(D184,2)=0</f>
        <v>0</v>
      </c>
      <c r="H198" s="22">
        <v>220</v>
      </c>
      <c r="I198" s="22" t="s">
        <v>237</v>
      </c>
      <c r="J198" s="22">
        <v>0</v>
      </c>
      <c r="M198" s="22">
        <f t="shared" ref="M198" si="134">$H$22+IF(G198,$I$22,$J$22)</f>
        <v>220</v>
      </c>
    </row>
    <row r="199" spans="1:13">
      <c r="E199" s="4">
        <f t="shared" si="86"/>
        <v>199</v>
      </c>
      <c r="F199" s="9" t="s">
        <v>30</v>
      </c>
      <c r="M199" s="22">
        <v>0</v>
      </c>
    </row>
    <row r="200" spans="1:13">
      <c r="E200" s="4">
        <f t="shared" si="86"/>
        <v>200</v>
      </c>
      <c r="F200" s="9" t="s">
        <v>113</v>
      </c>
      <c r="L200" s="9" t="s">
        <v>134</v>
      </c>
      <c r="M200" s="22" t="str">
        <f t="shared" ref="M200" si="135">M190</f>
        <v>90</v>
      </c>
    </row>
    <row r="201" spans="1:13">
      <c r="E201" s="4">
        <f t="shared" ref="E201:E264" si="136">ROW(E201)</f>
        <v>201</v>
      </c>
      <c r="F201" s="9" t="s">
        <v>101</v>
      </c>
      <c r="M201" s="22">
        <f t="shared" ref="M201" si="137">M185*10+2</f>
        <v>108092</v>
      </c>
    </row>
    <row r="202" spans="1:13">
      <c r="E202" s="4">
        <f t="shared" si="136"/>
        <v>202</v>
      </c>
      <c r="F202" s="9" t="s">
        <v>143</v>
      </c>
      <c r="M202" s="22">
        <f t="shared" ref="M202" si="138">M195</f>
        <v>108091</v>
      </c>
    </row>
    <row r="203" spans="1:13">
      <c r="E203" s="4">
        <f t="shared" si="136"/>
        <v>203</v>
      </c>
      <c r="F203" s="9" t="s">
        <v>127</v>
      </c>
      <c r="M203" s="22">
        <v>0</v>
      </c>
    </row>
    <row r="204" spans="1:13">
      <c r="E204" s="4">
        <f t="shared" si="136"/>
        <v>204</v>
      </c>
      <c r="F204" s="9" t="s">
        <v>30</v>
      </c>
      <c r="G204" s="9"/>
      <c r="H204" s="9"/>
      <c r="I204" s="9"/>
      <c r="J204" s="9"/>
      <c r="M204" s="22">
        <v>2</v>
      </c>
    </row>
    <row r="205" spans="1:13">
      <c r="E205" s="4">
        <f t="shared" si="136"/>
        <v>205</v>
      </c>
      <c r="F205" s="9" t="s">
        <v>113</v>
      </c>
      <c r="L205" s="9" t="s">
        <v>134</v>
      </c>
      <c r="M205" s="22" t="str">
        <f t="shared" ref="M205" si="139">M200</f>
        <v>90</v>
      </c>
    </row>
    <row r="206" spans="1:13">
      <c r="A206" s="21" t="s">
        <v>233</v>
      </c>
      <c r="B206" s="21">
        <f t="shared" ref="B206" si="140">QUOTIENT( D206-1,G207)+1</f>
        <v>1</v>
      </c>
      <c r="C206" s="21">
        <f t="shared" ref="C206" si="141">D206-(B206-1)*G207</f>
        <v>10</v>
      </c>
      <c r="D206" s="21">
        <f>COUNT($D$7:$D205)+1</f>
        <v>10</v>
      </c>
      <c r="E206" s="4"/>
    </row>
    <row r="207" spans="1:13">
      <c r="E207" s="4">
        <f t="shared" si="136"/>
        <v>207</v>
      </c>
      <c r="F207" s="9" t="s">
        <v>93</v>
      </c>
      <c r="G207" s="22">
        <v>11</v>
      </c>
      <c r="H207" s="22">
        <v>2</v>
      </c>
      <c r="J207" s="22">
        <v>10800</v>
      </c>
      <c r="M207" s="22">
        <f t="shared" ref="M207" si="142">J207+D206</f>
        <v>10810</v>
      </c>
    </row>
    <row r="208" spans="1:13">
      <c r="E208" s="4">
        <f t="shared" si="136"/>
        <v>208</v>
      </c>
      <c r="F208" s="9" t="s">
        <v>150</v>
      </c>
      <c r="M208" s="22">
        <v>2050</v>
      </c>
    </row>
    <row r="209" spans="5:13">
      <c r="E209" s="4">
        <f t="shared" si="136"/>
        <v>209</v>
      </c>
      <c r="F209" s="9" t="s">
        <v>35</v>
      </c>
      <c r="M209" s="22">
        <v>60</v>
      </c>
    </row>
    <row r="210" spans="5:13">
      <c r="E210" s="4">
        <f t="shared" si="136"/>
        <v>210</v>
      </c>
      <c r="F210" s="9" t="s">
        <v>29</v>
      </c>
      <c r="M210" s="22" t="s">
        <v>145</v>
      </c>
    </row>
    <row r="211" spans="5:13">
      <c r="E211" s="4">
        <f t="shared" si="136"/>
        <v>211</v>
      </c>
      <c r="F211" s="9" t="s">
        <v>118</v>
      </c>
      <c r="M211" s="22" t="s">
        <v>144</v>
      </c>
    </row>
    <row r="212" spans="5:13">
      <c r="E212" s="4">
        <f t="shared" si="136"/>
        <v>212</v>
      </c>
      <c r="F212" s="9" t="s">
        <v>113</v>
      </c>
      <c r="G212" s="22" t="b">
        <f t="shared" ref="G212" si="143">MOD(B206,2)=0</f>
        <v>0</v>
      </c>
      <c r="H212" s="22">
        <v>-90</v>
      </c>
      <c r="I212" s="22" t="s">
        <v>234</v>
      </c>
      <c r="L212" s="9" t="s">
        <v>134</v>
      </c>
      <c r="M212" s="22" t="str">
        <f t="shared" ref="M212" si="144">IF(G212,$H$14,$I$14)</f>
        <v>90</v>
      </c>
    </row>
    <row r="213" spans="5:13">
      <c r="E213" s="4">
        <f t="shared" si="136"/>
        <v>213</v>
      </c>
      <c r="F213" s="9" t="s">
        <v>98</v>
      </c>
      <c r="G213" s="22" t="b">
        <f t="shared" ref="G213" si="145">MOD(B206,2)=0</f>
        <v>0</v>
      </c>
      <c r="K213" s="9" t="s">
        <v>136</v>
      </c>
      <c r="M213" s="22" t="str">
        <f t="shared" ref="M213" si="146">CONCATENATE(ROUND($I$16+$J$16*(MOD(D206-1,$G$9)+1),10),",",IF(G213,$G$16,$H$16))</f>
        <v>-3.2,-6</v>
      </c>
    </row>
    <row r="214" spans="5:13">
      <c r="E214" s="4"/>
      <c r="G214" s="22" t="s">
        <v>32</v>
      </c>
      <c r="H214" s="22" t="s">
        <v>235</v>
      </c>
      <c r="I214" s="22">
        <v>4.8</v>
      </c>
      <c r="J214" s="22" t="s">
        <v>236</v>
      </c>
    </row>
    <row r="215" spans="5:13">
      <c r="E215" s="4">
        <f t="shared" si="136"/>
        <v>215</v>
      </c>
      <c r="F215" s="9" t="s">
        <v>30</v>
      </c>
      <c r="M215" s="22">
        <v>1.4</v>
      </c>
    </row>
    <row r="216" spans="5:13">
      <c r="E216" s="4">
        <f t="shared" si="136"/>
        <v>216</v>
      </c>
      <c r="F216" s="9" t="s">
        <v>31</v>
      </c>
      <c r="G216" s="22" t="b">
        <f t="shared" ref="G216" si="147">MOD(B206,2)=0</f>
        <v>0</v>
      </c>
      <c r="H216" s="22">
        <v>-90</v>
      </c>
      <c r="I216" s="22" t="s">
        <v>234</v>
      </c>
      <c r="L216" s="9" t="s">
        <v>134</v>
      </c>
      <c r="M216" s="22" t="str">
        <f t="shared" ref="M216" si="148">IF(G216,$H$18,$I$18)</f>
        <v>90</v>
      </c>
    </row>
    <row r="217" spans="5:13">
      <c r="E217" s="4">
        <f t="shared" si="136"/>
        <v>217</v>
      </c>
      <c r="F217" s="9" t="s">
        <v>101</v>
      </c>
      <c r="M217" s="22">
        <f t="shared" ref="M217" si="149">M207*10+1</f>
        <v>108101</v>
      </c>
    </row>
    <row r="218" spans="5:13">
      <c r="E218" s="4">
        <f t="shared" si="136"/>
        <v>218</v>
      </c>
      <c r="F218" s="9" t="s">
        <v>143</v>
      </c>
      <c r="M218" s="22">
        <f t="shared" ref="M218" si="150">M207</f>
        <v>10810</v>
      </c>
    </row>
    <row r="219" spans="5:13">
      <c r="E219" s="4">
        <f t="shared" si="136"/>
        <v>219</v>
      </c>
      <c r="F219" s="9" t="s">
        <v>127</v>
      </c>
      <c r="M219" s="22">
        <v>0</v>
      </c>
    </row>
    <row r="220" spans="5:13">
      <c r="E220" s="4">
        <f t="shared" si="136"/>
        <v>220</v>
      </c>
      <c r="F220" s="9" t="s">
        <v>35</v>
      </c>
      <c r="G220" s="22" t="b">
        <f t="shared" ref="G220" si="151">MOD(D206,2)=0</f>
        <v>1</v>
      </c>
      <c r="H220" s="22">
        <v>220</v>
      </c>
      <c r="I220" s="22" t="s">
        <v>237</v>
      </c>
      <c r="J220" s="22">
        <v>0</v>
      </c>
      <c r="M220" s="22">
        <f t="shared" ref="M220" si="152">$H$22+IF(G220,$I$22,$J$22)</f>
        <v>300</v>
      </c>
    </row>
    <row r="221" spans="5:13">
      <c r="E221" s="4">
        <f t="shared" si="136"/>
        <v>221</v>
      </c>
      <c r="F221" s="9" t="s">
        <v>30</v>
      </c>
      <c r="M221" s="22">
        <v>0</v>
      </c>
    </row>
    <row r="222" spans="5:13">
      <c r="E222" s="4">
        <f t="shared" si="136"/>
        <v>222</v>
      </c>
      <c r="F222" s="9" t="s">
        <v>113</v>
      </c>
      <c r="L222" s="9" t="s">
        <v>134</v>
      </c>
      <c r="M222" s="22" t="str">
        <f t="shared" ref="M222" si="153">M212</f>
        <v>90</v>
      </c>
    </row>
    <row r="223" spans="5:13">
      <c r="E223" s="4">
        <f t="shared" si="136"/>
        <v>223</v>
      </c>
      <c r="F223" s="9" t="s">
        <v>101</v>
      </c>
      <c r="M223" s="22">
        <f t="shared" ref="M223" si="154">M207*10+2</f>
        <v>108102</v>
      </c>
    </row>
    <row r="224" spans="5:13">
      <c r="E224" s="4">
        <f t="shared" si="136"/>
        <v>224</v>
      </c>
      <c r="F224" s="9" t="s">
        <v>143</v>
      </c>
      <c r="M224" s="22">
        <f t="shared" ref="M224" si="155">M217</f>
        <v>108101</v>
      </c>
    </row>
    <row r="225" spans="1:13">
      <c r="E225" s="4">
        <f t="shared" si="136"/>
        <v>225</v>
      </c>
      <c r="F225" s="9" t="s">
        <v>127</v>
      </c>
      <c r="M225" s="22">
        <v>0</v>
      </c>
    </row>
    <row r="226" spans="1:13">
      <c r="E226" s="4">
        <f t="shared" si="136"/>
        <v>226</v>
      </c>
      <c r="F226" s="9" t="s">
        <v>30</v>
      </c>
      <c r="M226" s="22">
        <v>2</v>
      </c>
    </row>
    <row r="227" spans="1:13">
      <c r="E227" s="4">
        <f t="shared" si="136"/>
        <v>227</v>
      </c>
      <c r="F227" s="9" t="s">
        <v>113</v>
      </c>
      <c r="G227" s="9"/>
      <c r="H227" s="9"/>
      <c r="I227" s="9"/>
      <c r="J227" s="9"/>
      <c r="L227" s="9" t="s">
        <v>134</v>
      </c>
      <c r="M227" s="22" t="str">
        <f t="shared" ref="M227" si="156">M222</f>
        <v>90</v>
      </c>
    </row>
    <row r="228" spans="1:13">
      <c r="A228" s="21" t="s">
        <v>233</v>
      </c>
      <c r="B228" s="21">
        <f t="shared" ref="B228" si="157">QUOTIENT( D228-1,G229)+1</f>
        <v>1</v>
      </c>
      <c r="C228" s="21">
        <f t="shared" ref="C228" si="158">D228-(B228-1)*G229</f>
        <v>11</v>
      </c>
      <c r="D228" s="21">
        <f>COUNT($D$7:$D227)+1</f>
        <v>11</v>
      </c>
      <c r="E228" s="4"/>
    </row>
    <row r="229" spans="1:13">
      <c r="E229" s="4">
        <f t="shared" si="136"/>
        <v>229</v>
      </c>
      <c r="F229" s="9" t="s">
        <v>93</v>
      </c>
      <c r="G229" s="22">
        <v>11</v>
      </c>
      <c r="H229" s="22">
        <v>2</v>
      </c>
      <c r="J229" s="22">
        <v>10800</v>
      </c>
      <c r="M229" s="22">
        <f t="shared" ref="M229" si="159">J229+D228</f>
        <v>10811</v>
      </c>
    </row>
    <row r="230" spans="1:13">
      <c r="E230" s="4">
        <f t="shared" si="136"/>
        <v>230</v>
      </c>
      <c r="F230" s="9" t="s">
        <v>150</v>
      </c>
      <c r="M230" s="22">
        <v>2050</v>
      </c>
    </row>
    <row r="231" spans="1:13">
      <c r="E231" s="4">
        <f t="shared" si="136"/>
        <v>231</v>
      </c>
      <c r="F231" s="9" t="s">
        <v>35</v>
      </c>
      <c r="M231" s="22">
        <v>60</v>
      </c>
    </row>
    <row r="232" spans="1:13">
      <c r="E232" s="4">
        <f t="shared" si="136"/>
        <v>232</v>
      </c>
      <c r="F232" s="9" t="s">
        <v>29</v>
      </c>
      <c r="M232" s="22" t="s">
        <v>145</v>
      </c>
    </row>
    <row r="233" spans="1:13">
      <c r="E233" s="4">
        <f t="shared" si="136"/>
        <v>233</v>
      </c>
      <c r="F233" s="9" t="s">
        <v>118</v>
      </c>
      <c r="M233" s="22" t="s">
        <v>144</v>
      </c>
    </row>
    <row r="234" spans="1:13">
      <c r="E234" s="4">
        <f t="shared" si="136"/>
        <v>234</v>
      </c>
      <c r="F234" s="9" t="s">
        <v>113</v>
      </c>
      <c r="G234" s="22" t="b">
        <f t="shared" ref="G234" si="160">MOD(B228,2)=0</f>
        <v>0</v>
      </c>
      <c r="H234" s="22">
        <v>-90</v>
      </c>
      <c r="I234" s="22" t="s">
        <v>234</v>
      </c>
      <c r="L234" s="9" t="s">
        <v>134</v>
      </c>
      <c r="M234" s="22" t="str">
        <f t="shared" ref="M234" si="161">IF(G234,$H$14,$I$14)</f>
        <v>90</v>
      </c>
    </row>
    <row r="235" spans="1:13">
      <c r="E235" s="4">
        <f t="shared" si="136"/>
        <v>235</v>
      </c>
      <c r="F235" s="9" t="s">
        <v>98</v>
      </c>
      <c r="G235" s="22" t="b">
        <f t="shared" ref="G235" si="162">MOD(B228,2)=0</f>
        <v>0</v>
      </c>
      <c r="K235" s="9" t="s">
        <v>136</v>
      </c>
      <c r="M235" s="22" t="str">
        <f t="shared" ref="M235" si="163">CONCATENATE(ROUND($I$16+$J$16*(MOD(D228-1,$G$9)+1),10),",",IF(G235,$G$16,$H$16))</f>
        <v>-4,-6</v>
      </c>
    </row>
    <row r="236" spans="1:13">
      <c r="E236" s="4"/>
      <c r="G236" s="22" t="s">
        <v>32</v>
      </c>
      <c r="H236" s="22" t="s">
        <v>235</v>
      </c>
      <c r="I236" s="22">
        <v>4.8</v>
      </c>
      <c r="J236" s="22" t="s">
        <v>236</v>
      </c>
    </row>
    <row r="237" spans="1:13">
      <c r="E237" s="4">
        <f t="shared" si="136"/>
        <v>237</v>
      </c>
      <c r="F237" s="9" t="s">
        <v>30</v>
      </c>
      <c r="M237" s="22">
        <v>1.4</v>
      </c>
    </row>
    <row r="238" spans="1:13">
      <c r="E238" s="4">
        <f t="shared" si="136"/>
        <v>238</v>
      </c>
      <c r="F238" s="9" t="s">
        <v>31</v>
      </c>
      <c r="G238" s="22" t="b">
        <f t="shared" ref="G238" si="164">MOD(B228,2)=0</f>
        <v>0</v>
      </c>
      <c r="H238" s="22">
        <v>-90</v>
      </c>
      <c r="I238" s="22" t="s">
        <v>234</v>
      </c>
      <c r="L238" s="9" t="s">
        <v>134</v>
      </c>
      <c r="M238" s="22" t="str">
        <f t="shared" ref="M238" si="165">IF(G238,$H$18,$I$18)</f>
        <v>90</v>
      </c>
    </row>
    <row r="239" spans="1:13">
      <c r="E239" s="4">
        <f t="shared" si="136"/>
        <v>239</v>
      </c>
      <c r="F239" s="9" t="s">
        <v>101</v>
      </c>
      <c r="M239" s="22">
        <f t="shared" ref="M239" si="166">M229*10+1</f>
        <v>108111</v>
      </c>
    </row>
    <row r="240" spans="1:13">
      <c r="E240" s="4">
        <f t="shared" si="136"/>
        <v>240</v>
      </c>
      <c r="F240" s="9" t="s">
        <v>143</v>
      </c>
      <c r="M240" s="22">
        <f t="shared" ref="M240" si="167">M229</f>
        <v>10811</v>
      </c>
    </row>
    <row r="241" spans="1:13">
      <c r="E241" s="4">
        <f t="shared" si="136"/>
        <v>241</v>
      </c>
      <c r="F241" s="9" t="s">
        <v>127</v>
      </c>
      <c r="M241" s="22">
        <v>0</v>
      </c>
    </row>
    <row r="242" spans="1:13">
      <c r="E242" s="4">
        <f t="shared" si="136"/>
        <v>242</v>
      </c>
      <c r="F242" s="9" t="s">
        <v>35</v>
      </c>
      <c r="G242" s="22" t="b">
        <f t="shared" ref="G242" si="168">MOD(D228,2)=0</f>
        <v>0</v>
      </c>
      <c r="H242" s="22">
        <v>220</v>
      </c>
      <c r="I242" s="22" t="s">
        <v>237</v>
      </c>
      <c r="J242" s="22">
        <v>0</v>
      </c>
      <c r="M242" s="22">
        <f t="shared" ref="M242" si="169">$H$22+IF(G242,$I$22,$J$22)</f>
        <v>220</v>
      </c>
    </row>
    <row r="243" spans="1:13">
      <c r="E243" s="4">
        <f t="shared" si="136"/>
        <v>243</v>
      </c>
      <c r="F243" s="9" t="s">
        <v>30</v>
      </c>
      <c r="M243" s="22">
        <v>0</v>
      </c>
    </row>
    <row r="244" spans="1:13">
      <c r="E244" s="4">
        <f t="shared" si="136"/>
        <v>244</v>
      </c>
      <c r="F244" s="9" t="s">
        <v>113</v>
      </c>
      <c r="L244" s="9" t="s">
        <v>134</v>
      </c>
      <c r="M244" s="22" t="str">
        <f t="shared" ref="M244" si="170">M234</f>
        <v>90</v>
      </c>
    </row>
    <row r="245" spans="1:13">
      <c r="E245" s="4">
        <f t="shared" si="136"/>
        <v>245</v>
      </c>
      <c r="F245" s="9" t="s">
        <v>101</v>
      </c>
      <c r="M245" s="22">
        <f t="shared" ref="M245" si="171">M229*10+2</f>
        <v>108112</v>
      </c>
    </row>
    <row r="246" spans="1:13">
      <c r="E246" s="4">
        <f t="shared" si="136"/>
        <v>246</v>
      </c>
      <c r="F246" s="9" t="s">
        <v>143</v>
      </c>
      <c r="M246" s="22">
        <f t="shared" ref="M246" si="172">M239</f>
        <v>108111</v>
      </c>
    </row>
    <row r="247" spans="1:13">
      <c r="E247" s="4">
        <f t="shared" si="136"/>
        <v>247</v>
      </c>
      <c r="F247" s="9" t="s">
        <v>127</v>
      </c>
      <c r="M247" s="22">
        <v>0</v>
      </c>
    </row>
    <row r="248" spans="1:13">
      <c r="E248" s="4">
        <f t="shared" si="136"/>
        <v>248</v>
      </c>
      <c r="F248" s="9" t="s">
        <v>30</v>
      </c>
      <c r="M248" s="22">
        <v>2</v>
      </c>
    </row>
    <row r="249" spans="1:13">
      <c r="E249" s="4">
        <f t="shared" si="136"/>
        <v>249</v>
      </c>
      <c r="F249" s="9" t="s">
        <v>113</v>
      </c>
      <c r="L249" s="9" t="s">
        <v>134</v>
      </c>
      <c r="M249" s="22" t="str">
        <f t="shared" ref="M249" si="173">M244</f>
        <v>90</v>
      </c>
    </row>
    <row r="250" spans="1:13">
      <c r="A250" s="21" t="s">
        <v>233</v>
      </c>
      <c r="B250" s="21">
        <f t="shared" ref="B250" si="174">QUOTIENT( D250-1,G251)+1</f>
        <v>2</v>
      </c>
      <c r="C250" s="21">
        <f t="shared" ref="C250" si="175">D250-(B250-1)*G251</f>
        <v>1</v>
      </c>
      <c r="D250" s="21">
        <f>COUNT($D$7:$D249)+1</f>
        <v>12</v>
      </c>
      <c r="E250" s="4"/>
      <c r="G250" s="9"/>
      <c r="H250" s="9"/>
      <c r="I250" s="9"/>
      <c r="J250" s="9"/>
    </row>
    <row r="251" spans="1:13">
      <c r="E251" s="4">
        <f t="shared" si="136"/>
        <v>251</v>
      </c>
      <c r="F251" s="9" t="s">
        <v>93</v>
      </c>
      <c r="G251" s="22">
        <v>11</v>
      </c>
      <c r="H251" s="22">
        <v>2</v>
      </c>
      <c r="J251" s="22">
        <v>10800</v>
      </c>
      <c r="M251" s="22">
        <f t="shared" ref="M251" si="176">J251+D250</f>
        <v>10812</v>
      </c>
    </row>
    <row r="252" spans="1:13">
      <c r="E252" s="4">
        <f t="shared" si="136"/>
        <v>252</v>
      </c>
      <c r="F252" s="9" t="s">
        <v>150</v>
      </c>
      <c r="M252" s="22">
        <v>2050</v>
      </c>
    </row>
    <row r="253" spans="1:13">
      <c r="E253" s="4">
        <f t="shared" si="136"/>
        <v>253</v>
      </c>
      <c r="F253" s="9" t="s">
        <v>35</v>
      </c>
      <c r="M253" s="22">
        <v>60</v>
      </c>
    </row>
    <row r="254" spans="1:13">
      <c r="E254" s="4">
        <f t="shared" si="136"/>
        <v>254</v>
      </c>
      <c r="F254" s="9" t="s">
        <v>29</v>
      </c>
      <c r="M254" s="22" t="s">
        <v>145</v>
      </c>
    </row>
    <row r="255" spans="1:13">
      <c r="E255" s="4">
        <f t="shared" si="136"/>
        <v>255</v>
      </c>
      <c r="F255" s="9" t="s">
        <v>118</v>
      </c>
      <c r="M255" s="22" t="s">
        <v>144</v>
      </c>
    </row>
    <row r="256" spans="1:13">
      <c r="E256" s="4">
        <f t="shared" si="136"/>
        <v>256</v>
      </c>
      <c r="F256" s="9" t="s">
        <v>113</v>
      </c>
      <c r="G256" s="22" t="b">
        <f t="shared" ref="G256" si="177">MOD(B250,2)=0</f>
        <v>1</v>
      </c>
      <c r="H256" s="22">
        <v>-90</v>
      </c>
      <c r="I256" s="22" t="s">
        <v>234</v>
      </c>
      <c r="L256" s="9" t="s">
        <v>134</v>
      </c>
      <c r="M256" s="22">
        <f t="shared" ref="M256" si="178">IF(G256,$H$14,$I$14)</f>
        <v>-90</v>
      </c>
    </row>
    <row r="257" spans="1:13">
      <c r="E257" s="4">
        <f t="shared" si="136"/>
        <v>257</v>
      </c>
      <c r="F257" s="9" t="s">
        <v>98</v>
      </c>
      <c r="G257" s="22" t="b">
        <f t="shared" ref="G257" si="179">MOD(B250,2)=0</f>
        <v>1</v>
      </c>
      <c r="K257" s="9" t="s">
        <v>136</v>
      </c>
      <c r="M257" s="22" t="str">
        <f t="shared" ref="M257" si="180">CONCATENATE(ROUND($I$16+$J$16*(MOD(D250-1,$G$9)+1),10),",",IF(G257,$G$16,$H$16))</f>
        <v>4,6</v>
      </c>
    </row>
    <row r="258" spans="1:13">
      <c r="E258" s="4"/>
      <c r="G258" s="22" t="s">
        <v>32</v>
      </c>
      <c r="H258" s="22" t="s">
        <v>235</v>
      </c>
      <c r="I258" s="22">
        <v>4.8</v>
      </c>
      <c r="J258" s="22" t="s">
        <v>236</v>
      </c>
    </row>
    <row r="259" spans="1:13">
      <c r="E259" s="4">
        <f t="shared" si="136"/>
        <v>259</v>
      </c>
      <c r="F259" s="9" t="s">
        <v>30</v>
      </c>
      <c r="M259" s="22">
        <v>1.4</v>
      </c>
    </row>
    <row r="260" spans="1:13">
      <c r="E260" s="4">
        <f t="shared" si="136"/>
        <v>260</v>
      </c>
      <c r="F260" s="9" t="s">
        <v>31</v>
      </c>
      <c r="G260" s="22" t="b">
        <f t="shared" ref="G260" si="181">MOD(B250,2)=0</f>
        <v>1</v>
      </c>
      <c r="H260" s="22">
        <v>-90</v>
      </c>
      <c r="I260" s="22" t="s">
        <v>234</v>
      </c>
      <c r="L260" s="9" t="s">
        <v>134</v>
      </c>
      <c r="M260" s="22">
        <f t="shared" ref="M260" si="182">IF(G260,$H$18,$I$18)</f>
        <v>-90</v>
      </c>
    </row>
    <row r="261" spans="1:13">
      <c r="E261" s="4">
        <f t="shared" si="136"/>
        <v>261</v>
      </c>
      <c r="F261" s="9" t="s">
        <v>101</v>
      </c>
      <c r="M261" s="22">
        <f t="shared" ref="M261" si="183">M251*10+1</f>
        <v>108121</v>
      </c>
    </row>
    <row r="262" spans="1:13">
      <c r="E262" s="4">
        <f t="shared" si="136"/>
        <v>262</v>
      </c>
      <c r="F262" s="9" t="s">
        <v>143</v>
      </c>
      <c r="M262" s="22">
        <f t="shared" ref="M262" si="184">M251</f>
        <v>10812</v>
      </c>
    </row>
    <row r="263" spans="1:13">
      <c r="E263" s="4">
        <f t="shared" si="136"/>
        <v>263</v>
      </c>
      <c r="F263" s="9" t="s">
        <v>127</v>
      </c>
      <c r="M263" s="22">
        <v>0</v>
      </c>
    </row>
    <row r="264" spans="1:13">
      <c r="E264" s="4">
        <f t="shared" si="136"/>
        <v>264</v>
      </c>
      <c r="F264" s="9" t="s">
        <v>35</v>
      </c>
      <c r="G264" s="22" t="b">
        <f t="shared" ref="G264" si="185">MOD(D250,2)=0</f>
        <v>1</v>
      </c>
      <c r="H264" s="22">
        <v>220</v>
      </c>
      <c r="I264" s="22" t="s">
        <v>237</v>
      </c>
      <c r="J264" s="22">
        <v>0</v>
      </c>
      <c r="M264" s="22">
        <f t="shared" ref="M264" si="186">$H$22+IF(G264,$I$22,$J$22)</f>
        <v>300</v>
      </c>
    </row>
    <row r="265" spans="1:13">
      <c r="E265" s="4">
        <f t="shared" ref="E265:E328" si="187">ROW(E265)</f>
        <v>265</v>
      </c>
      <c r="F265" s="9" t="s">
        <v>30</v>
      </c>
      <c r="M265" s="22">
        <v>0</v>
      </c>
    </row>
    <row r="266" spans="1:13">
      <c r="E266" s="4">
        <f t="shared" si="187"/>
        <v>266</v>
      </c>
      <c r="F266" s="9" t="s">
        <v>113</v>
      </c>
      <c r="L266" s="9" t="s">
        <v>134</v>
      </c>
      <c r="M266" s="22">
        <f t="shared" ref="M266" si="188">M256</f>
        <v>-90</v>
      </c>
    </row>
    <row r="267" spans="1:13">
      <c r="E267" s="4">
        <f t="shared" si="187"/>
        <v>267</v>
      </c>
      <c r="F267" s="9" t="s">
        <v>101</v>
      </c>
      <c r="M267" s="22">
        <f t="shared" ref="M267" si="189">M251*10+2</f>
        <v>108122</v>
      </c>
    </row>
    <row r="268" spans="1:13">
      <c r="E268" s="4">
        <f t="shared" si="187"/>
        <v>268</v>
      </c>
      <c r="F268" s="9" t="s">
        <v>143</v>
      </c>
      <c r="M268" s="22">
        <f t="shared" ref="M268" si="190">M261</f>
        <v>108121</v>
      </c>
    </row>
    <row r="269" spans="1:13">
      <c r="E269" s="4">
        <f t="shared" si="187"/>
        <v>269</v>
      </c>
      <c r="F269" s="9" t="s">
        <v>127</v>
      </c>
      <c r="M269" s="22">
        <v>0</v>
      </c>
    </row>
    <row r="270" spans="1:13">
      <c r="E270" s="4">
        <f t="shared" si="187"/>
        <v>270</v>
      </c>
      <c r="F270" s="9" t="s">
        <v>30</v>
      </c>
      <c r="M270" s="22">
        <v>2</v>
      </c>
    </row>
    <row r="271" spans="1:13">
      <c r="E271" s="4">
        <f t="shared" si="187"/>
        <v>271</v>
      </c>
      <c r="F271" s="9" t="s">
        <v>113</v>
      </c>
      <c r="L271" s="9" t="s">
        <v>134</v>
      </c>
      <c r="M271" s="22">
        <f t="shared" ref="M271" si="191">M266</f>
        <v>-90</v>
      </c>
    </row>
    <row r="272" spans="1:13">
      <c r="A272" s="21" t="s">
        <v>233</v>
      </c>
      <c r="B272" s="21">
        <f t="shared" ref="B272" si="192">QUOTIENT( D272-1,G273)+1</f>
        <v>2</v>
      </c>
      <c r="C272" s="21">
        <f t="shared" ref="C272" si="193">D272-(B272-1)*G273</f>
        <v>2</v>
      </c>
      <c r="D272" s="21">
        <f>COUNT($D$7:$D271)+1</f>
        <v>13</v>
      </c>
      <c r="E272" s="4"/>
    </row>
    <row r="273" spans="5:13">
      <c r="E273" s="4">
        <f t="shared" si="187"/>
        <v>273</v>
      </c>
      <c r="F273" s="9" t="s">
        <v>93</v>
      </c>
      <c r="G273" s="9">
        <v>11</v>
      </c>
      <c r="H273" s="9">
        <v>2</v>
      </c>
      <c r="I273" s="9"/>
      <c r="J273" s="9">
        <v>10800</v>
      </c>
      <c r="M273" s="22">
        <f t="shared" ref="M273" si="194">J273+D272</f>
        <v>10813</v>
      </c>
    </row>
    <row r="274" spans="5:13">
      <c r="E274" s="4">
        <f t="shared" si="187"/>
        <v>274</v>
      </c>
      <c r="F274" s="9" t="s">
        <v>150</v>
      </c>
      <c r="M274" s="22">
        <v>2050</v>
      </c>
    </row>
    <row r="275" spans="5:13">
      <c r="E275" s="4">
        <f t="shared" si="187"/>
        <v>275</v>
      </c>
      <c r="F275" s="9" t="s">
        <v>35</v>
      </c>
      <c r="M275" s="22">
        <v>60</v>
      </c>
    </row>
    <row r="276" spans="5:13">
      <c r="E276" s="4">
        <f t="shared" si="187"/>
        <v>276</v>
      </c>
      <c r="F276" s="9" t="s">
        <v>29</v>
      </c>
      <c r="M276" s="22" t="s">
        <v>145</v>
      </c>
    </row>
    <row r="277" spans="5:13">
      <c r="E277" s="4">
        <f t="shared" si="187"/>
        <v>277</v>
      </c>
      <c r="F277" s="9" t="s">
        <v>118</v>
      </c>
      <c r="M277" s="22" t="s">
        <v>144</v>
      </c>
    </row>
    <row r="278" spans="5:13">
      <c r="E278" s="4">
        <f t="shared" si="187"/>
        <v>278</v>
      </c>
      <c r="F278" s="9" t="s">
        <v>113</v>
      </c>
      <c r="G278" s="22" t="b">
        <f t="shared" ref="G278" si="195">MOD(B272,2)=0</f>
        <v>1</v>
      </c>
      <c r="H278" s="22">
        <v>-90</v>
      </c>
      <c r="I278" s="22" t="s">
        <v>234</v>
      </c>
      <c r="L278" s="9" t="s">
        <v>134</v>
      </c>
      <c r="M278" s="22">
        <f t="shared" ref="M278" si="196">IF(G278,$H$14,$I$14)</f>
        <v>-90</v>
      </c>
    </row>
    <row r="279" spans="5:13">
      <c r="E279" s="4">
        <f t="shared" si="187"/>
        <v>279</v>
      </c>
      <c r="F279" s="9" t="s">
        <v>98</v>
      </c>
      <c r="G279" s="22" t="b">
        <f t="shared" ref="G279" si="197">MOD(B272,2)=0</f>
        <v>1</v>
      </c>
      <c r="K279" s="9" t="s">
        <v>136</v>
      </c>
      <c r="M279" s="22" t="str">
        <f t="shared" ref="M279" si="198">CONCATENATE(ROUND($I$16+$J$16*(MOD(D272-1,$G$9)+1),10),",",IF(G279,$G$16,$H$16))</f>
        <v>3.2,6</v>
      </c>
    </row>
    <row r="280" spans="5:13">
      <c r="E280" s="4"/>
      <c r="G280" s="22" t="s">
        <v>32</v>
      </c>
      <c r="H280" s="22" t="s">
        <v>235</v>
      </c>
      <c r="I280" s="22">
        <v>4.8</v>
      </c>
      <c r="J280" s="22" t="s">
        <v>236</v>
      </c>
    </row>
    <row r="281" spans="5:13">
      <c r="E281" s="4">
        <f t="shared" si="187"/>
        <v>281</v>
      </c>
      <c r="F281" s="9" t="s">
        <v>30</v>
      </c>
      <c r="M281" s="22">
        <v>1.4</v>
      </c>
    </row>
    <row r="282" spans="5:13">
      <c r="E282" s="4">
        <f t="shared" si="187"/>
        <v>282</v>
      </c>
      <c r="F282" s="9" t="s">
        <v>31</v>
      </c>
      <c r="G282" s="22" t="b">
        <f t="shared" ref="G282" si="199">MOD(B272,2)=0</f>
        <v>1</v>
      </c>
      <c r="H282" s="22">
        <v>-90</v>
      </c>
      <c r="I282" s="22" t="s">
        <v>234</v>
      </c>
      <c r="L282" s="9" t="s">
        <v>134</v>
      </c>
      <c r="M282" s="22">
        <f t="shared" ref="M282" si="200">IF(G282,$H$18,$I$18)</f>
        <v>-90</v>
      </c>
    </row>
    <row r="283" spans="5:13">
      <c r="E283" s="4">
        <f t="shared" si="187"/>
        <v>283</v>
      </c>
      <c r="F283" s="9" t="s">
        <v>101</v>
      </c>
      <c r="M283" s="22">
        <f t="shared" ref="M283" si="201">M273*10+1</f>
        <v>108131</v>
      </c>
    </row>
    <row r="284" spans="5:13">
      <c r="E284" s="4">
        <f t="shared" si="187"/>
        <v>284</v>
      </c>
      <c r="F284" s="9" t="s">
        <v>143</v>
      </c>
      <c r="M284" s="22">
        <f t="shared" ref="M284" si="202">M273</f>
        <v>10813</v>
      </c>
    </row>
    <row r="285" spans="5:13">
      <c r="E285" s="4">
        <f t="shared" si="187"/>
        <v>285</v>
      </c>
      <c r="F285" s="9" t="s">
        <v>127</v>
      </c>
      <c r="M285" s="22">
        <v>0</v>
      </c>
    </row>
    <row r="286" spans="5:13">
      <c r="E286" s="4">
        <f t="shared" si="187"/>
        <v>286</v>
      </c>
      <c r="F286" s="9" t="s">
        <v>35</v>
      </c>
      <c r="G286" s="22" t="b">
        <f t="shared" ref="G286" si="203">MOD(D272,2)=0</f>
        <v>0</v>
      </c>
      <c r="H286" s="22">
        <v>220</v>
      </c>
      <c r="I286" s="22" t="s">
        <v>237</v>
      </c>
      <c r="J286" s="22">
        <v>0</v>
      </c>
      <c r="M286" s="22">
        <f t="shared" ref="M286" si="204">$H$22+IF(G286,$I$22,$J$22)</f>
        <v>220</v>
      </c>
    </row>
    <row r="287" spans="5:13">
      <c r="E287" s="4">
        <f t="shared" si="187"/>
        <v>287</v>
      </c>
      <c r="F287" s="9" t="s">
        <v>30</v>
      </c>
      <c r="M287" s="22">
        <v>0</v>
      </c>
    </row>
    <row r="288" spans="5:13">
      <c r="E288" s="4">
        <f t="shared" si="187"/>
        <v>288</v>
      </c>
      <c r="F288" s="9" t="s">
        <v>113</v>
      </c>
      <c r="L288" s="9" t="s">
        <v>134</v>
      </c>
      <c r="M288" s="22">
        <f t="shared" ref="M288" si="205">M278</f>
        <v>-90</v>
      </c>
    </row>
    <row r="289" spans="1:13">
      <c r="E289" s="4">
        <f t="shared" si="187"/>
        <v>289</v>
      </c>
      <c r="F289" s="9" t="s">
        <v>101</v>
      </c>
      <c r="M289" s="22">
        <f t="shared" ref="M289" si="206">M273*10+2</f>
        <v>108132</v>
      </c>
    </row>
    <row r="290" spans="1:13">
      <c r="E290" s="4">
        <f t="shared" si="187"/>
        <v>290</v>
      </c>
      <c r="F290" s="9" t="s">
        <v>143</v>
      </c>
      <c r="M290" s="22">
        <f t="shared" ref="M290" si="207">M283</f>
        <v>108131</v>
      </c>
    </row>
    <row r="291" spans="1:13">
      <c r="E291" s="4">
        <f t="shared" si="187"/>
        <v>291</v>
      </c>
      <c r="F291" s="9" t="s">
        <v>127</v>
      </c>
      <c r="M291" s="22">
        <v>0</v>
      </c>
    </row>
    <row r="292" spans="1:13">
      <c r="E292" s="4">
        <f t="shared" si="187"/>
        <v>292</v>
      </c>
      <c r="F292" s="9" t="s">
        <v>30</v>
      </c>
      <c r="M292" s="22">
        <v>2</v>
      </c>
    </row>
    <row r="293" spans="1:13">
      <c r="E293" s="4">
        <f t="shared" si="187"/>
        <v>293</v>
      </c>
      <c r="F293" s="9" t="s">
        <v>113</v>
      </c>
      <c r="L293" s="9" t="s">
        <v>134</v>
      </c>
      <c r="M293" s="22">
        <f t="shared" ref="M293" si="208">M288</f>
        <v>-90</v>
      </c>
    </row>
    <row r="294" spans="1:13">
      <c r="A294" s="21" t="s">
        <v>233</v>
      </c>
      <c r="B294" s="21">
        <f t="shared" ref="B294" si="209">QUOTIENT( D294-1,G295)+1</f>
        <v>2</v>
      </c>
      <c r="C294" s="21">
        <f t="shared" ref="C294" si="210">D294-(B294-1)*G295</f>
        <v>3</v>
      </c>
      <c r="D294" s="21">
        <f>COUNT($D$7:$D293)+1</f>
        <v>14</v>
      </c>
      <c r="E294" s="4"/>
    </row>
    <row r="295" spans="1:13">
      <c r="E295" s="4">
        <f t="shared" si="187"/>
        <v>295</v>
      </c>
      <c r="F295" s="9" t="s">
        <v>93</v>
      </c>
      <c r="G295" s="22">
        <v>11</v>
      </c>
      <c r="H295" s="22">
        <v>2</v>
      </c>
      <c r="J295" s="22">
        <v>10800</v>
      </c>
      <c r="M295" s="22">
        <f t="shared" ref="M295" si="211">J295+D294</f>
        <v>10814</v>
      </c>
    </row>
    <row r="296" spans="1:13">
      <c r="E296" s="4">
        <f t="shared" si="187"/>
        <v>296</v>
      </c>
      <c r="F296" s="9" t="s">
        <v>150</v>
      </c>
      <c r="G296" s="9"/>
      <c r="H296" s="9"/>
      <c r="I296" s="9"/>
      <c r="J296" s="9"/>
      <c r="M296" s="22">
        <v>2050</v>
      </c>
    </row>
    <row r="297" spans="1:13">
      <c r="E297" s="4">
        <f t="shared" si="187"/>
        <v>297</v>
      </c>
      <c r="F297" s="9" t="s">
        <v>35</v>
      </c>
      <c r="M297" s="22">
        <v>60</v>
      </c>
    </row>
    <row r="298" spans="1:13">
      <c r="E298" s="4">
        <f t="shared" si="187"/>
        <v>298</v>
      </c>
      <c r="F298" s="9" t="s">
        <v>29</v>
      </c>
      <c r="M298" s="22" t="s">
        <v>145</v>
      </c>
    </row>
    <row r="299" spans="1:13">
      <c r="E299" s="4">
        <f t="shared" si="187"/>
        <v>299</v>
      </c>
      <c r="F299" s="9" t="s">
        <v>118</v>
      </c>
      <c r="M299" s="22" t="s">
        <v>144</v>
      </c>
    </row>
    <row r="300" spans="1:13">
      <c r="E300" s="4">
        <f t="shared" si="187"/>
        <v>300</v>
      </c>
      <c r="F300" s="9" t="s">
        <v>113</v>
      </c>
      <c r="G300" s="22" t="b">
        <f t="shared" ref="G300" si="212">MOD(B294,2)=0</f>
        <v>1</v>
      </c>
      <c r="H300" s="22">
        <v>-90</v>
      </c>
      <c r="I300" s="22" t="s">
        <v>234</v>
      </c>
      <c r="L300" s="9" t="s">
        <v>134</v>
      </c>
      <c r="M300" s="22">
        <f t="shared" ref="M300" si="213">IF(G300,$H$14,$I$14)</f>
        <v>-90</v>
      </c>
    </row>
    <row r="301" spans="1:13">
      <c r="E301" s="4">
        <f t="shared" si="187"/>
        <v>301</v>
      </c>
      <c r="F301" s="9" t="s">
        <v>98</v>
      </c>
      <c r="G301" s="22" t="b">
        <f t="shared" ref="G301" si="214">MOD(B294,2)=0</f>
        <v>1</v>
      </c>
      <c r="K301" s="9" t="s">
        <v>136</v>
      </c>
      <c r="M301" s="22" t="str">
        <f t="shared" ref="M301" si="215">CONCATENATE(ROUND($I$16+$J$16*(MOD(D294-1,$G$9)+1),10),",",IF(G301,$G$16,$H$16))</f>
        <v>2.4,6</v>
      </c>
    </row>
    <row r="302" spans="1:13">
      <c r="E302" s="4"/>
      <c r="G302" s="22" t="s">
        <v>32</v>
      </c>
      <c r="H302" s="22" t="s">
        <v>235</v>
      </c>
      <c r="I302" s="22">
        <v>4.8</v>
      </c>
      <c r="J302" s="22" t="s">
        <v>236</v>
      </c>
    </row>
    <row r="303" spans="1:13">
      <c r="E303" s="4">
        <f t="shared" si="187"/>
        <v>303</v>
      </c>
      <c r="F303" s="9" t="s">
        <v>30</v>
      </c>
      <c r="M303" s="22">
        <v>1.4</v>
      </c>
    </row>
    <row r="304" spans="1:13">
      <c r="E304" s="4">
        <f t="shared" si="187"/>
        <v>304</v>
      </c>
      <c r="F304" s="9" t="s">
        <v>31</v>
      </c>
      <c r="G304" s="22" t="b">
        <f t="shared" ref="G304" si="216">MOD(B294,2)=0</f>
        <v>1</v>
      </c>
      <c r="H304" s="22">
        <v>-90</v>
      </c>
      <c r="I304" s="22" t="s">
        <v>234</v>
      </c>
      <c r="L304" s="9" t="s">
        <v>134</v>
      </c>
      <c r="M304" s="22">
        <f t="shared" ref="M304" si="217">IF(G304,$H$18,$I$18)</f>
        <v>-90</v>
      </c>
    </row>
    <row r="305" spans="1:13">
      <c r="E305" s="4">
        <f t="shared" si="187"/>
        <v>305</v>
      </c>
      <c r="F305" s="9" t="s">
        <v>101</v>
      </c>
      <c r="M305" s="22">
        <f t="shared" ref="M305" si="218">M295*10+1</f>
        <v>108141</v>
      </c>
    </row>
    <row r="306" spans="1:13">
      <c r="E306" s="4">
        <f t="shared" si="187"/>
        <v>306</v>
      </c>
      <c r="F306" s="9" t="s">
        <v>143</v>
      </c>
      <c r="M306" s="22">
        <f t="shared" ref="M306" si="219">M295</f>
        <v>10814</v>
      </c>
    </row>
    <row r="307" spans="1:13">
      <c r="E307" s="4">
        <f t="shared" si="187"/>
        <v>307</v>
      </c>
      <c r="F307" s="9" t="s">
        <v>127</v>
      </c>
      <c r="M307" s="22">
        <v>0</v>
      </c>
    </row>
    <row r="308" spans="1:13">
      <c r="E308" s="4">
        <f t="shared" si="187"/>
        <v>308</v>
      </c>
      <c r="F308" s="9" t="s">
        <v>35</v>
      </c>
      <c r="G308" s="22" t="b">
        <f t="shared" ref="G308" si="220">MOD(D294,2)=0</f>
        <v>1</v>
      </c>
      <c r="H308" s="22">
        <v>220</v>
      </c>
      <c r="I308" s="22" t="s">
        <v>237</v>
      </c>
      <c r="J308" s="22">
        <v>0</v>
      </c>
      <c r="M308" s="22">
        <f t="shared" ref="M308" si="221">$H$22+IF(G308,$I$22,$J$22)</f>
        <v>300</v>
      </c>
    </row>
    <row r="309" spans="1:13">
      <c r="E309" s="4">
        <f t="shared" si="187"/>
        <v>309</v>
      </c>
      <c r="F309" s="9" t="s">
        <v>30</v>
      </c>
      <c r="M309" s="22">
        <v>0</v>
      </c>
    </row>
    <row r="310" spans="1:13">
      <c r="E310" s="4">
        <f t="shared" si="187"/>
        <v>310</v>
      </c>
      <c r="F310" s="9" t="s">
        <v>113</v>
      </c>
      <c r="L310" s="9" t="s">
        <v>134</v>
      </c>
      <c r="M310" s="22">
        <f t="shared" ref="M310" si="222">M300</f>
        <v>-90</v>
      </c>
    </row>
    <row r="311" spans="1:13">
      <c r="E311" s="4">
        <f t="shared" si="187"/>
        <v>311</v>
      </c>
      <c r="F311" s="9" t="s">
        <v>101</v>
      </c>
      <c r="M311" s="22">
        <f t="shared" ref="M311" si="223">M295*10+2</f>
        <v>108142</v>
      </c>
    </row>
    <row r="312" spans="1:13">
      <c r="E312" s="4">
        <f t="shared" si="187"/>
        <v>312</v>
      </c>
      <c r="F312" s="9" t="s">
        <v>143</v>
      </c>
      <c r="M312" s="22">
        <f t="shared" ref="M312" si="224">M305</f>
        <v>108141</v>
      </c>
    </row>
    <row r="313" spans="1:13">
      <c r="E313" s="4">
        <f t="shared" si="187"/>
        <v>313</v>
      </c>
      <c r="F313" s="9" t="s">
        <v>127</v>
      </c>
      <c r="M313" s="22">
        <v>0</v>
      </c>
    </row>
    <row r="314" spans="1:13">
      <c r="E314" s="4">
        <f t="shared" si="187"/>
        <v>314</v>
      </c>
      <c r="F314" s="9" t="s">
        <v>30</v>
      </c>
      <c r="M314" s="22">
        <v>2</v>
      </c>
    </row>
    <row r="315" spans="1:13">
      <c r="E315" s="4">
        <f t="shared" si="187"/>
        <v>315</v>
      </c>
      <c r="F315" s="9" t="s">
        <v>113</v>
      </c>
      <c r="L315" s="9" t="s">
        <v>134</v>
      </c>
      <c r="M315" s="22">
        <f t="shared" ref="M315" si="225">M310</f>
        <v>-90</v>
      </c>
    </row>
    <row r="316" spans="1:13">
      <c r="A316" s="21" t="s">
        <v>233</v>
      </c>
      <c r="B316" s="21">
        <f t="shared" ref="B316" si="226">QUOTIENT( D316-1,G317)+1</f>
        <v>2</v>
      </c>
      <c r="C316" s="21">
        <f t="shared" ref="C316" si="227">D316-(B316-1)*G317</f>
        <v>4</v>
      </c>
      <c r="D316" s="21">
        <f>COUNT($D$7:$D315)+1</f>
        <v>15</v>
      </c>
      <c r="E316" s="4"/>
    </row>
    <row r="317" spans="1:13">
      <c r="E317" s="4">
        <f t="shared" si="187"/>
        <v>317</v>
      </c>
      <c r="F317" s="9" t="s">
        <v>93</v>
      </c>
      <c r="G317" s="22">
        <v>11</v>
      </c>
      <c r="H317" s="22">
        <v>2</v>
      </c>
      <c r="J317" s="22">
        <v>10800</v>
      </c>
      <c r="M317" s="22">
        <f t="shared" ref="M317" si="228">J317+D316</f>
        <v>10815</v>
      </c>
    </row>
    <row r="318" spans="1:13">
      <c r="E318" s="4">
        <f t="shared" si="187"/>
        <v>318</v>
      </c>
      <c r="F318" s="9" t="s">
        <v>150</v>
      </c>
      <c r="M318" s="22">
        <v>2050</v>
      </c>
    </row>
    <row r="319" spans="1:13">
      <c r="E319" s="4">
        <f t="shared" si="187"/>
        <v>319</v>
      </c>
      <c r="F319" s="9" t="s">
        <v>35</v>
      </c>
      <c r="G319" s="9"/>
      <c r="H319" s="9"/>
      <c r="I319" s="9"/>
      <c r="J319" s="9"/>
      <c r="M319" s="22">
        <v>60</v>
      </c>
    </row>
    <row r="320" spans="1:13">
      <c r="E320" s="4">
        <f t="shared" si="187"/>
        <v>320</v>
      </c>
      <c r="F320" s="9" t="s">
        <v>29</v>
      </c>
      <c r="M320" s="22" t="s">
        <v>145</v>
      </c>
    </row>
    <row r="321" spans="5:13">
      <c r="E321" s="4">
        <f t="shared" si="187"/>
        <v>321</v>
      </c>
      <c r="F321" s="9" t="s">
        <v>118</v>
      </c>
      <c r="M321" s="22" t="s">
        <v>144</v>
      </c>
    </row>
    <row r="322" spans="5:13">
      <c r="E322" s="4">
        <f t="shared" si="187"/>
        <v>322</v>
      </c>
      <c r="F322" s="9" t="s">
        <v>113</v>
      </c>
      <c r="G322" s="22" t="b">
        <f t="shared" ref="G322" si="229">MOD(B316,2)=0</f>
        <v>1</v>
      </c>
      <c r="H322" s="22">
        <v>-90</v>
      </c>
      <c r="I322" s="22" t="s">
        <v>234</v>
      </c>
      <c r="L322" s="9" t="s">
        <v>134</v>
      </c>
      <c r="M322" s="22">
        <f t="shared" ref="M322" si="230">IF(G322,$H$14,$I$14)</f>
        <v>-90</v>
      </c>
    </row>
    <row r="323" spans="5:13">
      <c r="E323" s="4">
        <f t="shared" si="187"/>
        <v>323</v>
      </c>
      <c r="F323" s="9" t="s">
        <v>98</v>
      </c>
      <c r="G323" s="22" t="b">
        <f t="shared" ref="G323" si="231">MOD(B316,2)=0</f>
        <v>1</v>
      </c>
      <c r="K323" s="9" t="s">
        <v>136</v>
      </c>
      <c r="M323" s="22" t="str">
        <f t="shared" ref="M323" si="232">CONCATENATE(ROUND($I$16+$J$16*(MOD(D316-1,$G$9)+1),10),",",IF(G323,$G$16,$H$16))</f>
        <v>1.6,6</v>
      </c>
    </row>
    <row r="324" spans="5:13">
      <c r="E324" s="4"/>
      <c r="G324" s="22" t="s">
        <v>32</v>
      </c>
      <c r="H324" s="22" t="s">
        <v>235</v>
      </c>
      <c r="I324" s="22">
        <v>4.8</v>
      </c>
      <c r="J324" s="22" t="s">
        <v>236</v>
      </c>
    </row>
    <row r="325" spans="5:13">
      <c r="E325" s="4">
        <f t="shared" si="187"/>
        <v>325</v>
      </c>
      <c r="F325" s="9" t="s">
        <v>30</v>
      </c>
      <c r="M325" s="22">
        <v>1.4</v>
      </c>
    </row>
    <row r="326" spans="5:13">
      <c r="E326" s="4">
        <f t="shared" si="187"/>
        <v>326</v>
      </c>
      <c r="F326" s="9" t="s">
        <v>31</v>
      </c>
      <c r="G326" s="22" t="b">
        <f t="shared" ref="G326" si="233">MOD(B316,2)=0</f>
        <v>1</v>
      </c>
      <c r="H326" s="22">
        <v>-90</v>
      </c>
      <c r="I326" s="22" t="s">
        <v>234</v>
      </c>
      <c r="L326" s="9" t="s">
        <v>134</v>
      </c>
      <c r="M326" s="22">
        <f t="shared" ref="M326" si="234">IF(G326,$H$18,$I$18)</f>
        <v>-90</v>
      </c>
    </row>
    <row r="327" spans="5:13">
      <c r="E327" s="4">
        <f t="shared" si="187"/>
        <v>327</v>
      </c>
      <c r="F327" s="9" t="s">
        <v>101</v>
      </c>
      <c r="M327" s="22">
        <f t="shared" ref="M327" si="235">M317*10+1</f>
        <v>108151</v>
      </c>
    </row>
    <row r="328" spans="5:13">
      <c r="E328" s="4">
        <f t="shared" si="187"/>
        <v>328</v>
      </c>
      <c r="F328" s="9" t="s">
        <v>143</v>
      </c>
      <c r="M328" s="22">
        <f t="shared" ref="M328" si="236">M317</f>
        <v>10815</v>
      </c>
    </row>
    <row r="329" spans="5:13">
      <c r="E329" s="4">
        <f t="shared" ref="E329:E392" si="237">ROW(E329)</f>
        <v>329</v>
      </c>
      <c r="F329" s="9" t="s">
        <v>127</v>
      </c>
      <c r="M329" s="22">
        <v>0</v>
      </c>
    </row>
    <row r="330" spans="5:13">
      <c r="E330" s="4">
        <f t="shared" si="237"/>
        <v>330</v>
      </c>
      <c r="F330" s="9" t="s">
        <v>35</v>
      </c>
      <c r="G330" s="22" t="b">
        <f t="shared" ref="G330" si="238">MOD(D316,2)=0</f>
        <v>0</v>
      </c>
      <c r="H330" s="22">
        <v>220</v>
      </c>
      <c r="I330" s="22" t="s">
        <v>237</v>
      </c>
      <c r="J330" s="22">
        <v>0</v>
      </c>
      <c r="M330" s="22">
        <f t="shared" ref="M330" si="239">$H$22+IF(G330,$I$22,$J$22)</f>
        <v>220</v>
      </c>
    </row>
    <row r="331" spans="5:13">
      <c r="E331" s="4">
        <f t="shared" si="237"/>
        <v>331</v>
      </c>
      <c r="F331" s="9" t="s">
        <v>30</v>
      </c>
      <c r="M331" s="22">
        <v>0</v>
      </c>
    </row>
    <row r="332" spans="5:13">
      <c r="E332" s="4">
        <f t="shared" si="237"/>
        <v>332</v>
      </c>
      <c r="F332" s="9" t="s">
        <v>113</v>
      </c>
      <c r="L332" s="9" t="s">
        <v>134</v>
      </c>
      <c r="M332" s="22">
        <f t="shared" ref="M332" si="240">M322</f>
        <v>-90</v>
      </c>
    </row>
    <row r="333" spans="5:13">
      <c r="E333" s="4">
        <f t="shared" si="237"/>
        <v>333</v>
      </c>
      <c r="F333" s="9" t="s">
        <v>101</v>
      </c>
      <c r="M333" s="22">
        <f t="shared" ref="M333" si="241">M317*10+2</f>
        <v>108152</v>
      </c>
    </row>
    <row r="334" spans="5:13">
      <c r="E334" s="4">
        <f t="shared" si="237"/>
        <v>334</v>
      </c>
      <c r="F334" s="9" t="s">
        <v>143</v>
      </c>
      <c r="M334" s="22">
        <f t="shared" ref="M334" si="242">M327</f>
        <v>108151</v>
      </c>
    </row>
    <row r="335" spans="5:13">
      <c r="E335" s="4">
        <f t="shared" si="237"/>
        <v>335</v>
      </c>
      <c r="F335" s="9" t="s">
        <v>127</v>
      </c>
      <c r="M335" s="22">
        <v>0</v>
      </c>
    </row>
    <row r="336" spans="5:13">
      <c r="E336" s="4">
        <f t="shared" si="237"/>
        <v>336</v>
      </c>
      <c r="F336" s="9" t="s">
        <v>30</v>
      </c>
      <c r="M336" s="22">
        <v>2</v>
      </c>
    </row>
    <row r="337" spans="1:13">
      <c r="E337" s="4">
        <f t="shared" si="237"/>
        <v>337</v>
      </c>
      <c r="F337" s="9" t="s">
        <v>113</v>
      </c>
      <c r="L337" s="9" t="s">
        <v>134</v>
      </c>
      <c r="M337" s="22">
        <f t="shared" ref="M337" si="243">M332</f>
        <v>-90</v>
      </c>
    </row>
    <row r="338" spans="1:13">
      <c r="A338" s="21" t="s">
        <v>233</v>
      </c>
      <c r="B338" s="21">
        <f t="shared" ref="B338" si="244">QUOTIENT( D338-1,G339)+1</f>
        <v>2</v>
      </c>
      <c r="C338" s="21">
        <f t="shared" ref="C338" si="245">D338-(B338-1)*G339</f>
        <v>5</v>
      </c>
      <c r="D338" s="21">
        <f>COUNT($D$7:$D337)+1</f>
        <v>16</v>
      </c>
      <c r="E338" s="4"/>
    </row>
    <row r="339" spans="1:13">
      <c r="E339" s="4">
        <f t="shared" si="237"/>
        <v>339</v>
      </c>
      <c r="F339" s="9" t="s">
        <v>93</v>
      </c>
      <c r="G339" s="22">
        <v>11</v>
      </c>
      <c r="H339" s="22">
        <v>2</v>
      </c>
      <c r="J339" s="22">
        <v>10800</v>
      </c>
      <c r="M339" s="22">
        <f t="shared" ref="M339" si="246">J339+D338</f>
        <v>10816</v>
      </c>
    </row>
    <row r="340" spans="1:13">
      <c r="E340" s="4">
        <f t="shared" si="237"/>
        <v>340</v>
      </c>
      <c r="F340" s="9" t="s">
        <v>150</v>
      </c>
      <c r="M340" s="22">
        <v>2050</v>
      </c>
    </row>
    <row r="341" spans="1:13">
      <c r="E341" s="4">
        <f t="shared" si="237"/>
        <v>341</v>
      </c>
      <c r="F341" s="9" t="s">
        <v>35</v>
      </c>
      <c r="M341" s="22">
        <v>60</v>
      </c>
    </row>
    <row r="342" spans="1:13">
      <c r="E342" s="4">
        <f t="shared" si="237"/>
        <v>342</v>
      </c>
      <c r="F342" s="9" t="s">
        <v>29</v>
      </c>
      <c r="G342" s="9"/>
      <c r="H342" s="9"/>
      <c r="I342" s="9"/>
      <c r="J342" s="9"/>
      <c r="M342" s="22" t="s">
        <v>145</v>
      </c>
    </row>
    <row r="343" spans="1:13">
      <c r="E343" s="4">
        <f t="shared" si="237"/>
        <v>343</v>
      </c>
      <c r="F343" s="9" t="s">
        <v>118</v>
      </c>
      <c r="M343" s="22" t="s">
        <v>144</v>
      </c>
    </row>
    <row r="344" spans="1:13">
      <c r="E344" s="4">
        <f t="shared" si="237"/>
        <v>344</v>
      </c>
      <c r="F344" s="9" t="s">
        <v>113</v>
      </c>
      <c r="G344" s="22" t="b">
        <f t="shared" ref="G344" si="247">MOD(B338,2)=0</f>
        <v>1</v>
      </c>
      <c r="H344" s="22">
        <v>-90</v>
      </c>
      <c r="I344" s="22" t="s">
        <v>234</v>
      </c>
      <c r="L344" s="9" t="s">
        <v>134</v>
      </c>
      <c r="M344" s="22">
        <f t="shared" ref="M344" si="248">IF(G344,$H$14,$I$14)</f>
        <v>-90</v>
      </c>
    </row>
    <row r="345" spans="1:13">
      <c r="E345" s="4">
        <f t="shared" si="237"/>
        <v>345</v>
      </c>
      <c r="F345" s="9" t="s">
        <v>98</v>
      </c>
      <c r="G345" s="22" t="b">
        <f t="shared" ref="G345" si="249">MOD(B338,2)=0</f>
        <v>1</v>
      </c>
      <c r="K345" s="9" t="s">
        <v>136</v>
      </c>
      <c r="M345" s="22" t="str">
        <f t="shared" ref="M345" si="250">CONCATENATE(ROUND($I$16+$J$16*(MOD(D338-1,$G$9)+1),10),",",IF(G345,$G$16,$H$16))</f>
        <v>0.8,6</v>
      </c>
    </row>
    <row r="346" spans="1:13">
      <c r="E346" s="4"/>
      <c r="G346" s="22" t="s">
        <v>32</v>
      </c>
      <c r="H346" s="22" t="s">
        <v>235</v>
      </c>
      <c r="I346" s="22">
        <v>4.8</v>
      </c>
      <c r="J346" s="22" t="s">
        <v>236</v>
      </c>
    </row>
    <row r="347" spans="1:13">
      <c r="E347" s="4">
        <f t="shared" si="237"/>
        <v>347</v>
      </c>
      <c r="F347" s="9" t="s">
        <v>30</v>
      </c>
      <c r="M347" s="22">
        <v>1.4</v>
      </c>
    </row>
    <row r="348" spans="1:13">
      <c r="E348" s="4">
        <f t="shared" si="237"/>
        <v>348</v>
      </c>
      <c r="F348" s="9" t="s">
        <v>31</v>
      </c>
      <c r="G348" s="22" t="b">
        <f t="shared" ref="G348" si="251">MOD(B338,2)=0</f>
        <v>1</v>
      </c>
      <c r="H348" s="22">
        <v>-90</v>
      </c>
      <c r="I348" s="22" t="s">
        <v>234</v>
      </c>
      <c r="L348" s="9" t="s">
        <v>134</v>
      </c>
      <c r="M348" s="22">
        <f t="shared" ref="M348" si="252">IF(G348,$H$18,$I$18)</f>
        <v>-90</v>
      </c>
    </row>
    <row r="349" spans="1:13">
      <c r="E349" s="4">
        <f t="shared" si="237"/>
        <v>349</v>
      </c>
      <c r="F349" s="9" t="s">
        <v>101</v>
      </c>
      <c r="M349" s="22">
        <f t="shared" ref="M349" si="253">M339*10+1</f>
        <v>108161</v>
      </c>
    </row>
    <row r="350" spans="1:13">
      <c r="E350" s="4">
        <f t="shared" si="237"/>
        <v>350</v>
      </c>
      <c r="F350" s="9" t="s">
        <v>143</v>
      </c>
      <c r="M350" s="22">
        <f t="shared" ref="M350" si="254">M339</f>
        <v>10816</v>
      </c>
    </row>
    <row r="351" spans="1:13">
      <c r="E351" s="4">
        <f t="shared" si="237"/>
        <v>351</v>
      </c>
      <c r="F351" s="9" t="s">
        <v>127</v>
      </c>
      <c r="M351" s="22">
        <v>0</v>
      </c>
    </row>
    <row r="352" spans="1:13">
      <c r="E352" s="4">
        <f t="shared" si="237"/>
        <v>352</v>
      </c>
      <c r="F352" s="9" t="s">
        <v>35</v>
      </c>
      <c r="G352" s="22" t="b">
        <f t="shared" ref="G352" si="255">MOD(D338,2)=0</f>
        <v>1</v>
      </c>
      <c r="H352" s="22">
        <v>220</v>
      </c>
      <c r="I352" s="22" t="s">
        <v>237</v>
      </c>
      <c r="J352" s="22">
        <v>0</v>
      </c>
      <c r="M352" s="22">
        <f t="shared" ref="M352" si="256">$H$22+IF(G352,$I$22,$J$22)</f>
        <v>300</v>
      </c>
    </row>
    <row r="353" spans="1:13">
      <c r="E353" s="4">
        <f t="shared" si="237"/>
        <v>353</v>
      </c>
      <c r="F353" s="9" t="s">
        <v>30</v>
      </c>
      <c r="M353" s="22">
        <v>0</v>
      </c>
    </row>
    <row r="354" spans="1:13">
      <c r="E354" s="4">
        <f t="shared" si="237"/>
        <v>354</v>
      </c>
      <c r="F354" s="9" t="s">
        <v>113</v>
      </c>
      <c r="L354" s="9" t="s">
        <v>134</v>
      </c>
      <c r="M354" s="22">
        <f t="shared" ref="M354" si="257">M344</f>
        <v>-90</v>
      </c>
    </row>
    <row r="355" spans="1:13">
      <c r="E355" s="4">
        <f t="shared" si="237"/>
        <v>355</v>
      </c>
      <c r="F355" s="9" t="s">
        <v>101</v>
      </c>
      <c r="M355" s="22">
        <f t="shared" ref="M355" si="258">M339*10+2</f>
        <v>108162</v>
      </c>
    </row>
    <row r="356" spans="1:13">
      <c r="E356" s="4">
        <f t="shared" si="237"/>
        <v>356</v>
      </c>
      <c r="F356" s="9" t="s">
        <v>143</v>
      </c>
      <c r="M356" s="22">
        <f t="shared" ref="M356" si="259">M349</f>
        <v>108161</v>
      </c>
    </row>
    <row r="357" spans="1:13">
      <c r="E357" s="4">
        <f t="shared" si="237"/>
        <v>357</v>
      </c>
      <c r="F357" s="9" t="s">
        <v>127</v>
      </c>
      <c r="M357" s="22">
        <v>0</v>
      </c>
    </row>
    <row r="358" spans="1:13">
      <c r="E358" s="4">
        <f t="shared" si="237"/>
        <v>358</v>
      </c>
      <c r="F358" s="9" t="s">
        <v>30</v>
      </c>
      <c r="M358" s="22">
        <v>2</v>
      </c>
    </row>
    <row r="359" spans="1:13">
      <c r="E359" s="4">
        <f t="shared" si="237"/>
        <v>359</v>
      </c>
      <c r="F359" s="9" t="s">
        <v>113</v>
      </c>
      <c r="L359" s="9" t="s">
        <v>134</v>
      </c>
      <c r="M359" s="22">
        <f t="shared" ref="M359" si="260">M354</f>
        <v>-90</v>
      </c>
    </row>
    <row r="360" spans="1:13">
      <c r="A360" s="21" t="s">
        <v>233</v>
      </c>
      <c r="B360" s="21">
        <f t="shared" ref="B360" si="261">QUOTIENT( D360-1,G361)+1</f>
        <v>2</v>
      </c>
      <c r="C360" s="21">
        <f t="shared" ref="C360" si="262">D360-(B360-1)*G361</f>
        <v>6</v>
      </c>
      <c r="D360" s="21">
        <f>COUNT($D$7:$D359)+1</f>
        <v>17</v>
      </c>
      <c r="E360" s="4"/>
    </row>
    <row r="361" spans="1:13">
      <c r="E361" s="4">
        <f t="shared" si="237"/>
        <v>361</v>
      </c>
      <c r="F361" s="9" t="s">
        <v>93</v>
      </c>
      <c r="G361" s="22">
        <v>11</v>
      </c>
      <c r="H361" s="22">
        <v>2</v>
      </c>
      <c r="J361" s="22">
        <v>10800</v>
      </c>
      <c r="M361" s="22">
        <f t="shared" ref="M361" si="263">J361+D360</f>
        <v>10817</v>
      </c>
    </row>
    <row r="362" spans="1:13">
      <c r="E362" s="4">
        <f t="shared" si="237"/>
        <v>362</v>
      </c>
      <c r="F362" s="9" t="s">
        <v>150</v>
      </c>
      <c r="M362" s="22">
        <v>2050</v>
      </c>
    </row>
    <row r="363" spans="1:13">
      <c r="E363" s="4">
        <f t="shared" si="237"/>
        <v>363</v>
      </c>
      <c r="F363" s="9" t="s">
        <v>35</v>
      </c>
      <c r="M363" s="22">
        <v>60</v>
      </c>
    </row>
    <row r="364" spans="1:13">
      <c r="E364" s="4">
        <f t="shared" si="237"/>
        <v>364</v>
      </c>
      <c r="F364" s="9" t="s">
        <v>29</v>
      </c>
      <c r="M364" s="22" t="s">
        <v>145</v>
      </c>
    </row>
    <row r="365" spans="1:13">
      <c r="E365" s="4">
        <f t="shared" si="237"/>
        <v>365</v>
      </c>
      <c r="F365" s="9" t="s">
        <v>118</v>
      </c>
      <c r="G365" s="9"/>
      <c r="H365" s="9"/>
      <c r="I365" s="9"/>
      <c r="J365" s="9"/>
      <c r="M365" s="22" t="s">
        <v>144</v>
      </c>
    </row>
    <row r="366" spans="1:13">
      <c r="E366" s="4">
        <f t="shared" si="237"/>
        <v>366</v>
      </c>
      <c r="F366" s="9" t="s">
        <v>113</v>
      </c>
      <c r="G366" s="22" t="b">
        <f t="shared" ref="G366" si="264">MOD(B360,2)=0</f>
        <v>1</v>
      </c>
      <c r="H366" s="22">
        <v>-90</v>
      </c>
      <c r="I366" s="22" t="s">
        <v>234</v>
      </c>
      <c r="L366" s="9" t="s">
        <v>134</v>
      </c>
      <c r="M366" s="22">
        <f t="shared" ref="M366" si="265">IF(G366,$H$14,$I$14)</f>
        <v>-90</v>
      </c>
    </row>
    <row r="367" spans="1:13">
      <c r="E367" s="4">
        <f t="shared" si="237"/>
        <v>367</v>
      </c>
      <c r="F367" s="9" t="s">
        <v>98</v>
      </c>
      <c r="G367" s="22" t="b">
        <f t="shared" ref="G367" si="266">MOD(B360,2)=0</f>
        <v>1</v>
      </c>
      <c r="K367" s="9" t="s">
        <v>136</v>
      </c>
      <c r="M367" s="22" t="str">
        <f t="shared" ref="M367" si="267">CONCATENATE(ROUND($I$16+$J$16*(MOD(D360-1,$G$9)+1),10),",",IF(G367,$G$16,$H$16))</f>
        <v>0,6</v>
      </c>
    </row>
    <row r="368" spans="1:13">
      <c r="E368" s="4"/>
      <c r="G368" s="22" t="s">
        <v>32</v>
      </c>
      <c r="H368" s="22" t="s">
        <v>235</v>
      </c>
      <c r="I368" s="22">
        <v>4.8</v>
      </c>
      <c r="J368" s="22" t="s">
        <v>236</v>
      </c>
    </row>
    <row r="369" spans="1:13">
      <c r="E369" s="4">
        <f t="shared" si="237"/>
        <v>369</v>
      </c>
      <c r="F369" s="9" t="s">
        <v>30</v>
      </c>
      <c r="M369" s="22">
        <v>1.4</v>
      </c>
    </row>
    <row r="370" spans="1:13">
      <c r="E370" s="4">
        <f t="shared" si="237"/>
        <v>370</v>
      </c>
      <c r="F370" s="9" t="s">
        <v>31</v>
      </c>
      <c r="G370" s="22" t="b">
        <f t="shared" ref="G370" si="268">MOD(B360,2)=0</f>
        <v>1</v>
      </c>
      <c r="H370" s="22">
        <v>-90</v>
      </c>
      <c r="I370" s="22" t="s">
        <v>234</v>
      </c>
      <c r="L370" s="9" t="s">
        <v>134</v>
      </c>
      <c r="M370" s="22">
        <f t="shared" ref="M370" si="269">IF(G370,$H$18,$I$18)</f>
        <v>-90</v>
      </c>
    </row>
    <row r="371" spans="1:13">
      <c r="E371" s="4">
        <f t="shared" si="237"/>
        <v>371</v>
      </c>
      <c r="F371" s="9" t="s">
        <v>101</v>
      </c>
      <c r="M371" s="22">
        <f t="shared" ref="M371" si="270">M361*10+1</f>
        <v>108171</v>
      </c>
    </row>
    <row r="372" spans="1:13">
      <c r="E372" s="4">
        <f t="shared" si="237"/>
        <v>372</v>
      </c>
      <c r="F372" s="9" t="s">
        <v>143</v>
      </c>
      <c r="M372" s="22">
        <f t="shared" ref="M372" si="271">M361</f>
        <v>10817</v>
      </c>
    </row>
    <row r="373" spans="1:13">
      <c r="E373" s="4">
        <f t="shared" si="237"/>
        <v>373</v>
      </c>
      <c r="F373" s="9" t="s">
        <v>127</v>
      </c>
      <c r="M373" s="22">
        <v>0</v>
      </c>
    </row>
    <row r="374" spans="1:13">
      <c r="E374" s="4">
        <f t="shared" si="237"/>
        <v>374</v>
      </c>
      <c r="F374" s="9" t="s">
        <v>35</v>
      </c>
      <c r="G374" s="22" t="b">
        <f t="shared" ref="G374" si="272">MOD(D360,2)=0</f>
        <v>0</v>
      </c>
      <c r="H374" s="22">
        <v>220</v>
      </c>
      <c r="I374" s="22" t="s">
        <v>237</v>
      </c>
      <c r="J374" s="22">
        <v>0</v>
      </c>
      <c r="M374" s="22">
        <f t="shared" ref="M374" si="273">$H$22+IF(G374,$I$22,$J$22)</f>
        <v>220</v>
      </c>
    </row>
    <row r="375" spans="1:13">
      <c r="E375" s="4">
        <f t="shared" si="237"/>
        <v>375</v>
      </c>
      <c r="F375" s="9" t="s">
        <v>30</v>
      </c>
      <c r="M375" s="22">
        <v>0</v>
      </c>
    </row>
    <row r="376" spans="1:13">
      <c r="E376" s="4">
        <f t="shared" si="237"/>
        <v>376</v>
      </c>
      <c r="F376" s="9" t="s">
        <v>113</v>
      </c>
      <c r="L376" s="9" t="s">
        <v>134</v>
      </c>
      <c r="M376" s="22">
        <f t="shared" ref="M376" si="274">M366</f>
        <v>-90</v>
      </c>
    </row>
    <row r="377" spans="1:13">
      <c r="E377" s="4">
        <f t="shared" si="237"/>
        <v>377</v>
      </c>
      <c r="F377" s="9" t="s">
        <v>101</v>
      </c>
      <c r="M377" s="22">
        <f t="shared" ref="M377" si="275">M361*10+2</f>
        <v>108172</v>
      </c>
    </row>
    <row r="378" spans="1:13">
      <c r="E378" s="4">
        <f t="shared" si="237"/>
        <v>378</v>
      </c>
      <c r="F378" s="9" t="s">
        <v>143</v>
      </c>
      <c r="M378" s="22">
        <f t="shared" ref="M378" si="276">M371</f>
        <v>108171</v>
      </c>
    </row>
    <row r="379" spans="1:13">
      <c r="E379" s="4">
        <f t="shared" si="237"/>
        <v>379</v>
      </c>
      <c r="F379" s="9" t="s">
        <v>127</v>
      </c>
      <c r="M379" s="22">
        <v>0</v>
      </c>
    </row>
    <row r="380" spans="1:13">
      <c r="E380" s="4">
        <f t="shared" si="237"/>
        <v>380</v>
      </c>
      <c r="F380" s="9" t="s">
        <v>30</v>
      </c>
      <c r="M380" s="22">
        <v>2</v>
      </c>
    </row>
    <row r="381" spans="1:13">
      <c r="E381" s="4">
        <f t="shared" si="237"/>
        <v>381</v>
      </c>
      <c r="F381" s="9" t="s">
        <v>113</v>
      </c>
      <c r="L381" s="9" t="s">
        <v>134</v>
      </c>
      <c r="M381" s="22">
        <f t="shared" ref="M381" si="277">M376</f>
        <v>-90</v>
      </c>
    </row>
    <row r="382" spans="1:13">
      <c r="A382" s="21" t="s">
        <v>233</v>
      </c>
      <c r="B382" s="21">
        <f t="shared" ref="B382" si="278">QUOTIENT( D382-1,G383)+1</f>
        <v>2</v>
      </c>
      <c r="C382" s="21">
        <f t="shared" ref="C382" si="279">D382-(B382-1)*G383</f>
        <v>7</v>
      </c>
      <c r="D382" s="21">
        <f>COUNT($D$7:$D381)+1</f>
        <v>18</v>
      </c>
      <c r="E382" s="4"/>
    </row>
    <row r="383" spans="1:13">
      <c r="E383" s="4">
        <f t="shared" si="237"/>
        <v>383</v>
      </c>
      <c r="F383" s="9" t="s">
        <v>93</v>
      </c>
      <c r="G383" s="22">
        <v>11</v>
      </c>
      <c r="H383" s="22">
        <v>2</v>
      </c>
      <c r="J383" s="22">
        <v>10800</v>
      </c>
      <c r="M383" s="22">
        <f t="shared" ref="M383" si="280">J383+D382</f>
        <v>10818</v>
      </c>
    </row>
    <row r="384" spans="1:13">
      <c r="E384" s="4">
        <f t="shared" si="237"/>
        <v>384</v>
      </c>
      <c r="F384" s="9" t="s">
        <v>150</v>
      </c>
      <c r="M384" s="22">
        <v>2050</v>
      </c>
    </row>
    <row r="385" spans="5:13">
      <c r="E385" s="4">
        <f t="shared" si="237"/>
        <v>385</v>
      </c>
      <c r="F385" s="9" t="s">
        <v>35</v>
      </c>
      <c r="M385" s="22">
        <v>60</v>
      </c>
    </row>
    <row r="386" spans="5:13">
      <c r="E386" s="4">
        <f t="shared" si="237"/>
        <v>386</v>
      </c>
      <c r="F386" s="9" t="s">
        <v>29</v>
      </c>
      <c r="M386" s="22" t="s">
        <v>145</v>
      </c>
    </row>
    <row r="387" spans="5:13">
      <c r="E387" s="4">
        <f t="shared" si="237"/>
        <v>387</v>
      </c>
      <c r="F387" s="9" t="s">
        <v>118</v>
      </c>
      <c r="M387" s="22" t="s">
        <v>144</v>
      </c>
    </row>
    <row r="388" spans="5:13">
      <c r="E388" s="4">
        <f t="shared" si="237"/>
        <v>388</v>
      </c>
      <c r="F388" s="9" t="s">
        <v>113</v>
      </c>
      <c r="G388" s="9" t="b">
        <f t="shared" ref="G388" si="281">MOD(B382,2)=0</f>
        <v>1</v>
      </c>
      <c r="H388" s="9">
        <v>-90</v>
      </c>
      <c r="I388" s="9" t="s">
        <v>234</v>
      </c>
      <c r="J388" s="9"/>
      <c r="L388" s="9" t="s">
        <v>134</v>
      </c>
      <c r="M388" s="22">
        <f t="shared" ref="M388" si="282">IF(G388,$H$14,$I$14)</f>
        <v>-90</v>
      </c>
    </row>
    <row r="389" spans="5:13">
      <c r="E389" s="4">
        <f t="shared" si="237"/>
        <v>389</v>
      </c>
      <c r="F389" s="9" t="s">
        <v>98</v>
      </c>
      <c r="G389" s="22" t="b">
        <f t="shared" ref="G389" si="283">MOD(B382,2)=0</f>
        <v>1</v>
      </c>
      <c r="K389" s="9" t="s">
        <v>136</v>
      </c>
      <c r="M389" s="22" t="str">
        <f t="shared" ref="M389" si="284">CONCATENATE(ROUND($I$16+$J$16*(MOD(D382-1,$G$9)+1),10),",",IF(G389,$G$16,$H$16))</f>
        <v>-0.8,6</v>
      </c>
    </row>
    <row r="390" spans="5:13">
      <c r="E390" s="4"/>
      <c r="G390" s="22" t="s">
        <v>32</v>
      </c>
      <c r="H390" s="22" t="s">
        <v>235</v>
      </c>
      <c r="I390" s="22">
        <v>4.8</v>
      </c>
      <c r="J390" s="22" t="s">
        <v>236</v>
      </c>
    </row>
    <row r="391" spans="5:13">
      <c r="E391" s="4">
        <f t="shared" si="237"/>
        <v>391</v>
      </c>
      <c r="F391" s="9" t="s">
        <v>30</v>
      </c>
      <c r="M391" s="22">
        <v>1.4</v>
      </c>
    </row>
    <row r="392" spans="5:13">
      <c r="E392" s="4">
        <f t="shared" si="237"/>
        <v>392</v>
      </c>
      <c r="F392" s="9" t="s">
        <v>31</v>
      </c>
      <c r="G392" s="22" t="b">
        <f t="shared" ref="G392" si="285">MOD(B382,2)=0</f>
        <v>1</v>
      </c>
      <c r="H392" s="22">
        <v>-90</v>
      </c>
      <c r="I392" s="22" t="s">
        <v>234</v>
      </c>
      <c r="L392" s="9" t="s">
        <v>134</v>
      </c>
      <c r="M392" s="22">
        <f t="shared" ref="M392" si="286">IF(G392,$H$18,$I$18)</f>
        <v>-90</v>
      </c>
    </row>
    <row r="393" spans="5:13">
      <c r="E393" s="4">
        <f t="shared" ref="E393:E455" si="287">ROW(E393)</f>
        <v>393</v>
      </c>
      <c r="F393" s="9" t="s">
        <v>101</v>
      </c>
      <c r="M393" s="22">
        <f t="shared" ref="M393" si="288">M383*10+1</f>
        <v>108181</v>
      </c>
    </row>
    <row r="394" spans="5:13">
      <c r="E394" s="4">
        <f t="shared" si="287"/>
        <v>394</v>
      </c>
      <c r="F394" s="9" t="s">
        <v>143</v>
      </c>
      <c r="M394" s="22">
        <f t="shared" ref="M394" si="289">M383</f>
        <v>10818</v>
      </c>
    </row>
    <row r="395" spans="5:13">
      <c r="E395" s="4">
        <f t="shared" si="287"/>
        <v>395</v>
      </c>
      <c r="F395" s="9" t="s">
        <v>127</v>
      </c>
      <c r="M395" s="22">
        <v>0</v>
      </c>
    </row>
    <row r="396" spans="5:13">
      <c r="E396" s="4">
        <f t="shared" si="287"/>
        <v>396</v>
      </c>
      <c r="F396" s="9" t="s">
        <v>35</v>
      </c>
      <c r="G396" s="22" t="b">
        <f t="shared" ref="G396" si="290">MOD(D382,2)=0</f>
        <v>1</v>
      </c>
      <c r="H396" s="22">
        <v>220</v>
      </c>
      <c r="I396" s="22" t="s">
        <v>237</v>
      </c>
      <c r="J396" s="22">
        <v>0</v>
      </c>
      <c r="M396" s="22">
        <f t="shared" ref="M396" si="291">$H$22+IF(G396,$I$22,$J$22)</f>
        <v>300</v>
      </c>
    </row>
    <row r="397" spans="5:13">
      <c r="E397" s="4">
        <f t="shared" si="287"/>
        <v>397</v>
      </c>
      <c r="F397" s="9" t="s">
        <v>30</v>
      </c>
      <c r="M397" s="22">
        <v>0</v>
      </c>
    </row>
    <row r="398" spans="5:13">
      <c r="E398" s="4">
        <f t="shared" si="287"/>
        <v>398</v>
      </c>
      <c r="F398" s="9" t="s">
        <v>113</v>
      </c>
      <c r="L398" s="9" t="s">
        <v>134</v>
      </c>
      <c r="M398" s="22">
        <f t="shared" ref="M398" si="292">M388</f>
        <v>-90</v>
      </c>
    </row>
    <row r="399" spans="5:13">
      <c r="E399" s="4">
        <f t="shared" si="287"/>
        <v>399</v>
      </c>
      <c r="F399" s="9" t="s">
        <v>101</v>
      </c>
      <c r="M399" s="22">
        <f t="shared" ref="M399" si="293">M383*10+2</f>
        <v>108182</v>
      </c>
    </row>
    <row r="400" spans="5:13">
      <c r="E400" s="4">
        <f t="shared" si="287"/>
        <v>400</v>
      </c>
      <c r="F400" s="9" t="s">
        <v>143</v>
      </c>
      <c r="M400" s="22">
        <f t="shared" ref="M400" si="294">M393</f>
        <v>108181</v>
      </c>
    </row>
    <row r="401" spans="1:13">
      <c r="E401" s="4">
        <f t="shared" si="287"/>
        <v>401</v>
      </c>
      <c r="F401" s="9" t="s">
        <v>127</v>
      </c>
      <c r="M401" s="22">
        <v>0</v>
      </c>
    </row>
    <row r="402" spans="1:13">
      <c r="E402" s="4">
        <f t="shared" si="287"/>
        <v>402</v>
      </c>
      <c r="F402" s="9" t="s">
        <v>30</v>
      </c>
      <c r="M402" s="22">
        <v>2</v>
      </c>
    </row>
    <row r="403" spans="1:13">
      <c r="E403" s="4">
        <f t="shared" si="287"/>
        <v>403</v>
      </c>
      <c r="F403" s="9" t="s">
        <v>113</v>
      </c>
      <c r="L403" s="9" t="s">
        <v>134</v>
      </c>
      <c r="M403" s="22">
        <f t="shared" ref="M403" si="295">M398</f>
        <v>-90</v>
      </c>
    </row>
    <row r="404" spans="1:13">
      <c r="A404" s="21" t="s">
        <v>233</v>
      </c>
      <c r="B404" s="21">
        <f t="shared" ref="B404" si="296">QUOTIENT( D404-1,G405)+1</f>
        <v>2</v>
      </c>
      <c r="C404" s="21">
        <f t="shared" ref="C404" si="297">D404-(B404-1)*G405</f>
        <v>8</v>
      </c>
      <c r="D404" s="21">
        <f>COUNT($D$7:$D403)+1</f>
        <v>19</v>
      </c>
      <c r="E404" s="4"/>
    </row>
    <row r="405" spans="1:13">
      <c r="E405" s="4">
        <f t="shared" si="287"/>
        <v>405</v>
      </c>
      <c r="F405" s="9" t="s">
        <v>93</v>
      </c>
      <c r="G405" s="22">
        <v>11</v>
      </c>
      <c r="H405" s="22">
        <v>2</v>
      </c>
      <c r="J405" s="22">
        <v>10800</v>
      </c>
      <c r="M405" s="22">
        <f t="shared" ref="M405" si="298">J405+D404</f>
        <v>10819</v>
      </c>
    </row>
    <row r="406" spans="1:13">
      <c r="E406" s="4">
        <f t="shared" si="287"/>
        <v>406</v>
      </c>
      <c r="F406" s="9" t="s">
        <v>150</v>
      </c>
      <c r="M406" s="22">
        <v>2050</v>
      </c>
    </row>
    <row r="407" spans="1:13">
      <c r="E407" s="4">
        <f t="shared" si="287"/>
        <v>407</v>
      </c>
      <c r="F407" s="9" t="s">
        <v>35</v>
      </c>
      <c r="M407" s="22">
        <v>60</v>
      </c>
    </row>
    <row r="408" spans="1:13">
      <c r="E408" s="4">
        <f t="shared" si="287"/>
        <v>408</v>
      </c>
      <c r="F408" s="9" t="s">
        <v>29</v>
      </c>
      <c r="M408" s="22" t="s">
        <v>145</v>
      </c>
    </row>
    <row r="409" spans="1:13">
      <c r="E409" s="4">
        <f t="shared" si="287"/>
        <v>409</v>
      </c>
      <c r="F409" s="9" t="s">
        <v>118</v>
      </c>
      <c r="M409" s="22" t="s">
        <v>144</v>
      </c>
    </row>
    <row r="410" spans="1:13">
      <c r="E410" s="4">
        <f t="shared" si="287"/>
        <v>410</v>
      </c>
      <c r="F410" s="9" t="s">
        <v>113</v>
      </c>
      <c r="G410" s="22" t="b">
        <f t="shared" ref="G410" si="299">MOD(B404,2)=0</f>
        <v>1</v>
      </c>
      <c r="H410" s="22">
        <v>-90</v>
      </c>
      <c r="I410" s="22" t="s">
        <v>234</v>
      </c>
      <c r="L410" s="9" t="s">
        <v>134</v>
      </c>
      <c r="M410" s="22">
        <f t="shared" ref="M410" si="300">IF(G410,$H$14,$I$14)</f>
        <v>-90</v>
      </c>
    </row>
    <row r="411" spans="1:13">
      <c r="E411" s="4">
        <f t="shared" si="287"/>
        <v>411</v>
      </c>
      <c r="F411" s="9" t="s">
        <v>98</v>
      </c>
      <c r="G411" s="9" t="b">
        <f t="shared" ref="G411" si="301">MOD(B404,2)=0</f>
        <v>1</v>
      </c>
      <c r="H411" s="9"/>
      <c r="I411" s="9"/>
      <c r="J411" s="9"/>
      <c r="K411" s="9" t="s">
        <v>136</v>
      </c>
      <c r="M411" s="22" t="str">
        <f t="shared" ref="M411" si="302">CONCATENATE(ROUND($I$16+$J$16*(MOD(D404-1,$G$9)+1),10),",",IF(G411,$G$16,$H$16))</f>
        <v>-1.6,6</v>
      </c>
    </row>
    <row r="412" spans="1:13">
      <c r="E412" s="4"/>
      <c r="G412" s="22" t="s">
        <v>32</v>
      </c>
      <c r="H412" s="22" t="s">
        <v>235</v>
      </c>
      <c r="I412" s="22">
        <v>4.8</v>
      </c>
      <c r="J412" s="22" t="s">
        <v>236</v>
      </c>
    </row>
    <row r="413" spans="1:13">
      <c r="E413" s="4">
        <f t="shared" si="287"/>
        <v>413</v>
      </c>
      <c r="F413" s="9" t="s">
        <v>30</v>
      </c>
      <c r="M413" s="22">
        <v>1.4</v>
      </c>
    </row>
    <row r="414" spans="1:13">
      <c r="E414" s="4">
        <f t="shared" si="287"/>
        <v>414</v>
      </c>
      <c r="F414" s="9" t="s">
        <v>31</v>
      </c>
      <c r="G414" s="22" t="b">
        <f t="shared" ref="G414" si="303">MOD(B404,2)=0</f>
        <v>1</v>
      </c>
      <c r="H414" s="22">
        <v>-90</v>
      </c>
      <c r="I414" s="22" t="s">
        <v>234</v>
      </c>
      <c r="L414" s="9" t="s">
        <v>134</v>
      </c>
      <c r="M414" s="22">
        <f t="shared" ref="M414" si="304">IF(G414,$H$18,$I$18)</f>
        <v>-90</v>
      </c>
    </row>
    <row r="415" spans="1:13">
      <c r="E415" s="4">
        <f t="shared" si="287"/>
        <v>415</v>
      </c>
      <c r="F415" s="9" t="s">
        <v>101</v>
      </c>
      <c r="M415" s="22">
        <f t="shared" ref="M415" si="305">M405*10+1</f>
        <v>108191</v>
      </c>
    </row>
    <row r="416" spans="1:13">
      <c r="E416" s="4">
        <f t="shared" si="287"/>
        <v>416</v>
      </c>
      <c r="F416" s="9" t="s">
        <v>143</v>
      </c>
      <c r="M416" s="22">
        <f t="shared" ref="M416" si="306">M405</f>
        <v>10819</v>
      </c>
    </row>
    <row r="417" spans="1:13">
      <c r="E417" s="4">
        <f t="shared" si="287"/>
        <v>417</v>
      </c>
      <c r="F417" s="9" t="s">
        <v>127</v>
      </c>
      <c r="M417" s="22">
        <v>0</v>
      </c>
    </row>
    <row r="418" spans="1:13">
      <c r="E418" s="4">
        <f t="shared" si="287"/>
        <v>418</v>
      </c>
      <c r="F418" s="9" t="s">
        <v>35</v>
      </c>
      <c r="G418" s="22" t="b">
        <f t="shared" ref="G418" si="307">MOD(D404,2)=0</f>
        <v>0</v>
      </c>
      <c r="H418" s="22">
        <v>220</v>
      </c>
      <c r="I418" s="22" t="s">
        <v>237</v>
      </c>
      <c r="J418" s="22">
        <v>0</v>
      </c>
      <c r="M418" s="22">
        <f t="shared" ref="M418" si="308">$H$22+IF(G418,$I$22,$J$22)</f>
        <v>220</v>
      </c>
    </row>
    <row r="419" spans="1:13">
      <c r="E419" s="4">
        <f t="shared" si="287"/>
        <v>419</v>
      </c>
      <c r="F419" s="9" t="s">
        <v>30</v>
      </c>
      <c r="M419" s="22">
        <v>0</v>
      </c>
    </row>
    <row r="420" spans="1:13">
      <c r="E420" s="4">
        <f t="shared" si="287"/>
        <v>420</v>
      </c>
      <c r="F420" s="9" t="s">
        <v>113</v>
      </c>
      <c r="L420" s="9" t="s">
        <v>134</v>
      </c>
      <c r="M420" s="22">
        <f t="shared" ref="M420" si="309">M410</f>
        <v>-90</v>
      </c>
    </row>
    <row r="421" spans="1:13">
      <c r="E421" s="4">
        <f t="shared" si="287"/>
        <v>421</v>
      </c>
      <c r="F421" s="9" t="s">
        <v>101</v>
      </c>
      <c r="M421" s="22">
        <f t="shared" ref="M421" si="310">M405*10+2</f>
        <v>108192</v>
      </c>
    </row>
    <row r="422" spans="1:13">
      <c r="E422" s="4">
        <f t="shared" si="287"/>
        <v>422</v>
      </c>
      <c r="F422" s="9" t="s">
        <v>143</v>
      </c>
      <c r="M422" s="22">
        <f t="shared" ref="M422" si="311">M415</f>
        <v>108191</v>
      </c>
    </row>
    <row r="423" spans="1:13">
      <c r="E423" s="4">
        <f t="shared" si="287"/>
        <v>423</v>
      </c>
      <c r="F423" s="9" t="s">
        <v>127</v>
      </c>
      <c r="M423" s="22">
        <v>0</v>
      </c>
    </row>
    <row r="424" spans="1:13">
      <c r="E424" s="4">
        <f t="shared" si="287"/>
        <v>424</v>
      </c>
      <c r="F424" s="9" t="s">
        <v>30</v>
      </c>
      <c r="M424" s="22">
        <v>2</v>
      </c>
    </row>
    <row r="425" spans="1:13">
      <c r="E425" s="4">
        <f t="shared" si="287"/>
        <v>425</v>
      </c>
      <c r="F425" s="9" t="s">
        <v>113</v>
      </c>
      <c r="L425" s="9" t="s">
        <v>134</v>
      </c>
      <c r="M425" s="22">
        <f t="shared" ref="M425" si="312">M420</f>
        <v>-90</v>
      </c>
    </row>
    <row r="426" spans="1:13">
      <c r="A426" s="21" t="s">
        <v>233</v>
      </c>
      <c r="B426" s="21">
        <f t="shared" ref="B426" si="313">QUOTIENT( D426-1,G427)+1</f>
        <v>2</v>
      </c>
      <c r="C426" s="21">
        <f t="shared" ref="C426" si="314">D426-(B426-1)*G427</f>
        <v>9</v>
      </c>
      <c r="D426" s="21">
        <f>COUNT($D$7:$D425)+1</f>
        <v>20</v>
      </c>
      <c r="E426" s="4"/>
    </row>
    <row r="427" spans="1:13">
      <c r="E427" s="4">
        <f t="shared" si="287"/>
        <v>427</v>
      </c>
      <c r="F427" s="9" t="s">
        <v>93</v>
      </c>
      <c r="G427" s="22">
        <v>11</v>
      </c>
      <c r="H427" s="22">
        <v>2</v>
      </c>
      <c r="J427" s="22">
        <v>10800</v>
      </c>
      <c r="M427" s="22">
        <f t="shared" ref="M427" si="315">J427+D426</f>
        <v>10820</v>
      </c>
    </row>
    <row r="428" spans="1:13">
      <c r="E428" s="4">
        <f t="shared" si="287"/>
        <v>428</v>
      </c>
      <c r="F428" s="9" t="s">
        <v>150</v>
      </c>
      <c r="M428" s="22">
        <v>2050</v>
      </c>
    </row>
    <row r="429" spans="1:13">
      <c r="E429" s="4">
        <f t="shared" si="287"/>
        <v>429</v>
      </c>
      <c r="F429" s="9" t="s">
        <v>35</v>
      </c>
      <c r="M429" s="22">
        <v>60</v>
      </c>
    </row>
    <row r="430" spans="1:13">
      <c r="E430" s="4">
        <f t="shared" si="287"/>
        <v>430</v>
      </c>
      <c r="F430" s="9" t="s">
        <v>29</v>
      </c>
      <c r="M430" s="22" t="s">
        <v>145</v>
      </c>
    </row>
    <row r="431" spans="1:13">
      <c r="E431" s="4">
        <f t="shared" si="287"/>
        <v>431</v>
      </c>
      <c r="F431" s="9" t="s">
        <v>118</v>
      </c>
      <c r="M431" s="22" t="s">
        <v>144</v>
      </c>
    </row>
    <row r="432" spans="1:13">
      <c r="E432" s="4">
        <f t="shared" si="287"/>
        <v>432</v>
      </c>
      <c r="F432" s="9" t="s">
        <v>113</v>
      </c>
      <c r="G432" s="22" t="b">
        <f t="shared" ref="G432" si="316">MOD(B426,2)=0</f>
        <v>1</v>
      </c>
      <c r="H432" s="22">
        <v>-90</v>
      </c>
      <c r="I432" s="22" t="s">
        <v>234</v>
      </c>
      <c r="L432" s="9" t="s">
        <v>134</v>
      </c>
      <c r="M432" s="22">
        <f t="shared" ref="M432" si="317">IF(G432,$H$14,$I$14)</f>
        <v>-90</v>
      </c>
    </row>
    <row r="433" spans="1:13">
      <c r="E433" s="4">
        <f t="shared" si="287"/>
        <v>433</v>
      </c>
      <c r="F433" s="9" t="s">
        <v>98</v>
      </c>
      <c r="G433" s="22" t="b">
        <f t="shared" ref="G433" si="318">MOD(B426,2)=0</f>
        <v>1</v>
      </c>
      <c r="K433" s="9" t="s">
        <v>136</v>
      </c>
      <c r="M433" s="22" t="str">
        <f t="shared" ref="M433" si="319">CONCATENATE(ROUND($I$16+$J$16*(MOD(D426-1,$G$9)+1),10),",",IF(G433,$G$16,$H$16))</f>
        <v>-2.4,6</v>
      </c>
    </row>
    <row r="434" spans="1:13">
      <c r="E434" s="4"/>
      <c r="G434" s="9" t="s">
        <v>32</v>
      </c>
      <c r="H434" s="9" t="s">
        <v>235</v>
      </c>
      <c r="I434" s="9">
        <v>4.8</v>
      </c>
      <c r="J434" s="9" t="s">
        <v>236</v>
      </c>
    </row>
    <row r="435" spans="1:13">
      <c r="E435" s="4">
        <f t="shared" si="287"/>
        <v>435</v>
      </c>
      <c r="F435" s="9" t="s">
        <v>30</v>
      </c>
      <c r="M435" s="22">
        <v>1.4</v>
      </c>
    </row>
    <row r="436" spans="1:13">
      <c r="E436" s="4">
        <f t="shared" si="287"/>
        <v>436</v>
      </c>
      <c r="F436" s="9" t="s">
        <v>31</v>
      </c>
      <c r="G436" s="22" t="b">
        <f t="shared" ref="G436" si="320">MOD(B426,2)=0</f>
        <v>1</v>
      </c>
      <c r="H436" s="22">
        <v>-90</v>
      </c>
      <c r="I436" s="22" t="s">
        <v>234</v>
      </c>
      <c r="L436" s="9" t="s">
        <v>134</v>
      </c>
      <c r="M436" s="22">
        <f t="shared" ref="M436" si="321">IF(G436,$H$18,$I$18)</f>
        <v>-90</v>
      </c>
    </row>
    <row r="437" spans="1:13">
      <c r="E437" s="4">
        <f t="shared" si="287"/>
        <v>437</v>
      </c>
      <c r="F437" s="9" t="s">
        <v>101</v>
      </c>
      <c r="M437" s="22">
        <f t="shared" ref="M437" si="322">M427*10+1</f>
        <v>108201</v>
      </c>
    </row>
    <row r="438" spans="1:13">
      <c r="E438" s="4">
        <f t="shared" si="287"/>
        <v>438</v>
      </c>
      <c r="F438" s="9" t="s">
        <v>143</v>
      </c>
      <c r="M438" s="22">
        <f t="shared" ref="M438" si="323">M427</f>
        <v>10820</v>
      </c>
    </row>
    <row r="439" spans="1:13">
      <c r="E439" s="4">
        <f t="shared" si="287"/>
        <v>439</v>
      </c>
      <c r="F439" s="9" t="s">
        <v>127</v>
      </c>
      <c r="M439" s="22">
        <v>0</v>
      </c>
    </row>
    <row r="440" spans="1:13">
      <c r="E440" s="4">
        <f t="shared" si="287"/>
        <v>440</v>
      </c>
      <c r="F440" s="9" t="s">
        <v>35</v>
      </c>
      <c r="G440" s="22" t="b">
        <f t="shared" ref="G440" si="324">MOD(D426,2)=0</f>
        <v>1</v>
      </c>
      <c r="H440" s="22">
        <v>220</v>
      </c>
      <c r="I440" s="22" t="s">
        <v>237</v>
      </c>
      <c r="J440" s="22">
        <v>0</v>
      </c>
      <c r="M440" s="22">
        <f t="shared" ref="M440" si="325">$H$22+IF(G440,$I$22,$J$22)</f>
        <v>300</v>
      </c>
    </row>
    <row r="441" spans="1:13">
      <c r="E441" s="4">
        <f t="shared" si="287"/>
        <v>441</v>
      </c>
      <c r="F441" s="9" t="s">
        <v>30</v>
      </c>
      <c r="M441" s="22">
        <v>0</v>
      </c>
    </row>
    <row r="442" spans="1:13">
      <c r="E442" s="4">
        <f t="shared" si="287"/>
        <v>442</v>
      </c>
      <c r="F442" s="9" t="s">
        <v>113</v>
      </c>
      <c r="L442" s="9" t="s">
        <v>134</v>
      </c>
      <c r="M442" s="22">
        <f t="shared" ref="M442" si="326">M432</f>
        <v>-90</v>
      </c>
    </row>
    <row r="443" spans="1:13">
      <c r="E443" s="4">
        <f t="shared" si="287"/>
        <v>443</v>
      </c>
      <c r="F443" s="9" t="s">
        <v>101</v>
      </c>
      <c r="M443" s="22">
        <f t="shared" ref="M443" si="327">M427*10+2</f>
        <v>108202</v>
      </c>
    </row>
    <row r="444" spans="1:13">
      <c r="E444" s="4">
        <f t="shared" si="287"/>
        <v>444</v>
      </c>
      <c r="F444" s="9" t="s">
        <v>143</v>
      </c>
      <c r="M444" s="22">
        <f t="shared" ref="M444" si="328">M437</f>
        <v>108201</v>
      </c>
    </row>
    <row r="445" spans="1:13">
      <c r="E445" s="4">
        <f t="shared" si="287"/>
        <v>445</v>
      </c>
      <c r="F445" s="9" t="s">
        <v>127</v>
      </c>
      <c r="M445" s="22">
        <v>0</v>
      </c>
    </row>
    <row r="446" spans="1:13">
      <c r="E446" s="4">
        <f t="shared" si="287"/>
        <v>446</v>
      </c>
      <c r="F446" s="9" t="s">
        <v>30</v>
      </c>
      <c r="M446" s="22">
        <v>2</v>
      </c>
    </row>
    <row r="447" spans="1:13">
      <c r="E447" s="4">
        <f t="shared" si="287"/>
        <v>447</v>
      </c>
      <c r="F447" s="9" t="s">
        <v>113</v>
      </c>
      <c r="L447" s="9" t="s">
        <v>134</v>
      </c>
      <c r="M447" s="22">
        <f t="shared" ref="M447" si="329">M442</f>
        <v>-90</v>
      </c>
    </row>
    <row r="448" spans="1:13">
      <c r="A448" s="21" t="s">
        <v>233</v>
      </c>
      <c r="B448" s="21">
        <f t="shared" ref="B448" si="330">QUOTIENT( D448-1,G449)+1</f>
        <v>2</v>
      </c>
      <c r="C448" s="21">
        <f t="shared" ref="C448" si="331">D448-(B448-1)*G449</f>
        <v>10</v>
      </c>
      <c r="D448" s="21">
        <f>COUNT($D$7:$D447)+1</f>
        <v>21</v>
      </c>
      <c r="E448" s="4"/>
    </row>
    <row r="449" spans="5:13">
      <c r="E449" s="4">
        <f t="shared" si="287"/>
        <v>449</v>
      </c>
      <c r="F449" s="9" t="s">
        <v>93</v>
      </c>
      <c r="G449" s="22">
        <v>11</v>
      </c>
      <c r="H449" s="22">
        <v>2</v>
      </c>
      <c r="J449" s="22">
        <v>10800</v>
      </c>
      <c r="M449" s="22">
        <f t="shared" ref="M449" si="332">J449+D448</f>
        <v>10821</v>
      </c>
    </row>
    <row r="450" spans="5:13">
      <c r="E450" s="4">
        <f t="shared" si="287"/>
        <v>450</v>
      </c>
      <c r="F450" s="9" t="s">
        <v>150</v>
      </c>
      <c r="M450" s="22">
        <v>2050</v>
      </c>
    </row>
    <row r="451" spans="5:13">
      <c r="E451" s="4">
        <f t="shared" si="287"/>
        <v>451</v>
      </c>
      <c r="F451" s="9" t="s">
        <v>35</v>
      </c>
      <c r="M451" s="22">
        <v>60</v>
      </c>
    </row>
    <row r="452" spans="5:13">
      <c r="E452" s="4">
        <f t="shared" si="287"/>
        <v>452</v>
      </c>
      <c r="F452" s="9" t="s">
        <v>29</v>
      </c>
      <c r="M452" s="22" t="s">
        <v>145</v>
      </c>
    </row>
    <row r="453" spans="5:13">
      <c r="E453" s="4">
        <f t="shared" si="287"/>
        <v>453</v>
      </c>
      <c r="F453" s="9" t="s">
        <v>118</v>
      </c>
      <c r="M453" s="22" t="s">
        <v>144</v>
      </c>
    </row>
    <row r="454" spans="5:13">
      <c r="E454" s="4">
        <f t="shared" si="287"/>
        <v>454</v>
      </c>
      <c r="F454" s="9" t="s">
        <v>113</v>
      </c>
      <c r="G454" s="22" t="b">
        <f t="shared" ref="G454" si="333">MOD(B448,2)=0</f>
        <v>1</v>
      </c>
      <c r="H454" s="22">
        <v>-90</v>
      </c>
      <c r="I454" s="22" t="s">
        <v>234</v>
      </c>
      <c r="L454" s="9" t="s">
        <v>134</v>
      </c>
      <c r="M454" s="22">
        <f t="shared" ref="M454" si="334">IF(G454,$H$14,$I$14)</f>
        <v>-90</v>
      </c>
    </row>
    <row r="455" spans="5:13">
      <c r="E455" s="4">
        <f t="shared" si="287"/>
        <v>455</v>
      </c>
      <c r="F455" s="9" t="s">
        <v>98</v>
      </c>
      <c r="G455" s="22" t="b">
        <f t="shared" ref="G455" si="335">MOD(B448,2)=0</f>
        <v>1</v>
      </c>
      <c r="K455" s="9" t="s">
        <v>136</v>
      </c>
      <c r="M455" s="22" t="str">
        <f t="shared" ref="M455" si="336">CONCATENATE(ROUND($I$16+$J$16*(MOD(D448-1,$G$9)+1),10),",",IF(G455,$G$16,$H$16))</f>
        <v>-3.2,6</v>
      </c>
    </row>
    <row r="456" spans="5:13">
      <c r="E456" s="4"/>
      <c r="G456" s="22" t="s">
        <v>32</v>
      </c>
      <c r="H456" s="22" t="s">
        <v>235</v>
      </c>
      <c r="I456" s="22">
        <v>4.8</v>
      </c>
      <c r="J456" s="22" t="s">
        <v>236</v>
      </c>
    </row>
    <row r="457" spans="5:13">
      <c r="E457" s="4">
        <f t="shared" ref="E457:E491" si="337">ROW(E457)</f>
        <v>457</v>
      </c>
      <c r="F457" s="9" t="s">
        <v>30</v>
      </c>
      <c r="G457" s="9"/>
      <c r="H457" s="9"/>
      <c r="I457" s="9"/>
      <c r="J457" s="9"/>
      <c r="M457" s="22">
        <v>1.4</v>
      </c>
    </row>
    <row r="458" spans="5:13">
      <c r="E458" s="4">
        <f t="shared" si="337"/>
        <v>458</v>
      </c>
      <c r="F458" s="9" t="s">
        <v>31</v>
      </c>
      <c r="G458" s="22" t="b">
        <f t="shared" ref="G458" si="338">MOD(B448,2)=0</f>
        <v>1</v>
      </c>
      <c r="H458" s="22">
        <v>-90</v>
      </c>
      <c r="I458" s="22" t="s">
        <v>234</v>
      </c>
      <c r="L458" s="9" t="s">
        <v>134</v>
      </c>
      <c r="M458" s="22">
        <f t="shared" ref="M458" si="339">IF(G458,$H$18,$I$18)</f>
        <v>-90</v>
      </c>
    </row>
    <row r="459" spans="5:13">
      <c r="E459" s="4">
        <f t="shared" si="337"/>
        <v>459</v>
      </c>
      <c r="F459" s="9" t="s">
        <v>101</v>
      </c>
      <c r="M459" s="22">
        <f t="shared" ref="M459" si="340">M449*10+1</f>
        <v>108211</v>
      </c>
    </row>
    <row r="460" spans="5:13">
      <c r="E460" s="4">
        <f t="shared" si="337"/>
        <v>460</v>
      </c>
      <c r="F460" s="9" t="s">
        <v>143</v>
      </c>
      <c r="M460" s="22">
        <f t="shared" ref="M460" si="341">M449</f>
        <v>10821</v>
      </c>
    </row>
    <row r="461" spans="5:13">
      <c r="E461" s="4">
        <f t="shared" si="337"/>
        <v>461</v>
      </c>
      <c r="F461" s="9" t="s">
        <v>127</v>
      </c>
      <c r="M461" s="22">
        <v>0</v>
      </c>
    </row>
    <row r="462" spans="5:13">
      <c r="E462" s="4">
        <f t="shared" si="337"/>
        <v>462</v>
      </c>
      <c r="F462" s="9" t="s">
        <v>35</v>
      </c>
      <c r="G462" s="22" t="b">
        <f t="shared" ref="G462" si="342">MOD(D448,2)=0</f>
        <v>0</v>
      </c>
      <c r="H462" s="22">
        <v>220</v>
      </c>
      <c r="I462" s="22" t="s">
        <v>237</v>
      </c>
      <c r="J462" s="22">
        <v>0</v>
      </c>
      <c r="M462" s="22">
        <f t="shared" ref="M462" si="343">$H$22+IF(G462,$I$22,$J$22)</f>
        <v>220</v>
      </c>
    </row>
    <row r="463" spans="5:13">
      <c r="E463" s="4">
        <f t="shared" si="337"/>
        <v>463</v>
      </c>
      <c r="F463" s="9" t="s">
        <v>30</v>
      </c>
      <c r="M463" s="22">
        <v>0</v>
      </c>
    </row>
    <row r="464" spans="5:13">
      <c r="E464" s="4">
        <f t="shared" si="337"/>
        <v>464</v>
      </c>
      <c r="F464" s="9" t="s">
        <v>113</v>
      </c>
      <c r="L464" s="9" t="s">
        <v>134</v>
      </c>
      <c r="M464" s="22">
        <f t="shared" ref="M464" si="344">M454</f>
        <v>-90</v>
      </c>
    </row>
    <row r="465" spans="1:13">
      <c r="E465" s="4">
        <f t="shared" si="337"/>
        <v>465</v>
      </c>
      <c r="F465" s="9" t="s">
        <v>101</v>
      </c>
      <c r="M465" s="22">
        <f t="shared" ref="M465" si="345">M449*10+2</f>
        <v>108212</v>
      </c>
    </row>
    <row r="466" spans="1:13">
      <c r="E466" s="4">
        <f t="shared" si="337"/>
        <v>466</v>
      </c>
      <c r="F466" s="9" t="s">
        <v>143</v>
      </c>
      <c r="M466" s="22">
        <f t="shared" ref="M466" si="346">M459</f>
        <v>108211</v>
      </c>
    </row>
    <row r="467" spans="1:13">
      <c r="E467" s="4">
        <f t="shared" si="337"/>
        <v>467</v>
      </c>
      <c r="F467" s="9" t="s">
        <v>127</v>
      </c>
      <c r="M467" s="22">
        <v>0</v>
      </c>
    </row>
    <row r="468" spans="1:13">
      <c r="E468" s="4">
        <f t="shared" si="337"/>
        <v>468</v>
      </c>
      <c r="F468" s="9" t="s">
        <v>30</v>
      </c>
      <c r="M468" s="22">
        <v>2</v>
      </c>
    </row>
    <row r="469" spans="1:13">
      <c r="E469" s="4">
        <f t="shared" si="337"/>
        <v>469</v>
      </c>
      <c r="F469" s="9" t="s">
        <v>113</v>
      </c>
      <c r="L469" s="9" t="s">
        <v>134</v>
      </c>
      <c r="M469" s="22">
        <f t="shared" ref="M469" si="347">M464</f>
        <v>-90</v>
      </c>
    </row>
    <row r="470" spans="1:13">
      <c r="A470" s="21" t="s">
        <v>233</v>
      </c>
      <c r="B470" s="21">
        <f t="shared" ref="B470" si="348">QUOTIENT( D470-1,G471)+1</f>
        <v>2</v>
      </c>
      <c r="C470" s="21">
        <f t="shared" ref="C470" si="349">D470-(B470-1)*G471</f>
        <v>11</v>
      </c>
      <c r="D470" s="21">
        <f>COUNT($D$7:$D469)+1</f>
        <v>22</v>
      </c>
      <c r="E470" s="4"/>
    </row>
    <row r="471" spans="1:13">
      <c r="E471" s="4">
        <f t="shared" si="337"/>
        <v>471</v>
      </c>
      <c r="F471" s="9" t="s">
        <v>93</v>
      </c>
      <c r="G471" s="22">
        <v>11</v>
      </c>
      <c r="H471" s="22">
        <v>2</v>
      </c>
      <c r="J471" s="22">
        <v>10800</v>
      </c>
      <c r="M471" s="22">
        <f t="shared" ref="M471" si="350">J471+D470</f>
        <v>10822</v>
      </c>
    </row>
    <row r="472" spans="1:13">
      <c r="E472" s="4">
        <f t="shared" si="337"/>
        <v>472</v>
      </c>
      <c r="F472" s="9" t="s">
        <v>150</v>
      </c>
      <c r="M472" s="22">
        <v>2050</v>
      </c>
    </row>
    <row r="473" spans="1:13">
      <c r="E473" s="4">
        <f t="shared" si="337"/>
        <v>473</v>
      </c>
      <c r="F473" s="9" t="s">
        <v>35</v>
      </c>
      <c r="M473" s="22">
        <v>60</v>
      </c>
    </row>
    <row r="474" spans="1:13">
      <c r="E474" s="4">
        <f t="shared" si="337"/>
        <v>474</v>
      </c>
      <c r="F474" s="9" t="s">
        <v>29</v>
      </c>
      <c r="M474" s="22" t="s">
        <v>145</v>
      </c>
    </row>
    <row r="475" spans="1:13">
      <c r="E475" s="4">
        <f t="shared" si="337"/>
        <v>475</v>
      </c>
      <c r="F475" s="9" t="s">
        <v>118</v>
      </c>
      <c r="M475" s="22" t="s">
        <v>144</v>
      </c>
    </row>
    <row r="476" spans="1:13">
      <c r="E476" s="4">
        <f t="shared" si="337"/>
        <v>476</v>
      </c>
      <c r="F476" s="9" t="s">
        <v>113</v>
      </c>
      <c r="G476" s="22" t="b">
        <f t="shared" ref="G476" si="351">MOD(B470,2)=0</f>
        <v>1</v>
      </c>
      <c r="H476" s="22">
        <v>-90</v>
      </c>
      <c r="I476" s="22" t="s">
        <v>234</v>
      </c>
      <c r="L476" s="9" t="s">
        <v>134</v>
      </c>
      <c r="M476" s="22">
        <f t="shared" ref="M476" si="352">IF(G476,$H$14,$I$14)</f>
        <v>-90</v>
      </c>
    </row>
    <row r="477" spans="1:13">
      <c r="E477" s="4">
        <f t="shared" si="337"/>
        <v>477</v>
      </c>
      <c r="F477" s="9" t="s">
        <v>98</v>
      </c>
      <c r="G477" s="22" t="b">
        <f t="shared" ref="G477" si="353">MOD(B470,2)=0</f>
        <v>1</v>
      </c>
      <c r="K477" s="9" t="s">
        <v>136</v>
      </c>
      <c r="M477" s="22" t="str">
        <f t="shared" ref="M477" si="354">CONCATENATE(ROUND($I$16+$J$16*(MOD(D470-1,$G$9)+1),10),",",IF(G477,$G$16,$H$16))</f>
        <v>-4,6</v>
      </c>
    </row>
    <row r="478" spans="1:13">
      <c r="E478" s="4"/>
      <c r="G478" s="22" t="s">
        <v>32</v>
      </c>
      <c r="H478" s="22" t="s">
        <v>235</v>
      </c>
      <c r="I478" s="22">
        <v>4.8</v>
      </c>
      <c r="J478" s="22" t="s">
        <v>236</v>
      </c>
    </row>
    <row r="479" spans="1:13">
      <c r="E479" s="4">
        <f t="shared" si="337"/>
        <v>479</v>
      </c>
      <c r="F479" s="9" t="s">
        <v>30</v>
      </c>
      <c r="M479" s="22">
        <v>1.4</v>
      </c>
    </row>
    <row r="480" spans="1:13">
      <c r="E480" s="4">
        <f t="shared" si="337"/>
        <v>480</v>
      </c>
      <c r="F480" s="9" t="s">
        <v>31</v>
      </c>
      <c r="G480" s="9" t="b">
        <f t="shared" ref="G480" si="355">MOD(B470,2)=0</f>
        <v>1</v>
      </c>
      <c r="H480" s="9">
        <v>-90</v>
      </c>
      <c r="I480" s="9" t="s">
        <v>234</v>
      </c>
      <c r="J480" s="9"/>
      <c r="L480" s="9" t="s">
        <v>134</v>
      </c>
      <c r="M480" s="22">
        <f t="shared" ref="M480" si="356">IF(G480,$H$18,$I$18)</f>
        <v>-90</v>
      </c>
    </row>
    <row r="481" spans="5:13">
      <c r="E481" s="4">
        <f t="shared" si="337"/>
        <v>481</v>
      </c>
      <c r="F481" s="9" t="s">
        <v>101</v>
      </c>
      <c r="M481" s="22">
        <f t="shared" ref="M481" si="357">M471*10+1</f>
        <v>108221</v>
      </c>
    </row>
    <row r="482" spans="5:13">
      <c r="E482" s="4">
        <f t="shared" si="337"/>
        <v>482</v>
      </c>
      <c r="F482" s="9" t="s">
        <v>143</v>
      </c>
      <c r="M482" s="22">
        <f t="shared" ref="M482" si="358">M471</f>
        <v>10822</v>
      </c>
    </row>
    <row r="483" spans="5:13">
      <c r="E483" s="4">
        <f t="shared" si="337"/>
        <v>483</v>
      </c>
      <c r="F483" s="9" t="s">
        <v>127</v>
      </c>
      <c r="M483" s="22">
        <v>0</v>
      </c>
    </row>
    <row r="484" spans="5:13">
      <c r="E484" s="4">
        <f t="shared" si="337"/>
        <v>484</v>
      </c>
      <c r="F484" s="9" t="s">
        <v>35</v>
      </c>
      <c r="G484" s="22" t="b">
        <f t="shared" ref="G484" si="359">MOD(D470,2)=0</f>
        <v>1</v>
      </c>
      <c r="H484" s="22">
        <v>220</v>
      </c>
      <c r="I484" s="22" t="s">
        <v>237</v>
      </c>
      <c r="J484" s="22">
        <v>0</v>
      </c>
      <c r="M484" s="22">
        <f t="shared" ref="M484" si="360">$H$22+IF(G484,$I$22,$J$22)</f>
        <v>300</v>
      </c>
    </row>
    <row r="485" spans="5:13">
      <c r="E485" s="4">
        <f t="shared" si="337"/>
        <v>485</v>
      </c>
      <c r="F485" s="9" t="s">
        <v>30</v>
      </c>
      <c r="M485" s="22">
        <v>0</v>
      </c>
    </row>
    <row r="486" spans="5:13">
      <c r="E486" s="4">
        <f t="shared" si="337"/>
        <v>486</v>
      </c>
      <c r="F486" s="9" t="s">
        <v>113</v>
      </c>
      <c r="L486" s="9" t="s">
        <v>134</v>
      </c>
      <c r="M486" s="22">
        <f t="shared" ref="M486" si="361">M476</f>
        <v>-90</v>
      </c>
    </row>
    <row r="487" spans="5:13">
      <c r="E487" s="4">
        <f t="shared" si="337"/>
        <v>487</v>
      </c>
      <c r="F487" s="9" t="s">
        <v>101</v>
      </c>
      <c r="M487" s="22">
        <f t="shared" ref="M487" si="362">M471*10+2</f>
        <v>108222</v>
      </c>
    </row>
    <row r="488" spans="5:13">
      <c r="E488" s="4">
        <f t="shared" si="337"/>
        <v>488</v>
      </c>
      <c r="F488" s="9" t="s">
        <v>143</v>
      </c>
      <c r="M488" s="22">
        <f t="shared" ref="M488" si="363">M481</f>
        <v>108221</v>
      </c>
    </row>
    <row r="489" spans="5:13">
      <c r="E489" s="4">
        <f t="shared" si="337"/>
        <v>489</v>
      </c>
      <c r="F489" s="9" t="s">
        <v>127</v>
      </c>
      <c r="M489" s="22">
        <v>0</v>
      </c>
    </row>
    <row r="490" spans="5:13">
      <c r="E490" s="4">
        <f t="shared" si="337"/>
        <v>490</v>
      </c>
      <c r="F490" s="9" t="s">
        <v>30</v>
      </c>
      <c r="M490" s="22">
        <v>2</v>
      </c>
    </row>
    <row r="491" spans="5:13">
      <c r="E491" s="4">
        <f t="shared" si="337"/>
        <v>491</v>
      </c>
      <c r="F491" s="9" t="s">
        <v>113</v>
      </c>
      <c r="L491" s="9" t="s">
        <v>134</v>
      </c>
      <c r="M491" s="22">
        <f t="shared" ref="M491" si="364">M486</f>
        <v>-90</v>
      </c>
    </row>
    <row r="492" spans="5:13">
      <c r="E492" s="4"/>
    </row>
    <row r="493" spans="5:13">
      <c r="E493" s="4"/>
    </row>
    <row r="494" spans="5:13">
      <c r="E494" s="4"/>
    </row>
    <row r="495" spans="5:13">
      <c r="E495" s="4"/>
    </row>
    <row r="496" spans="5:13">
      <c r="E496" s="4"/>
    </row>
    <row r="497" spans="5:10">
      <c r="E497" s="4"/>
    </row>
    <row r="498" spans="5:10">
      <c r="E498" s="4"/>
    </row>
    <row r="499" spans="5:10">
      <c r="E499" s="4"/>
    </row>
    <row r="500" spans="5:10">
      <c r="E500" s="4"/>
    </row>
    <row r="501" spans="5:10">
      <c r="E501" s="4"/>
    </row>
    <row r="502" spans="5:10">
      <c r="E502" s="4"/>
    </row>
    <row r="503" spans="5:10">
      <c r="E503" s="4"/>
      <c r="G503" s="9"/>
      <c r="H503" s="9"/>
      <c r="I503" s="9"/>
      <c r="J503" s="9"/>
    </row>
    <row r="504" spans="5:10">
      <c r="E504" s="4"/>
    </row>
    <row r="505" spans="5:10">
      <c r="E505" s="4"/>
    </row>
    <row r="506" spans="5:10">
      <c r="E506" s="4"/>
    </row>
    <row r="507" spans="5:10">
      <c r="E507" s="4"/>
    </row>
    <row r="508" spans="5:10">
      <c r="E508" s="4"/>
    </row>
    <row r="509" spans="5:10">
      <c r="E509" s="4"/>
    </row>
    <row r="510" spans="5:10">
      <c r="E510" s="4"/>
    </row>
    <row r="511" spans="5:10">
      <c r="E511" s="4"/>
    </row>
    <row r="512" spans="5:10">
      <c r="E512" s="4"/>
    </row>
  </sheetData>
  <phoneticPr fontId="2" type="noConversion"/>
  <conditionalFormatting sqref="N1:BD1">
    <cfRule type="duplicateValues" dxfId="62" priority="600"/>
  </conditionalFormatting>
  <conditionalFormatting sqref="BE1:XFD1 E1:L1">
    <cfRule type="duplicateValues" dxfId="61" priority="680"/>
  </conditionalFormatting>
  <conditionalFormatting sqref="F1:F1048576">
    <cfRule type="cellIs" dxfId="60" priority="173" operator="equal">
      <formula>"行動ID"</formula>
    </cfRule>
    <cfRule type="cellIs" dxfId="59" priority="181" operator="equal">
      <formula>"ID"</formula>
    </cfRule>
    <cfRule type="cellIs" dxfId="58" priority="596" operator="equal">
      <formula>"行動序號"</formula>
    </cfRule>
  </conditionalFormatting>
  <conditionalFormatting sqref="F1:F1048576">
    <cfRule type="cellIs" dxfId="57" priority="43" operator="equal">
      <formula>"行動ID"</formula>
    </cfRule>
  </conditionalFormatting>
  <conditionalFormatting sqref="F1 F8 F31 F54 F77 F100 F123 F146 F169 F192 F215 F238 F261 F284 F307 F330 F353 F376 F399 F422 F445 F468 F491">
    <cfRule type="cellIs" dxfId="56" priority="39" operator="equal">
      <formula>"行動ID"</formula>
    </cfRule>
  </conditionalFormatting>
  <conditionalFormatting sqref="F15:F18 F38:F40 F61:F63 F84:F86 F107:F109 F130:F132 F153:F155 F176:F178 F199:F201 F222:F224 F245:F247 F268:F270 F291:F293 F314:F316 F337:F339 F360:F362 F383:F385 F406:F408 F429:F431 F452:F454 F475:F477 F498:F500">
    <cfRule type="cellIs" dxfId="55" priority="32" operator="equal">
      <formula>"行動ID"</formula>
    </cfRule>
  </conditionalFormatting>
  <conditionalFormatting sqref="F13 F36 F59 F82 F105 F128 F151 F174 F197 F220 F243 F266 F289 F312 F335 F358 F381 F404 F427 F450 F473 F496">
    <cfRule type="cellIs" dxfId="54" priority="20" operator="equal">
      <formula>"行動ID"</formula>
    </cfRule>
  </conditionalFormatting>
  <conditionalFormatting sqref="F14 F37 F60 F83 F106 F129 F152 F175 F198 F221 F244 F267 F290 F313 F336 F359 F382 F405 F428 F451 F474 F497">
    <cfRule type="cellIs" dxfId="53" priority="16" operator="equal">
      <formula>"行動ID"</formula>
    </cfRule>
  </conditionalFormatting>
  <conditionalFormatting sqref="F14 F37 F60 F83 F106 F129 F152 F175 F198 F221 F244 F267 F290 F313 F336 F359 F382 F405 F428 F451 F474 F497">
    <cfRule type="cellIs" dxfId="52" priority="15" operator="equal">
      <formula>"行動ID"</formula>
    </cfRule>
  </conditionalFormatting>
  <conditionalFormatting sqref="F23 F45 F68 F91 F114 F137 F160 F183 F206 F229 F252 F275 F298 F321 F344 F367 F390 F413 F436 F459 F482 F505">
    <cfRule type="cellIs" dxfId="51" priority="10" operator="equal">
      <formula>"行動ID"</formula>
    </cfRule>
  </conditionalFormatting>
  <conditionalFormatting sqref="F24 F46 F69 F92 F115 F138 F161 F184 F207 F230 F253 F276 F299 F322 F345 F368 F391 F414 F437 F460 F483 F506">
    <cfRule type="cellIs" dxfId="50" priority="9" operator="equal">
      <formula>"行動ID"</formula>
    </cfRule>
  </conditionalFormatting>
  <conditionalFormatting sqref="F24 F46 F69 F92 F115 F138 F161 F184 F207 F230 F253 F276 F299 F322 F345 F368 F391 F414 F437 F460 F483 F506">
    <cfRule type="cellIs" dxfId="49" priority="8" operator="equal">
      <formula>"行動ID"</formula>
    </cfRule>
  </conditionalFormatting>
  <conditionalFormatting sqref="F28 F51 F74 F97 F120 F143 F166 F189 F212 F235 F258 F281 F304 F327 F350 F373 F396 F419 F442 F465 F488 F511">
    <cfRule type="cellIs" dxfId="48" priority="7" operator="equal">
      <formula>"行動ID"</formula>
    </cfRule>
  </conditionalFormatting>
  <conditionalFormatting sqref="F29 F52 F75 F98 F121 F144 F167 F190 F213 F236 F259 F282 F305 F328 F351 F374 F397 F420 F443 F466 F489 F512">
    <cfRule type="cellIs" dxfId="47" priority="6" operator="equal">
      <formula>"行動ID"</formula>
    </cfRule>
  </conditionalFormatting>
  <conditionalFormatting sqref="F29 F52 F75 F98 F121 F144 F167 F190 F213 F236 F259 F282 F305 F328 F351 F374 F397 F420 F443 F466 F489 F512">
    <cfRule type="cellIs" dxfId="46" priority="5" operator="equal">
      <formula>"行動ID"</formula>
    </cfRule>
  </conditionalFormatting>
  <conditionalFormatting sqref="M1:M1048576">
    <cfRule type="expression" dxfId="45" priority="3">
      <formula>OR($F1="行動序號",$F1="ID")</formula>
    </cfRule>
  </conditionalFormatting>
  <conditionalFormatting sqref="H14 G16 H18 H22 M1:M1048576">
    <cfRule type="expression" dxfId="44" priority="2">
      <formula>_xlfn.ISFORMULA(G1)</formula>
    </cfRule>
  </conditionalFormatting>
  <conditionalFormatting sqref="M1:M1048576">
    <cfRule type="expression" dxfId="43" priority="1">
      <formula>$F1="行動ID"</formula>
    </cfRule>
  </conditionalFormatting>
  <conditionalFormatting sqref="H14 H18 H22">
    <cfRule type="expression" dxfId="42" priority="912">
      <formula>OR(#REF!="行動序號",#REF!="ID")</formula>
    </cfRule>
  </conditionalFormatting>
  <conditionalFormatting sqref="H14 H18 H22">
    <cfRule type="expression" dxfId="41" priority="916">
      <formula>#REF!="行動ID"</formula>
    </cfRule>
  </conditionalFormatting>
  <conditionalFormatting sqref="G16">
    <cfRule type="expression" dxfId="40" priority="920">
      <formula>OR(#REF!="行動序號",#REF!="ID")</formula>
    </cfRule>
  </conditionalFormatting>
  <conditionalFormatting sqref="G16">
    <cfRule type="expression" dxfId="39" priority="924">
      <formula>#REF!="行動ID"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CC422-A510-40CF-8036-F2370EAD4B6E}">
  <sheetPr codeName="AliasSheet"/>
  <dimension ref="A1:E84"/>
  <sheetViews>
    <sheetView workbookViewId="0">
      <selection activeCell="F12" sqref="F12"/>
    </sheetView>
  </sheetViews>
  <sheetFormatPr defaultRowHeight="16.5"/>
  <cols>
    <col min="1" max="1" width="9" style="9"/>
    <col min="2" max="2" width="13.25" style="9" bestFit="1" customWidth="1"/>
    <col min="3" max="3" width="13.875" style="9" bestFit="1" customWidth="1"/>
    <col min="4" max="4" width="13.875" style="9" customWidth="1"/>
    <col min="5" max="5" width="13" bestFit="1" customWidth="1"/>
  </cols>
  <sheetData>
    <row r="1" spans="1:5" s="6" customFormat="1" ht="19.5">
      <c r="A1" s="17" t="s">
        <v>49</v>
      </c>
      <c r="B1" s="17" t="s">
        <v>27</v>
      </c>
      <c r="C1" s="17" t="s">
        <v>141</v>
      </c>
      <c r="D1" s="17" t="s">
        <v>140</v>
      </c>
      <c r="E1" s="6" t="s">
        <v>36</v>
      </c>
    </row>
    <row r="2" spans="1:5">
      <c r="A2" s="9" t="s">
        <v>50</v>
      </c>
      <c r="B2" s="9" t="s">
        <v>28</v>
      </c>
      <c r="C2" s="9" t="s">
        <v>141</v>
      </c>
      <c r="D2" s="9" t="s">
        <v>139</v>
      </c>
      <c r="E2" s="9" t="s">
        <v>36</v>
      </c>
    </row>
    <row r="56" spans="1:4">
      <c r="A56" s="14"/>
      <c r="B56" s="14"/>
      <c r="C56" s="14"/>
      <c r="D56" s="14"/>
    </row>
    <row r="63" spans="1:4">
      <c r="A63" s="14"/>
      <c r="B63" s="14"/>
      <c r="C63" s="14"/>
      <c r="D63" s="14"/>
    </row>
    <row r="73" spans="1:4">
      <c r="A73" s="14"/>
      <c r="B73" s="14"/>
      <c r="C73" s="14"/>
      <c r="D73" s="14"/>
    </row>
    <row r="84" spans="1:4">
      <c r="A84" s="13"/>
      <c r="B84" s="13"/>
      <c r="C84" s="13"/>
      <c r="D84" s="13"/>
    </row>
  </sheetData>
  <phoneticPr fontId="2" type="noConversion"/>
  <conditionalFormatting sqref="E1:XFD1">
    <cfRule type="duplicateValues" dxfId="38" priority="1"/>
  </conditionalFormatting>
  <conditionalFormatting sqref="A1:D1">
    <cfRule type="duplicateValues" dxfId="37" priority="2"/>
  </conditionalFormatting>
  <dataValidations count="1">
    <dataValidation type="list" allowBlank="1" showInputMessage="1" showErrorMessage="1" sqref="B2" xr:uid="{B4113EC2-EA58-407C-A4BE-2B0E98E5626D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D0017-274C-4E80-BBF2-65E918740216}">
  <sheetPr codeName="DefineSheet"/>
  <dimension ref="A1:L116"/>
  <sheetViews>
    <sheetView topLeftCell="A94" workbookViewId="0">
      <selection activeCell="B116" sqref="B116"/>
    </sheetView>
  </sheetViews>
  <sheetFormatPr defaultRowHeight="16.5"/>
  <cols>
    <col min="1" max="1" width="19.75" style="7" bestFit="1" customWidth="1"/>
    <col min="2" max="2" width="20.625" style="7" customWidth="1"/>
    <col min="3" max="3" width="24.625" style="7" bestFit="1" customWidth="1"/>
    <col min="4" max="4" width="9" style="7"/>
    <col min="6" max="16384" width="9" style="7"/>
  </cols>
  <sheetData>
    <row r="1" spans="1:12" s="6" customFormat="1">
      <c r="A1" s="6" t="s">
        <v>1</v>
      </c>
      <c r="B1" s="6" t="s">
        <v>18</v>
      </c>
      <c r="C1" s="6" t="s">
        <v>17</v>
      </c>
      <c r="E1" s="5"/>
      <c r="L1" s="7"/>
    </row>
    <row r="3" spans="1:12">
      <c r="A3" s="7" t="s">
        <v>27</v>
      </c>
      <c r="B3" t="s">
        <v>151</v>
      </c>
      <c r="C3" s="7" t="s">
        <v>21</v>
      </c>
      <c r="E3" t="str">
        <f t="shared" ref="E3:E88" si="0">B3&amp;","</f>
        <v>ID,</v>
      </c>
      <c r="H3"/>
      <c r="J3"/>
    </row>
    <row r="4" spans="1:12">
      <c r="A4" s="7" t="s">
        <v>27</v>
      </c>
      <c r="B4" s="7" t="s">
        <v>101</v>
      </c>
      <c r="C4" s="7" t="s">
        <v>37</v>
      </c>
      <c r="E4" t="str">
        <f t="shared" si="0"/>
        <v>行動ID,</v>
      </c>
      <c r="H4"/>
    </row>
    <row r="5" spans="1:12">
      <c r="A5" s="7" t="s">
        <v>27</v>
      </c>
      <c r="B5" s="7" t="s">
        <v>99</v>
      </c>
      <c r="C5" s="7" t="s">
        <v>38</v>
      </c>
      <c r="E5" t="str">
        <f t="shared" si="0"/>
        <v>玩家,</v>
      </c>
      <c r="H5"/>
    </row>
    <row r="6" spans="1:12">
      <c r="A6" s="7" t="s">
        <v>27</v>
      </c>
      <c r="B6" s="7" t="s">
        <v>102</v>
      </c>
      <c r="C6" s="7" t="s">
        <v>22</v>
      </c>
      <c r="E6" t="str">
        <f t="shared" si="0"/>
        <v>玩家子彈,</v>
      </c>
      <c r="H6"/>
    </row>
    <row r="7" spans="1:12">
      <c r="A7" s="7" t="s">
        <v>27</v>
      </c>
      <c r="B7" s="7" t="s">
        <v>48</v>
      </c>
      <c r="C7" s="7" t="s">
        <v>23</v>
      </c>
      <c r="E7" t="str">
        <f t="shared" si="0"/>
        <v>BOSS,</v>
      </c>
      <c r="H7"/>
      <c r="I7" s="10"/>
    </row>
    <row r="8" spans="1:12">
      <c r="A8" s="7" t="s">
        <v>27</v>
      </c>
      <c r="B8" s="7" t="s">
        <v>152</v>
      </c>
      <c r="C8" s="7" t="s">
        <v>32</v>
      </c>
      <c r="E8" t="str">
        <f t="shared" si="0"/>
        <v>復位,</v>
      </c>
      <c r="H8"/>
      <c r="I8" s="11"/>
    </row>
    <row r="9" spans="1:12">
      <c r="A9" s="7" t="s">
        <v>27</v>
      </c>
      <c r="B9" s="7" t="s">
        <v>110</v>
      </c>
      <c r="C9" s="7" t="s">
        <v>39</v>
      </c>
      <c r="E9" t="str">
        <f t="shared" si="0"/>
        <v>BOSSDEAD,</v>
      </c>
      <c r="H9"/>
      <c r="I9" s="11"/>
    </row>
    <row r="10" spans="1:12">
      <c r="A10" s="7" t="s">
        <v>27</v>
      </c>
      <c r="B10" s="7" t="s">
        <v>238</v>
      </c>
      <c r="C10" s="7" t="s">
        <v>33</v>
      </c>
      <c r="E10" t="str">
        <f t="shared" si="0"/>
        <v>BOSSLEAVE,</v>
      </c>
      <c r="H10"/>
      <c r="I10" s="11"/>
    </row>
    <row r="11" spans="1:12">
      <c r="A11" s="7" t="s">
        <v>27</v>
      </c>
      <c r="B11" s="7" t="s">
        <v>153</v>
      </c>
      <c r="C11" s="7" t="s">
        <v>40</v>
      </c>
      <c r="E11" t="str">
        <f t="shared" si="0"/>
        <v>Power,</v>
      </c>
      <c r="H11"/>
      <c r="I11" s="11"/>
    </row>
    <row r="12" spans="1:12">
      <c r="A12" s="7" t="s">
        <v>27</v>
      </c>
      <c r="B12" s="7" t="s">
        <v>45</v>
      </c>
      <c r="C12" s="7" t="s">
        <v>34</v>
      </c>
      <c r="E12" t="str">
        <f t="shared" si="0"/>
        <v>符卡,</v>
      </c>
      <c r="H12"/>
      <c r="I12" s="11"/>
    </row>
    <row r="13" spans="1:12">
      <c r="A13" s="7" t="s">
        <v>27</v>
      </c>
      <c r="B13" s="7" t="s">
        <v>103</v>
      </c>
      <c r="C13" s="7" t="s">
        <v>41</v>
      </c>
      <c r="E13" t="str">
        <f t="shared" si="0"/>
        <v>標題,</v>
      </c>
      <c r="H13"/>
      <c r="I13" s="11"/>
    </row>
    <row r="14" spans="1:12">
      <c r="A14" s="7" t="s">
        <v>27</v>
      </c>
      <c r="B14" s="7" t="s">
        <v>104</v>
      </c>
      <c r="C14" s="7" t="s">
        <v>42</v>
      </c>
      <c r="E14" t="str">
        <f t="shared" si="0"/>
        <v>對話,</v>
      </c>
      <c r="H14"/>
    </row>
    <row r="15" spans="1:12">
      <c r="A15" s="7" t="s">
        <v>27</v>
      </c>
      <c r="B15" s="7" t="s">
        <v>130</v>
      </c>
      <c r="C15" s="7" t="s">
        <v>43</v>
      </c>
      <c r="E15" t="str">
        <f t="shared" si="0"/>
        <v>播放音樂,</v>
      </c>
      <c r="H15"/>
    </row>
    <row r="16" spans="1:12">
      <c r="A16" s="7" t="s">
        <v>27</v>
      </c>
      <c r="B16" s="7" t="s">
        <v>131</v>
      </c>
      <c r="C16" s="7" t="s">
        <v>44</v>
      </c>
      <c r="E16" t="str">
        <f t="shared" si="0"/>
        <v>關卡結束,</v>
      </c>
      <c r="H16"/>
    </row>
    <row r="17" spans="1:8">
      <c r="A17" s="7" t="s">
        <v>27</v>
      </c>
      <c r="B17" s="7" t="s">
        <v>154</v>
      </c>
      <c r="C17" s="7" t="s">
        <v>239</v>
      </c>
      <c r="E17" t="str">
        <f t="shared" si="0"/>
        <v>下一關,</v>
      </c>
      <c r="H17"/>
    </row>
    <row r="18" spans="1:8">
      <c r="H18"/>
    </row>
    <row r="19" spans="1:8">
      <c r="H19"/>
    </row>
    <row r="20" spans="1:8">
      <c r="A20" s="7" t="s">
        <v>27</v>
      </c>
      <c r="B20" s="7" t="s">
        <v>143</v>
      </c>
      <c r="C20" s="7" t="s">
        <v>155</v>
      </c>
      <c r="E20" t="str">
        <f t="shared" si="0"/>
        <v>啟動依ID,</v>
      </c>
      <c r="H20"/>
    </row>
    <row r="21" spans="1:8">
      <c r="A21" s="7" t="s">
        <v>27</v>
      </c>
      <c r="B21" s="7" t="s">
        <v>150</v>
      </c>
      <c r="C21" s="7" t="s">
        <v>156</v>
      </c>
      <c r="E21" t="str">
        <f t="shared" si="0"/>
        <v>啟動依遊戲時間,</v>
      </c>
      <c r="H21"/>
    </row>
    <row r="22" spans="1:8">
      <c r="A22" s="7" t="s">
        <v>27</v>
      </c>
      <c r="B22" s="7" t="s">
        <v>126</v>
      </c>
      <c r="C22" s="7" t="s">
        <v>157</v>
      </c>
      <c r="E22" t="str">
        <f t="shared" si="0"/>
        <v>啟動依開始時間後,</v>
      </c>
      <c r="H22"/>
    </row>
    <row r="23" spans="1:8">
      <c r="A23" s="7" t="s">
        <v>27</v>
      </c>
      <c r="B23" s="7" t="s">
        <v>127</v>
      </c>
      <c r="C23" s="7" t="s">
        <v>158</v>
      </c>
      <c r="E23" t="str">
        <f t="shared" si="0"/>
        <v>啟動依結束時間前,</v>
      </c>
      <c r="H23"/>
    </row>
    <row r="24" spans="1:8">
      <c r="A24" s="7" t="s">
        <v>27</v>
      </c>
      <c r="B24" s="7" t="s">
        <v>128</v>
      </c>
      <c r="C24" s="7" t="s">
        <v>159</v>
      </c>
      <c r="E24" t="str">
        <f t="shared" si="0"/>
        <v>啟動依位置,</v>
      </c>
      <c r="H24"/>
    </row>
    <row r="25" spans="1:8">
      <c r="A25" s="7" t="s">
        <v>27</v>
      </c>
      <c r="B25" s="7" t="s">
        <v>129</v>
      </c>
      <c r="C25" s="7" t="s">
        <v>160</v>
      </c>
      <c r="E25" t="str">
        <f t="shared" si="0"/>
        <v>啟動依位置距離,</v>
      </c>
      <c r="H25"/>
    </row>
    <row r="26" spans="1:8">
      <c r="A26" s="7" t="s">
        <v>27</v>
      </c>
      <c r="B26" s="7" t="s">
        <v>161</v>
      </c>
      <c r="C26" s="7" t="s">
        <v>162</v>
      </c>
      <c r="E26" t="str">
        <f t="shared" si="0"/>
        <v>啟動依玩家死亡,</v>
      </c>
      <c r="H26"/>
    </row>
    <row r="27" spans="1:8">
      <c r="A27" s="7" t="s">
        <v>27</v>
      </c>
      <c r="B27" s="7" t="s">
        <v>163</v>
      </c>
      <c r="C27" s="7" t="s">
        <v>164</v>
      </c>
      <c r="E27" t="str">
        <f t="shared" si="0"/>
        <v>啟動位置是活動,</v>
      </c>
      <c r="H27"/>
    </row>
    <row r="28" spans="1:8">
      <c r="H28"/>
    </row>
    <row r="29" spans="1:8">
      <c r="H29"/>
    </row>
    <row r="30" spans="1:8">
      <c r="A30" s="7" t="s">
        <v>27</v>
      </c>
      <c r="B30" s="7" t="s">
        <v>29</v>
      </c>
      <c r="C30" s="7" t="s">
        <v>165</v>
      </c>
      <c r="E30" t="str">
        <f t="shared" si="0"/>
        <v>物件,</v>
      </c>
      <c r="H30"/>
    </row>
    <row r="31" spans="1:8">
      <c r="A31" s="7" t="s">
        <v>27</v>
      </c>
      <c r="B31" s="7" t="s">
        <v>118</v>
      </c>
      <c r="C31" s="7" t="s">
        <v>166</v>
      </c>
      <c r="E31" t="str">
        <f t="shared" si="0"/>
        <v>Sprite,</v>
      </c>
      <c r="H31"/>
    </row>
    <row r="32" spans="1:8">
      <c r="A32" s="7" t="s">
        <v>27</v>
      </c>
      <c r="B32" s="7" t="s">
        <v>100</v>
      </c>
      <c r="C32" s="7" t="s">
        <v>167</v>
      </c>
      <c r="E32" t="str">
        <f t="shared" si="0"/>
        <v>動畫,</v>
      </c>
      <c r="H32"/>
    </row>
    <row r="33" spans="1:8">
      <c r="A33" s="7" t="s">
        <v>27</v>
      </c>
      <c r="B33" s="7" t="s">
        <v>106</v>
      </c>
      <c r="C33" s="7" t="s">
        <v>168</v>
      </c>
      <c r="E33" t="str">
        <f t="shared" si="0"/>
        <v>Name,</v>
      </c>
      <c r="F33" s="4"/>
      <c r="H33"/>
    </row>
    <row r="34" spans="1:8">
      <c r="A34" s="7" t="s">
        <v>27</v>
      </c>
      <c r="B34" s="7" t="s">
        <v>105</v>
      </c>
      <c r="C34" s="7" t="s">
        <v>169</v>
      </c>
      <c r="E34" t="str">
        <f t="shared" si="0"/>
        <v>傷害,</v>
      </c>
      <c r="F34" s="4"/>
      <c r="H34"/>
    </row>
    <row r="35" spans="1:8">
      <c r="A35" s="7" t="s">
        <v>27</v>
      </c>
      <c r="B35" s="7" t="s">
        <v>46</v>
      </c>
      <c r="C35" s="7" t="s">
        <v>170</v>
      </c>
      <c r="E35" t="str">
        <f t="shared" si="0"/>
        <v>HP,</v>
      </c>
      <c r="F35" s="4"/>
      <c r="H35"/>
    </row>
    <row r="36" spans="1:8">
      <c r="A36" s="7" t="s">
        <v>27</v>
      </c>
      <c r="B36" s="7" t="s">
        <v>171</v>
      </c>
      <c r="C36" s="7" t="s">
        <v>172</v>
      </c>
      <c r="E36" t="str">
        <f t="shared" si="0"/>
        <v>Power掉落,</v>
      </c>
      <c r="F36" s="4"/>
      <c r="H36"/>
    </row>
    <row r="37" spans="1:8">
      <c r="A37" s="7" t="s">
        <v>27</v>
      </c>
      <c r="B37" s="7" t="s">
        <v>173</v>
      </c>
      <c r="C37" s="7" t="s">
        <v>174</v>
      </c>
      <c r="E37" t="str">
        <f t="shared" si="0"/>
        <v>加ID,</v>
      </c>
      <c r="F37" s="4"/>
      <c r="H37"/>
    </row>
    <row r="38" spans="1:8">
      <c r="F38" s="4"/>
      <c r="H38"/>
    </row>
    <row r="39" spans="1:8">
      <c r="F39" s="4"/>
      <c r="H39"/>
    </row>
    <row r="40" spans="1:8">
      <c r="A40" s="7" t="s">
        <v>27</v>
      </c>
      <c r="B40" s="7" t="s">
        <v>35</v>
      </c>
      <c r="C40" s="7" t="s">
        <v>175</v>
      </c>
      <c r="E40" t="str">
        <f t="shared" si="0"/>
        <v>行動時間,</v>
      </c>
      <c r="F40" s="4"/>
      <c r="H40"/>
    </row>
    <row r="41" spans="1:8">
      <c r="A41" s="7" t="s">
        <v>27</v>
      </c>
      <c r="B41" s="7" t="s">
        <v>97</v>
      </c>
      <c r="C41" s="7" t="s">
        <v>176</v>
      </c>
      <c r="E41" t="str">
        <f t="shared" si="0"/>
        <v>回收時間,</v>
      </c>
      <c r="H41"/>
    </row>
    <row r="42" spans="1:8">
      <c r="A42" s="7" t="s">
        <v>27</v>
      </c>
      <c r="B42" s="7" t="s">
        <v>107</v>
      </c>
      <c r="C42" s="7" t="s">
        <v>177</v>
      </c>
      <c r="E42" t="str">
        <f t="shared" si="0"/>
        <v>死亡時間,</v>
      </c>
      <c r="H42"/>
    </row>
    <row r="43" spans="1:8">
      <c r="A43" s="7" t="s">
        <v>27</v>
      </c>
      <c r="B43" s="7" t="s">
        <v>231</v>
      </c>
      <c r="C43" s="7" t="s">
        <v>232</v>
      </c>
      <c r="E43" t="str">
        <f t="shared" si="0"/>
        <v>符卡時間,</v>
      </c>
      <c r="H43"/>
    </row>
    <row r="44" spans="1:8">
      <c r="B44" s="25"/>
      <c r="H44"/>
    </row>
    <row r="45" spans="1:8">
      <c r="H45"/>
    </row>
    <row r="46" spans="1:8">
      <c r="A46" s="7" t="s">
        <v>27</v>
      </c>
      <c r="B46" s="7" t="s">
        <v>98</v>
      </c>
      <c r="C46" s="7" t="s">
        <v>178</v>
      </c>
      <c r="E46" t="str">
        <f t="shared" si="0"/>
        <v>移位置,</v>
      </c>
      <c r="H46"/>
    </row>
    <row r="47" spans="1:8">
      <c r="A47" s="7" t="s">
        <v>27</v>
      </c>
      <c r="B47" s="7" t="s">
        <v>116</v>
      </c>
      <c r="C47" s="7" t="s">
        <v>179</v>
      </c>
      <c r="E47" t="str">
        <f t="shared" si="0"/>
        <v>相對位置,</v>
      </c>
      <c r="H47"/>
    </row>
    <row r="48" spans="1:8">
      <c r="A48" s="7" t="s">
        <v>27</v>
      </c>
      <c r="B48" s="7" t="s">
        <v>133</v>
      </c>
      <c r="C48" s="7" t="s">
        <v>180</v>
      </c>
      <c r="E48" t="str">
        <f t="shared" si="0"/>
        <v>位置參數,</v>
      </c>
      <c r="H48"/>
    </row>
    <row r="49" spans="1:8">
      <c r="A49" s="7" t="s">
        <v>27</v>
      </c>
      <c r="B49" s="7" t="s">
        <v>181</v>
      </c>
      <c r="C49" s="7" t="s">
        <v>182</v>
      </c>
      <c r="E49" t="str">
        <f t="shared" si="0"/>
        <v>加位置,</v>
      </c>
      <c r="H49"/>
    </row>
    <row r="50" spans="1:8">
      <c r="A50" s="7" t="s">
        <v>27</v>
      </c>
      <c r="B50" s="7" t="s">
        <v>245</v>
      </c>
      <c r="C50" s="7" t="s">
        <v>246</v>
      </c>
      <c r="E50" t="str">
        <f t="shared" si="0"/>
        <v>記錄位置,</v>
      </c>
      <c r="H50"/>
    </row>
    <row r="51" spans="1:8">
      <c r="A51" s="7" t="s">
        <v>27</v>
      </c>
      <c r="B51" s="7" t="s">
        <v>247</v>
      </c>
      <c r="C51" s="7" t="s">
        <v>248</v>
      </c>
      <c r="E51" t="str">
        <f t="shared" si="0"/>
        <v>記錄位置序號,</v>
      </c>
      <c r="H51"/>
    </row>
    <row r="52" spans="1:8">
      <c r="H52"/>
    </row>
    <row r="53" spans="1:8">
      <c r="H53"/>
    </row>
    <row r="54" spans="1:8">
      <c r="A54" s="7" t="s">
        <v>27</v>
      </c>
      <c r="B54" s="7" t="s">
        <v>31</v>
      </c>
      <c r="C54" s="7" t="s">
        <v>183</v>
      </c>
      <c r="E54" t="str">
        <f t="shared" si="0"/>
        <v>移動角度,</v>
      </c>
      <c r="H54"/>
    </row>
    <row r="55" spans="1:8">
      <c r="A55" s="7" t="s">
        <v>27</v>
      </c>
      <c r="B55" s="7" t="s">
        <v>111</v>
      </c>
      <c r="C55" s="7" t="s">
        <v>184</v>
      </c>
      <c r="E55" t="str">
        <f t="shared" si="0"/>
        <v>加移動角度,</v>
      </c>
      <c r="F55" s="9"/>
      <c r="H55"/>
    </row>
    <row r="56" spans="1:8">
      <c r="A56" s="7" t="s">
        <v>27</v>
      </c>
      <c r="B56" s="7" t="s">
        <v>112</v>
      </c>
      <c r="C56" s="7" t="s">
        <v>185</v>
      </c>
      <c r="E56" t="str">
        <f t="shared" si="0"/>
        <v>旋轉角度,</v>
      </c>
      <c r="F56" s="9"/>
      <c r="H56"/>
    </row>
    <row r="57" spans="1:8">
      <c r="A57" s="7" t="s">
        <v>27</v>
      </c>
      <c r="B57" s="7" t="s">
        <v>113</v>
      </c>
      <c r="C57" s="7" t="s">
        <v>186</v>
      </c>
      <c r="E57" t="str">
        <f t="shared" si="0"/>
        <v>加旋轉角度,</v>
      </c>
      <c r="F57" s="9"/>
      <c r="H57"/>
    </row>
    <row r="58" spans="1:8">
      <c r="A58" s="7" t="s">
        <v>27</v>
      </c>
      <c r="B58" s="7" t="s">
        <v>132</v>
      </c>
      <c r="C58" s="7" t="s">
        <v>187</v>
      </c>
      <c r="E58" t="str">
        <f t="shared" si="0"/>
        <v>角度參數,</v>
      </c>
      <c r="F58" s="9"/>
      <c r="H58"/>
    </row>
    <row r="59" spans="1:8">
      <c r="A59" s="7" t="s">
        <v>27</v>
      </c>
      <c r="B59" s="7" t="s">
        <v>188</v>
      </c>
      <c r="C59" s="7" t="s">
        <v>189</v>
      </c>
      <c r="E59" t="str">
        <f t="shared" si="0"/>
        <v>加角度,</v>
      </c>
      <c r="F59" s="9"/>
      <c r="H59"/>
    </row>
    <row r="60" spans="1:8">
      <c r="A60" s="7" t="s">
        <v>27</v>
      </c>
      <c r="B60" s="7" t="s">
        <v>114</v>
      </c>
      <c r="C60" s="7" t="s">
        <v>190</v>
      </c>
      <c r="E60" t="str">
        <f t="shared" si="0"/>
        <v>旋轉是移動角度,</v>
      </c>
      <c r="H60"/>
    </row>
    <row r="61" spans="1:8">
      <c r="A61" s="7" t="s">
        <v>27</v>
      </c>
      <c r="B61" s="26" t="s">
        <v>240</v>
      </c>
      <c r="C61" s="7" t="s">
        <v>241</v>
      </c>
      <c r="E61" t="str">
        <f t="shared" si="0"/>
        <v>子旋轉角度,</v>
      </c>
      <c r="H61"/>
    </row>
    <row r="62" spans="1:8">
      <c r="A62" s="7" t="s">
        <v>27</v>
      </c>
      <c r="B62" s="26" t="s">
        <v>242</v>
      </c>
      <c r="C62" s="7" t="s">
        <v>243</v>
      </c>
      <c r="E62" t="str">
        <f t="shared" si="0"/>
        <v>子加旋轉角度,</v>
      </c>
      <c r="H62"/>
    </row>
    <row r="63" spans="1:8">
      <c r="A63" s="7" t="s">
        <v>27</v>
      </c>
      <c r="B63" s="7" t="s">
        <v>249</v>
      </c>
      <c r="C63" s="7" t="s">
        <v>250</v>
      </c>
      <c r="E63" t="str">
        <f t="shared" si="0"/>
        <v>記錄角度,</v>
      </c>
      <c r="H63"/>
    </row>
    <row r="64" spans="1:8">
      <c r="A64" s="7" t="s">
        <v>27</v>
      </c>
      <c r="B64" s="7" t="s">
        <v>252</v>
      </c>
      <c r="C64" s="7" t="s">
        <v>251</v>
      </c>
      <c r="E64" t="str">
        <f t="shared" si="0"/>
        <v>記錄角度ID,</v>
      </c>
      <c r="H64"/>
    </row>
    <row r="65" spans="1:11">
      <c r="B65" s="26"/>
      <c r="H65"/>
    </row>
    <row r="66" spans="1:11">
      <c r="H66"/>
    </row>
    <row r="67" spans="1:11">
      <c r="A67" s="7" t="s">
        <v>27</v>
      </c>
      <c r="B67" s="7" t="s">
        <v>30</v>
      </c>
      <c r="C67" s="7" t="s">
        <v>191</v>
      </c>
      <c r="E67" t="str">
        <f t="shared" si="0"/>
        <v>速度,</v>
      </c>
      <c r="H67"/>
    </row>
    <row r="68" spans="1:11">
      <c r="A68" s="7" t="s">
        <v>27</v>
      </c>
      <c r="B68" s="7" t="s">
        <v>115</v>
      </c>
      <c r="C68" s="7" t="s">
        <v>192</v>
      </c>
      <c r="E68" t="str">
        <f t="shared" si="0"/>
        <v>加速度,</v>
      </c>
      <c r="H68"/>
    </row>
    <row r="69" spans="1:11">
      <c r="A69" s="7" t="s">
        <v>27</v>
      </c>
      <c r="B69" s="7" t="s">
        <v>108</v>
      </c>
      <c r="C69" s="7" t="s">
        <v>193</v>
      </c>
      <c r="E69" t="str">
        <f t="shared" si="0"/>
        <v>最小速度,</v>
      </c>
      <c r="H69"/>
    </row>
    <row r="70" spans="1:11">
      <c r="A70" s="7" t="s">
        <v>27</v>
      </c>
      <c r="B70" s="7" t="s">
        <v>109</v>
      </c>
      <c r="C70" s="7" t="s">
        <v>194</v>
      </c>
      <c r="E70" t="str">
        <f t="shared" si="0"/>
        <v>最大速度,</v>
      </c>
      <c r="H70"/>
    </row>
    <row r="71" spans="1:11">
      <c r="H71"/>
    </row>
    <row r="72" spans="1:11">
      <c r="H72"/>
    </row>
    <row r="73" spans="1:11">
      <c r="A73" s="7" t="s">
        <v>27</v>
      </c>
      <c r="B73" s="7" t="s">
        <v>195</v>
      </c>
      <c r="C73" s="7" t="s">
        <v>196</v>
      </c>
      <c r="E73" t="str">
        <f t="shared" si="0"/>
        <v>是界內,</v>
      </c>
      <c r="H73"/>
    </row>
    <row r="74" spans="1:11">
      <c r="A74" s="7" t="s">
        <v>27</v>
      </c>
      <c r="B74" s="7" t="s">
        <v>47</v>
      </c>
      <c r="C74" s="7" t="s">
        <v>197</v>
      </c>
      <c r="E74" t="str">
        <f t="shared" si="0"/>
        <v>無敵,</v>
      </c>
      <c r="H74"/>
    </row>
    <row r="75" spans="1:11">
      <c r="A75" s="7" t="s">
        <v>27</v>
      </c>
      <c r="B75" s="7" t="s">
        <v>117</v>
      </c>
      <c r="C75" s="7" t="s">
        <v>198</v>
      </c>
      <c r="E75" t="str">
        <f t="shared" si="0"/>
        <v>貫穿,</v>
      </c>
      <c r="H75"/>
    </row>
    <row r="76" spans="1:11">
      <c r="A76" s="7" t="s">
        <v>27</v>
      </c>
      <c r="B76" s="7" t="s">
        <v>125</v>
      </c>
      <c r="C76" s="7" t="s">
        <v>199</v>
      </c>
      <c r="E76" t="str">
        <f t="shared" si="0"/>
        <v>回收距離,</v>
      </c>
      <c r="H76"/>
    </row>
    <row r="77" spans="1:11">
      <c r="A77" s="7" t="s">
        <v>27</v>
      </c>
      <c r="B77" s="7" t="s">
        <v>200</v>
      </c>
      <c r="C77" s="7" t="s">
        <v>201</v>
      </c>
      <c r="E77" t="str">
        <f t="shared" si="0"/>
        <v>出生動畫速率,</v>
      </c>
      <c r="H77"/>
    </row>
    <row r="78" spans="1:11">
      <c r="A78" s="7" t="s">
        <v>27</v>
      </c>
      <c r="B78" s="7" t="s">
        <v>202</v>
      </c>
      <c r="C78" s="7" t="s">
        <v>203</v>
      </c>
      <c r="E78" t="str">
        <f t="shared" si="0"/>
        <v>出生動畫時間,</v>
      </c>
      <c r="H78"/>
    </row>
    <row r="79" spans="1:11">
      <c r="A79" s="7" t="s">
        <v>27</v>
      </c>
      <c r="B79" s="7" t="s">
        <v>204</v>
      </c>
      <c r="C79" s="7" t="s">
        <v>205</v>
      </c>
      <c r="E79" t="str">
        <f t="shared" si="0"/>
        <v>出生動畫開始,</v>
      </c>
      <c r="H79"/>
    </row>
    <row r="80" spans="1:11">
      <c r="A80" s="7" t="s">
        <v>27</v>
      </c>
      <c r="B80" s="7" t="s">
        <v>206</v>
      </c>
      <c r="C80" s="7" t="s">
        <v>207</v>
      </c>
      <c r="E80" t="str">
        <f t="shared" si="0"/>
        <v>行動ID結束,</v>
      </c>
      <c r="H80"/>
      <c r="K80" s="4"/>
    </row>
    <row r="81" spans="1:11">
      <c r="H81"/>
      <c r="K81" s="4"/>
    </row>
    <row r="82" spans="1:11">
      <c r="H82"/>
      <c r="K82" s="4"/>
    </row>
    <row r="83" spans="1:11">
      <c r="A83" s="7" t="s">
        <v>27</v>
      </c>
      <c r="B83" s="7" t="s">
        <v>119</v>
      </c>
      <c r="C83" s="7" t="s">
        <v>208</v>
      </c>
      <c r="E83" t="str">
        <f t="shared" si="0"/>
        <v>時位時間,</v>
      </c>
      <c r="H83"/>
      <c r="K83" s="4"/>
    </row>
    <row r="84" spans="1:11">
      <c r="A84" s="7" t="s">
        <v>27</v>
      </c>
      <c r="B84" s="7" t="s">
        <v>120</v>
      </c>
      <c r="C84" s="7" t="s">
        <v>209</v>
      </c>
      <c r="E84" t="str">
        <f t="shared" si="0"/>
        <v>時位位置,</v>
      </c>
      <c r="H84"/>
      <c r="K84" s="4"/>
    </row>
    <row r="85" spans="1:11">
      <c r="A85" s="7" t="s">
        <v>27</v>
      </c>
      <c r="B85" s="7" t="s">
        <v>121</v>
      </c>
      <c r="C85" s="7" t="s">
        <v>210</v>
      </c>
      <c r="E85" t="str">
        <f t="shared" si="0"/>
        <v>時位變速點,</v>
      </c>
      <c r="H85"/>
      <c r="K85" s="9"/>
    </row>
    <row r="86" spans="1:11">
      <c r="A86" s="7" t="s">
        <v>27</v>
      </c>
      <c r="B86" s="7" t="s">
        <v>122</v>
      </c>
      <c r="C86" s="7" t="s">
        <v>211</v>
      </c>
      <c r="E86" t="str">
        <f t="shared" si="0"/>
        <v>時位開始速度,</v>
      </c>
      <c r="H86"/>
      <c r="K86" s="9"/>
    </row>
    <row r="87" spans="1:11">
      <c r="A87" s="7" t="s">
        <v>27</v>
      </c>
      <c r="B87" s="7" t="s">
        <v>123</v>
      </c>
      <c r="C87" s="7" t="s">
        <v>212</v>
      </c>
      <c r="E87" t="str">
        <f t="shared" si="0"/>
        <v>時位結束速度,</v>
      </c>
      <c r="H87"/>
      <c r="K87" s="9"/>
    </row>
    <row r="88" spans="1:11">
      <c r="A88" s="7" t="s">
        <v>27</v>
      </c>
      <c r="B88" s="7" t="s">
        <v>124</v>
      </c>
      <c r="C88" s="7" t="s">
        <v>213</v>
      </c>
      <c r="E88" t="str">
        <f t="shared" si="0"/>
        <v>時位移動角度,</v>
      </c>
      <c r="H88"/>
    </row>
    <row r="89" spans="1:11">
      <c r="H89"/>
    </row>
    <row r="90" spans="1:11">
      <c r="H90"/>
    </row>
    <row r="91" spans="1:11">
      <c r="A91" s="7" t="s">
        <v>27</v>
      </c>
      <c r="B91" s="7" t="s">
        <v>214</v>
      </c>
      <c r="C91" s="7" t="s">
        <v>215</v>
      </c>
      <c r="E91" t="str">
        <f t="shared" ref="E91:E95" si="1">B91&amp;","</f>
        <v>玩家遊戲時間,</v>
      </c>
      <c r="H91"/>
    </row>
    <row r="92" spans="1:11">
      <c r="A92" s="7" t="s">
        <v>27</v>
      </c>
      <c r="B92" s="7" t="s">
        <v>216</v>
      </c>
      <c r="C92" s="7" t="s">
        <v>217</v>
      </c>
      <c r="E92" t="str">
        <f t="shared" si="1"/>
        <v>玩家子彈間隔,</v>
      </c>
      <c r="H92"/>
    </row>
    <row r="93" spans="1:11">
      <c r="A93" s="7" t="s">
        <v>27</v>
      </c>
      <c r="B93" s="7" t="s">
        <v>218</v>
      </c>
      <c r="C93" s="7" t="s">
        <v>219</v>
      </c>
      <c r="E93" t="str">
        <f t="shared" si="1"/>
        <v>玩家Power需求,</v>
      </c>
      <c r="H93"/>
    </row>
    <row r="94" spans="1:11">
      <c r="A94" s="7" t="s">
        <v>27</v>
      </c>
      <c r="B94" s="7" t="s">
        <v>220</v>
      </c>
      <c r="C94" s="7" t="s">
        <v>221</v>
      </c>
      <c r="E94" t="str">
        <f t="shared" si="1"/>
        <v>玩家Shift,</v>
      </c>
      <c r="H94"/>
    </row>
    <row r="95" spans="1:11">
      <c r="A95" s="7" t="s">
        <v>27</v>
      </c>
      <c r="B95" s="7" t="s">
        <v>222</v>
      </c>
      <c r="C95" s="7" t="s">
        <v>223</v>
      </c>
      <c r="E95" t="str">
        <f t="shared" si="1"/>
        <v>玩家子彈延遲,</v>
      </c>
      <c r="H95"/>
    </row>
    <row r="96" spans="1:11">
      <c r="H96"/>
    </row>
    <row r="97" spans="1:12">
      <c r="H97"/>
    </row>
    <row r="98" spans="1:12">
      <c r="H98"/>
    </row>
    <row r="99" spans="1:12">
      <c r="H99"/>
    </row>
    <row r="100" spans="1:12">
      <c r="H100"/>
    </row>
    <row r="101" spans="1:12">
      <c r="H101"/>
    </row>
    <row r="102" spans="1:12">
      <c r="H102"/>
    </row>
    <row r="103" spans="1:12">
      <c r="A103" s="7" t="s">
        <v>140</v>
      </c>
      <c r="B103" s="7" t="s">
        <v>136</v>
      </c>
      <c r="C103" s="7" t="s">
        <v>21</v>
      </c>
      <c r="H103"/>
    </row>
    <row r="104" spans="1:12" customFormat="1">
      <c r="A104" s="7" t="s">
        <v>140</v>
      </c>
      <c r="B104" t="s">
        <v>137</v>
      </c>
      <c r="C104" s="7" t="s">
        <v>25</v>
      </c>
      <c r="D104" s="7"/>
      <c r="L104" s="7"/>
    </row>
    <row r="105" spans="1:12" customFormat="1">
      <c r="A105" s="7" t="s">
        <v>140</v>
      </c>
      <c r="B105" t="s">
        <v>138</v>
      </c>
      <c r="C105" s="7" t="s">
        <v>26</v>
      </c>
      <c r="D105" s="7"/>
      <c r="L105" s="7"/>
    </row>
    <row r="106" spans="1:12" customFormat="1">
      <c r="A106" s="7" t="s">
        <v>140</v>
      </c>
      <c r="B106" t="s">
        <v>224</v>
      </c>
      <c r="C106" s="7" t="s">
        <v>96</v>
      </c>
      <c r="D106" s="7"/>
      <c r="L106" s="7"/>
    </row>
    <row r="107" spans="1:12" customFormat="1">
      <c r="A107" s="7" t="s">
        <v>140</v>
      </c>
      <c r="B107" t="s">
        <v>225</v>
      </c>
      <c r="C107" s="7" t="s">
        <v>23</v>
      </c>
      <c r="D107" s="7"/>
      <c r="L107" s="7"/>
    </row>
    <row r="108" spans="1:12" customFormat="1">
      <c r="A108" s="7" t="s">
        <v>140</v>
      </c>
      <c r="B108" t="s">
        <v>226</v>
      </c>
      <c r="C108" s="7" t="s">
        <v>24</v>
      </c>
      <c r="D108" s="7"/>
      <c r="L108" s="7"/>
    </row>
    <row r="109" spans="1:12" customFormat="1">
      <c r="A109" s="7"/>
      <c r="C109" s="7"/>
      <c r="D109" s="7"/>
      <c r="L109" s="7"/>
    </row>
    <row r="110" spans="1:12" customFormat="1">
      <c r="A110" s="7"/>
      <c r="C110" s="7"/>
      <c r="D110" s="7"/>
      <c r="L110" s="7"/>
    </row>
    <row r="111" spans="1:12" customFormat="1">
      <c r="A111" s="7" t="s">
        <v>141</v>
      </c>
      <c r="B111" t="s">
        <v>134</v>
      </c>
      <c r="C111" s="7" t="s">
        <v>21</v>
      </c>
      <c r="D111" s="4"/>
      <c r="L111" s="7"/>
    </row>
    <row r="112" spans="1:12" customFormat="1">
      <c r="A112" s="7" t="s">
        <v>141</v>
      </c>
      <c r="B112" t="s">
        <v>135</v>
      </c>
      <c r="C112" s="7" t="s">
        <v>37</v>
      </c>
      <c r="D112" s="7"/>
      <c r="L112" s="7"/>
    </row>
    <row r="113" spans="1:12" customFormat="1">
      <c r="A113" s="7" t="s">
        <v>141</v>
      </c>
      <c r="B113" t="s">
        <v>142</v>
      </c>
      <c r="C113" s="7" t="s">
        <v>38</v>
      </c>
      <c r="D113" s="7"/>
      <c r="L113" s="7"/>
    </row>
    <row r="114" spans="1:12" customFormat="1">
      <c r="A114" s="7" t="s">
        <v>141</v>
      </c>
      <c r="B114" t="s">
        <v>227</v>
      </c>
      <c r="C114" s="7" t="s">
        <v>22</v>
      </c>
      <c r="D114" s="7"/>
      <c r="L114" s="7"/>
    </row>
    <row r="115" spans="1:12">
      <c r="A115" s="7" t="s">
        <v>141</v>
      </c>
      <c r="B115" s="7" t="s">
        <v>228</v>
      </c>
      <c r="C115" s="7" t="s">
        <v>23</v>
      </c>
      <c r="H115"/>
    </row>
    <row r="116" spans="1:12">
      <c r="A116" s="7" t="s">
        <v>141</v>
      </c>
      <c r="B116" s="7" t="s">
        <v>253</v>
      </c>
      <c r="C116" s="7" t="s">
        <v>24</v>
      </c>
      <c r="H116"/>
    </row>
  </sheetData>
  <phoneticPr fontId="2" type="noConversion"/>
  <conditionalFormatting sqref="K85:K87">
    <cfRule type="cellIs" dxfId="36" priority="1" operator="equal">
      <formula>"行動序號"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C3299-7CBC-4592-9098-C276F51BB2BD}">
  <sheetPr codeName="OptionSheet"/>
  <dimension ref="A1:J112"/>
  <sheetViews>
    <sheetView topLeftCell="A40" zoomScale="115" zoomScaleNormal="115" workbookViewId="0">
      <selection activeCell="A52" sqref="A52"/>
    </sheetView>
  </sheetViews>
  <sheetFormatPr defaultRowHeight="16.5"/>
  <cols>
    <col min="1" max="1" width="20.5" style="20" bestFit="1" customWidth="1"/>
    <col min="2" max="2" width="18.375" style="4" customWidth="1"/>
    <col min="3" max="3" width="16.5" style="4" customWidth="1"/>
    <col min="4" max="4" width="20.875" style="4" bestFit="1" customWidth="1"/>
    <col min="5" max="5" width="20.875" style="4" customWidth="1"/>
    <col min="6" max="6" width="20.875" style="4" bestFit="1" customWidth="1"/>
    <col min="7" max="7" width="13.875" style="4" bestFit="1" customWidth="1"/>
    <col min="8" max="10" width="18.625" style="4" bestFit="1" customWidth="1"/>
    <col min="11" max="16384" width="9" style="4"/>
  </cols>
  <sheetData>
    <row r="1" spans="1:10" s="5" customFormat="1" ht="19.5">
      <c r="A1" s="17" t="s">
        <v>27</v>
      </c>
      <c r="B1" s="6" t="s">
        <v>140</v>
      </c>
      <c r="C1" s="6" t="s">
        <v>141</v>
      </c>
      <c r="D1" s="8"/>
      <c r="E1" s="8"/>
      <c r="F1" s="8"/>
      <c r="G1" s="6"/>
      <c r="H1" s="8"/>
      <c r="I1" s="8"/>
      <c r="J1" s="8"/>
    </row>
    <row r="2" spans="1:10" ht="85.5">
      <c r="B2" s="20" t="s">
        <v>136</v>
      </c>
      <c r="C2" s="20" t="s">
        <v>134</v>
      </c>
      <c r="D2" s="20"/>
      <c r="G2" s="23" t="s">
        <v>229</v>
      </c>
    </row>
    <row r="3" spans="1:10">
      <c r="A3" s="20" t="s">
        <v>93</v>
      </c>
      <c r="B3" s="20" t="s">
        <v>137</v>
      </c>
      <c r="C3" s="20" t="s">
        <v>135</v>
      </c>
      <c r="D3" s="20"/>
      <c r="G3" s="9"/>
    </row>
    <row r="4" spans="1:10">
      <c r="A4" s="20" t="s">
        <v>101</v>
      </c>
      <c r="B4" s="20" t="s">
        <v>138</v>
      </c>
      <c r="C4" s="20" t="s">
        <v>230</v>
      </c>
      <c r="D4" s="20"/>
      <c r="G4" s="9"/>
      <c r="H4" s="18"/>
    </row>
    <row r="5" spans="1:10" ht="17.25" customHeight="1">
      <c r="A5" s="20" t="s">
        <v>99</v>
      </c>
      <c r="B5" s="20" t="s">
        <v>224</v>
      </c>
      <c r="C5" s="20" t="s">
        <v>227</v>
      </c>
      <c r="D5" s="20"/>
      <c r="G5" s="9"/>
    </row>
    <row r="6" spans="1:10">
      <c r="A6" s="20" t="s">
        <v>102</v>
      </c>
      <c r="B6" s="20" t="s">
        <v>225</v>
      </c>
      <c r="C6" s="20" t="s">
        <v>228</v>
      </c>
      <c r="D6" s="20"/>
      <c r="G6" s="9"/>
    </row>
    <row r="7" spans="1:10">
      <c r="A7" s="20" t="s">
        <v>48</v>
      </c>
      <c r="B7" s="20" t="s">
        <v>226</v>
      </c>
      <c r="C7" s="25" t="s">
        <v>253</v>
      </c>
      <c r="D7" s="20"/>
      <c r="G7" s="9"/>
    </row>
    <row r="8" spans="1:10">
      <c r="A8" s="20" t="s">
        <v>152</v>
      </c>
      <c r="B8" s="25"/>
      <c r="C8" s="20"/>
      <c r="D8" s="20"/>
      <c r="G8" s="9"/>
    </row>
    <row r="9" spans="1:10">
      <c r="A9" s="20" t="s">
        <v>110</v>
      </c>
      <c r="B9" s="20"/>
      <c r="C9" s="20"/>
      <c r="D9" s="20"/>
      <c r="G9" s="9"/>
    </row>
    <row r="10" spans="1:10">
      <c r="A10" s="20" t="s">
        <v>238</v>
      </c>
      <c r="B10" s="20"/>
      <c r="C10" s="20"/>
      <c r="D10" s="20"/>
      <c r="G10" s="9"/>
    </row>
    <row r="11" spans="1:10">
      <c r="A11" s="20" t="s">
        <v>153</v>
      </c>
      <c r="G11" s="9"/>
    </row>
    <row r="12" spans="1:10">
      <c r="A12" s="20" t="s">
        <v>45</v>
      </c>
      <c r="G12" s="9"/>
    </row>
    <row r="13" spans="1:10">
      <c r="A13" s="20" t="s">
        <v>103</v>
      </c>
      <c r="G13" s="9"/>
    </row>
    <row r="14" spans="1:10">
      <c r="A14" s="20" t="s">
        <v>104</v>
      </c>
      <c r="C14" s="9"/>
      <c r="G14" s="9"/>
    </row>
    <row r="15" spans="1:10">
      <c r="A15" s="20" t="s">
        <v>130</v>
      </c>
      <c r="G15" s="9"/>
    </row>
    <row r="16" spans="1:10">
      <c r="A16" s="20" t="s">
        <v>131</v>
      </c>
      <c r="C16"/>
      <c r="G16" s="9"/>
    </row>
    <row r="17" spans="1:7">
      <c r="A17" s="20" t="s">
        <v>154</v>
      </c>
      <c r="C17"/>
      <c r="G17" s="9"/>
    </row>
    <row r="18" spans="1:7">
      <c r="C18"/>
      <c r="G18" s="9"/>
    </row>
    <row r="19" spans="1:7">
      <c r="C19"/>
      <c r="G19" s="9"/>
    </row>
    <row r="20" spans="1:7">
      <c r="A20" s="20" t="s">
        <v>143</v>
      </c>
      <c r="C20"/>
      <c r="G20" s="9"/>
    </row>
    <row r="21" spans="1:7">
      <c r="A21" s="20" t="s">
        <v>150</v>
      </c>
      <c r="C21"/>
      <c r="G21" s="9"/>
    </row>
    <row r="22" spans="1:7">
      <c r="A22" s="20" t="s">
        <v>126</v>
      </c>
      <c r="C22"/>
      <c r="G22" s="9"/>
    </row>
    <row r="23" spans="1:7">
      <c r="A23" s="20" t="s">
        <v>127</v>
      </c>
      <c r="C23"/>
      <c r="G23" s="9"/>
    </row>
    <row r="24" spans="1:7">
      <c r="A24" s="20" t="s">
        <v>128</v>
      </c>
      <c r="C24"/>
      <c r="G24" s="9"/>
    </row>
    <row r="25" spans="1:7" s="9" customFormat="1">
      <c r="A25" s="20" t="s">
        <v>129</v>
      </c>
      <c r="C25"/>
      <c r="F25" s="4"/>
    </row>
    <row r="26" spans="1:7">
      <c r="A26" s="20" t="s">
        <v>161</v>
      </c>
      <c r="C26"/>
      <c r="G26" s="9"/>
    </row>
    <row r="27" spans="1:7">
      <c r="A27" s="20" t="s">
        <v>163</v>
      </c>
      <c r="B27" s="9"/>
      <c r="C27"/>
      <c r="G27" s="9"/>
    </row>
    <row r="28" spans="1:7">
      <c r="C28"/>
      <c r="G28" s="9"/>
    </row>
    <row r="29" spans="1:7">
      <c r="C29"/>
      <c r="G29" s="9"/>
    </row>
    <row r="30" spans="1:7">
      <c r="A30" s="20" t="s">
        <v>29</v>
      </c>
      <c r="C30"/>
      <c r="G30" s="9"/>
    </row>
    <row r="31" spans="1:7">
      <c r="A31" s="20" t="s">
        <v>118</v>
      </c>
      <c r="C31"/>
      <c r="G31" s="9"/>
    </row>
    <row r="32" spans="1:7">
      <c r="A32" s="20" t="s">
        <v>100</v>
      </c>
      <c r="C32"/>
      <c r="G32" s="9"/>
    </row>
    <row r="33" spans="1:7">
      <c r="A33" s="20" t="s">
        <v>106</v>
      </c>
      <c r="C33"/>
      <c r="G33" s="9"/>
    </row>
    <row r="34" spans="1:7">
      <c r="A34" s="20" t="s">
        <v>105</v>
      </c>
      <c r="C34"/>
      <c r="G34" s="9"/>
    </row>
    <row r="35" spans="1:7">
      <c r="A35" s="20" t="s">
        <v>46</v>
      </c>
      <c r="C35"/>
      <c r="G35" s="9"/>
    </row>
    <row r="36" spans="1:7">
      <c r="A36" s="20" t="s">
        <v>171</v>
      </c>
      <c r="C36"/>
    </row>
    <row r="37" spans="1:7">
      <c r="A37" s="20" t="s">
        <v>173</v>
      </c>
      <c r="C37"/>
      <c r="G37" s="9"/>
    </row>
    <row r="38" spans="1:7">
      <c r="C38"/>
      <c r="G38" s="9"/>
    </row>
    <row r="39" spans="1:7">
      <c r="C39"/>
      <c r="G39" s="9"/>
    </row>
    <row r="40" spans="1:7">
      <c r="A40" s="20" t="s">
        <v>35</v>
      </c>
      <c r="C40"/>
      <c r="G40" s="9"/>
    </row>
    <row r="41" spans="1:7">
      <c r="A41" s="20" t="s">
        <v>97</v>
      </c>
      <c r="C41"/>
      <c r="G41" s="9"/>
    </row>
    <row r="42" spans="1:7">
      <c r="A42" s="20" t="s">
        <v>107</v>
      </c>
      <c r="C42"/>
      <c r="G42" s="9"/>
    </row>
    <row r="43" spans="1:7">
      <c r="A43" s="25" t="s">
        <v>231</v>
      </c>
      <c r="C43"/>
      <c r="G43" s="9"/>
    </row>
    <row r="44" spans="1:7">
      <c r="C44"/>
      <c r="G44" s="9"/>
    </row>
    <row r="45" spans="1:7">
      <c r="C45"/>
      <c r="G45" s="9"/>
    </row>
    <row r="46" spans="1:7">
      <c r="A46" s="20" t="s">
        <v>98</v>
      </c>
      <c r="C46"/>
      <c r="G46" s="9"/>
    </row>
    <row r="47" spans="1:7">
      <c r="A47" s="20" t="s">
        <v>116</v>
      </c>
      <c r="C47"/>
      <c r="G47" s="9"/>
    </row>
    <row r="48" spans="1:7">
      <c r="A48" s="20" t="s">
        <v>133</v>
      </c>
      <c r="C48"/>
      <c r="G48" s="9"/>
    </row>
    <row r="49" spans="1:8">
      <c r="A49" s="20" t="s">
        <v>181</v>
      </c>
      <c r="C49"/>
      <c r="G49" s="9"/>
    </row>
    <row r="50" spans="1:8">
      <c r="A50" s="26" t="s">
        <v>249</v>
      </c>
      <c r="C50"/>
      <c r="G50" s="9"/>
    </row>
    <row r="51" spans="1:8">
      <c r="A51" s="26" t="s">
        <v>254</v>
      </c>
      <c r="C51"/>
      <c r="G51" s="9"/>
    </row>
    <row r="52" spans="1:8">
      <c r="A52" s="26"/>
      <c r="C52"/>
      <c r="G52" s="9"/>
    </row>
    <row r="53" spans="1:8">
      <c r="C53"/>
      <c r="G53" s="9"/>
    </row>
    <row r="54" spans="1:8">
      <c r="A54" s="20" t="s">
        <v>31</v>
      </c>
      <c r="C54"/>
      <c r="G54" s="9"/>
      <c r="H54" s="10"/>
    </row>
    <row r="55" spans="1:8">
      <c r="A55" s="20" t="s">
        <v>111</v>
      </c>
      <c r="C55"/>
      <c r="G55" s="9"/>
      <c r="H55" s="11"/>
    </row>
    <row r="56" spans="1:8">
      <c r="A56" s="20" t="s">
        <v>112</v>
      </c>
      <c r="C56"/>
      <c r="G56" s="9"/>
      <c r="H56" s="11"/>
    </row>
    <row r="57" spans="1:8">
      <c r="A57" s="27" t="s">
        <v>244</v>
      </c>
      <c r="C57"/>
      <c r="G57" s="9"/>
    </row>
    <row r="58" spans="1:8">
      <c r="A58" s="20" t="s">
        <v>132</v>
      </c>
      <c r="G58" s="9"/>
    </row>
    <row r="59" spans="1:8">
      <c r="A59" s="20" t="s">
        <v>188</v>
      </c>
      <c r="G59" s="9"/>
    </row>
    <row r="60" spans="1:8">
      <c r="A60" s="20" t="s">
        <v>114</v>
      </c>
      <c r="G60" s="9"/>
    </row>
    <row r="61" spans="1:8">
      <c r="A61" s="26" t="s">
        <v>240</v>
      </c>
      <c r="G61" s="9"/>
    </row>
    <row r="62" spans="1:8">
      <c r="A62" s="26" t="s">
        <v>242</v>
      </c>
      <c r="G62" s="9"/>
    </row>
    <row r="63" spans="1:8">
      <c r="A63" s="26" t="s">
        <v>249</v>
      </c>
      <c r="G63" s="9"/>
    </row>
    <row r="64" spans="1:8">
      <c r="A64" s="26" t="s">
        <v>252</v>
      </c>
      <c r="G64" s="9"/>
    </row>
    <row r="65" spans="1:7">
      <c r="A65" s="26"/>
      <c r="G65" s="9"/>
    </row>
    <row r="66" spans="1:7">
      <c r="G66" s="9"/>
    </row>
    <row r="67" spans="1:7">
      <c r="A67" s="20" t="s">
        <v>30</v>
      </c>
      <c r="G67" s="9"/>
    </row>
    <row r="68" spans="1:7">
      <c r="A68" s="20" t="s">
        <v>115</v>
      </c>
      <c r="C68"/>
      <c r="G68" s="9"/>
    </row>
    <row r="69" spans="1:7">
      <c r="A69" s="20" t="s">
        <v>108</v>
      </c>
      <c r="C69"/>
      <c r="G69" s="9"/>
    </row>
    <row r="70" spans="1:7">
      <c r="A70" s="20" t="s">
        <v>109</v>
      </c>
      <c r="G70" s="9"/>
    </row>
    <row r="71" spans="1:7">
      <c r="G71" s="9"/>
    </row>
    <row r="72" spans="1:7">
      <c r="G72" s="9"/>
    </row>
    <row r="73" spans="1:7">
      <c r="A73" s="20" t="s">
        <v>195</v>
      </c>
    </row>
    <row r="74" spans="1:7">
      <c r="A74" s="20" t="s">
        <v>47</v>
      </c>
    </row>
    <row r="75" spans="1:7">
      <c r="A75" s="20" t="s">
        <v>117</v>
      </c>
    </row>
    <row r="76" spans="1:7">
      <c r="A76" s="20" t="s">
        <v>125</v>
      </c>
      <c r="G76" s="9"/>
    </row>
    <row r="77" spans="1:7">
      <c r="A77" s="20" t="s">
        <v>200</v>
      </c>
      <c r="G77" s="9"/>
    </row>
    <row r="78" spans="1:7">
      <c r="A78" s="20" t="s">
        <v>202</v>
      </c>
      <c r="G78" s="9"/>
    </row>
    <row r="79" spans="1:7">
      <c r="A79" s="20" t="s">
        <v>204</v>
      </c>
    </row>
    <row r="80" spans="1:7">
      <c r="A80" s="20" t="s">
        <v>206</v>
      </c>
    </row>
    <row r="83" spans="1:1">
      <c r="A83" s="20" t="s">
        <v>119</v>
      </c>
    </row>
    <row r="84" spans="1:1">
      <c r="A84" s="20" t="s">
        <v>120</v>
      </c>
    </row>
    <row r="85" spans="1:1">
      <c r="A85" s="20" t="s">
        <v>121</v>
      </c>
    </row>
    <row r="86" spans="1:1">
      <c r="A86" s="20" t="s">
        <v>122</v>
      </c>
    </row>
    <row r="87" spans="1:1">
      <c r="A87" s="20" t="s">
        <v>123</v>
      </c>
    </row>
    <row r="88" spans="1:1">
      <c r="A88" s="20" t="s">
        <v>124</v>
      </c>
    </row>
    <row r="91" spans="1:1">
      <c r="A91" s="20" t="s">
        <v>214</v>
      </c>
    </row>
    <row r="92" spans="1:1">
      <c r="A92" s="20" t="s">
        <v>216</v>
      </c>
    </row>
    <row r="93" spans="1:1">
      <c r="A93" s="20" t="s">
        <v>218</v>
      </c>
    </row>
    <row r="94" spans="1:1">
      <c r="A94" s="20" t="s">
        <v>220</v>
      </c>
    </row>
    <row r="95" spans="1:1">
      <c r="A95" s="20" t="s">
        <v>222</v>
      </c>
    </row>
    <row r="112" spans="2:2">
      <c r="B112" s="9"/>
    </row>
  </sheetData>
  <phoneticPr fontId="2" type="noConversion"/>
  <conditionalFormatting sqref="D1:F1">
    <cfRule type="duplicateValues" dxfId="35" priority="32"/>
  </conditionalFormatting>
  <conditionalFormatting sqref="G1">
    <cfRule type="duplicateValues" dxfId="34" priority="31"/>
  </conditionalFormatting>
  <conditionalFormatting sqref="H1:J1">
    <cfRule type="duplicateValues" dxfId="33" priority="30"/>
  </conditionalFormatting>
  <conditionalFormatting sqref="F1">
    <cfRule type="duplicateValues" dxfId="32" priority="29"/>
  </conditionalFormatting>
  <conditionalFormatting sqref="D1:E1">
    <cfRule type="duplicateValues" dxfId="31" priority="28"/>
  </conditionalFormatting>
  <conditionalFormatting sqref="G28">
    <cfRule type="cellIs" dxfId="30" priority="27" operator="equal">
      <formula>"行動序號"</formula>
    </cfRule>
  </conditionalFormatting>
  <conditionalFormatting sqref="G29">
    <cfRule type="cellIs" dxfId="29" priority="26" operator="equal">
      <formula>"行動序號"</formula>
    </cfRule>
  </conditionalFormatting>
  <conditionalFormatting sqref="G46">
    <cfRule type="cellIs" dxfId="28" priority="25" operator="equal">
      <formula>"行動序號"</formula>
    </cfRule>
  </conditionalFormatting>
  <conditionalFormatting sqref="G47">
    <cfRule type="cellIs" dxfId="27" priority="24" operator="equal">
      <formula>"行動序號"</formula>
    </cfRule>
  </conditionalFormatting>
  <conditionalFormatting sqref="G30:G31">
    <cfRule type="cellIs" dxfId="26" priority="23" operator="equal">
      <formula>"行動序號"</formula>
    </cfRule>
  </conditionalFormatting>
  <conditionalFormatting sqref="G32">
    <cfRule type="cellIs" dxfId="25" priority="22" operator="equal">
      <formula>"行動序號"</formula>
    </cfRule>
  </conditionalFormatting>
  <conditionalFormatting sqref="G58:G59">
    <cfRule type="cellIs" dxfId="24" priority="21" operator="equal">
      <formula>"行動序號"</formula>
    </cfRule>
  </conditionalFormatting>
  <conditionalFormatting sqref="G54:G57">
    <cfRule type="cellIs" dxfId="23" priority="20" operator="equal">
      <formula>"行動序號"</formula>
    </cfRule>
  </conditionalFormatting>
  <conditionalFormatting sqref="G17">
    <cfRule type="cellIs" dxfId="22" priority="19" operator="equal">
      <formula>"行動序號"</formula>
    </cfRule>
  </conditionalFormatting>
  <conditionalFormatting sqref="G60:G65">
    <cfRule type="cellIs" dxfId="21" priority="18" operator="equal">
      <formula>"行動序號"</formula>
    </cfRule>
  </conditionalFormatting>
  <conditionalFormatting sqref="G66:G67">
    <cfRule type="cellIs" dxfId="20" priority="17" operator="equal">
      <formula>"行動序號"</formula>
    </cfRule>
  </conditionalFormatting>
  <conditionalFormatting sqref="G76:G78">
    <cfRule type="cellIs" dxfId="19" priority="16" operator="equal">
      <formula>"行動序號"</formula>
    </cfRule>
  </conditionalFormatting>
  <conditionalFormatting sqref="A99">
    <cfRule type="cellIs" dxfId="18" priority="15" operator="equal">
      <formula>"行動序號"</formula>
    </cfRule>
  </conditionalFormatting>
  <conditionalFormatting sqref="A100">
    <cfRule type="cellIs" dxfId="17" priority="14" operator="equal">
      <formula>"行動序號"</formula>
    </cfRule>
  </conditionalFormatting>
  <conditionalFormatting sqref="A117">
    <cfRule type="cellIs" dxfId="16" priority="13" operator="equal">
      <formula>"行動序號"</formula>
    </cfRule>
  </conditionalFormatting>
  <conditionalFormatting sqref="A118">
    <cfRule type="cellIs" dxfId="15" priority="12" operator="equal">
      <formula>"行動序號"</formula>
    </cfRule>
  </conditionalFormatting>
  <conditionalFormatting sqref="A101:A102">
    <cfRule type="cellIs" dxfId="14" priority="11" operator="equal">
      <formula>"行動序號"</formula>
    </cfRule>
  </conditionalFormatting>
  <conditionalFormatting sqref="A103">
    <cfRule type="cellIs" dxfId="13" priority="10" operator="equal">
      <formula>"行動序號"</formula>
    </cfRule>
  </conditionalFormatting>
  <conditionalFormatting sqref="A127:A128">
    <cfRule type="cellIs" dxfId="12" priority="9" operator="equal">
      <formula>"行動序號"</formula>
    </cfRule>
  </conditionalFormatting>
  <conditionalFormatting sqref="A123:A126">
    <cfRule type="cellIs" dxfId="11" priority="8" operator="equal">
      <formula>"行動序號"</formula>
    </cfRule>
  </conditionalFormatting>
  <conditionalFormatting sqref="A129:A130">
    <cfRule type="cellIs" dxfId="10" priority="7" operator="equal">
      <formula>"行動序號"</formula>
    </cfRule>
  </conditionalFormatting>
  <conditionalFormatting sqref="A131:A132">
    <cfRule type="cellIs" dxfId="9" priority="6" operator="equal">
      <formula>"行動序號"</formula>
    </cfRule>
  </conditionalFormatting>
  <conditionalFormatting sqref="A141:A143">
    <cfRule type="cellIs" dxfId="8" priority="5" operator="equal">
      <formula>"行動序號"</formula>
    </cfRule>
  </conditionalFormatting>
  <conditionalFormatting sqref="A112:A1048576 A86:A87 A89:A95 A99:A110">
    <cfRule type="duplicateValues" dxfId="7" priority="4"/>
  </conditionalFormatting>
  <conditionalFormatting sqref="A111">
    <cfRule type="duplicateValues" dxfId="6" priority="3"/>
  </conditionalFormatting>
  <conditionalFormatting sqref="A72:A73">
    <cfRule type="cellIs" dxfId="5" priority="2" operator="equal">
      <formula>"行動序號"</formula>
    </cfRule>
  </conditionalFormatting>
  <conditionalFormatting sqref="A96:A97">
    <cfRule type="cellIs" dxfId="4" priority="1" operator="equal">
      <formula>"行動序號"</formula>
    </cfRule>
  </conditionalFormatting>
  <conditionalFormatting sqref="A1">
    <cfRule type="duplicateValues" dxfId="3" priority="33"/>
  </conditionalFormatting>
  <conditionalFormatting sqref="B112">
    <cfRule type="duplicateValues" dxfId="2" priority="34"/>
  </conditionalFormatting>
  <conditionalFormatting sqref="A99:A1048576 A86:A87 A89:A95">
    <cfRule type="duplicateValues" dxfId="1" priority="35"/>
  </conditionalFormatting>
  <conditionalFormatting sqref="A98">
    <cfRule type="duplicateValues" dxfId="0" priority="36"/>
  </conditionalFormatting>
  <dataValidations count="1">
    <dataValidation type="list" allowBlank="1" showInputMessage="1" showErrorMessage="1" sqref="A99 D25:E25 J25:XFD25 G50:G52 G28 A121 B25 B27" xr:uid="{B94097B9-F8F0-47DE-B9CB-53FDCC21699C}">
      <formula1>_OPTION_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B58AB-043F-4BDB-A2A3-91AC5FBE653B}">
  <sheetPr codeName="ParamTitleSheet"/>
  <dimension ref="A1:C15"/>
  <sheetViews>
    <sheetView workbookViewId="0">
      <selection activeCell="G19" sqref="G19"/>
    </sheetView>
  </sheetViews>
  <sheetFormatPr defaultRowHeight="16.5"/>
  <cols>
    <col min="1" max="2" width="18.375" bestFit="1" customWidth="1"/>
    <col min="3" max="3" width="27.25" bestFit="1" customWidth="1"/>
    <col min="4" max="4" width="16.125" bestFit="1" customWidth="1"/>
    <col min="5" max="5" width="11.625" bestFit="1" customWidth="1"/>
  </cols>
  <sheetData>
    <row r="1" spans="1:3" s="5" customFormat="1">
      <c r="A1" s="5" t="s">
        <v>1</v>
      </c>
      <c r="B1" s="5" t="s">
        <v>2</v>
      </c>
      <c r="C1" s="5" t="s">
        <v>3</v>
      </c>
    </row>
    <row r="2" spans="1:3">
      <c r="B2" s="4"/>
    </row>
    <row r="3" spans="1:3">
      <c r="B3" s="4"/>
    </row>
    <row r="4" spans="1:3">
      <c r="B4" s="4"/>
    </row>
    <row r="5" spans="1:3">
      <c r="B5" s="4"/>
    </row>
    <row r="6" spans="1:3">
      <c r="B6" s="4"/>
    </row>
    <row r="7" spans="1:3">
      <c r="B7" s="4"/>
    </row>
    <row r="8" spans="1:3">
      <c r="B8" s="4"/>
    </row>
    <row r="9" spans="1:3">
      <c r="B9" s="4"/>
    </row>
    <row r="10" spans="1:3">
      <c r="B10" s="4"/>
    </row>
    <row r="11" spans="1:3">
      <c r="B11" s="4"/>
    </row>
    <row r="12" spans="1:3">
      <c r="B12" s="4"/>
    </row>
    <row r="13" spans="1:3">
      <c r="B13" s="4"/>
    </row>
    <row r="14" spans="1:3">
      <c r="B14" s="4"/>
    </row>
    <row r="15" spans="1:3">
      <c r="B15" s="4"/>
    </row>
  </sheetData>
  <phoneticPr fontId="2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E09805-57EE-440E-9FCE-68DCDC59F5DD}">
  <sheetPr codeName="OutputSheet"/>
  <dimension ref="A1:A2"/>
  <sheetViews>
    <sheetView workbookViewId="0">
      <selection activeCell="G19" sqref="G19"/>
    </sheetView>
  </sheetViews>
  <sheetFormatPr defaultRowHeight="16.5"/>
  <cols>
    <col min="1" max="1" width="64.625" customWidth="1"/>
  </cols>
  <sheetData>
    <row r="1" spans="1:1">
      <c r="A1" s="1" t="s">
        <v>11</v>
      </c>
    </row>
    <row r="2" spans="1:1">
      <c r="A2" t="s">
        <v>20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6B237-7C16-4BBD-AD37-25B6B6D81DD9}">
  <sheetPr codeName="HelpSheet"/>
  <dimension ref="A1:A15"/>
  <sheetViews>
    <sheetView tabSelected="1" topLeftCell="A4" workbookViewId="0">
      <selection activeCell="G19" sqref="G19"/>
    </sheetView>
  </sheetViews>
  <sheetFormatPr defaultRowHeight="16.5"/>
  <cols>
    <col min="1" max="1" width="146.25" customWidth="1"/>
  </cols>
  <sheetData>
    <row r="1" spans="1:1" ht="66">
      <c r="A1" s="3" t="s">
        <v>4</v>
      </c>
    </row>
    <row r="2" spans="1:1" ht="99">
      <c r="A2" s="3" t="s">
        <v>6</v>
      </c>
    </row>
    <row r="3" spans="1:1" ht="49.5">
      <c r="A3" s="3" t="s">
        <v>5</v>
      </c>
    </row>
    <row r="4" spans="1:1" ht="82.5">
      <c r="A4" s="3" t="s">
        <v>14</v>
      </c>
    </row>
    <row r="5" spans="1:1" ht="82.5">
      <c r="A5" s="3" t="s">
        <v>7</v>
      </c>
    </row>
    <row r="6" spans="1:1" ht="66">
      <c r="A6" s="3" t="s">
        <v>12</v>
      </c>
    </row>
    <row r="7" spans="1:1">
      <c r="A7" s="2"/>
    </row>
    <row r="8" spans="1:1">
      <c r="A8" t="s">
        <v>0</v>
      </c>
    </row>
    <row r="9" spans="1:1">
      <c r="A9" t="s">
        <v>16</v>
      </c>
    </row>
    <row r="10" spans="1:1">
      <c r="A10" s="2" t="s">
        <v>8</v>
      </c>
    </row>
    <row r="11" spans="1:1" ht="82.5">
      <c r="A11" s="2" t="s">
        <v>19</v>
      </c>
    </row>
    <row r="12" spans="1:1">
      <c r="A12" s="2" t="s">
        <v>15</v>
      </c>
    </row>
    <row r="13" spans="1:1" ht="82.5">
      <c r="A13" s="2" t="s">
        <v>13</v>
      </c>
    </row>
    <row r="14" spans="1:1">
      <c r="A14" s="2" t="s">
        <v>10</v>
      </c>
    </row>
    <row r="15" spans="1:1">
      <c r="A15" t="s">
        <v>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stage7_4</vt:lpstr>
      <vt:lpstr>#ALIAS</vt:lpstr>
      <vt:lpstr>#DEFINE</vt:lpstr>
      <vt:lpstr>#OPTION</vt:lpstr>
      <vt:lpstr>#PARAM</vt:lpstr>
      <vt:lpstr>#OUTPUT</vt:lpstr>
      <vt:lpstr>#使用說明</vt:lpstr>
      <vt:lpstr>'#OPTION'!_OPTION_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WORK00</dc:creator>
  <cp:lastModifiedBy>霆豫 韓</cp:lastModifiedBy>
  <dcterms:created xsi:type="dcterms:W3CDTF">2015-05-05T13:05:01Z</dcterms:created>
  <dcterms:modified xsi:type="dcterms:W3CDTF">2025-04-16T06:38:25Z</dcterms:modified>
</cp:coreProperties>
</file>