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C751299A-4005-4D0F-81CF-ACF9FBBC056C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stage7_7Enemy" sheetId="1" r:id="rId1"/>
    <sheet name="#ALIAS" sheetId="66" r:id="rId2"/>
    <sheet name="#DEFINE" sheetId="67" r:id="rId3"/>
    <sheet name="#OPTION" sheetId="68" r:id="rId4"/>
    <sheet name="#PARAM" sheetId="69" r:id="rId5"/>
    <sheet name="#OUTPUT" sheetId="70" r:id="rId6"/>
    <sheet name="#使用說明" sheetId="71" r:id="rId7"/>
  </sheets>
  <functionGroups builtInGroupCount="19"/>
  <externalReferences>
    <externalReference r:id="rId8"/>
  </externalReferences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#REF!</definedName>
    <definedName name="一般物品">#REF!</definedName>
    <definedName name="無償商城幣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5" i="67" l="1"/>
  <c r="E94" i="67"/>
  <c r="E93" i="67"/>
  <c r="E92" i="67"/>
  <c r="E91" i="67"/>
  <c r="E88" i="67"/>
  <c r="E87" i="67"/>
  <c r="E86" i="67"/>
  <c r="E85" i="67"/>
  <c r="E84" i="67"/>
  <c r="E83" i="67"/>
  <c r="E80" i="67"/>
  <c r="E79" i="67"/>
  <c r="E78" i="67"/>
  <c r="E77" i="67"/>
  <c r="E76" i="67"/>
  <c r="E75" i="67"/>
  <c r="E74" i="67"/>
  <c r="E73" i="67"/>
  <c r="E70" i="67"/>
  <c r="E69" i="67"/>
  <c r="E68" i="67"/>
  <c r="E67" i="67"/>
  <c r="E64" i="67"/>
  <c r="E63" i="67"/>
  <c r="E62" i="67"/>
  <c r="E61" i="67"/>
  <c r="E60" i="67"/>
  <c r="E59" i="67"/>
  <c r="E58" i="67"/>
  <c r="E57" i="67"/>
  <c r="E56" i="67"/>
  <c r="E55" i="67"/>
  <c r="E54" i="67"/>
  <c r="E51" i="67"/>
  <c r="E50" i="67"/>
  <c r="E49" i="67"/>
  <c r="E48" i="67"/>
  <c r="E47" i="67"/>
  <c r="E46" i="67"/>
  <c r="E43" i="67"/>
  <c r="E42" i="67"/>
  <c r="E41" i="67"/>
  <c r="E40" i="67"/>
  <c r="E37" i="67"/>
  <c r="E36" i="67"/>
  <c r="E35" i="67"/>
  <c r="E34" i="67"/>
  <c r="E33" i="67"/>
  <c r="E32" i="67"/>
  <c r="E31" i="67"/>
  <c r="E30" i="67"/>
  <c r="E27" i="67"/>
  <c r="E26" i="67"/>
  <c r="E25" i="67"/>
  <c r="E24" i="67"/>
  <c r="E23" i="67"/>
  <c r="E22" i="67"/>
  <c r="E21" i="67"/>
  <c r="E20" i="67"/>
  <c r="E17" i="67"/>
  <c r="E16" i="67"/>
  <c r="E15" i="67"/>
  <c r="E14" i="67"/>
  <c r="E13" i="67"/>
  <c r="E12" i="67"/>
  <c r="E11" i="67"/>
  <c r="E10" i="67"/>
  <c r="E9" i="67"/>
  <c r="E8" i="67"/>
  <c r="E7" i="67"/>
  <c r="E6" i="67"/>
  <c r="E5" i="67"/>
  <c r="E4" i="67"/>
  <c r="E3" i="67"/>
  <c r="E186" i="1" l="1"/>
  <c r="E184" i="1"/>
  <c r="E183" i="1"/>
  <c r="E182" i="1"/>
  <c r="E181" i="1"/>
  <c r="O180" i="1"/>
  <c r="E180" i="1"/>
  <c r="E179" i="1"/>
  <c r="E178" i="1"/>
  <c r="E176" i="1"/>
  <c r="E174" i="1"/>
  <c r="E173" i="1"/>
  <c r="E172" i="1"/>
  <c r="E171" i="1"/>
  <c r="O170" i="1"/>
  <c r="E170" i="1"/>
  <c r="E169" i="1"/>
  <c r="E168" i="1"/>
  <c r="E166" i="1"/>
  <c r="E164" i="1"/>
  <c r="E163" i="1"/>
  <c r="E162" i="1"/>
  <c r="E161" i="1"/>
  <c r="O160" i="1"/>
  <c r="E160" i="1"/>
  <c r="E159" i="1"/>
  <c r="E158" i="1"/>
  <c r="E156" i="1"/>
  <c r="E154" i="1"/>
  <c r="E153" i="1"/>
  <c r="E152" i="1"/>
  <c r="E151" i="1"/>
  <c r="O150" i="1"/>
  <c r="E150" i="1"/>
  <c r="E149" i="1"/>
  <c r="E148" i="1"/>
  <c r="E146" i="1"/>
  <c r="E144" i="1"/>
  <c r="E143" i="1"/>
  <c r="E142" i="1"/>
  <c r="E141" i="1"/>
  <c r="O140" i="1"/>
  <c r="E140" i="1"/>
  <c r="E139" i="1"/>
  <c r="E138" i="1"/>
  <c r="E136" i="1"/>
  <c r="E134" i="1"/>
  <c r="E133" i="1"/>
  <c r="E132" i="1"/>
  <c r="E131" i="1"/>
  <c r="O130" i="1"/>
  <c r="E130" i="1"/>
  <c r="E129" i="1"/>
  <c r="E128" i="1"/>
  <c r="E126" i="1"/>
  <c r="E124" i="1"/>
  <c r="E123" i="1"/>
  <c r="E122" i="1"/>
  <c r="E121" i="1"/>
  <c r="O120" i="1"/>
  <c r="E120" i="1"/>
  <c r="E119" i="1"/>
  <c r="E118" i="1"/>
  <c r="E116" i="1"/>
  <c r="E114" i="1"/>
  <c r="E113" i="1"/>
  <c r="E112" i="1"/>
  <c r="E111" i="1"/>
  <c r="O110" i="1"/>
  <c r="E110" i="1"/>
  <c r="E109" i="1"/>
  <c r="E108" i="1"/>
  <c r="E106" i="1"/>
  <c r="E104" i="1"/>
  <c r="E103" i="1"/>
  <c r="E102" i="1"/>
  <c r="E101" i="1"/>
  <c r="O100" i="1"/>
  <c r="E100" i="1"/>
  <c r="E99" i="1"/>
  <c r="E98" i="1"/>
  <c r="E96" i="1"/>
  <c r="E94" i="1"/>
  <c r="E93" i="1"/>
  <c r="E92" i="1"/>
  <c r="E91" i="1"/>
  <c r="O90" i="1"/>
  <c r="E90" i="1"/>
  <c r="E89" i="1"/>
  <c r="E88" i="1"/>
  <c r="E86" i="1"/>
  <c r="E84" i="1"/>
  <c r="E83" i="1"/>
  <c r="E82" i="1"/>
  <c r="E81" i="1"/>
  <c r="O80" i="1"/>
  <c r="E80" i="1"/>
  <c r="E79" i="1"/>
  <c r="E78" i="1"/>
  <c r="E76" i="1"/>
  <c r="E74" i="1"/>
  <c r="E73" i="1"/>
  <c r="E72" i="1"/>
  <c r="E71" i="1"/>
  <c r="O70" i="1"/>
  <c r="E70" i="1"/>
  <c r="E69" i="1"/>
  <c r="E68" i="1"/>
  <c r="E66" i="1"/>
  <c r="E64" i="1"/>
  <c r="E63" i="1"/>
  <c r="E62" i="1"/>
  <c r="E61" i="1"/>
  <c r="O60" i="1"/>
  <c r="E60" i="1"/>
  <c r="E59" i="1"/>
  <c r="E58" i="1"/>
  <c r="E56" i="1"/>
  <c r="E54" i="1"/>
  <c r="E53" i="1"/>
  <c r="E52" i="1"/>
  <c r="E51" i="1"/>
  <c r="O50" i="1"/>
  <c r="E50" i="1"/>
  <c r="E49" i="1"/>
  <c r="E48" i="1"/>
  <c r="E46" i="1"/>
  <c r="E44" i="1"/>
  <c r="E43" i="1"/>
  <c r="E42" i="1"/>
  <c r="E41" i="1"/>
  <c r="O40" i="1"/>
  <c r="E40" i="1"/>
  <c r="E39" i="1"/>
  <c r="O38" i="1"/>
  <c r="E38" i="1"/>
  <c r="D37" i="1"/>
  <c r="D47" i="1" l="1"/>
  <c r="B37" i="1"/>
  <c r="B47" i="1" l="1"/>
  <c r="D57" i="1"/>
  <c r="D67" i="1" s="1"/>
  <c r="O48" i="1"/>
  <c r="G44" i="1"/>
  <c r="G46" i="1"/>
  <c r="O46" i="1" s="1"/>
  <c r="C37" i="1"/>
  <c r="O68" i="1" l="1"/>
  <c r="B67" i="1"/>
  <c r="O43" i="1"/>
  <c r="O39" i="1"/>
  <c r="G56" i="1"/>
  <c r="O56" i="1" s="1"/>
  <c r="G54" i="1"/>
  <c r="B57" i="1"/>
  <c r="O58" i="1"/>
  <c r="C57" i="1"/>
  <c r="D77" i="1"/>
  <c r="O44" i="1"/>
  <c r="C47" i="1"/>
  <c r="O63" i="1" l="1"/>
  <c r="O59" i="1"/>
  <c r="D87" i="1"/>
  <c r="G76" i="1"/>
  <c r="O76" i="1" s="1"/>
  <c r="G74" i="1"/>
  <c r="O54" i="1"/>
  <c r="C67" i="1"/>
  <c r="O78" i="1"/>
  <c r="B77" i="1"/>
  <c r="O53" i="1"/>
  <c r="O49" i="1"/>
  <c r="G66" i="1"/>
  <c r="O66" i="1" s="1"/>
  <c r="G64" i="1"/>
  <c r="O64" i="1" s="1"/>
  <c r="G84" i="1" l="1"/>
  <c r="O84" i="1" s="1"/>
  <c r="G86" i="1"/>
  <c r="O86" i="1" s="1"/>
  <c r="O74" i="1"/>
  <c r="C77" i="1"/>
  <c r="D97" i="1"/>
  <c r="O73" i="1"/>
  <c r="O69" i="1"/>
  <c r="B87" i="1"/>
  <c r="O88" i="1"/>
  <c r="B97" i="1" l="1"/>
  <c r="O98" i="1"/>
  <c r="D107" i="1"/>
  <c r="G94" i="1"/>
  <c r="O94" i="1" s="1"/>
  <c r="G96" i="1"/>
  <c r="O96" i="1" s="1"/>
  <c r="O79" i="1"/>
  <c r="O83" i="1"/>
  <c r="C87" i="1"/>
  <c r="E36" i="1"/>
  <c r="E28" i="1"/>
  <c r="G104" i="1" l="1"/>
  <c r="G106" i="1"/>
  <c r="O106" i="1" s="1"/>
  <c r="O93" i="1"/>
  <c r="O89" i="1"/>
  <c r="B107" i="1"/>
  <c r="O108" i="1"/>
  <c r="D117" i="1"/>
  <c r="C97" i="1"/>
  <c r="O30" i="1"/>
  <c r="O10" i="1"/>
  <c r="G116" i="1" l="1"/>
  <c r="O116" i="1" s="1"/>
  <c r="G114" i="1"/>
  <c r="O103" i="1"/>
  <c r="O99" i="1"/>
  <c r="C107" i="1"/>
  <c r="B117" i="1"/>
  <c r="O118" i="1"/>
  <c r="D127" i="1"/>
  <c r="O104" i="1"/>
  <c r="G126" i="1" l="1"/>
  <c r="O126" i="1" s="1"/>
  <c r="G124" i="1"/>
  <c r="O128" i="1"/>
  <c r="B127" i="1"/>
  <c r="C127" i="1" s="1"/>
  <c r="D137" i="1"/>
  <c r="O113" i="1"/>
  <c r="O109" i="1"/>
  <c r="C117" i="1"/>
  <c r="O114" i="1"/>
  <c r="E32" i="1"/>
  <c r="E30" i="1"/>
  <c r="O133" i="1" l="1"/>
  <c r="O129" i="1"/>
  <c r="O138" i="1"/>
  <c r="B137" i="1"/>
  <c r="C137" i="1" s="1"/>
  <c r="D147" i="1"/>
  <c r="O123" i="1"/>
  <c r="O119" i="1"/>
  <c r="O124" i="1"/>
  <c r="G136" i="1"/>
  <c r="O136" i="1" s="1"/>
  <c r="G134" i="1"/>
  <c r="O134" i="1" s="1"/>
  <c r="E29" i="1"/>
  <c r="E31" i="1"/>
  <c r="E33" i="1"/>
  <c r="E34" i="1"/>
  <c r="O143" i="1" l="1"/>
  <c r="O139" i="1"/>
  <c r="B147" i="1"/>
  <c r="O148" i="1"/>
  <c r="D157" i="1"/>
  <c r="G144" i="1"/>
  <c r="O144" i="1" s="1"/>
  <c r="G146" i="1"/>
  <c r="O146" i="1" s="1"/>
  <c r="D27" i="1"/>
  <c r="A26" i="1"/>
  <c r="B157" i="1" l="1"/>
  <c r="O158" i="1"/>
  <c r="D167" i="1"/>
  <c r="G156" i="1"/>
  <c r="O156" i="1" s="1"/>
  <c r="G154" i="1"/>
  <c r="O154" i="1" s="1"/>
  <c r="C147" i="1"/>
  <c r="O28" i="1"/>
  <c r="B27" i="1"/>
  <c r="G164" i="1" l="1"/>
  <c r="O164" i="1" s="1"/>
  <c r="G166" i="1"/>
  <c r="O166" i="1" s="1"/>
  <c r="B167" i="1"/>
  <c r="O168" i="1"/>
  <c r="D177" i="1"/>
  <c r="O153" i="1"/>
  <c r="O149" i="1"/>
  <c r="C157" i="1"/>
  <c r="G36" i="1"/>
  <c r="O36" i="1" s="1"/>
  <c r="G34" i="1"/>
  <c r="C27" i="1"/>
  <c r="O33" i="1" s="1"/>
  <c r="O34" i="1" l="1"/>
  <c r="G176" i="1"/>
  <c r="O176" i="1" s="1"/>
  <c r="G174" i="1"/>
  <c r="B177" i="1"/>
  <c r="O178" i="1"/>
  <c r="C177" i="1"/>
  <c r="O163" i="1"/>
  <c r="O159" i="1"/>
  <c r="C167" i="1"/>
  <c r="O29" i="1"/>
  <c r="O19" i="1"/>
  <c r="O18" i="1"/>
  <c r="G186" i="1" l="1"/>
  <c r="O186" i="1" s="1"/>
  <c r="G184" i="1"/>
  <c r="O184" i="1" s="1"/>
  <c r="O183" i="1"/>
  <c r="O179" i="1"/>
  <c r="O173" i="1"/>
  <c r="O169" i="1"/>
  <c r="O174" i="1"/>
</calcChain>
</file>

<file path=xl/sharedStrings.xml><?xml version="1.0" encoding="utf-8"?>
<sst xmlns="http://schemas.openxmlformats.org/spreadsheetml/2006/main" count="676" uniqueCount="253">
  <si>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</si>
  <si>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</si>
  <si>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</si>
  <si>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</si>
  <si>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</si>
  <si>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</si>
  <si>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</si>
  <si>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</si>
  <si>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</si>
  <si>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</si>
  <si>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</si>
  <si>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</si>
  <si>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</si>
  <si>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</si>
  <si>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</si>
  <si>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</si>
  <si>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</si>
  <si>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</si>
  <si>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</si>
  <si>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</si>
  <si>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</si>
  <si>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</si>
  <si>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</si>
  <si>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</si>
  <si>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</si>
  <si>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</si>
  <si>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</si>
  <si>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</si>
  <si>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</si>
  <si>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</si>
  <si>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</si>
  <si>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</si>
  <si>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</si>
  <si>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</si>
  <si>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</si>
  <si>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</si>
  <si>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</si>
  <si>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</si>
  <si>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</si>
  <si>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</si>
  <si>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</si>
  <si>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</si>
  <si>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</si>
  <si>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</si>
  <si>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</si>
  <si>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</si>
  <si>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PreLayerNo</t>
    <phoneticPr fontId="2" type="noConversion"/>
  </si>
  <si>
    <t>HP</t>
  </si>
  <si>
    <t>無敵</t>
  </si>
  <si>
    <t>BOSS</t>
  </si>
  <si>
    <t>順序</t>
    <phoneticPr fontId="2" type="noConversion"/>
  </si>
  <si>
    <t>ParamFormat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</si>
  <si>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</si>
  <si>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</si>
  <si>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</si>
  <si>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</si>
  <si>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</si>
  <si>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</si>
  <si>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</si>
  <si>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</si>
  <si>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</si>
  <si>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</si>
  <si>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</si>
  <si>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</si>
  <si>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</si>
  <si>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</si>
  <si>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</si>
  <si>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</si>
  <si>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</si>
  <si>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</si>
  <si>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</si>
  <si>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</si>
  <si>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</si>
  <si>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</si>
  <si>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</si>
  <si>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</si>
  <si>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</si>
  <si>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</si>
  <si>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</si>
  <si>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</si>
  <si>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</si>
  <si>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</si>
  <si>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</si>
  <si>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</si>
  <si>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</si>
  <si>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</si>
  <si>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</si>
  <si>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</si>
  <si>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</si>
  <si>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</si>
  <si>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</si>
  <si>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</si>
  <si>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</si>
  <si>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</si>
  <si>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</si>
  <si>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</si>
  <si>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</si>
  <si>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</si>
  <si>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</si>
  <si>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</si>
  <si>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</si>
  <si>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</si>
  <si>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</si>
  <si>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</si>
  <si>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</si>
  <si>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</si>
  <si>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</si>
  <si>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</si>
  <si>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</si>
  <si>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</si>
  <si>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</si>
  <si>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</si>
  <si>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</si>
  <si>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</si>
  <si>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</si>
  <si>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</si>
  <si>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</si>
  <si>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</si>
  <si>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</si>
  <si>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</si>
  <si>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</si>
  <si>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</si>
  <si>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</si>
  <si>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</si>
  <si>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</si>
  <si>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</si>
  <si>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</si>
  <si>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</si>
  <si>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</si>
  <si>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</si>
  <si>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</si>
  <si>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</si>
  <si>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</si>
  <si>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</si>
  <si>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</si>
  <si>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</si>
  <si>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</si>
  <si>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</si>
  <si>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</si>
  <si>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</si>
  <si>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</si>
  <si>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</si>
  <si>
    <t>PosParamType</t>
    <phoneticPr fontId="2" type="noConversion"/>
  </si>
  <si>
    <t>AngleParamType</t>
    <phoneticPr fontId="2" type="noConversion"/>
  </si>
  <si>
    <t>新參照位置12</t>
    <phoneticPr fontId="2" type="noConversion"/>
  </si>
  <si>
    <t>啟動依ID</t>
  </si>
  <si>
    <t>啟動依遊戲時間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</si>
  <si>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</si>
  <si>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</si>
  <si>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</si>
  <si>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</si>
  <si>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</si>
  <si>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</si>
  <si>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</si>
  <si>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</si>
  <si>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</si>
  <si>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</si>
  <si>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</si>
  <si>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</si>
  <si>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</si>
  <si>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</si>
  <si>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</si>
  <si>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</si>
  <si>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</si>
  <si>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</si>
  <si>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</si>
  <si>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</si>
  <si>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</si>
  <si>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</si>
  <si>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</si>
  <si>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</si>
  <si>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</si>
  <si>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</si>
  <si>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</si>
  <si>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</si>
  <si>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</si>
  <si>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</si>
  <si>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</si>
  <si>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</si>
  <si>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</si>
  <si>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</si>
  <si>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</si>
  <si>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</si>
  <si>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</si>
  <si>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</si>
  <si>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</si>
  <si>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</si>
  <si>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</si>
  <si>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</si>
  <si>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</si>
  <si>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</si>
  <si>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</si>
  <si>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</si>
  <si>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</si>
  <si>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</si>
  <si>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</si>
  <si>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</si>
  <si>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</si>
  <si>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</si>
  <si>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</si>
  <si>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</si>
  <si>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</si>
  <si>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</si>
  <si>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</si>
  <si>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</si>
  <si>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</si>
  <si>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</si>
  <si>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</si>
  <si>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</si>
  <si>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</si>
  <si>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</si>
  <si>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</si>
  <si>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</si>
  <si>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</si>
  <si>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</si>
  <si>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</si>
  <si>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</si>
  <si>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</si>
  <si>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</si>
  <si>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</si>
  <si>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</si>
  <si>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</si>
  <si>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</si>
  <si>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</si>
  <si>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</si>
  <si>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</si>
  <si>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</si>
  <si>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</si>
  <si>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</si>
  <si>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</si>
  <si>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</si>
  <si>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</si>
  <si>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</si>
  <si>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</si>
  <si>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</si>
  <si>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</si>
  <si>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</si>
  <si>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0,6</t>
    <phoneticPr fontId="2" type="noConversion"/>
  </si>
  <si>
    <t>EnemyStar1_blue</t>
    <phoneticPr fontId="2" type="noConversion"/>
  </si>
  <si>
    <t>EnemyCross_blue</t>
  </si>
  <si>
    <t>EnemyCross_blue</t>
    <phoneticPr fontId="2" type="noConversion"/>
  </si>
  <si>
    <t>-6</t>
  </si>
  <si>
    <t>-6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</si>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</sst>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176" fontId="29" fillId="24" borderId="0" xfId="0" applyNumberFormat="1" applyFont="1" applyFill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cook-win\STG%20project\Assets\Setting\Stage7_Normal\stage7_9&#32066;boss%20-%20&#31526;5&#23376;&#24392;2.xlsm" TargetMode="External"/><Relationship Id="rId1" Type="http://schemas.openxmlformats.org/officeDocument/2006/relationships/externalLinkPath" Target="stage7_9&#32066;boss%20-%20&#31526;5&#23376;&#24392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ge7_card5shot2"/>
      <sheetName val="#ALIAS"/>
      <sheetName val="#DEFINE"/>
      <sheetName val="#OPTION"/>
      <sheetName val="#PARAM"/>
      <sheetName val="#OUTPUT"/>
      <sheetName val="#使用說明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186"/>
  <sheetViews>
    <sheetView zoomScale="130" zoomScaleNormal="130" workbookViewId="0">
      <pane ySplit="1" topLeftCell="A22" activePane="bottomLeft" state="frozen"/>
      <selection pane="bottomLeft" activeCell="N34" sqref="N34"/>
    </sheetView>
  </sheetViews>
  <sheetFormatPr defaultRowHeight="19.5"/>
  <cols>
    <col min="1" max="4" width="4.125" style="22" customWidth="1"/>
    <col min="5" max="5" width="9" style="9"/>
    <col min="6" max="6" width="16.125" style="9" bestFit="1" customWidth="1"/>
    <col min="7" max="10" width="7.375" style="23" customWidth="1"/>
    <col min="11" max="11" width="16" style="9" customWidth="1"/>
    <col min="12" max="12" width="22.375" style="9" customWidth="1"/>
    <col min="13" max="13" width="14.625" style="9" bestFit="1" customWidth="1"/>
    <col min="14" max="14" width="12.625" style="9" bestFit="1" customWidth="1"/>
    <col min="15" max="15" width="24.375" style="23" bestFit="1" customWidth="1"/>
    <col min="16" max="16" width="16.125" style="9" bestFit="1" customWidth="1"/>
    <col min="17" max="17" width="12.625" style="9" bestFit="1" customWidth="1"/>
    <col min="18" max="18" width="13.875" style="9" bestFit="1" customWidth="1"/>
    <col min="19" max="19" width="9" style="9"/>
    <col min="20" max="20" width="8" style="9" bestFit="1" customWidth="1"/>
    <col min="21" max="21" width="9.25" style="12" bestFit="1" customWidth="1"/>
    <col min="22" max="22" width="13.875" style="9" bestFit="1" customWidth="1"/>
    <col min="23" max="23" width="13.25" style="9" bestFit="1" customWidth="1"/>
    <col min="24" max="24" width="10.5" style="12" bestFit="1" customWidth="1"/>
    <col min="25" max="25" width="16.125" style="12" bestFit="1" customWidth="1"/>
    <col min="26" max="26" width="16.125" style="12" customWidth="1"/>
    <col min="27" max="28" width="16.125" style="15" bestFit="1" customWidth="1"/>
    <col min="29" max="33" width="13.25" style="15" bestFit="1" customWidth="1"/>
    <col min="34" max="35" width="13.25" style="16" bestFit="1" customWidth="1"/>
    <col min="36" max="62" width="14.625" style="16" bestFit="1" customWidth="1"/>
    <col min="63" max="16384" width="9" style="9"/>
  </cols>
  <sheetData>
    <row r="1" spans="1:58" s="17" customFormat="1">
      <c r="A1" s="21"/>
      <c r="B1" s="21"/>
      <c r="C1" s="21"/>
      <c r="D1" s="21"/>
      <c r="E1" s="17" t="s">
        <v>50</v>
      </c>
      <c r="F1" s="19" t="s">
        <v>27</v>
      </c>
      <c r="G1" s="23"/>
      <c r="H1" s="23"/>
      <c r="I1" s="23"/>
      <c r="J1" s="23"/>
      <c r="K1" s="17" t="s">
        <v>142</v>
      </c>
      <c r="L1" s="17" t="s">
        <v>143</v>
      </c>
      <c r="M1" s="17" t="s">
        <v>51</v>
      </c>
      <c r="N1" s="6" t="s">
        <v>46</v>
      </c>
      <c r="O1" s="23" t="s">
        <v>96</v>
      </c>
      <c r="P1" s="6" t="s">
        <v>97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  <c r="BE1" s="6" t="s">
        <v>93</v>
      </c>
      <c r="BF1" s="6" t="s">
        <v>94</v>
      </c>
    </row>
    <row r="2" spans="1:58">
      <c r="E2" s="4"/>
    </row>
    <row r="3" spans="1:58">
      <c r="E3" s="4"/>
    </row>
    <row r="4" spans="1:58">
      <c r="E4" s="4"/>
    </row>
    <row r="5" spans="1:58">
      <c r="E5" s="4"/>
    </row>
    <row r="6" spans="1:58">
      <c r="E6" s="4"/>
    </row>
    <row r="7" spans="1:58">
      <c r="E7" s="4"/>
    </row>
    <row r="8" spans="1:58">
      <c r="A8" s="23"/>
      <c r="B8" s="9"/>
      <c r="C8" s="9"/>
      <c r="D8" s="9"/>
      <c r="E8" s="4"/>
    </row>
    <row r="9" spans="1:58">
      <c r="A9" s="9"/>
      <c r="B9" s="23"/>
      <c r="C9" s="23"/>
      <c r="D9" s="23"/>
      <c r="E9" s="4"/>
    </row>
    <row r="10" spans="1:58">
      <c r="E10" s="4"/>
      <c r="F10" s="9" t="s">
        <v>95</v>
      </c>
      <c r="G10" s="23">
        <v>1</v>
      </c>
      <c r="H10" s="23">
        <v>1</v>
      </c>
      <c r="J10" s="23">
        <v>13100</v>
      </c>
      <c r="O10" s="23">
        <f>J10+D9</f>
        <v>13100</v>
      </c>
    </row>
    <row r="11" spans="1:58">
      <c r="E11" s="4"/>
      <c r="F11" s="9" t="s">
        <v>146</v>
      </c>
      <c r="H11" s="9"/>
      <c r="O11" s="23">
        <v>4600</v>
      </c>
    </row>
    <row r="12" spans="1:58">
      <c r="E12" s="4"/>
      <c r="F12" s="9" t="s">
        <v>35</v>
      </c>
      <c r="O12" s="23">
        <v>500</v>
      </c>
    </row>
    <row r="13" spans="1:58">
      <c r="E13" s="4"/>
      <c r="F13" s="9" t="s">
        <v>29</v>
      </c>
      <c r="O13" s="23" t="s">
        <v>238</v>
      </c>
    </row>
    <row r="14" spans="1:58">
      <c r="E14" s="4"/>
      <c r="F14" s="9" t="s">
        <v>47</v>
      </c>
      <c r="O14" s="23">
        <v>800</v>
      </c>
    </row>
    <row r="15" spans="1:58">
      <c r="E15" s="4"/>
      <c r="F15" s="9" t="s">
        <v>100</v>
      </c>
      <c r="H15" s="9"/>
      <c r="I15" s="9"/>
      <c r="J15" s="9"/>
      <c r="K15" s="9" t="s">
        <v>138</v>
      </c>
      <c r="O15" s="23" t="s">
        <v>237</v>
      </c>
    </row>
    <row r="16" spans="1:58">
      <c r="E16" s="4"/>
      <c r="F16" s="9" t="s">
        <v>122</v>
      </c>
      <c r="I16" s="9"/>
      <c r="K16" s="9" t="s">
        <v>139</v>
      </c>
      <c r="O16" s="23">
        <v>5</v>
      </c>
    </row>
    <row r="17" spans="1:15">
      <c r="E17" s="4"/>
      <c r="F17" s="9" t="s">
        <v>121</v>
      </c>
      <c r="O17" s="23">
        <v>120</v>
      </c>
    </row>
    <row r="18" spans="1:15">
      <c r="E18" s="4"/>
      <c r="F18" s="9" t="s">
        <v>103</v>
      </c>
      <c r="O18" s="23">
        <f>O10*10+1</f>
        <v>131001</v>
      </c>
    </row>
    <row r="19" spans="1:15">
      <c r="E19" s="4"/>
      <c r="F19" s="9" t="s">
        <v>145</v>
      </c>
      <c r="O19" s="23">
        <f>O10</f>
        <v>13100</v>
      </c>
    </row>
    <row r="20" spans="1:15">
      <c r="E20" s="4"/>
      <c r="F20" s="9" t="s">
        <v>122</v>
      </c>
      <c r="I20" s="9"/>
      <c r="K20" s="9" t="s">
        <v>138</v>
      </c>
      <c r="O20" s="23" t="s">
        <v>237</v>
      </c>
    </row>
    <row r="21" spans="1:15">
      <c r="E21" s="4"/>
      <c r="F21" s="9" t="s">
        <v>121</v>
      </c>
      <c r="O21" s="23">
        <v>120</v>
      </c>
    </row>
    <row r="22" spans="1:15">
      <c r="E22" s="4"/>
    </row>
    <row r="23" spans="1:15">
      <c r="E23" s="4"/>
    </row>
    <row r="24" spans="1:15">
      <c r="E24" s="4"/>
    </row>
    <row r="25" spans="1:15">
      <c r="E25" s="4"/>
      <c r="G25" s="9"/>
      <c r="H25" s="9"/>
      <c r="I25" s="25"/>
      <c r="J25" s="9"/>
    </row>
    <row r="26" spans="1:15">
      <c r="A26" s="23">
        <f>G28*H28</f>
        <v>16</v>
      </c>
      <c r="B26" s="9"/>
      <c r="C26" s="9"/>
      <c r="D26" s="9"/>
      <c r="E26" s="4"/>
    </row>
    <row r="27" spans="1:15">
      <c r="A27" s="9" t="s">
        <v>229</v>
      </c>
      <c r="B27" s="23">
        <f>QUOTIENT( D27-1,G28)+1</f>
        <v>1</v>
      </c>
      <c r="C27" s="23">
        <f>D27-(B27-1)*G28</f>
        <v>1</v>
      </c>
      <c r="D27" s="23">
        <f>COUNT($D$26:$D26)+1</f>
        <v>1</v>
      </c>
      <c r="E27" s="4"/>
    </row>
    <row r="28" spans="1:15">
      <c r="E28" s="4">
        <f t="shared" ref="E28:E94" si="0">ROW(E28)</f>
        <v>28</v>
      </c>
      <c r="F28" s="9" t="s">
        <v>95</v>
      </c>
      <c r="G28" s="23">
        <v>8</v>
      </c>
      <c r="H28" s="23">
        <v>2</v>
      </c>
      <c r="J28" s="23">
        <v>13200</v>
      </c>
      <c r="O28" s="23">
        <f>J28+D27</f>
        <v>13201</v>
      </c>
    </row>
    <row r="29" spans="1:15">
      <c r="E29" s="4">
        <f t="shared" si="0"/>
        <v>29</v>
      </c>
      <c r="F29" s="9" t="s">
        <v>146</v>
      </c>
      <c r="G29" s="23">
        <v>4300</v>
      </c>
      <c r="H29" s="23">
        <v>100</v>
      </c>
      <c r="O29" s="23">
        <f>G29+H29*(C27-1)</f>
        <v>4300</v>
      </c>
    </row>
    <row r="30" spans="1:15">
      <c r="E30" s="4">
        <f t="shared" si="0"/>
        <v>30</v>
      </c>
      <c r="F30" s="9" t="s">
        <v>169</v>
      </c>
      <c r="O30" s="23">
        <f>J28</f>
        <v>13200</v>
      </c>
    </row>
    <row r="31" spans="1:15">
      <c r="E31" s="4">
        <f t="shared" si="0"/>
        <v>31</v>
      </c>
      <c r="F31" s="9" t="s">
        <v>29</v>
      </c>
      <c r="O31" s="23" t="s">
        <v>240</v>
      </c>
    </row>
    <row r="32" spans="1:15">
      <c r="E32" s="4">
        <f t="shared" si="0"/>
        <v>32</v>
      </c>
      <c r="F32" s="9" t="s">
        <v>47</v>
      </c>
      <c r="O32" s="25">
        <v>50</v>
      </c>
    </row>
    <row r="33" spans="1:15">
      <c r="E33" s="4">
        <f t="shared" si="0"/>
        <v>33</v>
      </c>
      <c r="F33" s="9" t="s">
        <v>30</v>
      </c>
      <c r="G33" s="23">
        <v>2</v>
      </c>
      <c r="H33" s="25">
        <v>0.2</v>
      </c>
      <c r="O33" s="25">
        <f>G33+H33*(C27-1)</f>
        <v>2</v>
      </c>
    </row>
    <row r="34" spans="1:15">
      <c r="E34" s="4">
        <f t="shared" si="0"/>
        <v>34</v>
      </c>
      <c r="F34" s="9" t="s">
        <v>100</v>
      </c>
      <c r="G34" s="23" t="b">
        <f>MOD(B27,2)=0</f>
        <v>0</v>
      </c>
      <c r="H34" s="9" t="s">
        <v>24</v>
      </c>
      <c r="I34" s="9" t="s">
        <v>242</v>
      </c>
      <c r="K34" s="9" t="s">
        <v>138</v>
      </c>
      <c r="O34" s="23" t="str">
        <f>IF(G34,H34,I34)&amp;","&amp;(H35-I35*(C27-1))</f>
        <v>-6,4</v>
      </c>
    </row>
    <row r="35" spans="1:15">
      <c r="E35" s="4"/>
      <c r="H35" s="23">
        <v>4</v>
      </c>
      <c r="I35" s="25">
        <v>0.6</v>
      </c>
    </row>
    <row r="36" spans="1:15">
      <c r="E36" s="4">
        <f>ROW(E36)</f>
        <v>36</v>
      </c>
      <c r="F36" s="9" t="s">
        <v>31</v>
      </c>
      <c r="G36" s="23" t="b">
        <f>MOD(B27,2)=0</f>
        <v>0</v>
      </c>
      <c r="H36" s="23">
        <v>180</v>
      </c>
      <c r="I36" s="23">
        <v>0</v>
      </c>
      <c r="L36" s="9" t="s">
        <v>136</v>
      </c>
      <c r="O36" s="23">
        <f>IF(G36,H36,I36)</f>
        <v>0</v>
      </c>
    </row>
    <row r="37" spans="1:15">
      <c r="A37" s="22" t="s">
        <v>229</v>
      </c>
      <c r="B37" s="22">
        <f t="shared" ref="B37" si="1">QUOTIENT( D37-1,G38)+1</f>
        <v>1</v>
      </c>
      <c r="C37" s="22">
        <f t="shared" ref="C37" si="2">D37-(B37-1)*G38</f>
        <v>2</v>
      </c>
      <c r="D37" s="22">
        <f>COUNT($D$26:$D36)+1</f>
        <v>2</v>
      </c>
    </row>
    <row r="38" spans="1:15">
      <c r="E38" s="4">
        <f t="shared" si="0"/>
        <v>38</v>
      </c>
      <c r="F38" s="9" t="s">
        <v>95</v>
      </c>
      <c r="G38" s="23">
        <v>8</v>
      </c>
      <c r="H38" s="23">
        <v>2</v>
      </c>
      <c r="J38" s="23">
        <v>13200</v>
      </c>
      <c r="O38" s="23">
        <f t="shared" ref="O38" si="3">J38+D37</f>
        <v>13202</v>
      </c>
    </row>
    <row r="39" spans="1:15">
      <c r="E39" s="9">
        <f t="shared" si="0"/>
        <v>39</v>
      </c>
      <c r="F39" s="9" t="s">
        <v>146</v>
      </c>
      <c r="G39" s="23">
        <v>4300</v>
      </c>
      <c r="H39" s="23">
        <v>100</v>
      </c>
      <c r="O39" s="23">
        <f t="shared" ref="O39" si="4">G39+H39*(C37-1)</f>
        <v>4400</v>
      </c>
    </row>
    <row r="40" spans="1:15">
      <c r="E40" s="9">
        <f t="shared" si="0"/>
        <v>40</v>
      </c>
      <c r="F40" s="9" t="s">
        <v>169</v>
      </c>
      <c r="O40" s="23">
        <f t="shared" ref="O40" si="5">J38</f>
        <v>13200</v>
      </c>
    </row>
    <row r="41" spans="1:15">
      <c r="E41" s="9">
        <f t="shared" si="0"/>
        <v>41</v>
      </c>
      <c r="F41" s="9" t="s">
        <v>29</v>
      </c>
      <c r="O41" s="23" t="s">
        <v>239</v>
      </c>
    </row>
    <row r="42" spans="1:15">
      <c r="E42" s="9">
        <f t="shared" si="0"/>
        <v>42</v>
      </c>
      <c r="F42" s="9" t="s">
        <v>47</v>
      </c>
      <c r="O42" s="23">
        <v>50</v>
      </c>
    </row>
    <row r="43" spans="1:15">
      <c r="E43" s="9">
        <f t="shared" si="0"/>
        <v>43</v>
      </c>
      <c r="F43" s="9" t="s">
        <v>30</v>
      </c>
      <c r="G43" s="23">
        <v>2</v>
      </c>
      <c r="H43" s="23">
        <v>0.2</v>
      </c>
      <c r="O43" s="25">
        <f t="shared" ref="O43" si="6">G43+H43*(C37-1)</f>
        <v>2.2000000000000002</v>
      </c>
    </row>
    <row r="44" spans="1:15">
      <c r="E44" s="9">
        <f t="shared" si="0"/>
        <v>44</v>
      </c>
      <c r="F44" s="9" t="s">
        <v>100</v>
      </c>
      <c r="G44" s="23" t="b">
        <f t="shared" ref="G44" si="7">MOD(B37,2)=0</f>
        <v>0</v>
      </c>
      <c r="H44" s="23" t="s">
        <v>32</v>
      </c>
      <c r="I44" s="23" t="s">
        <v>241</v>
      </c>
      <c r="K44" s="9" t="s">
        <v>138</v>
      </c>
      <c r="O44" s="23" t="str">
        <f t="shared" ref="O44" si="8">IF(G44,H44,I44)&amp;","&amp;(H45-I45*(C37-1))</f>
        <v>-6,3.4</v>
      </c>
    </row>
    <row r="45" spans="1:15">
      <c r="H45" s="23">
        <v>4</v>
      </c>
      <c r="I45" s="23">
        <v>0.6</v>
      </c>
    </row>
    <row r="46" spans="1:15">
      <c r="E46" s="9">
        <f t="shared" ref="E46" si="9">ROW(E46)</f>
        <v>46</v>
      </c>
      <c r="F46" s="9" t="s">
        <v>31</v>
      </c>
      <c r="G46" s="23" t="b">
        <f t="shared" ref="G46" si="10">MOD(B37,2)=0</f>
        <v>0</v>
      </c>
      <c r="H46" s="23">
        <v>180</v>
      </c>
      <c r="I46" s="23">
        <v>0</v>
      </c>
      <c r="L46" s="9" t="s">
        <v>136</v>
      </c>
      <c r="O46" s="23">
        <f t="shared" ref="O46" si="11">IF(G46,H46,I46)</f>
        <v>0</v>
      </c>
    </row>
    <row r="47" spans="1:15">
      <c r="A47" s="22" t="s">
        <v>229</v>
      </c>
      <c r="B47" s="22">
        <f t="shared" ref="B47" si="12">QUOTIENT( D47-1,G48)+1</f>
        <v>1</v>
      </c>
      <c r="C47" s="22">
        <f t="shared" ref="C47" si="13">D47-(B47-1)*G48</f>
        <v>3</v>
      </c>
      <c r="D47" s="22">
        <f>COUNT($D$26:$D46)+1</f>
        <v>3</v>
      </c>
    </row>
    <row r="48" spans="1:15">
      <c r="E48" s="9">
        <f t="shared" si="0"/>
        <v>48</v>
      </c>
      <c r="F48" s="9" t="s">
        <v>95</v>
      </c>
      <c r="G48" s="23">
        <v>8</v>
      </c>
      <c r="H48" s="23">
        <v>2</v>
      </c>
      <c r="J48" s="23">
        <v>13200</v>
      </c>
      <c r="O48" s="23">
        <f t="shared" ref="O48" si="14">J48+D47</f>
        <v>13203</v>
      </c>
    </row>
    <row r="49" spans="1:15">
      <c r="E49" s="9">
        <f t="shared" si="0"/>
        <v>49</v>
      </c>
      <c r="F49" s="9" t="s">
        <v>146</v>
      </c>
      <c r="G49" s="23">
        <v>4300</v>
      </c>
      <c r="H49" s="23">
        <v>100</v>
      </c>
      <c r="O49" s="23">
        <f t="shared" ref="O49" si="15">G49+H49*(C47-1)</f>
        <v>4500</v>
      </c>
    </row>
    <row r="50" spans="1:15">
      <c r="E50" s="9">
        <f t="shared" si="0"/>
        <v>50</v>
      </c>
      <c r="F50" s="9" t="s">
        <v>169</v>
      </c>
      <c r="O50" s="23">
        <f t="shared" ref="O50" si="16">J48</f>
        <v>13200</v>
      </c>
    </row>
    <row r="51" spans="1:15">
      <c r="E51" s="9">
        <f t="shared" si="0"/>
        <v>51</v>
      </c>
      <c r="F51" s="9" t="s">
        <v>29</v>
      </c>
      <c r="O51" s="23" t="s">
        <v>239</v>
      </c>
    </row>
    <row r="52" spans="1:15">
      <c r="E52" s="9">
        <f t="shared" si="0"/>
        <v>52</v>
      </c>
      <c r="F52" s="9" t="s">
        <v>47</v>
      </c>
      <c r="O52" s="23">
        <v>50</v>
      </c>
    </row>
    <row r="53" spans="1:15">
      <c r="E53" s="9">
        <f t="shared" si="0"/>
        <v>53</v>
      </c>
      <c r="F53" s="9" t="s">
        <v>30</v>
      </c>
      <c r="G53" s="23">
        <v>2</v>
      </c>
      <c r="H53" s="23">
        <v>0.2</v>
      </c>
      <c r="O53" s="23">
        <f t="shared" ref="O53" si="17">G53+H53*(C47-1)</f>
        <v>2.4</v>
      </c>
    </row>
    <row r="54" spans="1:15">
      <c r="E54" s="9">
        <f t="shared" si="0"/>
        <v>54</v>
      </c>
      <c r="F54" s="9" t="s">
        <v>100</v>
      </c>
      <c r="G54" s="23" t="b">
        <f t="shared" ref="G54" si="18">MOD(B47,2)=0</f>
        <v>0</v>
      </c>
      <c r="H54" s="23" t="s">
        <v>32</v>
      </c>
      <c r="I54" s="23" t="s">
        <v>241</v>
      </c>
      <c r="K54" s="9" t="s">
        <v>138</v>
      </c>
      <c r="O54" s="23" t="str">
        <f t="shared" ref="O54" si="19">IF(G54,H54,I54)&amp;","&amp;(H55-I55*(C47-1))</f>
        <v>-6,2.8</v>
      </c>
    </row>
    <row r="55" spans="1:15">
      <c r="H55" s="23">
        <v>4</v>
      </c>
      <c r="I55" s="23">
        <v>0.6</v>
      </c>
    </row>
    <row r="56" spans="1:15">
      <c r="E56" s="9">
        <f t="shared" ref="E56" si="20">ROW(E56)</f>
        <v>56</v>
      </c>
      <c r="F56" s="9" t="s">
        <v>31</v>
      </c>
      <c r="G56" s="23" t="b">
        <f t="shared" ref="G56" si="21">MOD(B47,2)=0</f>
        <v>0</v>
      </c>
      <c r="H56" s="23">
        <v>180</v>
      </c>
      <c r="I56" s="23">
        <v>0</v>
      </c>
      <c r="L56" s="9" t="s">
        <v>136</v>
      </c>
      <c r="O56" s="23">
        <f t="shared" ref="O56" si="22">IF(G56,H56,I56)</f>
        <v>0</v>
      </c>
    </row>
    <row r="57" spans="1:15">
      <c r="A57" s="22" t="s">
        <v>229</v>
      </c>
      <c r="B57" s="22">
        <f t="shared" ref="B57" si="23">QUOTIENT( D57-1,G58)+1</f>
        <v>1</v>
      </c>
      <c r="C57" s="22">
        <f t="shared" ref="C57" si="24">D57-(B57-1)*G58</f>
        <v>4</v>
      </c>
      <c r="D57" s="22">
        <f>COUNT($D$26:$D56)+1</f>
        <v>4</v>
      </c>
    </row>
    <row r="58" spans="1:15">
      <c r="E58" s="9">
        <f t="shared" si="0"/>
        <v>58</v>
      </c>
      <c r="F58" s="9" t="s">
        <v>95</v>
      </c>
      <c r="G58" s="23">
        <v>8</v>
      </c>
      <c r="H58" s="23">
        <v>2</v>
      </c>
      <c r="J58" s="23">
        <v>13200</v>
      </c>
      <c r="O58" s="23">
        <f t="shared" ref="O58" si="25">J58+D57</f>
        <v>13204</v>
      </c>
    </row>
    <row r="59" spans="1:15">
      <c r="E59" s="9">
        <f t="shared" si="0"/>
        <v>59</v>
      </c>
      <c r="F59" s="9" t="s">
        <v>146</v>
      </c>
      <c r="G59" s="23">
        <v>4300</v>
      </c>
      <c r="H59" s="23">
        <v>100</v>
      </c>
      <c r="O59" s="23">
        <f t="shared" ref="O59" si="26">G59+H59*(C57-1)</f>
        <v>4600</v>
      </c>
    </row>
    <row r="60" spans="1:15">
      <c r="E60" s="9">
        <f t="shared" si="0"/>
        <v>60</v>
      </c>
      <c r="F60" s="9" t="s">
        <v>169</v>
      </c>
      <c r="O60" s="23">
        <f t="shared" ref="O60" si="27">J58</f>
        <v>13200</v>
      </c>
    </row>
    <row r="61" spans="1:15">
      <c r="E61" s="9">
        <f t="shared" si="0"/>
        <v>61</v>
      </c>
      <c r="F61" s="9" t="s">
        <v>29</v>
      </c>
      <c r="O61" s="23" t="s">
        <v>239</v>
      </c>
    </row>
    <row r="62" spans="1:15">
      <c r="E62" s="9">
        <f t="shared" si="0"/>
        <v>62</v>
      </c>
      <c r="F62" s="9" t="s">
        <v>47</v>
      </c>
      <c r="O62" s="23">
        <v>50</v>
      </c>
    </row>
    <row r="63" spans="1:15">
      <c r="E63" s="9">
        <f t="shared" si="0"/>
        <v>63</v>
      </c>
      <c r="F63" s="9" t="s">
        <v>30</v>
      </c>
      <c r="G63" s="23">
        <v>2</v>
      </c>
      <c r="H63" s="23">
        <v>0.2</v>
      </c>
      <c r="O63" s="23">
        <f t="shared" ref="O63" si="28">G63+H63*(C57-1)</f>
        <v>2.6</v>
      </c>
    </row>
    <row r="64" spans="1:15">
      <c r="E64" s="9">
        <f t="shared" si="0"/>
        <v>64</v>
      </c>
      <c r="F64" s="9" t="s">
        <v>100</v>
      </c>
      <c r="G64" s="23" t="b">
        <f t="shared" ref="G64" si="29">MOD(B57,2)=0</f>
        <v>0</v>
      </c>
      <c r="H64" s="23" t="s">
        <v>32</v>
      </c>
      <c r="I64" s="23" t="s">
        <v>241</v>
      </c>
      <c r="K64" s="9" t="s">
        <v>138</v>
      </c>
      <c r="O64" s="23" t="str">
        <f t="shared" ref="O64" si="30">IF(G64,H64,I64)&amp;","&amp;(H65-I65*(C57-1))</f>
        <v>-6,2.2</v>
      </c>
    </row>
    <row r="65" spans="1:15">
      <c r="H65" s="23">
        <v>4</v>
      </c>
      <c r="I65" s="23">
        <v>0.6</v>
      </c>
    </row>
    <row r="66" spans="1:15">
      <c r="E66" s="9">
        <f t="shared" ref="E66" si="31">ROW(E66)</f>
        <v>66</v>
      </c>
      <c r="F66" s="9" t="s">
        <v>31</v>
      </c>
      <c r="G66" s="23" t="b">
        <f t="shared" ref="G66" si="32">MOD(B57,2)=0</f>
        <v>0</v>
      </c>
      <c r="H66" s="23">
        <v>180</v>
      </c>
      <c r="I66" s="23">
        <v>0</v>
      </c>
      <c r="L66" s="9" t="s">
        <v>136</v>
      </c>
      <c r="O66" s="23">
        <f t="shared" ref="O66" si="33">IF(G66,H66,I66)</f>
        <v>0</v>
      </c>
    </row>
    <row r="67" spans="1:15">
      <c r="A67" s="22" t="s">
        <v>229</v>
      </c>
      <c r="B67" s="22">
        <f t="shared" ref="B67" si="34">QUOTIENT( D67-1,G68)+1</f>
        <v>1</v>
      </c>
      <c r="C67" s="22">
        <f t="shared" ref="C67" si="35">D67-(B67-1)*G68</f>
        <v>5</v>
      </c>
      <c r="D67" s="22">
        <f>COUNT($D$26:$D66)+1</f>
        <v>5</v>
      </c>
    </row>
    <row r="68" spans="1:15">
      <c r="E68" s="9">
        <f t="shared" si="0"/>
        <v>68</v>
      </c>
      <c r="F68" s="9" t="s">
        <v>95</v>
      </c>
      <c r="G68" s="23">
        <v>8</v>
      </c>
      <c r="H68" s="23">
        <v>2</v>
      </c>
      <c r="J68" s="23">
        <v>13200</v>
      </c>
      <c r="O68" s="23">
        <f t="shared" ref="O68" si="36">J68+D67</f>
        <v>13205</v>
      </c>
    </row>
    <row r="69" spans="1:15">
      <c r="E69" s="9">
        <f t="shared" si="0"/>
        <v>69</v>
      </c>
      <c r="F69" s="9" t="s">
        <v>146</v>
      </c>
      <c r="G69" s="23">
        <v>4300</v>
      </c>
      <c r="H69" s="23">
        <v>100</v>
      </c>
      <c r="O69" s="23">
        <f t="shared" ref="O69" si="37">G69+H69*(C67-1)</f>
        <v>4700</v>
      </c>
    </row>
    <row r="70" spans="1:15">
      <c r="E70" s="9">
        <f t="shared" si="0"/>
        <v>70</v>
      </c>
      <c r="F70" s="9" t="s">
        <v>169</v>
      </c>
      <c r="O70" s="23">
        <f t="shared" ref="O70" si="38">J68</f>
        <v>13200</v>
      </c>
    </row>
    <row r="71" spans="1:15">
      <c r="E71" s="9">
        <f t="shared" si="0"/>
        <v>71</v>
      </c>
      <c r="F71" s="9" t="s">
        <v>29</v>
      </c>
      <c r="O71" s="23" t="s">
        <v>239</v>
      </c>
    </row>
    <row r="72" spans="1:15">
      <c r="E72" s="9">
        <f t="shared" si="0"/>
        <v>72</v>
      </c>
      <c r="F72" s="9" t="s">
        <v>47</v>
      </c>
      <c r="O72" s="23">
        <v>50</v>
      </c>
    </row>
    <row r="73" spans="1:15">
      <c r="E73" s="9">
        <f t="shared" si="0"/>
        <v>73</v>
      </c>
      <c r="F73" s="9" t="s">
        <v>30</v>
      </c>
      <c r="G73" s="23">
        <v>2</v>
      </c>
      <c r="H73" s="23">
        <v>0.2</v>
      </c>
      <c r="O73" s="23">
        <f t="shared" ref="O73" si="39">G73+H73*(C67-1)</f>
        <v>2.8</v>
      </c>
    </row>
    <row r="74" spans="1:15">
      <c r="E74" s="9">
        <f t="shared" si="0"/>
        <v>74</v>
      </c>
      <c r="F74" s="9" t="s">
        <v>100</v>
      </c>
      <c r="G74" s="23" t="b">
        <f t="shared" ref="G74" si="40">MOD(B67,2)=0</f>
        <v>0</v>
      </c>
      <c r="H74" s="23" t="s">
        <v>32</v>
      </c>
      <c r="I74" s="23" t="s">
        <v>241</v>
      </c>
      <c r="K74" s="9" t="s">
        <v>138</v>
      </c>
      <c r="O74" s="23" t="str">
        <f t="shared" ref="O74" si="41">IF(G74,H74,I74)&amp;","&amp;(H75-I75*(C67-1))</f>
        <v>-6,1.6</v>
      </c>
    </row>
    <row r="75" spans="1:15">
      <c r="H75" s="23">
        <v>4</v>
      </c>
      <c r="I75" s="23">
        <v>0.6</v>
      </c>
    </row>
    <row r="76" spans="1:15">
      <c r="E76" s="9">
        <f t="shared" ref="E76" si="42">ROW(E76)</f>
        <v>76</v>
      </c>
      <c r="F76" s="9" t="s">
        <v>31</v>
      </c>
      <c r="G76" s="23" t="b">
        <f t="shared" ref="G76" si="43">MOD(B67,2)=0</f>
        <v>0</v>
      </c>
      <c r="H76" s="23">
        <v>180</v>
      </c>
      <c r="I76" s="23">
        <v>0</v>
      </c>
      <c r="L76" s="9" t="s">
        <v>136</v>
      </c>
      <c r="O76" s="23">
        <f t="shared" ref="O76" si="44">IF(G76,H76,I76)</f>
        <v>0</v>
      </c>
    </row>
    <row r="77" spans="1:15">
      <c r="A77" s="22" t="s">
        <v>229</v>
      </c>
      <c r="B77" s="22">
        <f t="shared" ref="B77" si="45">QUOTIENT( D77-1,G78)+1</f>
        <v>1</v>
      </c>
      <c r="C77" s="22">
        <f t="shared" ref="C77" si="46">D77-(B77-1)*G78</f>
        <v>6</v>
      </c>
      <c r="D77" s="22">
        <f>COUNT($D$26:$D76)+1</f>
        <v>6</v>
      </c>
    </row>
    <row r="78" spans="1:15">
      <c r="E78" s="9">
        <f t="shared" si="0"/>
        <v>78</v>
      </c>
      <c r="F78" s="9" t="s">
        <v>95</v>
      </c>
      <c r="G78" s="23">
        <v>8</v>
      </c>
      <c r="H78" s="23">
        <v>2</v>
      </c>
      <c r="J78" s="23">
        <v>13200</v>
      </c>
      <c r="O78" s="23">
        <f t="shared" ref="O78" si="47">J78+D77</f>
        <v>13206</v>
      </c>
    </row>
    <row r="79" spans="1:15">
      <c r="E79" s="9">
        <f t="shared" si="0"/>
        <v>79</v>
      </c>
      <c r="F79" s="9" t="s">
        <v>146</v>
      </c>
      <c r="G79" s="23">
        <v>4300</v>
      </c>
      <c r="H79" s="23">
        <v>100</v>
      </c>
      <c r="O79" s="23">
        <f t="shared" ref="O79" si="48">G79+H79*(C77-1)</f>
        <v>4800</v>
      </c>
    </row>
    <row r="80" spans="1:15">
      <c r="E80" s="9">
        <f t="shared" si="0"/>
        <v>80</v>
      </c>
      <c r="F80" s="9" t="s">
        <v>169</v>
      </c>
      <c r="O80" s="23">
        <f t="shared" ref="O80" si="49">J78</f>
        <v>13200</v>
      </c>
    </row>
    <row r="81" spans="1:15">
      <c r="E81" s="9">
        <f t="shared" si="0"/>
        <v>81</v>
      </c>
      <c r="F81" s="9" t="s">
        <v>29</v>
      </c>
      <c r="O81" s="23" t="s">
        <v>239</v>
      </c>
    </row>
    <row r="82" spans="1:15">
      <c r="E82" s="9">
        <f t="shared" si="0"/>
        <v>82</v>
      </c>
      <c r="F82" s="9" t="s">
        <v>47</v>
      </c>
      <c r="O82" s="23">
        <v>50</v>
      </c>
    </row>
    <row r="83" spans="1:15">
      <c r="E83" s="9">
        <f t="shared" si="0"/>
        <v>83</v>
      </c>
      <c r="F83" s="9" t="s">
        <v>30</v>
      </c>
      <c r="G83" s="23">
        <v>2</v>
      </c>
      <c r="H83" s="23">
        <v>0.2</v>
      </c>
      <c r="O83" s="23">
        <f t="shared" ref="O83" si="50">G83+H83*(C77-1)</f>
        <v>3</v>
      </c>
    </row>
    <row r="84" spans="1:15">
      <c r="E84" s="9">
        <f t="shared" si="0"/>
        <v>84</v>
      </c>
      <c r="F84" s="9" t="s">
        <v>100</v>
      </c>
      <c r="G84" s="23" t="b">
        <f t="shared" ref="G84" si="51">MOD(B77,2)=0</f>
        <v>0</v>
      </c>
      <c r="H84" s="23" t="s">
        <v>32</v>
      </c>
      <c r="I84" s="23" t="s">
        <v>241</v>
      </c>
      <c r="K84" s="9" t="s">
        <v>138</v>
      </c>
      <c r="O84" s="23" t="str">
        <f t="shared" ref="O84" si="52">IF(G84,H84,I84)&amp;","&amp;(H85-I85*(C77-1))</f>
        <v>-6,1</v>
      </c>
    </row>
    <row r="85" spans="1:15">
      <c r="H85" s="23">
        <v>4</v>
      </c>
      <c r="I85" s="23">
        <v>0.6</v>
      </c>
    </row>
    <row r="86" spans="1:15">
      <c r="E86" s="9">
        <f t="shared" ref="E86" si="53">ROW(E86)</f>
        <v>86</v>
      </c>
      <c r="F86" s="9" t="s">
        <v>31</v>
      </c>
      <c r="G86" s="23" t="b">
        <f t="shared" ref="G86" si="54">MOD(B77,2)=0</f>
        <v>0</v>
      </c>
      <c r="H86" s="23">
        <v>180</v>
      </c>
      <c r="I86" s="23">
        <v>0</v>
      </c>
      <c r="L86" s="9" t="s">
        <v>136</v>
      </c>
      <c r="O86" s="23">
        <f t="shared" ref="O86" si="55">IF(G86,H86,I86)</f>
        <v>0</v>
      </c>
    </row>
    <row r="87" spans="1:15">
      <c r="A87" s="22" t="s">
        <v>229</v>
      </c>
      <c r="B87" s="22">
        <f t="shared" ref="B87" si="56">QUOTIENT( D87-1,G88)+1</f>
        <v>1</v>
      </c>
      <c r="C87" s="22">
        <f t="shared" ref="C87" si="57">D87-(B87-1)*G88</f>
        <v>7</v>
      </c>
      <c r="D87" s="22">
        <f>COUNT($D$26:$D86)+1</f>
        <v>7</v>
      </c>
    </row>
    <row r="88" spans="1:15">
      <c r="E88" s="9">
        <f t="shared" si="0"/>
        <v>88</v>
      </c>
      <c r="F88" s="9" t="s">
        <v>95</v>
      </c>
      <c r="G88" s="23">
        <v>8</v>
      </c>
      <c r="H88" s="23">
        <v>2</v>
      </c>
      <c r="J88" s="23">
        <v>13200</v>
      </c>
      <c r="O88" s="23">
        <f t="shared" ref="O88" si="58">J88+D87</f>
        <v>13207</v>
      </c>
    </row>
    <row r="89" spans="1:15">
      <c r="E89" s="9">
        <f t="shared" si="0"/>
        <v>89</v>
      </c>
      <c r="F89" s="9" t="s">
        <v>146</v>
      </c>
      <c r="G89" s="23">
        <v>4300</v>
      </c>
      <c r="H89" s="23">
        <v>100</v>
      </c>
      <c r="O89" s="23">
        <f t="shared" ref="O89" si="59">G89+H89*(C87-1)</f>
        <v>4900</v>
      </c>
    </row>
    <row r="90" spans="1:15">
      <c r="E90" s="9">
        <f t="shared" si="0"/>
        <v>90</v>
      </c>
      <c r="F90" s="9" t="s">
        <v>169</v>
      </c>
      <c r="O90" s="23">
        <f t="shared" ref="O90" si="60">J88</f>
        <v>13200</v>
      </c>
    </row>
    <row r="91" spans="1:15">
      <c r="E91" s="9">
        <f t="shared" si="0"/>
        <v>91</v>
      </c>
      <c r="F91" s="9" t="s">
        <v>29</v>
      </c>
      <c r="O91" s="23" t="s">
        <v>239</v>
      </c>
    </row>
    <row r="92" spans="1:15">
      <c r="E92" s="9">
        <f t="shared" si="0"/>
        <v>92</v>
      </c>
      <c r="F92" s="9" t="s">
        <v>47</v>
      </c>
      <c r="O92" s="23">
        <v>50</v>
      </c>
    </row>
    <row r="93" spans="1:15">
      <c r="E93" s="9">
        <f t="shared" si="0"/>
        <v>93</v>
      </c>
      <c r="F93" s="9" t="s">
        <v>30</v>
      </c>
      <c r="G93" s="23">
        <v>2</v>
      </c>
      <c r="H93" s="23">
        <v>0.2</v>
      </c>
      <c r="O93" s="23">
        <f t="shared" ref="O93" si="61">G93+H93*(C87-1)</f>
        <v>3.2</v>
      </c>
    </row>
    <row r="94" spans="1:15">
      <c r="E94" s="9">
        <f t="shared" si="0"/>
        <v>94</v>
      </c>
      <c r="F94" s="9" t="s">
        <v>100</v>
      </c>
      <c r="G94" s="23" t="b">
        <f t="shared" ref="G94" si="62">MOD(B87,2)=0</f>
        <v>0</v>
      </c>
      <c r="H94" s="23" t="s">
        <v>32</v>
      </c>
      <c r="I94" s="23" t="s">
        <v>241</v>
      </c>
      <c r="K94" s="9" t="s">
        <v>138</v>
      </c>
      <c r="O94" s="23" t="str">
        <f t="shared" ref="O94" si="63">IF(G94,H94,I94)&amp;","&amp;(H95-I95*(C87-1))</f>
        <v>-6,0.4</v>
      </c>
    </row>
    <row r="95" spans="1:15">
      <c r="H95" s="23">
        <v>4</v>
      </c>
      <c r="I95" s="23">
        <v>0.6</v>
      </c>
    </row>
    <row r="96" spans="1:15">
      <c r="E96" s="9">
        <f t="shared" ref="E96" si="64">ROW(E96)</f>
        <v>96</v>
      </c>
      <c r="F96" s="9" t="s">
        <v>31</v>
      </c>
      <c r="G96" s="23" t="b">
        <f t="shared" ref="G96" si="65">MOD(B87,2)=0</f>
        <v>0</v>
      </c>
      <c r="H96" s="23">
        <v>180</v>
      </c>
      <c r="I96" s="23">
        <v>0</v>
      </c>
      <c r="L96" s="9" t="s">
        <v>136</v>
      </c>
      <c r="O96" s="23">
        <f t="shared" ref="O96" si="66">IF(G96,H96,I96)</f>
        <v>0</v>
      </c>
    </row>
    <row r="97" spans="1:15">
      <c r="A97" s="22" t="s">
        <v>229</v>
      </c>
      <c r="B97" s="22">
        <f t="shared" ref="B97" si="67">QUOTIENT( D97-1,G98)+1</f>
        <v>1</v>
      </c>
      <c r="C97" s="22">
        <f t="shared" ref="C97" si="68">D97-(B97-1)*G98</f>
        <v>8</v>
      </c>
      <c r="D97" s="22">
        <f>COUNT($D$26:$D96)+1</f>
        <v>8</v>
      </c>
    </row>
    <row r="98" spans="1:15">
      <c r="E98" s="9">
        <f t="shared" ref="E98:E161" si="69">ROW(E98)</f>
        <v>98</v>
      </c>
      <c r="F98" s="9" t="s">
        <v>95</v>
      </c>
      <c r="G98" s="23">
        <v>8</v>
      </c>
      <c r="H98" s="23">
        <v>2</v>
      </c>
      <c r="J98" s="23">
        <v>13200</v>
      </c>
      <c r="O98" s="23">
        <f t="shared" ref="O98" si="70">J98+D97</f>
        <v>13208</v>
      </c>
    </row>
    <row r="99" spans="1:15">
      <c r="E99" s="9">
        <f t="shared" si="69"/>
        <v>99</v>
      </c>
      <c r="F99" s="9" t="s">
        <v>146</v>
      </c>
      <c r="G99" s="23">
        <v>4300</v>
      </c>
      <c r="H99" s="23">
        <v>100</v>
      </c>
      <c r="O99" s="23">
        <f t="shared" ref="O99" si="71">G99+H99*(C97-1)</f>
        <v>5000</v>
      </c>
    </row>
    <row r="100" spans="1:15">
      <c r="E100" s="9">
        <f t="shared" si="69"/>
        <v>100</v>
      </c>
      <c r="F100" s="9" t="s">
        <v>169</v>
      </c>
      <c r="O100" s="23">
        <f t="shared" ref="O100" si="72">J98</f>
        <v>13200</v>
      </c>
    </row>
    <row r="101" spans="1:15">
      <c r="E101" s="9">
        <f t="shared" si="69"/>
        <v>101</v>
      </c>
      <c r="F101" s="9" t="s">
        <v>29</v>
      </c>
      <c r="O101" s="23" t="s">
        <v>239</v>
      </c>
    </row>
    <row r="102" spans="1:15">
      <c r="E102" s="9">
        <f t="shared" si="69"/>
        <v>102</v>
      </c>
      <c r="F102" s="9" t="s">
        <v>47</v>
      </c>
      <c r="O102" s="23">
        <v>50</v>
      </c>
    </row>
    <row r="103" spans="1:15">
      <c r="E103" s="9">
        <f t="shared" si="69"/>
        <v>103</v>
      </c>
      <c r="F103" s="9" t="s">
        <v>30</v>
      </c>
      <c r="G103" s="23">
        <v>2</v>
      </c>
      <c r="H103" s="23">
        <v>0.2</v>
      </c>
      <c r="O103" s="23">
        <f t="shared" ref="O103" si="73">G103+H103*(C97-1)</f>
        <v>3.4000000000000004</v>
      </c>
    </row>
    <row r="104" spans="1:15">
      <c r="E104" s="9">
        <f t="shared" si="69"/>
        <v>104</v>
      </c>
      <c r="F104" s="9" t="s">
        <v>100</v>
      </c>
      <c r="G104" s="23" t="b">
        <f t="shared" ref="G104" si="74">MOD(B97,2)=0</f>
        <v>0</v>
      </c>
      <c r="H104" s="23" t="s">
        <v>32</v>
      </c>
      <c r="I104" s="23" t="s">
        <v>241</v>
      </c>
      <c r="K104" s="9" t="s">
        <v>138</v>
      </c>
      <c r="O104" s="23" t="str">
        <f t="shared" ref="O104" si="75">IF(G104,H104,I104)&amp;","&amp;(H105-I105*(C97-1))</f>
        <v>-6,-0.2</v>
      </c>
    </row>
    <row r="105" spans="1:15">
      <c r="H105" s="23">
        <v>4</v>
      </c>
      <c r="I105" s="23">
        <v>0.6</v>
      </c>
    </row>
    <row r="106" spans="1:15">
      <c r="E106" s="9">
        <f t="shared" ref="E106" si="76">ROW(E106)</f>
        <v>106</v>
      </c>
      <c r="F106" s="9" t="s">
        <v>31</v>
      </c>
      <c r="G106" s="23" t="b">
        <f t="shared" ref="G106" si="77">MOD(B97,2)=0</f>
        <v>0</v>
      </c>
      <c r="H106" s="23">
        <v>180</v>
      </c>
      <c r="I106" s="23">
        <v>0</v>
      </c>
      <c r="L106" s="9" t="s">
        <v>136</v>
      </c>
      <c r="O106" s="23">
        <f t="shared" ref="O106" si="78">IF(G106,H106,I106)</f>
        <v>0</v>
      </c>
    </row>
    <row r="107" spans="1:15">
      <c r="A107" s="22" t="s">
        <v>229</v>
      </c>
      <c r="B107" s="22">
        <f t="shared" ref="B107" si="79">QUOTIENT( D107-1,G108)+1</f>
        <v>2</v>
      </c>
      <c r="C107" s="22">
        <f t="shared" ref="C107" si="80">D107-(B107-1)*G108</f>
        <v>1</v>
      </c>
      <c r="D107" s="22">
        <f>COUNT($D$26:$D106)+1</f>
        <v>9</v>
      </c>
    </row>
    <row r="108" spans="1:15">
      <c r="E108" s="9">
        <f t="shared" si="69"/>
        <v>108</v>
      </c>
      <c r="F108" s="9" t="s">
        <v>95</v>
      </c>
      <c r="G108" s="23">
        <v>8</v>
      </c>
      <c r="H108" s="23">
        <v>2</v>
      </c>
      <c r="J108" s="23">
        <v>13200</v>
      </c>
      <c r="O108" s="23">
        <f t="shared" ref="O108" si="81">J108+D107</f>
        <v>13209</v>
      </c>
    </row>
    <row r="109" spans="1:15">
      <c r="E109" s="9">
        <f t="shared" si="69"/>
        <v>109</v>
      </c>
      <c r="F109" s="9" t="s">
        <v>146</v>
      </c>
      <c r="G109" s="23">
        <v>4300</v>
      </c>
      <c r="H109" s="23">
        <v>100</v>
      </c>
      <c r="O109" s="23">
        <f t="shared" ref="O109" si="82">G109+H109*(C107-1)</f>
        <v>4300</v>
      </c>
    </row>
    <row r="110" spans="1:15">
      <c r="E110" s="9">
        <f t="shared" si="69"/>
        <v>110</v>
      </c>
      <c r="F110" s="9" t="s">
        <v>169</v>
      </c>
      <c r="O110" s="23">
        <f t="shared" ref="O110" si="83">J108</f>
        <v>13200</v>
      </c>
    </row>
    <row r="111" spans="1:15">
      <c r="E111" s="9">
        <f t="shared" si="69"/>
        <v>111</v>
      </c>
      <c r="F111" s="9" t="s">
        <v>29</v>
      </c>
      <c r="O111" s="23" t="s">
        <v>239</v>
      </c>
    </row>
    <row r="112" spans="1:15">
      <c r="E112" s="9">
        <f t="shared" si="69"/>
        <v>112</v>
      </c>
      <c r="F112" s="9" t="s">
        <v>47</v>
      </c>
      <c r="O112" s="23">
        <v>50</v>
      </c>
    </row>
    <row r="113" spans="1:15">
      <c r="E113" s="9">
        <f t="shared" si="69"/>
        <v>113</v>
      </c>
      <c r="F113" s="9" t="s">
        <v>30</v>
      </c>
      <c r="G113" s="23">
        <v>2</v>
      </c>
      <c r="H113" s="23">
        <v>0.2</v>
      </c>
      <c r="O113" s="23">
        <f t="shared" ref="O113" si="84">G113+H113*(C107-1)</f>
        <v>2</v>
      </c>
    </row>
    <row r="114" spans="1:15">
      <c r="E114" s="9">
        <f t="shared" si="69"/>
        <v>114</v>
      </c>
      <c r="F114" s="9" t="s">
        <v>100</v>
      </c>
      <c r="G114" s="23" t="b">
        <f t="shared" ref="G114" si="85">MOD(B107,2)=0</f>
        <v>1</v>
      </c>
      <c r="H114" s="23" t="s">
        <v>32</v>
      </c>
      <c r="I114" s="23" t="s">
        <v>241</v>
      </c>
      <c r="K114" s="9" t="s">
        <v>138</v>
      </c>
      <c r="O114" s="23" t="str">
        <f t="shared" ref="O114" si="86">IF(G114,H114,I114)&amp;","&amp;(H115-I115*(C107-1))</f>
        <v>6,4</v>
      </c>
    </row>
    <row r="115" spans="1:15">
      <c r="H115" s="23">
        <v>4</v>
      </c>
      <c r="I115" s="23">
        <v>0.6</v>
      </c>
    </row>
    <row r="116" spans="1:15">
      <c r="E116" s="9">
        <f t="shared" ref="E116" si="87">ROW(E116)</f>
        <v>116</v>
      </c>
      <c r="F116" s="9" t="s">
        <v>31</v>
      </c>
      <c r="G116" s="23" t="b">
        <f t="shared" ref="G116" si="88">MOD(B107,2)=0</f>
        <v>1</v>
      </c>
      <c r="H116" s="23">
        <v>180</v>
      </c>
      <c r="I116" s="23">
        <v>0</v>
      </c>
      <c r="L116" s="9" t="s">
        <v>136</v>
      </c>
      <c r="O116" s="23">
        <f t="shared" ref="O116" si="89">IF(G116,H116,I116)</f>
        <v>180</v>
      </c>
    </row>
    <row r="117" spans="1:15">
      <c r="A117" s="22" t="s">
        <v>229</v>
      </c>
      <c r="B117" s="22">
        <f t="shared" ref="B117" si="90">QUOTIENT( D117-1,G118)+1</f>
        <v>2</v>
      </c>
      <c r="C117" s="22">
        <f t="shared" ref="C117" si="91">D117-(B117-1)*G118</f>
        <v>2</v>
      </c>
      <c r="D117" s="22">
        <f>COUNT($D$26:$D116)+1</f>
        <v>10</v>
      </c>
    </row>
    <row r="118" spans="1:15">
      <c r="E118" s="9">
        <f t="shared" si="69"/>
        <v>118</v>
      </c>
      <c r="F118" s="9" t="s">
        <v>95</v>
      </c>
      <c r="G118" s="23">
        <v>8</v>
      </c>
      <c r="H118" s="23">
        <v>2</v>
      </c>
      <c r="J118" s="23">
        <v>13200</v>
      </c>
      <c r="O118" s="23">
        <f t="shared" ref="O118" si="92">J118+D117</f>
        <v>13210</v>
      </c>
    </row>
    <row r="119" spans="1:15">
      <c r="E119" s="9">
        <f t="shared" si="69"/>
        <v>119</v>
      </c>
      <c r="F119" s="9" t="s">
        <v>146</v>
      </c>
      <c r="G119" s="23">
        <v>4300</v>
      </c>
      <c r="H119" s="23">
        <v>100</v>
      </c>
      <c r="O119" s="23">
        <f t="shared" ref="O119" si="93">G119+H119*(C117-1)</f>
        <v>4400</v>
      </c>
    </row>
    <row r="120" spans="1:15">
      <c r="E120" s="9">
        <f t="shared" si="69"/>
        <v>120</v>
      </c>
      <c r="F120" s="9" t="s">
        <v>169</v>
      </c>
      <c r="O120" s="23">
        <f t="shared" ref="O120" si="94">J118</f>
        <v>13200</v>
      </c>
    </row>
    <row r="121" spans="1:15">
      <c r="E121" s="9">
        <f t="shared" si="69"/>
        <v>121</v>
      </c>
      <c r="F121" s="9" t="s">
        <v>29</v>
      </c>
      <c r="O121" s="23" t="s">
        <v>239</v>
      </c>
    </row>
    <row r="122" spans="1:15">
      <c r="E122" s="9">
        <f t="shared" si="69"/>
        <v>122</v>
      </c>
      <c r="F122" s="9" t="s">
        <v>47</v>
      </c>
      <c r="O122" s="23">
        <v>50</v>
      </c>
    </row>
    <row r="123" spans="1:15">
      <c r="E123" s="9">
        <f t="shared" si="69"/>
        <v>123</v>
      </c>
      <c r="F123" s="9" t="s">
        <v>30</v>
      </c>
      <c r="G123" s="23">
        <v>2</v>
      </c>
      <c r="H123" s="23">
        <v>0.2</v>
      </c>
      <c r="O123" s="23">
        <f t="shared" ref="O123" si="95">G123+H123*(C117-1)</f>
        <v>2.2000000000000002</v>
      </c>
    </row>
    <row r="124" spans="1:15">
      <c r="E124" s="9">
        <f t="shared" si="69"/>
        <v>124</v>
      </c>
      <c r="F124" s="9" t="s">
        <v>100</v>
      </c>
      <c r="G124" s="23" t="b">
        <f t="shared" ref="G124" si="96">MOD(B117,2)=0</f>
        <v>1</v>
      </c>
      <c r="H124" s="23" t="s">
        <v>32</v>
      </c>
      <c r="I124" s="23" t="s">
        <v>241</v>
      </c>
      <c r="K124" s="9" t="s">
        <v>138</v>
      </c>
      <c r="O124" s="23" t="str">
        <f t="shared" ref="O124" si="97">IF(G124,H124,I124)&amp;","&amp;(H125-I125*(C117-1))</f>
        <v>6,3.4</v>
      </c>
    </row>
    <row r="125" spans="1:15">
      <c r="H125" s="23">
        <v>4</v>
      </c>
      <c r="I125" s="23">
        <v>0.6</v>
      </c>
    </row>
    <row r="126" spans="1:15">
      <c r="E126" s="9">
        <f t="shared" ref="E126" si="98">ROW(E126)</f>
        <v>126</v>
      </c>
      <c r="F126" s="9" t="s">
        <v>31</v>
      </c>
      <c r="G126" s="23" t="b">
        <f t="shared" ref="G126" si="99">MOD(B117,2)=0</f>
        <v>1</v>
      </c>
      <c r="H126" s="23">
        <v>180</v>
      </c>
      <c r="I126" s="23">
        <v>0</v>
      </c>
      <c r="L126" s="9" t="s">
        <v>136</v>
      </c>
      <c r="O126" s="23">
        <f t="shared" ref="O126" si="100">IF(G126,H126,I126)</f>
        <v>180</v>
      </c>
    </row>
    <row r="127" spans="1:15">
      <c r="A127" s="22" t="s">
        <v>229</v>
      </c>
      <c r="B127" s="22">
        <f t="shared" ref="B127" si="101">QUOTIENT( D127-1,G128)+1</f>
        <v>2</v>
      </c>
      <c r="C127" s="22">
        <f t="shared" ref="C127" si="102">D127-(B127-1)*G128</f>
        <v>3</v>
      </c>
      <c r="D127" s="22">
        <f>COUNT($D$26:$D126)+1</f>
        <v>11</v>
      </c>
    </row>
    <row r="128" spans="1:15">
      <c r="E128" s="9">
        <f t="shared" si="69"/>
        <v>128</v>
      </c>
      <c r="F128" s="9" t="s">
        <v>95</v>
      </c>
      <c r="G128" s="23">
        <v>8</v>
      </c>
      <c r="H128" s="23">
        <v>2</v>
      </c>
      <c r="J128" s="23">
        <v>13200</v>
      </c>
      <c r="O128" s="23">
        <f t="shared" ref="O128" si="103">J128+D127</f>
        <v>13211</v>
      </c>
    </row>
    <row r="129" spans="1:15">
      <c r="E129" s="9">
        <f t="shared" si="69"/>
        <v>129</v>
      </c>
      <c r="F129" s="9" t="s">
        <v>146</v>
      </c>
      <c r="G129" s="23">
        <v>4300</v>
      </c>
      <c r="H129" s="23">
        <v>100</v>
      </c>
      <c r="O129" s="23">
        <f t="shared" ref="O129" si="104">G129+H129*(C127-1)</f>
        <v>4500</v>
      </c>
    </row>
    <row r="130" spans="1:15">
      <c r="E130" s="9">
        <f t="shared" si="69"/>
        <v>130</v>
      </c>
      <c r="F130" s="9" t="s">
        <v>169</v>
      </c>
      <c r="O130" s="23">
        <f t="shared" ref="O130" si="105">J128</f>
        <v>13200</v>
      </c>
    </row>
    <row r="131" spans="1:15">
      <c r="E131" s="9">
        <f t="shared" si="69"/>
        <v>131</v>
      </c>
      <c r="F131" s="9" t="s">
        <v>29</v>
      </c>
      <c r="O131" s="23" t="s">
        <v>239</v>
      </c>
    </row>
    <row r="132" spans="1:15">
      <c r="E132" s="9">
        <f t="shared" si="69"/>
        <v>132</v>
      </c>
      <c r="F132" s="9" t="s">
        <v>47</v>
      </c>
      <c r="O132" s="23">
        <v>50</v>
      </c>
    </row>
    <row r="133" spans="1:15">
      <c r="E133" s="9">
        <f t="shared" si="69"/>
        <v>133</v>
      </c>
      <c r="F133" s="9" t="s">
        <v>30</v>
      </c>
      <c r="G133" s="23">
        <v>2</v>
      </c>
      <c r="H133" s="23">
        <v>0.2</v>
      </c>
      <c r="O133" s="23">
        <f t="shared" ref="O133" si="106">G133+H133*(C127-1)</f>
        <v>2.4</v>
      </c>
    </row>
    <row r="134" spans="1:15">
      <c r="E134" s="9">
        <f t="shared" si="69"/>
        <v>134</v>
      </c>
      <c r="F134" s="9" t="s">
        <v>100</v>
      </c>
      <c r="G134" s="23" t="b">
        <f t="shared" ref="G134" si="107">MOD(B127,2)=0</f>
        <v>1</v>
      </c>
      <c r="H134" s="23" t="s">
        <v>32</v>
      </c>
      <c r="I134" s="23" t="s">
        <v>241</v>
      </c>
      <c r="K134" s="9" t="s">
        <v>138</v>
      </c>
      <c r="O134" s="23" t="str">
        <f t="shared" ref="O134" si="108">IF(G134,H134,I134)&amp;","&amp;(H135-I135*(C127-1))</f>
        <v>6,2.8</v>
      </c>
    </row>
    <row r="135" spans="1:15">
      <c r="H135" s="23">
        <v>4</v>
      </c>
      <c r="I135" s="23">
        <v>0.6</v>
      </c>
    </row>
    <row r="136" spans="1:15">
      <c r="E136" s="9">
        <f t="shared" ref="E136" si="109">ROW(E136)</f>
        <v>136</v>
      </c>
      <c r="F136" s="9" t="s">
        <v>31</v>
      </c>
      <c r="G136" s="23" t="b">
        <f t="shared" ref="G136" si="110">MOD(B127,2)=0</f>
        <v>1</v>
      </c>
      <c r="H136" s="23">
        <v>180</v>
      </c>
      <c r="I136" s="23">
        <v>0</v>
      </c>
      <c r="L136" s="9" t="s">
        <v>136</v>
      </c>
      <c r="O136" s="23">
        <f t="shared" ref="O136" si="111">IF(G136,H136,I136)</f>
        <v>180</v>
      </c>
    </row>
    <row r="137" spans="1:15">
      <c r="A137" s="22" t="s">
        <v>229</v>
      </c>
      <c r="B137" s="22">
        <f t="shared" ref="B137" si="112">QUOTIENT( D137-1,G138)+1</f>
        <v>2</v>
      </c>
      <c r="C137" s="22">
        <f t="shared" ref="C137" si="113">D137-(B137-1)*G138</f>
        <v>4</v>
      </c>
      <c r="D137" s="22">
        <f>COUNT($D$26:$D136)+1</f>
        <v>12</v>
      </c>
    </row>
    <row r="138" spans="1:15">
      <c r="E138" s="9">
        <f t="shared" si="69"/>
        <v>138</v>
      </c>
      <c r="F138" s="9" t="s">
        <v>95</v>
      </c>
      <c r="G138" s="23">
        <v>8</v>
      </c>
      <c r="H138" s="23">
        <v>2</v>
      </c>
      <c r="J138" s="23">
        <v>13200</v>
      </c>
      <c r="O138" s="23">
        <f t="shared" ref="O138" si="114">J138+D137</f>
        <v>13212</v>
      </c>
    </row>
    <row r="139" spans="1:15">
      <c r="E139" s="9">
        <f t="shared" si="69"/>
        <v>139</v>
      </c>
      <c r="F139" s="9" t="s">
        <v>146</v>
      </c>
      <c r="G139" s="23">
        <v>4300</v>
      </c>
      <c r="H139" s="23">
        <v>100</v>
      </c>
      <c r="O139" s="23">
        <f t="shared" ref="O139" si="115">G139+H139*(C137-1)</f>
        <v>4600</v>
      </c>
    </row>
    <row r="140" spans="1:15">
      <c r="E140" s="9">
        <f t="shared" si="69"/>
        <v>140</v>
      </c>
      <c r="F140" s="9" t="s">
        <v>169</v>
      </c>
      <c r="O140" s="23">
        <f t="shared" ref="O140" si="116">J138</f>
        <v>13200</v>
      </c>
    </row>
    <row r="141" spans="1:15">
      <c r="E141" s="9">
        <f t="shared" si="69"/>
        <v>141</v>
      </c>
      <c r="F141" s="9" t="s">
        <v>29</v>
      </c>
      <c r="O141" s="23" t="s">
        <v>239</v>
      </c>
    </row>
    <row r="142" spans="1:15">
      <c r="E142" s="9">
        <f t="shared" si="69"/>
        <v>142</v>
      </c>
      <c r="F142" s="9" t="s">
        <v>47</v>
      </c>
      <c r="O142" s="23">
        <v>50</v>
      </c>
    </row>
    <row r="143" spans="1:15">
      <c r="E143" s="9">
        <f t="shared" si="69"/>
        <v>143</v>
      </c>
      <c r="F143" s="9" t="s">
        <v>30</v>
      </c>
      <c r="G143" s="23">
        <v>2</v>
      </c>
      <c r="H143" s="23">
        <v>0.2</v>
      </c>
      <c r="O143" s="23">
        <f t="shared" ref="O143" si="117">G143+H143*(C137-1)</f>
        <v>2.6</v>
      </c>
    </row>
    <row r="144" spans="1:15">
      <c r="E144" s="9">
        <f t="shared" si="69"/>
        <v>144</v>
      </c>
      <c r="F144" s="9" t="s">
        <v>100</v>
      </c>
      <c r="G144" s="23" t="b">
        <f t="shared" ref="G144" si="118">MOD(B137,2)=0</f>
        <v>1</v>
      </c>
      <c r="H144" s="23" t="s">
        <v>32</v>
      </c>
      <c r="I144" s="23" t="s">
        <v>241</v>
      </c>
      <c r="K144" s="9" t="s">
        <v>138</v>
      </c>
      <c r="O144" s="23" t="str">
        <f t="shared" ref="O144" si="119">IF(G144,H144,I144)&amp;","&amp;(H145-I145*(C137-1))</f>
        <v>6,2.2</v>
      </c>
    </row>
    <row r="145" spans="1:15">
      <c r="H145" s="23">
        <v>4</v>
      </c>
      <c r="I145" s="23">
        <v>0.6</v>
      </c>
    </row>
    <row r="146" spans="1:15">
      <c r="E146" s="9">
        <f t="shared" ref="E146" si="120">ROW(E146)</f>
        <v>146</v>
      </c>
      <c r="F146" s="9" t="s">
        <v>31</v>
      </c>
      <c r="G146" s="23" t="b">
        <f t="shared" ref="G146" si="121">MOD(B137,2)=0</f>
        <v>1</v>
      </c>
      <c r="H146" s="23">
        <v>180</v>
      </c>
      <c r="I146" s="23">
        <v>0</v>
      </c>
      <c r="L146" s="9" t="s">
        <v>136</v>
      </c>
      <c r="O146" s="23">
        <f t="shared" ref="O146" si="122">IF(G146,H146,I146)</f>
        <v>180</v>
      </c>
    </row>
    <row r="147" spans="1:15">
      <c r="A147" s="22" t="s">
        <v>229</v>
      </c>
      <c r="B147" s="22">
        <f t="shared" ref="B147" si="123">QUOTIENT( D147-1,G148)+1</f>
        <v>2</v>
      </c>
      <c r="C147" s="22">
        <f t="shared" ref="C147" si="124">D147-(B147-1)*G148</f>
        <v>5</v>
      </c>
      <c r="D147" s="22">
        <f>COUNT($D$26:$D146)+1</f>
        <v>13</v>
      </c>
    </row>
    <row r="148" spans="1:15">
      <c r="E148" s="9">
        <f t="shared" si="69"/>
        <v>148</v>
      </c>
      <c r="F148" s="9" t="s">
        <v>95</v>
      </c>
      <c r="G148" s="23">
        <v>8</v>
      </c>
      <c r="H148" s="23">
        <v>2</v>
      </c>
      <c r="J148" s="23">
        <v>13200</v>
      </c>
      <c r="O148" s="23">
        <f t="shared" ref="O148" si="125">J148+D147</f>
        <v>13213</v>
      </c>
    </row>
    <row r="149" spans="1:15">
      <c r="E149" s="9">
        <f t="shared" si="69"/>
        <v>149</v>
      </c>
      <c r="F149" s="9" t="s">
        <v>146</v>
      </c>
      <c r="G149" s="23">
        <v>4300</v>
      </c>
      <c r="H149" s="23">
        <v>100</v>
      </c>
      <c r="O149" s="23">
        <f t="shared" ref="O149" si="126">G149+H149*(C147-1)</f>
        <v>4700</v>
      </c>
    </row>
    <row r="150" spans="1:15">
      <c r="E150" s="9">
        <f t="shared" si="69"/>
        <v>150</v>
      </c>
      <c r="F150" s="9" t="s">
        <v>169</v>
      </c>
      <c r="O150" s="23">
        <f t="shared" ref="O150" si="127">J148</f>
        <v>13200</v>
      </c>
    </row>
    <row r="151" spans="1:15">
      <c r="E151" s="9">
        <f t="shared" si="69"/>
        <v>151</v>
      </c>
      <c r="F151" s="9" t="s">
        <v>29</v>
      </c>
      <c r="O151" s="23" t="s">
        <v>239</v>
      </c>
    </row>
    <row r="152" spans="1:15">
      <c r="E152" s="9">
        <f t="shared" si="69"/>
        <v>152</v>
      </c>
      <c r="F152" s="9" t="s">
        <v>47</v>
      </c>
      <c r="O152" s="23">
        <v>50</v>
      </c>
    </row>
    <row r="153" spans="1:15">
      <c r="E153" s="9">
        <f t="shared" si="69"/>
        <v>153</v>
      </c>
      <c r="F153" s="9" t="s">
        <v>30</v>
      </c>
      <c r="G153" s="23">
        <v>2</v>
      </c>
      <c r="H153" s="23">
        <v>0.2</v>
      </c>
      <c r="O153" s="23">
        <f t="shared" ref="O153" si="128">G153+H153*(C147-1)</f>
        <v>2.8</v>
      </c>
    </row>
    <row r="154" spans="1:15">
      <c r="E154" s="9">
        <f t="shared" si="69"/>
        <v>154</v>
      </c>
      <c r="F154" s="9" t="s">
        <v>100</v>
      </c>
      <c r="G154" s="23" t="b">
        <f t="shared" ref="G154" si="129">MOD(B147,2)=0</f>
        <v>1</v>
      </c>
      <c r="H154" s="23" t="s">
        <v>32</v>
      </c>
      <c r="I154" s="23" t="s">
        <v>241</v>
      </c>
      <c r="K154" s="9" t="s">
        <v>138</v>
      </c>
      <c r="O154" s="23" t="str">
        <f t="shared" ref="O154" si="130">IF(G154,H154,I154)&amp;","&amp;(H155-I155*(C147-1))</f>
        <v>6,1.6</v>
      </c>
    </row>
    <row r="155" spans="1:15">
      <c r="H155" s="23">
        <v>4</v>
      </c>
      <c r="I155" s="23">
        <v>0.6</v>
      </c>
    </row>
    <row r="156" spans="1:15">
      <c r="E156" s="9">
        <f t="shared" ref="E156" si="131">ROW(E156)</f>
        <v>156</v>
      </c>
      <c r="F156" s="9" t="s">
        <v>31</v>
      </c>
      <c r="G156" s="23" t="b">
        <f t="shared" ref="G156" si="132">MOD(B147,2)=0</f>
        <v>1</v>
      </c>
      <c r="H156" s="23">
        <v>180</v>
      </c>
      <c r="I156" s="23">
        <v>0</v>
      </c>
      <c r="L156" s="9" t="s">
        <v>136</v>
      </c>
      <c r="O156" s="23">
        <f t="shared" ref="O156" si="133">IF(G156,H156,I156)</f>
        <v>180</v>
      </c>
    </row>
    <row r="157" spans="1:15">
      <c r="A157" s="22" t="s">
        <v>229</v>
      </c>
      <c r="B157" s="22">
        <f t="shared" ref="B157" si="134">QUOTIENT( D157-1,G158)+1</f>
        <v>2</v>
      </c>
      <c r="C157" s="22">
        <f t="shared" ref="C157" si="135">D157-(B157-1)*G158</f>
        <v>6</v>
      </c>
      <c r="D157" s="22">
        <f>COUNT($D$26:$D156)+1</f>
        <v>14</v>
      </c>
    </row>
    <row r="158" spans="1:15">
      <c r="E158" s="9">
        <f t="shared" si="69"/>
        <v>158</v>
      </c>
      <c r="F158" s="9" t="s">
        <v>95</v>
      </c>
      <c r="G158" s="23">
        <v>8</v>
      </c>
      <c r="H158" s="23">
        <v>2</v>
      </c>
      <c r="J158" s="23">
        <v>13200</v>
      </c>
      <c r="O158" s="23">
        <f t="shared" ref="O158" si="136">J158+D157</f>
        <v>13214</v>
      </c>
    </row>
    <row r="159" spans="1:15">
      <c r="E159" s="9">
        <f t="shared" si="69"/>
        <v>159</v>
      </c>
      <c r="F159" s="9" t="s">
        <v>146</v>
      </c>
      <c r="G159" s="23">
        <v>4300</v>
      </c>
      <c r="H159" s="23">
        <v>100</v>
      </c>
      <c r="O159" s="23">
        <f t="shared" ref="O159" si="137">G159+H159*(C157-1)</f>
        <v>4800</v>
      </c>
    </row>
    <row r="160" spans="1:15">
      <c r="E160" s="9">
        <f t="shared" si="69"/>
        <v>160</v>
      </c>
      <c r="F160" s="9" t="s">
        <v>169</v>
      </c>
      <c r="O160" s="23">
        <f t="shared" ref="O160" si="138">J158</f>
        <v>13200</v>
      </c>
    </row>
    <row r="161" spans="1:15">
      <c r="E161" s="9">
        <f t="shared" si="69"/>
        <v>161</v>
      </c>
      <c r="F161" s="9" t="s">
        <v>29</v>
      </c>
      <c r="O161" s="23" t="s">
        <v>239</v>
      </c>
    </row>
    <row r="162" spans="1:15">
      <c r="E162" s="9">
        <f t="shared" ref="E162:E184" si="139">ROW(E162)</f>
        <v>162</v>
      </c>
      <c r="F162" s="9" t="s">
        <v>47</v>
      </c>
      <c r="O162" s="23">
        <v>50</v>
      </c>
    </row>
    <row r="163" spans="1:15">
      <c r="E163" s="9">
        <f t="shared" si="139"/>
        <v>163</v>
      </c>
      <c r="F163" s="9" t="s">
        <v>30</v>
      </c>
      <c r="G163" s="23">
        <v>2</v>
      </c>
      <c r="H163" s="23">
        <v>0.2</v>
      </c>
      <c r="O163" s="23">
        <f t="shared" ref="O163" si="140">G163+H163*(C157-1)</f>
        <v>3</v>
      </c>
    </row>
    <row r="164" spans="1:15">
      <c r="E164" s="9">
        <f t="shared" si="139"/>
        <v>164</v>
      </c>
      <c r="F164" s="9" t="s">
        <v>100</v>
      </c>
      <c r="G164" s="23" t="b">
        <f t="shared" ref="G164" si="141">MOD(B157,2)=0</f>
        <v>1</v>
      </c>
      <c r="H164" s="23" t="s">
        <v>32</v>
      </c>
      <c r="I164" s="23" t="s">
        <v>241</v>
      </c>
      <c r="K164" s="9" t="s">
        <v>138</v>
      </c>
      <c r="O164" s="23" t="str">
        <f t="shared" ref="O164" si="142">IF(G164,H164,I164)&amp;","&amp;(H165-I165*(C157-1))</f>
        <v>6,1</v>
      </c>
    </row>
    <row r="165" spans="1:15">
      <c r="H165" s="23">
        <v>4</v>
      </c>
      <c r="I165" s="23">
        <v>0.6</v>
      </c>
    </row>
    <row r="166" spans="1:15">
      <c r="E166" s="9">
        <f t="shared" ref="E166" si="143">ROW(E166)</f>
        <v>166</v>
      </c>
      <c r="F166" s="9" t="s">
        <v>31</v>
      </c>
      <c r="G166" s="23" t="b">
        <f t="shared" ref="G166" si="144">MOD(B157,2)=0</f>
        <v>1</v>
      </c>
      <c r="H166" s="23">
        <v>180</v>
      </c>
      <c r="I166" s="23">
        <v>0</v>
      </c>
      <c r="L166" s="9" t="s">
        <v>136</v>
      </c>
      <c r="O166" s="23">
        <f t="shared" ref="O166" si="145">IF(G166,H166,I166)</f>
        <v>180</v>
      </c>
    </row>
    <row r="167" spans="1:15">
      <c r="A167" s="22" t="s">
        <v>229</v>
      </c>
      <c r="B167" s="22">
        <f t="shared" ref="B167" si="146">QUOTIENT( D167-1,G168)+1</f>
        <v>2</v>
      </c>
      <c r="C167" s="22">
        <f t="shared" ref="C167" si="147">D167-(B167-1)*G168</f>
        <v>7</v>
      </c>
      <c r="D167" s="22">
        <f>COUNT($D$26:$D166)+1</f>
        <v>15</v>
      </c>
    </row>
    <row r="168" spans="1:15">
      <c r="E168" s="9">
        <f t="shared" si="139"/>
        <v>168</v>
      </c>
      <c r="F168" s="9" t="s">
        <v>95</v>
      </c>
      <c r="G168" s="23">
        <v>8</v>
      </c>
      <c r="H168" s="23">
        <v>2</v>
      </c>
      <c r="J168" s="23">
        <v>13200</v>
      </c>
      <c r="O168" s="23">
        <f t="shared" ref="O168" si="148">J168+D167</f>
        <v>13215</v>
      </c>
    </row>
    <row r="169" spans="1:15">
      <c r="E169" s="9">
        <f t="shared" si="139"/>
        <v>169</v>
      </c>
      <c r="F169" s="9" t="s">
        <v>146</v>
      </c>
      <c r="G169" s="23">
        <v>4300</v>
      </c>
      <c r="H169" s="23">
        <v>100</v>
      </c>
      <c r="O169" s="23">
        <f t="shared" ref="O169" si="149">G169+H169*(C167-1)</f>
        <v>4900</v>
      </c>
    </row>
    <row r="170" spans="1:15">
      <c r="E170" s="9">
        <f t="shared" si="139"/>
        <v>170</v>
      </c>
      <c r="F170" s="9" t="s">
        <v>169</v>
      </c>
      <c r="O170" s="23">
        <f t="shared" ref="O170" si="150">J168</f>
        <v>13200</v>
      </c>
    </row>
    <row r="171" spans="1:15">
      <c r="E171" s="9">
        <f t="shared" si="139"/>
        <v>171</v>
      </c>
      <c r="F171" s="9" t="s">
        <v>29</v>
      </c>
      <c r="O171" s="23" t="s">
        <v>239</v>
      </c>
    </row>
    <row r="172" spans="1:15">
      <c r="E172" s="9">
        <f t="shared" si="139"/>
        <v>172</v>
      </c>
      <c r="F172" s="9" t="s">
        <v>47</v>
      </c>
      <c r="O172" s="23">
        <v>50</v>
      </c>
    </row>
    <row r="173" spans="1:15">
      <c r="E173" s="9">
        <f t="shared" si="139"/>
        <v>173</v>
      </c>
      <c r="F173" s="9" t="s">
        <v>30</v>
      </c>
      <c r="G173" s="23">
        <v>2</v>
      </c>
      <c r="H173" s="23">
        <v>0.2</v>
      </c>
      <c r="O173" s="23">
        <f t="shared" ref="O173" si="151">G173+H173*(C167-1)</f>
        <v>3.2</v>
      </c>
    </row>
    <row r="174" spans="1:15">
      <c r="E174" s="9">
        <f t="shared" si="139"/>
        <v>174</v>
      </c>
      <c r="F174" s="9" t="s">
        <v>100</v>
      </c>
      <c r="G174" s="23" t="b">
        <f t="shared" ref="G174" si="152">MOD(B167,2)=0</f>
        <v>1</v>
      </c>
      <c r="H174" s="23" t="s">
        <v>32</v>
      </c>
      <c r="I174" s="23" t="s">
        <v>241</v>
      </c>
      <c r="K174" s="9" t="s">
        <v>138</v>
      </c>
      <c r="O174" s="23" t="str">
        <f t="shared" ref="O174" si="153">IF(G174,H174,I174)&amp;","&amp;(H175-I175*(C167-1))</f>
        <v>6,0.4</v>
      </c>
    </row>
    <row r="175" spans="1:15">
      <c r="H175" s="23">
        <v>4</v>
      </c>
      <c r="I175" s="23">
        <v>0.6</v>
      </c>
    </row>
    <row r="176" spans="1:15">
      <c r="E176" s="9">
        <f t="shared" ref="E176" si="154">ROW(E176)</f>
        <v>176</v>
      </c>
      <c r="F176" s="9" t="s">
        <v>31</v>
      </c>
      <c r="G176" s="23" t="b">
        <f t="shared" ref="G176" si="155">MOD(B167,2)=0</f>
        <v>1</v>
      </c>
      <c r="H176" s="23">
        <v>180</v>
      </c>
      <c r="I176" s="23">
        <v>0</v>
      </c>
      <c r="L176" s="9" t="s">
        <v>136</v>
      </c>
      <c r="O176" s="23">
        <f t="shared" ref="O176" si="156">IF(G176,H176,I176)</f>
        <v>180</v>
      </c>
    </row>
    <row r="177" spans="1:15">
      <c r="A177" s="22" t="s">
        <v>229</v>
      </c>
      <c r="B177" s="22">
        <f t="shared" ref="B177" si="157">QUOTIENT( D177-1,G178)+1</f>
        <v>2</v>
      </c>
      <c r="C177" s="22">
        <f t="shared" ref="C177" si="158">D177-(B177-1)*G178</f>
        <v>8</v>
      </c>
      <c r="D177" s="22">
        <f>COUNT($D$26:$D176)+1</f>
        <v>16</v>
      </c>
    </row>
    <row r="178" spans="1:15">
      <c r="E178" s="9">
        <f t="shared" si="139"/>
        <v>178</v>
      </c>
      <c r="F178" s="9" t="s">
        <v>95</v>
      </c>
      <c r="G178" s="23">
        <v>8</v>
      </c>
      <c r="H178" s="23">
        <v>2</v>
      </c>
      <c r="J178" s="23">
        <v>13200</v>
      </c>
      <c r="O178" s="23">
        <f t="shared" ref="O178" si="159">J178+D177</f>
        <v>13216</v>
      </c>
    </row>
    <row r="179" spans="1:15">
      <c r="E179" s="9">
        <f t="shared" si="139"/>
        <v>179</v>
      </c>
      <c r="F179" s="9" t="s">
        <v>146</v>
      </c>
      <c r="G179" s="23">
        <v>4300</v>
      </c>
      <c r="H179" s="23">
        <v>100</v>
      </c>
      <c r="O179" s="23">
        <f t="shared" ref="O179" si="160">G179+H179*(C177-1)</f>
        <v>5000</v>
      </c>
    </row>
    <row r="180" spans="1:15">
      <c r="E180" s="9">
        <f t="shared" si="139"/>
        <v>180</v>
      </c>
      <c r="F180" s="9" t="s">
        <v>169</v>
      </c>
      <c r="O180" s="23">
        <f t="shared" ref="O180" si="161">J178</f>
        <v>13200</v>
      </c>
    </row>
    <row r="181" spans="1:15">
      <c r="E181" s="9">
        <f t="shared" si="139"/>
        <v>181</v>
      </c>
      <c r="F181" s="9" t="s">
        <v>29</v>
      </c>
      <c r="O181" s="23" t="s">
        <v>239</v>
      </c>
    </row>
    <row r="182" spans="1:15">
      <c r="E182" s="9">
        <f t="shared" si="139"/>
        <v>182</v>
      </c>
      <c r="F182" s="9" t="s">
        <v>47</v>
      </c>
      <c r="O182" s="23">
        <v>50</v>
      </c>
    </row>
    <row r="183" spans="1:15">
      <c r="E183" s="9">
        <f t="shared" si="139"/>
        <v>183</v>
      </c>
      <c r="F183" s="9" t="s">
        <v>30</v>
      </c>
      <c r="G183" s="23">
        <v>2</v>
      </c>
      <c r="H183" s="23">
        <v>0.2</v>
      </c>
      <c r="O183" s="23">
        <f t="shared" ref="O183" si="162">G183+H183*(C177-1)</f>
        <v>3.4000000000000004</v>
      </c>
    </row>
    <row r="184" spans="1:15">
      <c r="E184" s="9">
        <f t="shared" si="139"/>
        <v>184</v>
      </c>
      <c r="F184" s="9" t="s">
        <v>100</v>
      </c>
      <c r="G184" s="23" t="b">
        <f t="shared" ref="G184" si="163">MOD(B177,2)=0</f>
        <v>1</v>
      </c>
      <c r="H184" s="23" t="s">
        <v>32</v>
      </c>
      <c r="I184" s="23" t="s">
        <v>241</v>
      </c>
      <c r="K184" s="9" t="s">
        <v>138</v>
      </c>
      <c r="O184" s="23" t="str">
        <f t="shared" ref="O184" si="164">IF(G184,H184,I184)&amp;","&amp;(H185-I185*(C177-1))</f>
        <v>6,-0.2</v>
      </c>
    </row>
    <row r="185" spans="1:15">
      <c r="H185" s="23">
        <v>4</v>
      </c>
      <c r="I185" s="23">
        <v>0.6</v>
      </c>
    </row>
    <row r="186" spans="1:15">
      <c r="E186" s="9">
        <f t="shared" ref="E186" si="165">ROW(E186)</f>
        <v>186</v>
      </c>
      <c r="F186" s="9" t="s">
        <v>31</v>
      </c>
      <c r="G186" s="23" t="b">
        <f t="shared" ref="G186" si="166">MOD(B177,2)=0</f>
        <v>1</v>
      </c>
      <c r="H186" s="23">
        <v>180</v>
      </c>
      <c r="I186" s="23">
        <v>0</v>
      </c>
      <c r="L186" s="9" t="s">
        <v>136</v>
      </c>
      <c r="O186" s="23">
        <f t="shared" ref="O186" si="167">IF(G186,H186,I186)</f>
        <v>180</v>
      </c>
    </row>
  </sheetData>
  <phoneticPr fontId="2" type="noConversion"/>
  <conditionalFormatting sqref="N1">
    <cfRule type="duplicateValues" dxfId="57" priority="605"/>
  </conditionalFormatting>
  <conditionalFormatting sqref="P1:BF1">
    <cfRule type="duplicateValues" dxfId="56" priority="604"/>
  </conditionalFormatting>
  <conditionalFormatting sqref="BG1:XFD1 E1:M1">
    <cfRule type="duplicateValues" dxfId="55" priority="684"/>
  </conditionalFormatting>
  <conditionalFormatting sqref="G25 F1:F1048576">
    <cfRule type="cellIs" dxfId="54" priority="177" operator="equal">
      <formula>"行動ID"</formula>
    </cfRule>
    <cfRule type="cellIs" dxfId="53" priority="185" operator="equal">
      <formula>"ID"</formula>
    </cfRule>
    <cfRule type="cellIs" dxfId="52" priority="600" operator="equal">
      <formula>"行動序號"</formula>
    </cfRule>
  </conditionalFormatting>
  <conditionalFormatting sqref="G25 F1:F1048576">
    <cfRule type="cellIs" dxfId="51" priority="47" operator="equal">
      <formula>"行動ID"</formula>
    </cfRule>
  </conditionalFormatting>
  <conditionalFormatting sqref="F1:F5 F9 F28">
    <cfRule type="cellIs" dxfId="50" priority="43" operator="equal">
      <formula>"行動ID"</formula>
    </cfRule>
  </conditionalFormatting>
  <conditionalFormatting sqref="I16">
    <cfRule type="cellIs" dxfId="49" priority="21" operator="equal">
      <formula>"行動ID"</formula>
    </cfRule>
  </conditionalFormatting>
  <conditionalFormatting sqref="F16">
    <cfRule type="cellIs" dxfId="48" priority="20" operator="equal">
      <formula>"行動ID"</formula>
    </cfRule>
  </conditionalFormatting>
  <conditionalFormatting sqref="F16">
    <cfRule type="cellIs" dxfId="47" priority="19" operator="equal">
      <formula>"行動ID"</formula>
    </cfRule>
  </conditionalFormatting>
  <conditionalFormatting sqref="H16 H20 O1:O1048576">
    <cfRule type="expression" dxfId="46" priority="8">
      <formula>OR(#REF!="行動序號",#REF!="ID")</formula>
    </cfRule>
  </conditionalFormatting>
  <conditionalFormatting sqref="G11 H16 H20 O1:O1048576">
    <cfRule type="expression" dxfId="45" priority="7">
      <formula>_xlfn.ISFORMULA(G1)</formula>
    </cfRule>
  </conditionalFormatting>
  <conditionalFormatting sqref="H16 H20 O1:O1048576">
    <cfRule type="expression" dxfId="44" priority="6">
      <formula>#REF!="行動ID"</formula>
    </cfRule>
  </conditionalFormatting>
  <conditionalFormatting sqref="G11">
    <cfRule type="expression" dxfId="43" priority="917">
      <formula>OR(#REF!="行動序號",#REF!="ID")</formula>
    </cfRule>
  </conditionalFormatting>
  <conditionalFormatting sqref="G11">
    <cfRule type="expression" dxfId="42" priority="921">
      <formula>#REF!="行動ID"</formula>
    </cfRule>
  </conditionalFormatting>
  <conditionalFormatting sqref="I20">
    <cfRule type="cellIs" dxfId="41" priority="3" operator="equal">
      <formula>"行動ID"</formula>
    </cfRule>
  </conditionalFormatting>
  <conditionalFormatting sqref="F20">
    <cfRule type="cellIs" dxfId="40" priority="2" operator="equal">
      <formula>"行動ID"</formula>
    </cfRule>
  </conditionalFormatting>
  <conditionalFormatting sqref="F20">
    <cfRule type="cellIs" dxfId="39" priority="1" operator="equal">
      <formula>"行動ID"</formula>
    </cfRule>
  </conditionalFormatting>
  <dataValidations count="1">
    <dataValidation type="list" allowBlank="1" showInputMessage="1" showErrorMessage="1" sqref="M2:M5 G5:J5 G2:J3 F2:F5 K2:K5 F11:F12 F18 K20 F14 L9 L12 K16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23E6E-81DA-46CC-9D50-19CC8A9E8146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50</v>
      </c>
      <c r="B1" s="17" t="s">
        <v>27</v>
      </c>
      <c r="C1" s="17" t="s">
        <v>143</v>
      </c>
      <c r="D1" s="17" t="s">
        <v>142</v>
      </c>
      <c r="E1" s="6" t="s">
        <v>36</v>
      </c>
    </row>
    <row r="2" spans="1:5">
      <c r="A2" s="9" t="s">
        <v>52</v>
      </c>
      <c r="B2" s="9" t="s">
        <v>28</v>
      </c>
      <c r="C2" s="9" t="s">
        <v>143</v>
      </c>
      <c r="D2" s="9" t="s">
        <v>141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B07AE2D6-6DD8-4F7C-B063-0EEAF354855D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52D39-A906-4B37-B9B2-5C762F96CEBB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147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103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101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104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49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148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112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230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149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105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106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132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133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150</v>
      </c>
      <c r="C17" s="7" t="s">
        <v>231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145</v>
      </c>
      <c r="C20" s="7" t="s">
        <v>151</v>
      </c>
      <c r="E20" t="str">
        <f t="shared" si="0"/>
        <v>啟動依ID,</v>
      </c>
      <c r="H20"/>
    </row>
    <row r="21" spans="1:8">
      <c r="A21" s="7" t="s">
        <v>27</v>
      </c>
      <c r="B21" s="7" t="s">
        <v>146</v>
      </c>
      <c r="C21" s="7" t="s">
        <v>152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128</v>
      </c>
      <c r="C22" s="7" t="s">
        <v>153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129</v>
      </c>
      <c r="C23" s="7" t="s">
        <v>154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130</v>
      </c>
      <c r="C24" s="7" t="s">
        <v>155</v>
      </c>
      <c r="E24" t="str">
        <f t="shared" si="0"/>
        <v>啟動依位置,</v>
      </c>
      <c r="H24"/>
    </row>
    <row r="25" spans="1:8">
      <c r="A25" s="7" t="s">
        <v>27</v>
      </c>
      <c r="B25" s="7" t="s">
        <v>131</v>
      </c>
      <c r="C25" s="7" t="s">
        <v>156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157</v>
      </c>
      <c r="C26" s="7" t="s">
        <v>158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159</v>
      </c>
      <c r="C27" s="7" t="s">
        <v>160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161</v>
      </c>
      <c r="E30" t="str">
        <f t="shared" si="0"/>
        <v>物件,</v>
      </c>
      <c r="H30"/>
    </row>
    <row r="31" spans="1:8">
      <c r="A31" s="7" t="s">
        <v>27</v>
      </c>
      <c r="B31" s="7" t="s">
        <v>120</v>
      </c>
      <c r="C31" s="7" t="s">
        <v>162</v>
      </c>
      <c r="E31" t="str">
        <f t="shared" si="0"/>
        <v>Sprite,</v>
      </c>
      <c r="H31"/>
    </row>
    <row r="32" spans="1:8">
      <c r="A32" s="7" t="s">
        <v>27</v>
      </c>
      <c r="B32" s="7" t="s">
        <v>102</v>
      </c>
      <c r="C32" s="7" t="s">
        <v>163</v>
      </c>
      <c r="E32" t="str">
        <f t="shared" si="0"/>
        <v>動畫,</v>
      </c>
      <c r="H32"/>
    </row>
    <row r="33" spans="1:8">
      <c r="A33" s="7" t="s">
        <v>27</v>
      </c>
      <c r="B33" s="7" t="s">
        <v>108</v>
      </c>
      <c r="C33" s="7" t="s">
        <v>164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107</v>
      </c>
      <c r="C34" s="7" t="s">
        <v>165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47</v>
      </c>
      <c r="C35" s="7" t="s">
        <v>166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167</v>
      </c>
      <c r="C36" s="7" t="s">
        <v>168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169</v>
      </c>
      <c r="C37" s="7" t="s">
        <v>170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171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99</v>
      </c>
      <c r="C41" s="7" t="s">
        <v>172</v>
      </c>
      <c r="E41" t="str">
        <f t="shared" si="0"/>
        <v>回收時間,</v>
      </c>
      <c r="H41"/>
    </row>
    <row r="42" spans="1:8">
      <c r="A42" s="7" t="s">
        <v>27</v>
      </c>
      <c r="B42" s="7" t="s">
        <v>109</v>
      </c>
      <c r="C42" s="7" t="s">
        <v>173</v>
      </c>
      <c r="E42" t="str">
        <f t="shared" si="0"/>
        <v>死亡時間,</v>
      </c>
      <c r="H42"/>
    </row>
    <row r="43" spans="1:8">
      <c r="A43" s="7" t="s">
        <v>27</v>
      </c>
      <c r="B43" s="7" t="s">
        <v>227</v>
      </c>
      <c r="C43" s="7" t="s">
        <v>228</v>
      </c>
      <c r="E43" t="str">
        <f t="shared" si="0"/>
        <v>符卡時間,</v>
      </c>
      <c r="H43"/>
    </row>
    <row r="44" spans="1:8">
      <c r="B44" s="26"/>
      <c r="H44"/>
    </row>
    <row r="45" spans="1:8">
      <c r="H45"/>
    </row>
    <row r="46" spans="1:8">
      <c r="A46" s="7" t="s">
        <v>27</v>
      </c>
      <c r="B46" s="7" t="s">
        <v>100</v>
      </c>
      <c r="C46" s="7" t="s">
        <v>174</v>
      </c>
      <c r="E46" t="str">
        <f t="shared" si="0"/>
        <v>移位置,</v>
      </c>
      <c r="H46"/>
    </row>
    <row r="47" spans="1:8">
      <c r="A47" s="7" t="s">
        <v>27</v>
      </c>
      <c r="B47" s="7" t="s">
        <v>118</v>
      </c>
      <c r="C47" s="7" t="s">
        <v>175</v>
      </c>
      <c r="E47" t="str">
        <f t="shared" si="0"/>
        <v>相對位置,</v>
      </c>
      <c r="H47"/>
    </row>
    <row r="48" spans="1:8">
      <c r="A48" s="7" t="s">
        <v>27</v>
      </c>
      <c r="B48" s="7" t="s">
        <v>135</v>
      </c>
      <c r="C48" s="7" t="s">
        <v>176</v>
      </c>
      <c r="E48" t="str">
        <f t="shared" si="0"/>
        <v>位置參數,</v>
      </c>
      <c r="H48"/>
    </row>
    <row r="49" spans="1:8">
      <c r="A49" s="7" t="s">
        <v>27</v>
      </c>
      <c r="B49" s="7" t="s">
        <v>177</v>
      </c>
      <c r="C49" s="7" t="s">
        <v>178</v>
      </c>
      <c r="E49" t="str">
        <f t="shared" si="0"/>
        <v>加位置,</v>
      </c>
      <c r="H49"/>
    </row>
    <row r="50" spans="1:8">
      <c r="A50" s="7" t="s">
        <v>27</v>
      </c>
      <c r="B50" s="7" t="s">
        <v>243</v>
      </c>
      <c r="C50" s="7" t="s">
        <v>244</v>
      </c>
      <c r="E50" t="str">
        <f t="shared" si="0"/>
        <v>記錄位置,</v>
      </c>
      <c r="H50"/>
    </row>
    <row r="51" spans="1:8">
      <c r="A51" s="7" t="s">
        <v>27</v>
      </c>
      <c r="B51" s="7" t="s">
        <v>245</v>
      </c>
      <c r="C51" s="7" t="s">
        <v>246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179</v>
      </c>
      <c r="E54" t="str">
        <f t="shared" si="0"/>
        <v>移動角度,</v>
      </c>
      <c r="H54"/>
    </row>
    <row r="55" spans="1:8">
      <c r="A55" s="7" t="s">
        <v>27</v>
      </c>
      <c r="B55" s="7" t="s">
        <v>113</v>
      </c>
      <c r="C55" s="7" t="s">
        <v>180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114</v>
      </c>
      <c r="C56" s="7" t="s">
        <v>181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115</v>
      </c>
      <c r="C57" s="7" t="s">
        <v>182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134</v>
      </c>
      <c r="C58" s="7" t="s">
        <v>183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184</v>
      </c>
      <c r="C59" s="7" t="s">
        <v>185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116</v>
      </c>
      <c r="C60" s="7" t="s">
        <v>186</v>
      </c>
      <c r="E60" t="str">
        <f t="shared" si="0"/>
        <v>旋轉是移動角度,</v>
      </c>
      <c r="H60"/>
    </row>
    <row r="61" spans="1:8">
      <c r="A61" s="7" t="s">
        <v>27</v>
      </c>
      <c r="B61" s="27" t="s">
        <v>232</v>
      </c>
      <c r="C61" s="7" t="s">
        <v>233</v>
      </c>
      <c r="E61" t="str">
        <f t="shared" si="0"/>
        <v>子旋轉角度,</v>
      </c>
      <c r="H61"/>
    </row>
    <row r="62" spans="1:8">
      <c r="A62" s="7" t="s">
        <v>27</v>
      </c>
      <c r="B62" s="27" t="s">
        <v>234</v>
      </c>
      <c r="C62" s="7" t="s">
        <v>235</v>
      </c>
      <c r="E62" t="str">
        <f t="shared" si="0"/>
        <v>子加旋轉角度,</v>
      </c>
      <c r="H62"/>
    </row>
    <row r="63" spans="1:8">
      <c r="A63" s="7" t="s">
        <v>27</v>
      </c>
      <c r="B63" s="7" t="s">
        <v>247</v>
      </c>
      <c r="C63" s="7" t="s">
        <v>248</v>
      </c>
      <c r="E63" t="str">
        <f t="shared" si="0"/>
        <v>記錄角度,</v>
      </c>
      <c r="H63"/>
    </row>
    <row r="64" spans="1:8">
      <c r="A64" s="7" t="s">
        <v>27</v>
      </c>
      <c r="B64" s="7" t="s">
        <v>250</v>
      </c>
      <c r="C64" s="7" t="s">
        <v>249</v>
      </c>
      <c r="E64" t="str">
        <f t="shared" si="0"/>
        <v>記錄角度ID,</v>
      </c>
      <c r="H64"/>
    </row>
    <row r="65" spans="1:11">
      <c r="B65" s="27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187</v>
      </c>
      <c r="E67" t="str">
        <f t="shared" si="0"/>
        <v>速度,</v>
      </c>
      <c r="H67"/>
    </row>
    <row r="68" spans="1:11">
      <c r="A68" s="7" t="s">
        <v>27</v>
      </c>
      <c r="B68" s="7" t="s">
        <v>117</v>
      </c>
      <c r="C68" s="7" t="s">
        <v>188</v>
      </c>
      <c r="E68" t="str">
        <f t="shared" si="0"/>
        <v>加速度,</v>
      </c>
      <c r="H68"/>
    </row>
    <row r="69" spans="1:11">
      <c r="A69" s="7" t="s">
        <v>27</v>
      </c>
      <c r="B69" s="7" t="s">
        <v>110</v>
      </c>
      <c r="C69" s="7" t="s">
        <v>189</v>
      </c>
      <c r="E69" t="str">
        <f t="shared" si="0"/>
        <v>最小速度,</v>
      </c>
      <c r="H69"/>
    </row>
    <row r="70" spans="1:11">
      <c r="A70" s="7" t="s">
        <v>27</v>
      </c>
      <c r="B70" s="7" t="s">
        <v>111</v>
      </c>
      <c r="C70" s="7" t="s">
        <v>190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191</v>
      </c>
      <c r="C73" s="7" t="s">
        <v>192</v>
      </c>
      <c r="E73" t="str">
        <f t="shared" si="0"/>
        <v>是界內,</v>
      </c>
      <c r="H73"/>
    </row>
    <row r="74" spans="1:11">
      <c r="A74" s="7" t="s">
        <v>27</v>
      </c>
      <c r="B74" s="7" t="s">
        <v>48</v>
      </c>
      <c r="C74" s="7" t="s">
        <v>193</v>
      </c>
      <c r="E74" t="str">
        <f t="shared" si="0"/>
        <v>無敵,</v>
      </c>
      <c r="H74"/>
    </row>
    <row r="75" spans="1:11">
      <c r="A75" s="7" t="s">
        <v>27</v>
      </c>
      <c r="B75" s="7" t="s">
        <v>119</v>
      </c>
      <c r="C75" s="7" t="s">
        <v>194</v>
      </c>
      <c r="E75" t="str">
        <f t="shared" si="0"/>
        <v>貫穿,</v>
      </c>
      <c r="H75"/>
    </row>
    <row r="76" spans="1:11">
      <c r="A76" s="7" t="s">
        <v>27</v>
      </c>
      <c r="B76" s="7" t="s">
        <v>127</v>
      </c>
      <c r="C76" s="7" t="s">
        <v>195</v>
      </c>
      <c r="E76" t="str">
        <f t="shared" si="0"/>
        <v>回收距離,</v>
      </c>
      <c r="H76"/>
    </row>
    <row r="77" spans="1:11">
      <c r="A77" s="7" t="s">
        <v>27</v>
      </c>
      <c r="B77" s="7" t="s">
        <v>196</v>
      </c>
      <c r="C77" s="7" t="s">
        <v>197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198</v>
      </c>
      <c r="C78" s="7" t="s">
        <v>199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200</v>
      </c>
      <c r="C79" s="7" t="s">
        <v>201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202</v>
      </c>
      <c r="C80" s="7" t="s">
        <v>203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121</v>
      </c>
      <c r="C83" s="7" t="s">
        <v>204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122</v>
      </c>
      <c r="C84" s="7" t="s">
        <v>205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123</v>
      </c>
      <c r="C85" s="7" t="s">
        <v>206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124</v>
      </c>
      <c r="C86" s="7" t="s">
        <v>207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125</v>
      </c>
      <c r="C87" s="7" t="s">
        <v>208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126</v>
      </c>
      <c r="C88" s="7" t="s">
        <v>209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210</v>
      </c>
      <c r="C91" s="7" t="s">
        <v>211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212</v>
      </c>
      <c r="C92" s="7" t="s">
        <v>213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214</v>
      </c>
      <c r="C93" s="7" t="s">
        <v>215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216</v>
      </c>
      <c r="C94" s="7" t="s">
        <v>217</v>
      </c>
      <c r="E94" t="str">
        <f t="shared" si="1"/>
        <v>玩家Shift,</v>
      </c>
      <c r="H94"/>
    </row>
    <row r="95" spans="1:11">
      <c r="A95" s="7" t="s">
        <v>27</v>
      </c>
      <c r="B95" s="7" t="s">
        <v>218</v>
      </c>
      <c r="C95" s="7" t="s">
        <v>219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142</v>
      </c>
      <c r="B103" s="7" t="s">
        <v>138</v>
      </c>
      <c r="C103" s="7" t="s">
        <v>21</v>
      </c>
      <c r="H103"/>
    </row>
    <row r="104" spans="1:12" customFormat="1">
      <c r="A104" s="7" t="s">
        <v>142</v>
      </c>
      <c r="B104" t="s">
        <v>139</v>
      </c>
      <c r="C104" s="7" t="s">
        <v>25</v>
      </c>
      <c r="D104" s="7"/>
      <c r="L104" s="7"/>
    </row>
    <row r="105" spans="1:12" customFormat="1">
      <c r="A105" s="7" t="s">
        <v>142</v>
      </c>
      <c r="B105" t="s">
        <v>140</v>
      </c>
      <c r="C105" s="7" t="s">
        <v>26</v>
      </c>
      <c r="D105" s="7"/>
      <c r="L105" s="7"/>
    </row>
    <row r="106" spans="1:12" customFormat="1">
      <c r="A106" s="7" t="s">
        <v>142</v>
      </c>
      <c r="B106" t="s">
        <v>220</v>
      </c>
      <c r="C106" s="7" t="s">
        <v>98</v>
      </c>
      <c r="D106" s="7"/>
      <c r="L106" s="7"/>
    </row>
    <row r="107" spans="1:12" customFormat="1">
      <c r="A107" s="7" t="s">
        <v>142</v>
      </c>
      <c r="B107" t="s">
        <v>221</v>
      </c>
      <c r="C107" s="7" t="s">
        <v>23</v>
      </c>
      <c r="D107" s="7"/>
      <c r="L107" s="7"/>
    </row>
    <row r="108" spans="1:12" customFormat="1">
      <c r="A108" s="7" t="s">
        <v>142</v>
      </c>
      <c r="B108" t="s">
        <v>222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143</v>
      </c>
      <c r="B111" t="s">
        <v>136</v>
      </c>
      <c r="C111" s="7" t="s">
        <v>21</v>
      </c>
      <c r="D111" s="4"/>
      <c r="L111" s="7"/>
    </row>
    <row r="112" spans="1:12" customFormat="1">
      <c r="A112" s="7" t="s">
        <v>143</v>
      </c>
      <c r="B112" t="s">
        <v>137</v>
      </c>
      <c r="C112" s="7" t="s">
        <v>37</v>
      </c>
      <c r="D112" s="7"/>
      <c r="L112" s="7"/>
    </row>
    <row r="113" spans="1:12" customFormat="1">
      <c r="A113" s="7" t="s">
        <v>143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143</v>
      </c>
      <c r="B114" t="s">
        <v>223</v>
      </c>
      <c r="C114" s="7" t="s">
        <v>22</v>
      </c>
      <c r="D114" s="7"/>
      <c r="L114" s="7"/>
    </row>
    <row r="115" spans="1:12">
      <c r="A115" s="7" t="s">
        <v>143</v>
      </c>
      <c r="B115" s="7" t="s">
        <v>224</v>
      </c>
      <c r="C115" s="7" t="s">
        <v>23</v>
      </c>
      <c r="H115"/>
    </row>
    <row r="116" spans="1:12">
      <c r="A116" s="7" t="s">
        <v>143</v>
      </c>
      <c r="B116" s="7" t="s">
        <v>251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BFE7F-DF5F-49BD-918B-BCF1226562C0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142</v>
      </c>
      <c r="C1" s="6" t="s">
        <v>143</v>
      </c>
      <c r="D1" s="8"/>
      <c r="E1" s="8"/>
      <c r="F1" s="8"/>
      <c r="G1" s="6"/>
      <c r="H1" s="8"/>
      <c r="I1" s="8"/>
      <c r="J1" s="8"/>
    </row>
    <row r="2" spans="1:10" ht="85.5">
      <c r="B2" s="20" t="s">
        <v>138</v>
      </c>
      <c r="C2" s="20" t="s">
        <v>136</v>
      </c>
      <c r="D2" s="20"/>
      <c r="G2" s="24" t="s">
        <v>225</v>
      </c>
    </row>
    <row r="3" spans="1:10">
      <c r="A3" s="20" t="s">
        <v>95</v>
      </c>
      <c r="B3" s="20" t="s">
        <v>139</v>
      </c>
      <c r="C3" s="20" t="s">
        <v>137</v>
      </c>
      <c r="D3" s="20"/>
      <c r="G3" s="9"/>
    </row>
    <row r="4" spans="1:10">
      <c r="A4" s="20" t="s">
        <v>103</v>
      </c>
      <c r="B4" s="20" t="s">
        <v>140</v>
      </c>
      <c r="C4" s="20" t="s">
        <v>226</v>
      </c>
      <c r="D4" s="20"/>
      <c r="G4" s="9"/>
      <c r="H4" s="18"/>
    </row>
    <row r="5" spans="1:10" ht="17.25" customHeight="1">
      <c r="A5" s="20" t="s">
        <v>101</v>
      </c>
      <c r="B5" s="20" t="s">
        <v>220</v>
      </c>
      <c r="C5" s="20" t="s">
        <v>223</v>
      </c>
      <c r="D5" s="20"/>
      <c r="G5" s="9"/>
    </row>
    <row r="6" spans="1:10">
      <c r="A6" s="20" t="s">
        <v>104</v>
      </c>
      <c r="B6" s="20" t="s">
        <v>221</v>
      </c>
      <c r="C6" s="20" t="s">
        <v>224</v>
      </c>
      <c r="D6" s="20"/>
      <c r="G6" s="9"/>
    </row>
    <row r="7" spans="1:10">
      <c r="A7" s="20" t="s">
        <v>49</v>
      </c>
      <c r="B7" s="20" t="s">
        <v>222</v>
      </c>
      <c r="C7" s="26" t="s">
        <v>251</v>
      </c>
      <c r="D7" s="20"/>
      <c r="G7" s="9"/>
    </row>
    <row r="8" spans="1:10">
      <c r="A8" s="20" t="s">
        <v>148</v>
      </c>
      <c r="B8" s="26"/>
      <c r="C8" s="20"/>
      <c r="D8" s="20"/>
      <c r="G8" s="9"/>
    </row>
    <row r="9" spans="1:10">
      <c r="A9" s="20" t="s">
        <v>112</v>
      </c>
      <c r="B9" s="20"/>
      <c r="C9" s="20"/>
      <c r="D9" s="20"/>
      <c r="G9" s="9"/>
    </row>
    <row r="10" spans="1:10">
      <c r="A10" s="20" t="s">
        <v>230</v>
      </c>
      <c r="B10" s="20"/>
      <c r="C10" s="20"/>
      <c r="D10" s="20"/>
      <c r="G10" s="9"/>
    </row>
    <row r="11" spans="1:10">
      <c r="A11" s="20" t="s">
        <v>149</v>
      </c>
      <c r="G11" s="9"/>
    </row>
    <row r="12" spans="1:10">
      <c r="A12" s="20" t="s">
        <v>45</v>
      </c>
      <c r="G12" s="9"/>
    </row>
    <row r="13" spans="1:10">
      <c r="A13" s="20" t="s">
        <v>105</v>
      </c>
      <c r="G13" s="9"/>
    </row>
    <row r="14" spans="1:10">
      <c r="A14" s="20" t="s">
        <v>106</v>
      </c>
      <c r="C14" s="9"/>
      <c r="G14" s="9"/>
    </row>
    <row r="15" spans="1:10">
      <c r="A15" s="20" t="s">
        <v>132</v>
      </c>
      <c r="G15" s="9"/>
    </row>
    <row r="16" spans="1:10">
      <c r="A16" s="20" t="s">
        <v>133</v>
      </c>
      <c r="C16"/>
      <c r="G16" s="9"/>
    </row>
    <row r="17" spans="1:7">
      <c r="A17" s="20" t="s">
        <v>150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145</v>
      </c>
      <c r="C20"/>
      <c r="G20" s="9"/>
    </row>
    <row r="21" spans="1:7">
      <c r="A21" s="20" t="s">
        <v>146</v>
      </c>
      <c r="C21"/>
      <c r="G21" s="9"/>
    </row>
    <row r="22" spans="1:7">
      <c r="A22" s="20" t="s">
        <v>128</v>
      </c>
      <c r="C22"/>
      <c r="G22" s="9"/>
    </row>
    <row r="23" spans="1:7">
      <c r="A23" s="20" t="s">
        <v>129</v>
      </c>
      <c r="C23"/>
      <c r="G23" s="9"/>
    </row>
    <row r="24" spans="1:7">
      <c r="A24" s="20" t="s">
        <v>130</v>
      </c>
      <c r="C24"/>
      <c r="G24" s="9"/>
    </row>
    <row r="25" spans="1:7" s="9" customFormat="1">
      <c r="A25" s="20" t="s">
        <v>131</v>
      </c>
      <c r="C25"/>
      <c r="F25" s="4"/>
    </row>
    <row r="26" spans="1:7">
      <c r="A26" s="20" t="s">
        <v>157</v>
      </c>
      <c r="C26"/>
      <c r="G26" s="9"/>
    </row>
    <row r="27" spans="1:7">
      <c r="A27" s="20" t="s">
        <v>159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120</v>
      </c>
      <c r="C31"/>
      <c r="G31" s="9"/>
    </row>
    <row r="32" spans="1:7">
      <c r="A32" s="20" t="s">
        <v>102</v>
      </c>
      <c r="C32"/>
      <c r="G32" s="9"/>
    </row>
    <row r="33" spans="1:7">
      <c r="A33" s="20" t="s">
        <v>108</v>
      </c>
      <c r="C33"/>
      <c r="G33" s="9"/>
    </row>
    <row r="34" spans="1:7">
      <c r="A34" s="20" t="s">
        <v>107</v>
      </c>
      <c r="C34"/>
      <c r="G34" s="9"/>
    </row>
    <row r="35" spans="1:7">
      <c r="A35" s="20" t="s">
        <v>47</v>
      </c>
      <c r="C35"/>
      <c r="G35" s="9"/>
    </row>
    <row r="36" spans="1:7">
      <c r="A36" s="20" t="s">
        <v>167</v>
      </c>
      <c r="C36"/>
    </row>
    <row r="37" spans="1:7">
      <c r="A37" s="20" t="s">
        <v>169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99</v>
      </c>
      <c r="C41"/>
      <c r="G41" s="9"/>
    </row>
    <row r="42" spans="1:7">
      <c r="A42" s="20" t="s">
        <v>109</v>
      </c>
      <c r="C42"/>
      <c r="G42" s="9"/>
    </row>
    <row r="43" spans="1:7">
      <c r="A43" s="26" t="s">
        <v>227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100</v>
      </c>
      <c r="C46"/>
      <c r="G46" s="9"/>
    </row>
    <row r="47" spans="1:7">
      <c r="A47" s="20" t="s">
        <v>118</v>
      </c>
      <c r="C47"/>
      <c r="G47" s="9"/>
    </row>
    <row r="48" spans="1:7">
      <c r="A48" s="20" t="s">
        <v>135</v>
      </c>
      <c r="C48"/>
      <c r="G48" s="9"/>
    </row>
    <row r="49" spans="1:8">
      <c r="A49" s="20" t="s">
        <v>177</v>
      </c>
      <c r="C49"/>
      <c r="G49" s="9"/>
    </row>
    <row r="50" spans="1:8">
      <c r="A50" s="27" t="s">
        <v>247</v>
      </c>
      <c r="C50"/>
      <c r="G50" s="9"/>
    </row>
    <row r="51" spans="1:8">
      <c r="A51" s="27" t="s">
        <v>252</v>
      </c>
      <c r="C51"/>
      <c r="G51" s="9"/>
    </row>
    <row r="52" spans="1:8">
      <c r="A52" s="27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113</v>
      </c>
      <c r="C55"/>
      <c r="G55" s="9"/>
      <c r="H55" s="11"/>
    </row>
    <row r="56" spans="1:8">
      <c r="A56" s="20" t="s">
        <v>114</v>
      </c>
      <c r="C56"/>
      <c r="G56" s="9"/>
      <c r="H56" s="11"/>
    </row>
    <row r="57" spans="1:8">
      <c r="A57" s="28" t="s">
        <v>236</v>
      </c>
      <c r="C57"/>
      <c r="G57" s="9"/>
    </row>
    <row r="58" spans="1:8">
      <c r="A58" s="20" t="s">
        <v>134</v>
      </c>
      <c r="G58" s="9"/>
    </row>
    <row r="59" spans="1:8">
      <c r="A59" s="20" t="s">
        <v>184</v>
      </c>
      <c r="G59" s="9"/>
    </row>
    <row r="60" spans="1:8">
      <c r="A60" s="20" t="s">
        <v>116</v>
      </c>
      <c r="G60" s="9"/>
    </row>
    <row r="61" spans="1:8">
      <c r="A61" s="27" t="s">
        <v>232</v>
      </c>
      <c r="G61" s="9"/>
    </row>
    <row r="62" spans="1:8">
      <c r="A62" s="27" t="s">
        <v>234</v>
      </c>
      <c r="G62" s="9"/>
    </row>
    <row r="63" spans="1:8">
      <c r="A63" s="27" t="s">
        <v>247</v>
      </c>
      <c r="G63" s="9"/>
    </row>
    <row r="64" spans="1:8">
      <c r="A64" s="27" t="s">
        <v>250</v>
      </c>
      <c r="G64" s="9"/>
    </row>
    <row r="65" spans="1:7">
      <c r="A65" s="27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117</v>
      </c>
      <c r="C68"/>
      <c r="G68" s="9"/>
    </row>
    <row r="69" spans="1:7">
      <c r="A69" s="20" t="s">
        <v>110</v>
      </c>
      <c r="C69"/>
      <c r="G69" s="9"/>
    </row>
    <row r="70" spans="1:7">
      <c r="A70" s="20" t="s">
        <v>111</v>
      </c>
      <c r="G70" s="9"/>
    </row>
    <row r="71" spans="1:7">
      <c r="G71" s="9"/>
    </row>
    <row r="72" spans="1:7">
      <c r="G72" s="9"/>
    </row>
    <row r="73" spans="1:7">
      <c r="A73" s="20" t="s">
        <v>191</v>
      </c>
    </row>
    <row r="74" spans="1:7">
      <c r="A74" s="20" t="s">
        <v>48</v>
      </c>
    </row>
    <row r="75" spans="1:7">
      <c r="A75" s="20" t="s">
        <v>119</v>
      </c>
    </row>
    <row r="76" spans="1:7">
      <c r="A76" s="20" t="s">
        <v>127</v>
      </c>
      <c r="G76" s="9"/>
    </row>
    <row r="77" spans="1:7">
      <c r="A77" s="20" t="s">
        <v>196</v>
      </c>
      <c r="G77" s="9"/>
    </row>
    <row r="78" spans="1:7">
      <c r="A78" s="20" t="s">
        <v>198</v>
      </c>
      <c r="G78" s="9"/>
    </row>
    <row r="79" spans="1:7">
      <c r="A79" s="20" t="s">
        <v>200</v>
      </c>
    </row>
    <row r="80" spans="1:7">
      <c r="A80" s="20" t="s">
        <v>202</v>
      </c>
    </row>
    <row r="83" spans="1:1">
      <c r="A83" s="20" t="s">
        <v>121</v>
      </c>
    </row>
    <row r="84" spans="1:1">
      <c r="A84" s="20" t="s">
        <v>122</v>
      </c>
    </row>
    <row r="85" spans="1:1">
      <c r="A85" s="20" t="s">
        <v>123</v>
      </c>
    </row>
    <row r="86" spans="1:1">
      <c r="A86" s="20" t="s">
        <v>124</v>
      </c>
    </row>
    <row r="87" spans="1:1">
      <c r="A87" s="20" t="s">
        <v>125</v>
      </c>
    </row>
    <row r="88" spans="1:1">
      <c r="A88" s="20" t="s">
        <v>126</v>
      </c>
    </row>
    <row r="91" spans="1:1">
      <c r="A91" s="20" t="s">
        <v>210</v>
      </c>
    </row>
    <row r="92" spans="1:1">
      <c r="A92" s="20" t="s">
        <v>212</v>
      </c>
    </row>
    <row r="93" spans="1:1">
      <c r="A93" s="20" t="s">
        <v>214</v>
      </c>
    </row>
    <row r="94" spans="1:1">
      <c r="A94" s="20" t="s">
        <v>216</v>
      </c>
    </row>
    <row r="95" spans="1:1">
      <c r="A95" s="20" t="s">
        <v>218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F350E82-92FF-4F65-9739-A319C0395519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8603D-B11F-4FBE-8961-ABC289C3A0EA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24F04-77A6-47D0-AADF-0EEDB4E1D2FC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D96E0-D242-4518-9AC3-AC8ED221311B}">
  <sheetPr codeName="HelpSheet"/>
  <dimension ref="A1:A15"/>
  <sheetViews>
    <sheetView tabSelected="1"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stage7_7Enemy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2025-04-16T06:38:19Z</dcterms:modified>
</cp:coreProperties>
</file>