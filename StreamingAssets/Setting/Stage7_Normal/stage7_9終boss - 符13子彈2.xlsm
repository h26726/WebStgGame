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cook-win\STG project\Assets\StreamingAssets\Setting\Stage7_Normal\"/>
    </mc:Choice>
  </mc:AlternateContent>
  <xr:revisionPtr revIDLastSave="0" documentId="13_ncr:1_{82D70DCC-6BC1-46A8-AB4D-3BD285813061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tage7_card13shot2" sheetId="1" r:id="rId1"/>
    <sheet name="#ALIAS" sheetId="92" r:id="rId2"/>
    <sheet name="#DEFINE" sheetId="93" r:id="rId3"/>
    <sheet name="#OPTION" sheetId="94" r:id="rId4"/>
    <sheet name="#PARAM" sheetId="95" r:id="rId5"/>
    <sheet name="#OUTPUT" sheetId="96" r:id="rId6"/>
    <sheet name="#使用說明" sheetId="97" r:id="rId7"/>
  </sheets>
  <functionGroups builtInGroupCount="19"/>
  <definedNames>
    <definedName name="_OPTION_" localSheetId="1">#REF!</definedName>
    <definedName name="_OPTION_" localSheetId="2">#REF!</definedName>
    <definedName name="_OPTION_" localSheetId="3">'#OPTION'!$A$2:$A$98</definedName>
    <definedName name="_OPTION_" localSheetId="5">#REF!</definedName>
    <definedName name="_OPTION_" localSheetId="4">#REF!</definedName>
    <definedName name="_OPTION_" localSheetId="6">#REF!</definedName>
    <definedName name="一般物品">#REF!</definedName>
    <definedName name="無償商城幣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63" i="1" l="1"/>
  <c r="E162" i="1"/>
  <c r="E161" i="1"/>
  <c r="E160" i="1"/>
  <c r="E159" i="1"/>
  <c r="E158" i="1"/>
  <c r="E157" i="1"/>
  <c r="E156" i="1"/>
  <c r="E155" i="1"/>
  <c r="E154" i="1"/>
  <c r="E153" i="1"/>
  <c r="E152" i="1"/>
  <c r="E151" i="1"/>
  <c r="E150" i="1"/>
  <c r="E149" i="1"/>
  <c r="E148" i="1"/>
  <c r="E147" i="1"/>
  <c r="E146" i="1"/>
  <c r="E145" i="1"/>
  <c r="E144" i="1"/>
  <c r="E143" i="1"/>
  <c r="E142" i="1"/>
  <c r="E140" i="1"/>
  <c r="E139" i="1"/>
  <c r="E138" i="1"/>
  <c r="E137" i="1"/>
  <c r="E136" i="1"/>
  <c r="E135" i="1"/>
  <c r="E134" i="1"/>
  <c r="E133" i="1"/>
  <c r="E132" i="1"/>
  <c r="E131" i="1"/>
  <c r="E130" i="1"/>
  <c r="E129" i="1"/>
  <c r="E128" i="1"/>
  <c r="E127" i="1"/>
  <c r="E126" i="1"/>
  <c r="E125" i="1"/>
  <c r="E124" i="1"/>
  <c r="E123" i="1"/>
  <c r="E122" i="1"/>
  <c r="E121" i="1"/>
  <c r="E120" i="1"/>
  <c r="E119" i="1"/>
  <c r="E117" i="1"/>
  <c r="E116" i="1"/>
  <c r="E115" i="1"/>
  <c r="E114" i="1"/>
  <c r="E113" i="1"/>
  <c r="E112" i="1"/>
  <c r="E111" i="1"/>
  <c r="E110" i="1"/>
  <c r="E109" i="1"/>
  <c r="E108" i="1"/>
  <c r="E107" i="1"/>
  <c r="E106" i="1"/>
  <c r="E105" i="1"/>
  <c r="E104" i="1"/>
  <c r="E103" i="1"/>
  <c r="E102" i="1"/>
  <c r="E101" i="1"/>
  <c r="E100" i="1"/>
  <c r="E99" i="1"/>
  <c r="E98" i="1"/>
  <c r="E97" i="1"/>
  <c r="E96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D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M50" i="1"/>
  <c r="M60" i="1" s="1"/>
  <c r="M68" i="1" s="1"/>
  <c r="E50" i="1"/>
  <c r="D49" i="1"/>
  <c r="B49" i="1"/>
  <c r="M58" i="1" s="1"/>
  <c r="M67" i="1" l="1"/>
  <c r="M63" i="1" s="1"/>
  <c r="B72" i="1"/>
  <c r="C49" i="1"/>
  <c r="M52" i="1" s="1"/>
  <c r="M61" i="1"/>
  <c r="M73" i="1"/>
  <c r="D95" i="1"/>
  <c r="E41" i="1"/>
  <c r="E40" i="1"/>
  <c r="E48" i="1"/>
  <c r="E43" i="1"/>
  <c r="E47" i="1"/>
  <c r="E46" i="1"/>
  <c r="E45" i="1"/>
  <c r="E44" i="1"/>
  <c r="D26" i="1"/>
  <c r="E42" i="1"/>
  <c r="E39" i="1"/>
  <c r="E38" i="1"/>
  <c r="E37" i="1"/>
  <c r="E33" i="1"/>
  <c r="E31" i="1"/>
  <c r="E36" i="1"/>
  <c r="E35" i="1"/>
  <c r="E34" i="1"/>
  <c r="E32" i="1"/>
  <c r="E30" i="1"/>
  <c r="E29" i="1"/>
  <c r="E28" i="1"/>
  <c r="E27" i="1"/>
  <c r="A25" i="1"/>
  <c r="E18" i="1"/>
  <c r="M81" i="1" l="1"/>
  <c r="C72" i="1"/>
  <c r="M75" i="1" s="1"/>
  <c r="M96" i="1"/>
  <c r="B95" i="1"/>
  <c r="M104" i="1" s="1"/>
  <c r="D118" i="1"/>
  <c r="M83" i="1"/>
  <c r="M91" i="1" s="1"/>
  <c r="M90" i="1"/>
  <c r="M86" i="1" s="1"/>
  <c r="M84" i="1"/>
  <c r="B26" i="1"/>
  <c r="M27" i="1"/>
  <c r="M44" i="1" s="1"/>
  <c r="M40" i="1" s="1"/>
  <c r="E16" i="1"/>
  <c r="E15" i="1"/>
  <c r="M119" i="1" l="1"/>
  <c r="B118" i="1"/>
  <c r="M127" i="1" s="1"/>
  <c r="M107" i="1"/>
  <c r="M113" i="1"/>
  <c r="M109" i="1" s="1"/>
  <c r="M106" i="1"/>
  <c r="M114" i="1" s="1"/>
  <c r="D141" i="1"/>
  <c r="C95" i="1"/>
  <c r="M98" i="1" s="1"/>
  <c r="C26" i="1"/>
  <c r="M29" i="1" s="1"/>
  <c r="M35" i="1"/>
  <c r="M38" i="1"/>
  <c r="M37" i="1"/>
  <c r="M45" i="1" s="1"/>
  <c r="E14" i="1"/>
  <c r="E13" i="1"/>
  <c r="E12" i="1"/>
  <c r="E11" i="1"/>
  <c r="E10" i="1"/>
  <c r="D9" i="1"/>
  <c r="C118" i="1" l="1"/>
  <c r="M121" i="1" s="1"/>
  <c r="B141" i="1"/>
  <c r="M150" i="1" s="1"/>
  <c r="M142" i="1"/>
  <c r="M129" i="1"/>
  <c r="M137" i="1" s="1"/>
  <c r="M136" i="1"/>
  <c r="M132" i="1" s="1"/>
  <c r="M130" i="1"/>
  <c r="B9" i="1"/>
  <c r="A8" i="1"/>
  <c r="C141" i="1" l="1"/>
  <c r="M144" i="1" s="1"/>
  <c r="M153" i="1"/>
  <c r="M152" i="1"/>
  <c r="M160" i="1" s="1"/>
  <c r="M159" i="1"/>
  <c r="M155" i="1" s="1"/>
  <c r="C9" i="1"/>
  <c r="E95" i="93" l="1"/>
  <c r="E94" i="93"/>
  <c r="E93" i="93"/>
  <c r="E92" i="93"/>
  <c r="E91" i="93"/>
  <c r="E88" i="93"/>
  <c r="E87" i="93"/>
  <c r="E86" i="93"/>
  <c r="E85" i="93"/>
  <c r="E84" i="93"/>
  <c r="E83" i="93"/>
  <c r="E80" i="93"/>
  <c r="E79" i="93"/>
  <c r="E78" i="93"/>
  <c r="E77" i="93"/>
  <c r="E76" i="93"/>
  <c r="E75" i="93"/>
  <c r="E74" i="93"/>
  <c r="E73" i="93"/>
  <c r="E70" i="93"/>
  <c r="E69" i="93"/>
  <c r="E68" i="93"/>
  <c r="E67" i="93"/>
  <c r="E64" i="93"/>
  <c r="E63" i="93"/>
  <c r="E62" i="93"/>
  <c r="E61" i="93"/>
  <c r="E60" i="93"/>
  <c r="E59" i="93"/>
  <c r="E58" i="93"/>
  <c r="E57" i="93"/>
  <c r="E56" i="93"/>
  <c r="E55" i="93"/>
  <c r="E54" i="93"/>
  <c r="E51" i="93"/>
  <c r="E50" i="93"/>
  <c r="E49" i="93"/>
  <c r="E48" i="93"/>
  <c r="E47" i="93"/>
  <c r="E46" i="93"/>
  <c r="E43" i="93"/>
  <c r="E42" i="93"/>
  <c r="E41" i="93"/>
  <c r="E40" i="93"/>
  <c r="E37" i="93"/>
  <c r="E36" i="93"/>
  <c r="E35" i="93"/>
  <c r="E34" i="93"/>
  <c r="E33" i="93"/>
  <c r="E32" i="93"/>
  <c r="E31" i="93"/>
  <c r="E30" i="93"/>
  <c r="E27" i="93"/>
  <c r="E26" i="93"/>
  <c r="E25" i="93"/>
  <c r="E24" i="93"/>
  <c r="E23" i="93"/>
  <c r="E22" i="93"/>
  <c r="E21" i="93"/>
  <c r="E20" i="93"/>
  <c r="E17" i="93"/>
  <c r="E16" i="93"/>
  <c r="E15" i="93"/>
  <c r="E14" i="93"/>
  <c r="E13" i="93"/>
  <c r="E12" i="93"/>
  <c r="E11" i="93"/>
  <c r="E10" i="93"/>
  <c r="E9" i="93"/>
  <c r="E8" i="93"/>
  <c r="E7" i="93"/>
  <c r="E6" i="93"/>
  <c r="E5" i="93"/>
  <c r="E4" i="93"/>
  <c r="E3" i="93"/>
</calcChain>
</file>

<file path=xl/sharedStrings.xml><?xml version="1.0" encoding="utf-8"?>
<sst xmlns="http://schemas.openxmlformats.org/spreadsheetml/2006/main" count="636" uniqueCount="255">
  <si>
    <t>Author: Overing</t>
    <phoneticPr fontId="2" type="noConversion"/>
  </si>
  <si>
    <t>當標題是</t>
    <phoneticPr fontId="2" type="noConversion"/>
  </si>
  <si>
    <t>且選項值為</t>
    <phoneticPr fontId="2" type="noConversion"/>
  </si>
  <si>
    <t>把後面的標題設定成…</t>
    <phoneticPr fontId="2" type="noConversion"/>
  </si>
  <si>
    <r>
      <t>沒有 '#' 開頭的 Sheet 會被當作輸出 XML 的主要資料來源</t>
    </r>
    <r>
      <rPr>
        <sz val="12"/>
        <rFont val="新細明體"/>
        <family val="1"/>
        <charset val="136"/>
      </rPr>
      <t xml:space="preserve">
Sheet name 會被做為輸出的 Node name           請依需求修改
如果需要自己開空的 Sheet 整理資料使用
請在最前方加上 '#' 符號避開輸出功能</t>
    </r>
    <phoneticPr fontId="2" type="noConversion"/>
  </si>
  <si>
    <r>
      <t>#DEFINE</t>
    </r>
    <r>
      <rPr>
        <sz val="12"/>
        <rFont val="新細明體"/>
        <family val="1"/>
        <charset val="136"/>
      </rPr>
      <t xml:space="preserve"> Sheet 功能
輸出 DEFINE Node 的資料列
Head 列要有值 且 下方任一 Row 有值才會被輸出</t>
    </r>
    <phoneticPr fontId="2" type="noConversion"/>
  </si>
  <si>
    <r>
      <t>#ALIAS</t>
    </r>
    <r>
      <rPr>
        <sz val="12"/>
        <rFont val="新細明體"/>
        <family val="1"/>
        <charset val="136"/>
      </rPr>
      <t xml:space="preserve"> Sheet 功能
輸出後 主要設定 Node 的 Attribute name 對照
主要設定 Sheet 的 Head 只要能在 ALIAS Sheet 的 Row1 被找到
就會輸出 ALIAS Sheet 的 Row2 名稱到 XML
反之 有在主要設定 Sheet 裡但是 ALIAS Sheet 找不到的 Column 就不會被輸出
可以拿來做為只有在表格上看得到的註解列使用</t>
    </r>
    <phoneticPr fontId="2" type="noConversion"/>
  </si>
  <si>
    <r>
      <t>#OPTION</t>
    </r>
    <r>
      <rPr>
        <sz val="12"/>
        <rFont val="新細明體"/>
        <family val="1"/>
        <charset val="136"/>
      </rPr>
      <t xml:space="preserve"> Sheet 功能
主要 Sheet 中需要被做成選項的項目參照
Head 為有選項的選項標題
後續值就是可以選項項目列舉
(被 #PARAM Sheet 設定變更過的 Head 也有用)</t>
    </r>
    <phoneticPr fontId="2" type="noConversion"/>
  </si>
  <si>
    <t>Update Note</t>
    <phoneticPr fontId="2" type="noConversion"/>
  </si>
  <si>
    <t>2015/09/07: 調整載入 Option 方式為設定定義名稱 (解決選項不能超過 255 字 bug)</t>
    <phoneticPr fontId="2" type="noConversion"/>
  </si>
  <si>
    <t>2015/09/10: 調整輸出巨集，改善輸出耗費時間 (減半)</t>
    <phoneticPr fontId="2" type="noConversion"/>
  </si>
  <si>
    <t>輸出路徑或參考檔案</t>
    <phoneticPr fontId="2" type="noConversion"/>
  </si>
  <si>
    <r>
      <t>#OUTPUT</t>
    </r>
    <r>
      <rPr>
        <sz val="12"/>
        <rFont val="新細明體"/>
        <family val="1"/>
        <charset val="136"/>
      </rPr>
      <t xml:space="preserve"> Sheet 功能
與前一版表格功能類似 不過改成可以讀檔或路徑兩者皆可
如果是檔案 就把他開起來讀取裡面的行當 </t>
    </r>
    <r>
      <rPr>
        <sz val="12"/>
        <rFont val="新細明體"/>
        <family val="1"/>
        <charset val="136"/>
      </rPr>
      <t xml:space="preserve">xml </t>
    </r>
    <r>
      <rPr>
        <sz val="12"/>
        <rFont val="新細明體"/>
        <family val="1"/>
        <charset val="136"/>
      </rPr>
      <t>輸出路徑
如果是路徑 就直接往該路徑輸出</t>
    </r>
    <r>
      <rPr>
        <sz val="12"/>
        <rFont val="新細明體"/>
        <family val="1"/>
        <charset val="136"/>
      </rPr>
      <t xml:space="preserve"> xml</t>
    </r>
    <phoneticPr fontId="2" type="noConversion"/>
  </si>
  <si>
    <t>2015/11/03: 調整巨集
 * 輸出再加速 (已經可以跟原本的 xml scheam 版比了)
 * 輸出超過 1000 筆資料量時 Call DoEvents (解決UI卡死 讓人以為當掉的問題)
 * 縮小無法 Undo 的影響範圍
 * 註解掉 HttpPost ReloadSetting 動作</t>
    <phoneticPr fontId="2" type="noConversion"/>
  </si>
  <si>
    <r>
      <t>#PARAM</t>
    </r>
    <r>
      <rPr>
        <sz val="12"/>
        <rFont val="新細明體"/>
        <family val="1"/>
        <charset val="136"/>
      </rPr>
      <t xml:space="preserve"> Sheet 功能
主要 Sheet 中 Head 需要根據選項變化的項目
當 標題 與 其下 Cell 值符合時會替換之後的標題
</t>
    </r>
    <r>
      <rPr>
        <sz val="12"/>
        <color indexed="10"/>
        <rFont val="新細明體"/>
        <family val="1"/>
        <charset val="136"/>
      </rPr>
      <t>需要留下一列 "當沒有選值的時候要指定的標題" 復原原始的標題才能正常輸出</t>
    </r>
    <r>
      <rPr>
        <sz val="12"/>
        <rFont val="新細明體"/>
        <family val="1"/>
        <charset val="136"/>
      </rPr>
      <t xml:space="preserve">
(需要注意重疊問題 請慎用 不然會無限迴圈XD)</t>
    </r>
    <phoneticPr fontId="2" type="noConversion"/>
  </si>
  <si>
    <t>2015/11/04: 修改說明注意事項</t>
    <phoneticPr fontId="2" type="noConversion"/>
  </si>
  <si>
    <t>Version: 2019/09/17</t>
    <phoneticPr fontId="2" type="noConversion"/>
  </si>
  <si>
    <t>輸出到XML時取代成…</t>
    <phoneticPr fontId="2" type="noConversion"/>
  </si>
  <si>
    <t>且值為</t>
    <phoneticPr fontId="2" type="noConversion"/>
  </si>
  <si>
    <t>2019/09/17:
* 支援複數同前綴欄位使用 "[]" 尾綴定義 #ALIAS Sheet 將值輸出到子節點 (方便程式碼使用陣列載入)
* 支援複數同前綴欄位使用 "[]" 尾綴定義 #OPTION Sheet 一次定義所有選項下拉選單
* 支援複數同前綴欄位使用 "[]" 尾綴定義 #PARAM Sheet 一次定義所有標題置換規則
* 新增 #DEFINE Sheet 做輸出值轉換</t>
    <phoneticPr fontId="2" type="noConversion"/>
  </si>
  <si>
    <t>/</t>
    <phoneticPr fontId="2" type="noConversion"/>
  </si>
  <si>
    <t>1</t>
    <phoneticPr fontId="2" type="noConversion"/>
  </si>
  <si>
    <t>4</t>
  </si>
  <si>
    <t>5</t>
  </si>
  <si>
    <t>6</t>
    <phoneticPr fontId="2" type="noConversion"/>
  </si>
  <si>
    <t>2</t>
    <phoneticPr fontId="2" type="noConversion"/>
  </si>
  <si>
    <t>3</t>
    <phoneticPr fontId="2" type="noConversion"/>
  </si>
  <si>
    <t>類型</t>
    <phoneticPr fontId="2" type="noConversion"/>
  </si>
  <si>
    <t>Type</t>
    <phoneticPr fontId="2" type="noConversion"/>
  </si>
  <si>
    <t>物件</t>
  </si>
  <si>
    <t>速度</t>
  </si>
  <si>
    <t>移動角度</t>
  </si>
  <si>
    <t>6</t>
  </si>
  <si>
    <t>8</t>
  </si>
  <si>
    <t>10</t>
  </si>
  <si>
    <t>行動時間</t>
  </si>
  <si>
    <t>ParamVals[]</t>
    <phoneticPr fontId="2" type="noConversion"/>
  </si>
  <si>
    <t>2</t>
  </si>
  <si>
    <t>3</t>
  </si>
  <si>
    <t>7</t>
  </si>
  <si>
    <t>9</t>
  </si>
  <si>
    <t>11</t>
  </si>
  <si>
    <t>12</t>
  </si>
  <si>
    <t>13</t>
  </si>
  <si>
    <t>14</t>
  </si>
  <si>
    <t>符卡</t>
  </si>
  <si>
    <t>HP</t>
  </si>
  <si>
    <t>無敵</t>
  </si>
  <si>
    <t>BOSS</t>
  </si>
  <si>
    <t>順序</t>
    <phoneticPr fontId="2" type="noConversion"/>
  </si>
  <si>
    <t>Order</t>
    <phoneticPr fontId="2" type="noConversion"/>
  </si>
  <si>
    <t>ParamVals2</t>
  </si>
  <si>
    <t>ParamVals3</t>
  </si>
  <si>
    <t>ParamVals4</t>
  </si>
  <si>
    <t>ParamVals5</t>
  </si>
  <si>
    <t>ParamVals6</t>
  </si>
  <si>
    <t>ParamVals7</t>
  </si>
  <si>
    <t>ParamVals8</t>
  </si>
  <si>
    <t>ParamVals9</t>
  </si>
  <si>
    <t>ParamVals10</t>
  </si>
  <si>
    <t>ParamVals11</t>
  </si>
  <si>
    <t>ParamVals12</t>
  </si>
  <si>
    <t>ParamVals13</t>
  </si>
  <si>
    <t>ParamVals14</t>
  </si>
  <si>
    <t>ParamVals15</t>
  </si>
  <si>
    <t>ParamVals16</t>
  </si>
  <si>
    <t>ParamVals17</t>
  </si>
  <si>
    <t>ParamVals18</t>
  </si>
  <si>
    <t>ParamVals19</t>
  </si>
  <si>
    <t>ParamVals20</t>
  </si>
  <si>
    <t>ParamVals21</t>
  </si>
  <si>
    <t>ParamVals22</t>
  </si>
  <si>
    <t>ParamVals23</t>
  </si>
  <si>
    <t>ParamVals24</t>
  </si>
  <si>
    <t>ParamVals25</t>
  </si>
  <si>
    <t>ParamVals26</t>
  </si>
  <si>
    <t>ParamVals27</t>
  </si>
  <si>
    <t>ParamVals28</t>
  </si>
  <si>
    <t>ParamVals29</t>
  </si>
  <si>
    <t>ParamVals30</t>
  </si>
  <si>
    <t>ParamVals31</t>
  </si>
  <si>
    <t>ParamVals32</t>
  </si>
  <si>
    <t>ParamVals33</t>
  </si>
  <si>
    <t>ParamVals34</t>
  </si>
  <si>
    <t>ParamVals35</t>
  </si>
  <si>
    <t>ParamVals36</t>
  </si>
  <si>
    <t>ParamVals37</t>
  </si>
  <si>
    <t>ParamVals38</t>
  </si>
  <si>
    <t>ParamVals39</t>
  </si>
  <si>
    <t>ParamVals40</t>
  </si>
  <si>
    <t>ParamVals41</t>
  </si>
  <si>
    <t>ParamVals42</t>
  </si>
  <si>
    <t>ParamVals43</t>
  </si>
  <si>
    <t>ID</t>
  </si>
  <si>
    <t>ParamVals0</t>
    <phoneticPr fontId="2" type="noConversion"/>
  </si>
  <si>
    <t>ParamVals1</t>
  </si>
  <si>
    <t>4</t>
    <phoneticPr fontId="2" type="noConversion"/>
  </si>
  <si>
    <t>回收時間</t>
  </si>
  <si>
    <t>移位置</t>
  </si>
  <si>
    <t>玩家</t>
  </si>
  <si>
    <t>動畫</t>
  </si>
  <si>
    <t>行動ID</t>
  </si>
  <si>
    <t>玩家子彈</t>
  </si>
  <si>
    <t>標題</t>
  </si>
  <si>
    <t>對話</t>
  </si>
  <si>
    <t>傷害</t>
  </si>
  <si>
    <t>Name</t>
  </si>
  <si>
    <t>死亡時間</t>
  </si>
  <si>
    <t>最小速度</t>
  </si>
  <si>
    <t>最大速度</t>
  </si>
  <si>
    <t>BOSSDEAD</t>
  </si>
  <si>
    <t>加移動角度</t>
  </si>
  <si>
    <t>旋轉角度</t>
  </si>
  <si>
    <t>加旋轉角度</t>
  </si>
  <si>
    <t>旋轉是移動角度</t>
  </si>
  <si>
    <t>加速度</t>
  </si>
  <si>
    <t>相對位置</t>
  </si>
  <si>
    <t>貫穿</t>
  </si>
  <si>
    <t>Sprite</t>
  </si>
  <si>
    <t>時位時間</t>
  </si>
  <si>
    <t>時位位置</t>
  </si>
  <si>
    <t>時位變速點</t>
  </si>
  <si>
    <t>時位開始速度</t>
  </si>
  <si>
    <t>時位結束速度</t>
  </si>
  <si>
    <t>時位移動角度</t>
  </si>
  <si>
    <t>回收距離</t>
  </si>
  <si>
    <t>啟動依開始時間後</t>
  </si>
  <si>
    <t>啟動依結束時間前</t>
  </si>
  <si>
    <t>啟動依位置</t>
  </si>
  <si>
    <t>啟動依位置距離</t>
  </si>
  <si>
    <t>播放音樂</t>
  </si>
  <si>
    <t>關卡結束</t>
  </si>
  <si>
    <t>角度參數</t>
  </si>
  <si>
    <t>位置參數</t>
  </si>
  <si>
    <t>角度值</t>
  </si>
  <si>
    <t>角度IDs</t>
  </si>
  <si>
    <t>位置xy</t>
  </si>
  <si>
    <t>位置ID</t>
  </si>
  <si>
    <t>位置Gene</t>
  </si>
  <si>
    <t>PosParamType</t>
    <phoneticPr fontId="2" type="noConversion"/>
  </si>
  <si>
    <t>AngleParamType</t>
    <phoneticPr fontId="2" type="noConversion"/>
  </si>
  <si>
    <t>PosParamType</t>
  </si>
  <si>
    <t>啟動依ID</t>
  </si>
  <si>
    <t>新參照位置12</t>
    <phoneticPr fontId="2" type="noConversion"/>
  </si>
  <si>
    <t>ID</t>
    <phoneticPr fontId="2" type="noConversion"/>
  </si>
  <si>
    <t>復位</t>
  </si>
  <si>
    <t>Power</t>
  </si>
  <si>
    <t>下一關</t>
  </si>
  <si>
    <t>101</t>
    <phoneticPr fontId="2" type="noConversion"/>
  </si>
  <si>
    <t>啟動依遊戲時間</t>
  </si>
  <si>
    <t>102</t>
  </si>
  <si>
    <t>103</t>
  </si>
  <si>
    <t>104</t>
  </si>
  <si>
    <t>105</t>
  </si>
  <si>
    <t>106</t>
  </si>
  <si>
    <t>啟動依玩家死亡</t>
  </si>
  <si>
    <t>107</t>
  </si>
  <si>
    <t>啟動位置是活動</t>
  </si>
  <si>
    <t>108</t>
  </si>
  <si>
    <t>201</t>
    <phoneticPr fontId="2" type="noConversion"/>
  </si>
  <si>
    <t>202</t>
  </si>
  <si>
    <t>203</t>
  </si>
  <si>
    <t>204</t>
  </si>
  <si>
    <t>205</t>
  </si>
  <si>
    <t>206</t>
  </si>
  <si>
    <t>Power掉落</t>
  </si>
  <si>
    <t>207</t>
  </si>
  <si>
    <t>加ID</t>
  </si>
  <si>
    <t>208</t>
  </si>
  <si>
    <t>301</t>
    <phoneticPr fontId="2" type="noConversion"/>
  </si>
  <si>
    <t>302</t>
  </si>
  <si>
    <t>303</t>
  </si>
  <si>
    <t>401</t>
    <phoneticPr fontId="2" type="noConversion"/>
  </si>
  <si>
    <t>402</t>
  </si>
  <si>
    <t>403</t>
  </si>
  <si>
    <t>加位置</t>
  </si>
  <si>
    <t>404</t>
  </si>
  <si>
    <t>501</t>
    <phoneticPr fontId="2" type="noConversion"/>
  </si>
  <si>
    <t>502</t>
  </si>
  <si>
    <t>503</t>
  </si>
  <si>
    <t>504</t>
  </si>
  <si>
    <t>505</t>
  </si>
  <si>
    <t>加角度</t>
  </si>
  <si>
    <t>506</t>
  </si>
  <si>
    <t>507</t>
  </si>
  <si>
    <t>601</t>
    <phoneticPr fontId="2" type="noConversion"/>
  </si>
  <si>
    <t>602</t>
  </si>
  <si>
    <t>603</t>
  </si>
  <si>
    <t>604</t>
  </si>
  <si>
    <t>是界內</t>
  </si>
  <si>
    <t>701</t>
    <phoneticPr fontId="2" type="noConversion"/>
  </si>
  <si>
    <t>702</t>
  </si>
  <si>
    <t>703</t>
  </si>
  <si>
    <t>704</t>
  </si>
  <si>
    <t>出生動畫速率</t>
  </si>
  <si>
    <t>705</t>
  </si>
  <si>
    <t>出生動畫時間</t>
  </si>
  <si>
    <t>706</t>
  </si>
  <si>
    <t>出生動畫開始</t>
  </si>
  <si>
    <t>707</t>
  </si>
  <si>
    <t>行動ID結束</t>
  </si>
  <si>
    <t>708</t>
  </si>
  <si>
    <t>801</t>
    <phoneticPr fontId="2" type="noConversion"/>
  </si>
  <si>
    <t>802</t>
  </si>
  <si>
    <t>803</t>
  </si>
  <si>
    <t>804</t>
  </si>
  <si>
    <t>805</t>
  </si>
  <si>
    <t>806</t>
  </si>
  <si>
    <t>玩家遊戲時間</t>
  </si>
  <si>
    <t>901</t>
    <phoneticPr fontId="2" type="noConversion"/>
  </si>
  <si>
    <t>玩家子彈間隔</t>
  </si>
  <si>
    <t>902</t>
  </si>
  <si>
    <t>玩家Power需求</t>
  </si>
  <si>
    <t>903</t>
  </si>
  <si>
    <t>玩家Shift</t>
  </si>
  <si>
    <t>904</t>
  </si>
  <si>
    <t>玩家子彈延遲</t>
  </si>
  <si>
    <t>905</t>
  </si>
  <si>
    <t>位置參數角距距離</t>
  </si>
  <si>
    <t>位置參數角距角度</t>
  </si>
  <si>
    <t>新參照位置</t>
  </si>
  <si>
    <t>新參照角度</t>
  </si>
  <si>
    <t>角度ID旋轉</t>
  </si>
  <si>
    <t>Self = 1,
Parent = 2,
Player = 3,
Boss = 4,
Center=5,
BossHome=6,</t>
    <phoneticPr fontId="2" type="noConversion"/>
  </si>
  <si>
    <t>新參照位置12</t>
  </si>
  <si>
    <t>符卡時間</t>
    <phoneticPr fontId="2" type="noConversion"/>
  </si>
  <si>
    <t>304</t>
  </si>
  <si>
    <t/>
  </si>
  <si>
    <t>BOSSLEAVE</t>
    <phoneticPr fontId="2" type="noConversion"/>
  </si>
  <si>
    <t>15</t>
  </si>
  <si>
    <t>子旋轉角度</t>
    <phoneticPr fontId="2" type="noConversion"/>
  </si>
  <si>
    <t>508</t>
  </si>
  <si>
    <r>
      <rPr>
        <sz val="11"/>
        <rFont val="Microsoft JhengHei UI"/>
        <family val="3"/>
        <charset val="136"/>
      </rPr>
      <t>子</t>
    </r>
    <r>
      <rPr>
        <sz val="11"/>
        <rFont val="微軟正黑體"/>
        <family val="3"/>
        <charset val="136"/>
      </rPr>
      <t>加旋轉角度</t>
    </r>
    <phoneticPr fontId="2" type="noConversion"/>
  </si>
  <si>
    <t>509</t>
  </si>
  <si>
    <t>加旋轉角度</t>
    <phoneticPr fontId="2" type="noConversion"/>
  </si>
  <si>
    <t>記錄位置</t>
    <phoneticPr fontId="2" type="noConversion"/>
  </si>
  <si>
    <t>405</t>
  </si>
  <si>
    <t>記錄位置序號</t>
    <phoneticPr fontId="2" type="noConversion"/>
  </si>
  <si>
    <t>406</t>
  </si>
  <si>
    <t>記錄角度</t>
    <phoneticPr fontId="2" type="noConversion"/>
  </si>
  <si>
    <t>510</t>
  </si>
  <si>
    <t>511</t>
  </si>
  <si>
    <t>記錄角度ID</t>
    <phoneticPr fontId="2" type="noConversion"/>
  </si>
  <si>
    <t>角度ID記錄</t>
    <phoneticPr fontId="2" type="noConversion"/>
  </si>
  <si>
    <t>記錄位置ID</t>
    <phoneticPr fontId="2" type="noConversion"/>
  </si>
  <si>
    <t>角度ID移動角度</t>
    <phoneticPr fontId="2" type="noConversion"/>
  </si>
  <si>
    <t>7</t>
    <phoneticPr fontId="2" type="noConversion"/>
  </si>
  <si>
    <t>20100</t>
    <phoneticPr fontId="2" type="noConversion"/>
  </si>
  <si>
    <t>Empty</t>
    <phoneticPr fontId="2" type="noConversion"/>
  </si>
  <si>
    <t>20200</t>
  </si>
  <si>
    <t>20200</t>
    <phoneticPr fontId="2" type="noConversion"/>
  </si>
  <si>
    <t>EnemyShot3</t>
  </si>
  <si>
    <t>EnemyShot3</t>
    <phoneticPr fontId="2" type="noConversion"/>
  </si>
  <si>
    <t>Shot3_yellow</t>
  </si>
  <si>
    <t>Shot3_yellow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</si>
</sst>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37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12"/>
      <color indexed="9"/>
      <name val="新細明體"/>
      <family val="1"/>
      <charset val="136"/>
    </font>
    <font>
      <sz val="12"/>
      <color indexed="60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2"/>
      <color indexed="52"/>
      <name val="新細明體"/>
      <family val="1"/>
      <charset val="136"/>
    </font>
    <font>
      <sz val="12"/>
      <color indexed="52"/>
      <name val="新細明體"/>
      <family val="1"/>
      <charset val="136"/>
    </font>
    <font>
      <i/>
      <sz val="12"/>
      <color indexed="23"/>
      <name val="新細明體"/>
      <family val="1"/>
      <charset val="136"/>
    </font>
    <font>
      <sz val="11"/>
      <color indexed="8"/>
      <name val="ＭＳ Ｐゴシック"/>
      <family val="2"/>
      <charset val="128"/>
    </font>
    <font>
      <sz val="11"/>
      <color indexed="8"/>
      <name val="新細明體"/>
      <family val="1"/>
      <charset val="136"/>
    </font>
    <font>
      <sz val="12"/>
      <name val="微軟正黑體"/>
      <family val="2"/>
      <charset val="136"/>
    </font>
    <font>
      <b/>
      <sz val="18"/>
      <color indexed="56"/>
      <name val="新細明體"/>
      <family val="1"/>
      <charset val="136"/>
    </font>
    <font>
      <b/>
      <sz val="15"/>
      <color indexed="56"/>
      <name val="新細明體"/>
      <family val="1"/>
      <charset val="136"/>
    </font>
    <font>
      <b/>
      <sz val="13"/>
      <color indexed="56"/>
      <name val="新細明體"/>
      <family val="1"/>
      <charset val="136"/>
    </font>
    <font>
      <b/>
      <sz val="11"/>
      <color indexed="56"/>
      <name val="新細明體"/>
      <family val="1"/>
      <charset val="136"/>
    </font>
    <font>
      <sz val="12"/>
      <color indexed="62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color indexed="10"/>
      <name val="新細明體"/>
      <family val="1"/>
      <charset val="136"/>
    </font>
    <font>
      <b/>
      <sz val="12"/>
      <name val="新細明體"/>
      <family val="1"/>
      <charset val="136"/>
    </font>
    <font>
      <b/>
      <sz val="12"/>
      <color theme="0"/>
      <name val="新細明體"/>
      <family val="1"/>
      <charset val="136"/>
    </font>
    <font>
      <sz val="14"/>
      <name val="細明體"/>
      <family val="1"/>
      <charset val="136"/>
    </font>
    <font>
      <sz val="12"/>
      <color theme="0"/>
      <name val="新細明體"/>
      <family val="1"/>
      <charset val="136"/>
    </font>
    <font>
      <sz val="11"/>
      <color rgb="FFCCCCCC"/>
      <name val="Consolas"/>
      <family val="3"/>
    </font>
    <font>
      <sz val="11"/>
      <color rgb="FF4FC1FF"/>
      <name val="Consolas"/>
      <family val="3"/>
    </font>
    <font>
      <sz val="14"/>
      <color theme="0"/>
      <name val="細明體"/>
      <family val="1"/>
      <charset val="136"/>
    </font>
    <font>
      <sz val="12"/>
      <name val="Microsoft JhengHei"/>
      <family val="1"/>
      <charset val="136"/>
    </font>
    <font>
      <sz val="11"/>
      <name val="Consolas"/>
      <family val="3"/>
    </font>
    <font>
      <sz val="10"/>
      <name val="新細明體"/>
      <family val="1"/>
      <charset val="136"/>
    </font>
    <font>
      <sz val="11"/>
      <name val="Microsoft JhengHei"/>
      <family val="3"/>
    </font>
    <font>
      <sz val="11"/>
      <name val="微軟正黑體"/>
      <family val="3"/>
      <charset val="136"/>
    </font>
    <font>
      <sz val="11"/>
      <name val="Microsoft JhengHei UI"/>
      <family val="3"/>
      <charset val="136"/>
    </font>
    <font>
      <sz val="11"/>
      <name val="微軟正黑體"/>
      <family val="2"/>
      <charset val="136"/>
    </font>
  </fonts>
  <fills count="2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4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theme="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</borders>
  <cellStyleXfs count="64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6" fillId="0" borderId="1" applyNumberFormat="0" applyFill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8" fillId="17" borderId="2" applyNumberFormat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1" fillId="18" borderId="4" applyNumberFormat="0" applyFont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" fillId="0" borderId="0"/>
    <xf numFmtId="0" fontId="1" fillId="0" borderId="0"/>
    <xf numFmtId="0" fontId="14" fillId="0" borderId="0" applyNumberFormat="0" applyFill="0" applyBorder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7" borderId="2" applyNumberFormat="0" applyAlignment="0" applyProtection="0">
      <alignment vertical="center"/>
    </xf>
    <xf numFmtId="0" fontId="19" fillId="17" borderId="8" applyNumberFormat="0" applyAlignment="0" applyProtection="0">
      <alignment vertical="center"/>
    </xf>
    <xf numFmtId="0" fontId="20" fillId="23" borderId="9" applyNumberFormat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</cellStyleXfs>
  <cellXfs count="28">
    <xf numFmtId="0" fontId="0" fillId="0" borderId="0" xfId="0">
      <alignment vertical="center"/>
    </xf>
    <xf numFmtId="0" fontId="23" fillId="0" borderId="0" xfId="0" applyFont="1">
      <alignment vertical="center"/>
    </xf>
    <xf numFmtId="0" fontId="0" fillId="0" borderId="0" xfId="0" applyAlignment="1">
      <alignment vertical="center" wrapText="1"/>
    </xf>
    <xf numFmtId="0" fontId="23" fillId="0" borderId="0" xfId="0" applyFont="1" applyAlignment="1">
      <alignment vertical="center" wrapText="1"/>
    </xf>
    <xf numFmtId="0" fontId="0" fillId="0" borderId="0" xfId="0" applyAlignment="1">
      <alignment horizontal="center" vertical="center"/>
    </xf>
    <xf numFmtId="0" fontId="24" fillId="24" borderId="0" xfId="0" applyFont="1" applyFill="1" applyAlignment="1">
      <alignment horizontal="center" vertical="center"/>
    </xf>
    <xf numFmtId="49" fontId="24" fillId="24" borderId="0" xfId="0" applyNumberFormat="1" applyFont="1" applyFill="1" applyAlignment="1">
      <alignment horizontal="center" vertical="center"/>
    </xf>
    <xf numFmtId="49" fontId="0" fillId="0" borderId="0" xfId="0" applyNumberFormat="1">
      <alignment vertical="center"/>
    </xf>
    <xf numFmtId="49" fontId="24" fillId="24" borderId="0" xfId="0" applyNumberFormat="1" applyFont="1" applyFill="1">
      <alignment vertical="center"/>
    </xf>
    <xf numFmtId="49" fontId="0" fillId="0" borderId="0" xfId="0" applyNumberFormat="1" applyAlignment="1">
      <alignment horizontal="center" vertical="center"/>
    </xf>
    <xf numFmtId="0" fontId="28" fillId="0" borderId="0" xfId="0" applyFont="1">
      <alignment vertical="center"/>
    </xf>
    <xf numFmtId="0" fontId="27" fillId="0" borderId="0" xfId="0" applyFont="1">
      <alignment vertical="center"/>
    </xf>
    <xf numFmtId="49" fontId="25" fillId="0" borderId="0" xfId="0" applyNumberFormat="1" applyFont="1" applyAlignment="1">
      <alignment horizontal="center" vertical="center"/>
    </xf>
    <xf numFmtId="49" fontId="26" fillId="25" borderId="0" xfId="0" applyNumberFormat="1" applyFont="1" applyFill="1" applyAlignment="1">
      <alignment horizontal="center" vertical="center"/>
    </xf>
    <xf numFmtId="49" fontId="0" fillId="26" borderId="0" xfId="0" applyNumberFormat="1" applyFill="1" applyAlignment="1">
      <alignment horizontal="center" vertical="center"/>
    </xf>
    <xf numFmtId="49" fontId="25" fillId="0" borderId="0" xfId="0" applyNumberFormat="1" applyFon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29" fillId="24" borderId="0" xfId="0" applyNumberFormat="1" applyFont="1" applyFill="1" applyAlignment="1">
      <alignment horizontal="left" vertical="center"/>
    </xf>
    <xf numFmtId="0" fontId="30" fillId="0" borderId="0" xfId="0" applyFont="1" applyAlignment="1">
      <alignment horizontal="center" vertical="center"/>
    </xf>
    <xf numFmtId="0" fontId="31" fillId="0" borderId="0" xfId="0" applyFont="1">
      <alignment vertical="center"/>
    </xf>
    <xf numFmtId="0" fontId="32" fillId="0" borderId="0" xfId="0" applyFont="1" applyAlignment="1">
      <alignment horizontal="center" vertical="center" wrapText="1"/>
    </xf>
    <xf numFmtId="1" fontId="0" fillId="0" borderId="0" xfId="0" applyNumberFormat="1" applyAlignment="1">
      <alignment horizontal="center" vertical="center"/>
    </xf>
    <xf numFmtId="1" fontId="29" fillId="24" borderId="0" xfId="0" applyNumberFormat="1" applyFont="1" applyFill="1" applyAlignment="1">
      <alignment horizontal="left" vertical="center"/>
    </xf>
    <xf numFmtId="0" fontId="33" fillId="0" borderId="0" xfId="0" applyFont="1">
      <alignment vertical="center"/>
    </xf>
    <xf numFmtId="0" fontId="34" fillId="0" borderId="0" xfId="0" applyFont="1">
      <alignment vertical="center"/>
    </xf>
    <xf numFmtId="0" fontId="36" fillId="0" borderId="0" xfId="0" applyFont="1">
      <alignment vertical="center"/>
    </xf>
    <xf numFmtId="176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</cellXfs>
  <cellStyles count="64">
    <cellStyle name="20% - 輔色1" xfId="1" builtinId="30" customBuiltin="1"/>
    <cellStyle name="20% - 輔色2" xfId="2" builtinId="34" customBuiltin="1"/>
    <cellStyle name="20% - 輔色3" xfId="3" builtinId="38" customBuiltin="1"/>
    <cellStyle name="20% - 輔色4" xfId="4" builtinId="42" customBuiltin="1"/>
    <cellStyle name="20% - 輔色5" xfId="5" builtinId="46" customBuiltin="1"/>
    <cellStyle name="20% - 輔色6" xfId="6" builtinId="50" customBuiltin="1"/>
    <cellStyle name="40% - 輔色1" xfId="7" builtinId="31" customBuiltin="1"/>
    <cellStyle name="40% - 輔色2" xfId="8" builtinId="35" customBuiltin="1"/>
    <cellStyle name="40% - 輔色3" xfId="9" builtinId="39" customBuiltin="1"/>
    <cellStyle name="40% - 輔色4" xfId="10" builtinId="43" customBuiltin="1"/>
    <cellStyle name="40% - 輔色5" xfId="11" builtinId="47" customBuiltin="1"/>
    <cellStyle name="40% - 輔色6" xfId="12" builtinId="51" customBuiltin="1"/>
    <cellStyle name="60% - 輔色1" xfId="13" builtinId="32" customBuiltin="1"/>
    <cellStyle name="60% - 輔色2" xfId="14" builtinId="36" customBuiltin="1"/>
    <cellStyle name="60% - 輔色3" xfId="15" builtinId="40" customBuiltin="1"/>
    <cellStyle name="60% - 輔色4" xfId="16" builtinId="44" customBuiltin="1"/>
    <cellStyle name="60% - 輔色5" xfId="17" builtinId="48" customBuiltin="1"/>
    <cellStyle name="60% - 輔色6" xfId="18" builtinId="52" customBuiltin="1"/>
    <cellStyle name="一般" xfId="0" builtinId="0"/>
    <cellStyle name="中等" xfId="19" builtinId="28" customBuiltin="1"/>
    <cellStyle name="合計" xfId="20" builtinId="25" customBuiltin="1"/>
    <cellStyle name="好" xfId="21" builtinId="26" customBuiltin="1"/>
    <cellStyle name="計算方式" xfId="22" builtinId="22" customBuiltin="1"/>
    <cellStyle name="連結的儲存格" xfId="23" builtinId="24" customBuiltin="1"/>
    <cellStyle name="備註" xfId="24" builtinId="10" customBuiltin="1"/>
    <cellStyle name="說明文字" xfId="25" builtinId="53" customBuiltin="1"/>
    <cellStyle name="輔色1" xfId="26" builtinId="29" customBuiltin="1"/>
    <cellStyle name="輔色2" xfId="27" builtinId="33" customBuiltin="1"/>
    <cellStyle name="輔色3" xfId="28" builtinId="37" customBuiltin="1"/>
    <cellStyle name="輔色4" xfId="29" builtinId="41" customBuiltin="1"/>
    <cellStyle name="輔色5" xfId="30" builtinId="45" customBuiltin="1"/>
    <cellStyle name="輔色6" xfId="31" builtinId="49" customBuiltin="1"/>
    <cellStyle name="標準 10" xfId="32" xr:uid="{00000000-0005-0000-0000-000021000000}"/>
    <cellStyle name="標準 11" xfId="33" xr:uid="{00000000-0005-0000-0000-000022000000}"/>
    <cellStyle name="標準 12" xfId="34" xr:uid="{00000000-0005-0000-0000-000023000000}"/>
    <cellStyle name="標準 13" xfId="35" xr:uid="{00000000-0005-0000-0000-000024000000}"/>
    <cellStyle name="標準 14" xfId="36" xr:uid="{00000000-0005-0000-0000-000025000000}"/>
    <cellStyle name="標準 19" xfId="37" xr:uid="{00000000-0005-0000-0000-000026000000}"/>
    <cellStyle name="標準 2" xfId="38" xr:uid="{00000000-0005-0000-0000-000027000000}"/>
    <cellStyle name="標準 2 2" xfId="39" xr:uid="{00000000-0005-0000-0000-000028000000}"/>
    <cellStyle name="標準 2 3" xfId="40" xr:uid="{00000000-0005-0000-0000-000029000000}"/>
    <cellStyle name="標準 2 4" xfId="41" xr:uid="{00000000-0005-0000-0000-00002A000000}"/>
    <cellStyle name="標準 2 5" xfId="42" xr:uid="{00000000-0005-0000-0000-00002B000000}"/>
    <cellStyle name="標準 2 6" xfId="43" xr:uid="{00000000-0005-0000-0000-00002C000000}"/>
    <cellStyle name="標準 3" xfId="44" xr:uid="{00000000-0005-0000-0000-00002D000000}"/>
    <cellStyle name="標準 3 2" xfId="45" xr:uid="{00000000-0005-0000-0000-00002E000000}"/>
    <cellStyle name="標準 3 3" xfId="46" xr:uid="{00000000-0005-0000-0000-00002F000000}"/>
    <cellStyle name="標準 3 4" xfId="47" xr:uid="{00000000-0005-0000-0000-000030000000}"/>
    <cellStyle name="標準 4" xfId="48" xr:uid="{00000000-0005-0000-0000-000031000000}"/>
    <cellStyle name="標準 5" xfId="49" xr:uid="{00000000-0005-0000-0000-000032000000}"/>
    <cellStyle name="標準 6" xfId="50" xr:uid="{00000000-0005-0000-0000-000033000000}"/>
    <cellStyle name="標準 7" xfId="51" xr:uid="{00000000-0005-0000-0000-000034000000}"/>
    <cellStyle name="標準 8" xfId="52" xr:uid="{00000000-0005-0000-0000-000035000000}"/>
    <cellStyle name="標準 9" xfId="53" xr:uid="{00000000-0005-0000-0000-000036000000}"/>
    <cellStyle name="標題" xfId="54" builtinId="15" customBuiltin="1"/>
    <cellStyle name="標題 1" xfId="55" builtinId="16" customBuiltin="1"/>
    <cellStyle name="標題 2" xfId="56" builtinId="17" customBuiltin="1"/>
    <cellStyle name="標題 3" xfId="57" builtinId="18" customBuiltin="1"/>
    <cellStyle name="標題 4" xfId="58" builtinId="19" customBuiltin="1"/>
    <cellStyle name="輸入" xfId="59" builtinId="20" customBuiltin="1"/>
    <cellStyle name="輸出" xfId="60" builtinId="21" customBuiltin="1"/>
    <cellStyle name="檢查儲存格" xfId="61" builtinId="23" customBuiltin="1"/>
    <cellStyle name="壞" xfId="62" builtinId="27" customBuiltin="1"/>
    <cellStyle name="警告文字" xfId="63" builtinId="11" customBuiltin="1"/>
  </cellStyles>
  <dxfs count="6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3" tint="0.39994506668294322"/>
      </font>
      <fill>
        <patternFill patternType="none">
          <bgColor auto="1"/>
        </patternFill>
      </fill>
    </dxf>
    <dxf>
      <fill>
        <patternFill>
          <bgColor theme="7" tint="0.79998168889431442"/>
        </patternFill>
      </fill>
    </dxf>
    <dxf>
      <font>
        <color theme="3" tint="0.39994506668294322"/>
      </font>
      <fill>
        <patternFill>
          <bgColor theme="7" tint="0.79998168889431442"/>
        </patternFill>
      </fill>
    </dxf>
    <dxf>
      <font>
        <color theme="3" tint="0.39994506668294322"/>
      </font>
      <fill>
        <patternFill patternType="none">
          <bgColor auto="1"/>
        </patternFill>
      </fill>
    </dxf>
    <dxf>
      <fill>
        <patternFill>
          <bgColor theme="7" tint="0.79998168889431442"/>
        </patternFill>
      </fill>
    </dxf>
    <dxf>
      <font>
        <color theme="3" tint="0.39994506668294322"/>
      </font>
      <fill>
        <patternFill>
          <bgColor theme="7" tint="0.79998168889431442"/>
        </patternFill>
      </fill>
    </dxf>
    <dxf>
      <font>
        <color theme="3" tint="0.39994506668294322"/>
      </font>
      <fill>
        <patternFill patternType="none">
          <bgColor auto="1"/>
        </patternFill>
      </fill>
    </dxf>
    <dxf>
      <fill>
        <patternFill>
          <bgColor theme="7" tint="0.79998168889431442"/>
        </patternFill>
      </fill>
    </dxf>
    <dxf>
      <font>
        <color theme="3" tint="0.39994506668294322"/>
      </font>
      <fill>
        <patternFill>
          <bgColor theme="7" tint="0.79998168889431442"/>
        </patternFill>
      </fill>
    </dxf>
    <dxf>
      <font>
        <color theme="3" tint="0.39994506668294322"/>
      </font>
      <fill>
        <patternFill patternType="none">
          <bgColor auto="1"/>
        </patternFill>
      </fill>
    </dxf>
    <dxf>
      <fill>
        <patternFill>
          <bgColor theme="7" tint="0.79998168889431442"/>
        </patternFill>
      </fill>
    </dxf>
    <dxf>
      <font>
        <color theme="3" tint="0.39994506668294322"/>
      </font>
      <fill>
        <patternFill>
          <bgColor theme="7" tint="0.79998168889431442"/>
        </patternFill>
      </fill>
    </dxf>
    <dxf>
      <font>
        <color theme="3" tint="0.39994506668294322"/>
      </font>
      <fill>
        <patternFill patternType="none">
          <bgColor auto="1"/>
        </patternFill>
      </fill>
    </dxf>
    <dxf>
      <fill>
        <patternFill>
          <bgColor theme="7" tint="0.79998168889431442"/>
        </patternFill>
      </fill>
    </dxf>
    <dxf>
      <font>
        <color theme="3" tint="0.39994506668294322"/>
      </font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theme="3" tint="0.39994506668294322"/>
      </font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3" tint="0.39994506668294322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H163"/>
  <sheetViews>
    <sheetView tabSelected="1" zoomScale="115" zoomScaleNormal="115" workbookViewId="0">
      <pane ySplit="1" topLeftCell="A2" activePane="bottomLeft" state="frozen"/>
      <selection pane="bottomLeft" activeCell="N8" sqref="N8"/>
    </sheetView>
  </sheetViews>
  <sheetFormatPr defaultRowHeight="19.5"/>
  <cols>
    <col min="1" max="4" width="6.125" style="21" customWidth="1"/>
    <col min="5" max="5" width="9" style="21"/>
    <col min="6" max="6" width="16.125" style="9" bestFit="1" customWidth="1"/>
    <col min="7" max="7" width="7.375" style="21" customWidth="1"/>
    <col min="8" max="8" width="7.875" style="21" customWidth="1"/>
    <col min="9" max="9" width="5.125" style="21" customWidth="1"/>
    <col min="10" max="10" width="9" style="9"/>
    <col min="11" max="11" width="17.5" style="9" bestFit="1" customWidth="1"/>
    <col min="12" max="12" width="20.25" style="9" bestFit="1" customWidth="1"/>
    <col min="13" max="13" width="24.375" style="21" bestFit="1" customWidth="1"/>
    <col min="14" max="14" width="16.125" style="9" customWidth="1"/>
    <col min="15" max="15" width="12.625" style="9" bestFit="1" customWidth="1"/>
    <col min="16" max="16" width="13.875" style="9" bestFit="1" customWidth="1"/>
    <col min="17" max="17" width="9" style="9"/>
    <col min="18" max="18" width="8" style="9" bestFit="1" customWidth="1"/>
    <col min="19" max="19" width="9.25" style="12" bestFit="1" customWidth="1"/>
    <col min="20" max="20" width="13.875" style="9" bestFit="1" customWidth="1"/>
    <col min="21" max="21" width="13.25" style="9" bestFit="1" customWidth="1"/>
    <col min="22" max="22" width="10.5" style="12" bestFit="1" customWidth="1"/>
    <col min="23" max="23" width="16.125" style="12" bestFit="1" customWidth="1"/>
    <col min="24" max="24" width="16.125" style="12" customWidth="1"/>
    <col min="25" max="26" width="16.125" style="15" bestFit="1" customWidth="1"/>
    <col min="27" max="31" width="13.25" style="15" bestFit="1" customWidth="1"/>
    <col min="32" max="33" width="13.25" style="16" bestFit="1" customWidth="1"/>
    <col min="34" max="60" width="14.625" style="16" bestFit="1" customWidth="1"/>
    <col min="61" max="16384" width="9" style="9"/>
  </cols>
  <sheetData>
    <row r="1" spans="1:60" s="17" customFormat="1">
      <c r="A1" s="22"/>
      <c r="B1" s="22"/>
      <c r="C1" s="22"/>
      <c r="D1" s="22"/>
      <c r="E1" s="22" t="s">
        <v>49</v>
      </c>
      <c r="F1" s="9" t="s">
        <v>27</v>
      </c>
      <c r="G1" s="22"/>
      <c r="H1" s="22"/>
      <c r="I1" s="22"/>
      <c r="K1" s="17" t="s">
        <v>139</v>
      </c>
      <c r="L1" s="17" t="s">
        <v>140</v>
      </c>
      <c r="M1" s="21" t="s">
        <v>94</v>
      </c>
      <c r="N1" s="6" t="s">
        <v>95</v>
      </c>
      <c r="O1" s="6" t="s">
        <v>51</v>
      </c>
      <c r="P1" s="6" t="s">
        <v>52</v>
      </c>
      <c r="Q1" s="6" t="s">
        <v>53</v>
      </c>
      <c r="R1" s="6" t="s">
        <v>54</v>
      </c>
      <c r="S1" s="6" t="s">
        <v>55</v>
      </c>
      <c r="T1" s="6" t="s">
        <v>56</v>
      </c>
      <c r="U1" s="6" t="s">
        <v>57</v>
      </c>
      <c r="V1" s="6" t="s">
        <v>58</v>
      </c>
      <c r="W1" s="6" t="s">
        <v>59</v>
      </c>
      <c r="X1" s="6" t="s">
        <v>60</v>
      </c>
      <c r="Y1" s="6" t="s">
        <v>61</v>
      </c>
      <c r="Z1" s="6" t="s">
        <v>62</v>
      </c>
      <c r="AA1" s="6" t="s">
        <v>63</v>
      </c>
      <c r="AB1" s="6" t="s">
        <v>64</v>
      </c>
      <c r="AC1" s="6" t="s">
        <v>65</v>
      </c>
      <c r="AD1" s="6" t="s">
        <v>66</v>
      </c>
      <c r="AE1" s="6" t="s">
        <v>67</v>
      </c>
      <c r="AF1" s="6" t="s">
        <v>68</v>
      </c>
      <c r="AG1" s="6" t="s">
        <v>69</v>
      </c>
      <c r="AH1" s="6" t="s">
        <v>70</v>
      </c>
      <c r="AI1" s="6" t="s">
        <v>71</v>
      </c>
      <c r="AJ1" s="6" t="s">
        <v>72</v>
      </c>
      <c r="AK1" s="6" t="s">
        <v>73</v>
      </c>
      <c r="AL1" s="6" t="s">
        <v>74</v>
      </c>
      <c r="AM1" s="6" t="s">
        <v>75</v>
      </c>
      <c r="AN1" s="6" t="s">
        <v>76</v>
      </c>
      <c r="AO1" s="6" t="s">
        <v>77</v>
      </c>
      <c r="AP1" s="6" t="s">
        <v>78</v>
      </c>
      <c r="AQ1" s="6" t="s">
        <v>79</v>
      </c>
      <c r="AR1" s="6" t="s">
        <v>80</v>
      </c>
      <c r="AS1" s="6" t="s">
        <v>81</v>
      </c>
      <c r="AT1" s="6" t="s">
        <v>82</v>
      </c>
      <c r="AU1" s="6" t="s">
        <v>83</v>
      </c>
      <c r="AV1" s="6" t="s">
        <v>84</v>
      </c>
      <c r="AW1" s="6" t="s">
        <v>85</v>
      </c>
      <c r="AX1" s="6" t="s">
        <v>86</v>
      </c>
      <c r="AY1" s="6" t="s">
        <v>87</v>
      </c>
      <c r="AZ1" s="6" t="s">
        <v>88</v>
      </c>
      <c r="BA1" s="6" t="s">
        <v>89</v>
      </c>
      <c r="BB1" s="6" t="s">
        <v>90</v>
      </c>
      <c r="BC1" s="6" t="s">
        <v>91</v>
      </c>
      <c r="BD1" s="6" t="s">
        <v>92</v>
      </c>
    </row>
    <row r="8" spans="1:60">
      <c r="A8" s="21">
        <f>G10*H10</f>
        <v>1</v>
      </c>
      <c r="B8" s="9"/>
      <c r="C8" s="9"/>
      <c r="D8" s="9"/>
      <c r="R8" s="12"/>
      <c r="S8" s="9"/>
      <c r="U8" s="12"/>
      <c r="X8" s="15"/>
      <c r="AE8" s="16"/>
      <c r="BH8" s="9"/>
    </row>
    <row r="9" spans="1:60">
      <c r="A9" s="21" t="s">
        <v>227</v>
      </c>
      <c r="B9" s="21">
        <f t="shared" ref="B9" si="0">QUOTIENT( D9-1,G10)+1</f>
        <v>1</v>
      </c>
      <c r="C9" s="21">
        <f t="shared" ref="C9" si="1">D9-(B9-1)*G10</f>
        <v>1</v>
      </c>
      <c r="D9" s="21">
        <f>COUNT($D$8:$D8)+1</f>
        <v>1</v>
      </c>
      <c r="R9" s="12"/>
      <c r="S9" s="9"/>
      <c r="U9" s="12"/>
      <c r="X9" s="15"/>
      <c r="AE9" s="16"/>
      <c r="BH9" s="9"/>
    </row>
    <row r="10" spans="1:60">
      <c r="E10" s="21">
        <f t="shared" ref="E10:E14" si="2">ROW(E10)</f>
        <v>10</v>
      </c>
      <c r="F10" s="9" t="s">
        <v>93</v>
      </c>
      <c r="G10" s="21">
        <v>1</v>
      </c>
      <c r="H10" s="21">
        <v>1</v>
      </c>
      <c r="J10" s="9" t="s">
        <v>247</v>
      </c>
      <c r="M10" s="21">
        <v>20100</v>
      </c>
      <c r="R10" s="12"/>
      <c r="S10" s="9"/>
      <c r="U10" s="12"/>
      <c r="X10" s="15"/>
      <c r="AE10" s="16"/>
      <c r="BH10" s="9"/>
    </row>
    <row r="11" spans="1:60">
      <c r="E11" s="21">
        <f t="shared" si="2"/>
        <v>11</v>
      </c>
      <c r="F11" s="9" t="s">
        <v>142</v>
      </c>
      <c r="M11" s="21">
        <v>199108</v>
      </c>
      <c r="R11" s="12"/>
      <c r="S11" s="9"/>
      <c r="U11" s="12"/>
      <c r="X11" s="15"/>
      <c r="AE11" s="16"/>
      <c r="BH11" s="9"/>
    </row>
    <row r="12" spans="1:60">
      <c r="E12" s="21">
        <f t="shared" si="2"/>
        <v>12</v>
      </c>
      <c r="F12" s="9" t="s">
        <v>126</v>
      </c>
      <c r="M12" s="21">
        <v>0</v>
      </c>
      <c r="R12" s="12"/>
      <c r="S12" s="9"/>
      <c r="U12" s="12"/>
      <c r="X12" s="15"/>
      <c r="AE12" s="16"/>
      <c r="BH12" s="9"/>
    </row>
    <row r="13" spans="1:60">
      <c r="E13" s="21">
        <f t="shared" si="2"/>
        <v>13</v>
      </c>
      <c r="F13" s="9" t="s">
        <v>29</v>
      </c>
      <c r="M13" s="21" t="s">
        <v>248</v>
      </c>
      <c r="R13" s="12"/>
      <c r="S13" s="9"/>
      <c r="U13" s="12"/>
      <c r="X13" s="15"/>
      <c r="AE13" s="16"/>
      <c r="BH13" s="9"/>
    </row>
    <row r="14" spans="1:60">
      <c r="E14" s="21">
        <f t="shared" si="2"/>
        <v>14</v>
      </c>
      <c r="F14" s="9" t="s">
        <v>98</v>
      </c>
      <c r="G14" s="9"/>
      <c r="H14" s="9"/>
      <c r="I14" s="9"/>
      <c r="K14" s="9" t="s">
        <v>137</v>
      </c>
      <c r="M14" s="21">
        <v>2</v>
      </c>
      <c r="R14" s="12"/>
      <c r="S14" s="9"/>
      <c r="U14" s="12"/>
      <c r="X14" s="15"/>
      <c r="AE14" s="16"/>
      <c r="BH14" s="9"/>
    </row>
    <row r="15" spans="1:60">
      <c r="E15" s="21">
        <f t="shared" ref="E15:E18" si="3">ROW(E15)</f>
        <v>15</v>
      </c>
      <c r="F15" s="9" t="s">
        <v>31</v>
      </c>
      <c r="L15" s="9" t="s">
        <v>134</v>
      </c>
      <c r="M15" s="21">
        <v>270</v>
      </c>
      <c r="R15" s="12"/>
      <c r="S15" s="9"/>
      <c r="U15" s="12"/>
      <c r="X15" s="15"/>
      <c r="AE15" s="16"/>
      <c r="BH15" s="9"/>
    </row>
    <row r="16" spans="1:60">
      <c r="E16" s="21">
        <f t="shared" si="3"/>
        <v>16</v>
      </c>
      <c r="F16" s="9" t="s">
        <v>30</v>
      </c>
      <c r="M16" s="26">
        <v>1.2</v>
      </c>
      <c r="R16" s="12"/>
      <c r="S16" s="9"/>
      <c r="U16" s="12"/>
      <c r="X16" s="15"/>
      <c r="AE16" s="16"/>
      <c r="BH16" s="9"/>
    </row>
    <row r="17" spans="1:60">
      <c r="F17" s="9" t="s">
        <v>115</v>
      </c>
      <c r="M17" s="26">
        <v>0.5</v>
      </c>
      <c r="R17" s="12"/>
      <c r="S17" s="9"/>
      <c r="U17" s="12"/>
      <c r="X17" s="15"/>
      <c r="AE17" s="16"/>
      <c r="BH17" s="9"/>
    </row>
    <row r="18" spans="1:60">
      <c r="E18" s="21">
        <f t="shared" si="3"/>
        <v>18</v>
      </c>
      <c r="F18" s="9" t="s">
        <v>97</v>
      </c>
      <c r="M18" s="26">
        <v>600</v>
      </c>
      <c r="R18" s="12"/>
      <c r="S18" s="9"/>
      <c r="U18" s="12"/>
      <c r="X18" s="15"/>
      <c r="AE18" s="16"/>
      <c r="BH18" s="9"/>
    </row>
    <row r="25" spans="1:60">
      <c r="A25" s="21">
        <f>G27*H27</f>
        <v>6</v>
      </c>
      <c r="B25" s="9"/>
      <c r="C25" s="9"/>
      <c r="D25" s="9"/>
    </row>
    <row r="26" spans="1:60">
      <c r="A26" s="21" t="s">
        <v>227</v>
      </c>
      <c r="B26" s="21">
        <f>QUOTIENT( D26-1,G27)+1</f>
        <v>1</v>
      </c>
      <c r="C26" s="21">
        <f>D26-(B26-1)*G27</f>
        <v>1</v>
      </c>
      <c r="D26" s="21">
        <f>COUNT($D$25:$D25)+1</f>
        <v>1</v>
      </c>
    </row>
    <row r="27" spans="1:60">
      <c r="E27" s="21">
        <f t="shared" ref="E27:E90" si="4">ROW(E27)</f>
        <v>27</v>
      </c>
      <c r="F27" s="9" t="s">
        <v>93</v>
      </c>
      <c r="G27" s="21">
        <v>3</v>
      </c>
      <c r="H27" s="21">
        <v>2</v>
      </c>
      <c r="J27" s="9" t="s">
        <v>250</v>
      </c>
      <c r="M27" s="21">
        <f t="shared" ref="M27" si="5">J27+D26</f>
        <v>20201</v>
      </c>
    </row>
    <row r="28" spans="1:60">
      <c r="E28" s="21">
        <f t="shared" si="4"/>
        <v>28</v>
      </c>
      <c r="F28" s="9" t="s">
        <v>142</v>
      </c>
      <c r="M28" s="21">
        <v>20100</v>
      </c>
    </row>
    <row r="29" spans="1:60">
      <c r="E29" s="21">
        <f t="shared" si="4"/>
        <v>29</v>
      </c>
      <c r="F29" s="9" t="s">
        <v>126</v>
      </c>
      <c r="G29" s="21">
        <v>15</v>
      </c>
      <c r="H29" s="21">
        <v>40</v>
      </c>
      <c r="M29" s="21">
        <f>G29*(C26-1)+H29</f>
        <v>40</v>
      </c>
    </row>
    <row r="30" spans="1:60">
      <c r="E30" s="21">
        <f t="shared" si="4"/>
        <v>30</v>
      </c>
      <c r="F30" s="9" t="s">
        <v>29</v>
      </c>
      <c r="M30" s="21" t="s">
        <v>252</v>
      </c>
    </row>
    <row r="31" spans="1:60">
      <c r="E31" s="21">
        <f t="shared" si="4"/>
        <v>31</v>
      </c>
      <c r="F31" s="9" t="s">
        <v>118</v>
      </c>
      <c r="M31" s="21" t="s">
        <v>254</v>
      </c>
    </row>
    <row r="32" spans="1:60">
      <c r="E32" s="21">
        <f t="shared" si="4"/>
        <v>32</v>
      </c>
      <c r="F32" s="9" t="s">
        <v>98</v>
      </c>
      <c r="G32" s="9"/>
      <c r="H32" s="9"/>
      <c r="I32" s="9"/>
      <c r="K32" s="9" t="s">
        <v>137</v>
      </c>
      <c r="M32" s="21">
        <v>2</v>
      </c>
    </row>
    <row r="33" spans="5:13">
      <c r="E33" s="21">
        <f t="shared" si="4"/>
        <v>33</v>
      </c>
      <c r="F33" s="9" t="s">
        <v>116</v>
      </c>
      <c r="G33" s="9"/>
      <c r="H33" s="9"/>
      <c r="I33" s="9"/>
      <c r="K33" s="9" t="s">
        <v>137</v>
      </c>
      <c r="M33" s="21">
        <v>2</v>
      </c>
    </row>
    <row r="34" spans="5:13">
      <c r="E34" s="21">
        <f t="shared" si="4"/>
        <v>34</v>
      </c>
      <c r="F34" s="9" t="s">
        <v>31</v>
      </c>
      <c r="L34" s="9" t="s">
        <v>134</v>
      </c>
      <c r="M34" s="21">
        <v>180</v>
      </c>
    </row>
    <row r="35" spans="5:13">
      <c r="E35" s="21">
        <f t="shared" si="4"/>
        <v>35</v>
      </c>
      <c r="F35" s="9" t="s">
        <v>30</v>
      </c>
      <c r="G35" s="27">
        <v>2.25</v>
      </c>
      <c r="H35" s="27">
        <v>-2.25</v>
      </c>
      <c r="M35" s="27">
        <f>IF(B26=1,G35,H35)</f>
        <v>2.25</v>
      </c>
    </row>
    <row r="36" spans="5:13">
      <c r="E36" s="21">
        <f t="shared" si="4"/>
        <v>36</v>
      </c>
      <c r="F36" s="9" t="s">
        <v>35</v>
      </c>
      <c r="M36" s="26">
        <v>120</v>
      </c>
    </row>
    <row r="37" spans="5:13">
      <c r="E37" s="21">
        <f t="shared" si="4"/>
        <v>37</v>
      </c>
      <c r="F37" s="9" t="s">
        <v>101</v>
      </c>
      <c r="M37" s="21">
        <f>M27*10+1</f>
        <v>202011</v>
      </c>
    </row>
    <row r="38" spans="5:13">
      <c r="E38" s="21">
        <f t="shared" si="4"/>
        <v>38</v>
      </c>
      <c r="F38" s="9" t="s">
        <v>142</v>
      </c>
      <c r="M38" s="21">
        <f>M27</f>
        <v>20201</v>
      </c>
    </row>
    <row r="39" spans="5:13">
      <c r="E39" s="21">
        <f t="shared" si="4"/>
        <v>39</v>
      </c>
      <c r="F39" s="9" t="s">
        <v>127</v>
      </c>
      <c r="M39" s="21">
        <v>0</v>
      </c>
    </row>
    <row r="40" spans="5:13">
      <c r="E40" s="21">
        <f t="shared" si="4"/>
        <v>40</v>
      </c>
      <c r="F40" s="9" t="s">
        <v>142</v>
      </c>
      <c r="M40" s="21">
        <f>M44</f>
        <v>202012</v>
      </c>
    </row>
    <row r="41" spans="5:13">
      <c r="E41" s="21">
        <f t="shared" si="4"/>
        <v>41</v>
      </c>
      <c r="F41" s="9" t="s">
        <v>127</v>
      </c>
      <c r="M41" s="21">
        <v>0</v>
      </c>
    </row>
    <row r="42" spans="5:13">
      <c r="E42" s="21">
        <f t="shared" si="4"/>
        <v>42</v>
      </c>
      <c r="F42" s="9" t="s">
        <v>31</v>
      </c>
      <c r="L42" s="9" t="s">
        <v>134</v>
      </c>
      <c r="M42" s="21">
        <v>0</v>
      </c>
    </row>
    <row r="43" spans="5:13">
      <c r="E43" s="21">
        <f t="shared" si="4"/>
        <v>43</v>
      </c>
      <c r="F43" s="9" t="s">
        <v>35</v>
      </c>
      <c r="M43" s="26">
        <v>240</v>
      </c>
    </row>
    <row r="44" spans="5:13">
      <c r="E44" s="21">
        <f t="shared" si="4"/>
        <v>44</v>
      </c>
      <c r="F44" s="9" t="s">
        <v>101</v>
      </c>
      <c r="M44" s="21">
        <f>M27*10+2</f>
        <v>202012</v>
      </c>
    </row>
    <row r="45" spans="5:13">
      <c r="E45" s="21">
        <f t="shared" si="4"/>
        <v>45</v>
      </c>
      <c r="F45" s="9" t="s">
        <v>142</v>
      </c>
      <c r="M45" s="21">
        <f>M37</f>
        <v>202011</v>
      </c>
    </row>
    <row r="46" spans="5:13">
      <c r="E46" s="21">
        <f t="shared" si="4"/>
        <v>46</v>
      </c>
      <c r="F46" s="9" t="s">
        <v>127</v>
      </c>
      <c r="M46" s="21">
        <v>0</v>
      </c>
    </row>
    <row r="47" spans="5:13">
      <c r="E47" s="21">
        <f t="shared" si="4"/>
        <v>47</v>
      </c>
      <c r="F47" s="9" t="s">
        <v>31</v>
      </c>
      <c r="L47" s="9" t="s">
        <v>134</v>
      </c>
      <c r="M47" s="21">
        <v>180</v>
      </c>
    </row>
    <row r="48" spans="5:13">
      <c r="E48" s="21">
        <f t="shared" si="4"/>
        <v>48</v>
      </c>
      <c r="F48" s="9" t="s">
        <v>35</v>
      </c>
      <c r="M48" s="26">
        <v>240</v>
      </c>
    </row>
    <row r="49" spans="1:13">
      <c r="A49" s="21" t="s">
        <v>227</v>
      </c>
      <c r="B49" s="21">
        <f t="shared" ref="B49:B80" si="6">QUOTIENT( D49-1,G50)+1</f>
        <v>1</v>
      </c>
      <c r="C49" s="21">
        <f t="shared" ref="C49" si="7">D49-(B49-1)*G50</f>
        <v>2</v>
      </c>
      <c r="D49" s="21">
        <f>COUNT($D$25:$D48)+1</f>
        <v>2</v>
      </c>
    </row>
    <row r="50" spans="1:13">
      <c r="E50" s="21">
        <f t="shared" si="4"/>
        <v>50</v>
      </c>
      <c r="F50" s="9" t="s">
        <v>93</v>
      </c>
      <c r="G50" s="21">
        <v>3</v>
      </c>
      <c r="H50" s="21">
        <v>2</v>
      </c>
      <c r="J50" s="9" t="s">
        <v>249</v>
      </c>
      <c r="M50" s="21">
        <f t="shared" ref="M50:M113" si="8">J50+D49</f>
        <v>20202</v>
      </c>
    </row>
    <row r="51" spans="1:13">
      <c r="E51" s="21">
        <f t="shared" si="4"/>
        <v>51</v>
      </c>
      <c r="F51" s="9" t="s">
        <v>142</v>
      </c>
      <c r="M51" s="21">
        <v>20100</v>
      </c>
    </row>
    <row r="52" spans="1:13">
      <c r="E52" s="21">
        <f t="shared" si="4"/>
        <v>52</v>
      </c>
      <c r="F52" s="9" t="s">
        <v>126</v>
      </c>
      <c r="G52" s="21">
        <v>15</v>
      </c>
      <c r="H52" s="21">
        <v>40</v>
      </c>
      <c r="M52" s="21">
        <f t="shared" ref="M52" si="9">G52*(C49-1)+H52</f>
        <v>55</v>
      </c>
    </row>
    <row r="53" spans="1:13">
      <c r="E53" s="21">
        <f t="shared" si="4"/>
        <v>53</v>
      </c>
      <c r="F53" s="9" t="s">
        <v>29</v>
      </c>
      <c r="M53" s="21" t="s">
        <v>251</v>
      </c>
    </row>
    <row r="54" spans="1:13">
      <c r="E54" s="21">
        <f t="shared" si="4"/>
        <v>54</v>
      </c>
      <c r="F54" s="9" t="s">
        <v>118</v>
      </c>
      <c r="M54" s="21" t="s">
        <v>253</v>
      </c>
    </row>
    <row r="55" spans="1:13">
      <c r="E55" s="21">
        <f t="shared" si="4"/>
        <v>55</v>
      </c>
      <c r="F55" s="9" t="s">
        <v>98</v>
      </c>
      <c r="K55" s="9" t="s">
        <v>137</v>
      </c>
      <c r="M55" s="21">
        <v>2</v>
      </c>
    </row>
    <row r="56" spans="1:13">
      <c r="E56" s="21">
        <f t="shared" si="4"/>
        <v>56</v>
      </c>
      <c r="F56" s="9" t="s">
        <v>116</v>
      </c>
      <c r="K56" s="9" t="s">
        <v>137</v>
      </c>
      <c r="M56" s="21">
        <v>2</v>
      </c>
    </row>
    <row r="57" spans="1:13">
      <c r="E57" s="21">
        <f t="shared" si="4"/>
        <v>57</v>
      </c>
      <c r="F57" s="9" t="s">
        <v>31</v>
      </c>
      <c r="L57" s="9" t="s">
        <v>134</v>
      </c>
      <c r="M57" s="21">
        <v>180</v>
      </c>
    </row>
    <row r="58" spans="1:13">
      <c r="E58" s="21">
        <f t="shared" si="4"/>
        <v>58</v>
      </c>
      <c r="F58" s="9" t="s">
        <v>30</v>
      </c>
      <c r="G58" s="21">
        <v>2.25</v>
      </c>
      <c r="H58" s="21">
        <v>-2.25</v>
      </c>
      <c r="M58" s="21">
        <f t="shared" ref="M58" si="10">IF(B49=1,G58,H58)</f>
        <v>2.25</v>
      </c>
    </row>
    <row r="59" spans="1:13">
      <c r="E59" s="21">
        <f t="shared" si="4"/>
        <v>59</v>
      </c>
      <c r="F59" s="9" t="s">
        <v>35</v>
      </c>
      <c r="M59" s="21">
        <v>120</v>
      </c>
    </row>
    <row r="60" spans="1:13">
      <c r="E60" s="21">
        <f t="shared" si="4"/>
        <v>60</v>
      </c>
      <c r="F60" s="9" t="s">
        <v>101</v>
      </c>
      <c r="M60" s="21">
        <f t="shared" ref="M60" si="11">M50*10+1</f>
        <v>202021</v>
      </c>
    </row>
    <row r="61" spans="1:13">
      <c r="E61" s="21">
        <f t="shared" si="4"/>
        <v>61</v>
      </c>
      <c r="F61" s="9" t="s">
        <v>142</v>
      </c>
      <c r="M61" s="21">
        <f t="shared" ref="M61" si="12">M50</f>
        <v>20202</v>
      </c>
    </row>
    <row r="62" spans="1:13">
      <c r="E62" s="21">
        <f t="shared" si="4"/>
        <v>62</v>
      </c>
      <c r="F62" s="9" t="s">
        <v>127</v>
      </c>
      <c r="M62" s="21">
        <v>0</v>
      </c>
    </row>
    <row r="63" spans="1:13">
      <c r="E63" s="21">
        <f t="shared" si="4"/>
        <v>63</v>
      </c>
      <c r="F63" s="9" t="s">
        <v>142</v>
      </c>
      <c r="M63" s="21">
        <f t="shared" ref="M63" si="13">M67</f>
        <v>202022</v>
      </c>
    </row>
    <row r="64" spans="1:13">
      <c r="E64" s="21">
        <f t="shared" si="4"/>
        <v>64</v>
      </c>
      <c r="F64" s="9" t="s">
        <v>127</v>
      </c>
      <c r="M64" s="21">
        <v>0</v>
      </c>
    </row>
    <row r="65" spans="1:13">
      <c r="E65" s="21">
        <f t="shared" si="4"/>
        <v>65</v>
      </c>
      <c r="F65" s="9" t="s">
        <v>31</v>
      </c>
      <c r="L65" s="9" t="s">
        <v>134</v>
      </c>
      <c r="M65" s="21">
        <v>0</v>
      </c>
    </row>
    <row r="66" spans="1:13">
      <c r="E66" s="21">
        <f t="shared" si="4"/>
        <v>66</v>
      </c>
      <c r="F66" s="9" t="s">
        <v>35</v>
      </c>
      <c r="M66" s="21">
        <v>240</v>
      </c>
    </row>
    <row r="67" spans="1:13">
      <c r="E67" s="21">
        <f t="shared" si="4"/>
        <v>67</v>
      </c>
      <c r="F67" s="9" t="s">
        <v>101</v>
      </c>
      <c r="M67" s="21">
        <f t="shared" ref="M67" si="14">M50*10+2</f>
        <v>202022</v>
      </c>
    </row>
    <row r="68" spans="1:13">
      <c r="E68" s="21">
        <f t="shared" si="4"/>
        <v>68</v>
      </c>
      <c r="F68" s="9" t="s">
        <v>142</v>
      </c>
      <c r="M68" s="21">
        <f t="shared" ref="M68" si="15">M60</f>
        <v>202021</v>
      </c>
    </row>
    <row r="69" spans="1:13">
      <c r="E69" s="21">
        <f t="shared" si="4"/>
        <v>69</v>
      </c>
      <c r="F69" s="9" t="s">
        <v>127</v>
      </c>
      <c r="M69" s="21">
        <v>0</v>
      </c>
    </row>
    <row r="70" spans="1:13">
      <c r="E70" s="21">
        <f t="shared" si="4"/>
        <v>70</v>
      </c>
      <c r="F70" s="9" t="s">
        <v>31</v>
      </c>
      <c r="L70" s="9" t="s">
        <v>134</v>
      </c>
      <c r="M70" s="21">
        <v>180</v>
      </c>
    </row>
    <row r="71" spans="1:13">
      <c r="E71" s="21">
        <f t="shared" si="4"/>
        <v>71</v>
      </c>
      <c r="F71" s="9" t="s">
        <v>35</v>
      </c>
      <c r="M71" s="21">
        <v>240</v>
      </c>
    </row>
    <row r="72" spans="1:13">
      <c r="A72" s="21" t="s">
        <v>227</v>
      </c>
      <c r="B72" s="21">
        <f t="shared" ref="B72:B103" si="16">QUOTIENT( D72-1,G73)+1</f>
        <v>1</v>
      </c>
      <c r="C72" s="21">
        <f t="shared" ref="C72" si="17">D72-(B72-1)*G73</f>
        <v>3</v>
      </c>
      <c r="D72" s="21">
        <f>COUNT($D$25:$D71)+1</f>
        <v>3</v>
      </c>
    </row>
    <row r="73" spans="1:13">
      <c r="E73" s="21">
        <f t="shared" si="4"/>
        <v>73</v>
      </c>
      <c r="F73" s="9" t="s">
        <v>93</v>
      </c>
      <c r="G73" s="21">
        <v>3</v>
      </c>
      <c r="H73" s="21">
        <v>2</v>
      </c>
      <c r="J73" s="9" t="s">
        <v>249</v>
      </c>
      <c r="M73" s="21">
        <f t="shared" ref="M73:M136" si="18">J73+D72</f>
        <v>20203</v>
      </c>
    </row>
    <row r="74" spans="1:13">
      <c r="E74" s="21">
        <f t="shared" si="4"/>
        <v>74</v>
      </c>
      <c r="F74" s="9" t="s">
        <v>142</v>
      </c>
      <c r="M74" s="21">
        <v>20100</v>
      </c>
    </row>
    <row r="75" spans="1:13">
      <c r="E75" s="21">
        <f t="shared" si="4"/>
        <v>75</v>
      </c>
      <c r="F75" s="9" t="s">
        <v>126</v>
      </c>
      <c r="G75" s="21">
        <v>15</v>
      </c>
      <c r="H75" s="21">
        <v>40</v>
      </c>
      <c r="M75" s="21">
        <f t="shared" ref="M75" si="19">G75*(C72-1)+H75</f>
        <v>70</v>
      </c>
    </row>
    <row r="76" spans="1:13">
      <c r="E76" s="21">
        <f t="shared" si="4"/>
        <v>76</v>
      </c>
      <c r="F76" s="9" t="s">
        <v>29</v>
      </c>
      <c r="M76" s="21" t="s">
        <v>251</v>
      </c>
    </row>
    <row r="77" spans="1:13">
      <c r="E77" s="21">
        <f t="shared" si="4"/>
        <v>77</v>
      </c>
      <c r="F77" s="9" t="s">
        <v>118</v>
      </c>
      <c r="M77" s="21" t="s">
        <v>253</v>
      </c>
    </row>
    <row r="78" spans="1:13">
      <c r="E78" s="21">
        <f t="shared" si="4"/>
        <v>78</v>
      </c>
      <c r="F78" s="9" t="s">
        <v>98</v>
      </c>
      <c r="K78" s="9" t="s">
        <v>137</v>
      </c>
      <c r="M78" s="21">
        <v>2</v>
      </c>
    </row>
    <row r="79" spans="1:13">
      <c r="E79" s="21">
        <f t="shared" si="4"/>
        <v>79</v>
      </c>
      <c r="F79" s="9" t="s">
        <v>116</v>
      </c>
      <c r="K79" s="9" t="s">
        <v>137</v>
      </c>
      <c r="M79" s="21">
        <v>2</v>
      </c>
    </row>
    <row r="80" spans="1:13">
      <c r="E80" s="21">
        <f t="shared" si="4"/>
        <v>80</v>
      </c>
      <c r="F80" s="9" t="s">
        <v>31</v>
      </c>
      <c r="L80" s="9" t="s">
        <v>134</v>
      </c>
      <c r="M80" s="21">
        <v>180</v>
      </c>
    </row>
    <row r="81" spans="1:13">
      <c r="E81" s="21">
        <f t="shared" si="4"/>
        <v>81</v>
      </c>
      <c r="F81" s="9" t="s">
        <v>30</v>
      </c>
      <c r="G81" s="21">
        <v>2.25</v>
      </c>
      <c r="H81" s="21">
        <v>-2.25</v>
      </c>
      <c r="M81" s="21">
        <f t="shared" ref="M81" si="20">IF(B72=1,G81,H81)</f>
        <v>2.25</v>
      </c>
    </row>
    <row r="82" spans="1:13">
      <c r="E82" s="21">
        <f t="shared" si="4"/>
        <v>82</v>
      </c>
      <c r="F82" s="9" t="s">
        <v>35</v>
      </c>
      <c r="M82" s="21">
        <v>120</v>
      </c>
    </row>
    <row r="83" spans="1:13">
      <c r="E83" s="21">
        <f t="shared" si="4"/>
        <v>83</v>
      </c>
      <c r="F83" s="9" t="s">
        <v>101</v>
      </c>
      <c r="M83" s="21">
        <f t="shared" ref="M83" si="21">M73*10+1</f>
        <v>202031</v>
      </c>
    </row>
    <row r="84" spans="1:13">
      <c r="E84" s="21">
        <f t="shared" si="4"/>
        <v>84</v>
      </c>
      <c r="F84" s="9" t="s">
        <v>142</v>
      </c>
      <c r="M84" s="21">
        <f t="shared" ref="M84" si="22">M73</f>
        <v>20203</v>
      </c>
    </row>
    <row r="85" spans="1:13">
      <c r="E85" s="21">
        <f t="shared" si="4"/>
        <v>85</v>
      </c>
      <c r="F85" s="9" t="s">
        <v>127</v>
      </c>
      <c r="M85" s="21">
        <v>0</v>
      </c>
    </row>
    <row r="86" spans="1:13">
      <c r="E86" s="21">
        <f t="shared" si="4"/>
        <v>86</v>
      </c>
      <c r="F86" s="9" t="s">
        <v>142</v>
      </c>
      <c r="M86" s="21">
        <f t="shared" ref="M86" si="23">M90</f>
        <v>202032</v>
      </c>
    </row>
    <row r="87" spans="1:13">
      <c r="E87" s="21">
        <f t="shared" si="4"/>
        <v>87</v>
      </c>
      <c r="F87" s="9" t="s">
        <v>127</v>
      </c>
      <c r="M87" s="21">
        <v>0</v>
      </c>
    </row>
    <row r="88" spans="1:13">
      <c r="E88" s="21">
        <f t="shared" si="4"/>
        <v>88</v>
      </c>
      <c r="F88" s="9" t="s">
        <v>31</v>
      </c>
      <c r="L88" s="9" t="s">
        <v>134</v>
      </c>
      <c r="M88" s="21">
        <v>0</v>
      </c>
    </row>
    <row r="89" spans="1:13">
      <c r="E89" s="21">
        <f t="shared" si="4"/>
        <v>89</v>
      </c>
      <c r="F89" s="9" t="s">
        <v>35</v>
      </c>
      <c r="M89" s="21">
        <v>240</v>
      </c>
    </row>
    <row r="90" spans="1:13">
      <c r="E90" s="21">
        <f t="shared" si="4"/>
        <v>90</v>
      </c>
      <c r="F90" s="9" t="s">
        <v>101</v>
      </c>
      <c r="M90" s="21">
        <f t="shared" ref="M90" si="24">M73*10+2</f>
        <v>202032</v>
      </c>
    </row>
    <row r="91" spans="1:13">
      <c r="E91" s="21">
        <f t="shared" ref="E91:E154" si="25">ROW(E91)</f>
        <v>91</v>
      </c>
      <c r="F91" s="9" t="s">
        <v>142</v>
      </c>
      <c r="M91" s="21">
        <f t="shared" ref="M91" si="26">M83</f>
        <v>202031</v>
      </c>
    </row>
    <row r="92" spans="1:13">
      <c r="E92" s="21">
        <f t="shared" si="25"/>
        <v>92</v>
      </c>
      <c r="F92" s="9" t="s">
        <v>127</v>
      </c>
      <c r="M92" s="21">
        <v>0</v>
      </c>
    </row>
    <row r="93" spans="1:13">
      <c r="E93" s="21">
        <f t="shared" si="25"/>
        <v>93</v>
      </c>
      <c r="F93" s="9" t="s">
        <v>31</v>
      </c>
      <c r="L93" s="9" t="s">
        <v>134</v>
      </c>
      <c r="M93" s="21">
        <v>180</v>
      </c>
    </row>
    <row r="94" spans="1:13">
      <c r="E94" s="21">
        <f t="shared" si="25"/>
        <v>94</v>
      </c>
      <c r="F94" s="9" t="s">
        <v>35</v>
      </c>
      <c r="M94" s="21">
        <v>240</v>
      </c>
    </row>
    <row r="95" spans="1:13">
      <c r="A95" s="21" t="s">
        <v>227</v>
      </c>
      <c r="B95" s="21">
        <f t="shared" ref="B95:B126" si="27">QUOTIENT( D95-1,G96)+1</f>
        <v>2</v>
      </c>
      <c r="C95" s="21">
        <f t="shared" ref="C95" si="28">D95-(B95-1)*G96</f>
        <v>1</v>
      </c>
      <c r="D95" s="21">
        <f>COUNT($D$25:$D94)+1</f>
        <v>4</v>
      </c>
    </row>
    <row r="96" spans="1:13">
      <c r="E96" s="21">
        <f t="shared" si="25"/>
        <v>96</v>
      </c>
      <c r="F96" s="9" t="s">
        <v>93</v>
      </c>
      <c r="G96" s="21">
        <v>3</v>
      </c>
      <c r="H96" s="21">
        <v>2</v>
      </c>
      <c r="J96" s="9" t="s">
        <v>249</v>
      </c>
      <c r="M96" s="21">
        <f t="shared" ref="M96:M159" si="29">J96+D95</f>
        <v>20204</v>
      </c>
    </row>
    <row r="97" spans="5:13">
      <c r="E97" s="21">
        <f t="shared" si="25"/>
        <v>97</v>
      </c>
      <c r="F97" s="9" t="s">
        <v>142</v>
      </c>
      <c r="M97" s="21">
        <v>20100</v>
      </c>
    </row>
    <row r="98" spans="5:13">
      <c r="E98" s="21">
        <f t="shared" si="25"/>
        <v>98</v>
      </c>
      <c r="F98" s="9" t="s">
        <v>126</v>
      </c>
      <c r="G98" s="21">
        <v>15</v>
      </c>
      <c r="H98" s="21">
        <v>40</v>
      </c>
      <c r="M98" s="21">
        <f t="shared" ref="M98" si="30">G98*(C95-1)+H98</f>
        <v>40</v>
      </c>
    </row>
    <row r="99" spans="5:13">
      <c r="E99" s="21">
        <f t="shared" si="25"/>
        <v>99</v>
      </c>
      <c r="F99" s="9" t="s">
        <v>29</v>
      </c>
      <c r="M99" s="21" t="s">
        <v>251</v>
      </c>
    </row>
    <row r="100" spans="5:13">
      <c r="E100" s="21">
        <f t="shared" si="25"/>
        <v>100</v>
      </c>
      <c r="F100" s="9" t="s">
        <v>118</v>
      </c>
      <c r="M100" s="21" t="s">
        <v>253</v>
      </c>
    </row>
    <row r="101" spans="5:13">
      <c r="E101" s="21">
        <f t="shared" si="25"/>
        <v>101</v>
      </c>
      <c r="F101" s="9" t="s">
        <v>98</v>
      </c>
      <c r="K101" s="9" t="s">
        <v>137</v>
      </c>
      <c r="M101" s="21">
        <v>2</v>
      </c>
    </row>
    <row r="102" spans="5:13">
      <c r="E102" s="21">
        <f t="shared" si="25"/>
        <v>102</v>
      </c>
      <c r="F102" s="9" t="s">
        <v>116</v>
      </c>
      <c r="K102" s="9" t="s">
        <v>137</v>
      </c>
      <c r="M102" s="21">
        <v>2</v>
      </c>
    </row>
    <row r="103" spans="5:13">
      <c r="E103" s="21">
        <f t="shared" si="25"/>
        <v>103</v>
      </c>
      <c r="F103" s="9" t="s">
        <v>31</v>
      </c>
      <c r="L103" s="9" t="s">
        <v>134</v>
      </c>
      <c r="M103" s="21">
        <v>180</v>
      </c>
    </row>
    <row r="104" spans="5:13">
      <c r="E104" s="21">
        <f t="shared" si="25"/>
        <v>104</v>
      </c>
      <c r="F104" s="9" t="s">
        <v>30</v>
      </c>
      <c r="G104" s="21">
        <v>2.25</v>
      </c>
      <c r="H104" s="21">
        <v>-2.25</v>
      </c>
      <c r="M104" s="21">
        <f t="shared" ref="M104" si="31">IF(B95=1,G104,H104)</f>
        <v>-2.25</v>
      </c>
    </row>
    <row r="105" spans="5:13">
      <c r="E105" s="21">
        <f t="shared" si="25"/>
        <v>105</v>
      </c>
      <c r="F105" s="9" t="s">
        <v>35</v>
      </c>
      <c r="M105" s="21">
        <v>120</v>
      </c>
    </row>
    <row r="106" spans="5:13">
      <c r="E106" s="21">
        <f t="shared" si="25"/>
        <v>106</v>
      </c>
      <c r="F106" s="9" t="s">
        <v>101</v>
      </c>
      <c r="M106" s="21">
        <f t="shared" ref="M106" si="32">M96*10+1</f>
        <v>202041</v>
      </c>
    </row>
    <row r="107" spans="5:13">
      <c r="E107" s="21">
        <f t="shared" si="25"/>
        <v>107</v>
      </c>
      <c r="F107" s="9" t="s">
        <v>142</v>
      </c>
      <c r="M107" s="21">
        <f t="shared" ref="M107" si="33">M96</f>
        <v>20204</v>
      </c>
    </row>
    <row r="108" spans="5:13">
      <c r="E108" s="21">
        <f t="shared" si="25"/>
        <v>108</v>
      </c>
      <c r="F108" s="9" t="s">
        <v>127</v>
      </c>
      <c r="M108" s="21">
        <v>0</v>
      </c>
    </row>
    <row r="109" spans="5:13">
      <c r="E109" s="21">
        <f t="shared" si="25"/>
        <v>109</v>
      </c>
      <c r="F109" s="9" t="s">
        <v>142</v>
      </c>
      <c r="M109" s="21">
        <f t="shared" ref="M109" si="34">M113</f>
        <v>202042</v>
      </c>
    </row>
    <row r="110" spans="5:13">
      <c r="E110" s="21">
        <f t="shared" si="25"/>
        <v>110</v>
      </c>
      <c r="F110" s="9" t="s">
        <v>127</v>
      </c>
      <c r="M110" s="21">
        <v>0</v>
      </c>
    </row>
    <row r="111" spans="5:13">
      <c r="E111" s="21">
        <f t="shared" si="25"/>
        <v>111</v>
      </c>
      <c r="F111" s="9" t="s">
        <v>31</v>
      </c>
      <c r="L111" s="9" t="s">
        <v>134</v>
      </c>
      <c r="M111" s="21">
        <v>0</v>
      </c>
    </row>
    <row r="112" spans="5:13">
      <c r="E112" s="21">
        <f t="shared" si="25"/>
        <v>112</v>
      </c>
      <c r="F112" s="9" t="s">
        <v>35</v>
      </c>
      <c r="M112" s="21">
        <v>240</v>
      </c>
    </row>
    <row r="113" spans="1:13">
      <c r="E113" s="21">
        <f t="shared" si="25"/>
        <v>113</v>
      </c>
      <c r="F113" s="9" t="s">
        <v>101</v>
      </c>
      <c r="M113" s="21">
        <f t="shared" ref="M113" si="35">M96*10+2</f>
        <v>202042</v>
      </c>
    </row>
    <row r="114" spans="1:13">
      <c r="E114" s="21">
        <f t="shared" si="25"/>
        <v>114</v>
      </c>
      <c r="F114" s="9" t="s">
        <v>142</v>
      </c>
      <c r="M114" s="21">
        <f t="shared" ref="M114" si="36">M106</f>
        <v>202041</v>
      </c>
    </row>
    <row r="115" spans="1:13">
      <c r="E115" s="21">
        <f t="shared" si="25"/>
        <v>115</v>
      </c>
      <c r="F115" s="9" t="s">
        <v>127</v>
      </c>
      <c r="M115" s="21">
        <v>0</v>
      </c>
    </row>
    <row r="116" spans="1:13">
      <c r="E116" s="21">
        <f t="shared" si="25"/>
        <v>116</v>
      </c>
      <c r="F116" s="9" t="s">
        <v>31</v>
      </c>
      <c r="L116" s="9" t="s">
        <v>134</v>
      </c>
      <c r="M116" s="21">
        <v>180</v>
      </c>
    </row>
    <row r="117" spans="1:13">
      <c r="E117" s="21">
        <f t="shared" si="25"/>
        <v>117</v>
      </c>
      <c r="F117" s="9" t="s">
        <v>35</v>
      </c>
      <c r="M117" s="21">
        <v>240</v>
      </c>
    </row>
    <row r="118" spans="1:13">
      <c r="A118" s="21" t="s">
        <v>227</v>
      </c>
      <c r="B118" s="21">
        <f t="shared" ref="B118:B163" si="37">QUOTIENT( D118-1,G119)+1</f>
        <v>2</v>
      </c>
      <c r="C118" s="21">
        <f t="shared" ref="C118" si="38">D118-(B118-1)*G119</f>
        <v>2</v>
      </c>
      <c r="D118" s="21">
        <f>COUNT($D$25:$D117)+1</f>
        <v>5</v>
      </c>
    </row>
    <row r="119" spans="1:13">
      <c r="E119" s="21">
        <f t="shared" si="25"/>
        <v>119</v>
      </c>
      <c r="F119" s="9" t="s">
        <v>93</v>
      </c>
      <c r="G119" s="21">
        <v>3</v>
      </c>
      <c r="H119" s="21">
        <v>2</v>
      </c>
      <c r="J119" s="9" t="s">
        <v>249</v>
      </c>
      <c r="M119" s="21">
        <f t="shared" ref="M119:M163" si="39">J119+D118</f>
        <v>20205</v>
      </c>
    </row>
    <row r="120" spans="1:13">
      <c r="E120" s="21">
        <f t="shared" si="25"/>
        <v>120</v>
      </c>
      <c r="F120" s="9" t="s">
        <v>142</v>
      </c>
      <c r="M120" s="21">
        <v>20100</v>
      </c>
    </row>
    <row r="121" spans="1:13">
      <c r="E121" s="21">
        <f t="shared" si="25"/>
        <v>121</v>
      </c>
      <c r="F121" s="9" t="s">
        <v>126</v>
      </c>
      <c r="G121" s="21">
        <v>15</v>
      </c>
      <c r="H121" s="21">
        <v>40</v>
      </c>
      <c r="M121" s="21">
        <f t="shared" ref="M121" si="40">G121*(C118-1)+H121</f>
        <v>55</v>
      </c>
    </row>
    <row r="122" spans="1:13">
      <c r="E122" s="21">
        <f t="shared" si="25"/>
        <v>122</v>
      </c>
      <c r="F122" s="9" t="s">
        <v>29</v>
      </c>
      <c r="M122" s="21" t="s">
        <v>251</v>
      </c>
    </row>
    <row r="123" spans="1:13">
      <c r="E123" s="21">
        <f t="shared" si="25"/>
        <v>123</v>
      </c>
      <c r="F123" s="9" t="s">
        <v>118</v>
      </c>
      <c r="M123" s="21" t="s">
        <v>253</v>
      </c>
    </row>
    <row r="124" spans="1:13">
      <c r="E124" s="21">
        <f t="shared" si="25"/>
        <v>124</v>
      </c>
      <c r="F124" s="9" t="s">
        <v>98</v>
      </c>
      <c r="K124" s="9" t="s">
        <v>137</v>
      </c>
      <c r="M124" s="21">
        <v>2</v>
      </c>
    </row>
    <row r="125" spans="1:13">
      <c r="E125" s="21">
        <f t="shared" si="25"/>
        <v>125</v>
      </c>
      <c r="F125" s="9" t="s">
        <v>116</v>
      </c>
      <c r="K125" s="9" t="s">
        <v>137</v>
      </c>
      <c r="M125" s="21">
        <v>2</v>
      </c>
    </row>
    <row r="126" spans="1:13">
      <c r="E126" s="21">
        <f t="shared" si="25"/>
        <v>126</v>
      </c>
      <c r="F126" s="9" t="s">
        <v>31</v>
      </c>
      <c r="L126" s="9" t="s">
        <v>134</v>
      </c>
      <c r="M126" s="21">
        <v>180</v>
      </c>
    </row>
    <row r="127" spans="1:13">
      <c r="E127" s="21">
        <f t="shared" si="25"/>
        <v>127</v>
      </c>
      <c r="F127" s="9" t="s">
        <v>30</v>
      </c>
      <c r="G127" s="21">
        <v>2.25</v>
      </c>
      <c r="H127" s="21">
        <v>-2.25</v>
      </c>
      <c r="M127" s="21">
        <f t="shared" ref="M127" si="41">IF(B118=1,G127,H127)</f>
        <v>-2.25</v>
      </c>
    </row>
    <row r="128" spans="1:13">
      <c r="E128" s="21">
        <f t="shared" si="25"/>
        <v>128</v>
      </c>
      <c r="F128" s="9" t="s">
        <v>35</v>
      </c>
      <c r="M128" s="21">
        <v>120</v>
      </c>
    </row>
    <row r="129" spans="1:13">
      <c r="E129" s="21">
        <f t="shared" si="25"/>
        <v>129</v>
      </c>
      <c r="F129" s="9" t="s">
        <v>101</v>
      </c>
      <c r="M129" s="21">
        <f t="shared" ref="M129" si="42">M119*10+1</f>
        <v>202051</v>
      </c>
    </row>
    <row r="130" spans="1:13">
      <c r="E130" s="21">
        <f t="shared" si="25"/>
        <v>130</v>
      </c>
      <c r="F130" s="9" t="s">
        <v>142</v>
      </c>
      <c r="M130" s="21">
        <f t="shared" ref="M130" si="43">M119</f>
        <v>20205</v>
      </c>
    </row>
    <row r="131" spans="1:13">
      <c r="E131" s="21">
        <f t="shared" si="25"/>
        <v>131</v>
      </c>
      <c r="F131" s="9" t="s">
        <v>127</v>
      </c>
      <c r="M131" s="21">
        <v>0</v>
      </c>
    </row>
    <row r="132" spans="1:13">
      <c r="E132" s="21">
        <f t="shared" si="25"/>
        <v>132</v>
      </c>
      <c r="F132" s="9" t="s">
        <v>142</v>
      </c>
      <c r="M132" s="21">
        <f t="shared" ref="M132" si="44">M136</f>
        <v>202052</v>
      </c>
    </row>
    <row r="133" spans="1:13">
      <c r="E133" s="21">
        <f t="shared" si="25"/>
        <v>133</v>
      </c>
      <c r="F133" s="9" t="s">
        <v>127</v>
      </c>
      <c r="M133" s="21">
        <v>0</v>
      </c>
    </row>
    <row r="134" spans="1:13">
      <c r="E134" s="21">
        <f t="shared" si="25"/>
        <v>134</v>
      </c>
      <c r="F134" s="9" t="s">
        <v>31</v>
      </c>
      <c r="L134" s="9" t="s">
        <v>134</v>
      </c>
      <c r="M134" s="21">
        <v>0</v>
      </c>
    </row>
    <row r="135" spans="1:13">
      <c r="E135" s="21">
        <f t="shared" si="25"/>
        <v>135</v>
      </c>
      <c r="F135" s="9" t="s">
        <v>35</v>
      </c>
      <c r="M135" s="21">
        <v>240</v>
      </c>
    </row>
    <row r="136" spans="1:13">
      <c r="E136" s="21">
        <f t="shared" si="25"/>
        <v>136</v>
      </c>
      <c r="F136" s="9" t="s">
        <v>101</v>
      </c>
      <c r="M136" s="21">
        <f t="shared" ref="M136" si="45">M119*10+2</f>
        <v>202052</v>
      </c>
    </row>
    <row r="137" spans="1:13">
      <c r="E137" s="21">
        <f t="shared" si="25"/>
        <v>137</v>
      </c>
      <c r="F137" s="9" t="s">
        <v>142</v>
      </c>
      <c r="M137" s="21">
        <f t="shared" ref="M137" si="46">M129</f>
        <v>202051</v>
      </c>
    </row>
    <row r="138" spans="1:13">
      <c r="E138" s="21">
        <f t="shared" si="25"/>
        <v>138</v>
      </c>
      <c r="F138" s="9" t="s">
        <v>127</v>
      </c>
      <c r="M138" s="21">
        <v>0</v>
      </c>
    </row>
    <row r="139" spans="1:13">
      <c r="E139" s="21">
        <f t="shared" si="25"/>
        <v>139</v>
      </c>
      <c r="F139" s="9" t="s">
        <v>31</v>
      </c>
      <c r="L139" s="9" t="s">
        <v>134</v>
      </c>
      <c r="M139" s="21">
        <v>180</v>
      </c>
    </row>
    <row r="140" spans="1:13">
      <c r="E140" s="21">
        <f t="shared" si="25"/>
        <v>140</v>
      </c>
      <c r="F140" s="9" t="s">
        <v>35</v>
      </c>
      <c r="M140" s="21">
        <v>240</v>
      </c>
    </row>
    <row r="141" spans="1:13">
      <c r="A141" s="21" t="s">
        <v>227</v>
      </c>
      <c r="B141" s="21">
        <f t="shared" ref="B141:B163" si="47">QUOTIENT( D141-1,G142)+1</f>
        <v>2</v>
      </c>
      <c r="C141" s="21">
        <f t="shared" ref="C141" si="48">D141-(B141-1)*G142</f>
        <v>3</v>
      </c>
      <c r="D141" s="21">
        <f>COUNT($D$25:$D140)+1</f>
        <v>6</v>
      </c>
    </row>
    <row r="142" spans="1:13">
      <c r="E142" s="21">
        <f t="shared" si="25"/>
        <v>142</v>
      </c>
      <c r="F142" s="9" t="s">
        <v>93</v>
      </c>
      <c r="G142" s="21">
        <v>3</v>
      </c>
      <c r="H142" s="21">
        <v>2</v>
      </c>
      <c r="J142" s="9" t="s">
        <v>249</v>
      </c>
      <c r="M142" s="21">
        <f t="shared" ref="M142:M163" si="49">J142+D141</f>
        <v>20206</v>
      </c>
    </row>
    <row r="143" spans="1:13">
      <c r="E143" s="21">
        <f t="shared" si="25"/>
        <v>143</v>
      </c>
      <c r="F143" s="9" t="s">
        <v>142</v>
      </c>
      <c r="M143" s="21">
        <v>20100</v>
      </c>
    </row>
    <row r="144" spans="1:13">
      <c r="E144" s="21">
        <f t="shared" si="25"/>
        <v>144</v>
      </c>
      <c r="F144" s="9" t="s">
        <v>126</v>
      </c>
      <c r="G144" s="21">
        <v>15</v>
      </c>
      <c r="H144" s="21">
        <v>40</v>
      </c>
      <c r="M144" s="21">
        <f t="shared" ref="M144" si="50">G144*(C141-1)+H144</f>
        <v>70</v>
      </c>
    </row>
    <row r="145" spans="5:13">
      <c r="E145" s="21">
        <f t="shared" si="25"/>
        <v>145</v>
      </c>
      <c r="F145" s="9" t="s">
        <v>29</v>
      </c>
      <c r="M145" s="21" t="s">
        <v>251</v>
      </c>
    </row>
    <row r="146" spans="5:13">
      <c r="E146" s="21">
        <f t="shared" si="25"/>
        <v>146</v>
      </c>
      <c r="F146" s="9" t="s">
        <v>118</v>
      </c>
      <c r="M146" s="21" t="s">
        <v>253</v>
      </c>
    </row>
    <row r="147" spans="5:13">
      <c r="E147" s="21">
        <f t="shared" si="25"/>
        <v>147</v>
      </c>
      <c r="F147" s="9" t="s">
        <v>98</v>
      </c>
      <c r="K147" s="9" t="s">
        <v>137</v>
      </c>
      <c r="M147" s="21">
        <v>2</v>
      </c>
    </row>
    <row r="148" spans="5:13">
      <c r="E148" s="21">
        <f t="shared" si="25"/>
        <v>148</v>
      </c>
      <c r="F148" s="9" t="s">
        <v>116</v>
      </c>
      <c r="K148" s="9" t="s">
        <v>137</v>
      </c>
      <c r="M148" s="21">
        <v>2</v>
      </c>
    </row>
    <row r="149" spans="5:13">
      <c r="E149" s="21">
        <f t="shared" si="25"/>
        <v>149</v>
      </c>
      <c r="F149" s="9" t="s">
        <v>31</v>
      </c>
      <c r="L149" s="9" t="s">
        <v>134</v>
      </c>
      <c r="M149" s="21">
        <v>180</v>
      </c>
    </row>
    <row r="150" spans="5:13">
      <c r="E150" s="21">
        <f t="shared" si="25"/>
        <v>150</v>
      </c>
      <c r="F150" s="9" t="s">
        <v>30</v>
      </c>
      <c r="G150" s="21">
        <v>2.25</v>
      </c>
      <c r="H150" s="21">
        <v>-2.25</v>
      </c>
      <c r="M150" s="21">
        <f t="shared" ref="M150" si="51">IF(B141=1,G150,H150)</f>
        <v>-2.25</v>
      </c>
    </row>
    <row r="151" spans="5:13">
      <c r="E151" s="21">
        <f t="shared" si="25"/>
        <v>151</v>
      </c>
      <c r="F151" s="9" t="s">
        <v>35</v>
      </c>
      <c r="M151" s="21">
        <v>120</v>
      </c>
    </row>
    <row r="152" spans="5:13">
      <c r="E152" s="21">
        <f t="shared" si="25"/>
        <v>152</v>
      </c>
      <c r="F152" s="9" t="s">
        <v>101</v>
      </c>
      <c r="M152" s="21">
        <f t="shared" ref="M152" si="52">M142*10+1</f>
        <v>202061</v>
      </c>
    </row>
    <row r="153" spans="5:13">
      <c r="E153" s="21">
        <f t="shared" si="25"/>
        <v>153</v>
      </c>
      <c r="F153" s="9" t="s">
        <v>142</v>
      </c>
      <c r="M153" s="21">
        <f t="shared" ref="M153" si="53">M142</f>
        <v>20206</v>
      </c>
    </row>
    <row r="154" spans="5:13">
      <c r="E154" s="21">
        <f t="shared" si="25"/>
        <v>154</v>
      </c>
      <c r="F154" s="9" t="s">
        <v>127</v>
      </c>
      <c r="M154" s="21">
        <v>0</v>
      </c>
    </row>
    <row r="155" spans="5:13">
      <c r="E155" s="21">
        <f t="shared" ref="E155:E163" si="54">ROW(E155)</f>
        <v>155</v>
      </c>
      <c r="F155" s="9" t="s">
        <v>142</v>
      </c>
      <c r="M155" s="21">
        <f t="shared" ref="M155" si="55">M159</f>
        <v>202062</v>
      </c>
    </row>
    <row r="156" spans="5:13">
      <c r="E156" s="21">
        <f t="shared" si="54"/>
        <v>156</v>
      </c>
      <c r="F156" s="9" t="s">
        <v>127</v>
      </c>
      <c r="M156" s="21">
        <v>0</v>
      </c>
    </row>
    <row r="157" spans="5:13">
      <c r="E157" s="21">
        <f t="shared" si="54"/>
        <v>157</v>
      </c>
      <c r="F157" s="9" t="s">
        <v>31</v>
      </c>
      <c r="L157" s="9" t="s">
        <v>134</v>
      </c>
      <c r="M157" s="21">
        <v>0</v>
      </c>
    </row>
    <row r="158" spans="5:13">
      <c r="E158" s="21">
        <f t="shared" si="54"/>
        <v>158</v>
      </c>
      <c r="F158" s="9" t="s">
        <v>35</v>
      </c>
      <c r="M158" s="21">
        <v>240</v>
      </c>
    </row>
    <row r="159" spans="5:13">
      <c r="E159" s="21">
        <f t="shared" si="54"/>
        <v>159</v>
      </c>
      <c r="F159" s="9" t="s">
        <v>101</v>
      </c>
      <c r="M159" s="21">
        <f t="shared" ref="M159" si="56">M142*10+2</f>
        <v>202062</v>
      </c>
    </row>
    <row r="160" spans="5:13">
      <c r="E160" s="21">
        <f t="shared" si="54"/>
        <v>160</v>
      </c>
      <c r="F160" s="9" t="s">
        <v>142</v>
      </c>
      <c r="M160" s="21">
        <f t="shared" ref="M160" si="57">M152</f>
        <v>202061</v>
      </c>
    </row>
    <row r="161" spans="5:13">
      <c r="E161" s="21">
        <f t="shared" si="54"/>
        <v>161</v>
      </c>
      <c r="F161" s="9" t="s">
        <v>127</v>
      </c>
      <c r="M161" s="21">
        <v>0</v>
      </c>
    </row>
    <row r="162" spans="5:13">
      <c r="E162" s="21">
        <f t="shared" si="54"/>
        <v>162</v>
      </c>
      <c r="F162" s="9" t="s">
        <v>31</v>
      </c>
      <c r="L162" s="9" t="s">
        <v>134</v>
      </c>
      <c r="M162" s="21">
        <v>180</v>
      </c>
    </row>
    <row r="163" spans="5:13">
      <c r="E163" s="21">
        <f t="shared" si="54"/>
        <v>163</v>
      </c>
      <c r="F163" s="9" t="s">
        <v>35</v>
      </c>
      <c r="M163" s="21">
        <v>240</v>
      </c>
    </row>
  </sheetData>
  <phoneticPr fontId="2" type="noConversion"/>
  <conditionalFormatting sqref="BE1:XFD1 E1:I1">
    <cfRule type="duplicateValues" dxfId="64" priority="1906"/>
  </conditionalFormatting>
  <conditionalFormatting sqref="F1:F2">
    <cfRule type="cellIs" dxfId="63" priority="1407" operator="equal">
      <formula>"ID"</formula>
    </cfRule>
    <cfRule type="cellIs" dxfId="62" priority="1822" operator="equal">
      <formula>"行動序號"</formula>
    </cfRule>
  </conditionalFormatting>
  <conditionalFormatting sqref="J1">
    <cfRule type="duplicateValues" dxfId="61" priority="1405"/>
  </conditionalFormatting>
  <conditionalFormatting sqref="K1:L1">
    <cfRule type="duplicateValues" dxfId="60" priority="1402"/>
  </conditionalFormatting>
  <conditionalFormatting sqref="M1:M10 M29:M37 M39 M46:M1048576 M41:M44 M12:M27">
    <cfRule type="expression" dxfId="59" priority="1017">
      <formula>_xlfn.ISFORMULA(M1)</formula>
    </cfRule>
  </conditionalFormatting>
  <conditionalFormatting sqref="N1:BD1">
    <cfRule type="duplicateValues" dxfId="58" priority="1922"/>
  </conditionalFormatting>
  <conditionalFormatting sqref="F1:F1048576">
    <cfRule type="cellIs" dxfId="57" priority="120" operator="equal">
      <formula>"ID"</formula>
    </cfRule>
    <cfRule type="cellIs" dxfId="56" priority="121" operator="equal">
      <formula>"行動ID"</formula>
    </cfRule>
  </conditionalFormatting>
  <conditionalFormatting sqref="M1:M10 M29:M37 M39 M41:M44 M46:M1048576 M12:M27">
    <cfRule type="expression" dxfId="55" priority="81">
      <formula>AND(_xlfn.ISFORMULA(M1),OR($F1="行動ID", $F1="ID"))</formula>
    </cfRule>
    <cfRule type="expression" dxfId="54" priority="83">
      <formula>OR($F1="行動ID", $F1="ID")</formula>
    </cfRule>
  </conditionalFormatting>
  <conditionalFormatting sqref="M11">
    <cfRule type="expression" dxfId="53" priority="22">
      <formula>AND(_xlfn.ISFORMULA(M11),OR($F11="行動ID", $F11="ID"))</formula>
    </cfRule>
    <cfRule type="expression" dxfId="52" priority="24">
      <formula>OR($F11="行動ID", $F11="ID")</formula>
    </cfRule>
  </conditionalFormatting>
  <conditionalFormatting sqref="M11">
    <cfRule type="expression" dxfId="51" priority="23">
      <formula>_xlfn.ISFORMULA(M11)</formula>
    </cfRule>
  </conditionalFormatting>
  <conditionalFormatting sqref="M28">
    <cfRule type="expression" dxfId="50" priority="10">
      <formula>AND(_xlfn.ISFORMULA(M28),OR($F28="行動ID", $F28="ID"))</formula>
    </cfRule>
    <cfRule type="expression" dxfId="49" priority="12">
      <formula>OR($F28="行動ID", $F28="ID")</formula>
    </cfRule>
  </conditionalFormatting>
  <conditionalFormatting sqref="M28">
    <cfRule type="expression" dxfId="48" priority="11">
      <formula>_xlfn.ISFORMULA(M28)</formula>
    </cfRule>
  </conditionalFormatting>
  <conditionalFormatting sqref="M38">
    <cfRule type="expression" dxfId="47" priority="7">
      <formula>AND(_xlfn.ISFORMULA(M38),OR($F38="行動ID", $F38="ID"))</formula>
    </cfRule>
    <cfRule type="expression" dxfId="46" priority="9">
      <formula>OR($F38="行動ID", $F38="ID")</formula>
    </cfRule>
  </conditionalFormatting>
  <conditionalFormatting sqref="M38">
    <cfRule type="expression" dxfId="45" priority="8">
      <formula>_xlfn.ISFORMULA(M38)</formula>
    </cfRule>
  </conditionalFormatting>
  <conditionalFormatting sqref="M45">
    <cfRule type="expression" dxfId="44" priority="4">
      <formula>AND(_xlfn.ISFORMULA(M45),OR($F45="行動ID", $F45="ID"))</formula>
    </cfRule>
    <cfRule type="expression" dxfId="43" priority="6">
      <formula>OR($F45="行動ID", $F45="ID")</formula>
    </cfRule>
  </conditionalFormatting>
  <conditionalFormatting sqref="M45">
    <cfRule type="expression" dxfId="42" priority="5">
      <formula>_xlfn.ISFORMULA(M45)</formula>
    </cfRule>
  </conditionalFormatting>
  <conditionalFormatting sqref="M40">
    <cfRule type="expression" dxfId="41" priority="1">
      <formula>AND(_xlfn.ISFORMULA(M40),OR($F40="行動ID", $F40="ID"))</formula>
    </cfRule>
    <cfRule type="expression" dxfId="40" priority="3">
      <formula>OR($F40="行動ID", $F40="ID")</formula>
    </cfRule>
  </conditionalFormatting>
  <conditionalFormatting sqref="M40">
    <cfRule type="expression" dxfId="39" priority="2">
      <formula>_xlfn.ISFORMULA(M40)</formula>
    </cfRule>
  </conditionalFormatting>
  <dataValidations count="1">
    <dataValidation type="list" allowBlank="1" showInputMessage="1" showErrorMessage="1" sqref="L5 L7 F17 L25 L22" xr:uid="{D2EB83DA-2EB8-4809-B92F-F98BD28CE7C1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86284-E628-4F0C-B0E6-77BD87376CAD}">
  <sheetPr codeName="AliasSheet"/>
  <dimension ref="A1:E84"/>
  <sheetViews>
    <sheetView workbookViewId="0">
      <selection activeCell="F12" sqref="F12"/>
    </sheetView>
  </sheetViews>
  <sheetFormatPr defaultRowHeight="16.5"/>
  <cols>
    <col min="1" max="1" width="9" style="9"/>
    <col min="2" max="2" width="13.25" style="9" bestFit="1" customWidth="1"/>
    <col min="3" max="3" width="13.875" style="9" bestFit="1" customWidth="1"/>
    <col min="4" max="4" width="13.875" style="9" customWidth="1"/>
    <col min="5" max="5" width="13" bestFit="1" customWidth="1"/>
  </cols>
  <sheetData>
    <row r="1" spans="1:5" s="6" customFormat="1" ht="19.5">
      <c r="A1" s="17" t="s">
        <v>49</v>
      </c>
      <c r="B1" s="17" t="s">
        <v>27</v>
      </c>
      <c r="C1" s="17" t="s">
        <v>140</v>
      </c>
      <c r="D1" s="17" t="s">
        <v>139</v>
      </c>
      <c r="E1" s="6" t="s">
        <v>36</v>
      </c>
    </row>
    <row r="2" spans="1:5">
      <c r="A2" s="9" t="s">
        <v>50</v>
      </c>
      <c r="B2" s="9" t="s">
        <v>28</v>
      </c>
      <c r="C2" s="9" t="s">
        <v>140</v>
      </c>
      <c r="D2" s="9" t="s">
        <v>141</v>
      </c>
      <c r="E2" s="9" t="s">
        <v>36</v>
      </c>
    </row>
    <row r="56" spans="1:4">
      <c r="A56" s="14"/>
      <c r="B56" s="14"/>
      <c r="C56" s="14"/>
      <c r="D56" s="14"/>
    </row>
    <row r="63" spans="1:4">
      <c r="A63" s="14"/>
      <c r="B63" s="14"/>
      <c r="C63" s="14"/>
      <c r="D63" s="14"/>
    </row>
    <row r="73" spans="1:4">
      <c r="A73" s="14"/>
      <c r="B73" s="14"/>
      <c r="C73" s="14"/>
      <c r="D73" s="14"/>
    </row>
    <row r="84" spans="1:4">
      <c r="A84" s="13"/>
      <c r="B84" s="13"/>
      <c r="C84" s="13"/>
      <c r="D84" s="13"/>
    </row>
  </sheetData>
  <phoneticPr fontId="2" type="noConversion"/>
  <conditionalFormatting sqref="E1:XFD1">
    <cfRule type="duplicateValues" dxfId="38" priority="1"/>
  </conditionalFormatting>
  <conditionalFormatting sqref="A1:D1">
    <cfRule type="duplicateValues" dxfId="37" priority="2"/>
  </conditionalFormatting>
  <dataValidations count="1">
    <dataValidation type="list" allowBlank="1" showInputMessage="1" showErrorMessage="1" sqref="B2" xr:uid="{1FA0B0C4-4DD6-43BF-88E8-C62243C6C5BB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821BE-83CD-42F6-98C5-07413F4C9C35}">
  <sheetPr codeName="DefineSheet"/>
  <dimension ref="A1:L117"/>
  <sheetViews>
    <sheetView topLeftCell="A94" workbookViewId="0">
      <selection activeCell="B117" sqref="B117"/>
    </sheetView>
  </sheetViews>
  <sheetFormatPr defaultRowHeight="16.5"/>
  <cols>
    <col min="1" max="1" width="19.75" style="7" bestFit="1" customWidth="1"/>
    <col min="2" max="2" width="20.625" style="7" customWidth="1"/>
    <col min="3" max="3" width="24.625" style="7" bestFit="1" customWidth="1"/>
    <col min="4" max="4" width="9" style="7"/>
    <col min="6" max="16384" width="9" style="7"/>
  </cols>
  <sheetData>
    <row r="1" spans="1:12" s="6" customFormat="1">
      <c r="A1" s="6" t="s">
        <v>1</v>
      </c>
      <c r="B1" s="6" t="s">
        <v>18</v>
      </c>
      <c r="C1" s="6" t="s">
        <v>17</v>
      </c>
      <c r="E1" s="5"/>
      <c r="L1" s="7"/>
    </row>
    <row r="3" spans="1:12">
      <c r="A3" s="7" t="s">
        <v>27</v>
      </c>
      <c r="B3" t="s">
        <v>144</v>
      </c>
      <c r="C3" s="7" t="s">
        <v>21</v>
      </c>
      <c r="E3" t="str">
        <f t="shared" ref="E3:E88" si="0">B3&amp;","</f>
        <v>ID,</v>
      </c>
      <c r="H3"/>
      <c r="J3"/>
    </row>
    <row r="4" spans="1:12">
      <c r="A4" s="7" t="s">
        <v>27</v>
      </c>
      <c r="B4" s="7" t="s">
        <v>101</v>
      </c>
      <c r="C4" s="7" t="s">
        <v>37</v>
      </c>
      <c r="E4" t="str">
        <f t="shared" si="0"/>
        <v>行動ID,</v>
      </c>
      <c r="H4"/>
    </row>
    <row r="5" spans="1:12">
      <c r="A5" s="7" t="s">
        <v>27</v>
      </c>
      <c r="B5" s="7" t="s">
        <v>99</v>
      </c>
      <c r="C5" s="7" t="s">
        <v>38</v>
      </c>
      <c r="E5" t="str">
        <f t="shared" si="0"/>
        <v>玩家,</v>
      </c>
      <c r="H5"/>
    </row>
    <row r="6" spans="1:12">
      <c r="A6" s="7" t="s">
        <v>27</v>
      </c>
      <c r="B6" s="7" t="s">
        <v>102</v>
      </c>
      <c r="C6" s="7" t="s">
        <v>22</v>
      </c>
      <c r="E6" t="str">
        <f t="shared" si="0"/>
        <v>玩家子彈,</v>
      </c>
      <c r="H6"/>
    </row>
    <row r="7" spans="1:12">
      <c r="A7" s="7" t="s">
        <v>27</v>
      </c>
      <c r="B7" s="7" t="s">
        <v>48</v>
      </c>
      <c r="C7" s="7" t="s">
        <v>23</v>
      </c>
      <c r="E7" t="str">
        <f t="shared" si="0"/>
        <v>BOSS,</v>
      </c>
      <c r="H7"/>
      <c r="I7" s="10"/>
    </row>
    <row r="8" spans="1:12">
      <c r="A8" s="7" t="s">
        <v>27</v>
      </c>
      <c r="B8" s="7" t="s">
        <v>145</v>
      </c>
      <c r="C8" s="7" t="s">
        <v>32</v>
      </c>
      <c r="E8" t="str">
        <f t="shared" si="0"/>
        <v>復位,</v>
      </c>
      <c r="H8"/>
      <c r="I8" s="11"/>
    </row>
    <row r="9" spans="1:12">
      <c r="A9" s="7" t="s">
        <v>27</v>
      </c>
      <c r="B9" s="7" t="s">
        <v>110</v>
      </c>
      <c r="C9" s="7" t="s">
        <v>39</v>
      </c>
      <c r="E9" t="str">
        <f t="shared" si="0"/>
        <v>BOSSDEAD,</v>
      </c>
      <c r="H9"/>
      <c r="I9" s="11"/>
    </row>
    <row r="10" spans="1:12">
      <c r="A10" s="7" t="s">
        <v>27</v>
      </c>
      <c r="B10" s="7" t="s">
        <v>228</v>
      </c>
      <c r="C10" s="7" t="s">
        <v>33</v>
      </c>
      <c r="E10" t="str">
        <f t="shared" si="0"/>
        <v>BOSSLEAVE,</v>
      </c>
      <c r="H10"/>
      <c r="I10" s="11"/>
    </row>
    <row r="11" spans="1:12">
      <c r="A11" s="7" t="s">
        <v>27</v>
      </c>
      <c r="B11" s="7" t="s">
        <v>146</v>
      </c>
      <c r="C11" s="7" t="s">
        <v>40</v>
      </c>
      <c r="E11" t="str">
        <f t="shared" si="0"/>
        <v>Power,</v>
      </c>
      <c r="H11"/>
      <c r="I11" s="11"/>
    </row>
    <row r="12" spans="1:12">
      <c r="A12" s="7" t="s">
        <v>27</v>
      </c>
      <c r="B12" s="7" t="s">
        <v>45</v>
      </c>
      <c r="C12" s="7" t="s">
        <v>34</v>
      </c>
      <c r="E12" t="str">
        <f t="shared" si="0"/>
        <v>符卡,</v>
      </c>
      <c r="H12"/>
      <c r="I12" s="11"/>
    </row>
    <row r="13" spans="1:12">
      <c r="A13" s="7" t="s">
        <v>27</v>
      </c>
      <c r="B13" s="7" t="s">
        <v>103</v>
      </c>
      <c r="C13" s="7" t="s">
        <v>41</v>
      </c>
      <c r="E13" t="str">
        <f t="shared" si="0"/>
        <v>標題,</v>
      </c>
      <c r="H13"/>
      <c r="I13" s="11"/>
    </row>
    <row r="14" spans="1:12">
      <c r="A14" s="7" t="s">
        <v>27</v>
      </c>
      <c r="B14" s="7" t="s">
        <v>104</v>
      </c>
      <c r="C14" s="7" t="s">
        <v>42</v>
      </c>
      <c r="E14" t="str">
        <f t="shared" si="0"/>
        <v>對話,</v>
      </c>
      <c r="H14"/>
    </row>
    <row r="15" spans="1:12">
      <c r="A15" s="7" t="s">
        <v>27</v>
      </c>
      <c r="B15" s="7" t="s">
        <v>130</v>
      </c>
      <c r="C15" s="7" t="s">
        <v>43</v>
      </c>
      <c r="E15" t="str">
        <f t="shared" si="0"/>
        <v>播放音樂,</v>
      </c>
      <c r="H15"/>
    </row>
    <row r="16" spans="1:12">
      <c r="A16" s="7" t="s">
        <v>27</v>
      </c>
      <c r="B16" s="7" t="s">
        <v>131</v>
      </c>
      <c r="C16" s="7" t="s">
        <v>44</v>
      </c>
      <c r="E16" t="str">
        <f t="shared" si="0"/>
        <v>關卡結束,</v>
      </c>
      <c r="H16"/>
    </row>
    <row r="17" spans="1:8">
      <c r="A17" s="7" t="s">
        <v>27</v>
      </c>
      <c r="B17" s="7" t="s">
        <v>147</v>
      </c>
      <c r="C17" s="7" t="s">
        <v>229</v>
      </c>
      <c r="E17" t="str">
        <f t="shared" si="0"/>
        <v>下一關,</v>
      </c>
      <c r="H17"/>
    </row>
    <row r="18" spans="1:8">
      <c r="H18"/>
    </row>
    <row r="19" spans="1:8">
      <c r="H19"/>
    </row>
    <row r="20" spans="1:8">
      <c r="A20" s="7" t="s">
        <v>27</v>
      </c>
      <c r="B20" s="7" t="s">
        <v>142</v>
      </c>
      <c r="C20" s="7" t="s">
        <v>148</v>
      </c>
      <c r="E20" t="str">
        <f t="shared" si="0"/>
        <v>啟動依ID,</v>
      </c>
      <c r="H20"/>
    </row>
    <row r="21" spans="1:8">
      <c r="A21" s="7" t="s">
        <v>27</v>
      </c>
      <c r="B21" s="7" t="s">
        <v>149</v>
      </c>
      <c r="C21" s="7" t="s">
        <v>150</v>
      </c>
      <c r="E21" t="str">
        <f t="shared" si="0"/>
        <v>啟動依遊戲時間,</v>
      </c>
      <c r="H21"/>
    </row>
    <row r="22" spans="1:8">
      <c r="A22" s="7" t="s">
        <v>27</v>
      </c>
      <c r="B22" s="7" t="s">
        <v>126</v>
      </c>
      <c r="C22" s="7" t="s">
        <v>151</v>
      </c>
      <c r="E22" t="str">
        <f t="shared" si="0"/>
        <v>啟動依開始時間後,</v>
      </c>
      <c r="H22"/>
    </row>
    <row r="23" spans="1:8">
      <c r="A23" s="7" t="s">
        <v>27</v>
      </c>
      <c r="B23" s="7" t="s">
        <v>127</v>
      </c>
      <c r="C23" s="7" t="s">
        <v>152</v>
      </c>
      <c r="E23" t="str">
        <f t="shared" si="0"/>
        <v>啟動依結束時間前,</v>
      </c>
      <c r="H23"/>
    </row>
    <row r="24" spans="1:8">
      <c r="A24" s="7" t="s">
        <v>27</v>
      </c>
      <c r="B24" s="7" t="s">
        <v>128</v>
      </c>
      <c r="C24" s="7" t="s">
        <v>153</v>
      </c>
      <c r="E24" t="str">
        <f t="shared" si="0"/>
        <v>啟動依位置,</v>
      </c>
      <c r="H24"/>
    </row>
    <row r="25" spans="1:8">
      <c r="A25" s="7" t="s">
        <v>27</v>
      </c>
      <c r="B25" s="7" t="s">
        <v>129</v>
      </c>
      <c r="C25" s="7" t="s">
        <v>154</v>
      </c>
      <c r="E25" t="str">
        <f t="shared" si="0"/>
        <v>啟動依位置距離,</v>
      </c>
      <c r="H25"/>
    </row>
    <row r="26" spans="1:8">
      <c r="A26" s="7" t="s">
        <v>27</v>
      </c>
      <c r="B26" s="7" t="s">
        <v>155</v>
      </c>
      <c r="C26" s="7" t="s">
        <v>156</v>
      </c>
      <c r="E26" t="str">
        <f t="shared" si="0"/>
        <v>啟動依玩家死亡,</v>
      </c>
      <c r="H26"/>
    </row>
    <row r="27" spans="1:8">
      <c r="A27" s="7" t="s">
        <v>27</v>
      </c>
      <c r="B27" s="7" t="s">
        <v>157</v>
      </c>
      <c r="C27" s="7" t="s">
        <v>158</v>
      </c>
      <c r="E27" t="str">
        <f t="shared" si="0"/>
        <v>啟動位置是活動,</v>
      </c>
      <c r="H27"/>
    </row>
    <row r="28" spans="1:8">
      <c r="H28"/>
    </row>
    <row r="29" spans="1:8">
      <c r="H29"/>
    </row>
    <row r="30" spans="1:8">
      <c r="A30" s="7" t="s">
        <v>27</v>
      </c>
      <c r="B30" s="7" t="s">
        <v>29</v>
      </c>
      <c r="C30" s="7" t="s">
        <v>159</v>
      </c>
      <c r="E30" t="str">
        <f t="shared" si="0"/>
        <v>物件,</v>
      </c>
      <c r="H30"/>
    </row>
    <row r="31" spans="1:8">
      <c r="A31" s="7" t="s">
        <v>27</v>
      </c>
      <c r="B31" s="7" t="s">
        <v>118</v>
      </c>
      <c r="C31" s="7" t="s">
        <v>160</v>
      </c>
      <c r="E31" t="str">
        <f t="shared" si="0"/>
        <v>Sprite,</v>
      </c>
      <c r="H31"/>
    </row>
    <row r="32" spans="1:8">
      <c r="A32" s="7" t="s">
        <v>27</v>
      </c>
      <c r="B32" s="7" t="s">
        <v>100</v>
      </c>
      <c r="C32" s="7" t="s">
        <v>161</v>
      </c>
      <c r="E32" t="str">
        <f t="shared" si="0"/>
        <v>動畫,</v>
      </c>
      <c r="H32"/>
    </row>
    <row r="33" spans="1:8">
      <c r="A33" s="7" t="s">
        <v>27</v>
      </c>
      <c r="B33" s="7" t="s">
        <v>106</v>
      </c>
      <c r="C33" s="7" t="s">
        <v>162</v>
      </c>
      <c r="E33" t="str">
        <f t="shared" si="0"/>
        <v>Name,</v>
      </c>
      <c r="F33" s="4"/>
      <c r="H33"/>
    </row>
    <row r="34" spans="1:8">
      <c r="A34" s="7" t="s">
        <v>27</v>
      </c>
      <c r="B34" s="7" t="s">
        <v>105</v>
      </c>
      <c r="C34" s="7" t="s">
        <v>163</v>
      </c>
      <c r="E34" t="str">
        <f t="shared" si="0"/>
        <v>傷害,</v>
      </c>
      <c r="F34" s="4"/>
      <c r="H34"/>
    </row>
    <row r="35" spans="1:8">
      <c r="A35" s="7" t="s">
        <v>27</v>
      </c>
      <c r="B35" s="7" t="s">
        <v>46</v>
      </c>
      <c r="C35" s="7" t="s">
        <v>164</v>
      </c>
      <c r="E35" t="str">
        <f t="shared" si="0"/>
        <v>HP,</v>
      </c>
      <c r="F35" s="4"/>
      <c r="H35"/>
    </row>
    <row r="36" spans="1:8">
      <c r="A36" s="7" t="s">
        <v>27</v>
      </c>
      <c r="B36" s="7" t="s">
        <v>165</v>
      </c>
      <c r="C36" s="7" t="s">
        <v>166</v>
      </c>
      <c r="E36" t="str">
        <f t="shared" si="0"/>
        <v>Power掉落,</v>
      </c>
      <c r="F36" s="4"/>
      <c r="H36"/>
    </row>
    <row r="37" spans="1:8">
      <c r="A37" s="7" t="s">
        <v>27</v>
      </c>
      <c r="B37" s="7" t="s">
        <v>167</v>
      </c>
      <c r="C37" s="7" t="s">
        <v>168</v>
      </c>
      <c r="E37" t="str">
        <f t="shared" si="0"/>
        <v>加ID,</v>
      </c>
      <c r="F37" s="4"/>
      <c r="H37"/>
    </row>
    <row r="38" spans="1:8">
      <c r="F38" s="4"/>
      <c r="H38"/>
    </row>
    <row r="39" spans="1:8">
      <c r="F39" s="4"/>
      <c r="H39"/>
    </row>
    <row r="40" spans="1:8">
      <c r="A40" s="7" t="s">
        <v>27</v>
      </c>
      <c r="B40" s="7" t="s">
        <v>35</v>
      </c>
      <c r="C40" s="7" t="s">
        <v>169</v>
      </c>
      <c r="E40" t="str">
        <f t="shared" si="0"/>
        <v>行動時間,</v>
      </c>
      <c r="F40" s="4"/>
      <c r="H40"/>
    </row>
    <row r="41" spans="1:8">
      <c r="A41" s="7" t="s">
        <v>27</v>
      </c>
      <c r="B41" s="7" t="s">
        <v>97</v>
      </c>
      <c r="C41" s="7" t="s">
        <v>170</v>
      </c>
      <c r="E41" t="str">
        <f t="shared" si="0"/>
        <v>回收時間,</v>
      </c>
      <c r="H41"/>
    </row>
    <row r="42" spans="1:8">
      <c r="A42" s="7" t="s">
        <v>27</v>
      </c>
      <c r="B42" s="7" t="s">
        <v>107</v>
      </c>
      <c r="C42" s="7" t="s">
        <v>171</v>
      </c>
      <c r="E42" t="str">
        <f t="shared" si="0"/>
        <v>死亡時間,</v>
      </c>
      <c r="H42"/>
    </row>
    <row r="43" spans="1:8">
      <c r="A43" s="7" t="s">
        <v>27</v>
      </c>
      <c r="B43" s="7" t="s">
        <v>225</v>
      </c>
      <c r="C43" s="7" t="s">
        <v>226</v>
      </c>
      <c r="E43" t="str">
        <f t="shared" si="0"/>
        <v>符卡時間,</v>
      </c>
      <c r="H43"/>
    </row>
    <row r="44" spans="1:8">
      <c r="B44" s="23"/>
      <c r="H44"/>
    </row>
    <row r="45" spans="1:8">
      <c r="H45"/>
    </row>
    <row r="46" spans="1:8">
      <c r="A46" s="7" t="s">
        <v>27</v>
      </c>
      <c r="B46" s="7" t="s">
        <v>98</v>
      </c>
      <c r="C46" s="7" t="s">
        <v>172</v>
      </c>
      <c r="E46" t="str">
        <f t="shared" si="0"/>
        <v>移位置,</v>
      </c>
      <c r="H46"/>
    </row>
    <row r="47" spans="1:8">
      <c r="A47" s="7" t="s">
        <v>27</v>
      </c>
      <c r="B47" s="7" t="s">
        <v>116</v>
      </c>
      <c r="C47" s="7" t="s">
        <v>173</v>
      </c>
      <c r="E47" t="str">
        <f t="shared" si="0"/>
        <v>相對位置,</v>
      </c>
      <c r="H47"/>
    </row>
    <row r="48" spans="1:8">
      <c r="A48" s="7" t="s">
        <v>27</v>
      </c>
      <c r="B48" s="7" t="s">
        <v>133</v>
      </c>
      <c r="C48" s="7" t="s">
        <v>174</v>
      </c>
      <c r="E48" t="str">
        <f t="shared" si="0"/>
        <v>位置參數,</v>
      </c>
      <c r="H48"/>
    </row>
    <row r="49" spans="1:8">
      <c r="A49" s="7" t="s">
        <v>27</v>
      </c>
      <c r="B49" s="7" t="s">
        <v>175</v>
      </c>
      <c r="C49" s="7" t="s">
        <v>176</v>
      </c>
      <c r="E49" t="str">
        <f t="shared" si="0"/>
        <v>加位置,</v>
      </c>
      <c r="H49"/>
    </row>
    <row r="50" spans="1:8">
      <c r="A50" s="7" t="s">
        <v>27</v>
      </c>
      <c r="B50" s="7" t="s">
        <v>235</v>
      </c>
      <c r="C50" s="7" t="s">
        <v>236</v>
      </c>
      <c r="E50" t="str">
        <f t="shared" si="0"/>
        <v>記錄位置,</v>
      </c>
      <c r="H50"/>
    </row>
    <row r="51" spans="1:8">
      <c r="A51" s="7" t="s">
        <v>27</v>
      </c>
      <c r="B51" s="7" t="s">
        <v>237</v>
      </c>
      <c r="C51" s="7" t="s">
        <v>238</v>
      </c>
      <c r="E51" t="str">
        <f t="shared" si="0"/>
        <v>記錄位置序號,</v>
      </c>
      <c r="H51"/>
    </row>
    <row r="52" spans="1:8">
      <c r="H52"/>
    </row>
    <row r="53" spans="1:8">
      <c r="H53"/>
    </row>
    <row r="54" spans="1:8">
      <c r="A54" s="7" t="s">
        <v>27</v>
      </c>
      <c r="B54" s="7" t="s">
        <v>31</v>
      </c>
      <c r="C54" s="7" t="s">
        <v>177</v>
      </c>
      <c r="E54" t="str">
        <f t="shared" si="0"/>
        <v>移動角度,</v>
      </c>
      <c r="H54"/>
    </row>
    <row r="55" spans="1:8">
      <c r="A55" s="7" t="s">
        <v>27</v>
      </c>
      <c r="B55" s="7" t="s">
        <v>111</v>
      </c>
      <c r="C55" s="7" t="s">
        <v>178</v>
      </c>
      <c r="E55" t="str">
        <f t="shared" si="0"/>
        <v>加移動角度,</v>
      </c>
      <c r="F55" s="9"/>
      <c r="H55"/>
    </row>
    <row r="56" spans="1:8">
      <c r="A56" s="7" t="s">
        <v>27</v>
      </c>
      <c r="B56" s="7" t="s">
        <v>112</v>
      </c>
      <c r="C56" s="7" t="s">
        <v>179</v>
      </c>
      <c r="E56" t="str">
        <f t="shared" si="0"/>
        <v>旋轉角度,</v>
      </c>
      <c r="F56" s="9"/>
      <c r="H56"/>
    </row>
    <row r="57" spans="1:8">
      <c r="A57" s="7" t="s">
        <v>27</v>
      </c>
      <c r="B57" s="7" t="s">
        <v>113</v>
      </c>
      <c r="C57" s="7" t="s">
        <v>180</v>
      </c>
      <c r="E57" t="str">
        <f t="shared" si="0"/>
        <v>加旋轉角度,</v>
      </c>
      <c r="F57" s="9"/>
      <c r="H57"/>
    </row>
    <row r="58" spans="1:8">
      <c r="A58" s="7" t="s">
        <v>27</v>
      </c>
      <c r="B58" s="7" t="s">
        <v>132</v>
      </c>
      <c r="C58" s="7" t="s">
        <v>181</v>
      </c>
      <c r="E58" t="str">
        <f t="shared" si="0"/>
        <v>角度參數,</v>
      </c>
      <c r="F58" s="9"/>
      <c r="H58"/>
    </row>
    <row r="59" spans="1:8">
      <c r="A59" s="7" t="s">
        <v>27</v>
      </c>
      <c r="B59" s="7" t="s">
        <v>182</v>
      </c>
      <c r="C59" s="7" t="s">
        <v>183</v>
      </c>
      <c r="E59" t="str">
        <f t="shared" si="0"/>
        <v>加角度,</v>
      </c>
      <c r="F59" s="9"/>
      <c r="H59"/>
    </row>
    <row r="60" spans="1:8">
      <c r="A60" s="7" t="s">
        <v>27</v>
      </c>
      <c r="B60" s="7" t="s">
        <v>114</v>
      </c>
      <c r="C60" s="7" t="s">
        <v>184</v>
      </c>
      <c r="E60" t="str">
        <f t="shared" si="0"/>
        <v>旋轉是移動角度,</v>
      </c>
      <c r="H60"/>
    </row>
    <row r="61" spans="1:8">
      <c r="A61" s="7" t="s">
        <v>27</v>
      </c>
      <c r="B61" s="24" t="s">
        <v>230</v>
      </c>
      <c r="C61" s="7" t="s">
        <v>231</v>
      </c>
      <c r="E61" t="str">
        <f t="shared" si="0"/>
        <v>子旋轉角度,</v>
      </c>
      <c r="H61"/>
    </row>
    <row r="62" spans="1:8">
      <c r="A62" s="7" t="s">
        <v>27</v>
      </c>
      <c r="B62" s="24" t="s">
        <v>232</v>
      </c>
      <c r="C62" s="7" t="s">
        <v>233</v>
      </c>
      <c r="E62" t="str">
        <f t="shared" si="0"/>
        <v>子加旋轉角度,</v>
      </c>
      <c r="H62"/>
    </row>
    <row r="63" spans="1:8">
      <c r="A63" s="7" t="s">
        <v>27</v>
      </c>
      <c r="B63" s="7" t="s">
        <v>239</v>
      </c>
      <c r="C63" s="7" t="s">
        <v>240</v>
      </c>
      <c r="E63" t="str">
        <f t="shared" si="0"/>
        <v>記錄角度,</v>
      </c>
      <c r="H63"/>
    </row>
    <row r="64" spans="1:8">
      <c r="A64" s="7" t="s">
        <v>27</v>
      </c>
      <c r="B64" s="7" t="s">
        <v>242</v>
      </c>
      <c r="C64" s="7" t="s">
        <v>241</v>
      </c>
      <c r="E64" t="str">
        <f t="shared" si="0"/>
        <v>記錄角度ID,</v>
      </c>
      <c r="H64"/>
    </row>
    <row r="65" spans="1:11">
      <c r="B65" s="24"/>
      <c r="H65"/>
    </row>
    <row r="66" spans="1:11">
      <c r="H66"/>
    </row>
    <row r="67" spans="1:11">
      <c r="A67" s="7" t="s">
        <v>27</v>
      </c>
      <c r="B67" s="7" t="s">
        <v>30</v>
      </c>
      <c r="C67" s="7" t="s">
        <v>185</v>
      </c>
      <c r="E67" t="str">
        <f t="shared" si="0"/>
        <v>速度,</v>
      </c>
      <c r="H67"/>
    </row>
    <row r="68" spans="1:11">
      <c r="A68" s="7" t="s">
        <v>27</v>
      </c>
      <c r="B68" s="7" t="s">
        <v>115</v>
      </c>
      <c r="C68" s="7" t="s">
        <v>186</v>
      </c>
      <c r="E68" t="str">
        <f t="shared" si="0"/>
        <v>加速度,</v>
      </c>
      <c r="H68"/>
    </row>
    <row r="69" spans="1:11">
      <c r="A69" s="7" t="s">
        <v>27</v>
      </c>
      <c r="B69" s="7" t="s">
        <v>108</v>
      </c>
      <c r="C69" s="7" t="s">
        <v>187</v>
      </c>
      <c r="E69" t="str">
        <f t="shared" si="0"/>
        <v>最小速度,</v>
      </c>
      <c r="H69"/>
    </row>
    <row r="70" spans="1:11">
      <c r="A70" s="7" t="s">
        <v>27</v>
      </c>
      <c r="B70" s="7" t="s">
        <v>109</v>
      </c>
      <c r="C70" s="7" t="s">
        <v>188</v>
      </c>
      <c r="E70" t="str">
        <f t="shared" si="0"/>
        <v>最大速度,</v>
      </c>
      <c r="H70"/>
    </row>
    <row r="71" spans="1:11">
      <c r="H71"/>
    </row>
    <row r="72" spans="1:11">
      <c r="H72"/>
    </row>
    <row r="73" spans="1:11">
      <c r="A73" s="7" t="s">
        <v>27</v>
      </c>
      <c r="B73" s="7" t="s">
        <v>189</v>
      </c>
      <c r="C73" s="7" t="s">
        <v>190</v>
      </c>
      <c r="E73" t="str">
        <f t="shared" si="0"/>
        <v>是界內,</v>
      </c>
      <c r="H73"/>
    </row>
    <row r="74" spans="1:11">
      <c r="A74" s="7" t="s">
        <v>27</v>
      </c>
      <c r="B74" s="7" t="s">
        <v>47</v>
      </c>
      <c r="C74" s="7" t="s">
        <v>191</v>
      </c>
      <c r="E74" t="str">
        <f t="shared" si="0"/>
        <v>無敵,</v>
      </c>
      <c r="H74"/>
    </row>
    <row r="75" spans="1:11">
      <c r="A75" s="7" t="s">
        <v>27</v>
      </c>
      <c r="B75" s="7" t="s">
        <v>117</v>
      </c>
      <c r="C75" s="7" t="s">
        <v>192</v>
      </c>
      <c r="E75" t="str">
        <f t="shared" si="0"/>
        <v>貫穿,</v>
      </c>
      <c r="H75"/>
    </row>
    <row r="76" spans="1:11">
      <c r="A76" s="7" t="s">
        <v>27</v>
      </c>
      <c r="B76" s="7" t="s">
        <v>125</v>
      </c>
      <c r="C76" s="7" t="s">
        <v>193</v>
      </c>
      <c r="E76" t="str">
        <f t="shared" si="0"/>
        <v>回收距離,</v>
      </c>
      <c r="H76"/>
    </row>
    <row r="77" spans="1:11">
      <c r="A77" s="7" t="s">
        <v>27</v>
      </c>
      <c r="B77" s="7" t="s">
        <v>194</v>
      </c>
      <c r="C77" s="7" t="s">
        <v>195</v>
      </c>
      <c r="E77" t="str">
        <f t="shared" si="0"/>
        <v>出生動畫速率,</v>
      </c>
      <c r="H77"/>
    </row>
    <row r="78" spans="1:11">
      <c r="A78" s="7" t="s">
        <v>27</v>
      </c>
      <c r="B78" s="7" t="s">
        <v>196</v>
      </c>
      <c r="C78" s="7" t="s">
        <v>197</v>
      </c>
      <c r="E78" t="str">
        <f t="shared" si="0"/>
        <v>出生動畫時間,</v>
      </c>
      <c r="H78"/>
    </row>
    <row r="79" spans="1:11">
      <c r="A79" s="7" t="s">
        <v>27</v>
      </c>
      <c r="B79" s="7" t="s">
        <v>198</v>
      </c>
      <c r="C79" s="7" t="s">
        <v>199</v>
      </c>
      <c r="E79" t="str">
        <f t="shared" si="0"/>
        <v>出生動畫開始,</v>
      </c>
      <c r="H79"/>
    </row>
    <row r="80" spans="1:11">
      <c r="A80" s="7" t="s">
        <v>27</v>
      </c>
      <c r="B80" s="7" t="s">
        <v>200</v>
      </c>
      <c r="C80" s="7" t="s">
        <v>201</v>
      </c>
      <c r="E80" t="str">
        <f t="shared" si="0"/>
        <v>行動ID結束,</v>
      </c>
      <c r="H80"/>
      <c r="K80" s="4"/>
    </row>
    <row r="81" spans="1:11">
      <c r="H81"/>
      <c r="K81" s="4"/>
    </row>
    <row r="82" spans="1:11">
      <c r="H82"/>
      <c r="K82" s="4"/>
    </row>
    <row r="83" spans="1:11">
      <c r="A83" s="7" t="s">
        <v>27</v>
      </c>
      <c r="B83" s="7" t="s">
        <v>119</v>
      </c>
      <c r="C83" s="7" t="s">
        <v>202</v>
      </c>
      <c r="E83" t="str">
        <f t="shared" si="0"/>
        <v>時位時間,</v>
      </c>
      <c r="H83"/>
      <c r="K83" s="4"/>
    </row>
    <row r="84" spans="1:11">
      <c r="A84" s="7" t="s">
        <v>27</v>
      </c>
      <c r="B84" s="7" t="s">
        <v>120</v>
      </c>
      <c r="C84" s="7" t="s">
        <v>203</v>
      </c>
      <c r="E84" t="str">
        <f t="shared" si="0"/>
        <v>時位位置,</v>
      </c>
      <c r="H84"/>
      <c r="K84" s="4"/>
    </row>
    <row r="85" spans="1:11">
      <c r="A85" s="7" t="s">
        <v>27</v>
      </c>
      <c r="B85" s="7" t="s">
        <v>121</v>
      </c>
      <c r="C85" s="7" t="s">
        <v>204</v>
      </c>
      <c r="E85" t="str">
        <f t="shared" si="0"/>
        <v>時位變速點,</v>
      </c>
      <c r="H85"/>
      <c r="K85" s="9"/>
    </row>
    <row r="86" spans="1:11">
      <c r="A86" s="7" t="s">
        <v>27</v>
      </c>
      <c r="B86" s="7" t="s">
        <v>122</v>
      </c>
      <c r="C86" s="7" t="s">
        <v>205</v>
      </c>
      <c r="E86" t="str">
        <f t="shared" si="0"/>
        <v>時位開始速度,</v>
      </c>
      <c r="H86"/>
      <c r="K86" s="9"/>
    </row>
    <row r="87" spans="1:11">
      <c r="A87" s="7" t="s">
        <v>27</v>
      </c>
      <c r="B87" s="7" t="s">
        <v>123</v>
      </c>
      <c r="C87" s="7" t="s">
        <v>206</v>
      </c>
      <c r="E87" t="str">
        <f t="shared" si="0"/>
        <v>時位結束速度,</v>
      </c>
      <c r="H87"/>
      <c r="K87" s="9"/>
    </row>
    <row r="88" spans="1:11">
      <c r="A88" s="7" t="s">
        <v>27</v>
      </c>
      <c r="B88" s="7" t="s">
        <v>124</v>
      </c>
      <c r="C88" s="7" t="s">
        <v>207</v>
      </c>
      <c r="E88" t="str">
        <f t="shared" si="0"/>
        <v>時位移動角度,</v>
      </c>
      <c r="H88"/>
    </row>
    <row r="89" spans="1:11">
      <c r="H89"/>
    </row>
    <row r="90" spans="1:11">
      <c r="H90"/>
    </row>
    <row r="91" spans="1:11">
      <c r="A91" s="7" t="s">
        <v>27</v>
      </c>
      <c r="B91" s="7" t="s">
        <v>208</v>
      </c>
      <c r="C91" s="7" t="s">
        <v>209</v>
      </c>
      <c r="E91" t="str">
        <f t="shared" ref="E91:E95" si="1">B91&amp;","</f>
        <v>玩家遊戲時間,</v>
      </c>
      <c r="H91"/>
    </row>
    <row r="92" spans="1:11">
      <c r="A92" s="7" t="s">
        <v>27</v>
      </c>
      <c r="B92" s="7" t="s">
        <v>210</v>
      </c>
      <c r="C92" s="7" t="s">
        <v>211</v>
      </c>
      <c r="E92" t="str">
        <f t="shared" si="1"/>
        <v>玩家子彈間隔,</v>
      </c>
      <c r="H92"/>
    </row>
    <row r="93" spans="1:11">
      <c r="A93" s="7" t="s">
        <v>27</v>
      </c>
      <c r="B93" s="7" t="s">
        <v>212</v>
      </c>
      <c r="C93" s="7" t="s">
        <v>213</v>
      </c>
      <c r="E93" t="str">
        <f t="shared" si="1"/>
        <v>玩家Power需求,</v>
      </c>
      <c r="H93"/>
    </row>
    <row r="94" spans="1:11">
      <c r="A94" s="7" t="s">
        <v>27</v>
      </c>
      <c r="B94" s="7" t="s">
        <v>214</v>
      </c>
      <c r="C94" s="7" t="s">
        <v>215</v>
      </c>
      <c r="E94" t="str">
        <f t="shared" si="1"/>
        <v>玩家Shift,</v>
      </c>
      <c r="H94"/>
    </row>
    <row r="95" spans="1:11">
      <c r="A95" s="7" t="s">
        <v>27</v>
      </c>
      <c r="B95" s="7" t="s">
        <v>216</v>
      </c>
      <c r="C95" s="7" t="s">
        <v>217</v>
      </c>
      <c r="E95" t="str">
        <f t="shared" si="1"/>
        <v>玩家子彈延遲,</v>
      </c>
      <c r="H95"/>
    </row>
    <row r="96" spans="1:11">
      <c r="H96"/>
    </row>
    <row r="97" spans="1:12">
      <c r="H97"/>
    </row>
    <row r="98" spans="1:12">
      <c r="H98"/>
    </row>
    <row r="99" spans="1:12">
      <c r="H99"/>
    </row>
    <row r="100" spans="1:12">
      <c r="H100"/>
    </row>
    <row r="101" spans="1:12">
      <c r="H101"/>
    </row>
    <row r="102" spans="1:12">
      <c r="H102"/>
    </row>
    <row r="103" spans="1:12">
      <c r="A103" s="7" t="s">
        <v>139</v>
      </c>
      <c r="B103" s="7" t="s">
        <v>136</v>
      </c>
      <c r="C103" s="7" t="s">
        <v>21</v>
      </c>
      <c r="H103"/>
    </row>
    <row r="104" spans="1:12" customFormat="1">
      <c r="A104" s="7" t="s">
        <v>139</v>
      </c>
      <c r="B104" t="s">
        <v>137</v>
      </c>
      <c r="C104" s="7" t="s">
        <v>25</v>
      </c>
      <c r="D104" s="7"/>
      <c r="L104" s="7"/>
    </row>
    <row r="105" spans="1:12" customFormat="1">
      <c r="A105" s="7" t="s">
        <v>139</v>
      </c>
      <c r="B105" t="s">
        <v>138</v>
      </c>
      <c r="C105" s="7" t="s">
        <v>26</v>
      </c>
      <c r="D105" s="7"/>
      <c r="L105" s="7"/>
    </row>
    <row r="106" spans="1:12" customFormat="1">
      <c r="A106" s="7" t="s">
        <v>139</v>
      </c>
      <c r="B106" t="s">
        <v>218</v>
      </c>
      <c r="C106" s="7" t="s">
        <v>96</v>
      </c>
      <c r="D106" s="7"/>
      <c r="L106" s="7"/>
    </row>
    <row r="107" spans="1:12" customFormat="1">
      <c r="A107" s="7" t="s">
        <v>139</v>
      </c>
      <c r="B107" t="s">
        <v>219</v>
      </c>
      <c r="C107" s="7" t="s">
        <v>23</v>
      </c>
      <c r="D107" s="7"/>
      <c r="L107" s="7"/>
    </row>
    <row r="108" spans="1:12" customFormat="1">
      <c r="A108" s="7" t="s">
        <v>139</v>
      </c>
      <c r="B108" t="s">
        <v>220</v>
      </c>
      <c r="C108" s="7" t="s">
        <v>24</v>
      </c>
      <c r="D108" s="7"/>
      <c r="L108" s="7"/>
    </row>
    <row r="109" spans="1:12" customFormat="1">
      <c r="A109" s="7"/>
      <c r="C109" s="7"/>
      <c r="D109" s="7"/>
      <c r="L109" s="7"/>
    </row>
    <row r="110" spans="1:12" customFormat="1">
      <c r="A110" s="7"/>
      <c r="C110" s="7"/>
      <c r="D110" s="7"/>
      <c r="L110" s="7"/>
    </row>
    <row r="111" spans="1:12" customFormat="1">
      <c r="A111" s="7" t="s">
        <v>140</v>
      </c>
      <c r="B111" t="s">
        <v>134</v>
      </c>
      <c r="C111" s="7" t="s">
        <v>21</v>
      </c>
      <c r="D111" s="4"/>
      <c r="L111" s="7"/>
    </row>
    <row r="112" spans="1:12" customFormat="1">
      <c r="A112" s="7" t="s">
        <v>140</v>
      </c>
      <c r="B112" t="s">
        <v>135</v>
      </c>
      <c r="C112" s="7" t="s">
        <v>37</v>
      </c>
      <c r="D112" s="7"/>
      <c r="L112" s="7"/>
    </row>
    <row r="113" spans="1:12" customFormat="1">
      <c r="A113" s="7" t="s">
        <v>140</v>
      </c>
      <c r="B113" t="s">
        <v>143</v>
      </c>
      <c r="C113" s="7" t="s">
        <v>38</v>
      </c>
      <c r="D113" s="7"/>
      <c r="L113" s="7"/>
    </row>
    <row r="114" spans="1:12" customFormat="1">
      <c r="A114" s="7" t="s">
        <v>140</v>
      </c>
      <c r="B114" t="s">
        <v>221</v>
      </c>
      <c r="C114" s="7" t="s">
        <v>22</v>
      </c>
      <c r="D114" s="7"/>
      <c r="L114" s="7"/>
    </row>
    <row r="115" spans="1:12">
      <c r="A115" s="7" t="s">
        <v>140</v>
      </c>
      <c r="B115" s="7" t="s">
        <v>222</v>
      </c>
      <c r="C115" s="7" t="s">
        <v>23</v>
      </c>
      <c r="H115"/>
    </row>
    <row r="116" spans="1:12">
      <c r="A116" s="7" t="s">
        <v>140</v>
      </c>
      <c r="B116" s="7" t="s">
        <v>243</v>
      </c>
      <c r="C116" s="7" t="s">
        <v>24</v>
      </c>
      <c r="H116"/>
    </row>
    <row r="117" spans="1:12">
      <c r="A117" s="7" t="s">
        <v>140</v>
      </c>
      <c r="B117" s="7" t="s">
        <v>245</v>
      </c>
      <c r="C117" s="7" t="s">
        <v>246</v>
      </c>
      <c r="H117"/>
    </row>
  </sheetData>
  <phoneticPr fontId="2" type="noConversion"/>
  <conditionalFormatting sqref="K85:K87">
    <cfRule type="cellIs" dxfId="36" priority="1" operator="equal">
      <formula>"行動序號"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CCD32F-7827-44EF-9394-CEFA5C17A833}">
  <sheetPr codeName="OptionSheet"/>
  <dimension ref="A1:J112"/>
  <sheetViews>
    <sheetView zoomScale="115" zoomScaleNormal="115" workbookViewId="0">
      <selection activeCell="D13" sqref="D13"/>
    </sheetView>
  </sheetViews>
  <sheetFormatPr defaultRowHeight="16.5"/>
  <cols>
    <col min="1" max="1" width="20.5" style="19" bestFit="1" customWidth="1"/>
    <col min="2" max="2" width="18.375" style="4" customWidth="1"/>
    <col min="3" max="3" width="16.5" style="4" customWidth="1"/>
    <col min="4" max="4" width="20.875" style="4" bestFit="1" customWidth="1"/>
    <col min="5" max="5" width="20.875" style="4" customWidth="1"/>
    <col min="6" max="6" width="20.875" style="4" bestFit="1" customWidth="1"/>
    <col min="7" max="7" width="13.875" style="4" bestFit="1" customWidth="1"/>
    <col min="8" max="10" width="18.625" style="4" bestFit="1" customWidth="1"/>
    <col min="11" max="16384" width="9" style="4"/>
  </cols>
  <sheetData>
    <row r="1" spans="1:10" s="5" customFormat="1" ht="19.5">
      <c r="A1" s="17" t="s">
        <v>27</v>
      </c>
      <c r="B1" s="6" t="s">
        <v>139</v>
      </c>
      <c r="C1" s="6" t="s">
        <v>140</v>
      </c>
      <c r="D1" s="8"/>
      <c r="E1" s="8"/>
      <c r="F1" s="8"/>
      <c r="G1" s="6"/>
      <c r="H1" s="8"/>
      <c r="I1" s="8"/>
      <c r="J1" s="8"/>
    </row>
    <row r="2" spans="1:10" ht="85.5">
      <c r="B2" s="19" t="s">
        <v>136</v>
      </c>
      <c r="C2" s="19" t="s">
        <v>134</v>
      </c>
      <c r="D2" s="19"/>
      <c r="G2" s="20" t="s">
        <v>223</v>
      </c>
    </row>
    <row r="3" spans="1:10">
      <c r="A3" s="19" t="s">
        <v>93</v>
      </c>
      <c r="B3" s="19" t="s">
        <v>137</v>
      </c>
      <c r="C3" s="19" t="s">
        <v>135</v>
      </c>
      <c r="D3" s="19"/>
      <c r="G3" s="9"/>
    </row>
    <row r="4" spans="1:10">
      <c r="A4" s="19" t="s">
        <v>101</v>
      </c>
      <c r="B4" s="19" t="s">
        <v>138</v>
      </c>
      <c r="C4" s="19" t="s">
        <v>224</v>
      </c>
      <c r="D4" s="19"/>
      <c r="G4" s="9"/>
      <c r="H4" s="18"/>
    </row>
    <row r="5" spans="1:10" ht="17.25" customHeight="1">
      <c r="A5" s="19" t="s">
        <v>99</v>
      </c>
      <c r="B5" s="19" t="s">
        <v>218</v>
      </c>
      <c r="C5" s="19" t="s">
        <v>221</v>
      </c>
      <c r="D5" s="19"/>
      <c r="G5" s="9"/>
    </row>
    <row r="6" spans="1:10">
      <c r="A6" s="19" t="s">
        <v>102</v>
      </c>
      <c r="B6" s="19" t="s">
        <v>219</v>
      </c>
      <c r="C6" s="19" t="s">
        <v>222</v>
      </c>
      <c r="D6" s="19"/>
      <c r="G6" s="9"/>
    </row>
    <row r="7" spans="1:10">
      <c r="A7" s="19" t="s">
        <v>48</v>
      </c>
      <c r="B7" s="19" t="s">
        <v>220</v>
      </c>
      <c r="C7" s="23" t="s">
        <v>243</v>
      </c>
      <c r="D7" s="19"/>
      <c r="G7" s="9"/>
    </row>
    <row r="8" spans="1:10">
      <c r="A8" s="19" t="s">
        <v>145</v>
      </c>
      <c r="B8" s="23"/>
      <c r="C8" s="7" t="s">
        <v>245</v>
      </c>
      <c r="D8" s="19"/>
      <c r="G8" s="9"/>
    </row>
    <row r="9" spans="1:10">
      <c r="A9" s="19" t="s">
        <v>110</v>
      </c>
      <c r="B9" s="19"/>
      <c r="C9" s="19"/>
      <c r="D9" s="19"/>
      <c r="G9" s="9"/>
    </row>
    <row r="10" spans="1:10">
      <c r="A10" s="19" t="s">
        <v>228</v>
      </c>
      <c r="B10" s="19"/>
      <c r="C10" s="19"/>
      <c r="D10" s="19"/>
      <c r="G10" s="9"/>
    </row>
    <row r="11" spans="1:10">
      <c r="A11" s="19" t="s">
        <v>146</v>
      </c>
      <c r="G11" s="9"/>
    </row>
    <row r="12" spans="1:10">
      <c r="A12" s="19" t="s">
        <v>45</v>
      </c>
      <c r="G12" s="9"/>
    </row>
    <row r="13" spans="1:10">
      <c r="A13" s="19" t="s">
        <v>103</v>
      </c>
      <c r="G13" s="9"/>
    </row>
    <row r="14" spans="1:10">
      <c r="A14" s="19" t="s">
        <v>104</v>
      </c>
      <c r="C14" s="9"/>
      <c r="G14" s="9"/>
    </row>
    <row r="15" spans="1:10">
      <c r="A15" s="19" t="s">
        <v>130</v>
      </c>
      <c r="G15" s="9"/>
    </row>
    <row r="16" spans="1:10">
      <c r="A16" s="19" t="s">
        <v>131</v>
      </c>
      <c r="C16"/>
      <c r="G16" s="9"/>
    </row>
    <row r="17" spans="1:7">
      <c r="A17" s="19" t="s">
        <v>147</v>
      </c>
      <c r="C17"/>
      <c r="G17" s="9"/>
    </row>
    <row r="18" spans="1:7">
      <c r="C18"/>
      <c r="G18" s="9"/>
    </row>
    <row r="19" spans="1:7">
      <c r="C19"/>
      <c r="G19" s="9"/>
    </row>
    <row r="20" spans="1:7">
      <c r="A20" s="19" t="s">
        <v>142</v>
      </c>
      <c r="C20"/>
      <c r="G20" s="9"/>
    </row>
    <row r="21" spans="1:7">
      <c r="A21" s="19" t="s">
        <v>149</v>
      </c>
      <c r="C21"/>
      <c r="G21" s="9"/>
    </row>
    <row r="22" spans="1:7">
      <c r="A22" s="19" t="s">
        <v>126</v>
      </c>
      <c r="C22"/>
      <c r="G22" s="9"/>
    </row>
    <row r="23" spans="1:7">
      <c r="A23" s="19" t="s">
        <v>127</v>
      </c>
      <c r="C23"/>
      <c r="G23" s="9"/>
    </row>
    <row r="24" spans="1:7">
      <c r="A24" s="19" t="s">
        <v>128</v>
      </c>
      <c r="C24"/>
      <c r="G24" s="9"/>
    </row>
    <row r="25" spans="1:7" s="9" customFormat="1">
      <c r="A25" s="19" t="s">
        <v>129</v>
      </c>
      <c r="C25"/>
      <c r="F25" s="4"/>
    </row>
    <row r="26" spans="1:7">
      <c r="A26" s="19" t="s">
        <v>155</v>
      </c>
      <c r="C26"/>
      <c r="G26" s="9"/>
    </row>
    <row r="27" spans="1:7">
      <c r="A27" s="19" t="s">
        <v>157</v>
      </c>
      <c r="B27" s="9"/>
      <c r="C27"/>
      <c r="G27" s="9"/>
    </row>
    <row r="28" spans="1:7">
      <c r="C28"/>
      <c r="G28" s="9"/>
    </row>
    <row r="29" spans="1:7">
      <c r="C29"/>
      <c r="G29" s="9"/>
    </row>
    <row r="30" spans="1:7">
      <c r="A30" s="19" t="s">
        <v>29</v>
      </c>
      <c r="C30"/>
      <c r="G30" s="9"/>
    </row>
    <row r="31" spans="1:7">
      <c r="A31" s="19" t="s">
        <v>118</v>
      </c>
      <c r="C31"/>
      <c r="G31" s="9"/>
    </row>
    <row r="32" spans="1:7">
      <c r="A32" s="19" t="s">
        <v>100</v>
      </c>
      <c r="C32"/>
      <c r="G32" s="9"/>
    </row>
    <row r="33" spans="1:7">
      <c r="A33" s="19" t="s">
        <v>106</v>
      </c>
      <c r="C33"/>
      <c r="G33" s="9"/>
    </row>
    <row r="34" spans="1:7">
      <c r="A34" s="19" t="s">
        <v>105</v>
      </c>
      <c r="C34"/>
      <c r="G34" s="9"/>
    </row>
    <row r="35" spans="1:7">
      <c r="A35" s="19" t="s">
        <v>46</v>
      </c>
      <c r="C35"/>
      <c r="G35" s="9"/>
    </row>
    <row r="36" spans="1:7">
      <c r="A36" s="19" t="s">
        <v>165</v>
      </c>
      <c r="C36"/>
    </row>
    <row r="37" spans="1:7">
      <c r="A37" s="19" t="s">
        <v>167</v>
      </c>
      <c r="C37"/>
      <c r="G37" s="9"/>
    </row>
    <row r="38" spans="1:7">
      <c r="C38"/>
      <c r="G38" s="9"/>
    </row>
    <row r="39" spans="1:7">
      <c r="C39"/>
      <c r="G39" s="9"/>
    </row>
    <row r="40" spans="1:7">
      <c r="A40" s="19" t="s">
        <v>35</v>
      </c>
      <c r="C40"/>
      <c r="G40" s="9"/>
    </row>
    <row r="41" spans="1:7">
      <c r="A41" s="19" t="s">
        <v>97</v>
      </c>
      <c r="C41"/>
      <c r="G41" s="9"/>
    </row>
    <row r="42" spans="1:7">
      <c r="A42" s="19" t="s">
        <v>107</v>
      </c>
      <c r="C42"/>
      <c r="G42" s="9"/>
    </row>
    <row r="43" spans="1:7">
      <c r="A43" s="23" t="s">
        <v>225</v>
      </c>
      <c r="C43"/>
      <c r="G43" s="9"/>
    </row>
    <row r="44" spans="1:7">
      <c r="C44"/>
      <c r="G44" s="9"/>
    </row>
    <row r="45" spans="1:7">
      <c r="C45"/>
      <c r="G45" s="9"/>
    </row>
    <row r="46" spans="1:7">
      <c r="A46" s="19" t="s">
        <v>98</v>
      </c>
      <c r="C46"/>
      <c r="G46" s="9"/>
    </row>
    <row r="47" spans="1:7">
      <c r="A47" s="19" t="s">
        <v>116</v>
      </c>
      <c r="C47"/>
      <c r="G47" s="9"/>
    </row>
    <row r="48" spans="1:7">
      <c r="A48" s="19" t="s">
        <v>133</v>
      </c>
      <c r="C48"/>
      <c r="G48" s="9"/>
    </row>
    <row r="49" spans="1:8">
      <c r="A49" s="19" t="s">
        <v>175</v>
      </c>
      <c r="C49"/>
      <c r="G49" s="9"/>
    </row>
    <row r="50" spans="1:8">
      <c r="A50" s="24" t="s">
        <v>239</v>
      </c>
      <c r="C50"/>
      <c r="G50" s="9"/>
    </row>
    <row r="51" spans="1:8">
      <c r="A51" s="24" t="s">
        <v>244</v>
      </c>
      <c r="C51"/>
      <c r="G51" s="9"/>
    </row>
    <row r="52" spans="1:8">
      <c r="A52" s="24"/>
      <c r="C52"/>
      <c r="G52" s="9"/>
    </row>
    <row r="53" spans="1:8">
      <c r="C53"/>
      <c r="G53" s="9"/>
    </row>
    <row r="54" spans="1:8">
      <c r="A54" s="19" t="s">
        <v>31</v>
      </c>
      <c r="C54"/>
      <c r="G54" s="9"/>
      <c r="H54" s="10"/>
    </row>
    <row r="55" spans="1:8">
      <c r="A55" s="19" t="s">
        <v>111</v>
      </c>
      <c r="C55"/>
      <c r="G55" s="9"/>
      <c r="H55" s="11"/>
    </row>
    <row r="56" spans="1:8">
      <c r="A56" s="19" t="s">
        <v>112</v>
      </c>
      <c r="C56"/>
      <c r="G56" s="9"/>
      <c r="H56" s="11"/>
    </row>
    <row r="57" spans="1:8">
      <c r="A57" s="25" t="s">
        <v>234</v>
      </c>
      <c r="C57"/>
      <c r="G57" s="9"/>
    </row>
    <row r="58" spans="1:8">
      <c r="A58" s="19" t="s">
        <v>132</v>
      </c>
      <c r="G58" s="9"/>
    </row>
    <row r="59" spans="1:8">
      <c r="A59" s="19" t="s">
        <v>182</v>
      </c>
      <c r="G59" s="9"/>
    </row>
    <row r="60" spans="1:8">
      <c r="A60" s="19" t="s">
        <v>114</v>
      </c>
      <c r="G60" s="9"/>
    </row>
    <row r="61" spans="1:8">
      <c r="A61" s="24" t="s">
        <v>230</v>
      </c>
      <c r="G61" s="9"/>
    </row>
    <row r="62" spans="1:8">
      <c r="A62" s="24" t="s">
        <v>232</v>
      </c>
      <c r="G62" s="9"/>
    </row>
    <row r="63" spans="1:8">
      <c r="A63" s="24" t="s">
        <v>239</v>
      </c>
      <c r="G63" s="9"/>
    </row>
    <row r="64" spans="1:8">
      <c r="A64" s="24" t="s">
        <v>242</v>
      </c>
      <c r="G64" s="9"/>
    </row>
    <row r="65" spans="1:7">
      <c r="A65" s="24"/>
      <c r="G65" s="9"/>
    </row>
    <row r="66" spans="1:7">
      <c r="G66" s="9"/>
    </row>
    <row r="67" spans="1:7">
      <c r="A67" s="19" t="s">
        <v>30</v>
      </c>
      <c r="G67" s="9"/>
    </row>
    <row r="68" spans="1:7">
      <c r="A68" s="19" t="s">
        <v>115</v>
      </c>
      <c r="C68"/>
      <c r="G68" s="9"/>
    </row>
    <row r="69" spans="1:7">
      <c r="A69" s="19" t="s">
        <v>108</v>
      </c>
      <c r="C69"/>
      <c r="G69" s="9"/>
    </row>
    <row r="70" spans="1:7">
      <c r="A70" s="19" t="s">
        <v>109</v>
      </c>
      <c r="G70" s="9"/>
    </row>
    <row r="71" spans="1:7">
      <c r="G71" s="9"/>
    </row>
    <row r="72" spans="1:7">
      <c r="G72" s="9"/>
    </row>
    <row r="73" spans="1:7">
      <c r="A73" s="19" t="s">
        <v>189</v>
      </c>
    </row>
    <row r="74" spans="1:7">
      <c r="A74" s="19" t="s">
        <v>47</v>
      </c>
    </row>
    <row r="75" spans="1:7">
      <c r="A75" s="19" t="s">
        <v>117</v>
      </c>
    </row>
    <row r="76" spans="1:7">
      <c r="A76" s="19" t="s">
        <v>125</v>
      </c>
      <c r="G76" s="9"/>
    </row>
    <row r="77" spans="1:7">
      <c r="A77" s="19" t="s">
        <v>194</v>
      </c>
      <c r="G77" s="9"/>
    </row>
    <row r="78" spans="1:7">
      <c r="A78" s="19" t="s">
        <v>196</v>
      </c>
      <c r="G78" s="9"/>
    </row>
    <row r="79" spans="1:7">
      <c r="A79" s="19" t="s">
        <v>198</v>
      </c>
    </row>
    <row r="80" spans="1:7">
      <c r="A80" s="19" t="s">
        <v>200</v>
      </c>
    </row>
    <row r="83" spans="1:1">
      <c r="A83" s="19" t="s">
        <v>119</v>
      </c>
    </row>
    <row r="84" spans="1:1">
      <c r="A84" s="19" t="s">
        <v>120</v>
      </c>
    </row>
    <row r="85" spans="1:1">
      <c r="A85" s="19" t="s">
        <v>121</v>
      </c>
    </row>
    <row r="86" spans="1:1">
      <c r="A86" s="19" t="s">
        <v>122</v>
      </c>
    </row>
    <row r="87" spans="1:1">
      <c r="A87" s="19" t="s">
        <v>123</v>
      </c>
    </row>
    <row r="88" spans="1:1">
      <c r="A88" s="19" t="s">
        <v>124</v>
      </c>
    </row>
    <row r="91" spans="1:1">
      <c r="A91" s="19" t="s">
        <v>208</v>
      </c>
    </row>
    <row r="92" spans="1:1">
      <c r="A92" s="19" t="s">
        <v>210</v>
      </c>
    </row>
    <row r="93" spans="1:1">
      <c r="A93" s="19" t="s">
        <v>212</v>
      </c>
    </row>
    <row r="94" spans="1:1">
      <c r="A94" s="19" t="s">
        <v>214</v>
      </c>
    </row>
    <row r="95" spans="1:1">
      <c r="A95" s="19" t="s">
        <v>216</v>
      </c>
    </row>
    <row r="112" spans="2:2">
      <c r="B112" s="9"/>
    </row>
  </sheetData>
  <phoneticPr fontId="2" type="noConversion"/>
  <conditionalFormatting sqref="D1:F1">
    <cfRule type="duplicateValues" dxfId="35" priority="32"/>
  </conditionalFormatting>
  <conditionalFormatting sqref="G1">
    <cfRule type="duplicateValues" dxfId="34" priority="31"/>
  </conditionalFormatting>
  <conditionalFormatting sqref="H1:J1">
    <cfRule type="duplicateValues" dxfId="33" priority="30"/>
  </conditionalFormatting>
  <conditionalFormatting sqref="F1">
    <cfRule type="duplicateValues" dxfId="32" priority="29"/>
  </conditionalFormatting>
  <conditionalFormatting sqref="D1:E1">
    <cfRule type="duplicateValues" dxfId="31" priority="28"/>
  </conditionalFormatting>
  <conditionalFormatting sqref="G28">
    <cfRule type="cellIs" dxfId="30" priority="27" operator="equal">
      <formula>"行動序號"</formula>
    </cfRule>
  </conditionalFormatting>
  <conditionalFormatting sqref="G29">
    <cfRule type="cellIs" dxfId="29" priority="26" operator="equal">
      <formula>"行動序號"</formula>
    </cfRule>
  </conditionalFormatting>
  <conditionalFormatting sqref="G46">
    <cfRule type="cellIs" dxfId="28" priority="25" operator="equal">
      <formula>"行動序號"</formula>
    </cfRule>
  </conditionalFormatting>
  <conditionalFormatting sqref="G47">
    <cfRule type="cellIs" dxfId="27" priority="24" operator="equal">
      <formula>"行動序號"</formula>
    </cfRule>
  </conditionalFormatting>
  <conditionalFormatting sqref="G30:G31">
    <cfRule type="cellIs" dxfId="26" priority="23" operator="equal">
      <formula>"行動序號"</formula>
    </cfRule>
  </conditionalFormatting>
  <conditionalFormatting sqref="G32">
    <cfRule type="cellIs" dxfId="25" priority="22" operator="equal">
      <formula>"行動序號"</formula>
    </cfRule>
  </conditionalFormatting>
  <conditionalFormatting sqref="G58:G59">
    <cfRule type="cellIs" dxfId="24" priority="21" operator="equal">
      <formula>"行動序號"</formula>
    </cfRule>
  </conditionalFormatting>
  <conditionalFormatting sqref="G54:G57">
    <cfRule type="cellIs" dxfId="23" priority="20" operator="equal">
      <formula>"行動序號"</formula>
    </cfRule>
  </conditionalFormatting>
  <conditionalFormatting sqref="G17">
    <cfRule type="cellIs" dxfId="22" priority="19" operator="equal">
      <formula>"行動序號"</formula>
    </cfRule>
  </conditionalFormatting>
  <conditionalFormatting sqref="G60:G65">
    <cfRule type="cellIs" dxfId="21" priority="18" operator="equal">
      <formula>"行動序號"</formula>
    </cfRule>
  </conditionalFormatting>
  <conditionalFormatting sqref="G66:G67">
    <cfRule type="cellIs" dxfId="20" priority="17" operator="equal">
      <formula>"行動序號"</formula>
    </cfRule>
  </conditionalFormatting>
  <conditionalFormatting sqref="G76:G78">
    <cfRule type="cellIs" dxfId="19" priority="16" operator="equal">
      <formula>"行動序號"</formula>
    </cfRule>
  </conditionalFormatting>
  <conditionalFormatting sqref="A99">
    <cfRule type="cellIs" dxfId="18" priority="15" operator="equal">
      <formula>"行動序號"</formula>
    </cfRule>
  </conditionalFormatting>
  <conditionalFormatting sqref="A100">
    <cfRule type="cellIs" dxfId="17" priority="14" operator="equal">
      <formula>"行動序號"</formula>
    </cfRule>
  </conditionalFormatting>
  <conditionalFormatting sqref="A117">
    <cfRule type="cellIs" dxfId="16" priority="13" operator="equal">
      <formula>"行動序號"</formula>
    </cfRule>
  </conditionalFormatting>
  <conditionalFormatting sqref="A118">
    <cfRule type="cellIs" dxfId="15" priority="12" operator="equal">
      <formula>"行動序號"</formula>
    </cfRule>
  </conditionalFormatting>
  <conditionalFormatting sqref="A101:A102">
    <cfRule type="cellIs" dxfId="14" priority="11" operator="equal">
      <formula>"行動序號"</formula>
    </cfRule>
  </conditionalFormatting>
  <conditionalFormatting sqref="A103">
    <cfRule type="cellIs" dxfId="13" priority="10" operator="equal">
      <formula>"行動序號"</formula>
    </cfRule>
  </conditionalFormatting>
  <conditionalFormatting sqref="A127:A128">
    <cfRule type="cellIs" dxfId="12" priority="9" operator="equal">
      <formula>"行動序號"</formula>
    </cfRule>
  </conditionalFormatting>
  <conditionalFormatting sqref="A123:A126">
    <cfRule type="cellIs" dxfId="11" priority="8" operator="equal">
      <formula>"行動序號"</formula>
    </cfRule>
  </conditionalFormatting>
  <conditionalFormatting sqref="A129:A130">
    <cfRule type="cellIs" dxfId="10" priority="7" operator="equal">
      <formula>"行動序號"</formula>
    </cfRule>
  </conditionalFormatting>
  <conditionalFormatting sqref="A131:A132">
    <cfRule type="cellIs" dxfId="9" priority="6" operator="equal">
      <formula>"行動序號"</formula>
    </cfRule>
  </conditionalFormatting>
  <conditionalFormatting sqref="A141:A143">
    <cfRule type="cellIs" dxfId="8" priority="5" operator="equal">
      <formula>"行動序號"</formula>
    </cfRule>
  </conditionalFormatting>
  <conditionalFormatting sqref="A112:A1048576 A86:A87 A89:A95 A99:A110">
    <cfRule type="duplicateValues" dxfId="7" priority="4"/>
  </conditionalFormatting>
  <conditionalFormatting sqref="A111">
    <cfRule type="duplicateValues" dxfId="6" priority="3"/>
  </conditionalFormatting>
  <conditionalFormatting sqref="A72:A73">
    <cfRule type="cellIs" dxfId="5" priority="2" operator="equal">
      <formula>"行動序號"</formula>
    </cfRule>
  </conditionalFormatting>
  <conditionalFormatting sqref="A96:A97">
    <cfRule type="cellIs" dxfId="4" priority="1" operator="equal">
      <formula>"行動序號"</formula>
    </cfRule>
  </conditionalFormatting>
  <conditionalFormatting sqref="A1">
    <cfRule type="duplicateValues" dxfId="3" priority="33"/>
  </conditionalFormatting>
  <conditionalFormatting sqref="B112">
    <cfRule type="duplicateValues" dxfId="2" priority="34"/>
  </conditionalFormatting>
  <conditionalFormatting sqref="A99:A1048576 A86:A87 A89:A95">
    <cfRule type="duplicateValues" dxfId="1" priority="35"/>
  </conditionalFormatting>
  <conditionalFormatting sqref="A98">
    <cfRule type="duplicateValues" dxfId="0" priority="36"/>
  </conditionalFormatting>
  <dataValidations count="1">
    <dataValidation type="list" allowBlank="1" showInputMessage="1" showErrorMessage="1" sqref="A99 D25:E25 J25:XFD25 G50:G52 G28 A121 B25 B27" xr:uid="{C9EE074A-5257-43D6-94C5-98E4D1E7AE34}">
      <formula1>_OPTION_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4F938-0F7E-4076-BB7F-B736752C816F}">
  <sheetPr codeName="ParamTitleSheet"/>
  <dimension ref="A1:C15"/>
  <sheetViews>
    <sheetView workbookViewId="0">
      <selection activeCell="G19" sqref="G19"/>
    </sheetView>
  </sheetViews>
  <sheetFormatPr defaultRowHeight="16.5"/>
  <cols>
    <col min="1" max="2" width="18.375" bestFit="1" customWidth="1"/>
    <col min="3" max="3" width="27.25" bestFit="1" customWidth="1"/>
    <col min="4" max="4" width="16.125" bestFit="1" customWidth="1"/>
    <col min="5" max="5" width="11.625" bestFit="1" customWidth="1"/>
  </cols>
  <sheetData>
    <row r="1" spans="1:3" s="5" customFormat="1">
      <c r="A1" s="5" t="s">
        <v>1</v>
      </c>
      <c r="B1" s="5" t="s">
        <v>2</v>
      </c>
      <c r="C1" s="5" t="s">
        <v>3</v>
      </c>
    </row>
    <row r="2" spans="1:3">
      <c r="B2" s="4"/>
    </row>
    <row r="3" spans="1:3">
      <c r="B3" s="4"/>
    </row>
    <row r="4" spans="1:3">
      <c r="B4" s="4"/>
    </row>
    <row r="5" spans="1:3">
      <c r="B5" s="4"/>
    </row>
    <row r="6" spans="1:3">
      <c r="B6" s="4"/>
    </row>
    <row r="7" spans="1:3">
      <c r="B7" s="4"/>
    </row>
    <row r="8" spans="1:3">
      <c r="B8" s="4"/>
    </row>
    <row r="9" spans="1:3">
      <c r="B9" s="4"/>
    </row>
    <row r="10" spans="1:3">
      <c r="B10" s="4"/>
    </row>
    <row r="11" spans="1:3">
      <c r="B11" s="4"/>
    </row>
    <row r="12" spans="1:3">
      <c r="B12" s="4"/>
    </row>
    <row r="13" spans="1:3">
      <c r="B13" s="4"/>
    </row>
    <row r="14" spans="1:3">
      <c r="B14" s="4"/>
    </row>
    <row r="15" spans="1:3">
      <c r="B15" s="4"/>
    </row>
  </sheetData>
  <phoneticPr fontId="2" type="noConversion"/>
  <pageMargins left="0.75" right="0.75" top="1" bottom="1" header="0.5" footer="0.5"/>
  <pageSetup orientation="portrait" horizontalDpi="200" verticalDpi="2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311EA5-DB89-4E73-B219-79B11632C46F}">
  <sheetPr codeName="OutputSheet"/>
  <dimension ref="A1:A2"/>
  <sheetViews>
    <sheetView workbookViewId="0">
      <selection activeCell="G19" sqref="G19"/>
    </sheetView>
  </sheetViews>
  <sheetFormatPr defaultRowHeight="16.5"/>
  <cols>
    <col min="1" max="1" width="64.625" customWidth="1"/>
  </cols>
  <sheetData>
    <row r="1" spans="1:1">
      <c r="A1" s="1" t="s">
        <v>11</v>
      </c>
    </row>
    <row r="2" spans="1:1">
      <c r="A2" t="s">
        <v>20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47EACB-D388-4D23-B9BA-0A5C032BB482}">
  <sheetPr codeName="HelpSheet"/>
  <dimension ref="A1:A15"/>
  <sheetViews>
    <sheetView topLeftCell="A4" workbookViewId="0">
      <selection activeCell="G19" sqref="G19"/>
    </sheetView>
  </sheetViews>
  <sheetFormatPr defaultRowHeight="16.5"/>
  <cols>
    <col min="1" max="1" width="146.25" customWidth="1"/>
  </cols>
  <sheetData>
    <row r="1" spans="1:1" ht="66">
      <c r="A1" s="3" t="s">
        <v>4</v>
      </c>
    </row>
    <row r="2" spans="1:1" ht="99">
      <c r="A2" s="3" t="s">
        <v>6</v>
      </c>
    </row>
    <row r="3" spans="1:1" ht="49.5">
      <c r="A3" s="3" t="s">
        <v>5</v>
      </c>
    </row>
    <row r="4" spans="1:1" ht="82.5">
      <c r="A4" s="3" t="s">
        <v>14</v>
      </c>
    </row>
    <row r="5" spans="1:1" ht="82.5">
      <c r="A5" s="3" t="s">
        <v>7</v>
      </c>
    </row>
    <row r="6" spans="1:1" ht="66">
      <c r="A6" s="3" t="s">
        <v>12</v>
      </c>
    </row>
    <row r="7" spans="1:1">
      <c r="A7" s="2"/>
    </row>
    <row r="8" spans="1:1">
      <c r="A8" t="s">
        <v>0</v>
      </c>
    </row>
    <row r="9" spans="1:1">
      <c r="A9" t="s">
        <v>16</v>
      </c>
    </row>
    <row r="10" spans="1:1">
      <c r="A10" s="2" t="s">
        <v>8</v>
      </c>
    </row>
    <row r="11" spans="1:1" ht="82.5">
      <c r="A11" s="2" t="s">
        <v>19</v>
      </c>
    </row>
    <row r="12" spans="1:1">
      <c r="A12" s="2" t="s">
        <v>15</v>
      </c>
    </row>
    <row r="13" spans="1:1" ht="82.5">
      <c r="A13" s="2" t="s">
        <v>13</v>
      </c>
    </row>
    <row r="14" spans="1:1">
      <c r="A14" s="2" t="s">
        <v>10</v>
      </c>
    </row>
    <row r="15" spans="1:1">
      <c r="A15" t="s">
        <v>9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具名範圍</vt:lpstr>
      </vt:variant>
      <vt:variant>
        <vt:i4>1</vt:i4>
      </vt:variant>
    </vt:vector>
  </HeadingPairs>
  <TitlesOfParts>
    <vt:vector size="8" baseType="lpstr">
      <vt:lpstr>stage7_card13shot2</vt:lpstr>
      <vt:lpstr>#ALIAS</vt:lpstr>
      <vt:lpstr>#DEFINE</vt:lpstr>
      <vt:lpstr>#OPTION</vt:lpstr>
      <vt:lpstr>#PARAM</vt:lpstr>
      <vt:lpstr>#OUTPUT</vt:lpstr>
      <vt:lpstr>#使用說明</vt:lpstr>
      <vt:lpstr>'#OPTION'!_OPTION_</vt:lpstr>
    </vt:vector>
  </TitlesOfParts>
  <Company>CMT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WORK00</dc:creator>
  <cp:lastModifiedBy>霆豫 韓</cp:lastModifiedBy>
  <dcterms:created xsi:type="dcterms:W3CDTF">2015-05-05T13:05:01Z</dcterms:created>
  <dcterms:modified xsi:type="dcterms:W3CDTF">2025-04-29T07:29:52Z</dcterms:modified>
</cp:coreProperties>
</file>