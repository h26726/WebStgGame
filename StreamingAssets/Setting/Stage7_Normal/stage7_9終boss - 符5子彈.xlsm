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6FE4D1D1-3F0E-40CB-898D-4C44CCAAA295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card5shot" sheetId="1" r:id="rId1"/>
    <sheet name="#ALIAS" sheetId="86" r:id="rId2"/>
    <sheet name="#DEFINE" sheetId="87" r:id="rId3"/>
    <sheet name="#OPTION" sheetId="88" r:id="rId4"/>
    <sheet name="#PARAM" sheetId="89" r:id="rId5"/>
    <sheet name="#OUTPUT" sheetId="90" r:id="rId6"/>
    <sheet name="#使用說明" sheetId="91" r:id="rId7"/>
  </sheets>
  <functionGroups builtInGroupCount="19"/>
  <externalReferences>
    <externalReference r:id="rId8"/>
  </externalReferences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87" l="1"/>
  <c r="E94" i="87"/>
  <c r="E93" i="87"/>
  <c r="E92" i="87"/>
  <c r="E91" i="87"/>
  <c r="E88" i="87"/>
  <c r="E87" i="87"/>
  <c r="E86" i="87"/>
  <c r="E85" i="87"/>
  <c r="E84" i="87"/>
  <c r="E83" i="87"/>
  <c r="E80" i="87"/>
  <c r="E79" i="87"/>
  <c r="E78" i="87"/>
  <c r="E77" i="87"/>
  <c r="E76" i="87"/>
  <c r="E75" i="87"/>
  <c r="E74" i="87"/>
  <c r="E73" i="87"/>
  <c r="E70" i="87"/>
  <c r="E69" i="87"/>
  <c r="E68" i="87"/>
  <c r="E67" i="87"/>
  <c r="E64" i="87"/>
  <c r="E63" i="87"/>
  <c r="E62" i="87"/>
  <c r="E61" i="87"/>
  <c r="E60" i="87"/>
  <c r="E59" i="87"/>
  <c r="E58" i="87"/>
  <c r="E57" i="87"/>
  <c r="E56" i="87"/>
  <c r="E55" i="87"/>
  <c r="E54" i="87"/>
  <c r="E51" i="87"/>
  <c r="E50" i="87"/>
  <c r="E49" i="87"/>
  <c r="E48" i="87"/>
  <c r="E47" i="87"/>
  <c r="E46" i="87"/>
  <c r="E43" i="87"/>
  <c r="E42" i="87"/>
  <c r="E41" i="87"/>
  <c r="E40" i="87"/>
  <c r="E37" i="87"/>
  <c r="E36" i="87"/>
  <c r="E35" i="87"/>
  <c r="E34" i="87"/>
  <c r="E33" i="87"/>
  <c r="E32" i="87"/>
  <c r="E31" i="87"/>
  <c r="E30" i="87"/>
  <c r="E27" i="87"/>
  <c r="E26" i="87"/>
  <c r="E25" i="87"/>
  <c r="E24" i="87"/>
  <c r="E23" i="87"/>
  <c r="E22" i="87"/>
  <c r="E21" i="87"/>
  <c r="E20" i="87"/>
  <c r="E17" i="87"/>
  <c r="E16" i="87"/>
  <c r="E15" i="87"/>
  <c r="E14" i="87"/>
  <c r="E13" i="87"/>
  <c r="E12" i="87"/>
  <c r="E11" i="87"/>
  <c r="E10" i="87"/>
  <c r="E9" i="87"/>
  <c r="E8" i="87"/>
  <c r="E7" i="87"/>
  <c r="E6" i="87"/>
  <c r="E5" i="87"/>
  <c r="E4" i="87"/>
  <c r="E3" i="87"/>
  <c r="E115" i="1" l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D64" i="1"/>
  <c r="D90" i="1" s="1"/>
  <c r="B90" i="1" l="1"/>
  <c r="C90" i="1" s="1"/>
  <c r="M109" i="1" s="1"/>
  <c r="M91" i="1"/>
  <c r="M65" i="1"/>
  <c r="B64" i="1"/>
  <c r="C64" i="1" s="1"/>
  <c r="M83" i="1" s="1"/>
  <c r="M76" i="1" l="1"/>
  <c r="M84" i="1"/>
  <c r="M78" i="1" s="1"/>
  <c r="M75" i="1"/>
  <c r="M85" i="1" s="1"/>
  <c r="M102" i="1"/>
  <c r="M110" i="1"/>
  <c r="M104" i="1" s="1"/>
  <c r="M101" i="1"/>
  <c r="M111" i="1" s="1"/>
  <c r="E42" i="1" l="1"/>
  <c r="E48" i="1"/>
  <c r="E61" i="1"/>
  <c r="E54" i="1"/>
  <c r="E40" i="1"/>
  <c r="E41" i="1"/>
  <c r="E43" i="1"/>
  <c r="E44" i="1"/>
  <c r="E45" i="1"/>
  <c r="E46" i="1"/>
  <c r="E47" i="1"/>
  <c r="E49" i="1"/>
  <c r="E50" i="1"/>
  <c r="E51" i="1"/>
  <c r="E52" i="1"/>
  <c r="E53" i="1"/>
  <c r="E55" i="1"/>
  <c r="E56" i="1"/>
  <c r="E57" i="1"/>
  <c r="E58" i="1"/>
  <c r="E59" i="1"/>
  <c r="E60" i="1"/>
  <c r="E62" i="1"/>
  <c r="E63" i="1"/>
  <c r="E39" i="1"/>
  <c r="E19" i="1"/>
  <c r="E27" i="1"/>
  <c r="E14" i="1"/>
  <c r="E13" i="1"/>
  <c r="E23" i="1"/>
  <c r="E26" i="1"/>
  <c r="E25" i="1"/>
  <c r="E24" i="1"/>
  <c r="M11" i="1"/>
  <c r="E12" i="1"/>
  <c r="E11" i="1"/>
  <c r="M20" i="1"/>
  <c r="M13" i="1" s="1"/>
  <c r="M10" i="1"/>
  <c r="M21" i="1" s="1"/>
  <c r="E10" i="1"/>
  <c r="E22" i="1"/>
  <c r="E21" i="1"/>
  <c r="E20" i="1"/>
  <c r="E18" i="1"/>
  <c r="E17" i="1"/>
  <c r="E16" i="1"/>
  <c r="E8" i="1"/>
  <c r="E9" i="1"/>
  <c r="E7" i="1"/>
  <c r="E15" i="1"/>
  <c r="E6" i="1"/>
  <c r="E5" i="1"/>
  <c r="E4" i="1"/>
  <c r="D38" i="1"/>
  <c r="B38" i="1" s="1"/>
  <c r="M39" i="1" l="1"/>
  <c r="C38" i="1"/>
  <c r="M57" i="1" s="1"/>
  <c r="M58" i="1" l="1"/>
  <c r="M52" i="1" s="1"/>
  <c r="M49" i="1"/>
  <c r="M59" i="1" s="1"/>
  <c r="M50" i="1"/>
  <c r="A37" i="1"/>
</calcChain>
</file>

<file path=xl/sharedStrings.xml><?xml version="1.0" encoding="utf-8"?>
<sst xmlns="http://schemas.openxmlformats.org/spreadsheetml/2006/main" count="869" uniqueCount="270">
  <si>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</si>
  <si>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</si>
  <si>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</si>
  <si>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</si>
  <si>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</si>
  <si>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</si>
  <si>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</si>
  <si>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</si>
  <si>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</si>
  <si>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</si>
  <si>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</si>
  <si>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</si>
  <si>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</si>
  <si>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</si>
  <si>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</si>
  <si>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</si>
  <si>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</si>
  <si>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</si>
  <si>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</si>
  <si>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</si>
  <si>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</si>
  <si>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</si>
  <si>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</si>
  <si>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</si>
  <si>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</si>
  <si>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</si>
  <si>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</si>
  <si>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</si>
  <si>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</si>
  <si>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</si>
  <si>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</si>
  <si>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</si>
  <si>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</si>
  <si>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</si>
  <si>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</si>
  <si>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</si>
  <si>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</si>
  <si>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</si>
  <si>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</si>
  <si>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</si>
  <si>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</si>
  <si>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</si>
  <si>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</si>
  <si>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</si>
  <si>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</si>
  <si>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</si>
  <si>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</si>
  <si>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</si>
  <si>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</si>
  <si>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</si>
  <si>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</si>
  <si>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</si>
  <si>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</si>
  <si>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</si>
  <si>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</si>
  <si>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</si>
  <si>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</si>
  <si>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</si>
  <si>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</si>
  <si>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</si>
  <si>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</si>
  <si>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</si>
  <si>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</si>
  <si>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</si>
  <si>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</si>
  <si>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</si>
  <si>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</si>
  <si>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</si>
  <si>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</si>
  <si>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</si>
  <si>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</si>
  <si>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</si>
  <si>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</si>
  <si>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</si>
  <si>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</si>
  <si>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</si>
  <si>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</si>
  <si>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</si>
  <si>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</si>
  <si>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</si>
  <si>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</si>
  <si>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</si>
  <si>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</si>
  <si>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</si>
  <si>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</si>
  <si>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</si>
  <si>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</si>
  <si>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</si>
  <si>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</si>
  <si>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</si>
  <si>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</si>
  <si>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</si>
  <si>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</si>
  <si>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</si>
  <si>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</si>
  <si>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</si>
  <si>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</si>
  <si>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</si>
  <si>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</si>
  <si>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</si>
  <si>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</si>
  <si>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</si>
  <si>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</si>
  <si>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</si>
  <si>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</si>
  <si>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</si>
  <si>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</si>
  <si>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</si>
  <si>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</si>
  <si>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</si>
  <si>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</si>
  <si>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</si>
  <si>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</si>
  <si>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</si>
  <si>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</si>
  <si>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</si>
  <si>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</si>
  <si>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</si>
  <si>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</si>
  <si>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</si>
  <si>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</si>
  <si>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</si>
  <si>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</si>
  <si>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</si>
  <si>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</si>
  <si>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</si>
  <si>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</si>
  <si>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</si>
  <si>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</si>
  <si>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</si>
  <si>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</si>
  <si>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</si>
  <si>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</si>
  <si>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</si>
  <si>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</si>
  <si>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</si>
  <si>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</si>
  <si>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</si>
  <si>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</si>
  <si>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</si>
  <si>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</si>
  <si>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</si>
  <si>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</si>
  <si>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</si>
  <si>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</si>
  <si>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移位置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</si>
  <si>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</si>
  <si>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</si>
  <si>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</si>
  <si>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</si>
  <si>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</si>
  <si>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</si>
  <si>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</si>
  <si>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</si>
  <si>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</si>
  <si>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</si>
  <si>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</si>
  <si>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</si>
  <si>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</si>
  <si>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</si>
  <si>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</si>
  <si>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</si>
  <si>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</si>
  <si>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</si>
  <si>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</si>
  <si>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</si>
  <si>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</si>
  <si>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</si>
  <si>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</si>
  <si>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</si>
  <si>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</si>
  <si>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</si>
  <si>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</si>
  <si>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</si>
  <si>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</si>
  <si>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</si>
  <si>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</si>
  <si>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</si>
  <si>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</si>
  <si>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</si>
  <si>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</si>
  <si>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</si>
  <si>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</si>
  <si>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</si>
  <si>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</si>
  <si>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</si>
  <si>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</si>
  <si>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</si>
  <si>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</si>
  <si>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</si>
  <si>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</si>
  <si>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</si>
  <si>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</si>
  <si>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</si>
  <si>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</si>
  <si>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</si>
  <si>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</si>
  <si>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</si>
  <si>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</si>
  <si>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</si>
  <si>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</si>
  <si>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</si>
  <si>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</si>
  <si>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</si>
  <si>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</si>
  <si>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</si>
  <si>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</si>
  <si>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</si>
  <si>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</si>
  <si>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</si>
  <si>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</si>
  <si>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</si>
  <si>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</si>
  <si>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</si>
  <si>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</si>
  <si>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</si>
  <si>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</si>
  <si>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</si>
  <si>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</si>
  <si>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</si>
  <si>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</si>
  <si>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</si>
  <si>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</si>
  <si>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</si>
  <si>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</si>
  <si>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</si>
  <si>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</si>
  <si>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</si>
  <si>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</si>
  <si>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</si>
  <si>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</si>
  <si>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</si>
  <si>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</si>
  <si>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</si>
  <si>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</si>
  <si>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</si>
  <si>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</si>
  <si>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啟動依ID</t>
    <phoneticPr fontId="2" type="noConversion"/>
  </si>
  <si>
    <t>EnemyShot5</t>
    <phoneticPr fontId="2" type="noConversion"/>
  </si>
  <si>
    <t>EnemyShot5</t>
  </si>
  <si>
    <t>移動角度</t>
    <phoneticPr fontId="2" type="noConversion"/>
  </si>
  <si>
    <t>啟動依開始時間後</t>
    <phoneticPr fontId="2" type="noConversion"/>
  </si>
  <si>
    <t>行動時間</t>
    <phoneticPr fontId="2" type="noConversion"/>
  </si>
  <si>
    <t>Sprite</t>
    <phoneticPr fontId="2" type="noConversion"/>
  </si>
  <si>
    <t>位置ID</t>
    <phoneticPr fontId="2" type="noConversion"/>
  </si>
  <si>
    <t>貫穿</t>
    <phoneticPr fontId="2" type="noConversion"/>
  </si>
  <si>
    <t>時位位置</t>
    <phoneticPr fontId="2" type="noConversion"/>
  </si>
  <si>
    <t>時位時間</t>
    <phoneticPr fontId="2" type="noConversion"/>
  </si>
  <si>
    <t>時位開始速度</t>
    <phoneticPr fontId="2" type="noConversion"/>
  </si>
  <si>
    <t>角度值</t>
    <phoneticPr fontId="2" type="noConversion"/>
  </si>
  <si>
    <t>行動ID</t>
    <phoneticPr fontId="2" type="noConversion"/>
  </si>
  <si>
    <t>啟動依結束時間前</t>
    <phoneticPr fontId="2" type="noConversion"/>
  </si>
  <si>
    <t>追蹤彈EMPTY</t>
    <phoneticPr fontId="2" type="noConversion"/>
  </si>
  <si>
    <t>子加旋轉角度</t>
  </si>
  <si>
    <t>旋轉環繞</t>
    <phoneticPr fontId="2" type="noConversion"/>
  </si>
  <si>
    <t>Shot5_red</t>
  </si>
  <si>
    <t>Shot5_red</t>
    <phoneticPr fontId="2" type="noConversion"/>
  </si>
  <si>
    <t>Shot5_purple</t>
  </si>
  <si>
    <t>Shot5_purple</t>
    <phoneticPr fontId="2" type="noConversion"/>
  </si>
  <si>
    <t>Empty</t>
    <phoneticPr fontId="2" type="noConversion"/>
  </si>
  <si>
    <t>記錄角度</t>
    <phoneticPr fontId="2" type="noConversion"/>
  </si>
  <si>
    <t>記錄位置</t>
    <phoneticPr fontId="2" type="noConversion"/>
  </si>
  <si>
    <t>記錄位置序號</t>
    <phoneticPr fontId="2" type="noConversion"/>
  </si>
  <si>
    <t>405</t>
  </si>
  <si>
    <t>406</t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</si>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</sst>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" fontId="0" fillId="0" borderId="0" xfId="0" applyNumberFormat="1" applyAlignment="1">
      <alignment horizontal="left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8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15"/>
  <sheetViews>
    <sheetView zoomScale="115" zoomScaleNormal="115" workbookViewId="0">
      <pane ySplit="1" topLeftCell="A27" activePane="bottomLeft" state="frozen"/>
      <selection pane="bottomLeft" activeCell="M35" sqref="M35"/>
    </sheetView>
  </sheetViews>
  <sheetFormatPr defaultRowHeight="19.5"/>
  <cols>
    <col min="1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6.12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23"/>
      <c r="B1" s="23"/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140</v>
      </c>
      <c r="L1" s="17" t="s">
        <v>141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3" spans="1:56">
      <c r="A3" s="27" t="s">
        <v>252</v>
      </c>
    </row>
    <row r="4" spans="1:56">
      <c r="E4" s="22">
        <f t="shared" ref="E4:E16" si="0">ROW(E4)</f>
        <v>4</v>
      </c>
      <c r="F4" s="9" t="s">
        <v>146</v>
      </c>
      <c r="J4" s="22"/>
      <c r="K4" s="9" t="s">
        <v>229</v>
      </c>
      <c r="L4" s="9" t="s">
        <v>229</v>
      </c>
      <c r="M4" s="22">
        <v>14900</v>
      </c>
    </row>
    <row r="5" spans="1:56">
      <c r="E5" s="22">
        <f t="shared" si="0"/>
        <v>5</v>
      </c>
      <c r="F5" s="9" t="s">
        <v>237</v>
      </c>
      <c r="J5" s="9" t="s">
        <v>229</v>
      </c>
      <c r="K5" s="9" t="s">
        <v>229</v>
      </c>
      <c r="L5" s="9" t="s">
        <v>229</v>
      </c>
      <c r="M5" s="22">
        <v>14810</v>
      </c>
    </row>
    <row r="6" spans="1:56">
      <c r="E6" s="22">
        <f t="shared" si="0"/>
        <v>6</v>
      </c>
      <c r="F6" s="9" t="s">
        <v>128</v>
      </c>
      <c r="J6" s="9" t="s">
        <v>229</v>
      </c>
      <c r="K6" s="9" t="s">
        <v>229</v>
      </c>
      <c r="L6" s="9" t="s">
        <v>229</v>
      </c>
      <c r="M6" s="22">
        <v>0</v>
      </c>
    </row>
    <row r="7" spans="1:56">
      <c r="E7" s="22">
        <f>ROW(E7)</f>
        <v>7</v>
      </c>
      <c r="F7" s="9" t="s">
        <v>96</v>
      </c>
      <c r="J7" s="9" t="s">
        <v>229</v>
      </c>
      <c r="K7" s="9" t="s">
        <v>229</v>
      </c>
      <c r="L7" s="9" t="s">
        <v>229</v>
      </c>
      <c r="M7" s="22" t="s">
        <v>259</v>
      </c>
    </row>
    <row r="8" spans="1:56">
      <c r="E8" s="22">
        <f>ROW(E8)</f>
        <v>8</v>
      </c>
      <c r="F8" s="9" t="s">
        <v>245</v>
      </c>
      <c r="J8" s="9" t="s">
        <v>229</v>
      </c>
      <c r="K8" s="9" t="s">
        <v>229</v>
      </c>
      <c r="L8" s="9" t="s">
        <v>229</v>
      </c>
      <c r="M8" s="22" t="b">
        <v>1</v>
      </c>
    </row>
    <row r="9" spans="1:56">
      <c r="E9" s="22">
        <f>ROW(E9)</f>
        <v>9</v>
      </c>
      <c r="F9" s="9" t="s">
        <v>145</v>
      </c>
      <c r="G9" s="9" t="s">
        <v>229</v>
      </c>
      <c r="H9" s="9" t="s">
        <v>229</v>
      </c>
      <c r="I9" s="9" t="s">
        <v>229</v>
      </c>
      <c r="J9" s="9" t="s">
        <v>229</v>
      </c>
      <c r="K9" s="9" t="s">
        <v>244</v>
      </c>
      <c r="L9" s="9" t="s">
        <v>229</v>
      </c>
      <c r="M9" s="22">
        <v>2</v>
      </c>
    </row>
    <row r="10" spans="1:56">
      <c r="E10" s="22">
        <f t="shared" si="0"/>
        <v>10</v>
      </c>
      <c r="F10" s="9" t="s">
        <v>250</v>
      </c>
      <c r="J10" s="9" t="s">
        <v>229</v>
      </c>
      <c r="K10" s="9" t="s">
        <v>229</v>
      </c>
      <c r="L10" s="9" t="s">
        <v>229</v>
      </c>
      <c r="M10" s="22">
        <f>M4*10+1</f>
        <v>149001</v>
      </c>
    </row>
    <row r="11" spans="1:56">
      <c r="E11" s="22">
        <f t="shared" si="0"/>
        <v>11</v>
      </c>
      <c r="F11" s="9" t="s">
        <v>237</v>
      </c>
      <c r="J11" s="9" t="s">
        <v>229</v>
      </c>
      <c r="K11" s="9" t="s">
        <v>229</v>
      </c>
      <c r="L11" s="9" t="s">
        <v>229</v>
      </c>
      <c r="M11" s="22">
        <f>M4</f>
        <v>14900</v>
      </c>
    </row>
    <row r="12" spans="1:56">
      <c r="E12" s="22">
        <f t="shared" si="0"/>
        <v>12</v>
      </c>
      <c r="F12" s="9" t="s">
        <v>127</v>
      </c>
      <c r="J12" s="9" t="s">
        <v>229</v>
      </c>
      <c r="K12" s="9" t="s">
        <v>229</v>
      </c>
      <c r="L12" s="9" t="s">
        <v>229</v>
      </c>
      <c r="M12" s="22">
        <v>0</v>
      </c>
    </row>
    <row r="13" spans="1:56">
      <c r="E13" s="22">
        <f t="shared" si="0"/>
        <v>13</v>
      </c>
      <c r="F13" s="9" t="s">
        <v>237</v>
      </c>
      <c r="J13" s="9" t="s">
        <v>229</v>
      </c>
      <c r="K13" s="9" t="s">
        <v>229</v>
      </c>
      <c r="L13" s="9" t="s">
        <v>229</v>
      </c>
      <c r="M13" s="22">
        <f>M20</f>
        <v>149002</v>
      </c>
    </row>
    <row r="14" spans="1:56">
      <c r="E14" s="22">
        <f t="shared" si="0"/>
        <v>14</v>
      </c>
      <c r="F14" s="9" t="s">
        <v>128</v>
      </c>
      <c r="J14" s="9" t="s">
        <v>229</v>
      </c>
      <c r="K14" s="9" t="s">
        <v>229</v>
      </c>
      <c r="L14" s="9" t="s">
        <v>229</v>
      </c>
      <c r="M14" s="22">
        <v>0</v>
      </c>
    </row>
    <row r="15" spans="1:56">
      <c r="E15" s="22">
        <f>ROW(E15)</f>
        <v>15</v>
      </c>
      <c r="F15" s="9" t="s">
        <v>242</v>
      </c>
      <c r="J15" s="9" t="s">
        <v>229</v>
      </c>
      <c r="K15" s="9" t="s">
        <v>229</v>
      </c>
      <c r="L15" s="9" t="s">
        <v>229</v>
      </c>
      <c r="M15" s="22">
        <v>120</v>
      </c>
    </row>
    <row r="16" spans="1:56">
      <c r="E16" s="22">
        <f t="shared" si="0"/>
        <v>16</v>
      </c>
      <c r="F16" s="9" t="s">
        <v>246</v>
      </c>
      <c r="J16" s="9" t="s">
        <v>229</v>
      </c>
      <c r="K16" s="9" t="s">
        <v>244</v>
      </c>
      <c r="L16" s="9" t="s">
        <v>229</v>
      </c>
      <c r="M16" s="22">
        <v>3</v>
      </c>
    </row>
    <row r="17" spans="5:13">
      <c r="E17" s="22">
        <f t="shared" ref="E17:E27" si="1">ROW(E17)</f>
        <v>17</v>
      </c>
      <c r="F17" s="9" t="s">
        <v>247</v>
      </c>
      <c r="J17" s="9" t="s">
        <v>229</v>
      </c>
      <c r="K17" s="9" t="s">
        <v>229</v>
      </c>
      <c r="L17" s="9" t="s">
        <v>229</v>
      </c>
      <c r="M17" s="22">
        <v>120</v>
      </c>
    </row>
    <row r="18" spans="5:13">
      <c r="E18" s="22">
        <f t="shared" si="1"/>
        <v>18</v>
      </c>
      <c r="F18" s="9" t="s">
        <v>248</v>
      </c>
      <c r="J18" s="9" t="s">
        <v>229</v>
      </c>
      <c r="K18" s="9" t="s">
        <v>229</v>
      </c>
      <c r="L18" s="9" t="s">
        <v>229</v>
      </c>
      <c r="M18" s="22">
        <v>0</v>
      </c>
    </row>
    <row r="19" spans="5:13">
      <c r="E19" s="22">
        <f t="shared" si="1"/>
        <v>19</v>
      </c>
      <c r="F19" s="9" t="s">
        <v>253</v>
      </c>
      <c r="J19" s="9" t="s">
        <v>229</v>
      </c>
      <c r="K19" s="9" t="s">
        <v>229</v>
      </c>
      <c r="L19" s="9" t="s">
        <v>135</v>
      </c>
      <c r="M19" s="22">
        <v>120</v>
      </c>
    </row>
    <row r="20" spans="5:13">
      <c r="E20" s="22">
        <f t="shared" si="1"/>
        <v>20</v>
      </c>
      <c r="F20" s="9" t="s">
        <v>250</v>
      </c>
      <c r="J20" s="9" t="s">
        <v>229</v>
      </c>
      <c r="K20" s="9" t="s">
        <v>229</v>
      </c>
      <c r="L20" s="9" t="s">
        <v>229</v>
      </c>
      <c r="M20" s="22">
        <f>M4*10+2</f>
        <v>149002</v>
      </c>
    </row>
    <row r="21" spans="5:13">
      <c r="E21" s="22">
        <f t="shared" si="1"/>
        <v>21</v>
      </c>
      <c r="F21" s="9" t="s">
        <v>237</v>
      </c>
      <c r="J21" s="9" t="s">
        <v>229</v>
      </c>
      <c r="K21" s="9" t="s">
        <v>229</v>
      </c>
      <c r="L21" s="9" t="s">
        <v>229</v>
      </c>
      <c r="M21" s="22">
        <f>M10</f>
        <v>149001</v>
      </c>
    </row>
    <row r="22" spans="5:13">
      <c r="E22" s="22">
        <f t="shared" si="1"/>
        <v>22</v>
      </c>
      <c r="F22" s="9" t="s">
        <v>251</v>
      </c>
      <c r="J22" s="9" t="s">
        <v>229</v>
      </c>
      <c r="K22" s="9" t="s">
        <v>229</v>
      </c>
      <c r="L22" s="9" t="s">
        <v>229</v>
      </c>
      <c r="M22" s="22">
        <v>0</v>
      </c>
    </row>
    <row r="23" spans="5:13">
      <c r="E23" s="22">
        <f>ROW(E23)</f>
        <v>23</v>
      </c>
      <c r="F23" s="9" t="s">
        <v>242</v>
      </c>
      <c r="J23" s="9" t="s">
        <v>229</v>
      </c>
      <c r="K23" s="9" t="s">
        <v>229</v>
      </c>
      <c r="L23" s="9" t="s">
        <v>229</v>
      </c>
      <c r="M23" s="22">
        <v>180</v>
      </c>
    </row>
    <row r="24" spans="5:13">
      <c r="E24" s="22">
        <f t="shared" si="1"/>
        <v>24</v>
      </c>
      <c r="F24" s="9" t="s">
        <v>246</v>
      </c>
      <c r="J24" s="9" t="s">
        <v>229</v>
      </c>
      <c r="K24" s="9" t="s">
        <v>244</v>
      </c>
      <c r="L24" s="9" t="s">
        <v>229</v>
      </c>
      <c r="M24" s="22">
        <v>3</v>
      </c>
    </row>
    <row r="25" spans="5:13">
      <c r="E25" s="22">
        <f t="shared" si="1"/>
        <v>25</v>
      </c>
      <c r="F25" s="9" t="s">
        <v>247</v>
      </c>
      <c r="J25" s="9" t="s">
        <v>229</v>
      </c>
      <c r="K25" s="9" t="s">
        <v>229</v>
      </c>
      <c r="L25" s="9" t="s">
        <v>229</v>
      </c>
      <c r="M25" s="22">
        <v>180</v>
      </c>
    </row>
    <row r="26" spans="5:13">
      <c r="E26" s="22">
        <f t="shared" si="1"/>
        <v>26</v>
      </c>
      <c r="F26" s="9" t="s">
        <v>248</v>
      </c>
      <c r="J26" s="9" t="s">
        <v>229</v>
      </c>
      <c r="K26" s="9" t="s">
        <v>229</v>
      </c>
      <c r="L26" s="9" t="s">
        <v>229</v>
      </c>
      <c r="M26" s="22">
        <v>0</v>
      </c>
    </row>
    <row r="27" spans="5:13">
      <c r="E27" s="22">
        <f t="shared" si="1"/>
        <v>27</v>
      </c>
      <c r="F27" s="9" t="s">
        <v>253</v>
      </c>
      <c r="J27" s="9" t="s">
        <v>229</v>
      </c>
      <c r="K27" s="9" t="s">
        <v>229</v>
      </c>
      <c r="L27" s="9" t="s">
        <v>135</v>
      </c>
      <c r="M27" s="22">
        <v>60</v>
      </c>
    </row>
    <row r="37" spans="1:13">
      <c r="A37" s="22">
        <f>G39*H39</f>
        <v>3</v>
      </c>
      <c r="B37" s="16" t="s">
        <v>254</v>
      </c>
      <c r="C37" s="9"/>
      <c r="D37" s="9"/>
    </row>
    <row r="38" spans="1:13">
      <c r="A38" s="9" t="s">
        <v>229</v>
      </c>
      <c r="B38" s="22">
        <f>QUOTIENT( D38-1,G39)+1</f>
        <v>1</v>
      </c>
      <c r="C38" s="22">
        <f>D38-(B38-1)*G39</f>
        <v>1</v>
      </c>
      <c r="D38" s="22">
        <f>COUNT($D37:$D$37)+1</f>
        <v>1</v>
      </c>
      <c r="F38" s="9" t="s">
        <v>229</v>
      </c>
      <c r="J38" s="9" t="s">
        <v>229</v>
      </c>
      <c r="K38" s="9" t="s">
        <v>229</v>
      </c>
      <c r="L38" s="9" t="s">
        <v>229</v>
      </c>
    </row>
    <row r="39" spans="1:13">
      <c r="E39" s="22">
        <f t="shared" ref="E39:E102" si="2">ROW(E39)</f>
        <v>39</v>
      </c>
      <c r="F39" s="9" t="s">
        <v>146</v>
      </c>
      <c r="G39" s="22">
        <v>3</v>
      </c>
      <c r="H39" s="22">
        <v>1</v>
      </c>
      <c r="J39" s="22">
        <v>15000</v>
      </c>
      <c r="K39" s="9" t="s">
        <v>229</v>
      </c>
      <c r="L39" s="9" t="s">
        <v>229</v>
      </c>
      <c r="M39" s="22">
        <f>J39+D38</f>
        <v>15001</v>
      </c>
    </row>
    <row r="40" spans="1:13">
      <c r="E40" s="22">
        <f t="shared" si="2"/>
        <v>40</v>
      </c>
      <c r="F40" s="9" t="s">
        <v>237</v>
      </c>
      <c r="J40" s="9" t="s">
        <v>229</v>
      </c>
      <c r="K40" s="9" t="s">
        <v>229</v>
      </c>
      <c r="L40" s="9" t="s">
        <v>229</v>
      </c>
      <c r="M40" s="22">
        <v>14900</v>
      </c>
    </row>
    <row r="41" spans="1:13">
      <c r="E41" s="22">
        <f t="shared" si="2"/>
        <v>41</v>
      </c>
      <c r="F41" s="9" t="s">
        <v>241</v>
      </c>
      <c r="J41" s="9" t="s">
        <v>229</v>
      </c>
      <c r="K41" s="9" t="s">
        <v>229</v>
      </c>
      <c r="L41" s="9" t="s">
        <v>229</v>
      </c>
      <c r="M41" s="22">
        <v>0</v>
      </c>
    </row>
    <row r="42" spans="1:13">
      <c r="E42" s="22">
        <f t="shared" si="2"/>
        <v>42</v>
      </c>
      <c r="F42" s="9" t="s">
        <v>198</v>
      </c>
      <c r="J42" s="9" t="s">
        <v>229</v>
      </c>
      <c r="K42" s="9" t="s">
        <v>229</v>
      </c>
      <c r="L42" s="9" t="s">
        <v>229</v>
      </c>
      <c r="M42" s="22">
        <v>0</v>
      </c>
    </row>
    <row r="43" spans="1:13">
      <c r="E43" s="22">
        <f t="shared" si="2"/>
        <v>43</v>
      </c>
      <c r="F43" s="9" t="s">
        <v>96</v>
      </c>
      <c r="J43" s="9" t="s">
        <v>229</v>
      </c>
      <c r="K43" s="9" t="s">
        <v>229</v>
      </c>
      <c r="L43" s="9" t="s">
        <v>229</v>
      </c>
      <c r="M43" s="22" t="s">
        <v>238</v>
      </c>
    </row>
    <row r="44" spans="1:13">
      <c r="E44" s="22">
        <f t="shared" si="2"/>
        <v>44</v>
      </c>
      <c r="F44" s="9" t="s">
        <v>145</v>
      </c>
      <c r="G44" s="9" t="s">
        <v>229</v>
      </c>
      <c r="H44" s="9" t="s">
        <v>229</v>
      </c>
      <c r="I44" s="9" t="s">
        <v>229</v>
      </c>
      <c r="J44" s="9" t="s">
        <v>229</v>
      </c>
      <c r="K44" s="9" t="s">
        <v>244</v>
      </c>
      <c r="L44" s="9" t="s">
        <v>229</v>
      </c>
      <c r="M44" s="22">
        <v>2</v>
      </c>
    </row>
    <row r="45" spans="1:13">
      <c r="E45" s="22">
        <f t="shared" si="2"/>
        <v>45</v>
      </c>
      <c r="F45" s="9" t="s">
        <v>117</v>
      </c>
      <c r="G45" s="9" t="s">
        <v>229</v>
      </c>
      <c r="H45" s="9" t="s">
        <v>229</v>
      </c>
      <c r="I45" s="9" t="s">
        <v>229</v>
      </c>
      <c r="J45" s="9" t="s">
        <v>229</v>
      </c>
      <c r="K45" s="9" t="s">
        <v>244</v>
      </c>
      <c r="L45" s="9" t="s">
        <v>229</v>
      </c>
      <c r="M45" s="22">
        <v>2</v>
      </c>
    </row>
    <row r="46" spans="1:13">
      <c r="E46" s="22">
        <f t="shared" si="2"/>
        <v>46</v>
      </c>
      <c r="F46" s="9" t="s">
        <v>245</v>
      </c>
      <c r="J46" s="9" t="s">
        <v>229</v>
      </c>
      <c r="K46" s="9" t="s">
        <v>229</v>
      </c>
      <c r="L46" s="9" t="s">
        <v>229</v>
      </c>
      <c r="M46" s="22" t="b">
        <v>1</v>
      </c>
    </row>
    <row r="47" spans="1:13">
      <c r="E47" s="22">
        <f t="shared" si="2"/>
        <v>47</v>
      </c>
      <c r="F47" s="9" t="s">
        <v>236</v>
      </c>
      <c r="J47" s="9" t="s">
        <v>229</v>
      </c>
      <c r="K47" s="9" t="s">
        <v>229</v>
      </c>
      <c r="L47" s="9" t="s">
        <v>249</v>
      </c>
      <c r="M47" s="22">
        <v>90</v>
      </c>
    </row>
    <row r="48" spans="1:13">
      <c r="E48" s="22">
        <f>ROW(E48)</f>
        <v>48</v>
      </c>
      <c r="F48" s="9" t="s">
        <v>126</v>
      </c>
      <c r="J48" s="9" t="s">
        <v>229</v>
      </c>
      <c r="K48" s="9" t="s">
        <v>229</v>
      </c>
      <c r="L48" s="9" t="s">
        <v>229</v>
      </c>
      <c r="M48" s="22">
        <v>10000</v>
      </c>
    </row>
    <row r="49" spans="1:13">
      <c r="E49" s="22">
        <f t="shared" si="2"/>
        <v>49</v>
      </c>
      <c r="F49" s="9" t="s">
        <v>250</v>
      </c>
      <c r="J49" s="9" t="s">
        <v>229</v>
      </c>
      <c r="K49" s="9" t="s">
        <v>229</v>
      </c>
      <c r="L49" s="9" t="s">
        <v>229</v>
      </c>
      <c r="M49" s="22">
        <f>M39*10+1</f>
        <v>150011</v>
      </c>
    </row>
    <row r="50" spans="1:13">
      <c r="E50" s="22">
        <f t="shared" si="2"/>
        <v>50</v>
      </c>
      <c r="F50" s="9" t="s">
        <v>237</v>
      </c>
      <c r="J50" s="9" t="s">
        <v>229</v>
      </c>
      <c r="K50" s="9" t="s">
        <v>229</v>
      </c>
      <c r="L50" s="9" t="s">
        <v>229</v>
      </c>
      <c r="M50" s="22">
        <f>M39</f>
        <v>15001</v>
      </c>
    </row>
    <row r="51" spans="1:13">
      <c r="E51" s="22">
        <f t="shared" si="2"/>
        <v>51</v>
      </c>
      <c r="F51" s="9" t="s">
        <v>127</v>
      </c>
      <c r="J51" s="9" t="s">
        <v>229</v>
      </c>
      <c r="K51" s="9" t="s">
        <v>229</v>
      </c>
      <c r="L51" s="9" t="s">
        <v>229</v>
      </c>
      <c r="M51" s="22">
        <v>0</v>
      </c>
    </row>
    <row r="52" spans="1:13">
      <c r="E52" s="22">
        <f t="shared" si="2"/>
        <v>52</v>
      </c>
      <c r="F52" s="9" t="s">
        <v>237</v>
      </c>
      <c r="J52" s="9" t="s">
        <v>229</v>
      </c>
      <c r="K52" s="9" t="s">
        <v>229</v>
      </c>
      <c r="L52" s="9" t="s">
        <v>229</v>
      </c>
      <c r="M52" s="22">
        <f>M58</f>
        <v>150012</v>
      </c>
    </row>
    <row r="53" spans="1:13">
      <c r="E53" s="22">
        <f t="shared" si="2"/>
        <v>53</v>
      </c>
      <c r="F53" s="9" t="s">
        <v>251</v>
      </c>
      <c r="J53" s="9" t="s">
        <v>229</v>
      </c>
      <c r="K53" s="9" t="s">
        <v>229</v>
      </c>
      <c r="L53" s="9" t="s">
        <v>229</v>
      </c>
      <c r="M53" s="22">
        <v>0</v>
      </c>
    </row>
    <row r="54" spans="1:13">
      <c r="E54" s="22">
        <f t="shared" si="2"/>
        <v>54</v>
      </c>
      <c r="F54" s="9" t="s">
        <v>243</v>
      </c>
      <c r="J54" s="9" t="s">
        <v>229</v>
      </c>
      <c r="K54" s="9" t="s">
        <v>229</v>
      </c>
      <c r="L54" s="9" t="s">
        <v>229</v>
      </c>
      <c r="M54" s="22" t="s">
        <v>256</v>
      </c>
    </row>
    <row r="55" spans="1:13">
      <c r="E55" s="22">
        <f t="shared" si="2"/>
        <v>55</v>
      </c>
      <c r="F55" s="9" t="s">
        <v>242</v>
      </c>
      <c r="J55" s="9" t="s">
        <v>229</v>
      </c>
      <c r="K55" s="9" t="s">
        <v>229</v>
      </c>
      <c r="L55" s="9" t="s">
        <v>229</v>
      </c>
      <c r="M55" s="22">
        <v>120</v>
      </c>
    </row>
    <row r="56" spans="1:13">
      <c r="E56" s="22">
        <f t="shared" si="2"/>
        <v>56</v>
      </c>
      <c r="F56" s="9" t="s">
        <v>30</v>
      </c>
      <c r="J56" s="9" t="s">
        <v>229</v>
      </c>
      <c r="K56" s="9" t="s">
        <v>229</v>
      </c>
      <c r="L56" s="9" t="s">
        <v>229</v>
      </c>
      <c r="M56" s="22">
        <v>1.2</v>
      </c>
    </row>
    <row r="57" spans="1:13">
      <c r="E57" s="22">
        <f t="shared" si="2"/>
        <v>57</v>
      </c>
      <c r="F57" s="9" t="s">
        <v>240</v>
      </c>
      <c r="G57" s="22">
        <v>360</v>
      </c>
      <c r="K57" s="9" t="s">
        <v>229</v>
      </c>
      <c r="L57" s="9" t="s">
        <v>135</v>
      </c>
      <c r="M57" s="22">
        <f>G57/G39*C38</f>
        <v>120</v>
      </c>
    </row>
    <row r="58" spans="1:13" ht="20.25" customHeight="1">
      <c r="E58" s="22">
        <f t="shared" si="2"/>
        <v>58</v>
      </c>
      <c r="F58" s="9" t="s">
        <v>250</v>
      </c>
      <c r="J58" s="9" t="s">
        <v>229</v>
      </c>
      <c r="K58" s="9" t="s">
        <v>229</v>
      </c>
      <c r="L58" s="9" t="s">
        <v>229</v>
      </c>
      <c r="M58" s="22">
        <f>M39*10+2</f>
        <v>150012</v>
      </c>
    </row>
    <row r="59" spans="1:13">
      <c r="E59" s="22">
        <f t="shared" si="2"/>
        <v>59</v>
      </c>
      <c r="F59" s="9" t="s">
        <v>237</v>
      </c>
      <c r="J59" s="9" t="s">
        <v>229</v>
      </c>
      <c r="K59" s="9" t="s">
        <v>229</v>
      </c>
      <c r="L59" s="9" t="s">
        <v>229</v>
      </c>
      <c r="M59" s="22">
        <f>M49</f>
        <v>150011</v>
      </c>
    </row>
    <row r="60" spans="1:13">
      <c r="E60" s="22">
        <f t="shared" si="2"/>
        <v>60</v>
      </c>
      <c r="F60" s="9" t="s">
        <v>251</v>
      </c>
      <c r="J60" s="9" t="s">
        <v>229</v>
      </c>
      <c r="K60" s="9" t="s">
        <v>229</v>
      </c>
      <c r="L60" s="9" t="s">
        <v>229</v>
      </c>
      <c r="M60" s="22">
        <v>0</v>
      </c>
    </row>
    <row r="61" spans="1:13">
      <c r="E61" s="22">
        <f>ROW(E61)</f>
        <v>61</v>
      </c>
      <c r="F61" s="9" t="s">
        <v>243</v>
      </c>
      <c r="J61" s="9" t="s">
        <v>229</v>
      </c>
      <c r="K61" s="9" t="s">
        <v>229</v>
      </c>
      <c r="L61" s="9" t="s">
        <v>229</v>
      </c>
      <c r="M61" s="22" t="s">
        <v>258</v>
      </c>
    </row>
    <row r="62" spans="1:13">
      <c r="E62" s="22">
        <f t="shared" si="2"/>
        <v>62</v>
      </c>
      <c r="F62" s="9" t="s">
        <v>242</v>
      </c>
      <c r="J62" s="9" t="s">
        <v>229</v>
      </c>
      <c r="K62" s="9" t="s">
        <v>229</v>
      </c>
      <c r="L62" s="9" t="s">
        <v>229</v>
      </c>
      <c r="M62" s="22">
        <v>180</v>
      </c>
    </row>
    <row r="63" spans="1:13">
      <c r="E63" s="22">
        <f t="shared" si="2"/>
        <v>63</v>
      </c>
      <c r="F63" s="9" t="s">
        <v>30</v>
      </c>
      <c r="J63" s="9" t="s">
        <v>229</v>
      </c>
      <c r="K63" s="9" t="s">
        <v>229</v>
      </c>
      <c r="L63" s="9" t="s">
        <v>229</v>
      </c>
      <c r="M63" s="22">
        <v>-0.8</v>
      </c>
    </row>
    <row r="64" spans="1:13">
      <c r="A64" s="22" t="s">
        <v>229</v>
      </c>
      <c r="B64" s="22">
        <f t="shared" ref="B64" si="3">QUOTIENT( D64-1,G65)+1</f>
        <v>1</v>
      </c>
      <c r="C64" s="22">
        <f t="shared" ref="C64" si="4">D64-(B64-1)*G65</f>
        <v>2</v>
      </c>
      <c r="D64" s="22">
        <f>COUNT($D$37:$D63)+1</f>
        <v>2</v>
      </c>
      <c r="F64" s="9" t="s">
        <v>229</v>
      </c>
      <c r="J64" s="9" t="s">
        <v>229</v>
      </c>
      <c r="K64" s="9" t="s">
        <v>229</v>
      </c>
      <c r="L64" s="9" t="s">
        <v>229</v>
      </c>
    </row>
    <row r="65" spans="5:13">
      <c r="E65" s="22">
        <f t="shared" si="2"/>
        <v>65</v>
      </c>
      <c r="F65" s="9" t="s">
        <v>93</v>
      </c>
      <c r="G65" s="22">
        <v>3</v>
      </c>
      <c r="H65" s="22">
        <v>1</v>
      </c>
      <c r="J65" s="9">
        <v>15000</v>
      </c>
      <c r="K65" s="9" t="s">
        <v>229</v>
      </c>
      <c r="L65" s="9" t="s">
        <v>229</v>
      </c>
      <c r="M65" s="22">
        <f t="shared" ref="M65" si="5">J65+D64</f>
        <v>15002</v>
      </c>
    </row>
    <row r="66" spans="5:13">
      <c r="E66" s="22">
        <f t="shared" si="2"/>
        <v>66</v>
      </c>
      <c r="F66" s="9" t="s">
        <v>143</v>
      </c>
      <c r="J66" s="9" t="s">
        <v>229</v>
      </c>
      <c r="K66" s="9" t="s">
        <v>229</v>
      </c>
      <c r="L66" s="9" t="s">
        <v>229</v>
      </c>
      <c r="M66" s="22">
        <v>14900</v>
      </c>
    </row>
    <row r="67" spans="5:13">
      <c r="E67" s="22">
        <f t="shared" si="2"/>
        <v>67</v>
      </c>
      <c r="F67" s="9" t="s">
        <v>127</v>
      </c>
      <c r="J67" s="9" t="s">
        <v>229</v>
      </c>
      <c r="K67" s="9" t="s">
        <v>229</v>
      </c>
      <c r="L67" s="9" t="s">
        <v>229</v>
      </c>
      <c r="M67" s="22">
        <v>0</v>
      </c>
    </row>
    <row r="68" spans="5:13">
      <c r="E68" s="22">
        <f t="shared" si="2"/>
        <v>68</v>
      </c>
      <c r="F68" s="9" t="s">
        <v>198</v>
      </c>
      <c r="J68" s="9" t="s">
        <v>229</v>
      </c>
      <c r="K68" s="9" t="s">
        <v>229</v>
      </c>
      <c r="L68" s="9" t="s">
        <v>229</v>
      </c>
      <c r="M68" s="22">
        <v>0</v>
      </c>
    </row>
    <row r="69" spans="5:13">
      <c r="E69" s="22">
        <f t="shared" si="2"/>
        <v>69</v>
      </c>
      <c r="F69" s="9" t="s">
        <v>29</v>
      </c>
      <c r="J69" s="9" t="s">
        <v>229</v>
      </c>
      <c r="K69" s="9" t="s">
        <v>229</v>
      </c>
      <c r="L69" s="9" t="s">
        <v>229</v>
      </c>
      <c r="M69" s="22" t="s">
        <v>239</v>
      </c>
    </row>
    <row r="70" spans="5:13">
      <c r="E70" s="22">
        <f t="shared" si="2"/>
        <v>70</v>
      </c>
      <c r="F70" s="9" t="s">
        <v>99</v>
      </c>
      <c r="G70" s="22" t="s">
        <v>229</v>
      </c>
      <c r="H70" s="22" t="s">
        <v>229</v>
      </c>
      <c r="I70" s="22" t="s">
        <v>229</v>
      </c>
      <c r="J70" s="9" t="s">
        <v>229</v>
      </c>
      <c r="K70" s="9" t="s">
        <v>138</v>
      </c>
      <c r="L70" s="9" t="s">
        <v>229</v>
      </c>
      <c r="M70" s="22">
        <v>2</v>
      </c>
    </row>
    <row r="71" spans="5:13">
      <c r="E71" s="22">
        <f t="shared" si="2"/>
        <v>71</v>
      </c>
      <c r="F71" s="9" t="s">
        <v>117</v>
      </c>
      <c r="G71" s="22" t="s">
        <v>229</v>
      </c>
      <c r="H71" s="22" t="s">
        <v>229</v>
      </c>
      <c r="I71" s="22" t="s">
        <v>229</v>
      </c>
      <c r="J71" s="9" t="s">
        <v>229</v>
      </c>
      <c r="K71" s="9" t="s">
        <v>138</v>
      </c>
      <c r="L71" s="9" t="s">
        <v>229</v>
      </c>
      <c r="M71" s="22">
        <v>2</v>
      </c>
    </row>
    <row r="72" spans="5:13">
      <c r="E72" s="22">
        <f t="shared" si="2"/>
        <v>72</v>
      </c>
      <c r="F72" s="9" t="s">
        <v>118</v>
      </c>
      <c r="J72" s="9" t="s">
        <v>229</v>
      </c>
      <c r="K72" s="9" t="s">
        <v>229</v>
      </c>
      <c r="L72" s="9" t="s">
        <v>229</v>
      </c>
      <c r="M72" s="22" t="b">
        <v>1</v>
      </c>
    </row>
    <row r="73" spans="5:13">
      <c r="E73" s="22">
        <f t="shared" si="2"/>
        <v>73</v>
      </c>
      <c r="F73" s="9" t="s">
        <v>114</v>
      </c>
      <c r="J73" s="9" t="s">
        <v>229</v>
      </c>
      <c r="K73" s="9" t="s">
        <v>229</v>
      </c>
      <c r="L73" s="9" t="s">
        <v>135</v>
      </c>
      <c r="M73" s="22">
        <v>90</v>
      </c>
    </row>
    <row r="74" spans="5:13">
      <c r="E74" s="22">
        <f t="shared" si="2"/>
        <v>74</v>
      </c>
      <c r="F74" s="9" t="s">
        <v>126</v>
      </c>
      <c r="J74" s="9" t="s">
        <v>229</v>
      </c>
      <c r="K74" s="9" t="s">
        <v>229</v>
      </c>
      <c r="L74" s="9" t="s">
        <v>229</v>
      </c>
      <c r="M74" s="22">
        <v>10000</v>
      </c>
    </row>
    <row r="75" spans="5:13">
      <c r="E75" s="22">
        <f t="shared" si="2"/>
        <v>75</v>
      </c>
      <c r="F75" s="9" t="s">
        <v>102</v>
      </c>
      <c r="J75" s="9" t="s">
        <v>229</v>
      </c>
      <c r="K75" s="9" t="s">
        <v>229</v>
      </c>
      <c r="L75" s="9" t="s">
        <v>229</v>
      </c>
      <c r="M75" s="22">
        <f t="shared" ref="M75" si="6">M65*10+1</f>
        <v>150021</v>
      </c>
    </row>
    <row r="76" spans="5:13">
      <c r="E76" s="22">
        <f t="shared" si="2"/>
        <v>76</v>
      </c>
      <c r="F76" s="9" t="s">
        <v>143</v>
      </c>
      <c r="J76" s="9" t="s">
        <v>229</v>
      </c>
      <c r="K76" s="9" t="s">
        <v>229</v>
      </c>
      <c r="L76" s="9" t="s">
        <v>229</v>
      </c>
      <c r="M76" s="22">
        <f t="shared" ref="M76" si="7">M65</f>
        <v>15002</v>
      </c>
    </row>
    <row r="77" spans="5:13">
      <c r="E77" s="22">
        <f t="shared" si="2"/>
        <v>77</v>
      </c>
      <c r="F77" s="9" t="s">
        <v>127</v>
      </c>
      <c r="J77" s="9" t="s">
        <v>229</v>
      </c>
      <c r="K77" s="9" t="s">
        <v>229</v>
      </c>
      <c r="L77" s="9" t="s">
        <v>229</v>
      </c>
      <c r="M77" s="22">
        <v>0</v>
      </c>
    </row>
    <row r="78" spans="5:13">
      <c r="E78" s="22">
        <f t="shared" si="2"/>
        <v>78</v>
      </c>
      <c r="F78" s="9" t="s">
        <v>143</v>
      </c>
      <c r="J78" s="9" t="s">
        <v>229</v>
      </c>
      <c r="K78" s="9" t="s">
        <v>229</v>
      </c>
      <c r="L78" s="9" t="s">
        <v>229</v>
      </c>
      <c r="M78" s="22">
        <f t="shared" ref="M78" si="8">M84</f>
        <v>150022</v>
      </c>
    </row>
    <row r="79" spans="5:13">
      <c r="E79" s="22">
        <f t="shared" si="2"/>
        <v>79</v>
      </c>
      <c r="F79" s="9" t="s">
        <v>128</v>
      </c>
      <c r="J79" s="9" t="s">
        <v>229</v>
      </c>
      <c r="K79" s="9" t="s">
        <v>229</v>
      </c>
      <c r="L79" s="9" t="s">
        <v>229</v>
      </c>
      <c r="M79" s="22">
        <v>0</v>
      </c>
    </row>
    <row r="80" spans="5:13">
      <c r="E80" s="22">
        <f t="shared" si="2"/>
        <v>80</v>
      </c>
      <c r="F80" s="9" t="s">
        <v>119</v>
      </c>
      <c r="J80" s="9" t="s">
        <v>229</v>
      </c>
      <c r="K80" s="9" t="s">
        <v>229</v>
      </c>
      <c r="L80" s="9" t="s">
        <v>229</v>
      </c>
      <c r="M80" s="22" t="s">
        <v>255</v>
      </c>
    </row>
    <row r="81" spans="1:13">
      <c r="E81" s="22">
        <f t="shared" si="2"/>
        <v>81</v>
      </c>
      <c r="F81" s="9" t="s">
        <v>35</v>
      </c>
      <c r="J81" s="9" t="s">
        <v>229</v>
      </c>
      <c r="K81" s="9" t="s">
        <v>229</v>
      </c>
      <c r="L81" s="9" t="s">
        <v>229</v>
      </c>
      <c r="M81" s="22">
        <v>120</v>
      </c>
    </row>
    <row r="82" spans="1:13">
      <c r="E82" s="22">
        <f t="shared" si="2"/>
        <v>82</v>
      </c>
      <c r="F82" s="9" t="s">
        <v>30</v>
      </c>
      <c r="J82" s="9" t="s">
        <v>229</v>
      </c>
      <c r="K82" s="9" t="s">
        <v>229</v>
      </c>
      <c r="L82" s="9" t="s">
        <v>229</v>
      </c>
      <c r="M82" s="22">
        <v>1.2</v>
      </c>
    </row>
    <row r="83" spans="1:13">
      <c r="E83" s="22">
        <f t="shared" si="2"/>
        <v>83</v>
      </c>
      <c r="F83" s="9" t="s">
        <v>31</v>
      </c>
      <c r="G83" s="22">
        <v>360</v>
      </c>
      <c r="K83" s="9" t="s">
        <v>229</v>
      </c>
      <c r="L83" s="9" t="s">
        <v>135</v>
      </c>
      <c r="M83" s="22">
        <f t="shared" ref="M83" si="9">G83/G65*C64</f>
        <v>240</v>
      </c>
    </row>
    <row r="84" spans="1:13">
      <c r="E84" s="22">
        <f t="shared" si="2"/>
        <v>84</v>
      </c>
      <c r="F84" s="9" t="s">
        <v>102</v>
      </c>
      <c r="J84" s="9" t="s">
        <v>229</v>
      </c>
      <c r="K84" s="9" t="s">
        <v>229</v>
      </c>
      <c r="L84" s="9" t="s">
        <v>229</v>
      </c>
      <c r="M84" s="22">
        <f t="shared" ref="M84" si="10">M65*10+2</f>
        <v>150022</v>
      </c>
    </row>
    <row r="85" spans="1:13">
      <c r="E85" s="22">
        <f t="shared" si="2"/>
        <v>85</v>
      </c>
      <c r="F85" s="9" t="s">
        <v>143</v>
      </c>
      <c r="J85" s="9" t="s">
        <v>229</v>
      </c>
      <c r="K85" s="9" t="s">
        <v>229</v>
      </c>
      <c r="L85" s="9" t="s">
        <v>229</v>
      </c>
      <c r="M85" s="22">
        <f t="shared" ref="M85" si="11">M75</f>
        <v>150021</v>
      </c>
    </row>
    <row r="86" spans="1:13">
      <c r="E86" s="22">
        <f t="shared" si="2"/>
        <v>86</v>
      </c>
      <c r="F86" s="9" t="s">
        <v>128</v>
      </c>
      <c r="J86" s="9" t="s">
        <v>229</v>
      </c>
      <c r="K86" s="9" t="s">
        <v>229</v>
      </c>
      <c r="L86" s="9" t="s">
        <v>229</v>
      </c>
      <c r="M86" s="22">
        <v>0</v>
      </c>
    </row>
    <row r="87" spans="1:13">
      <c r="E87" s="22">
        <f t="shared" si="2"/>
        <v>87</v>
      </c>
      <c r="F87" s="9" t="s">
        <v>119</v>
      </c>
      <c r="J87" s="9" t="s">
        <v>229</v>
      </c>
      <c r="K87" s="9" t="s">
        <v>229</v>
      </c>
      <c r="L87" s="9" t="s">
        <v>229</v>
      </c>
      <c r="M87" s="22" t="s">
        <v>257</v>
      </c>
    </row>
    <row r="88" spans="1:13">
      <c r="E88" s="22">
        <f t="shared" si="2"/>
        <v>88</v>
      </c>
      <c r="F88" s="9" t="s">
        <v>35</v>
      </c>
      <c r="J88" s="9" t="s">
        <v>229</v>
      </c>
      <c r="K88" s="9" t="s">
        <v>229</v>
      </c>
      <c r="L88" s="9" t="s">
        <v>229</v>
      </c>
      <c r="M88" s="22">
        <v>180</v>
      </c>
    </row>
    <row r="89" spans="1:13">
      <c r="E89" s="22">
        <f t="shared" si="2"/>
        <v>89</v>
      </c>
      <c r="F89" s="9" t="s">
        <v>30</v>
      </c>
      <c r="J89" s="9" t="s">
        <v>229</v>
      </c>
      <c r="K89" s="9" t="s">
        <v>229</v>
      </c>
      <c r="L89" s="9" t="s">
        <v>229</v>
      </c>
      <c r="M89" s="22">
        <v>-0.8</v>
      </c>
    </row>
    <row r="90" spans="1:13">
      <c r="A90" s="22" t="s">
        <v>229</v>
      </c>
      <c r="B90" s="22">
        <f t="shared" ref="B90" si="12">QUOTIENT( D90-1,G91)+1</f>
        <v>1</v>
      </c>
      <c r="C90" s="22">
        <f t="shared" ref="C90" si="13">D90-(B90-1)*G91</f>
        <v>3</v>
      </c>
      <c r="D90" s="22">
        <f>COUNT($D$37:$D89)+1</f>
        <v>3</v>
      </c>
      <c r="F90" s="9" t="s">
        <v>229</v>
      </c>
      <c r="J90" s="9" t="s">
        <v>229</v>
      </c>
      <c r="K90" s="9" t="s">
        <v>229</v>
      </c>
      <c r="L90" s="9" t="s">
        <v>229</v>
      </c>
    </row>
    <row r="91" spans="1:13">
      <c r="E91" s="22">
        <f t="shared" si="2"/>
        <v>91</v>
      </c>
      <c r="F91" s="9" t="s">
        <v>93</v>
      </c>
      <c r="G91" s="22">
        <v>3</v>
      </c>
      <c r="H91" s="22">
        <v>1</v>
      </c>
      <c r="J91" s="9">
        <v>15000</v>
      </c>
      <c r="K91" s="9" t="s">
        <v>229</v>
      </c>
      <c r="L91" s="9" t="s">
        <v>229</v>
      </c>
      <c r="M91" s="22">
        <f t="shared" ref="M91" si="14">J91+D90</f>
        <v>15003</v>
      </c>
    </row>
    <row r="92" spans="1:13">
      <c r="E92" s="22">
        <f t="shared" si="2"/>
        <v>92</v>
      </c>
      <c r="F92" s="9" t="s">
        <v>143</v>
      </c>
      <c r="J92" s="9" t="s">
        <v>229</v>
      </c>
      <c r="K92" s="9" t="s">
        <v>229</v>
      </c>
      <c r="L92" s="9" t="s">
        <v>229</v>
      </c>
      <c r="M92" s="22">
        <v>14900</v>
      </c>
    </row>
    <row r="93" spans="1:13">
      <c r="E93" s="22">
        <f t="shared" si="2"/>
        <v>93</v>
      </c>
      <c r="F93" s="9" t="s">
        <v>127</v>
      </c>
      <c r="J93" s="9" t="s">
        <v>229</v>
      </c>
      <c r="K93" s="9" t="s">
        <v>229</v>
      </c>
      <c r="L93" s="9" t="s">
        <v>229</v>
      </c>
      <c r="M93" s="22">
        <v>0</v>
      </c>
    </row>
    <row r="94" spans="1:13">
      <c r="E94" s="22">
        <f t="shared" si="2"/>
        <v>94</v>
      </c>
      <c r="F94" s="9" t="s">
        <v>198</v>
      </c>
      <c r="J94" s="9" t="s">
        <v>229</v>
      </c>
      <c r="K94" s="9" t="s">
        <v>229</v>
      </c>
      <c r="L94" s="9" t="s">
        <v>229</v>
      </c>
      <c r="M94" s="22">
        <v>0</v>
      </c>
    </row>
    <row r="95" spans="1:13">
      <c r="E95" s="22">
        <f t="shared" si="2"/>
        <v>95</v>
      </c>
      <c r="F95" s="9" t="s">
        <v>29</v>
      </c>
      <c r="J95" s="9" t="s">
        <v>229</v>
      </c>
      <c r="K95" s="9" t="s">
        <v>229</v>
      </c>
      <c r="L95" s="9" t="s">
        <v>229</v>
      </c>
      <c r="M95" s="22" t="s">
        <v>239</v>
      </c>
    </row>
    <row r="96" spans="1:13">
      <c r="E96" s="22">
        <f t="shared" si="2"/>
        <v>96</v>
      </c>
      <c r="F96" s="9" t="s">
        <v>99</v>
      </c>
      <c r="G96" s="22" t="s">
        <v>229</v>
      </c>
      <c r="H96" s="22" t="s">
        <v>229</v>
      </c>
      <c r="I96" s="22" t="s">
        <v>229</v>
      </c>
      <c r="J96" s="9" t="s">
        <v>229</v>
      </c>
      <c r="K96" s="9" t="s">
        <v>138</v>
      </c>
      <c r="L96" s="9" t="s">
        <v>229</v>
      </c>
      <c r="M96" s="22">
        <v>2</v>
      </c>
    </row>
    <row r="97" spans="5:13">
      <c r="E97" s="22">
        <f t="shared" si="2"/>
        <v>97</v>
      </c>
      <c r="F97" s="9" t="s">
        <v>117</v>
      </c>
      <c r="G97" s="22" t="s">
        <v>229</v>
      </c>
      <c r="H97" s="22" t="s">
        <v>229</v>
      </c>
      <c r="I97" s="22" t="s">
        <v>229</v>
      </c>
      <c r="J97" s="9" t="s">
        <v>229</v>
      </c>
      <c r="K97" s="9" t="s">
        <v>138</v>
      </c>
      <c r="L97" s="9" t="s">
        <v>229</v>
      </c>
      <c r="M97" s="22">
        <v>2</v>
      </c>
    </row>
    <row r="98" spans="5:13">
      <c r="E98" s="22">
        <f t="shared" si="2"/>
        <v>98</v>
      </c>
      <c r="F98" s="9" t="s">
        <v>118</v>
      </c>
      <c r="J98" s="9" t="s">
        <v>229</v>
      </c>
      <c r="K98" s="9" t="s">
        <v>229</v>
      </c>
      <c r="L98" s="9" t="s">
        <v>229</v>
      </c>
      <c r="M98" s="22" t="b">
        <v>1</v>
      </c>
    </row>
    <row r="99" spans="5:13">
      <c r="E99" s="22">
        <f t="shared" si="2"/>
        <v>99</v>
      </c>
      <c r="F99" s="9" t="s">
        <v>114</v>
      </c>
      <c r="J99" s="9" t="s">
        <v>229</v>
      </c>
      <c r="K99" s="9" t="s">
        <v>229</v>
      </c>
      <c r="L99" s="9" t="s">
        <v>135</v>
      </c>
      <c r="M99" s="22">
        <v>90</v>
      </c>
    </row>
    <row r="100" spans="5:13">
      <c r="E100" s="22">
        <f t="shared" si="2"/>
        <v>100</v>
      </c>
      <c r="F100" s="9" t="s">
        <v>126</v>
      </c>
      <c r="J100" s="9" t="s">
        <v>229</v>
      </c>
      <c r="K100" s="9" t="s">
        <v>229</v>
      </c>
      <c r="L100" s="9" t="s">
        <v>229</v>
      </c>
      <c r="M100" s="22">
        <v>10000</v>
      </c>
    </row>
    <row r="101" spans="5:13">
      <c r="E101" s="22">
        <f t="shared" si="2"/>
        <v>101</v>
      </c>
      <c r="F101" s="9" t="s">
        <v>102</v>
      </c>
      <c r="J101" s="9" t="s">
        <v>229</v>
      </c>
      <c r="K101" s="9" t="s">
        <v>229</v>
      </c>
      <c r="L101" s="9" t="s">
        <v>229</v>
      </c>
      <c r="M101" s="22">
        <f t="shared" ref="M101" si="15">M91*10+1</f>
        <v>150031</v>
      </c>
    </row>
    <row r="102" spans="5:13">
      <c r="E102" s="22">
        <f t="shared" si="2"/>
        <v>102</v>
      </c>
      <c r="F102" s="9" t="s">
        <v>143</v>
      </c>
      <c r="J102" s="9" t="s">
        <v>229</v>
      </c>
      <c r="K102" s="9" t="s">
        <v>229</v>
      </c>
      <c r="L102" s="9" t="s">
        <v>229</v>
      </c>
      <c r="M102" s="22">
        <f t="shared" ref="M102" si="16">M91</f>
        <v>15003</v>
      </c>
    </row>
    <row r="103" spans="5:13">
      <c r="E103" s="22">
        <f t="shared" ref="E103:E115" si="17">ROW(E103)</f>
        <v>103</v>
      </c>
      <c r="F103" s="9" t="s">
        <v>127</v>
      </c>
      <c r="J103" s="9" t="s">
        <v>229</v>
      </c>
      <c r="K103" s="9" t="s">
        <v>229</v>
      </c>
      <c r="L103" s="9" t="s">
        <v>229</v>
      </c>
      <c r="M103" s="22">
        <v>0</v>
      </c>
    </row>
    <row r="104" spans="5:13">
      <c r="E104" s="22">
        <f t="shared" si="17"/>
        <v>104</v>
      </c>
      <c r="F104" s="9" t="s">
        <v>143</v>
      </c>
      <c r="J104" s="9" t="s">
        <v>229</v>
      </c>
      <c r="K104" s="9" t="s">
        <v>229</v>
      </c>
      <c r="L104" s="9" t="s">
        <v>229</v>
      </c>
      <c r="M104" s="22">
        <f t="shared" ref="M104" si="18">M110</f>
        <v>150032</v>
      </c>
    </row>
    <row r="105" spans="5:13">
      <c r="E105" s="22">
        <f t="shared" si="17"/>
        <v>105</v>
      </c>
      <c r="F105" s="9" t="s">
        <v>128</v>
      </c>
      <c r="J105" s="9" t="s">
        <v>229</v>
      </c>
      <c r="K105" s="9" t="s">
        <v>229</v>
      </c>
      <c r="L105" s="9" t="s">
        <v>229</v>
      </c>
      <c r="M105" s="22">
        <v>0</v>
      </c>
    </row>
    <row r="106" spans="5:13">
      <c r="E106" s="22">
        <f t="shared" si="17"/>
        <v>106</v>
      </c>
      <c r="F106" s="9" t="s">
        <v>119</v>
      </c>
      <c r="J106" s="9" t="s">
        <v>229</v>
      </c>
      <c r="K106" s="9" t="s">
        <v>229</v>
      </c>
      <c r="L106" s="9" t="s">
        <v>229</v>
      </c>
      <c r="M106" s="22" t="s">
        <v>255</v>
      </c>
    </row>
    <row r="107" spans="5:13">
      <c r="E107" s="22">
        <f t="shared" si="17"/>
        <v>107</v>
      </c>
      <c r="F107" s="9" t="s">
        <v>35</v>
      </c>
      <c r="J107" s="9" t="s">
        <v>229</v>
      </c>
      <c r="K107" s="9" t="s">
        <v>229</v>
      </c>
      <c r="L107" s="9" t="s">
        <v>229</v>
      </c>
      <c r="M107" s="22">
        <v>120</v>
      </c>
    </row>
    <row r="108" spans="5:13">
      <c r="E108" s="22">
        <f t="shared" si="17"/>
        <v>108</v>
      </c>
      <c r="F108" s="9" t="s">
        <v>30</v>
      </c>
      <c r="J108" s="9" t="s">
        <v>229</v>
      </c>
      <c r="K108" s="9" t="s">
        <v>229</v>
      </c>
      <c r="L108" s="9" t="s">
        <v>229</v>
      </c>
      <c r="M108" s="22">
        <v>1.2</v>
      </c>
    </row>
    <row r="109" spans="5:13">
      <c r="E109" s="22">
        <f t="shared" si="17"/>
        <v>109</v>
      </c>
      <c r="F109" s="9" t="s">
        <v>31</v>
      </c>
      <c r="G109" s="22">
        <v>360</v>
      </c>
      <c r="K109" s="9" t="s">
        <v>229</v>
      </c>
      <c r="L109" s="9" t="s">
        <v>135</v>
      </c>
      <c r="M109" s="22">
        <f t="shared" ref="M109" si="19">G109/G91*C90</f>
        <v>360</v>
      </c>
    </row>
    <row r="110" spans="5:13">
      <c r="E110" s="22">
        <f t="shared" si="17"/>
        <v>110</v>
      </c>
      <c r="F110" s="9" t="s">
        <v>102</v>
      </c>
      <c r="J110" s="9" t="s">
        <v>229</v>
      </c>
      <c r="K110" s="9" t="s">
        <v>229</v>
      </c>
      <c r="L110" s="9" t="s">
        <v>229</v>
      </c>
      <c r="M110" s="22">
        <f t="shared" ref="M110" si="20">M91*10+2</f>
        <v>150032</v>
      </c>
    </row>
    <row r="111" spans="5:13">
      <c r="E111" s="22">
        <f t="shared" si="17"/>
        <v>111</v>
      </c>
      <c r="F111" s="9" t="s">
        <v>143</v>
      </c>
      <c r="J111" s="9" t="s">
        <v>229</v>
      </c>
      <c r="K111" s="9" t="s">
        <v>229</v>
      </c>
      <c r="L111" s="9" t="s">
        <v>229</v>
      </c>
      <c r="M111" s="22">
        <f t="shared" ref="M111" si="21">M101</f>
        <v>150031</v>
      </c>
    </row>
    <row r="112" spans="5:13">
      <c r="E112" s="22">
        <f t="shared" si="17"/>
        <v>112</v>
      </c>
      <c r="F112" s="9" t="s">
        <v>128</v>
      </c>
      <c r="J112" s="9" t="s">
        <v>229</v>
      </c>
      <c r="K112" s="9" t="s">
        <v>229</v>
      </c>
      <c r="L112" s="9" t="s">
        <v>229</v>
      </c>
      <c r="M112" s="22">
        <v>0</v>
      </c>
    </row>
    <row r="113" spans="5:13">
      <c r="E113" s="22">
        <f t="shared" si="17"/>
        <v>113</v>
      </c>
      <c r="F113" s="9" t="s">
        <v>119</v>
      </c>
      <c r="J113" s="9" t="s">
        <v>229</v>
      </c>
      <c r="K113" s="9" t="s">
        <v>229</v>
      </c>
      <c r="L113" s="9" t="s">
        <v>229</v>
      </c>
      <c r="M113" s="22" t="s">
        <v>257</v>
      </c>
    </row>
    <row r="114" spans="5:13">
      <c r="E114" s="22">
        <f t="shared" si="17"/>
        <v>114</v>
      </c>
      <c r="F114" s="9" t="s">
        <v>35</v>
      </c>
      <c r="J114" s="9" t="s">
        <v>229</v>
      </c>
      <c r="K114" s="9" t="s">
        <v>229</v>
      </c>
      <c r="L114" s="9" t="s">
        <v>229</v>
      </c>
      <c r="M114" s="22">
        <v>180</v>
      </c>
    </row>
    <row r="115" spans="5:13">
      <c r="E115" s="22">
        <f t="shared" si="17"/>
        <v>115</v>
      </c>
      <c r="F115" s="9" t="s">
        <v>30</v>
      </c>
      <c r="J115" s="9" t="s">
        <v>229</v>
      </c>
      <c r="K115" s="9" t="s">
        <v>229</v>
      </c>
      <c r="L115" s="9" t="s">
        <v>229</v>
      </c>
      <c r="M115" s="22">
        <v>-0.8</v>
      </c>
    </row>
  </sheetData>
  <phoneticPr fontId="2" type="noConversion"/>
  <conditionalFormatting sqref="BE1:XFD1 E1:I1">
    <cfRule type="duplicateValues" dxfId="79" priority="1759"/>
  </conditionalFormatting>
  <conditionalFormatting sqref="F1:F3 F23:F33 F15:F20 F61:F63 F54:F58 F6:F10 F42:F49">
    <cfRule type="cellIs" dxfId="78" priority="1260" operator="equal">
      <formula>"ID"</formula>
    </cfRule>
    <cfRule type="cellIs" dxfId="77" priority="1675" operator="equal">
      <formula>"行動序號"</formula>
    </cfRule>
  </conditionalFormatting>
  <conditionalFormatting sqref="M1:M1048576">
    <cfRule type="expression" dxfId="76" priority="1679">
      <formula>OR($F1="行動序號",$F1="ID")</formula>
    </cfRule>
  </conditionalFormatting>
  <conditionalFormatting sqref="M1:M1048576">
    <cfRule type="expression" dxfId="75" priority="1146">
      <formula>$F1="行動ID"</formula>
    </cfRule>
  </conditionalFormatting>
  <conditionalFormatting sqref="J1">
    <cfRule type="duplicateValues" dxfId="74" priority="1258"/>
  </conditionalFormatting>
  <conditionalFormatting sqref="K1:L1">
    <cfRule type="duplicateValues" dxfId="73" priority="1255"/>
  </conditionalFormatting>
  <conditionalFormatting sqref="F39:F40">
    <cfRule type="cellIs" dxfId="72" priority="1125" operator="equal">
      <formula>"ID"</formula>
    </cfRule>
    <cfRule type="cellIs" dxfId="71" priority="1127" operator="equal">
      <formula>"行動序號"</formula>
    </cfRule>
  </conditionalFormatting>
  <conditionalFormatting sqref="F41">
    <cfRule type="cellIs" dxfId="70" priority="1109" operator="equal">
      <formula>"ID"</formula>
    </cfRule>
    <cfRule type="cellIs" dxfId="69" priority="1110" operator="equal">
      <formula>"行動序號"</formula>
    </cfRule>
  </conditionalFormatting>
  <conditionalFormatting sqref="J39 J4 M1:M1048576">
    <cfRule type="expression" dxfId="68" priority="870">
      <formula>_xlfn.ISFORMULA(J1)</formula>
    </cfRule>
  </conditionalFormatting>
  <conditionalFormatting sqref="J39">
    <cfRule type="expression" dxfId="67" priority="1766">
      <formula>OR(#REF!="行動序號",#REF!="ID")</formula>
    </cfRule>
  </conditionalFormatting>
  <conditionalFormatting sqref="J39">
    <cfRule type="expression" dxfId="66" priority="1768">
      <formula>#REF!="行動ID"</formula>
    </cfRule>
  </conditionalFormatting>
  <conditionalFormatting sqref="N1:BD1">
    <cfRule type="duplicateValues" dxfId="65" priority="1775"/>
  </conditionalFormatting>
  <conditionalFormatting sqref="F59">
    <cfRule type="cellIs" dxfId="64" priority="57" operator="equal">
      <formula>"ID"</formula>
    </cfRule>
    <cfRule type="cellIs" dxfId="63" priority="58" operator="equal">
      <formula>"行動序號"</formula>
    </cfRule>
  </conditionalFormatting>
  <conditionalFormatting sqref="F60:F61">
    <cfRule type="cellIs" dxfId="62" priority="55" operator="equal">
      <formula>"ID"</formula>
    </cfRule>
    <cfRule type="cellIs" dxfId="61" priority="56" operator="equal">
      <formula>"行動序號"</formula>
    </cfRule>
  </conditionalFormatting>
  <conditionalFormatting sqref="F4:F5">
    <cfRule type="cellIs" dxfId="60" priority="23" operator="equal">
      <formula>"ID"</formula>
    </cfRule>
    <cfRule type="cellIs" dxfId="59" priority="24" operator="equal">
      <formula>"行動序號"</formula>
    </cfRule>
  </conditionalFormatting>
  <conditionalFormatting sqref="J4">
    <cfRule type="expression" dxfId="58" priority="25">
      <formula>OR(#REF!="行動序號",#REF!="ID")</formula>
    </cfRule>
  </conditionalFormatting>
  <conditionalFormatting sqref="J4">
    <cfRule type="expression" dxfId="57" priority="26">
      <formula>#REF!="行動ID"</formula>
    </cfRule>
  </conditionalFormatting>
  <conditionalFormatting sqref="F21">
    <cfRule type="cellIs" dxfId="56" priority="17" operator="equal">
      <formula>"ID"</formula>
    </cfRule>
    <cfRule type="cellIs" dxfId="55" priority="18" operator="equal">
      <formula>"行動序號"</formula>
    </cfRule>
  </conditionalFormatting>
  <conditionalFormatting sqref="F22">
    <cfRule type="cellIs" dxfId="54" priority="15" operator="equal">
      <formula>"ID"</formula>
    </cfRule>
    <cfRule type="cellIs" dxfId="53" priority="16" operator="equal">
      <formula>"行動序號"</formula>
    </cfRule>
  </conditionalFormatting>
  <conditionalFormatting sqref="F11">
    <cfRule type="cellIs" dxfId="52" priority="13" operator="equal">
      <formula>"ID"</formula>
    </cfRule>
    <cfRule type="cellIs" dxfId="51" priority="14" operator="equal">
      <formula>"行動序號"</formula>
    </cfRule>
  </conditionalFormatting>
  <conditionalFormatting sqref="F12 F14">
    <cfRule type="cellIs" dxfId="50" priority="11" operator="equal">
      <formula>"ID"</formula>
    </cfRule>
    <cfRule type="cellIs" dxfId="49" priority="12" operator="equal">
      <formula>"行動序號"</formula>
    </cfRule>
  </conditionalFormatting>
  <conditionalFormatting sqref="F13">
    <cfRule type="cellIs" dxfId="48" priority="9" operator="equal">
      <formula>"ID"</formula>
    </cfRule>
    <cfRule type="cellIs" dxfId="47" priority="10" operator="equal">
      <formula>"行動序號"</formula>
    </cfRule>
  </conditionalFormatting>
  <conditionalFormatting sqref="F50">
    <cfRule type="cellIs" dxfId="46" priority="7" operator="equal">
      <formula>"ID"</formula>
    </cfRule>
    <cfRule type="cellIs" dxfId="45" priority="8" operator="equal">
      <formula>"行動序號"</formula>
    </cfRule>
  </conditionalFormatting>
  <conditionalFormatting sqref="F51">
    <cfRule type="cellIs" dxfId="44" priority="5" operator="equal">
      <formula>"ID"</formula>
    </cfRule>
    <cfRule type="cellIs" dxfId="43" priority="6" operator="equal">
      <formula>"行動序號"</formula>
    </cfRule>
  </conditionalFormatting>
  <conditionalFormatting sqref="F52">
    <cfRule type="cellIs" dxfId="42" priority="3" operator="equal">
      <formula>"ID"</formula>
    </cfRule>
    <cfRule type="cellIs" dxfId="41" priority="4" operator="equal">
      <formula>"行動序號"</formula>
    </cfRule>
  </conditionalFormatting>
  <conditionalFormatting sqref="F53">
    <cfRule type="cellIs" dxfId="40" priority="1" operator="equal">
      <formula>"ID"</formula>
    </cfRule>
    <cfRule type="cellIs" dxfId="39" priority="2" operator="equal">
      <formula>"行動序號"</formula>
    </cfRule>
  </conditionalFormatting>
  <dataValidations disablePrompts="1" count="1">
    <dataValidation type="list" allowBlank="1" showInputMessage="1" showErrorMessage="1" sqref="K31 L37 K35 L19 L27:L29 L7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7A48C-626B-4099-874D-337F52EFDA17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B3B75ECF-E1A0-4AD5-B422-14078D70F434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75EE2-232B-4382-BF7F-ED3FFF5CDBBC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146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147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230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148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149</v>
      </c>
      <c r="C17" s="7" t="s">
        <v>231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150</v>
      </c>
      <c r="E20" t="str">
        <f t="shared" si="0"/>
        <v>啟動依ID,</v>
      </c>
      <c r="H20"/>
    </row>
    <row r="21" spans="1:8">
      <c r="A21" s="7" t="s">
        <v>27</v>
      </c>
      <c r="B21" s="7" t="s">
        <v>151</v>
      </c>
      <c r="C21" s="7" t="s">
        <v>152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157</v>
      </c>
      <c r="C26" s="7" t="s">
        <v>158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159</v>
      </c>
      <c r="C27" s="7" t="s">
        <v>160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167</v>
      </c>
      <c r="C36" s="7" t="s">
        <v>168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169</v>
      </c>
      <c r="C37" s="7" t="s">
        <v>170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173</v>
      </c>
      <c r="E42" t="str">
        <f t="shared" si="0"/>
        <v>死亡時間,</v>
      </c>
      <c r="H42"/>
    </row>
    <row r="43" spans="1:8">
      <c r="A43" s="7" t="s">
        <v>27</v>
      </c>
      <c r="B43" s="7" t="s">
        <v>227</v>
      </c>
      <c r="C43" s="7" t="s">
        <v>228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176</v>
      </c>
      <c r="E48" t="str">
        <f t="shared" si="0"/>
        <v>位置參數,</v>
      </c>
      <c r="H48"/>
    </row>
    <row r="49" spans="1:8">
      <c r="A49" s="7" t="s">
        <v>27</v>
      </c>
      <c r="B49" s="7" t="s">
        <v>177</v>
      </c>
      <c r="C49" s="7" t="s">
        <v>178</v>
      </c>
      <c r="E49" t="str">
        <f t="shared" si="0"/>
        <v>加位置,</v>
      </c>
      <c r="H49"/>
    </row>
    <row r="50" spans="1:8">
      <c r="A50" s="7" t="s">
        <v>27</v>
      </c>
      <c r="B50" s="7" t="s">
        <v>261</v>
      </c>
      <c r="C50" s="7" t="s">
        <v>263</v>
      </c>
      <c r="E50" t="str">
        <f t="shared" si="0"/>
        <v>記錄位置,</v>
      </c>
      <c r="H50"/>
    </row>
    <row r="51" spans="1:8">
      <c r="A51" s="7" t="s">
        <v>27</v>
      </c>
      <c r="B51" s="7" t="s">
        <v>262</v>
      </c>
      <c r="C51" s="7" t="s">
        <v>264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180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184</v>
      </c>
      <c r="C59" s="7" t="s">
        <v>185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186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232</v>
      </c>
      <c r="C61" s="7" t="s">
        <v>233</v>
      </c>
      <c r="E61" t="str">
        <f t="shared" si="0"/>
        <v>子旋轉角度,</v>
      </c>
      <c r="H61"/>
    </row>
    <row r="62" spans="1:8">
      <c r="A62" s="7" t="s">
        <v>27</v>
      </c>
      <c r="B62" s="25" t="s">
        <v>234</v>
      </c>
      <c r="C62" s="7" t="s">
        <v>235</v>
      </c>
      <c r="E62" t="str">
        <f t="shared" si="0"/>
        <v>子加旋轉角度,</v>
      </c>
      <c r="H62"/>
    </row>
    <row r="63" spans="1:8">
      <c r="A63" s="7" t="s">
        <v>27</v>
      </c>
      <c r="B63" s="7" t="s">
        <v>260</v>
      </c>
      <c r="C63" s="7" t="s">
        <v>265</v>
      </c>
      <c r="E63" t="str">
        <f t="shared" si="0"/>
        <v>記錄角度,</v>
      </c>
      <c r="H63"/>
    </row>
    <row r="64" spans="1:8">
      <c r="A64" s="7" t="s">
        <v>27</v>
      </c>
      <c r="B64" s="7" t="s">
        <v>267</v>
      </c>
      <c r="C64" s="7" t="s">
        <v>266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188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189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190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191</v>
      </c>
      <c r="C73" s="7" t="s">
        <v>192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195</v>
      </c>
      <c r="E76" t="str">
        <f t="shared" si="0"/>
        <v>回收距離,</v>
      </c>
      <c r="H76"/>
    </row>
    <row r="77" spans="1:11">
      <c r="A77" s="7" t="s">
        <v>27</v>
      </c>
      <c r="B77" s="7" t="s">
        <v>196</v>
      </c>
      <c r="C77" s="7" t="s">
        <v>197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198</v>
      </c>
      <c r="C78" s="7" t="s">
        <v>199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200</v>
      </c>
      <c r="C79" s="7" t="s">
        <v>201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202</v>
      </c>
      <c r="C80" s="7" t="s">
        <v>203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208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209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210</v>
      </c>
      <c r="C91" s="7" t="s">
        <v>211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212</v>
      </c>
      <c r="C92" s="7" t="s">
        <v>213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214</v>
      </c>
      <c r="C93" s="7" t="s">
        <v>215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216</v>
      </c>
      <c r="C94" s="7" t="s">
        <v>217</v>
      </c>
      <c r="E94" t="str">
        <f t="shared" si="1"/>
        <v>玩家Shift,</v>
      </c>
      <c r="H94"/>
    </row>
    <row r="95" spans="1:11">
      <c r="A95" s="7" t="s">
        <v>27</v>
      </c>
      <c r="B95" s="7" t="s">
        <v>218</v>
      </c>
      <c r="C95" s="7" t="s">
        <v>219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220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221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223</v>
      </c>
      <c r="C114" s="7" t="s">
        <v>22</v>
      </c>
      <c r="D114" s="7"/>
      <c r="L114" s="7"/>
    </row>
    <row r="115" spans="1:12">
      <c r="A115" s="7" t="s">
        <v>141</v>
      </c>
      <c r="B115" s="7" t="s">
        <v>224</v>
      </c>
      <c r="C115" s="7" t="s">
        <v>23</v>
      </c>
      <c r="H115"/>
    </row>
    <row r="116" spans="1:12">
      <c r="A116" s="7" t="s">
        <v>141</v>
      </c>
      <c r="B116" s="7" t="s">
        <v>268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452CC-B9B4-4BE8-B8A0-908498E21D74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225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226</v>
      </c>
      <c r="D4" s="20"/>
      <c r="G4" s="9"/>
      <c r="H4" s="18"/>
    </row>
    <row r="5" spans="1:10" ht="17.25" customHeight="1">
      <c r="A5" s="20" t="s">
        <v>100</v>
      </c>
      <c r="B5" s="20" t="s">
        <v>220</v>
      </c>
      <c r="C5" s="20" t="s">
        <v>223</v>
      </c>
      <c r="D5" s="20"/>
      <c r="G5" s="9"/>
    </row>
    <row r="6" spans="1:10">
      <c r="A6" s="20" t="s">
        <v>103</v>
      </c>
      <c r="B6" s="20" t="s">
        <v>221</v>
      </c>
      <c r="C6" s="20" t="s">
        <v>224</v>
      </c>
      <c r="D6" s="20"/>
      <c r="G6" s="9"/>
    </row>
    <row r="7" spans="1:10">
      <c r="A7" s="20" t="s">
        <v>48</v>
      </c>
      <c r="B7" s="20" t="s">
        <v>222</v>
      </c>
      <c r="C7" s="24" t="s">
        <v>268</v>
      </c>
      <c r="D7" s="20"/>
      <c r="G7" s="9"/>
    </row>
    <row r="8" spans="1:10">
      <c r="A8" s="20" t="s">
        <v>147</v>
      </c>
      <c r="B8" s="24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230</v>
      </c>
      <c r="B10" s="20"/>
      <c r="C10" s="20"/>
      <c r="D10" s="20"/>
      <c r="G10" s="9"/>
    </row>
    <row r="11" spans="1:10">
      <c r="A11" s="20" t="s">
        <v>148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149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143</v>
      </c>
      <c r="C20"/>
      <c r="G20" s="9"/>
    </row>
    <row r="21" spans="1:7">
      <c r="A21" s="20" t="s">
        <v>151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157</v>
      </c>
      <c r="C26"/>
      <c r="G26" s="9"/>
    </row>
    <row r="27" spans="1:7">
      <c r="A27" s="20" t="s">
        <v>159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167</v>
      </c>
      <c r="C36"/>
    </row>
    <row r="37" spans="1:7">
      <c r="A37" s="20" t="s">
        <v>169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98</v>
      </c>
      <c r="C41"/>
      <c r="G41" s="9"/>
    </row>
    <row r="42" spans="1:7">
      <c r="A42" s="20" t="s">
        <v>108</v>
      </c>
      <c r="C42"/>
      <c r="G42" s="9"/>
    </row>
    <row r="43" spans="1:7">
      <c r="A43" s="24" t="s">
        <v>227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99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177</v>
      </c>
      <c r="C49"/>
      <c r="G49" s="9"/>
    </row>
    <row r="50" spans="1:8">
      <c r="A50" s="25" t="s">
        <v>260</v>
      </c>
      <c r="C50"/>
      <c r="G50" s="9"/>
    </row>
    <row r="51" spans="1:8">
      <c r="A51" s="25" t="s">
        <v>269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6" t="s">
        <v>236</v>
      </c>
      <c r="C57"/>
      <c r="G57" s="9"/>
    </row>
    <row r="58" spans="1:8">
      <c r="A58" s="20" t="s">
        <v>133</v>
      </c>
      <c r="G58" s="9"/>
    </row>
    <row r="59" spans="1:8">
      <c r="A59" s="20" t="s">
        <v>184</v>
      </c>
      <c r="G59" s="9"/>
    </row>
    <row r="60" spans="1:8">
      <c r="A60" s="20" t="s">
        <v>115</v>
      </c>
      <c r="G60" s="9"/>
    </row>
    <row r="61" spans="1:8">
      <c r="A61" s="25" t="s">
        <v>232</v>
      </c>
      <c r="G61" s="9"/>
    </row>
    <row r="62" spans="1:8">
      <c r="A62" s="25" t="s">
        <v>234</v>
      </c>
      <c r="G62" s="9"/>
    </row>
    <row r="63" spans="1:8">
      <c r="A63" s="25" t="s">
        <v>260</v>
      </c>
      <c r="G63" s="9"/>
    </row>
    <row r="64" spans="1:8">
      <c r="A64" s="25" t="s">
        <v>267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191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196</v>
      </c>
      <c r="G77" s="9"/>
    </row>
    <row r="78" spans="1:7">
      <c r="A78" s="20" t="s">
        <v>198</v>
      </c>
      <c r="G78" s="9"/>
    </row>
    <row r="79" spans="1:7">
      <c r="A79" s="20" t="s">
        <v>200</v>
      </c>
    </row>
    <row r="80" spans="1:7">
      <c r="A80" s="20" t="s">
        <v>202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210</v>
      </c>
    </row>
    <row r="92" spans="1:1">
      <c r="A92" s="20" t="s">
        <v>212</v>
      </c>
    </row>
    <row r="93" spans="1:1">
      <c r="A93" s="20" t="s">
        <v>214</v>
      </c>
    </row>
    <row r="94" spans="1:1">
      <c r="A94" s="20" t="s">
        <v>216</v>
      </c>
    </row>
    <row r="95" spans="1:1">
      <c r="A95" s="20" t="s">
        <v>218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1FC6A5CB-C2DE-4885-A051-E8B32D73EFE1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D96FE-E865-498F-9EA2-F0BE180F9127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F6832-CC48-4112-A989-770B4A43246A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80E35-C923-4087-808B-002AAECDF422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stage7_card5shot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2025-04-16T06:38:15Z</dcterms:modified>
</cp:coreProperties>
</file>