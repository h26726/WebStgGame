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C1C7B62B-61ED-4760-9F6A-3D1E84B98211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stage7_2" sheetId="1" r:id="rId1"/>
    <sheet name="#ALIAS" sheetId="72" r:id="rId2"/>
    <sheet name="#DEFINE" sheetId="73" r:id="rId3"/>
    <sheet name="#OPTION" sheetId="74" r:id="rId4"/>
    <sheet name="#PARAM" sheetId="75" r:id="rId5"/>
    <sheet name="#OUTPUT" sheetId="76" r:id="rId6"/>
    <sheet name="#使用說明" sheetId="77" r:id="rId7"/>
  </sheets>
  <functionGroups builtInGroupCount="19"/>
  <externalReferences>
    <externalReference r:id="rId8"/>
  </externalReferences>
  <definedNames>
    <definedName name="_xlnm._FilterDatabase" localSheetId="0" hidden="1">stage7_2!$E$1:$E$19</definedName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_OPTION_">#REF!</definedName>
    <definedName name="一般物品">#REF!</definedName>
    <definedName name="無償商城幣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5" i="73" l="1"/>
  <c r="E94" i="73"/>
  <c r="E93" i="73"/>
  <c r="E92" i="73"/>
  <c r="E91" i="73"/>
  <c r="E88" i="73"/>
  <c r="E87" i="73"/>
  <c r="E86" i="73"/>
  <c r="E85" i="73"/>
  <c r="E84" i="73"/>
  <c r="E83" i="73"/>
  <c r="E80" i="73"/>
  <c r="E79" i="73"/>
  <c r="E78" i="73"/>
  <c r="E77" i="73"/>
  <c r="E76" i="73"/>
  <c r="E75" i="73"/>
  <c r="E74" i="73"/>
  <c r="E73" i="73"/>
  <c r="E70" i="73"/>
  <c r="E69" i="73"/>
  <c r="E68" i="73"/>
  <c r="E67" i="73"/>
  <c r="E64" i="73"/>
  <c r="E63" i="73"/>
  <c r="E62" i="73"/>
  <c r="E61" i="73"/>
  <c r="E60" i="73"/>
  <c r="E59" i="73"/>
  <c r="E58" i="73"/>
  <c r="E57" i="73"/>
  <c r="E56" i="73"/>
  <c r="E55" i="73"/>
  <c r="E54" i="73"/>
  <c r="E51" i="73"/>
  <c r="E50" i="73"/>
  <c r="E49" i="73"/>
  <c r="E48" i="73"/>
  <c r="E47" i="73"/>
  <c r="E46" i="73"/>
  <c r="E43" i="73"/>
  <c r="E42" i="73"/>
  <c r="E41" i="73"/>
  <c r="E40" i="73"/>
  <c r="E37" i="73"/>
  <c r="E36" i="73"/>
  <c r="E35" i="73"/>
  <c r="E34" i="73"/>
  <c r="E33" i="73"/>
  <c r="E32" i="73"/>
  <c r="E31" i="73"/>
  <c r="E30" i="73"/>
  <c r="E27" i="73"/>
  <c r="E26" i="73"/>
  <c r="E25" i="73"/>
  <c r="E24" i="73"/>
  <c r="E23" i="73"/>
  <c r="E22" i="73"/>
  <c r="E21" i="73"/>
  <c r="E20" i="73"/>
  <c r="E17" i="73"/>
  <c r="E16" i="73"/>
  <c r="E15" i="73"/>
  <c r="E14" i="73"/>
  <c r="E13" i="73"/>
  <c r="E12" i="73"/>
  <c r="E11" i="73"/>
  <c r="E10" i="73"/>
  <c r="E9" i="73"/>
  <c r="E8" i="73"/>
  <c r="E7" i="73"/>
  <c r="E6" i="73"/>
  <c r="E5" i="73"/>
  <c r="E4" i="73"/>
  <c r="E3" i="73"/>
  <c r="O67" i="1" l="1"/>
  <c r="O63" i="1"/>
  <c r="O62" i="1"/>
  <c r="O68" i="1" s="1"/>
  <c r="O38" i="1"/>
  <c r="O44" i="1" s="1"/>
  <c r="O39" i="1"/>
  <c r="O43" i="1"/>
  <c r="O20" i="1"/>
  <c r="O16" i="1"/>
  <c r="O15" i="1"/>
  <c r="O21" i="1" s="1"/>
  <c r="G14" i="1" l="1"/>
  <c r="G37" i="1"/>
  <c r="G38" i="1"/>
  <c r="G61" i="1"/>
  <c r="G62" i="1"/>
  <c r="G60" i="1" l="1"/>
  <c r="G36" i="1"/>
  <c r="G13" i="1"/>
  <c r="G72" i="1"/>
  <c r="G71" i="1"/>
  <c r="G70" i="1"/>
  <c r="G69" i="1"/>
  <c r="G68" i="1"/>
  <c r="G67" i="1"/>
  <c r="G66" i="1"/>
  <c r="G65" i="1"/>
  <c r="G64" i="1"/>
  <c r="G63" i="1"/>
  <c r="G59" i="1"/>
  <c r="G58" i="1"/>
  <c r="G57" i="1"/>
  <c r="G56" i="1"/>
  <c r="G55" i="1"/>
  <c r="G54" i="1"/>
  <c r="G53" i="1"/>
  <c r="G30" i="1"/>
  <c r="G31" i="1"/>
  <c r="G32" i="1"/>
  <c r="G33" i="1"/>
  <c r="G34" i="1"/>
  <c r="G35" i="1"/>
  <c r="G39" i="1"/>
  <c r="G40" i="1"/>
  <c r="G41" i="1"/>
  <c r="G42" i="1"/>
  <c r="G43" i="1"/>
  <c r="G44" i="1"/>
  <c r="G45" i="1"/>
  <c r="G46" i="1"/>
  <c r="G47" i="1"/>
  <c r="G48" i="1"/>
  <c r="G29" i="1"/>
  <c r="G25" i="1" l="1"/>
  <c r="G8" i="1"/>
  <c r="G22" i="1"/>
  <c r="G23" i="1"/>
  <c r="G24" i="1"/>
  <c r="G15" i="1"/>
  <c r="G21" i="1"/>
  <c r="G7" i="1"/>
  <c r="G9" i="1"/>
  <c r="G10" i="1"/>
  <c r="G11" i="1"/>
  <c r="G12" i="1"/>
  <c r="G16" i="1"/>
  <c r="G17" i="1"/>
  <c r="G18" i="1"/>
  <c r="G19" i="1"/>
  <c r="G20" i="1"/>
  <c r="G6" i="1"/>
  <c r="G5" i="1"/>
</calcChain>
</file>

<file path=xl/sharedStrings.xml><?xml version="1.0" encoding="utf-8"?>
<sst xmlns="http://schemas.openxmlformats.org/spreadsheetml/2006/main" count="516" uniqueCount="254">
  <si>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</si>
  <si>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</si>
  <si>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</si>
  <si>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</si>
  <si>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</si>
  <si>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</si>
  <si>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</si>
  <si>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</si>
  <si>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</si>
  <si>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</si>
  <si>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</si>
  <si>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</si>
  <si>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</si>
  <si>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</si>
  <si>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</si>
  <si>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</si>
  <si>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</si>
  <si>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</si>
  <si>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</si>
  <si>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</si>
  <si>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</si>
  <si>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</si>
  <si>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</si>
  <si>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</si>
  <si>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</si>
  <si>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</si>
  <si>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</si>
  <si>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</si>
  <si>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</si>
  <si>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</si>
  <si>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</si>
  <si>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</si>
  <si>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</si>
  <si>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</si>
  <si>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</si>
  <si>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</si>
  <si>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</si>
  <si>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</si>
  <si>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</si>
  <si>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</si>
  <si>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</si>
  <si>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</si>
  <si>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</si>
  <si>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</si>
  <si>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</si>
  <si>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</si>
  <si>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270</t>
    <phoneticPr fontId="2" type="noConversion"/>
  </si>
  <si>
    <t>HP</t>
  </si>
  <si>
    <t>無敵</t>
  </si>
  <si>
    <t>BOSS</t>
  </si>
  <si>
    <t>8</t>
    <phoneticPr fontId="2" type="noConversion"/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</si>
  <si>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</si>
  <si>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</si>
  <si>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</si>
  <si>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</si>
  <si>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</si>
  <si>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</si>
  <si>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</si>
  <si>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</si>
  <si>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</si>
  <si>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</si>
  <si>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</si>
  <si>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</si>
  <si>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</si>
  <si>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</si>
  <si>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</si>
  <si>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</si>
  <si>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</si>
  <si>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</si>
  <si>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</si>
  <si>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</si>
  <si>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</si>
  <si>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</si>
  <si>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</si>
  <si>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</si>
  <si>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</si>
  <si>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</si>
  <si>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</si>
  <si>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</si>
  <si>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</si>
  <si>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</si>
  <si>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</si>
  <si>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</si>
  <si>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</si>
  <si>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</si>
  <si>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</si>
  <si>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</si>
  <si>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</si>
  <si>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</si>
  <si>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</si>
  <si>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</si>
  <si>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</si>
  <si>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</si>
  <si>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</si>
  <si>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</si>
  <si>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</si>
  <si>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</si>
  <si>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</si>
  <si>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</si>
  <si>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</si>
  <si>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</si>
  <si>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</si>
  <si>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</si>
  <si>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</si>
  <si>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</si>
  <si>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</si>
  <si>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</si>
  <si>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</si>
  <si>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</si>
  <si>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</si>
  <si>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</si>
  <si>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</si>
  <si>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</si>
  <si>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</si>
  <si>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</si>
  <si>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</si>
  <si>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</si>
  <si>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</si>
  <si>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</si>
  <si>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</si>
  <si>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</si>
  <si>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</si>
  <si>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</si>
  <si>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</si>
  <si>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</si>
  <si>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</si>
  <si>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</si>
  <si>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</si>
  <si>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</si>
  <si>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</si>
  <si>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</si>
  <si>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</si>
  <si>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</si>
  <si>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</si>
  <si>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</si>
  <si>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</si>
  <si>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</si>
  <si>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</si>
  <si>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</si>
  <si>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</si>
  <si>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</si>
  <si>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</si>
  <si>
    <t>PosParamType</t>
    <phoneticPr fontId="2" type="noConversion"/>
  </si>
  <si>
    <t>AngleParamType</t>
    <phoneticPr fontId="2" type="noConversion"/>
  </si>
  <si>
    <t>新參照位置12</t>
    <phoneticPr fontId="2" type="noConversion"/>
  </si>
  <si>
    <t>啟動依ID</t>
  </si>
  <si>
    <t>1000</t>
    <phoneticPr fontId="2" type="noConversion"/>
  </si>
  <si>
    <t>0,6</t>
    <phoneticPr fontId="2" type="noConversion"/>
  </si>
  <si>
    <t>EnemyPlate_blue</t>
    <phoneticPr fontId="2" type="noConversion"/>
  </si>
  <si>
    <t>HP</t>
    <phoneticPr fontId="2" type="noConversion"/>
  </si>
  <si>
    <t>Power掉落</t>
  </si>
  <si>
    <t>啟動依遊戲時間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</si>
  <si>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</si>
  <si>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</si>
  <si>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</si>
  <si>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</si>
  <si>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</si>
  <si>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</si>
  <si>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</si>
  <si>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</si>
  <si>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</si>
  <si>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</si>
  <si>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</si>
  <si>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</si>
  <si>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</si>
  <si>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</si>
  <si>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</si>
  <si>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</si>
  <si>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</si>
  <si>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</si>
  <si>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</si>
  <si>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</si>
  <si>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</si>
  <si>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</si>
  <si>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</si>
  <si>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</si>
  <si>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</si>
  <si>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</si>
  <si>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</si>
  <si>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</si>
  <si>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</si>
  <si>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</si>
  <si>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</si>
  <si>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</si>
  <si>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</si>
  <si>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</si>
  <si>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</si>
  <si>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</si>
  <si>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</si>
  <si>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</si>
  <si>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</si>
  <si>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</si>
  <si>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</si>
  <si>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</si>
  <si>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</si>
  <si>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</si>
  <si>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</si>
  <si>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</si>
  <si>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</si>
  <si>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</si>
  <si>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</si>
  <si>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</si>
  <si>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</si>
  <si>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</si>
  <si>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</si>
  <si>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</si>
  <si>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</si>
  <si>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</si>
  <si>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</si>
  <si>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</si>
  <si>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</si>
  <si>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</si>
  <si>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</si>
  <si>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</si>
  <si>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</si>
  <si>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</si>
  <si>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</si>
  <si>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</si>
  <si>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</si>
  <si>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</si>
  <si>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</si>
  <si>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</si>
  <si>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</si>
  <si>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</si>
  <si>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</si>
  <si>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</si>
  <si>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</si>
  <si>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</si>
  <si>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</si>
  <si>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</si>
  <si>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</si>
  <si>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</si>
  <si>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</si>
  <si>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>EnemyPlate_blue</t>
  </si>
  <si>
    <t>0,6</t>
  </si>
  <si>
    <t>270</t>
  </si>
  <si>
    <t>1000</t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</si>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</sst>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176" fontId="29" fillId="24" borderId="0" xfId="0" applyNumberFormat="1" applyFont="1" applyFill="1" applyAlignment="1">
      <alignment horizontal="left" vertical="center"/>
    </xf>
    <xf numFmtId="17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24" borderId="0" xfId="0" applyNumberFormat="1" applyFill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1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cook-win\STG%20project\Assets\Setting\Stage7_Normal\stage7_9&#32066;boss%20-%20&#31526;5&#23376;&#24392;2.xlsm" TargetMode="External"/><Relationship Id="rId1" Type="http://schemas.openxmlformats.org/officeDocument/2006/relationships/externalLinkPath" Target="stage7_9&#32066;boss%20-%20&#31526;5&#23376;&#24392;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ge7_card5shot2"/>
      <sheetName val="#ALIAS"/>
      <sheetName val="#DEFINE"/>
      <sheetName val="#OPTION"/>
      <sheetName val="#PARAM"/>
      <sheetName val="#OUTPUT"/>
      <sheetName val="#使用說明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J72"/>
  <sheetViews>
    <sheetView zoomScale="115" zoomScaleNormal="115" workbookViewId="0">
      <pane ySplit="1" topLeftCell="A47" activePane="bottomLeft" state="frozen"/>
      <selection pane="bottomLeft" activeCell="O55" sqref="O55"/>
    </sheetView>
  </sheetViews>
  <sheetFormatPr defaultRowHeight="19.5"/>
  <cols>
    <col min="1" max="1" width="18.375" style="9" bestFit="1" customWidth="1"/>
    <col min="2" max="2" width="16" style="23" bestFit="1" customWidth="1"/>
    <col min="3" max="4" width="9" style="9"/>
    <col min="5" max="5" width="3.625" style="22" customWidth="1"/>
    <col min="6" max="6" width="4.125" style="22" bestFit="1" customWidth="1"/>
    <col min="7" max="7" width="9" style="9"/>
    <col min="8" max="8" width="16.125" style="9" bestFit="1" customWidth="1"/>
    <col min="9" max="9" width="9.5" style="9" customWidth="1"/>
    <col min="10" max="11" width="7.375" style="9" customWidth="1"/>
    <col min="12" max="12" width="9" style="9"/>
    <col min="13" max="13" width="16" style="9" customWidth="1"/>
    <col min="14" max="14" width="22.375" style="9" customWidth="1"/>
    <col min="15" max="15" width="24.375" style="23" bestFit="1" customWidth="1"/>
    <col min="16" max="16" width="16.125" style="9" bestFit="1" customWidth="1"/>
    <col min="17" max="17" width="12.625" style="9" bestFit="1" customWidth="1"/>
    <col min="18" max="18" width="13.875" style="9" bestFit="1" customWidth="1"/>
    <col min="19" max="19" width="9" style="9"/>
    <col min="20" max="20" width="8" style="9" bestFit="1" customWidth="1"/>
    <col min="21" max="21" width="9.25" style="12" bestFit="1" customWidth="1"/>
    <col min="22" max="22" width="13.875" style="9" bestFit="1" customWidth="1"/>
    <col min="23" max="23" width="13.25" style="9" bestFit="1" customWidth="1"/>
    <col min="24" max="24" width="10.5" style="12" bestFit="1" customWidth="1"/>
    <col min="25" max="25" width="16.125" style="12" bestFit="1" customWidth="1"/>
    <col min="26" max="26" width="16.125" style="12" customWidth="1"/>
    <col min="27" max="28" width="16.125" style="15" bestFit="1" customWidth="1"/>
    <col min="29" max="33" width="13.25" style="15" bestFit="1" customWidth="1"/>
    <col min="34" max="35" width="13.25" style="16" bestFit="1" customWidth="1"/>
    <col min="36" max="62" width="14.625" style="16" bestFit="1" customWidth="1"/>
    <col min="63" max="16384" width="9" style="9"/>
  </cols>
  <sheetData>
    <row r="1" spans="2:58" s="17" customFormat="1">
      <c r="B1" s="24"/>
      <c r="E1" s="21"/>
      <c r="F1" s="21"/>
      <c r="G1" s="17" t="s">
        <v>51</v>
      </c>
      <c r="H1" s="19" t="s">
        <v>27</v>
      </c>
      <c r="I1" s="19"/>
      <c r="M1" s="17" t="s">
        <v>142</v>
      </c>
      <c r="N1" s="17" t="s">
        <v>143</v>
      </c>
      <c r="O1" s="23" t="s">
        <v>96</v>
      </c>
      <c r="P1" s="6" t="s">
        <v>97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  <c r="BE1" s="6" t="s">
        <v>93</v>
      </c>
      <c r="BF1" s="6" t="s">
        <v>94</v>
      </c>
    </row>
    <row r="2" spans="2:58">
      <c r="G2" s="4"/>
    </row>
    <row r="3" spans="2:58">
      <c r="G3" s="4"/>
    </row>
    <row r="4" spans="2:58">
      <c r="G4" s="4"/>
    </row>
    <row r="5" spans="2:58">
      <c r="G5" s="4">
        <f t="shared" ref="G5:G21" si="0">ROW(G5)</f>
        <v>5</v>
      </c>
    </row>
    <row r="6" spans="2:58">
      <c r="B6" s="9"/>
      <c r="G6" s="4">
        <f t="shared" si="0"/>
        <v>6</v>
      </c>
      <c r="H6" s="9" t="s">
        <v>95</v>
      </c>
      <c r="O6" s="23">
        <v>10400</v>
      </c>
    </row>
    <row r="7" spans="2:58">
      <c r="B7" s="9"/>
      <c r="G7" s="4">
        <f t="shared" si="0"/>
        <v>7</v>
      </c>
      <c r="H7" s="9" t="s">
        <v>151</v>
      </c>
      <c r="O7" s="23">
        <v>1600</v>
      </c>
    </row>
    <row r="8" spans="2:58">
      <c r="B8" s="9"/>
      <c r="G8" s="4">
        <f t="shared" si="0"/>
        <v>8</v>
      </c>
      <c r="H8" s="9" t="s">
        <v>35</v>
      </c>
      <c r="O8" s="23">
        <v>25</v>
      </c>
    </row>
    <row r="9" spans="2:58">
      <c r="B9" s="9"/>
      <c r="G9" s="4">
        <f t="shared" si="0"/>
        <v>9</v>
      </c>
      <c r="H9" s="9" t="s">
        <v>29</v>
      </c>
      <c r="O9" s="23" t="s">
        <v>233</v>
      </c>
    </row>
    <row r="10" spans="2:58">
      <c r="B10" s="9"/>
      <c r="G10" s="4">
        <f t="shared" si="0"/>
        <v>10</v>
      </c>
      <c r="H10" s="9" t="s">
        <v>100</v>
      </c>
      <c r="M10" s="9" t="s">
        <v>138</v>
      </c>
      <c r="O10" s="23" t="s">
        <v>234</v>
      </c>
    </row>
    <row r="11" spans="2:58">
      <c r="B11" s="9"/>
      <c r="G11" s="4">
        <f t="shared" si="0"/>
        <v>11</v>
      </c>
      <c r="H11" s="9" t="s">
        <v>30</v>
      </c>
      <c r="O11" s="23" t="s">
        <v>33</v>
      </c>
    </row>
    <row r="12" spans="2:58">
      <c r="B12" s="9"/>
      <c r="G12" s="4">
        <f t="shared" si="0"/>
        <v>12</v>
      </c>
      <c r="H12" s="9" t="s">
        <v>31</v>
      </c>
      <c r="N12" s="9" t="s">
        <v>136</v>
      </c>
      <c r="O12" s="23" t="s">
        <v>235</v>
      </c>
    </row>
    <row r="13" spans="2:58">
      <c r="B13" s="9"/>
      <c r="G13" s="4">
        <f t="shared" si="0"/>
        <v>13</v>
      </c>
      <c r="H13" s="9" t="s">
        <v>149</v>
      </c>
      <c r="O13" s="23">
        <v>10</v>
      </c>
    </row>
    <row r="14" spans="2:58">
      <c r="B14" s="9"/>
      <c r="G14" s="4">
        <f t="shared" si="0"/>
        <v>14</v>
      </c>
      <c r="H14" s="9" t="s">
        <v>150</v>
      </c>
      <c r="O14" s="23">
        <v>10</v>
      </c>
    </row>
    <row r="15" spans="2:58">
      <c r="B15" s="9"/>
      <c r="G15" s="4">
        <f t="shared" si="0"/>
        <v>15</v>
      </c>
      <c r="H15" s="9" t="s">
        <v>103</v>
      </c>
      <c r="O15" s="23">
        <f>O6*10+0</f>
        <v>104000</v>
      </c>
    </row>
    <row r="16" spans="2:58">
      <c r="B16" s="9"/>
      <c r="G16" s="4">
        <f t="shared" si="0"/>
        <v>16</v>
      </c>
      <c r="H16" s="9" t="s">
        <v>145</v>
      </c>
      <c r="O16" s="23">
        <f>O6</f>
        <v>10400</v>
      </c>
    </row>
    <row r="17" spans="2:16">
      <c r="B17" s="9"/>
      <c r="G17" s="4">
        <f t="shared" si="0"/>
        <v>17</v>
      </c>
      <c r="H17" s="9" t="s">
        <v>129</v>
      </c>
      <c r="O17" s="23">
        <v>0</v>
      </c>
    </row>
    <row r="18" spans="2:16">
      <c r="B18" s="9"/>
      <c r="G18" s="4">
        <f t="shared" si="0"/>
        <v>18</v>
      </c>
      <c r="H18" s="9" t="s">
        <v>35</v>
      </c>
      <c r="O18" s="23">
        <v>400</v>
      </c>
    </row>
    <row r="19" spans="2:16">
      <c r="B19" s="9"/>
      <c r="G19" s="4">
        <f t="shared" si="0"/>
        <v>19</v>
      </c>
      <c r="H19" s="9" t="s">
        <v>30</v>
      </c>
      <c r="O19" s="23">
        <v>0</v>
      </c>
    </row>
    <row r="20" spans="2:16">
      <c r="B20" s="9"/>
      <c r="G20" s="4">
        <f t="shared" si="0"/>
        <v>20</v>
      </c>
      <c r="H20" s="9" t="s">
        <v>103</v>
      </c>
      <c r="O20" s="23">
        <f>O6*10+1</f>
        <v>104001</v>
      </c>
    </row>
    <row r="21" spans="2:16">
      <c r="B21" s="9"/>
      <c r="G21" s="4">
        <f t="shared" si="0"/>
        <v>21</v>
      </c>
      <c r="H21" s="9" t="s">
        <v>145</v>
      </c>
      <c r="O21" s="23">
        <f>O15</f>
        <v>104000</v>
      </c>
    </row>
    <row r="22" spans="2:16">
      <c r="B22" s="9"/>
      <c r="G22" s="4">
        <f>ROW(G22)</f>
        <v>22</v>
      </c>
      <c r="H22" s="9" t="s">
        <v>129</v>
      </c>
      <c r="O22" s="23">
        <v>0</v>
      </c>
    </row>
    <row r="23" spans="2:16">
      <c r="B23" s="9"/>
      <c r="G23" s="4">
        <f>ROW(G23)</f>
        <v>23</v>
      </c>
      <c r="H23" s="9" t="s">
        <v>30</v>
      </c>
      <c r="O23" s="23">
        <v>8</v>
      </c>
    </row>
    <row r="24" spans="2:16">
      <c r="B24" s="9"/>
      <c r="G24" s="4">
        <f>ROW(G24)</f>
        <v>24</v>
      </c>
      <c r="H24" s="9" t="s">
        <v>31</v>
      </c>
      <c r="N24" s="9" t="s">
        <v>136</v>
      </c>
      <c r="O24" s="23">
        <v>90</v>
      </c>
    </row>
    <row r="25" spans="2:16">
      <c r="B25" s="9"/>
      <c r="G25" s="4">
        <f t="shared" ref="G25" si="1">ROW(G25)</f>
        <v>25</v>
      </c>
      <c r="H25" s="9" t="s">
        <v>35</v>
      </c>
      <c r="O25" s="23" t="s">
        <v>236</v>
      </c>
    </row>
    <row r="29" spans="2:16">
      <c r="G29" s="4">
        <f>ROW(G29)</f>
        <v>29</v>
      </c>
      <c r="H29" s="9" t="s">
        <v>95</v>
      </c>
      <c r="O29" s="23">
        <v>10401</v>
      </c>
      <c r="P29" s="23"/>
    </row>
    <row r="30" spans="2:16">
      <c r="G30" s="4">
        <f t="shared" ref="G30:G48" si="2">ROW(G30)</f>
        <v>30</v>
      </c>
      <c r="H30" s="9" t="s">
        <v>151</v>
      </c>
      <c r="O30" s="23">
        <v>2200</v>
      </c>
      <c r="P30" s="23"/>
    </row>
    <row r="31" spans="2:16">
      <c r="G31" s="4">
        <f t="shared" si="2"/>
        <v>31</v>
      </c>
      <c r="H31" s="9" t="s">
        <v>35</v>
      </c>
      <c r="O31" s="23">
        <v>25</v>
      </c>
      <c r="P31" s="23"/>
    </row>
    <row r="32" spans="2:16">
      <c r="G32" s="4">
        <f t="shared" si="2"/>
        <v>32</v>
      </c>
      <c r="H32" s="9" t="s">
        <v>29</v>
      </c>
      <c r="O32" s="23" t="s">
        <v>233</v>
      </c>
      <c r="P32" s="23"/>
    </row>
    <row r="33" spans="2:16">
      <c r="G33" s="4">
        <f t="shared" si="2"/>
        <v>33</v>
      </c>
      <c r="H33" s="9" t="s">
        <v>100</v>
      </c>
      <c r="M33" s="9" t="s">
        <v>138</v>
      </c>
      <c r="O33" s="23" t="s">
        <v>234</v>
      </c>
      <c r="P33" s="23"/>
    </row>
    <row r="34" spans="2:16">
      <c r="G34" s="4">
        <f t="shared" si="2"/>
        <v>34</v>
      </c>
      <c r="H34" s="9" t="s">
        <v>30</v>
      </c>
      <c r="O34" s="23" t="s">
        <v>33</v>
      </c>
      <c r="P34" s="23"/>
    </row>
    <row r="35" spans="2:16">
      <c r="G35" s="4">
        <f t="shared" si="2"/>
        <v>35</v>
      </c>
      <c r="H35" s="9" t="s">
        <v>31</v>
      </c>
      <c r="N35" s="9" t="s">
        <v>136</v>
      </c>
      <c r="O35" s="23" t="s">
        <v>235</v>
      </c>
      <c r="P35" s="23"/>
    </row>
    <row r="36" spans="2:16">
      <c r="B36" s="9"/>
      <c r="G36" s="4">
        <f t="shared" si="2"/>
        <v>36</v>
      </c>
      <c r="H36" s="9" t="s">
        <v>149</v>
      </c>
      <c r="O36" s="23">
        <v>10</v>
      </c>
    </row>
    <row r="37" spans="2:16">
      <c r="B37" s="9"/>
      <c r="G37" s="4">
        <f t="shared" si="2"/>
        <v>37</v>
      </c>
      <c r="H37" s="9" t="s">
        <v>150</v>
      </c>
      <c r="O37" s="23">
        <v>10</v>
      </c>
    </row>
    <row r="38" spans="2:16">
      <c r="G38" s="4">
        <f t="shared" si="2"/>
        <v>38</v>
      </c>
      <c r="H38" s="9" t="s">
        <v>103</v>
      </c>
      <c r="O38" s="23">
        <f>O29*10+0</f>
        <v>104010</v>
      </c>
      <c r="P38" s="23"/>
    </row>
    <row r="39" spans="2:16">
      <c r="G39" s="4">
        <f t="shared" si="2"/>
        <v>39</v>
      </c>
      <c r="H39" s="9" t="s">
        <v>145</v>
      </c>
      <c r="O39" s="23">
        <f>O29</f>
        <v>10401</v>
      </c>
      <c r="P39" s="23"/>
    </row>
    <row r="40" spans="2:16">
      <c r="G40" s="4">
        <f t="shared" si="2"/>
        <v>40</v>
      </c>
      <c r="H40" s="9" t="s">
        <v>129</v>
      </c>
      <c r="O40" s="23">
        <v>0</v>
      </c>
      <c r="P40" s="23"/>
    </row>
    <row r="41" spans="2:16">
      <c r="G41" s="4">
        <f t="shared" si="2"/>
        <v>41</v>
      </c>
      <c r="H41" s="9" t="s">
        <v>35</v>
      </c>
      <c r="O41" s="23">
        <v>400</v>
      </c>
      <c r="P41" s="23"/>
    </row>
    <row r="42" spans="2:16">
      <c r="G42" s="4">
        <f t="shared" si="2"/>
        <v>42</v>
      </c>
      <c r="H42" s="9" t="s">
        <v>30</v>
      </c>
      <c r="O42" s="23">
        <v>0</v>
      </c>
      <c r="P42" s="23"/>
    </row>
    <row r="43" spans="2:16">
      <c r="G43" s="4">
        <f t="shared" si="2"/>
        <v>43</v>
      </c>
      <c r="H43" s="9" t="s">
        <v>103</v>
      </c>
      <c r="O43" s="23">
        <f>O29*10+1</f>
        <v>104011</v>
      </c>
      <c r="P43" s="23"/>
    </row>
    <row r="44" spans="2:16">
      <c r="G44" s="4">
        <f t="shared" si="2"/>
        <v>44</v>
      </c>
      <c r="H44" s="9" t="s">
        <v>145</v>
      </c>
      <c r="O44" s="23">
        <f>O38</f>
        <v>104010</v>
      </c>
      <c r="P44" s="23"/>
    </row>
    <row r="45" spans="2:16">
      <c r="G45" s="4">
        <f t="shared" si="2"/>
        <v>45</v>
      </c>
      <c r="H45" s="9" t="s">
        <v>129</v>
      </c>
      <c r="O45" s="23">
        <v>0</v>
      </c>
      <c r="P45" s="23"/>
    </row>
    <row r="46" spans="2:16">
      <c r="G46" s="4">
        <f t="shared" si="2"/>
        <v>46</v>
      </c>
      <c r="H46" s="9" t="s">
        <v>30</v>
      </c>
      <c r="O46" s="23">
        <v>8</v>
      </c>
      <c r="P46" s="23"/>
    </row>
    <row r="47" spans="2:16">
      <c r="G47" s="4">
        <f t="shared" si="2"/>
        <v>47</v>
      </c>
      <c r="H47" s="9" t="s">
        <v>31</v>
      </c>
      <c r="N47" s="9" t="s">
        <v>136</v>
      </c>
      <c r="O47" s="23">
        <v>90</v>
      </c>
      <c r="P47" s="23"/>
    </row>
    <row r="48" spans="2:16">
      <c r="G48" s="4">
        <f t="shared" si="2"/>
        <v>48</v>
      </c>
      <c r="H48" s="9" t="s">
        <v>35</v>
      </c>
      <c r="O48" s="23" t="s">
        <v>236</v>
      </c>
      <c r="P48" s="23"/>
    </row>
    <row r="53" spans="2:15">
      <c r="G53" s="4">
        <f>ROW(G53)</f>
        <v>53</v>
      </c>
      <c r="H53" s="9" t="s">
        <v>95</v>
      </c>
      <c r="O53" s="23">
        <v>10402</v>
      </c>
    </row>
    <row r="54" spans="2:15">
      <c r="G54" s="4">
        <f t="shared" ref="G54:G72" si="3">ROW(G54)</f>
        <v>54</v>
      </c>
      <c r="H54" s="9" t="s">
        <v>151</v>
      </c>
      <c r="O54" s="23">
        <v>2900</v>
      </c>
    </row>
    <row r="55" spans="2:15">
      <c r="G55" s="4">
        <f t="shared" si="3"/>
        <v>55</v>
      </c>
      <c r="H55" s="9" t="s">
        <v>35</v>
      </c>
      <c r="O55" s="23">
        <v>25</v>
      </c>
    </row>
    <row r="56" spans="2:15">
      <c r="G56" s="4">
        <f t="shared" si="3"/>
        <v>56</v>
      </c>
      <c r="H56" s="9" t="s">
        <v>29</v>
      </c>
      <c r="O56" s="23" t="s">
        <v>148</v>
      </c>
    </row>
    <row r="57" spans="2:15">
      <c r="G57" s="4">
        <f t="shared" si="3"/>
        <v>57</v>
      </c>
      <c r="H57" s="9" t="s">
        <v>100</v>
      </c>
      <c r="M57" s="9" t="s">
        <v>138</v>
      </c>
      <c r="O57" s="23" t="s">
        <v>147</v>
      </c>
    </row>
    <row r="58" spans="2:15">
      <c r="G58" s="4">
        <f t="shared" si="3"/>
        <v>58</v>
      </c>
      <c r="H58" s="9" t="s">
        <v>30</v>
      </c>
      <c r="O58" s="23" t="s">
        <v>50</v>
      </c>
    </row>
    <row r="59" spans="2:15">
      <c r="G59" s="4">
        <f t="shared" si="3"/>
        <v>59</v>
      </c>
      <c r="H59" s="9" t="s">
        <v>31</v>
      </c>
      <c r="N59" s="9" t="s">
        <v>136</v>
      </c>
      <c r="O59" s="23" t="s">
        <v>46</v>
      </c>
    </row>
    <row r="60" spans="2:15">
      <c r="B60" s="9"/>
      <c r="G60" s="4">
        <f t="shared" si="3"/>
        <v>60</v>
      </c>
      <c r="H60" s="9" t="s">
        <v>149</v>
      </c>
      <c r="O60" s="23">
        <v>10</v>
      </c>
    </row>
    <row r="61" spans="2:15">
      <c r="B61" s="9"/>
      <c r="G61" s="4">
        <f t="shared" si="3"/>
        <v>61</v>
      </c>
      <c r="H61" s="9" t="s">
        <v>150</v>
      </c>
      <c r="O61" s="23">
        <v>10</v>
      </c>
    </row>
    <row r="62" spans="2:15">
      <c r="G62" s="4">
        <f t="shared" si="3"/>
        <v>62</v>
      </c>
      <c r="H62" s="9" t="s">
        <v>103</v>
      </c>
      <c r="O62" s="23">
        <f>O53*10+0</f>
        <v>104020</v>
      </c>
    </row>
    <row r="63" spans="2:15">
      <c r="G63" s="4">
        <f t="shared" si="3"/>
        <v>63</v>
      </c>
      <c r="H63" s="9" t="s">
        <v>145</v>
      </c>
      <c r="O63" s="23">
        <f>O53</f>
        <v>10402</v>
      </c>
    </row>
    <row r="64" spans="2:15">
      <c r="G64" s="4">
        <f t="shared" si="3"/>
        <v>64</v>
      </c>
      <c r="H64" s="9" t="s">
        <v>129</v>
      </c>
      <c r="O64" s="23">
        <v>0</v>
      </c>
    </row>
    <row r="65" spans="7:15">
      <c r="G65" s="4">
        <f t="shared" si="3"/>
        <v>65</v>
      </c>
      <c r="H65" s="9" t="s">
        <v>35</v>
      </c>
      <c r="O65" s="23">
        <v>400</v>
      </c>
    </row>
    <row r="66" spans="7:15">
      <c r="G66" s="4">
        <f t="shared" si="3"/>
        <v>66</v>
      </c>
      <c r="H66" s="9" t="s">
        <v>30</v>
      </c>
      <c r="O66" s="23">
        <v>0</v>
      </c>
    </row>
    <row r="67" spans="7:15">
      <c r="G67" s="4">
        <f t="shared" si="3"/>
        <v>67</v>
      </c>
      <c r="H67" s="9" t="s">
        <v>103</v>
      </c>
      <c r="O67" s="23">
        <f>O53*10+1</f>
        <v>104021</v>
      </c>
    </row>
    <row r="68" spans="7:15">
      <c r="G68" s="4">
        <f t="shared" si="3"/>
        <v>68</v>
      </c>
      <c r="H68" s="9" t="s">
        <v>145</v>
      </c>
      <c r="O68" s="23">
        <f>O62</f>
        <v>104020</v>
      </c>
    </row>
    <row r="69" spans="7:15">
      <c r="G69" s="4">
        <f t="shared" si="3"/>
        <v>69</v>
      </c>
      <c r="H69" s="9" t="s">
        <v>129</v>
      </c>
      <c r="O69" s="23">
        <v>0</v>
      </c>
    </row>
    <row r="70" spans="7:15">
      <c r="G70" s="4">
        <f t="shared" si="3"/>
        <v>70</v>
      </c>
      <c r="H70" s="9" t="s">
        <v>30</v>
      </c>
      <c r="O70" s="23">
        <v>8</v>
      </c>
    </row>
    <row r="71" spans="7:15">
      <c r="G71" s="4">
        <f t="shared" si="3"/>
        <v>71</v>
      </c>
      <c r="H71" s="9" t="s">
        <v>31</v>
      </c>
      <c r="N71" s="9" t="s">
        <v>136</v>
      </c>
      <c r="O71" s="23">
        <v>90</v>
      </c>
    </row>
    <row r="72" spans="7:15">
      <c r="G72" s="4">
        <f t="shared" si="3"/>
        <v>72</v>
      </c>
      <c r="H72" s="9" t="s">
        <v>35</v>
      </c>
      <c r="O72" s="23" t="s">
        <v>146</v>
      </c>
    </row>
  </sheetData>
  <autoFilter ref="E1:E19" xr:uid="{00000000-0001-0000-0000-000000000000}"/>
  <phoneticPr fontId="2" type="noConversion"/>
  <conditionalFormatting sqref="P1:BF1">
    <cfRule type="duplicateValues" dxfId="118" priority="691"/>
  </conditionalFormatting>
  <conditionalFormatting sqref="BG1:XFD1 C1:D1 G1:K1 M1:N1">
    <cfRule type="duplicateValues" dxfId="117" priority="771"/>
  </conditionalFormatting>
  <conditionalFormatting sqref="H9:I14 H1:I7">
    <cfRule type="cellIs" dxfId="116" priority="264" operator="equal">
      <formula>"行動ID"</formula>
    </cfRule>
    <cfRule type="cellIs" dxfId="115" priority="272" operator="equal">
      <formula>"ID"</formula>
    </cfRule>
    <cfRule type="cellIs" dxfId="114" priority="687" operator="equal">
      <formula>"行動序號"</formula>
    </cfRule>
  </conditionalFormatting>
  <conditionalFormatting sqref="L1">
    <cfRule type="duplicateValues" dxfId="113" priority="270"/>
  </conditionalFormatting>
  <conditionalFormatting sqref="C11:C13">
    <cfRule type="expression" dxfId="112" priority="994">
      <formula>#REF!="行動序號"</formula>
    </cfRule>
  </conditionalFormatting>
  <conditionalFormatting sqref="C11:C13">
    <cfRule type="expression" dxfId="111" priority="999">
      <formula>OR(#REF!="行動序號",#REF!="ID")</formula>
    </cfRule>
  </conditionalFormatting>
  <conditionalFormatting sqref="A62:A1048576 A26:A35 H26:I28 A38:A59 H49:I52 H1:I5 A1:A5">
    <cfRule type="cellIs" dxfId="110" priority="134" operator="equal">
      <formula>"行動ID"</formula>
    </cfRule>
  </conditionalFormatting>
  <conditionalFormatting sqref="H73:I1048576">
    <cfRule type="cellIs" dxfId="109" priority="130" operator="equal">
      <formula>"行動ID"</formula>
    </cfRule>
  </conditionalFormatting>
  <conditionalFormatting sqref="H19:I19">
    <cfRule type="cellIs" dxfId="108" priority="127" operator="equal">
      <formula>"行動ID"</formula>
    </cfRule>
    <cfRule type="cellIs" dxfId="107" priority="128" operator="equal">
      <formula>"ID"</formula>
    </cfRule>
    <cfRule type="cellIs" dxfId="106" priority="129" operator="equal">
      <formula>"行動序號"</formula>
    </cfRule>
  </conditionalFormatting>
  <conditionalFormatting sqref="H23:I23">
    <cfRule type="cellIs" dxfId="105" priority="124" operator="equal">
      <formula>"行動ID"</formula>
    </cfRule>
    <cfRule type="cellIs" dxfId="104" priority="125" operator="equal">
      <formula>"ID"</formula>
    </cfRule>
    <cfRule type="cellIs" dxfId="103" priority="126" operator="equal">
      <formula>"行動序號"</formula>
    </cfRule>
  </conditionalFormatting>
  <conditionalFormatting sqref="H6:I13 H15:I25">
    <cfRule type="cellIs" dxfId="102" priority="123" operator="equal">
      <formula>"行動ID"</formula>
    </cfRule>
  </conditionalFormatting>
  <conditionalFormatting sqref="H24:I24">
    <cfRule type="cellIs" dxfId="101" priority="120" operator="equal">
      <formula>"行動ID"</formula>
    </cfRule>
    <cfRule type="cellIs" dxfId="100" priority="121" operator="equal">
      <formula>"ID"</formula>
    </cfRule>
    <cfRule type="cellIs" dxfId="99" priority="122" operator="equal">
      <formula>"行動序號"</formula>
    </cfRule>
  </conditionalFormatting>
  <conditionalFormatting sqref="H29:I35 H38:I48">
    <cfRule type="cellIs" dxfId="98" priority="100" operator="equal">
      <formula>"行動ID"</formula>
    </cfRule>
    <cfRule type="cellIs" dxfId="97" priority="101" operator="equal">
      <formula>"ID"</formula>
    </cfRule>
    <cfRule type="cellIs" dxfId="96" priority="102" operator="equal">
      <formula>"行動序號"</formula>
    </cfRule>
  </conditionalFormatting>
  <conditionalFormatting sqref="H42:I42">
    <cfRule type="cellIs" dxfId="95" priority="97" operator="equal">
      <formula>"行動ID"</formula>
    </cfRule>
    <cfRule type="cellIs" dxfId="94" priority="98" operator="equal">
      <formula>"ID"</formula>
    </cfRule>
    <cfRule type="cellIs" dxfId="93" priority="99" operator="equal">
      <formula>"行動序號"</formula>
    </cfRule>
  </conditionalFormatting>
  <conditionalFormatting sqref="H46:I46">
    <cfRule type="cellIs" dxfId="92" priority="94" operator="equal">
      <formula>"行動ID"</formula>
    </cfRule>
    <cfRule type="cellIs" dxfId="91" priority="95" operator="equal">
      <formula>"ID"</formula>
    </cfRule>
    <cfRule type="cellIs" dxfId="90" priority="96" operator="equal">
      <formula>"行動序號"</formula>
    </cfRule>
  </conditionalFormatting>
  <conditionalFormatting sqref="H29:I35 H38:I48">
    <cfRule type="cellIs" dxfId="89" priority="93" operator="equal">
      <formula>"行動ID"</formula>
    </cfRule>
  </conditionalFormatting>
  <conditionalFormatting sqref="H47:I47">
    <cfRule type="cellIs" dxfId="88" priority="90" operator="equal">
      <formula>"行動ID"</formula>
    </cfRule>
    <cfRule type="cellIs" dxfId="87" priority="91" operator="equal">
      <formula>"ID"</formula>
    </cfRule>
    <cfRule type="cellIs" dxfId="86" priority="92" operator="equal">
      <formula>"行動序號"</formula>
    </cfRule>
  </conditionalFormatting>
  <conditionalFormatting sqref="H45:I45">
    <cfRule type="cellIs" dxfId="85" priority="89" operator="equal">
      <formula>"行動ID"</formula>
    </cfRule>
  </conditionalFormatting>
  <conditionalFormatting sqref="H40:I40">
    <cfRule type="cellIs" dxfId="84" priority="88" operator="equal">
      <formula>"行動ID"</formula>
    </cfRule>
  </conditionalFormatting>
  <conditionalFormatting sqref="H53:I59 H62:I72">
    <cfRule type="cellIs" dxfId="83" priority="70" operator="equal">
      <formula>"行動ID"</formula>
    </cfRule>
    <cfRule type="cellIs" dxfId="82" priority="71" operator="equal">
      <formula>"ID"</formula>
    </cfRule>
    <cfRule type="cellIs" dxfId="81" priority="72" operator="equal">
      <formula>"行動序號"</formula>
    </cfRule>
  </conditionalFormatting>
  <conditionalFormatting sqref="H66:I66">
    <cfRule type="cellIs" dxfId="80" priority="67" operator="equal">
      <formula>"行動ID"</formula>
    </cfRule>
    <cfRule type="cellIs" dxfId="79" priority="68" operator="equal">
      <formula>"ID"</formula>
    </cfRule>
    <cfRule type="cellIs" dxfId="78" priority="69" operator="equal">
      <formula>"行動序號"</formula>
    </cfRule>
  </conditionalFormatting>
  <conditionalFormatting sqref="H70:I70">
    <cfRule type="cellIs" dxfId="77" priority="64" operator="equal">
      <formula>"行動ID"</formula>
    </cfRule>
    <cfRule type="cellIs" dxfId="76" priority="65" operator="equal">
      <formula>"ID"</formula>
    </cfRule>
    <cfRule type="cellIs" dxfId="75" priority="66" operator="equal">
      <formula>"行動序號"</formula>
    </cfRule>
  </conditionalFormatting>
  <conditionalFormatting sqref="H53:I59 H62:I72">
    <cfRule type="cellIs" dxfId="74" priority="63" operator="equal">
      <formula>"行動ID"</formula>
    </cfRule>
  </conditionalFormatting>
  <conditionalFormatting sqref="H71:I71">
    <cfRule type="cellIs" dxfId="73" priority="60" operator="equal">
      <formula>"行動ID"</formula>
    </cfRule>
    <cfRule type="cellIs" dxfId="72" priority="61" operator="equal">
      <formula>"ID"</formula>
    </cfRule>
    <cfRule type="cellIs" dxfId="71" priority="62" operator="equal">
      <formula>"行動序號"</formula>
    </cfRule>
  </conditionalFormatting>
  <conditionalFormatting sqref="H69:I69">
    <cfRule type="cellIs" dxfId="70" priority="59" operator="equal">
      <formula>"行動ID"</formula>
    </cfRule>
  </conditionalFormatting>
  <conditionalFormatting sqref="H64:I64">
    <cfRule type="cellIs" dxfId="69" priority="58" operator="equal">
      <formula>"行動ID"</formula>
    </cfRule>
  </conditionalFormatting>
  <conditionalFormatting sqref="H36:I36">
    <cfRule type="cellIs" dxfId="68" priority="38" operator="equal">
      <formula>"行動ID"</formula>
    </cfRule>
    <cfRule type="cellIs" dxfId="67" priority="39" operator="equal">
      <formula>"ID"</formula>
    </cfRule>
    <cfRule type="cellIs" dxfId="66" priority="40" operator="equal">
      <formula>"行動序號"</formula>
    </cfRule>
  </conditionalFormatting>
  <conditionalFormatting sqref="C36">
    <cfRule type="expression" dxfId="65" priority="41">
      <formula>#REF!="行動序號"</formula>
    </cfRule>
  </conditionalFormatting>
  <conditionalFormatting sqref="C36">
    <cfRule type="expression" dxfId="64" priority="42">
      <formula>OR(#REF!="行動序號",#REF!="ID")</formula>
    </cfRule>
  </conditionalFormatting>
  <conditionalFormatting sqref="H36:I36">
    <cfRule type="cellIs" dxfId="63" priority="37" operator="equal">
      <formula>"行動ID"</formula>
    </cfRule>
  </conditionalFormatting>
  <conditionalFormatting sqref="H60:I60">
    <cfRule type="cellIs" dxfId="62" priority="32" operator="equal">
      <formula>"行動ID"</formula>
    </cfRule>
    <cfRule type="cellIs" dxfId="61" priority="33" operator="equal">
      <formula>"ID"</formula>
    </cfRule>
    <cfRule type="cellIs" dxfId="60" priority="34" operator="equal">
      <formula>"行動序號"</formula>
    </cfRule>
  </conditionalFormatting>
  <conditionalFormatting sqref="C60">
    <cfRule type="expression" dxfId="59" priority="35">
      <formula>#REF!="行動序號"</formula>
    </cfRule>
  </conditionalFormatting>
  <conditionalFormatting sqref="C60">
    <cfRule type="expression" dxfId="58" priority="36">
      <formula>OR(#REF!="行動序號",#REF!="ID")</formula>
    </cfRule>
  </conditionalFormatting>
  <conditionalFormatting sqref="H60:I60">
    <cfRule type="cellIs" dxfId="57" priority="31" operator="equal">
      <formula>"行動ID"</formula>
    </cfRule>
  </conditionalFormatting>
  <conditionalFormatting sqref="C14">
    <cfRule type="expression" dxfId="56" priority="29">
      <formula>#REF!="行動序號"</formula>
    </cfRule>
  </conditionalFormatting>
  <conditionalFormatting sqref="C14">
    <cfRule type="expression" dxfId="55" priority="30">
      <formula>OR(#REF!="行動序號",#REF!="ID")</formula>
    </cfRule>
  </conditionalFormatting>
  <conditionalFormatting sqref="H14:I14">
    <cfRule type="cellIs" dxfId="54" priority="28" operator="equal">
      <formula>"行動ID"</formula>
    </cfRule>
  </conditionalFormatting>
  <conditionalFormatting sqref="H37:I37">
    <cfRule type="cellIs" dxfId="53" priority="19" operator="equal">
      <formula>"行動ID"</formula>
    </cfRule>
    <cfRule type="cellIs" dxfId="52" priority="20" operator="equal">
      <formula>"ID"</formula>
    </cfRule>
    <cfRule type="cellIs" dxfId="51" priority="21" operator="equal">
      <formula>"行動序號"</formula>
    </cfRule>
  </conditionalFormatting>
  <conditionalFormatting sqref="C37">
    <cfRule type="expression" dxfId="50" priority="17">
      <formula>#REF!="行動序號"</formula>
    </cfRule>
  </conditionalFormatting>
  <conditionalFormatting sqref="C37">
    <cfRule type="expression" dxfId="49" priority="18">
      <formula>OR(#REF!="行動序號",#REF!="ID")</formula>
    </cfRule>
  </conditionalFormatting>
  <conditionalFormatting sqref="H37:I37">
    <cfRule type="cellIs" dxfId="48" priority="16" operator="equal">
      <formula>"行動ID"</formula>
    </cfRule>
  </conditionalFormatting>
  <conditionalFormatting sqref="H61:I61">
    <cfRule type="cellIs" dxfId="47" priority="7" operator="equal">
      <formula>"行動ID"</formula>
    </cfRule>
    <cfRule type="cellIs" dxfId="46" priority="8" operator="equal">
      <formula>"ID"</formula>
    </cfRule>
    <cfRule type="cellIs" dxfId="45" priority="9" operator="equal">
      <formula>"行動序號"</formula>
    </cfRule>
  </conditionalFormatting>
  <conditionalFormatting sqref="C61">
    <cfRule type="expression" dxfId="44" priority="5">
      <formula>#REF!="行動序號"</formula>
    </cfRule>
  </conditionalFormatting>
  <conditionalFormatting sqref="C61">
    <cfRule type="expression" dxfId="43" priority="6">
      <formula>OR(#REF!="行動序號",#REF!="ID")</formula>
    </cfRule>
  </conditionalFormatting>
  <conditionalFormatting sqref="H61:I61">
    <cfRule type="cellIs" dxfId="42" priority="4" operator="equal">
      <formula>"行動ID"</formula>
    </cfRule>
  </conditionalFormatting>
  <conditionalFormatting sqref="O1:O1048576">
    <cfRule type="expression" dxfId="41" priority="3">
      <formula>OR($F1="行動序號",$F1="ID")</formula>
    </cfRule>
  </conditionalFormatting>
  <conditionalFormatting sqref="O1:O1048576">
    <cfRule type="expression" dxfId="40" priority="2">
      <formula>_xlfn.ISFORMULA(O1)</formula>
    </cfRule>
  </conditionalFormatting>
  <conditionalFormatting sqref="O1:O1048576">
    <cfRule type="expression" dxfId="39" priority="1">
      <formula>$F1="行動ID"</formula>
    </cfRule>
  </conditionalFormatting>
  <dataValidations count="1">
    <dataValidation type="list" allowBlank="1" showInputMessage="1" showErrorMessage="1" sqref="L2:M2 M16:N25 L7 L9 H16:I25 H5:I11 M4 M5:M11 N12 N11 N6:N10 N5 N52 M59 N65 M28 N53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1C761-6002-4D32-B274-58F9396A5424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51</v>
      </c>
      <c r="B1" s="17" t="s">
        <v>27</v>
      </c>
      <c r="C1" s="17" t="s">
        <v>143</v>
      </c>
      <c r="D1" s="17" t="s">
        <v>142</v>
      </c>
      <c r="E1" s="6" t="s">
        <v>36</v>
      </c>
    </row>
    <row r="2" spans="1:5">
      <c r="A2" s="9" t="s">
        <v>52</v>
      </c>
      <c r="B2" s="9" t="s">
        <v>28</v>
      </c>
      <c r="C2" s="9" t="s">
        <v>143</v>
      </c>
      <c r="D2" s="9" t="s">
        <v>141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6628AECC-6BDE-4E8A-B3A1-29B10FD122EE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433F1-24F6-454E-B720-F37A3B46CED3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152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103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101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104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49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153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112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237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154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105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106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132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133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155</v>
      </c>
      <c r="C17" s="7" t="s">
        <v>238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145</v>
      </c>
      <c r="C20" s="7" t="s">
        <v>156</v>
      </c>
      <c r="E20" t="str">
        <f t="shared" si="0"/>
        <v>啟動依ID,</v>
      </c>
      <c r="H20"/>
    </row>
    <row r="21" spans="1:8">
      <c r="A21" s="7" t="s">
        <v>27</v>
      </c>
      <c r="B21" s="7" t="s">
        <v>151</v>
      </c>
      <c r="C21" s="7" t="s">
        <v>157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128</v>
      </c>
      <c r="C22" s="7" t="s">
        <v>158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129</v>
      </c>
      <c r="C23" s="7" t="s">
        <v>159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130</v>
      </c>
      <c r="C24" s="7" t="s">
        <v>160</v>
      </c>
      <c r="E24" t="str">
        <f t="shared" si="0"/>
        <v>啟動依位置,</v>
      </c>
      <c r="H24"/>
    </row>
    <row r="25" spans="1:8">
      <c r="A25" s="7" t="s">
        <v>27</v>
      </c>
      <c r="B25" s="7" t="s">
        <v>131</v>
      </c>
      <c r="C25" s="7" t="s">
        <v>161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162</v>
      </c>
      <c r="C26" s="7" t="s">
        <v>163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164</v>
      </c>
      <c r="C27" s="7" t="s">
        <v>165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166</v>
      </c>
      <c r="E30" t="str">
        <f t="shared" si="0"/>
        <v>物件,</v>
      </c>
      <c r="H30"/>
    </row>
    <row r="31" spans="1:8">
      <c r="A31" s="7" t="s">
        <v>27</v>
      </c>
      <c r="B31" s="7" t="s">
        <v>120</v>
      </c>
      <c r="C31" s="7" t="s">
        <v>167</v>
      </c>
      <c r="E31" t="str">
        <f t="shared" si="0"/>
        <v>Sprite,</v>
      </c>
      <c r="H31"/>
    </row>
    <row r="32" spans="1:8">
      <c r="A32" s="7" t="s">
        <v>27</v>
      </c>
      <c r="B32" s="7" t="s">
        <v>102</v>
      </c>
      <c r="C32" s="7" t="s">
        <v>168</v>
      </c>
      <c r="E32" t="str">
        <f t="shared" si="0"/>
        <v>動畫,</v>
      </c>
      <c r="H32"/>
    </row>
    <row r="33" spans="1:8">
      <c r="A33" s="7" t="s">
        <v>27</v>
      </c>
      <c r="B33" s="7" t="s">
        <v>108</v>
      </c>
      <c r="C33" s="7" t="s">
        <v>169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107</v>
      </c>
      <c r="C34" s="7" t="s">
        <v>170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47</v>
      </c>
      <c r="C35" s="7" t="s">
        <v>171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150</v>
      </c>
      <c r="C36" s="7" t="s">
        <v>172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173</v>
      </c>
      <c r="C37" s="7" t="s">
        <v>174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175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99</v>
      </c>
      <c r="C41" s="7" t="s">
        <v>176</v>
      </c>
      <c r="E41" t="str">
        <f t="shared" si="0"/>
        <v>回收時間,</v>
      </c>
      <c r="H41"/>
    </row>
    <row r="42" spans="1:8">
      <c r="A42" s="7" t="s">
        <v>27</v>
      </c>
      <c r="B42" s="7" t="s">
        <v>109</v>
      </c>
      <c r="C42" s="7" t="s">
        <v>177</v>
      </c>
      <c r="E42" t="str">
        <f t="shared" si="0"/>
        <v>死亡時間,</v>
      </c>
      <c r="H42"/>
    </row>
    <row r="43" spans="1:8">
      <c r="A43" s="7" t="s">
        <v>27</v>
      </c>
      <c r="B43" s="7" t="s">
        <v>231</v>
      </c>
      <c r="C43" s="7" t="s">
        <v>232</v>
      </c>
      <c r="E43" t="str">
        <f t="shared" si="0"/>
        <v>符卡時間,</v>
      </c>
      <c r="H43"/>
    </row>
    <row r="44" spans="1:8">
      <c r="B44" s="26"/>
      <c r="H44"/>
    </row>
    <row r="45" spans="1:8">
      <c r="H45"/>
    </row>
    <row r="46" spans="1:8">
      <c r="A46" s="7" t="s">
        <v>27</v>
      </c>
      <c r="B46" s="7" t="s">
        <v>100</v>
      </c>
      <c r="C46" s="7" t="s">
        <v>178</v>
      </c>
      <c r="E46" t="str">
        <f t="shared" si="0"/>
        <v>移位置,</v>
      </c>
      <c r="H46"/>
    </row>
    <row r="47" spans="1:8">
      <c r="A47" s="7" t="s">
        <v>27</v>
      </c>
      <c r="B47" s="7" t="s">
        <v>118</v>
      </c>
      <c r="C47" s="7" t="s">
        <v>179</v>
      </c>
      <c r="E47" t="str">
        <f t="shared" si="0"/>
        <v>相對位置,</v>
      </c>
      <c r="H47"/>
    </row>
    <row r="48" spans="1:8">
      <c r="A48" s="7" t="s">
        <v>27</v>
      </c>
      <c r="B48" s="7" t="s">
        <v>135</v>
      </c>
      <c r="C48" s="7" t="s">
        <v>180</v>
      </c>
      <c r="E48" t="str">
        <f t="shared" si="0"/>
        <v>位置參數,</v>
      </c>
      <c r="H48"/>
    </row>
    <row r="49" spans="1:8">
      <c r="A49" s="7" t="s">
        <v>27</v>
      </c>
      <c r="B49" s="7" t="s">
        <v>181</v>
      </c>
      <c r="C49" s="7" t="s">
        <v>182</v>
      </c>
      <c r="E49" t="str">
        <f t="shared" si="0"/>
        <v>加位置,</v>
      </c>
      <c r="H49"/>
    </row>
    <row r="50" spans="1:8">
      <c r="A50" s="7" t="s">
        <v>27</v>
      </c>
      <c r="B50" s="7" t="s">
        <v>244</v>
      </c>
      <c r="C50" s="7" t="s">
        <v>245</v>
      </c>
      <c r="E50" t="str">
        <f t="shared" si="0"/>
        <v>記錄位置,</v>
      </c>
      <c r="H50"/>
    </row>
    <row r="51" spans="1:8">
      <c r="A51" s="7" t="s">
        <v>27</v>
      </c>
      <c r="B51" s="7" t="s">
        <v>246</v>
      </c>
      <c r="C51" s="7" t="s">
        <v>247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183</v>
      </c>
      <c r="E54" t="str">
        <f t="shared" si="0"/>
        <v>移動角度,</v>
      </c>
      <c r="H54"/>
    </row>
    <row r="55" spans="1:8">
      <c r="A55" s="7" t="s">
        <v>27</v>
      </c>
      <c r="B55" s="7" t="s">
        <v>113</v>
      </c>
      <c r="C55" s="7" t="s">
        <v>184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114</v>
      </c>
      <c r="C56" s="7" t="s">
        <v>185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115</v>
      </c>
      <c r="C57" s="7" t="s">
        <v>186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134</v>
      </c>
      <c r="C58" s="7" t="s">
        <v>187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188</v>
      </c>
      <c r="C59" s="7" t="s">
        <v>189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116</v>
      </c>
      <c r="C60" s="7" t="s">
        <v>190</v>
      </c>
      <c r="E60" t="str">
        <f t="shared" si="0"/>
        <v>旋轉是移動角度,</v>
      </c>
      <c r="H60"/>
    </row>
    <row r="61" spans="1:8">
      <c r="A61" s="7" t="s">
        <v>27</v>
      </c>
      <c r="B61" s="27" t="s">
        <v>239</v>
      </c>
      <c r="C61" s="7" t="s">
        <v>240</v>
      </c>
      <c r="E61" t="str">
        <f t="shared" si="0"/>
        <v>子旋轉角度,</v>
      </c>
      <c r="H61"/>
    </row>
    <row r="62" spans="1:8">
      <c r="A62" s="7" t="s">
        <v>27</v>
      </c>
      <c r="B62" s="27" t="s">
        <v>241</v>
      </c>
      <c r="C62" s="7" t="s">
        <v>242</v>
      </c>
      <c r="E62" t="str">
        <f t="shared" si="0"/>
        <v>子加旋轉角度,</v>
      </c>
      <c r="H62"/>
    </row>
    <row r="63" spans="1:8">
      <c r="A63" s="7" t="s">
        <v>27</v>
      </c>
      <c r="B63" s="7" t="s">
        <v>248</v>
      </c>
      <c r="C63" s="7" t="s">
        <v>249</v>
      </c>
      <c r="E63" t="str">
        <f t="shared" si="0"/>
        <v>記錄角度,</v>
      </c>
      <c r="H63"/>
    </row>
    <row r="64" spans="1:8">
      <c r="A64" s="7" t="s">
        <v>27</v>
      </c>
      <c r="B64" s="7" t="s">
        <v>251</v>
      </c>
      <c r="C64" s="7" t="s">
        <v>250</v>
      </c>
      <c r="E64" t="str">
        <f t="shared" si="0"/>
        <v>記錄角度ID,</v>
      </c>
      <c r="H64"/>
    </row>
    <row r="65" spans="1:11">
      <c r="B65" s="27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191</v>
      </c>
      <c r="E67" t="str">
        <f t="shared" si="0"/>
        <v>速度,</v>
      </c>
      <c r="H67"/>
    </row>
    <row r="68" spans="1:11">
      <c r="A68" s="7" t="s">
        <v>27</v>
      </c>
      <c r="B68" s="7" t="s">
        <v>117</v>
      </c>
      <c r="C68" s="7" t="s">
        <v>192</v>
      </c>
      <c r="E68" t="str">
        <f t="shared" si="0"/>
        <v>加速度,</v>
      </c>
      <c r="H68"/>
    </row>
    <row r="69" spans="1:11">
      <c r="A69" s="7" t="s">
        <v>27</v>
      </c>
      <c r="B69" s="7" t="s">
        <v>110</v>
      </c>
      <c r="C69" s="7" t="s">
        <v>193</v>
      </c>
      <c r="E69" t="str">
        <f t="shared" si="0"/>
        <v>最小速度,</v>
      </c>
      <c r="H69"/>
    </row>
    <row r="70" spans="1:11">
      <c r="A70" s="7" t="s">
        <v>27</v>
      </c>
      <c r="B70" s="7" t="s">
        <v>111</v>
      </c>
      <c r="C70" s="7" t="s">
        <v>194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195</v>
      </c>
      <c r="C73" s="7" t="s">
        <v>196</v>
      </c>
      <c r="E73" t="str">
        <f t="shared" si="0"/>
        <v>是界內,</v>
      </c>
      <c r="H73"/>
    </row>
    <row r="74" spans="1:11">
      <c r="A74" s="7" t="s">
        <v>27</v>
      </c>
      <c r="B74" s="7" t="s">
        <v>48</v>
      </c>
      <c r="C74" s="7" t="s">
        <v>197</v>
      </c>
      <c r="E74" t="str">
        <f t="shared" si="0"/>
        <v>無敵,</v>
      </c>
      <c r="H74"/>
    </row>
    <row r="75" spans="1:11">
      <c r="A75" s="7" t="s">
        <v>27</v>
      </c>
      <c r="B75" s="7" t="s">
        <v>119</v>
      </c>
      <c r="C75" s="7" t="s">
        <v>198</v>
      </c>
      <c r="E75" t="str">
        <f t="shared" si="0"/>
        <v>貫穿,</v>
      </c>
      <c r="H75"/>
    </row>
    <row r="76" spans="1:11">
      <c r="A76" s="7" t="s">
        <v>27</v>
      </c>
      <c r="B76" s="7" t="s">
        <v>127</v>
      </c>
      <c r="C76" s="7" t="s">
        <v>199</v>
      </c>
      <c r="E76" t="str">
        <f t="shared" si="0"/>
        <v>回收距離,</v>
      </c>
      <c r="H76"/>
    </row>
    <row r="77" spans="1:11">
      <c r="A77" s="7" t="s">
        <v>27</v>
      </c>
      <c r="B77" s="7" t="s">
        <v>200</v>
      </c>
      <c r="C77" s="7" t="s">
        <v>201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202</v>
      </c>
      <c r="C78" s="7" t="s">
        <v>203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204</v>
      </c>
      <c r="C79" s="7" t="s">
        <v>205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206</v>
      </c>
      <c r="C80" s="7" t="s">
        <v>207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121</v>
      </c>
      <c r="C83" s="7" t="s">
        <v>208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122</v>
      </c>
      <c r="C84" s="7" t="s">
        <v>209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123</v>
      </c>
      <c r="C85" s="7" t="s">
        <v>210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124</v>
      </c>
      <c r="C86" s="7" t="s">
        <v>211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125</v>
      </c>
      <c r="C87" s="7" t="s">
        <v>212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126</v>
      </c>
      <c r="C88" s="7" t="s">
        <v>213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214</v>
      </c>
      <c r="C91" s="7" t="s">
        <v>215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216</v>
      </c>
      <c r="C92" s="7" t="s">
        <v>217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218</v>
      </c>
      <c r="C93" s="7" t="s">
        <v>219</v>
      </c>
      <c r="E93" t="str">
        <f t="shared" si="1"/>
        <v>玩家Power需求,</v>
      </c>
      <c r="H93"/>
    </row>
    <row r="94" spans="1:11">
      <c r="A94" s="7" t="s">
        <v>27</v>
      </c>
      <c r="B94" s="7" t="s">
        <v>220</v>
      </c>
      <c r="C94" s="7" t="s">
        <v>221</v>
      </c>
      <c r="E94" t="str">
        <f t="shared" si="1"/>
        <v>玩家Shift,</v>
      </c>
      <c r="H94"/>
    </row>
    <row r="95" spans="1:11">
      <c r="A95" s="7" t="s">
        <v>27</v>
      </c>
      <c r="B95" s="7" t="s">
        <v>222</v>
      </c>
      <c r="C95" s="7" t="s">
        <v>223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142</v>
      </c>
      <c r="B103" s="7" t="s">
        <v>138</v>
      </c>
      <c r="C103" s="7" t="s">
        <v>21</v>
      </c>
      <c r="H103"/>
    </row>
    <row r="104" spans="1:12" customFormat="1">
      <c r="A104" s="7" t="s">
        <v>142</v>
      </c>
      <c r="B104" t="s">
        <v>139</v>
      </c>
      <c r="C104" s="7" t="s">
        <v>25</v>
      </c>
      <c r="D104" s="7"/>
      <c r="L104" s="7"/>
    </row>
    <row r="105" spans="1:12" customFormat="1">
      <c r="A105" s="7" t="s">
        <v>142</v>
      </c>
      <c r="B105" t="s">
        <v>140</v>
      </c>
      <c r="C105" s="7" t="s">
        <v>26</v>
      </c>
      <c r="D105" s="7"/>
      <c r="L105" s="7"/>
    </row>
    <row r="106" spans="1:12" customFormat="1">
      <c r="A106" s="7" t="s">
        <v>142</v>
      </c>
      <c r="B106" t="s">
        <v>224</v>
      </c>
      <c r="C106" s="7" t="s">
        <v>98</v>
      </c>
      <c r="D106" s="7"/>
      <c r="L106" s="7"/>
    </row>
    <row r="107" spans="1:12" customFormat="1">
      <c r="A107" s="7" t="s">
        <v>142</v>
      </c>
      <c r="B107" t="s">
        <v>225</v>
      </c>
      <c r="C107" s="7" t="s">
        <v>23</v>
      </c>
      <c r="D107" s="7"/>
      <c r="L107" s="7"/>
    </row>
    <row r="108" spans="1:12" customFormat="1">
      <c r="A108" s="7" t="s">
        <v>142</v>
      </c>
      <c r="B108" t="s">
        <v>226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143</v>
      </c>
      <c r="B111" t="s">
        <v>136</v>
      </c>
      <c r="C111" s="7" t="s">
        <v>21</v>
      </c>
      <c r="D111" s="4"/>
      <c r="L111" s="7"/>
    </row>
    <row r="112" spans="1:12" customFormat="1">
      <c r="A112" s="7" t="s">
        <v>143</v>
      </c>
      <c r="B112" t="s">
        <v>137</v>
      </c>
      <c r="C112" s="7" t="s">
        <v>37</v>
      </c>
      <c r="D112" s="7"/>
      <c r="L112" s="7"/>
    </row>
    <row r="113" spans="1:12" customFormat="1">
      <c r="A113" s="7" t="s">
        <v>143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143</v>
      </c>
      <c r="B114" t="s">
        <v>227</v>
      </c>
      <c r="C114" s="7" t="s">
        <v>22</v>
      </c>
      <c r="D114" s="7"/>
      <c r="L114" s="7"/>
    </row>
    <row r="115" spans="1:12">
      <c r="A115" s="7" t="s">
        <v>143</v>
      </c>
      <c r="B115" s="7" t="s">
        <v>228</v>
      </c>
      <c r="C115" s="7" t="s">
        <v>23</v>
      </c>
      <c r="H115"/>
    </row>
    <row r="116" spans="1:12">
      <c r="A116" s="7" t="s">
        <v>143</v>
      </c>
      <c r="B116" s="7" t="s">
        <v>252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3658A-AF4E-451E-A9A5-1E7008B618CE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142</v>
      </c>
      <c r="C1" s="6" t="s">
        <v>143</v>
      </c>
      <c r="D1" s="8"/>
      <c r="E1" s="8"/>
      <c r="F1" s="8"/>
      <c r="G1" s="6"/>
      <c r="H1" s="8"/>
      <c r="I1" s="8"/>
      <c r="J1" s="8"/>
    </row>
    <row r="2" spans="1:10" ht="85.5">
      <c r="B2" s="20" t="s">
        <v>138</v>
      </c>
      <c r="C2" s="20" t="s">
        <v>136</v>
      </c>
      <c r="D2" s="20"/>
      <c r="G2" s="25" t="s">
        <v>229</v>
      </c>
    </row>
    <row r="3" spans="1:10">
      <c r="A3" s="20" t="s">
        <v>95</v>
      </c>
      <c r="B3" s="20" t="s">
        <v>139</v>
      </c>
      <c r="C3" s="20" t="s">
        <v>137</v>
      </c>
      <c r="D3" s="20"/>
      <c r="G3" s="9"/>
    </row>
    <row r="4" spans="1:10">
      <c r="A4" s="20" t="s">
        <v>103</v>
      </c>
      <c r="B4" s="20" t="s">
        <v>140</v>
      </c>
      <c r="C4" s="20" t="s">
        <v>230</v>
      </c>
      <c r="D4" s="20"/>
      <c r="G4" s="9"/>
      <c r="H4" s="18"/>
    </row>
    <row r="5" spans="1:10" ht="17.25" customHeight="1">
      <c r="A5" s="20" t="s">
        <v>101</v>
      </c>
      <c r="B5" s="20" t="s">
        <v>224</v>
      </c>
      <c r="C5" s="20" t="s">
        <v>227</v>
      </c>
      <c r="D5" s="20"/>
      <c r="G5" s="9"/>
    </row>
    <row r="6" spans="1:10">
      <c r="A6" s="20" t="s">
        <v>104</v>
      </c>
      <c r="B6" s="20" t="s">
        <v>225</v>
      </c>
      <c r="C6" s="20" t="s">
        <v>228</v>
      </c>
      <c r="D6" s="20"/>
      <c r="G6" s="9"/>
    </row>
    <row r="7" spans="1:10">
      <c r="A7" s="20" t="s">
        <v>49</v>
      </c>
      <c r="B7" s="20" t="s">
        <v>226</v>
      </c>
      <c r="C7" s="26" t="s">
        <v>252</v>
      </c>
      <c r="D7" s="20"/>
      <c r="G7" s="9"/>
    </row>
    <row r="8" spans="1:10">
      <c r="A8" s="20" t="s">
        <v>153</v>
      </c>
      <c r="B8" s="26"/>
      <c r="C8" s="20"/>
      <c r="D8" s="20"/>
      <c r="G8" s="9"/>
    </row>
    <row r="9" spans="1:10">
      <c r="A9" s="20" t="s">
        <v>112</v>
      </c>
      <c r="B9" s="20"/>
      <c r="C9" s="20"/>
      <c r="D9" s="20"/>
      <c r="G9" s="9"/>
    </row>
    <row r="10" spans="1:10">
      <c r="A10" s="20" t="s">
        <v>237</v>
      </c>
      <c r="B10" s="20"/>
      <c r="C10" s="20"/>
      <c r="D10" s="20"/>
      <c r="G10" s="9"/>
    </row>
    <row r="11" spans="1:10">
      <c r="A11" s="20" t="s">
        <v>154</v>
      </c>
      <c r="G11" s="9"/>
    </row>
    <row r="12" spans="1:10">
      <c r="A12" s="20" t="s">
        <v>45</v>
      </c>
      <c r="G12" s="9"/>
    </row>
    <row r="13" spans="1:10">
      <c r="A13" s="20" t="s">
        <v>105</v>
      </c>
      <c r="G13" s="9"/>
    </row>
    <row r="14" spans="1:10">
      <c r="A14" s="20" t="s">
        <v>106</v>
      </c>
      <c r="C14" s="9"/>
      <c r="G14" s="9"/>
    </row>
    <row r="15" spans="1:10">
      <c r="A15" s="20" t="s">
        <v>132</v>
      </c>
      <c r="G15" s="9"/>
    </row>
    <row r="16" spans="1:10">
      <c r="A16" s="20" t="s">
        <v>133</v>
      </c>
      <c r="C16"/>
      <c r="G16" s="9"/>
    </row>
    <row r="17" spans="1:7">
      <c r="A17" s="20" t="s">
        <v>155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145</v>
      </c>
      <c r="C20"/>
      <c r="G20" s="9"/>
    </row>
    <row r="21" spans="1:7">
      <c r="A21" s="20" t="s">
        <v>151</v>
      </c>
      <c r="C21"/>
      <c r="G21" s="9"/>
    </row>
    <row r="22" spans="1:7">
      <c r="A22" s="20" t="s">
        <v>128</v>
      </c>
      <c r="C22"/>
      <c r="G22" s="9"/>
    </row>
    <row r="23" spans="1:7">
      <c r="A23" s="20" t="s">
        <v>129</v>
      </c>
      <c r="C23"/>
      <c r="G23" s="9"/>
    </row>
    <row r="24" spans="1:7">
      <c r="A24" s="20" t="s">
        <v>130</v>
      </c>
      <c r="C24"/>
      <c r="G24" s="9"/>
    </row>
    <row r="25" spans="1:7" s="9" customFormat="1">
      <c r="A25" s="20" t="s">
        <v>131</v>
      </c>
      <c r="C25"/>
      <c r="F25" s="4"/>
    </row>
    <row r="26" spans="1:7">
      <c r="A26" s="20" t="s">
        <v>162</v>
      </c>
      <c r="C26"/>
      <c r="G26" s="9"/>
    </row>
    <row r="27" spans="1:7">
      <c r="A27" s="20" t="s">
        <v>164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120</v>
      </c>
      <c r="C31"/>
      <c r="G31" s="9"/>
    </row>
    <row r="32" spans="1:7">
      <c r="A32" s="20" t="s">
        <v>102</v>
      </c>
      <c r="C32"/>
      <c r="G32" s="9"/>
    </row>
    <row r="33" spans="1:7">
      <c r="A33" s="20" t="s">
        <v>108</v>
      </c>
      <c r="C33"/>
      <c r="G33" s="9"/>
    </row>
    <row r="34" spans="1:7">
      <c r="A34" s="20" t="s">
        <v>107</v>
      </c>
      <c r="C34"/>
      <c r="G34" s="9"/>
    </row>
    <row r="35" spans="1:7">
      <c r="A35" s="20" t="s">
        <v>47</v>
      </c>
      <c r="C35"/>
      <c r="G35" s="9"/>
    </row>
    <row r="36" spans="1:7">
      <c r="A36" s="20" t="s">
        <v>150</v>
      </c>
      <c r="C36"/>
    </row>
    <row r="37" spans="1:7">
      <c r="A37" s="20" t="s">
        <v>173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99</v>
      </c>
      <c r="C41"/>
      <c r="G41" s="9"/>
    </row>
    <row r="42" spans="1:7">
      <c r="A42" s="20" t="s">
        <v>109</v>
      </c>
      <c r="C42"/>
      <c r="G42" s="9"/>
    </row>
    <row r="43" spans="1:7">
      <c r="A43" s="26" t="s">
        <v>231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100</v>
      </c>
      <c r="C46"/>
      <c r="G46" s="9"/>
    </row>
    <row r="47" spans="1:7">
      <c r="A47" s="20" t="s">
        <v>118</v>
      </c>
      <c r="C47"/>
      <c r="G47" s="9"/>
    </row>
    <row r="48" spans="1:7">
      <c r="A48" s="20" t="s">
        <v>135</v>
      </c>
      <c r="C48"/>
      <c r="G48" s="9"/>
    </row>
    <row r="49" spans="1:8">
      <c r="A49" s="20" t="s">
        <v>181</v>
      </c>
      <c r="C49"/>
      <c r="G49" s="9"/>
    </row>
    <row r="50" spans="1:8">
      <c r="A50" s="27" t="s">
        <v>248</v>
      </c>
      <c r="C50"/>
      <c r="G50" s="9"/>
    </row>
    <row r="51" spans="1:8">
      <c r="A51" s="27" t="s">
        <v>253</v>
      </c>
      <c r="C51"/>
      <c r="G51" s="9"/>
    </row>
    <row r="52" spans="1:8">
      <c r="A52" s="27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113</v>
      </c>
      <c r="C55"/>
      <c r="G55" s="9"/>
      <c r="H55" s="11"/>
    </row>
    <row r="56" spans="1:8">
      <c r="A56" s="20" t="s">
        <v>114</v>
      </c>
      <c r="C56"/>
      <c r="G56" s="9"/>
      <c r="H56" s="11"/>
    </row>
    <row r="57" spans="1:8">
      <c r="A57" s="28" t="s">
        <v>243</v>
      </c>
      <c r="C57"/>
      <c r="G57" s="9"/>
    </row>
    <row r="58" spans="1:8">
      <c r="A58" s="20" t="s">
        <v>134</v>
      </c>
      <c r="G58" s="9"/>
    </row>
    <row r="59" spans="1:8">
      <c r="A59" s="20" t="s">
        <v>188</v>
      </c>
      <c r="G59" s="9"/>
    </row>
    <row r="60" spans="1:8">
      <c r="A60" s="20" t="s">
        <v>116</v>
      </c>
      <c r="G60" s="9"/>
    </row>
    <row r="61" spans="1:8">
      <c r="A61" s="27" t="s">
        <v>239</v>
      </c>
      <c r="G61" s="9"/>
    </row>
    <row r="62" spans="1:8">
      <c r="A62" s="27" t="s">
        <v>241</v>
      </c>
      <c r="G62" s="9"/>
    </row>
    <row r="63" spans="1:8">
      <c r="A63" s="27" t="s">
        <v>248</v>
      </c>
      <c r="G63" s="9"/>
    </row>
    <row r="64" spans="1:8">
      <c r="A64" s="27" t="s">
        <v>251</v>
      </c>
      <c r="G64" s="9"/>
    </row>
    <row r="65" spans="1:7">
      <c r="A65" s="27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117</v>
      </c>
      <c r="C68"/>
      <c r="G68" s="9"/>
    </row>
    <row r="69" spans="1:7">
      <c r="A69" s="20" t="s">
        <v>110</v>
      </c>
      <c r="C69"/>
      <c r="G69" s="9"/>
    </row>
    <row r="70" spans="1:7">
      <c r="A70" s="20" t="s">
        <v>111</v>
      </c>
      <c r="G70" s="9"/>
    </row>
    <row r="71" spans="1:7">
      <c r="G71" s="9"/>
    </row>
    <row r="72" spans="1:7">
      <c r="G72" s="9"/>
    </row>
    <row r="73" spans="1:7">
      <c r="A73" s="20" t="s">
        <v>195</v>
      </c>
    </row>
    <row r="74" spans="1:7">
      <c r="A74" s="20" t="s">
        <v>48</v>
      </c>
    </row>
    <row r="75" spans="1:7">
      <c r="A75" s="20" t="s">
        <v>119</v>
      </c>
    </row>
    <row r="76" spans="1:7">
      <c r="A76" s="20" t="s">
        <v>127</v>
      </c>
      <c r="G76" s="9"/>
    </row>
    <row r="77" spans="1:7">
      <c r="A77" s="20" t="s">
        <v>200</v>
      </c>
      <c r="G77" s="9"/>
    </row>
    <row r="78" spans="1:7">
      <c r="A78" s="20" t="s">
        <v>202</v>
      </c>
      <c r="G78" s="9"/>
    </row>
    <row r="79" spans="1:7">
      <c r="A79" s="20" t="s">
        <v>204</v>
      </c>
    </row>
    <row r="80" spans="1:7">
      <c r="A80" s="20" t="s">
        <v>206</v>
      </c>
    </row>
    <row r="83" spans="1:1">
      <c r="A83" s="20" t="s">
        <v>121</v>
      </c>
    </row>
    <row r="84" spans="1:1">
      <c r="A84" s="20" t="s">
        <v>122</v>
      </c>
    </row>
    <row r="85" spans="1:1">
      <c r="A85" s="20" t="s">
        <v>123</v>
      </c>
    </row>
    <row r="86" spans="1:1">
      <c r="A86" s="20" t="s">
        <v>124</v>
      </c>
    </row>
    <row r="87" spans="1:1">
      <c r="A87" s="20" t="s">
        <v>125</v>
      </c>
    </row>
    <row r="88" spans="1:1">
      <c r="A88" s="20" t="s">
        <v>126</v>
      </c>
    </row>
    <row r="91" spans="1:1">
      <c r="A91" s="20" t="s">
        <v>214</v>
      </c>
    </row>
    <row r="92" spans="1:1">
      <c r="A92" s="20" t="s">
        <v>216</v>
      </c>
    </row>
    <row r="93" spans="1:1">
      <c r="A93" s="20" t="s">
        <v>218</v>
      </c>
    </row>
    <row r="94" spans="1:1">
      <c r="A94" s="20" t="s">
        <v>220</v>
      </c>
    </row>
    <row r="95" spans="1:1">
      <c r="A95" s="20" t="s">
        <v>222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DC9C04F-6E55-460C-AA4F-B2F25F254CD0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2C02E-0F84-485C-A064-86CAA625EB67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D7CB6-8169-45AB-9648-A71C5708675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BFD10-593D-4012-8B6E-5AE8CC03D947}">
  <sheetPr codeName="HelpSheet"/>
  <dimension ref="A1:A15"/>
  <sheetViews>
    <sheetView tabSelected="1"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stage7_2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2025-04-16T06:38:26Z</dcterms:modified>
</cp:coreProperties>
</file>