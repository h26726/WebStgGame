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B0F37A5A-5BA2-41C6-BAFE-2752DFEA5D06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3light" sheetId="1" r:id="rId1"/>
    <sheet name="#ALIAS" sheetId="98" r:id="rId2"/>
    <sheet name="#DEFINE" sheetId="99" r:id="rId3"/>
    <sheet name="#OPTION" sheetId="100" r:id="rId4"/>
    <sheet name="#PARAM" sheetId="101" r:id="rId5"/>
    <sheet name="#OUTPUT" sheetId="102" r:id="rId6"/>
    <sheet name="#使用說明" sheetId="103" r:id="rId7"/>
  </sheets>
  <functionGroups builtInGroupCount="19"/>
  <externalReferences>
    <externalReference r:id="rId8"/>
  </externalReferences>
  <definedNames>
    <definedName name="_xlnm._FilterDatabase" localSheetId="0" hidden="1">stage7_card3light!$D$1:$D$29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9" l="1"/>
  <c r="E94" i="99"/>
  <c r="E93" i="99"/>
  <c r="E92" i="99"/>
  <c r="E91" i="99"/>
  <c r="E88" i="99"/>
  <c r="E87" i="99"/>
  <c r="E86" i="99"/>
  <c r="E85" i="99"/>
  <c r="E84" i="99"/>
  <c r="E83" i="99"/>
  <c r="E80" i="99"/>
  <c r="E79" i="99"/>
  <c r="E78" i="99"/>
  <c r="E77" i="99"/>
  <c r="E76" i="99"/>
  <c r="E75" i="99"/>
  <c r="E74" i="99"/>
  <c r="E73" i="99"/>
  <c r="E70" i="99"/>
  <c r="E69" i="99"/>
  <c r="E68" i="99"/>
  <c r="E67" i="99"/>
  <c r="E64" i="99"/>
  <c r="E63" i="99"/>
  <c r="E62" i="99"/>
  <c r="E61" i="99"/>
  <c r="E60" i="99"/>
  <c r="E59" i="99"/>
  <c r="E58" i="99"/>
  <c r="E57" i="99"/>
  <c r="E56" i="99"/>
  <c r="E55" i="99"/>
  <c r="E54" i="99"/>
  <c r="E51" i="99"/>
  <c r="E50" i="99"/>
  <c r="E49" i="99"/>
  <c r="E48" i="99"/>
  <c r="E47" i="99"/>
  <c r="E46" i="99"/>
  <c r="E43" i="99"/>
  <c r="E42" i="99"/>
  <c r="E41" i="99"/>
  <c r="E40" i="99"/>
  <c r="E37" i="99"/>
  <c r="E36" i="99"/>
  <c r="E35" i="99"/>
  <c r="E34" i="99"/>
  <c r="E33" i="99"/>
  <c r="E32" i="99"/>
  <c r="E31" i="99"/>
  <c r="E30" i="99"/>
  <c r="E27" i="99"/>
  <c r="E26" i="99"/>
  <c r="E25" i="99"/>
  <c r="E24" i="99"/>
  <c r="E23" i="99"/>
  <c r="E22" i="99"/>
  <c r="E21" i="99"/>
  <c r="E20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E4" i="99"/>
  <c r="E3" i="99"/>
  <c r="E313" i="1" l="1"/>
  <c r="E312" i="1"/>
  <c r="E311" i="1"/>
  <c r="E310" i="1"/>
  <c r="M309" i="1"/>
  <c r="E309" i="1"/>
  <c r="E308" i="1"/>
  <c r="E307" i="1"/>
  <c r="E306" i="1"/>
  <c r="E305" i="1"/>
  <c r="E304" i="1"/>
  <c r="E303" i="1"/>
  <c r="E302" i="1"/>
  <c r="E301" i="1"/>
  <c r="E300" i="1"/>
  <c r="E298" i="1"/>
  <c r="E297" i="1"/>
  <c r="E296" i="1"/>
  <c r="E295" i="1"/>
  <c r="M294" i="1"/>
  <c r="E294" i="1"/>
  <c r="E293" i="1"/>
  <c r="E292" i="1"/>
  <c r="E291" i="1"/>
  <c r="E290" i="1"/>
  <c r="E289" i="1"/>
  <c r="E288" i="1"/>
  <c r="E287" i="1"/>
  <c r="E286" i="1"/>
  <c r="E285" i="1"/>
  <c r="E283" i="1"/>
  <c r="E282" i="1"/>
  <c r="E281" i="1"/>
  <c r="E280" i="1"/>
  <c r="M279" i="1"/>
  <c r="E279" i="1"/>
  <c r="E278" i="1"/>
  <c r="E277" i="1"/>
  <c r="E276" i="1"/>
  <c r="E275" i="1"/>
  <c r="E274" i="1"/>
  <c r="E273" i="1"/>
  <c r="E272" i="1"/>
  <c r="E271" i="1"/>
  <c r="E270" i="1"/>
  <c r="E268" i="1"/>
  <c r="E267" i="1"/>
  <c r="E266" i="1"/>
  <c r="E265" i="1"/>
  <c r="M264" i="1"/>
  <c r="E264" i="1"/>
  <c r="E263" i="1"/>
  <c r="E262" i="1"/>
  <c r="E261" i="1"/>
  <c r="E260" i="1"/>
  <c r="E259" i="1"/>
  <c r="E258" i="1"/>
  <c r="E257" i="1"/>
  <c r="E256" i="1"/>
  <c r="E255" i="1"/>
  <c r="E253" i="1"/>
  <c r="E252" i="1"/>
  <c r="E251" i="1"/>
  <c r="E250" i="1"/>
  <c r="M249" i="1"/>
  <c r="E249" i="1"/>
  <c r="E248" i="1"/>
  <c r="E247" i="1"/>
  <c r="E246" i="1"/>
  <c r="E245" i="1"/>
  <c r="E244" i="1"/>
  <c r="E243" i="1"/>
  <c r="E242" i="1"/>
  <c r="E241" i="1"/>
  <c r="E240" i="1"/>
  <c r="E238" i="1"/>
  <c r="E237" i="1"/>
  <c r="E236" i="1"/>
  <c r="E235" i="1"/>
  <c r="M234" i="1"/>
  <c r="E234" i="1"/>
  <c r="E233" i="1"/>
  <c r="E232" i="1"/>
  <c r="E231" i="1"/>
  <c r="E230" i="1"/>
  <c r="E229" i="1"/>
  <c r="E228" i="1"/>
  <c r="E227" i="1"/>
  <c r="E226" i="1"/>
  <c r="E225" i="1"/>
  <c r="E223" i="1"/>
  <c r="E222" i="1"/>
  <c r="E221" i="1"/>
  <c r="E220" i="1"/>
  <c r="M219" i="1"/>
  <c r="E219" i="1"/>
  <c r="E218" i="1"/>
  <c r="E217" i="1"/>
  <c r="E216" i="1"/>
  <c r="E215" i="1"/>
  <c r="E214" i="1"/>
  <c r="E213" i="1"/>
  <c r="E212" i="1"/>
  <c r="E211" i="1"/>
  <c r="E210" i="1"/>
  <c r="E208" i="1"/>
  <c r="E207" i="1"/>
  <c r="E206" i="1"/>
  <c r="E205" i="1"/>
  <c r="M204" i="1"/>
  <c r="E204" i="1"/>
  <c r="E203" i="1"/>
  <c r="E202" i="1"/>
  <c r="E201" i="1"/>
  <c r="E200" i="1"/>
  <c r="E199" i="1"/>
  <c r="E198" i="1"/>
  <c r="E197" i="1"/>
  <c r="E196" i="1"/>
  <c r="E195" i="1"/>
  <c r="E193" i="1"/>
  <c r="E192" i="1"/>
  <c r="E191" i="1"/>
  <c r="E190" i="1"/>
  <c r="M189" i="1"/>
  <c r="E189" i="1"/>
  <c r="E188" i="1"/>
  <c r="E187" i="1"/>
  <c r="E186" i="1"/>
  <c r="E185" i="1"/>
  <c r="E184" i="1"/>
  <c r="E183" i="1"/>
  <c r="E182" i="1"/>
  <c r="E181" i="1"/>
  <c r="E180" i="1"/>
  <c r="E178" i="1"/>
  <c r="E177" i="1"/>
  <c r="E176" i="1"/>
  <c r="E175" i="1"/>
  <c r="M174" i="1"/>
  <c r="E174" i="1"/>
  <c r="E173" i="1"/>
  <c r="E172" i="1"/>
  <c r="E171" i="1"/>
  <c r="E170" i="1"/>
  <c r="E169" i="1"/>
  <c r="E168" i="1"/>
  <c r="E167" i="1"/>
  <c r="E166" i="1"/>
  <c r="E165" i="1"/>
  <c r="E163" i="1"/>
  <c r="E162" i="1"/>
  <c r="E161" i="1"/>
  <c r="E160" i="1"/>
  <c r="M159" i="1"/>
  <c r="E159" i="1"/>
  <c r="E158" i="1"/>
  <c r="E157" i="1"/>
  <c r="E156" i="1"/>
  <c r="E155" i="1"/>
  <c r="E154" i="1"/>
  <c r="E153" i="1"/>
  <c r="E152" i="1"/>
  <c r="E151" i="1"/>
  <c r="E150" i="1"/>
  <c r="E148" i="1"/>
  <c r="E147" i="1"/>
  <c r="E146" i="1"/>
  <c r="E145" i="1"/>
  <c r="M144" i="1"/>
  <c r="E144" i="1"/>
  <c r="E143" i="1"/>
  <c r="E142" i="1"/>
  <c r="E141" i="1"/>
  <c r="E140" i="1"/>
  <c r="E139" i="1"/>
  <c r="E138" i="1"/>
  <c r="E137" i="1"/>
  <c r="E136" i="1"/>
  <c r="E135" i="1"/>
  <c r="E133" i="1"/>
  <c r="E132" i="1"/>
  <c r="E131" i="1"/>
  <c r="E130" i="1"/>
  <c r="M129" i="1"/>
  <c r="E129" i="1"/>
  <c r="E128" i="1"/>
  <c r="E127" i="1"/>
  <c r="E126" i="1"/>
  <c r="E125" i="1"/>
  <c r="E124" i="1"/>
  <c r="E123" i="1"/>
  <c r="E122" i="1"/>
  <c r="E121" i="1"/>
  <c r="E120" i="1"/>
  <c r="E118" i="1"/>
  <c r="E117" i="1"/>
  <c r="E116" i="1"/>
  <c r="E115" i="1"/>
  <c r="M114" i="1"/>
  <c r="E114" i="1"/>
  <c r="E113" i="1"/>
  <c r="E112" i="1"/>
  <c r="E111" i="1"/>
  <c r="E110" i="1"/>
  <c r="E109" i="1"/>
  <c r="E108" i="1"/>
  <c r="E107" i="1"/>
  <c r="E106" i="1"/>
  <c r="E105" i="1"/>
  <c r="E103" i="1"/>
  <c r="E102" i="1"/>
  <c r="E101" i="1"/>
  <c r="E100" i="1"/>
  <c r="M99" i="1"/>
  <c r="E99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M84" i="1"/>
  <c r="E84" i="1"/>
  <c r="E83" i="1"/>
  <c r="E82" i="1"/>
  <c r="E81" i="1"/>
  <c r="E80" i="1"/>
  <c r="E79" i="1"/>
  <c r="E78" i="1"/>
  <c r="E77" i="1"/>
  <c r="E76" i="1"/>
  <c r="E75" i="1"/>
  <c r="E73" i="1"/>
  <c r="E72" i="1"/>
  <c r="E71" i="1"/>
  <c r="E70" i="1"/>
  <c r="M69" i="1"/>
  <c r="E69" i="1"/>
  <c r="E68" i="1"/>
  <c r="E67" i="1"/>
  <c r="E66" i="1"/>
  <c r="E65" i="1"/>
  <c r="E64" i="1"/>
  <c r="E63" i="1"/>
  <c r="E62" i="1"/>
  <c r="E61" i="1"/>
  <c r="E60" i="1"/>
  <c r="E58" i="1"/>
  <c r="E57" i="1"/>
  <c r="E56" i="1"/>
  <c r="E55" i="1"/>
  <c r="M54" i="1"/>
  <c r="E54" i="1"/>
  <c r="E53" i="1"/>
  <c r="E52" i="1"/>
  <c r="E51" i="1"/>
  <c r="E50" i="1"/>
  <c r="E49" i="1"/>
  <c r="E48" i="1"/>
  <c r="E47" i="1"/>
  <c r="E46" i="1"/>
  <c r="E45" i="1"/>
  <c r="E43" i="1"/>
  <c r="E42" i="1"/>
  <c r="E41" i="1"/>
  <c r="E40" i="1"/>
  <c r="M39" i="1"/>
  <c r="E39" i="1"/>
  <c r="E38" i="1"/>
  <c r="E37" i="1"/>
  <c r="E36" i="1"/>
  <c r="E35" i="1"/>
  <c r="E34" i="1"/>
  <c r="E33" i="1"/>
  <c r="E32" i="1"/>
  <c r="E31" i="1"/>
  <c r="E30" i="1"/>
  <c r="E21" i="1" l="1"/>
  <c r="M24" i="1" l="1"/>
  <c r="E24" i="1"/>
  <c r="E20" i="1" l="1"/>
  <c r="E28" i="1"/>
  <c r="A13" i="1"/>
  <c r="D14" i="1"/>
  <c r="D29" i="1" l="1"/>
  <c r="D44" i="1"/>
  <c r="D59" i="1"/>
  <c r="D74" i="1"/>
  <c r="B14" i="1"/>
  <c r="C14" i="1" s="1"/>
  <c r="I17" i="1" s="1"/>
  <c r="M15" i="1"/>
  <c r="E26" i="1"/>
  <c r="E27" i="1"/>
  <c r="E25" i="1"/>
  <c r="E23" i="1"/>
  <c r="E22" i="1"/>
  <c r="E19" i="1"/>
  <c r="E18" i="1"/>
  <c r="E17" i="1"/>
  <c r="E16" i="1"/>
  <c r="E15" i="1"/>
  <c r="B74" i="1" l="1"/>
  <c r="C74" i="1" s="1"/>
  <c r="I77" i="1" s="1"/>
  <c r="M75" i="1"/>
  <c r="B59" i="1"/>
  <c r="C59" i="1"/>
  <c r="I62" i="1" s="1"/>
  <c r="M60" i="1"/>
  <c r="D89" i="1"/>
  <c r="B44" i="1"/>
  <c r="C44" i="1" s="1"/>
  <c r="I47" i="1" s="1"/>
  <c r="M45" i="1"/>
  <c r="B29" i="1"/>
  <c r="C29" i="1"/>
  <c r="I32" i="1" s="1"/>
  <c r="M30" i="1"/>
  <c r="M47" i="1"/>
  <c r="M17" i="1"/>
  <c r="M55" i="1" l="1"/>
  <c r="M53" i="1"/>
  <c r="B89" i="1"/>
  <c r="C89" i="1" s="1"/>
  <c r="I92" i="1" s="1"/>
  <c r="M90" i="1"/>
  <c r="D104" i="1"/>
  <c r="M38" i="1"/>
  <c r="M40" i="1"/>
  <c r="M62" i="1"/>
  <c r="M32" i="1"/>
  <c r="M85" i="1"/>
  <c r="M83" i="1"/>
  <c r="M70" i="1"/>
  <c r="M68" i="1"/>
  <c r="M77" i="1"/>
  <c r="M25" i="1"/>
  <c r="M23" i="1"/>
  <c r="M105" i="1" l="1"/>
  <c r="B104" i="1"/>
  <c r="C104" i="1" s="1"/>
  <c r="I107" i="1" s="1"/>
  <c r="M107" i="1" s="1"/>
  <c r="D119" i="1"/>
  <c r="M92" i="1"/>
  <c r="M100" i="1"/>
  <c r="M98" i="1"/>
  <c r="B119" i="1" l="1"/>
  <c r="M120" i="1"/>
  <c r="C119" i="1"/>
  <c r="I122" i="1" s="1"/>
  <c r="D134" i="1"/>
  <c r="M113" i="1"/>
  <c r="M115" i="1"/>
  <c r="M122" i="1"/>
  <c r="M130" i="1" l="1"/>
  <c r="M128" i="1"/>
  <c r="M135" i="1"/>
  <c r="B134" i="1"/>
  <c r="C134" i="1" s="1"/>
  <c r="I137" i="1" s="1"/>
  <c r="D149" i="1"/>
  <c r="M137" i="1" l="1"/>
  <c r="M152" i="1"/>
  <c r="M143" i="1"/>
  <c r="M145" i="1"/>
  <c r="B149" i="1"/>
  <c r="C149" i="1" s="1"/>
  <c r="I152" i="1" s="1"/>
  <c r="M150" i="1"/>
  <c r="D164" i="1"/>
  <c r="M158" i="1" l="1"/>
  <c r="M160" i="1"/>
  <c r="B164" i="1"/>
  <c r="C164" i="1" s="1"/>
  <c r="I167" i="1" s="1"/>
  <c r="M165" i="1"/>
  <c r="D179" i="1"/>
  <c r="M167" i="1" l="1"/>
  <c r="M173" i="1"/>
  <c r="M175" i="1"/>
  <c r="B179" i="1"/>
  <c r="C179" i="1" s="1"/>
  <c r="I182" i="1" s="1"/>
  <c r="M180" i="1"/>
  <c r="D194" i="1"/>
  <c r="M182" i="1" l="1"/>
  <c r="B194" i="1"/>
  <c r="C194" i="1" s="1"/>
  <c r="I197" i="1" s="1"/>
  <c r="M197" i="1" s="1"/>
  <c r="M195" i="1"/>
  <c r="M188" i="1"/>
  <c r="M190" i="1"/>
  <c r="D209" i="1"/>
  <c r="M210" i="1" l="1"/>
  <c r="B209" i="1"/>
  <c r="C209" i="1" s="1"/>
  <c r="I212" i="1" s="1"/>
  <c r="M212" i="1" s="1"/>
  <c r="D224" i="1"/>
  <c r="M203" i="1"/>
  <c r="M205" i="1"/>
  <c r="M225" i="1" l="1"/>
  <c r="B224" i="1"/>
  <c r="C224" i="1" s="1"/>
  <c r="I227" i="1" s="1"/>
  <c r="M227" i="1" s="1"/>
  <c r="D239" i="1"/>
  <c r="M218" i="1"/>
  <c r="M220" i="1"/>
  <c r="B239" i="1" l="1"/>
  <c r="C239" i="1" s="1"/>
  <c r="I242" i="1" s="1"/>
  <c r="M242" i="1" s="1"/>
  <c r="M240" i="1"/>
  <c r="D254" i="1"/>
  <c r="M233" i="1"/>
  <c r="M235" i="1"/>
  <c r="B254" i="1" l="1"/>
  <c r="C254" i="1" s="1"/>
  <c r="I257" i="1" s="1"/>
  <c r="M257" i="1" s="1"/>
  <c r="M255" i="1"/>
  <c r="D269" i="1"/>
  <c r="M248" i="1"/>
  <c r="M250" i="1"/>
  <c r="M270" i="1" l="1"/>
  <c r="B269" i="1"/>
  <c r="C269" i="1" s="1"/>
  <c r="I272" i="1" s="1"/>
  <c r="M272" i="1" s="1"/>
  <c r="D284" i="1"/>
  <c r="M265" i="1"/>
  <c r="M263" i="1"/>
  <c r="M285" i="1" l="1"/>
  <c r="B284" i="1"/>
  <c r="C284" i="1" s="1"/>
  <c r="I287" i="1" s="1"/>
  <c r="M287" i="1" s="1"/>
  <c r="D299" i="1"/>
  <c r="M278" i="1"/>
  <c r="M280" i="1"/>
  <c r="M300" i="1" l="1"/>
  <c r="B299" i="1"/>
  <c r="C299" i="1" s="1"/>
  <c r="I302" i="1" s="1"/>
  <c r="M302" i="1" s="1"/>
  <c r="M295" i="1"/>
  <c r="M293" i="1"/>
  <c r="M308" i="1" l="1"/>
  <c r="M310" i="1"/>
</calcChain>
</file>

<file path=xl/sharedStrings.xml><?xml version="1.0" encoding="utf-8"?>
<sst xmlns="http://schemas.openxmlformats.org/spreadsheetml/2006/main" count="837" uniqueCount="257">
  <si>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</si>
  <si>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</si>
  <si>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</si>
  <si>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</si>
  <si>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</si>
  <si>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</si>
  <si>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</si>
  <si>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</si>
  <si>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</si>
  <si>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</si>
  <si>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</si>
  <si>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</si>
  <si>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</si>
  <si>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</si>
  <si>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</si>
  <si>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</si>
  <si>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</si>
  <si>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</si>
  <si>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</si>
  <si>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</si>
  <si>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</si>
  <si>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</si>
  <si>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</si>
  <si>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</si>
  <si>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</si>
  <si>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</si>
  <si>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</si>
  <si>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</si>
  <si>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</si>
  <si>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</si>
  <si>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</si>
  <si>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</si>
  <si>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</si>
  <si>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</si>
  <si>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</si>
  <si>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</si>
  <si>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</si>
  <si>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</si>
  <si>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</si>
  <si>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</si>
  <si>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</si>
  <si>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</si>
  <si>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</si>
  <si>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</si>
  <si>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</si>
  <si>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</si>
  <si>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</si>
  <si>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</si>
  <si>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</si>
  <si>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</si>
  <si>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</si>
  <si>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</si>
  <si>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</si>
  <si>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</si>
  <si>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</si>
  <si>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</si>
  <si>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</si>
  <si>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</si>
  <si>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</si>
  <si>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</si>
  <si>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</si>
  <si>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</si>
  <si>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</si>
  <si>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</si>
  <si>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</si>
  <si>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</si>
  <si>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</si>
  <si>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</si>
  <si>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</si>
  <si>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</si>
  <si>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</si>
  <si>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</si>
  <si>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</si>
  <si>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</si>
  <si>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</si>
  <si>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</si>
  <si>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</si>
  <si>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</si>
  <si>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</si>
  <si>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</si>
  <si>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</si>
  <si>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</si>
  <si>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</si>
  <si>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</si>
  <si>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</si>
  <si>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</si>
  <si>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</si>
  <si>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</si>
  <si>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</si>
  <si>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</si>
  <si>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</si>
  <si>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</si>
  <si>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</si>
  <si>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</si>
  <si>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</si>
  <si>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</si>
  <si>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</si>
  <si>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</si>
  <si>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</si>
  <si>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</si>
  <si>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</si>
  <si>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</si>
  <si>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</si>
  <si>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</si>
  <si>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</si>
  <si>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</si>
  <si>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</si>
  <si>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</si>
  <si>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</si>
  <si>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</si>
  <si>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</si>
  <si>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</si>
  <si>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</si>
  <si>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</si>
  <si>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</si>
  <si>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</si>
  <si>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</si>
  <si>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</si>
  <si>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</si>
  <si>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</si>
  <si>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</si>
  <si>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</si>
  <si>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</si>
  <si>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</si>
  <si>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</si>
  <si>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</si>
  <si>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</si>
  <si>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</si>
  <si>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</si>
  <si>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</si>
  <si>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</si>
  <si>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</si>
  <si>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</si>
  <si>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</si>
  <si>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</si>
  <si>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</si>
  <si>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</si>
  <si>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</si>
  <si>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</si>
  <si>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</si>
  <si>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</si>
  <si>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</si>
  <si>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</si>
  <si>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</si>
  <si>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</si>
  <si>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</si>
  <si>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</si>
  <si>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Self = 1,
Parent = 2,
Player = 3,
Boss = 4,
Center=5,
BossHome=6,</t>
    <phoneticPr fontId="2" type="noConversion"/>
  </si>
  <si>
    <t>啟動依遊戲時間</t>
  </si>
  <si>
    <t>EnemyLight2</t>
  </si>
  <si>
    <t>Show</t>
  </si>
  <si>
    <t>0,0</t>
    <phoneticPr fontId="2" type="noConversion"/>
  </si>
  <si>
    <t>旋轉角度</t>
    <phoneticPr fontId="2" type="noConversion"/>
  </si>
  <si>
    <t>1,3</t>
    <phoneticPr fontId="2" type="noConversion"/>
  </si>
  <si>
    <t>20</t>
    <phoneticPr fontId="2" type="noConversion"/>
  </si>
  <si>
    <t>1</t>
    <phoneticPr fontId="2" type="noConversion"/>
  </si>
  <si>
    <t>0,0</t>
  </si>
  <si>
    <t>1,3</t>
  </si>
  <si>
    <t>角度ID旋轉</t>
  </si>
  <si>
    <t>加ID</t>
  </si>
  <si>
    <t>加ID</t>
    <phoneticPr fontId="2" type="noConversion"/>
  </si>
  <si>
    <t>出生動畫時間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</si>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</sst>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13"/>
  <sheetViews>
    <sheetView zoomScale="115" zoomScaleNormal="115" workbookViewId="0">
      <pane ySplit="1" topLeftCell="A302" activePane="bottomLeft" state="frozen"/>
      <selection pane="bottomLeft" activeCell="N110" sqref="N110"/>
    </sheetView>
  </sheetViews>
  <sheetFormatPr defaultRowHeight="19.5"/>
  <cols>
    <col min="1" max="2" width="9" style="9"/>
    <col min="3" max="3" width="5.875" style="21" customWidth="1"/>
    <col min="4" max="4" width="6.125" style="21" customWidth="1"/>
    <col min="5" max="5" width="9" style="21"/>
    <col min="6" max="6" width="20.5" style="9" bestFit="1" customWidth="1"/>
    <col min="7" max="7" width="7.375" style="21" customWidth="1"/>
    <col min="8" max="8" width="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12.62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17" t="s">
        <v>154</v>
      </c>
      <c r="B1" s="17" t="s">
        <v>155</v>
      </c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142</v>
      </c>
      <c r="L1" s="17" t="s">
        <v>143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60">
      <c r="C2" s="21" t="s">
        <v>139</v>
      </c>
    </row>
    <row r="3" spans="1:60">
      <c r="C3" s="21" t="s">
        <v>140</v>
      </c>
    </row>
    <row r="4" spans="1:60">
      <c r="C4" s="21" t="s">
        <v>141</v>
      </c>
    </row>
    <row r="12" spans="1:60">
      <c r="A12" s="21"/>
      <c r="C12" s="9"/>
      <c r="D12" s="9"/>
    </row>
    <row r="13" spans="1:60">
      <c r="A13" s="21">
        <f>G15*H15</f>
        <v>20</v>
      </c>
      <c r="C13" s="9"/>
      <c r="D13" s="9"/>
      <c r="R13" s="12"/>
      <c r="S13" s="9"/>
      <c r="U13" s="12"/>
      <c r="X13" s="15"/>
      <c r="AE13" s="16"/>
      <c r="BH13" s="9"/>
    </row>
    <row r="14" spans="1:60">
      <c r="B14" s="21">
        <f>QUOTIENT( D14-1,G15)+1</f>
        <v>1</v>
      </c>
      <c r="C14" s="21">
        <f>D14-(B14-1)*G15</f>
        <v>1</v>
      </c>
      <c r="D14" s="21">
        <f>COUNT($D13:$D$13)+1</f>
        <v>1</v>
      </c>
      <c r="R14" s="12"/>
      <c r="S14" s="9"/>
      <c r="U14" s="12"/>
      <c r="X14" s="15"/>
      <c r="AE14" s="16"/>
      <c r="BH14" s="9"/>
    </row>
    <row r="15" spans="1:60">
      <c r="E15" s="21">
        <f t="shared" ref="E15:E80" si="0">ROW(E15)</f>
        <v>15</v>
      </c>
      <c r="F15" s="9" t="s">
        <v>93</v>
      </c>
      <c r="G15" s="21">
        <v>20</v>
      </c>
      <c r="H15" s="21">
        <v>1</v>
      </c>
      <c r="J15" s="21">
        <v>12900</v>
      </c>
      <c r="M15" s="21">
        <f>$J$15+D14</f>
        <v>12901</v>
      </c>
      <c r="R15" s="12"/>
      <c r="S15" s="9"/>
      <c r="U15" s="12"/>
      <c r="X15" s="15"/>
      <c r="AE15" s="16"/>
      <c r="BH15" s="9"/>
    </row>
    <row r="16" spans="1:60">
      <c r="E16" s="21">
        <f t="shared" si="0"/>
        <v>16</v>
      </c>
      <c r="F16" s="9" t="s">
        <v>145</v>
      </c>
      <c r="M16" s="21">
        <v>128001</v>
      </c>
      <c r="R16" s="12"/>
      <c r="S16" s="9"/>
      <c r="U16" s="12"/>
      <c r="X16" s="15"/>
      <c r="AE16" s="16"/>
      <c r="BH16" s="9"/>
    </row>
    <row r="17" spans="2:60">
      <c r="E17" s="21">
        <f t="shared" si="0"/>
        <v>17</v>
      </c>
      <c r="F17" s="9" t="s">
        <v>126</v>
      </c>
      <c r="G17" s="21">
        <v>120</v>
      </c>
      <c r="H17" s="21">
        <v>-3</v>
      </c>
      <c r="I17" s="21">
        <f>G17+(C14*H17)</f>
        <v>117</v>
      </c>
      <c r="M17" s="21">
        <f>SUM($I$15:$I17)</f>
        <v>117</v>
      </c>
      <c r="R17" s="12"/>
      <c r="S17" s="9"/>
      <c r="U17" s="12"/>
      <c r="X17" s="15"/>
      <c r="AE17" s="16"/>
      <c r="BH17" s="9"/>
    </row>
    <row r="18" spans="2:60">
      <c r="E18" s="21">
        <f t="shared" si="0"/>
        <v>18</v>
      </c>
      <c r="F18" s="9" t="s">
        <v>29</v>
      </c>
      <c r="M18" s="21" t="s">
        <v>149</v>
      </c>
      <c r="R18" s="12"/>
      <c r="S18" s="9"/>
      <c r="U18" s="12"/>
      <c r="X18" s="15"/>
      <c r="AE18" s="16"/>
      <c r="BH18" s="9"/>
    </row>
    <row r="19" spans="2:60">
      <c r="E19" s="21">
        <f t="shared" si="0"/>
        <v>19</v>
      </c>
      <c r="F19" s="9" t="s">
        <v>98</v>
      </c>
      <c r="K19" s="9" t="s">
        <v>136</v>
      </c>
      <c r="M19" s="21" t="s">
        <v>151</v>
      </c>
      <c r="R19" s="12"/>
      <c r="S19" s="9"/>
      <c r="U19" s="12"/>
      <c r="X19" s="15"/>
      <c r="AE19" s="16"/>
      <c r="BH19" s="9"/>
    </row>
    <row r="20" spans="2:60">
      <c r="E20" s="21">
        <f t="shared" si="0"/>
        <v>20</v>
      </c>
      <c r="F20" s="9" t="s">
        <v>152</v>
      </c>
      <c r="L20" s="9" t="s">
        <v>135</v>
      </c>
      <c r="M20" s="21" t="s">
        <v>153</v>
      </c>
      <c r="R20" s="12"/>
      <c r="S20" s="9"/>
      <c r="U20" s="12"/>
      <c r="X20" s="15"/>
      <c r="AE20" s="16"/>
      <c r="BH20" s="9"/>
    </row>
    <row r="21" spans="2:60">
      <c r="E21" s="21">
        <f t="shared" si="0"/>
        <v>21</v>
      </c>
      <c r="F21" s="9" t="s">
        <v>161</v>
      </c>
      <c r="M21" s="21">
        <v>120</v>
      </c>
      <c r="R21" s="12"/>
      <c r="S21" s="9"/>
      <c r="U21" s="12"/>
      <c r="X21" s="15"/>
      <c r="AE21" s="16"/>
      <c r="BH21" s="9"/>
    </row>
    <row r="22" spans="2:60">
      <c r="E22" s="21">
        <f t="shared" si="0"/>
        <v>22</v>
      </c>
      <c r="F22" s="9" t="s">
        <v>35</v>
      </c>
      <c r="M22" s="21">
        <v>0</v>
      </c>
      <c r="R22" s="12"/>
      <c r="S22" s="9"/>
      <c r="U22" s="12"/>
      <c r="X22" s="15"/>
      <c r="AE22" s="16"/>
      <c r="BH22" s="9"/>
    </row>
    <row r="23" spans="2:60">
      <c r="E23" s="21">
        <f t="shared" si="0"/>
        <v>23</v>
      </c>
      <c r="F23" s="9" t="s">
        <v>101</v>
      </c>
      <c r="M23" s="21">
        <f>M15*10+1</f>
        <v>129011</v>
      </c>
      <c r="R23" s="12"/>
      <c r="S23" s="9"/>
      <c r="U23" s="12"/>
      <c r="X23" s="15"/>
      <c r="AE23" s="16"/>
      <c r="BH23" s="9"/>
    </row>
    <row r="24" spans="2:60">
      <c r="E24" s="21">
        <f t="shared" si="0"/>
        <v>24</v>
      </c>
      <c r="F24" s="9" t="s">
        <v>160</v>
      </c>
      <c r="M24" s="21">
        <f>$J$15</f>
        <v>12900</v>
      </c>
      <c r="R24" s="12"/>
      <c r="S24" s="9"/>
      <c r="U24" s="12"/>
      <c r="X24" s="15"/>
      <c r="AE24" s="16"/>
      <c r="BH24" s="9"/>
    </row>
    <row r="25" spans="2:60">
      <c r="E25" s="21">
        <f t="shared" si="0"/>
        <v>25</v>
      </c>
      <c r="F25" s="9" t="s">
        <v>145</v>
      </c>
      <c r="M25" s="21">
        <f>M15</f>
        <v>12901</v>
      </c>
      <c r="R25" s="12"/>
      <c r="S25" s="9"/>
      <c r="U25" s="12"/>
      <c r="X25" s="15"/>
      <c r="AE25" s="16"/>
      <c r="BH25" s="9"/>
    </row>
    <row r="26" spans="2:60">
      <c r="E26" s="21">
        <f t="shared" si="0"/>
        <v>26</v>
      </c>
      <c r="F26" s="9" t="s">
        <v>127</v>
      </c>
      <c r="M26" s="21">
        <v>0</v>
      </c>
      <c r="R26" s="12"/>
      <c r="S26" s="9"/>
      <c r="U26" s="12"/>
      <c r="X26" s="15"/>
      <c r="AE26" s="16"/>
      <c r="BH26" s="9"/>
    </row>
    <row r="27" spans="2:60">
      <c r="E27" s="21">
        <f t="shared" si="0"/>
        <v>27</v>
      </c>
      <c r="F27" s="9" t="s">
        <v>100</v>
      </c>
      <c r="M27" s="21" t="s">
        <v>150</v>
      </c>
      <c r="R27" s="12"/>
      <c r="S27" s="9"/>
      <c r="U27" s="12"/>
      <c r="X27" s="15"/>
      <c r="AE27" s="16"/>
      <c r="BH27" s="9"/>
    </row>
    <row r="28" spans="2:60">
      <c r="E28" s="21">
        <f t="shared" si="0"/>
        <v>28</v>
      </c>
      <c r="F28" s="9" t="s">
        <v>107</v>
      </c>
      <c r="M28" s="21">
        <v>120</v>
      </c>
      <c r="R28" s="12"/>
      <c r="S28" s="9"/>
      <c r="U28" s="12"/>
      <c r="X28" s="15"/>
      <c r="AE28" s="16"/>
      <c r="BH28" s="9"/>
    </row>
    <row r="29" spans="2:60">
      <c r="B29" s="21">
        <f t="shared" ref="B29" si="1">QUOTIENT( D29-1,G30)+1</f>
        <v>1</v>
      </c>
      <c r="C29" s="21">
        <f t="shared" ref="C29" si="2">D29-(B29-1)*G30</f>
        <v>2</v>
      </c>
      <c r="D29" s="21">
        <f>COUNT($D$13:$D28)+1</f>
        <v>2</v>
      </c>
      <c r="R29" s="12"/>
      <c r="S29" s="9"/>
      <c r="U29" s="12"/>
      <c r="X29" s="15"/>
      <c r="AE29" s="16"/>
      <c r="BH29" s="9"/>
    </row>
    <row r="30" spans="2:60">
      <c r="E30" s="21">
        <f t="shared" si="0"/>
        <v>30</v>
      </c>
      <c r="F30" s="9" t="s">
        <v>93</v>
      </c>
      <c r="G30" s="21">
        <v>20</v>
      </c>
      <c r="H30" s="21">
        <v>1</v>
      </c>
      <c r="J30" s="9">
        <v>12900</v>
      </c>
      <c r="M30" s="21">
        <f t="shared" ref="M30" si="3">$J$15+D29</f>
        <v>12902</v>
      </c>
    </row>
    <row r="31" spans="2:60">
      <c r="E31" s="21">
        <f t="shared" si="0"/>
        <v>31</v>
      </c>
      <c r="F31" s="9" t="s">
        <v>145</v>
      </c>
      <c r="M31" s="21">
        <v>128001</v>
      </c>
    </row>
    <row r="32" spans="2:60">
      <c r="E32" s="21">
        <f t="shared" si="0"/>
        <v>32</v>
      </c>
      <c r="F32" s="9" t="s">
        <v>126</v>
      </c>
      <c r="G32" s="21">
        <v>120</v>
      </c>
      <c r="H32" s="21">
        <v>-3</v>
      </c>
      <c r="I32" s="21">
        <f t="shared" ref="I32" si="4">G32+(C29*H32)</f>
        <v>114</v>
      </c>
      <c r="M32" s="21">
        <f>SUM($I$15:$I32)</f>
        <v>231</v>
      </c>
    </row>
    <row r="33" spans="2:13">
      <c r="E33" s="21">
        <f t="shared" si="0"/>
        <v>33</v>
      </c>
      <c r="F33" s="9" t="s">
        <v>29</v>
      </c>
      <c r="M33" s="21" t="s">
        <v>149</v>
      </c>
    </row>
    <row r="34" spans="2:13">
      <c r="E34" s="21">
        <f t="shared" si="0"/>
        <v>34</v>
      </c>
      <c r="F34" s="9" t="s">
        <v>98</v>
      </c>
      <c r="K34" s="9" t="s">
        <v>136</v>
      </c>
      <c r="M34" s="21" t="s">
        <v>156</v>
      </c>
    </row>
    <row r="35" spans="2:13">
      <c r="E35" s="21">
        <f t="shared" si="0"/>
        <v>35</v>
      </c>
      <c r="F35" s="9" t="s">
        <v>112</v>
      </c>
      <c r="L35" s="9" t="s">
        <v>135</v>
      </c>
      <c r="M35" s="21" t="s">
        <v>157</v>
      </c>
    </row>
    <row r="36" spans="2:13">
      <c r="E36" s="21">
        <f t="shared" si="0"/>
        <v>36</v>
      </c>
      <c r="F36" s="9" t="s">
        <v>161</v>
      </c>
      <c r="M36" s="21">
        <v>120</v>
      </c>
    </row>
    <row r="37" spans="2:13">
      <c r="E37" s="21">
        <f t="shared" si="0"/>
        <v>37</v>
      </c>
      <c r="F37" s="9" t="s">
        <v>35</v>
      </c>
      <c r="M37" s="21">
        <v>0</v>
      </c>
    </row>
    <row r="38" spans="2:13">
      <c r="E38" s="21">
        <f t="shared" si="0"/>
        <v>38</v>
      </c>
      <c r="F38" s="9" t="s">
        <v>101</v>
      </c>
      <c r="M38" s="21">
        <f t="shared" ref="M38" si="5">M30*10+1</f>
        <v>129021</v>
      </c>
    </row>
    <row r="39" spans="2:13">
      <c r="E39" s="21">
        <f t="shared" si="0"/>
        <v>39</v>
      </c>
      <c r="F39" s="9" t="s">
        <v>159</v>
      </c>
      <c r="M39" s="21">
        <f t="shared" ref="M39" si="6">$J$15</f>
        <v>12900</v>
      </c>
    </row>
    <row r="40" spans="2:13">
      <c r="E40" s="21">
        <f t="shared" si="0"/>
        <v>40</v>
      </c>
      <c r="F40" s="9" t="s">
        <v>145</v>
      </c>
      <c r="M40" s="21">
        <f t="shared" ref="M40" si="7">M30</f>
        <v>12902</v>
      </c>
    </row>
    <row r="41" spans="2:13">
      <c r="E41" s="21">
        <f t="shared" si="0"/>
        <v>41</v>
      </c>
      <c r="F41" s="9" t="s">
        <v>127</v>
      </c>
      <c r="M41" s="21">
        <v>0</v>
      </c>
    </row>
    <row r="42" spans="2:13">
      <c r="B42" s="21"/>
      <c r="E42" s="21">
        <f t="shared" si="0"/>
        <v>42</v>
      </c>
      <c r="F42" s="9" t="s">
        <v>100</v>
      </c>
      <c r="M42" s="21" t="s">
        <v>150</v>
      </c>
    </row>
    <row r="43" spans="2:13">
      <c r="E43" s="21">
        <f t="shared" si="0"/>
        <v>43</v>
      </c>
      <c r="F43" s="9" t="s">
        <v>107</v>
      </c>
      <c r="M43" s="21">
        <v>120</v>
      </c>
    </row>
    <row r="44" spans="2:13">
      <c r="B44" s="9">
        <f t="shared" ref="B44" si="8">QUOTIENT( D44-1,G45)+1</f>
        <v>1</v>
      </c>
      <c r="C44" s="21">
        <f t="shared" ref="C44" si="9">D44-(B44-1)*G45</f>
        <v>3</v>
      </c>
      <c r="D44" s="21">
        <f>COUNT($D$13:$D43)+1</f>
        <v>3</v>
      </c>
    </row>
    <row r="45" spans="2:13">
      <c r="E45" s="21">
        <f t="shared" si="0"/>
        <v>45</v>
      </c>
      <c r="F45" s="9" t="s">
        <v>93</v>
      </c>
      <c r="G45" s="21">
        <v>20</v>
      </c>
      <c r="H45" s="21">
        <v>1</v>
      </c>
      <c r="J45" s="9">
        <v>12900</v>
      </c>
      <c r="M45" s="21">
        <f t="shared" ref="M45" si="10">$J$15+D44</f>
        <v>12903</v>
      </c>
    </row>
    <row r="46" spans="2:13">
      <c r="E46" s="21">
        <f t="shared" si="0"/>
        <v>46</v>
      </c>
      <c r="F46" s="9" t="s">
        <v>145</v>
      </c>
      <c r="M46" s="21">
        <v>128001</v>
      </c>
    </row>
    <row r="47" spans="2:13">
      <c r="E47" s="21">
        <f t="shared" si="0"/>
        <v>47</v>
      </c>
      <c r="F47" s="9" t="s">
        <v>126</v>
      </c>
      <c r="G47" s="21">
        <v>120</v>
      </c>
      <c r="H47" s="21">
        <v>-3</v>
      </c>
      <c r="I47" s="21">
        <f t="shared" ref="I47" si="11">G47+(C44*H47)</f>
        <v>111</v>
      </c>
      <c r="M47" s="21">
        <f>SUM($I$15:$I47)</f>
        <v>342</v>
      </c>
    </row>
    <row r="48" spans="2:13">
      <c r="E48" s="21">
        <f t="shared" si="0"/>
        <v>48</v>
      </c>
      <c r="F48" s="9" t="s">
        <v>29</v>
      </c>
      <c r="M48" s="21" t="s">
        <v>149</v>
      </c>
    </row>
    <row r="49" spans="2:13">
      <c r="E49" s="21">
        <f t="shared" si="0"/>
        <v>49</v>
      </c>
      <c r="F49" s="9" t="s">
        <v>98</v>
      </c>
      <c r="K49" s="9" t="s">
        <v>136</v>
      </c>
      <c r="M49" s="21" t="s">
        <v>156</v>
      </c>
    </row>
    <row r="50" spans="2:13">
      <c r="E50" s="21">
        <f t="shared" si="0"/>
        <v>50</v>
      </c>
      <c r="F50" s="9" t="s">
        <v>112</v>
      </c>
      <c r="L50" s="9" t="s">
        <v>135</v>
      </c>
      <c r="M50" s="21" t="s">
        <v>157</v>
      </c>
    </row>
    <row r="51" spans="2:13">
      <c r="E51" s="21">
        <f t="shared" si="0"/>
        <v>51</v>
      </c>
      <c r="F51" s="9" t="s">
        <v>161</v>
      </c>
      <c r="M51" s="21">
        <v>120</v>
      </c>
    </row>
    <row r="52" spans="2:13">
      <c r="E52" s="21">
        <f t="shared" si="0"/>
        <v>52</v>
      </c>
      <c r="F52" s="9" t="s">
        <v>35</v>
      </c>
      <c r="M52" s="21">
        <v>0</v>
      </c>
    </row>
    <row r="53" spans="2:13">
      <c r="E53" s="21">
        <f t="shared" si="0"/>
        <v>53</v>
      </c>
      <c r="F53" s="9" t="s">
        <v>101</v>
      </c>
      <c r="M53" s="21">
        <f t="shared" ref="M53" si="12">M45*10+1</f>
        <v>129031</v>
      </c>
    </row>
    <row r="54" spans="2:13">
      <c r="E54" s="21">
        <f t="shared" si="0"/>
        <v>54</v>
      </c>
      <c r="F54" s="9" t="s">
        <v>159</v>
      </c>
      <c r="M54" s="21">
        <f t="shared" ref="M54" si="13">$J$15</f>
        <v>12900</v>
      </c>
    </row>
    <row r="55" spans="2:13">
      <c r="E55" s="21">
        <f t="shared" si="0"/>
        <v>55</v>
      </c>
      <c r="F55" s="9" t="s">
        <v>145</v>
      </c>
      <c r="M55" s="21">
        <f t="shared" ref="M55" si="14">M45</f>
        <v>12903</v>
      </c>
    </row>
    <row r="56" spans="2:13">
      <c r="E56" s="21">
        <f t="shared" si="0"/>
        <v>56</v>
      </c>
      <c r="F56" s="9" t="s">
        <v>127</v>
      </c>
      <c r="M56" s="21">
        <v>0</v>
      </c>
    </row>
    <row r="57" spans="2:13">
      <c r="E57" s="21">
        <f t="shared" si="0"/>
        <v>57</v>
      </c>
      <c r="F57" s="9" t="s">
        <v>100</v>
      </c>
      <c r="M57" s="21" t="s">
        <v>150</v>
      </c>
    </row>
    <row r="58" spans="2:13">
      <c r="E58" s="21">
        <f t="shared" si="0"/>
        <v>58</v>
      </c>
      <c r="F58" s="9" t="s">
        <v>107</v>
      </c>
      <c r="M58" s="21">
        <v>120</v>
      </c>
    </row>
    <row r="59" spans="2:13">
      <c r="B59" s="9">
        <f t="shared" ref="B59" si="15">QUOTIENT( D59-1,G60)+1</f>
        <v>1</v>
      </c>
      <c r="C59" s="21">
        <f t="shared" ref="C59" si="16">D59-(B59-1)*G60</f>
        <v>4</v>
      </c>
      <c r="D59" s="21">
        <f>COUNT($D$13:$D58)+1</f>
        <v>4</v>
      </c>
    </row>
    <row r="60" spans="2:13">
      <c r="E60" s="21">
        <f t="shared" si="0"/>
        <v>60</v>
      </c>
      <c r="F60" s="9" t="s">
        <v>93</v>
      </c>
      <c r="G60" s="21">
        <v>20</v>
      </c>
      <c r="H60" s="21">
        <v>1</v>
      </c>
      <c r="J60" s="9">
        <v>12900</v>
      </c>
      <c r="M60" s="21">
        <f t="shared" ref="M60" si="17">$J$15+D59</f>
        <v>12904</v>
      </c>
    </row>
    <row r="61" spans="2:13">
      <c r="E61" s="21">
        <f t="shared" si="0"/>
        <v>61</v>
      </c>
      <c r="F61" s="9" t="s">
        <v>145</v>
      </c>
      <c r="M61" s="21">
        <v>128001</v>
      </c>
    </row>
    <row r="62" spans="2:13">
      <c r="E62" s="21">
        <f t="shared" si="0"/>
        <v>62</v>
      </c>
      <c r="F62" s="9" t="s">
        <v>126</v>
      </c>
      <c r="G62" s="21">
        <v>120</v>
      </c>
      <c r="H62" s="21">
        <v>-3</v>
      </c>
      <c r="I62" s="21">
        <f t="shared" ref="I62" si="18">G62+(C59*H62)</f>
        <v>108</v>
      </c>
      <c r="M62" s="21">
        <f>SUM($I$15:$I62)</f>
        <v>450</v>
      </c>
    </row>
    <row r="63" spans="2:13">
      <c r="E63" s="21">
        <f t="shared" si="0"/>
        <v>63</v>
      </c>
      <c r="F63" s="9" t="s">
        <v>29</v>
      </c>
      <c r="M63" s="21" t="s">
        <v>149</v>
      </c>
    </row>
    <row r="64" spans="2:13">
      <c r="E64" s="21">
        <f t="shared" si="0"/>
        <v>64</v>
      </c>
      <c r="F64" s="9" t="s">
        <v>98</v>
      </c>
      <c r="K64" s="9" t="s">
        <v>136</v>
      </c>
      <c r="M64" s="21" t="s">
        <v>156</v>
      </c>
    </row>
    <row r="65" spans="2:13">
      <c r="E65" s="21">
        <f t="shared" si="0"/>
        <v>65</v>
      </c>
      <c r="F65" s="9" t="s">
        <v>112</v>
      </c>
      <c r="L65" s="9" t="s">
        <v>135</v>
      </c>
      <c r="M65" s="21" t="s">
        <v>157</v>
      </c>
    </row>
    <row r="66" spans="2:13">
      <c r="E66" s="21">
        <f t="shared" si="0"/>
        <v>66</v>
      </c>
      <c r="F66" s="9" t="s">
        <v>161</v>
      </c>
      <c r="M66" s="21">
        <v>120</v>
      </c>
    </row>
    <row r="67" spans="2:13">
      <c r="E67" s="21">
        <f t="shared" si="0"/>
        <v>67</v>
      </c>
      <c r="F67" s="9" t="s">
        <v>35</v>
      </c>
      <c r="M67" s="21">
        <v>0</v>
      </c>
    </row>
    <row r="68" spans="2:13">
      <c r="E68" s="21">
        <f t="shared" si="0"/>
        <v>68</v>
      </c>
      <c r="F68" s="9" t="s">
        <v>101</v>
      </c>
      <c r="M68" s="21">
        <f t="shared" ref="M68" si="19">M60*10+1</f>
        <v>129041</v>
      </c>
    </row>
    <row r="69" spans="2:13">
      <c r="E69" s="21">
        <f t="shared" si="0"/>
        <v>69</v>
      </c>
      <c r="F69" s="9" t="s">
        <v>159</v>
      </c>
      <c r="M69" s="21">
        <f t="shared" ref="M69" si="20">$J$15</f>
        <v>12900</v>
      </c>
    </row>
    <row r="70" spans="2:13">
      <c r="E70" s="21">
        <f t="shared" si="0"/>
        <v>70</v>
      </c>
      <c r="F70" s="9" t="s">
        <v>145</v>
      </c>
      <c r="M70" s="21">
        <f t="shared" ref="M70" si="21">M60</f>
        <v>12904</v>
      </c>
    </row>
    <row r="71" spans="2:13">
      <c r="E71" s="21">
        <f t="shared" si="0"/>
        <v>71</v>
      </c>
      <c r="F71" s="9" t="s">
        <v>127</v>
      </c>
      <c r="M71" s="21">
        <v>0</v>
      </c>
    </row>
    <row r="72" spans="2:13">
      <c r="E72" s="21">
        <f t="shared" si="0"/>
        <v>72</v>
      </c>
      <c r="F72" s="9" t="s">
        <v>100</v>
      </c>
      <c r="M72" s="21" t="s">
        <v>150</v>
      </c>
    </row>
    <row r="73" spans="2:13">
      <c r="E73" s="21">
        <f t="shared" si="0"/>
        <v>73</v>
      </c>
      <c r="F73" s="9" t="s">
        <v>107</v>
      </c>
      <c r="M73" s="21">
        <v>120</v>
      </c>
    </row>
    <row r="74" spans="2:13">
      <c r="B74" s="9">
        <f t="shared" ref="B74" si="22">QUOTIENT( D74-1,G75)+1</f>
        <v>1</v>
      </c>
      <c r="C74" s="21">
        <f t="shared" ref="C74" si="23">D74-(B74-1)*G75</f>
        <v>5</v>
      </c>
      <c r="D74" s="21">
        <f>COUNT($D$13:$D73)+1</f>
        <v>5</v>
      </c>
    </row>
    <row r="75" spans="2:13">
      <c r="E75" s="21">
        <f t="shared" si="0"/>
        <v>75</v>
      </c>
      <c r="F75" s="9" t="s">
        <v>93</v>
      </c>
      <c r="G75" s="21">
        <v>20</v>
      </c>
      <c r="H75" s="21">
        <v>1</v>
      </c>
      <c r="J75" s="9">
        <v>12900</v>
      </c>
      <c r="M75" s="21">
        <f t="shared" ref="M75" si="24">$J$15+D74</f>
        <v>12905</v>
      </c>
    </row>
    <row r="76" spans="2:13">
      <c r="E76" s="21">
        <f t="shared" si="0"/>
        <v>76</v>
      </c>
      <c r="F76" s="9" t="s">
        <v>145</v>
      </c>
      <c r="M76" s="21">
        <v>128001</v>
      </c>
    </row>
    <row r="77" spans="2:13">
      <c r="E77" s="21">
        <f t="shared" si="0"/>
        <v>77</v>
      </c>
      <c r="F77" s="9" t="s">
        <v>126</v>
      </c>
      <c r="G77" s="21">
        <v>120</v>
      </c>
      <c r="H77" s="21">
        <v>-3</v>
      </c>
      <c r="I77" s="21">
        <f t="shared" ref="I77" si="25">G77+(C74*H77)</f>
        <v>105</v>
      </c>
      <c r="M77" s="21">
        <f>SUM($I$15:$I77)</f>
        <v>555</v>
      </c>
    </row>
    <row r="78" spans="2:13">
      <c r="E78" s="21">
        <f t="shared" si="0"/>
        <v>78</v>
      </c>
      <c r="F78" s="9" t="s">
        <v>29</v>
      </c>
      <c r="M78" s="21" t="s">
        <v>149</v>
      </c>
    </row>
    <row r="79" spans="2:13">
      <c r="E79" s="21">
        <f t="shared" si="0"/>
        <v>79</v>
      </c>
      <c r="F79" s="9" t="s">
        <v>98</v>
      </c>
      <c r="K79" s="9" t="s">
        <v>136</v>
      </c>
      <c r="M79" s="21" t="s">
        <v>156</v>
      </c>
    </row>
    <row r="80" spans="2:13">
      <c r="E80" s="21">
        <f t="shared" si="0"/>
        <v>80</v>
      </c>
      <c r="F80" s="9" t="s">
        <v>112</v>
      </c>
      <c r="L80" s="9" t="s">
        <v>135</v>
      </c>
      <c r="M80" s="21" t="s">
        <v>157</v>
      </c>
    </row>
    <row r="81" spans="2:13">
      <c r="E81" s="21">
        <f t="shared" ref="E81:E144" si="26">ROW(E81)</f>
        <v>81</v>
      </c>
      <c r="F81" s="9" t="s">
        <v>161</v>
      </c>
      <c r="M81" s="21">
        <v>120</v>
      </c>
    </row>
    <row r="82" spans="2:13">
      <c r="E82" s="21">
        <f t="shared" si="26"/>
        <v>82</v>
      </c>
      <c r="F82" s="9" t="s">
        <v>35</v>
      </c>
      <c r="M82" s="21">
        <v>0</v>
      </c>
    </row>
    <row r="83" spans="2:13">
      <c r="E83" s="21">
        <f t="shared" si="26"/>
        <v>83</v>
      </c>
      <c r="F83" s="9" t="s">
        <v>101</v>
      </c>
      <c r="M83" s="21">
        <f t="shared" ref="M83" si="27">M75*10+1</f>
        <v>129051</v>
      </c>
    </row>
    <row r="84" spans="2:13">
      <c r="E84" s="21">
        <f t="shared" si="26"/>
        <v>84</v>
      </c>
      <c r="F84" s="9" t="s">
        <v>159</v>
      </c>
      <c r="M84" s="21">
        <f t="shared" ref="M84" si="28">$J$15</f>
        <v>12900</v>
      </c>
    </row>
    <row r="85" spans="2:13">
      <c r="E85" s="21">
        <f t="shared" si="26"/>
        <v>85</v>
      </c>
      <c r="F85" s="9" t="s">
        <v>145</v>
      </c>
      <c r="M85" s="21">
        <f t="shared" ref="M85" si="29">M75</f>
        <v>12905</v>
      </c>
    </row>
    <row r="86" spans="2:13">
      <c r="E86" s="21">
        <f t="shared" si="26"/>
        <v>86</v>
      </c>
      <c r="F86" s="9" t="s">
        <v>127</v>
      </c>
      <c r="M86" s="21">
        <v>0</v>
      </c>
    </row>
    <row r="87" spans="2:13">
      <c r="E87" s="21">
        <f t="shared" si="26"/>
        <v>87</v>
      </c>
      <c r="F87" s="9" t="s">
        <v>100</v>
      </c>
      <c r="M87" s="21" t="s">
        <v>150</v>
      </c>
    </row>
    <row r="88" spans="2:13">
      <c r="E88" s="21">
        <f t="shared" si="26"/>
        <v>88</v>
      </c>
      <c r="F88" s="9" t="s">
        <v>107</v>
      </c>
      <c r="M88" s="21">
        <v>120</v>
      </c>
    </row>
    <row r="89" spans="2:13">
      <c r="B89" s="9">
        <f t="shared" ref="B89" si="30">QUOTIENT( D89-1,G90)+1</f>
        <v>1</v>
      </c>
      <c r="C89" s="21">
        <f t="shared" ref="C89" si="31">D89-(B89-1)*G90</f>
        <v>6</v>
      </c>
      <c r="D89" s="21">
        <f>COUNT($D$13:$D88)+1</f>
        <v>6</v>
      </c>
    </row>
    <row r="90" spans="2:13">
      <c r="E90" s="21">
        <f t="shared" si="26"/>
        <v>90</v>
      </c>
      <c r="F90" s="9" t="s">
        <v>93</v>
      </c>
      <c r="G90" s="21">
        <v>20</v>
      </c>
      <c r="H90" s="21">
        <v>1</v>
      </c>
      <c r="J90" s="9">
        <v>12900</v>
      </c>
      <c r="M90" s="21">
        <f t="shared" ref="M90" si="32">$J$15+D89</f>
        <v>12906</v>
      </c>
    </row>
    <row r="91" spans="2:13">
      <c r="E91" s="21">
        <f t="shared" si="26"/>
        <v>91</v>
      </c>
      <c r="F91" s="9" t="s">
        <v>145</v>
      </c>
      <c r="M91" s="21">
        <v>128001</v>
      </c>
    </row>
    <row r="92" spans="2:13">
      <c r="E92" s="21">
        <f t="shared" si="26"/>
        <v>92</v>
      </c>
      <c r="F92" s="9" t="s">
        <v>126</v>
      </c>
      <c r="G92" s="21">
        <v>120</v>
      </c>
      <c r="H92" s="21">
        <v>-3</v>
      </c>
      <c r="I92" s="21">
        <f t="shared" ref="I92" si="33">G92+(C89*H92)</f>
        <v>102</v>
      </c>
      <c r="M92" s="21">
        <f>SUM($I$15:$I92)</f>
        <v>657</v>
      </c>
    </row>
    <row r="93" spans="2:13">
      <c r="E93" s="21">
        <f t="shared" si="26"/>
        <v>93</v>
      </c>
      <c r="F93" s="9" t="s">
        <v>29</v>
      </c>
      <c r="M93" s="21" t="s">
        <v>149</v>
      </c>
    </row>
    <row r="94" spans="2:13">
      <c r="E94" s="21">
        <f t="shared" si="26"/>
        <v>94</v>
      </c>
      <c r="F94" s="9" t="s">
        <v>98</v>
      </c>
      <c r="K94" s="9" t="s">
        <v>136</v>
      </c>
      <c r="M94" s="21" t="s">
        <v>156</v>
      </c>
    </row>
    <row r="95" spans="2:13">
      <c r="E95" s="21">
        <f t="shared" si="26"/>
        <v>95</v>
      </c>
      <c r="F95" s="9" t="s">
        <v>112</v>
      </c>
      <c r="L95" s="9" t="s">
        <v>135</v>
      </c>
      <c r="M95" s="21" t="s">
        <v>157</v>
      </c>
    </row>
    <row r="96" spans="2:13">
      <c r="E96" s="21">
        <f t="shared" si="26"/>
        <v>96</v>
      </c>
      <c r="F96" s="9" t="s">
        <v>161</v>
      </c>
      <c r="M96" s="21">
        <v>120</v>
      </c>
    </row>
    <row r="97" spans="2:13">
      <c r="E97" s="21">
        <f t="shared" si="26"/>
        <v>97</v>
      </c>
      <c r="F97" s="9" t="s">
        <v>35</v>
      </c>
      <c r="M97" s="21">
        <v>0</v>
      </c>
    </row>
    <row r="98" spans="2:13">
      <c r="E98" s="21">
        <f t="shared" si="26"/>
        <v>98</v>
      </c>
      <c r="F98" s="9" t="s">
        <v>101</v>
      </c>
      <c r="M98" s="21">
        <f t="shared" ref="M98" si="34">M90*10+1</f>
        <v>129061</v>
      </c>
    </row>
    <row r="99" spans="2:13">
      <c r="E99" s="21">
        <f t="shared" si="26"/>
        <v>99</v>
      </c>
      <c r="F99" s="9" t="s">
        <v>159</v>
      </c>
      <c r="M99" s="21">
        <f t="shared" ref="M99" si="35">$J$15</f>
        <v>12900</v>
      </c>
    </row>
    <row r="100" spans="2:13">
      <c r="E100" s="21">
        <f t="shared" si="26"/>
        <v>100</v>
      </c>
      <c r="F100" s="9" t="s">
        <v>145</v>
      </c>
      <c r="M100" s="21">
        <f t="shared" ref="M100" si="36">M90</f>
        <v>12906</v>
      </c>
    </row>
    <row r="101" spans="2:13">
      <c r="E101" s="21">
        <f t="shared" si="26"/>
        <v>101</v>
      </c>
      <c r="F101" s="9" t="s">
        <v>127</v>
      </c>
      <c r="M101" s="21">
        <v>0</v>
      </c>
    </row>
    <row r="102" spans="2:13">
      <c r="E102" s="21">
        <f t="shared" si="26"/>
        <v>102</v>
      </c>
      <c r="F102" s="9" t="s">
        <v>100</v>
      </c>
      <c r="M102" s="21" t="s">
        <v>150</v>
      </c>
    </row>
    <row r="103" spans="2:13">
      <c r="E103" s="21">
        <f t="shared" si="26"/>
        <v>103</v>
      </c>
      <c r="F103" s="9" t="s">
        <v>107</v>
      </c>
      <c r="M103" s="21">
        <v>120</v>
      </c>
    </row>
    <row r="104" spans="2:13">
      <c r="B104" s="9">
        <f t="shared" ref="B104" si="37">QUOTIENT( D104-1,G105)+1</f>
        <v>1</v>
      </c>
      <c r="C104" s="21">
        <f t="shared" ref="C104" si="38">D104-(B104-1)*G105</f>
        <v>7</v>
      </c>
      <c r="D104" s="21">
        <f>COUNT($D$13:$D103)+1</f>
        <v>7</v>
      </c>
    </row>
    <row r="105" spans="2:13">
      <c r="E105" s="21">
        <f t="shared" si="26"/>
        <v>105</v>
      </c>
      <c r="F105" s="9" t="s">
        <v>93</v>
      </c>
      <c r="G105" s="21">
        <v>20</v>
      </c>
      <c r="H105" s="21">
        <v>1</v>
      </c>
      <c r="J105" s="9">
        <v>12900</v>
      </c>
      <c r="M105" s="21">
        <f t="shared" ref="M105" si="39">$J$15+D104</f>
        <v>12907</v>
      </c>
    </row>
    <row r="106" spans="2:13">
      <c r="E106" s="21">
        <f t="shared" si="26"/>
        <v>106</v>
      </c>
      <c r="F106" s="9" t="s">
        <v>145</v>
      </c>
      <c r="M106" s="21">
        <v>128001</v>
      </c>
    </row>
    <row r="107" spans="2:13">
      <c r="E107" s="21">
        <f t="shared" si="26"/>
        <v>107</v>
      </c>
      <c r="F107" s="9" t="s">
        <v>126</v>
      </c>
      <c r="G107" s="21">
        <v>120</v>
      </c>
      <c r="H107" s="21">
        <v>-3</v>
      </c>
      <c r="I107" s="21">
        <f t="shared" ref="I107" si="40">G107+(C104*H107)</f>
        <v>99</v>
      </c>
      <c r="M107" s="21">
        <f>SUM($I$15:$I107)</f>
        <v>756</v>
      </c>
    </row>
    <row r="108" spans="2:13">
      <c r="E108" s="21">
        <f t="shared" si="26"/>
        <v>108</v>
      </c>
      <c r="F108" s="9" t="s">
        <v>29</v>
      </c>
      <c r="M108" s="21" t="s">
        <v>149</v>
      </c>
    </row>
    <row r="109" spans="2:13">
      <c r="E109" s="21">
        <f t="shared" si="26"/>
        <v>109</v>
      </c>
      <c r="F109" s="9" t="s">
        <v>98</v>
      </c>
      <c r="K109" s="9" t="s">
        <v>136</v>
      </c>
      <c r="M109" s="21" t="s">
        <v>156</v>
      </c>
    </row>
    <row r="110" spans="2:13">
      <c r="E110" s="21">
        <f t="shared" si="26"/>
        <v>110</v>
      </c>
      <c r="F110" s="9" t="s">
        <v>112</v>
      </c>
      <c r="L110" s="9" t="s">
        <v>135</v>
      </c>
      <c r="M110" s="21" t="s">
        <v>157</v>
      </c>
    </row>
    <row r="111" spans="2:13">
      <c r="E111" s="21">
        <f t="shared" si="26"/>
        <v>111</v>
      </c>
      <c r="F111" s="9" t="s">
        <v>161</v>
      </c>
      <c r="M111" s="21">
        <v>120</v>
      </c>
    </row>
    <row r="112" spans="2:13">
      <c r="E112" s="21">
        <f t="shared" si="26"/>
        <v>112</v>
      </c>
      <c r="F112" s="9" t="s">
        <v>35</v>
      </c>
      <c r="M112" s="21">
        <v>0</v>
      </c>
    </row>
    <row r="113" spans="2:13">
      <c r="E113" s="21">
        <f t="shared" si="26"/>
        <v>113</v>
      </c>
      <c r="F113" s="9" t="s">
        <v>101</v>
      </c>
      <c r="M113" s="21">
        <f t="shared" ref="M113" si="41">M105*10+1</f>
        <v>129071</v>
      </c>
    </row>
    <row r="114" spans="2:13">
      <c r="E114" s="21">
        <f t="shared" si="26"/>
        <v>114</v>
      </c>
      <c r="F114" s="9" t="s">
        <v>159</v>
      </c>
      <c r="M114" s="21">
        <f t="shared" ref="M114" si="42">$J$15</f>
        <v>12900</v>
      </c>
    </row>
    <row r="115" spans="2:13">
      <c r="E115" s="21">
        <f t="shared" si="26"/>
        <v>115</v>
      </c>
      <c r="F115" s="9" t="s">
        <v>145</v>
      </c>
      <c r="M115" s="21">
        <f t="shared" ref="M115" si="43">M105</f>
        <v>12907</v>
      </c>
    </row>
    <row r="116" spans="2:13">
      <c r="E116" s="21">
        <f t="shared" si="26"/>
        <v>116</v>
      </c>
      <c r="F116" s="9" t="s">
        <v>127</v>
      </c>
      <c r="M116" s="21">
        <v>0</v>
      </c>
    </row>
    <row r="117" spans="2:13">
      <c r="E117" s="21">
        <f t="shared" si="26"/>
        <v>117</v>
      </c>
      <c r="F117" s="9" t="s">
        <v>100</v>
      </c>
      <c r="M117" s="21" t="s">
        <v>150</v>
      </c>
    </row>
    <row r="118" spans="2:13">
      <c r="E118" s="21">
        <f t="shared" si="26"/>
        <v>118</v>
      </c>
      <c r="F118" s="9" t="s">
        <v>107</v>
      </c>
      <c r="M118" s="21">
        <v>120</v>
      </c>
    </row>
    <row r="119" spans="2:13">
      <c r="B119" s="9">
        <f t="shared" ref="B119" si="44">QUOTIENT( D119-1,G120)+1</f>
        <v>1</v>
      </c>
      <c r="C119" s="21">
        <f t="shared" ref="C119" si="45">D119-(B119-1)*G120</f>
        <v>8</v>
      </c>
      <c r="D119" s="21">
        <f>COUNT($D$13:$D118)+1</f>
        <v>8</v>
      </c>
    </row>
    <row r="120" spans="2:13">
      <c r="E120" s="21">
        <f t="shared" si="26"/>
        <v>120</v>
      </c>
      <c r="F120" s="9" t="s">
        <v>93</v>
      </c>
      <c r="G120" s="21">
        <v>20</v>
      </c>
      <c r="H120" s="21">
        <v>1</v>
      </c>
      <c r="J120" s="9">
        <v>12900</v>
      </c>
      <c r="M120" s="21">
        <f t="shared" ref="M120" si="46">$J$15+D119</f>
        <v>12908</v>
      </c>
    </row>
    <row r="121" spans="2:13">
      <c r="E121" s="21">
        <f t="shared" si="26"/>
        <v>121</v>
      </c>
      <c r="F121" s="9" t="s">
        <v>145</v>
      </c>
      <c r="M121" s="21">
        <v>128001</v>
      </c>
    </row>
    <row r="122" spans="2:13">
      <c r="E122" s="21">
        <f t="shared" si="26"/>
        <v>122</v>
      </c>
      <c r="F122" s="9" t="s">
        <v>126</v>
      </c>
      <c r="G122" s="21">
        <v>120</v>
      </c>
      <c r="H122" s="21">
        <v>-3</v>
      </c>
      <c r="I122" s="21">
        <f t="shared" ref="I122" si="47">G122+(C119*H122)</f>
        <v>96</v>
      </c>
      <c r="M122" s="21">
        <f>SUM($I$15:$I122)</f>
        <v>852</v>
      </c>
    </row>
    <row r="123" spans="2:13">
      <c r="E123" s="21">
        <f t="shared" si="26"/>
        <v>123</v>
      </c>
      <c r="F123" s="9" t="s">
        <v>29</v>
      </c>
      <c r="M123" s="21" t="s">
        <v>149</v>
      </c>
    </row>
    <row r="124" spans="2:13">
      <c r="E124" s="21">
        <f t="shared" si="26"/>
        <v>124</v>
      </c>
      <c r="F124" s="9" t="s">
        <v>98</v>
      </c>
      <c r="K124" s="9" t="s">
        <v>136</v>
      </c>
      <c r="M124" s="21" t="s">
        <v>156</v>
      </c>
    </row>
    <row r="125" spans="2:13">
      <c r="E125" s="21">
        <f t="shared" si="26"/>
        <v>125</v>
      </c>
      <c r="F125" s="9" t="s">
        <v>112</v>
      </c>
      <c r="L125" s="9" t="s">
        <v>135</v>
      </c>
      <c r="M125" s="21" t="s">
        <v>157</v>
      </c>
    </row>
    <row r="126" spans="2:13">
      <c r="E126" s="21">
        <f t="shared" si="26"/>
        <v>126</v>
      </c>
      <c r="F126" s="9" t="s">
        <v>161</v>
      </c>
      <c r="M126" s="21">
        <v>120</v>
      </c>
    </row>
    <row r="127" spans="2:13">
      <c r="E127" s="21">
        <f t="shared" si="26"/>
        <v>127</v>
      </c>
      <c r="F127" s="9" t="s">
        <v>35</v>
      </c>
      <c r="M127" s="21">
        <v>0</v>
      </c>
    </row>
    <row r="128" spans="2:13">
      <c r="E128" s="21">
        <f t="shared" si="26"/>
        <v>128</v>
      </c>
      <c r="F128" s="9" t="s">
        <v>101</v>
      </c>
      <c r="M128" s="21">
        <f t="shared" ref="M128" si="48">M120*10+1</f>
        <v>129081</v>
      </c>
    </row>
    <row r="129" spans="2:13">
      <c r="E129" s="21">
        <f t="shared" si="26"/>
        <v>129</v>
      </c>
      <c r="F129" s="9" t="s">
        <v>159</v>
      </c>
      <c r="M129" s="21">
        <f t="shared" ref="M129" si="49">$J$15</f>
        <v>12900</v>
      </c>
    </row>
    <row r="130" spans="2:13">
      <c r="E130" s="21">
        <f t="shared" si="26"/>
        <v>130</v>
      </c>
      <c r="F130" s="9" t="s">
        <v>145</v>
      </c>
      <c r="M130" s="21">
        <f t="shared" ref="M130" si="50">M120</f>
        <v>12908</v>
      </c>
    </row>
    <row r="131" spans="2:13">
      <c r="E131" s="21">
        <f t="shared" si="26"/>
        <v>131</v>
      </c>
      <c r="F131" s="9" t="s">
        <v>127</v>
      </c>
      <c r="M131" s="21">
        <v>0</v>
      </c>
    </row>
    <row r="132" spans="2:13">
      <c r="E132" s="21">
        <f t="shared" si="26"/>
        <v>132</v>
      </c>
      <c r="F132" s="9" t="s">
        <v>100</v>
      </c>
      <c r="M132" s="21" t="s">
        <v>150</v>
      </c>
    </row>
    <row r="133" spans="2:13">
      <c r="E133" s="21">
        <f t="shared" si="26"/>
        <v>133</v>
      </c>
      <c r="F133" s="9" t="s">
        <v>107</v>
      </c>
      <c r="M133" s="21">
        <v>120</v>
      </c>
    </row>
    <row r="134" spans="2:13">
      <c r="B134" s="9">
        <f t="shared" ref="B134" si="51">QUOTIENT( D134-1,G135)+1</f>
        <v>1</v>
      </c>
      <c r="C134" s="21">
        <f t="shared" ref="C134" si="52">D134-(B134-1)*G135</f>
        <v>9</v>
      </c>
      <c r="D134" s="21">
        <f>COUNT($D$13:$D133)+1</f>
        <v>9</v>
      </c>
    </row>
    <row r="135" spans="2:13">
      <c r="E135" s="21">
        <f t="shared" si="26"/>
        <v>135</v>
      </c>
      <c r="F135" s="9" t="s">
        <v>93</v>
      </c>
      <c r="G135" s="21">
        <v>20</v>
      </c>
      <c r="H135" s="21">
        <v>1</v>
      </c>
      <c r="J135" s="9">
        <v>12900</v>
      </c>
      <c r="M135" s="21">
        <f t="shared" ref="M135" si="53">$J$15+D134</f>
        <v>12909</v>
      </c>
    </row>
    <row r="136" spans="2:13">
      <c r="E136" s="21">
        <f t="shared" si="26"/>
        <v>136</v>
      </c>
      <c r="F136" s="9" t="s">
        <v>145</v>
      </c>
      <c r="M136" s="21">
        <v>128001</v>
      </c>
    </row>
    <row r="137" spans="2:13">
      <c r="E137" s="21">
        <f t="shared" si="26"/>
        <v>137</v>
      </c>
      <c r="F137" s="9" t="s">
        <v>126</v>
      </c>
      <c r="G137" s="21">
        <v>120</v>
      </c>
      <c r="H137" s="21">
        <v>-3</v>
      </c>
      <c r="I137" s="21">
        <f t="shared" ref="I137" si="54">G137+(C134*H137)</f>
        <v>93</v>
      </c>
      <c r="M137" s="21">
        <f>SUM($I$15:$I137)</f>
        <v>945</v>
      </c>
    </row>
    <row r="138" spans="2:13">
      <c r="E138" s="21">
        <f t="shared" si="26"/>
        <v>138</v>
      </c>
      <c r="F138" s="9" t="s">
        <v>29</v>
      </c>
      <c r="M138" s="21" t="s">
        <v>149</v>
      </c>
    </row>
    <row r="139" spans="2:13">
      <c r="E139" s="21">
        <f t="shared" si="26"/>
        <v>139</v>
      </c>
      <c r="F139" s="9" t="s">
        <v>98</v>
      </c>
      <c r="K139" s="9" t="s">
        <v>136</v>
      </c>
      <c r="M139" s="21" t="s">
        <v>156</v>
      </c>
    </row>
    <row r="140" spans="2:13">
      <c r="E140" s="21">
        <f t="shared" si="26"/>
        <v>140</v>
      </c>
      <c r="F140" s="9" t="s">
        <v>112</v>
      </c>
      <c r="L140" s="9" t="s">
        <v>135</v>
      </c>
      <c r="M140" s="21" t="s">
        <v>157</v>
      </c>
    </row>
    <row r="141" spans="2:13">
      <c r="E141" s="21">
        <f t="shared" si="26"/>
        <v>141</v>
      </c>
      <c r="F141" s="9" t="s">
        <v>161</v>
      </c>
      <c r="M141" s="21">
        <v>120</v>
      </c>
    </row>
    <row r="142" spans="2:13">
      <c r="E142" s="21">
        <f t="shared" si="26"/>
        <v>142</v>
      </c>
      <c r="F142" s="9" t="s">
        <v>35</v>
      </c>
      <c r="M142" s="21">
        <v>0</v>
      </c>
    </row>
    <row r="143" spans="2:13">
      <c r="E143" s="21">
        <f t="shared" si="26"/>
        <v>143</v>
      </c>
      <c r="F143" s="9" t="s">
        <v>101</v>
      </c>
      <c r="M143" s="21">
        <f t="shared" ref="M143" si="55">M135*10+1</f>
        <v>129091</v>
      </c>
    </row>
    <row r="144" spans="2:13">
      <c r="E144" s="21">
        <f t="shared" si="26"/>
        <v>144</v>
      </c>
      <c r="F144" s="9" t="s">
        <v>159</v>
      </c>
      <c r="M144" s="21">
        <f t="shared" ref="M144" si="56">$J$15</f>
        <v>12900</v>
      </c>
    </row>
    <row r="145" spans="2:13">
      <c r="E145" s="21">
        <f t="shared" ref="E145:E208" si="57">ROW(E145)</f>
        <v>145</v>
      </c>
      <c r="F145" s="9" t="s">
        <v>145</v>
      </c>
      <c r="M145" s="21">
        <f t="shared" ref="M145" si="58">M135</f>
        <v>12909</v>
      </c>
    </row>
    <row r="146" spans="2:13">
      <c r="E146" s="21">
        <f t="shared" si="57"/>
        <v>146</v>
      </c>
      <c r="F146" s="9" t="s">
        <v>127</v>
      </c>
      <c r="M146" s="21">
        <v>0</v>
      </c>
    </row>
    <row r="147" spans="2:13">
      <c r="E147" s="21">
        <f t="shared" si="57"/>
        <v>147</v>
      </c>
      <c r="F147" s="9" t="s">
        <v>100</v>
      </c>
      <c r="M147" s="21" t="s">
        <v>150</v>
      </c>
    </row>
    <row r="148" spans="2:13">
      <c r="E148" s="21">
        <f t="shared" si="57"/>
        <v>148</v>
      </c>
      <c r="F148" s="9" t="s">
        <v>107</v>
      </c>
      <c r="M148" s="21">
        <v>120</v>
      </c>
    </row>
    <row r="149" spans="2:13">
      <c r="B149" s="9">
        <f t="shared" ref="B149" si="59">QUOTIENT( D149-1,G150)+1</f>
        <v>1</v>
      </c>
      <c r="C149" s="21">
        <f t="shared" ref="C149" si="60">D149-(B149-1)*G150</f>
        <v>10</v>
      </c>
      <c r="D149" s="21">
        <f>COUNT($D$13:$D148)+1</f>
        <v>10</v>
      </c>
    </row>
    <row r="150" spans="2:13">
      <c r="E150" s="21">
        <f t="shared" si="57"/>
        <v>150</v>
      </c>
      <c r="F150" s="9" t="s">
        <v>93</v>
      </c>
      <c r="G150" s="21">
        <v>20</v>
      </c>
      <c r="H150" s="21">
        <v>1</v>
      </c>
      <c r="J150" s="9">
        <v>12900</v>
      </c>
      <c r="M150" s="21">
        <f t="shared" ref="M150" si="61">$J$15+D149</f>
        <v>12910</v>
      </c>
    </row>
    <row r="151" spans="2:13">
      <c r="E151" s="21">
        <f t="shared" si="57"/>
        <v>151</v>
      </c>
      <c r="F151" s="9" t="s">
        <v>145</v>
      </c>
      <c r="M151" s="21">
        <v>128001</v>
      </c>
    </row>
    <row r="152" spans="2:13">
      <c r="E152" s="21">
        <f t="shared" si="57"/>
        <v>152</v>
      </c>
      <c r="F152" s="9" t="s">
        <v>126</v>
      </c>
      <c r="G152" s="21">
        <v>120</v>
      </c>
      <c r="H152" s="21">
        <v>-3</v>
      </c>
      <c r="I152" s="21">
        <f t="shared" ref="I152" si="62">G152+(C149*H152)</f>
        <v>90</v>
      </c>
      <c r="M152" s="21">
        <f>SUM($I$15:$I152)</f>
        <v>1035</v>
      </c>
    </row>
    <row r="153" spans="2:13">
      <c r="E153" s="21">
        <f t="shared" si="57"/>
        <v>153</v>
      </c>
      <c r="F153" s="9" t="s">
        <v>29</v>
      </c>
      <c r="M153" s="21" t="s">
        <v>149</v>
      </c>
    </row>
    <row r="154" spans="2:13">
      <c r="E154" s="21">
        <f t="shared" si="57"/>
        <v>154</v>
      </c>
      <c r="F154" s="9" t="s">
        <v>98</v>
      </c>
      <c r="K154" s="9" t="s">
        <v>136</v>
      </c>
      <c r="M154" s="21" t="s">
        <v>156</v>
      </c>
    </row>
    <row r="155" spans="2:13">
      <c r="E155" s="21">
        <f t="shared" si="57"/>
        <v>155</v>
      </c>
      <c r="F155" s="9" t="s">
        <v>112</v>
      </c>
      <c r="L155" s="9" t="s">
        <v>135</v>
      </c>
      <c r="M155" s="21" t="s">
        <v>157</v>
      </c>
    </row>
    <row r="156" spans="2:13">
      <c r="E156" s="21">
        <f t="shared" si="57"/>
        <v>156</v>
      </c>
      <c r="F156" s="9" t="s">
        <v>161</v>
      </c>
      <c r="M156" s="21">
        <v>120</v>
      </c>
    </row>
    <row r="157" spans="2:13">
      <c r="E157" s="21">
        <f t="shared" si="57"/>
        <v>157</v>
      </c>
      <c r="F157" s="9" t="s">
        <v>35</v>
      </c>
      <c r="M157" s="21">
        <v>0</v>
      </c>
    </row>
    <row r="158" spans="2:13">
      <c r="E158" s="21">
        <f t="shared" si="57"/>
        <v>158</v>
      </c>
      <c r="F158" s="9" t="s">
        <v>101</v>
      </c>
      <c r="M158" s="21">
        <f t="shared" ref="M158" si="63">M150*10+1</f>
        <v>129101</v>
      </c>
    </row>
    <row r="159" spans="2:13">
      <c r="E159" s="21">
        <f t="shared" si="57"/>
        <v>159</v>
      </c>
      <c r="F159" s="9" t="s">
        <v>159</v>
      </c>
      <c r="M159" s="21">
        <f t="shared" ref="M159" si="64">$J$15</f>
        <v>12900</v>
      </c>
    </row>
    <row r="160" spans="2:13">
      <c r="E160" s="21">
        <f t="shared" si="57"/>
        <v>160</v>
      </c>
      <c r="F160" s="9" t="s">
        <v>145</v>
      </c>
      <c r="M160" s="21">
        <f t="shared" ref="M160" si="65">M150</f>
        <v>12910</v>
      </c>
    </row>
    <row r="161" spans="2:13">
      <c r="E161" s="21">
        <f t="shared" si="57"/>
        <v>161</v>
      </c>
      <c r="F161" s="9" t="s">
        <v>127</v>
      </c>
      <c r="M161" s="21">
        <v>0</v>
      </c>
    </row>
    <row r="162" spans="2:13">
      <c r="E162" s="21">
        <f t="shared" si="57"/>
        <v>162</v>
      </c>
      <c r="F162" s="9" t="s">
        <v>100</v>
      </c>
      <c r="M162" s="21" t="s">
        <v>150</v>
      </c>
    </row>
    <row r="163" spans="2:13">
      <c r="E163" s="21">
        <f t="shared" si="57"/>
        <v>163</v>
      </c>
      <c r="F163" s="9" t="s">
        <v>107</v>
      </c>
      <c r="M163" s="21">
        <v>120</v>
      </c>
    </row>
    <row r="164" spans="2:13">
      <c r="B164" s="9">
        <f t="shared" ref="B164" si="66">QUOTIENT( D164-1,G165)+1</f>
        <v>1</v>
      </c>
      <c r="C164" s="21">
        <f t="shared" ref="C164" si="67">D164-(B164-1)*G165</f>
        <v>11</v>
      </c>
      <c r="D164" s="21">
        <f>COUNT($D$13:$D163)+1</f>
        <v>11</v>
      </c>
    </row>
    <row r="165" spans="2:13">
      <c r="E165" s="21">
        <f t="shared" si="57"/>
        <v>165</v>
      </c>
      <c r="F165" s="9" t="s">
        <v>93</v>
      </c>
      <c r="G165" s="21">
        <v>20</v>
      </c>
      <c r="H165" s="21">
        <v>1</v>
      </c>
      <c r="J165" s="9">
        <v>12900</v>
      </c>
      <c r="M165" s="21">
        <f t="shared" ref="M165" si="68">$J$15+D164</f>
        <v>12911</v>
      </c>
    </row>
    <row r="166" spans="2:13">
      <c r="E166" s="21">
        <f t="shared" si="57"/>
        <v>166</v>
      </c>
      <c r="F166" s="9" t="s">
        <v>145</v>
      </c>
      <c r="M166" s="21">
        <v>128001</v>
      </c>
    </row>
    <row r="167" spans="2:13">
      <c r="E167" s="21">
        <f t="shared" si="57"/>
        <v>167</v>
      </c>
      <c r="F167" s="9" t="s">
        <v>126</v>
      </c>
      <c r="G167" s="21">
        <v>120</v>
      </c>
      <c r="H167" s="21">
        <v>-3</v>
      </c>
      <c r="I167" s="21">
        <f t="shared" ref="I167" si="69">G167+(C164*H167)</f>
        <v>87</v>
      </c>
      <c r="M167" s="21">
        <f>SUM($I$15:$I167)</f>
        <v>1122</v>
      </c>
    </row>
    <row r="168" spans="2:13">
      <c r="E168" s="21">
        <f t="shared" si="57"/>
        <v>168</v>
      </c>
      <c r="F168" s="9" t="s">
        <v>29</v>
      </c>
      <c r="M168" s="21" t="s">
        <v>149</v>
      </c>
    </row>
    <row r="169" spans="2:13">
      <c r="E169" s="21">
        <f t="shared" si="57"/>
        <v>169</v>
      </c>
      <c r="F169" s="9" t="s">
        <v>98</v>
      </c>
      <c r="K169" s="9" t="s">
        <v>136</v>
      </c>
      <c r="M169" s="21" t="s">
        <v>156</v>
      </c>
    </row>
    <row r="170" spans="2:13">
      <c r="E170" s="21">
        <f t="shared" si="57"/>
        <v>170</v>
      </c>
      <c r="F170" s="9" t="s">
        <v>112</v>
      </c>
      <c r="L170" s="9" t="s">
        <v>135</v>
      </c>
      <c r="M170" s="21" t="s">
        <v>157</v>
      </c>
    </row>
    <row r="171" spans="2:13">
      <c r="E171" s="21">
        <f t="shared" si="57"/>
        <v>171</v>
      </c>
      <c r="F171" s="9" t="s">
        <v>161</v>
      </c>
      <c r="M171" s="21">
        <v>120</v>
      </c>
    </row>
    <row r="172" spans="2:13">
      <c r="E172" s="21">
        <f t="shared" si="57"/>
        <v>172</v>
      </c>
      <c r="F172" s="9" t="s">
        <v>35</v>
      </c>
      <c r="M172" s="21">
        <v>0</v>
      </c>
    </row>
    <row r="173" spans="2:13">
      <c r="E173" s="21">
        <f t="shared" si="57"/>
        <v>173</v>
      </c>
      <c r="F173" s="9" t="s">
        <v>101</v>
      </c>
      <c r="M173" s="21">
        <f t="shared" ref="M173" si="70">M165*10+1</f>
        <v>129111</v>
      </c>
    </row>
    <row r="174" spans="2:13">
      <c r="E174" s="21">
        <f t="shared" si="57"/>
        <v>174</v>
      </c>
      <c r="F174" s="9" t="s">
        <v>159</v>
      </c>
      <c r="M174" s="21">
        <f t="shared" ref="M174" si="71">$J$15</f>
        <v>12900</v>
      </c>
    </row>
    <row r="175" spans="2:13">
      <c r="E175" s="21">
        <f t="shared" si="57"/>
        <v>175</v>
      </c>
      <c r="F175" s="9" t="s">
        <v>145</v>
      </c>
      <c r="M175" s="21">
        <f t="shared" ref="M175" si="72">M165</f>
        <v>12911</v>
      </c>
    </row>
    <row r="176" spans="2:13">
      <c r="E176" s="21">
        <f t="shared" si="57"/>
        <v>176</v>
      </c>
      <c r="F176" s="9" t="s">
        <v>127</v>
      </c>
      <c r="M176" s="21">
        <v>0</v>
      </c>
    </row>
    <row r="177" spans="2:13">
      <c r="E177" s="21">
        <f t="shared" si="57"/>
        <v>177</v>
      </c>
      <c r="F177" s="9" t="s">
        <v>100</v>
      </c>
      <c r="M177" s="21" t="s">
        <v>150</v>
      </c>
    </row>
    <row r="178" spans="2:13">
      <c r="E178" s="21">
        <f t="shared" si="57"/>
        <v>178</v>
      </c>
      <c r="F178" s="9" t="s">
        <v>107</v>
      </c>
      <c r="M178" s="21">
        <v>120</v>
      </c>
    </row>
    <row r="179" spans="2:13">
      <c r="B179" s="9">
        <f t="shared" ref="B179" si="73">QUOTIENT( D179-1,G180)+1</f>
        <v>1</v>
      </c>
      <c r="C179" s="21">
        <f t="shared" ref="C179" si="74">D179-(B179-1)*G180</f>
        <v>12</v>
      </c>
      <c r="D179" s="21">
        <f>COUNT($D$13:$D178)+1</f>
        <v>12</v>
      </c>
    </row>
    <row r="180" spans="2:13">
      <c r="E180" s="21">
        <f t="shared" si="57"/>
        <v>180</v>
      </c>
      <c r="F180" s="9" t="s">
        <v>93</v>
      </c>
      <c r="G180" s="21">
        <v>20</v>
      </c>
      <c r="H180" s="21">
        <v>1</v>
      </c>
      <c r="J180" s="9">
        <v>12900</v>
      </c>
      <c r="M180" s="21">
        <f t="shared" ref="M180" si="75">$J$15+D179</f>
        <v>12912</v>
      </c>
    </row>
    <row r="181" spans="2:13">
      <c r="E181" s="21">
        <f t="shared" si="57"/>
        <v>181</v>
      </c>
      <c r="F181" s="9" t="s">
        <v>145</v>
      </c>
      <c r="M181" s="21">
        <v>128001</v>
      </c>
    </row>
    <row r="182" spans="2:13">
      <c r="E182" s="21">
        <f t="shared" si="57"/>
        <v>182</v>
      </c>
      <c r="F182" s="9" t="s">
        <v>126</v>
      </c>
      <c r="G182" s="21">
        <v>120</v>
      </c>
      <c r="H182" s="21">
        <v>-3</v>
      </c>
      <c r="I182" s="21">
        <f t="shared" ref="I182" si="76">G182+(C179*H182)</f>
        <v>84</v>
      </c>
      <c r="M182" s="21">
        <f>SUM($I$15:$I182)</f>
        <v>1206</v>
      </c>
    </row>
    <row r="183" spans="2:13">
      <c r="E183" s="21">
        <f t="shared" si="57"/>
        <v>183</v>
      </c>
      <c r="F183" s="9" t="s">
        <v>29</v>
      </c>
      <c r="M183" s="21" t="s">
        <v>149</v>
      </c>
    </row>
    <row r="184" spans="2:13">
      <c r="E184" s="21">
        <f t="shared" si="57"/>
        <v>184</v>
      </c>
      <c r="F184" s="9" t="s">
        <v>98</v>
      </c>
      <c r="K184" s="9" t="s">
        <v>136</v>
      </c>
      <c r="M184" s="21" t="s">
        <v>156</v>
      </c>
    </row>
    <row r="185" spans="2:13">
      <c r="E185" s="21">
        <f t="shared" si="57"/>
        <v>185</v>
      </c>
      <c r="F185" s="9" t="s">
        <v>112</v>
      </c>
      <c r="L185" s="9" t="s">
        <v>135</v>
      </c>
      <c r="M185" s="21" t="s">
        <v>157</v>
      </c>
    </row>
    <row r="186" spans="2:13">
      <c r="E186" s="21">
        <f t="shared" si="57"/>
        <v>186</v>
      </c>
      <c r="F186" s="9" t="s">
        <v>161</v>
      </c>
      <c r="M186" s="21">
        <v>120</v>
      </c>
    </row>
    <row r="187" spans="2:13">
      <c r="E187" s="21">
        <f t="shared" si="57"/>
        <v>187</v>
      </c>
      <c r="F187" s="9" t="s">
        <v>35</v>
      </c>
      <c r="M187" s="21">
        <v>0</v>
      </c>
    </row>
    <row r="188" spans="2:13">
      <c r="E188" s="21">
        <f t="shared" si="57"/>
        <v>188</v>
      </c>
      <c r="F188" s="9" t="s">
        <v>101</v>
      </c>
      <c r="M188" s="21">
        <f t="shared" ref="M188" si="77">M180*10+1</f>
        <v>129121</v>
      </c>
    </row>
    <row r="189" spans="2:13">
      <c r="E189" s="21">
        <f t="shared" si="57"/>
        <v>189</v>
      </c>
      <c r="F189" s="9" t="s">
        <v>159</v>
      </c>
      <c r="M189" s="21">
        <f t="shared" ref="M189" si="78">$J$15</f>
        <v>12900</v>
      </c>
    </row>
    <row r="190" spans="2:13">
      <c r="E190" s="21">
        <f t="shared" si="57"/>
        <v>190</v>
      </c>
      <c r="F190" s="9" t="s">
        <v>145</v>
      </c>
      <c r="M190" s="21">
        <f t="shared" ref="M190" si="79">M180</f>
        <v>12912</v>
      </c>
    </row>
    <row r="191" spans="2:13">
      <c r="E191" s="21">
        <f t="shared" si="57"/>
        <v>191</v>
      </c>
      <c r="F191" s="9" t="s">
        <v>127</v>
      </c>
      <c r="M191" s="21">
        <v>0</v>
      </c>
    </row>
    <row r="192" spans="2:13">
      <c r="E192" s="21">
        <f t="shared" si="57"/>
        <v>192</v>
      </c>
      <c r="F192" s="9" t="s">
        <v>100</v>
      </c>
      <c r="M192" s="21" t="s">
        <v>150</v>
      </c>
    </row>
    <row r="193" spans="2:13">
      <c r="E193" s="21">
        <f t="shared" si="57"/>
        <v>193</v>
      </c>
      <c r="F193" s="9" t="s">
        <v>107</v>
      </c>
      <c r="M193" s="21">
        <v>120</v>
      </c>
    </row>
    <row r="194" spans="2:13">
      <c r="B194" s="9">
        <f t="shared" ref="B194" si="80">QUOTIENT( D194-1,G195)+1</f>
        <v>1</v>
      </c>
      <c r="C194" s="21">
        <f t="shared" ref="C194" si="81">D194-(B194-1)*G195</f>
        <v>13</v>
      </c>
      <c r="D194" s="21">
        <f>COUNT($D$13:$D193)+1</f>
        <v>13</v>
      </c>
    </row>
    <row r="195" spans="2:13">
      <c r="E195" s="21">
        <f t="shared" si="57"/>
        <v>195</v>
      </c>
      <c r="F195" s="9" t="s">
        <v>93</v>
      </c>
      <c r="G195" s="21">
        <v>20</v>
      </c>
      <c r="H195" s="21">
        <v>1</v>
      </c>
      <c r="J195" s="9">
        <v>12900</v>
      </c>
      <c r="M195" s="21">
        <f t="shared" ref="M195" si="82">$J$15+D194</f>
        <v>12913</v>
      </c>
    </row>
    <row r="196" spans="2:13">
      <c r="E196" s="21">
        <f t="shared" si="57"/>
        <v>196</v>
      </c>
      <c r="F196" s="9" t="s">
        <v>145</v>
      </c>
      <c r="M196" s="21">
        <v>128001</v>
      </c>
    </row>
    <row r="197" spans="2:13">
      <c r="E197" s="21">
        <f t="shared" si="57"/>
        <v>197</v>
      </c>
      <c r="F197" s="9" t="s">
        <v>126</v>
      </c>
      <c r="G197" s="21">
        <v>120</v>
      </c>
      <c r="H197" s="21">
        <v>-3</v>
      </c>
      <c r="I197" s="21">
        <f t="shared" ref="I197" si="83">G197+(C194*H197)</f>
        <v>81</v>
      </c>
      <c r="M197" s="21">
        <f>SUM($I$15:$I197)</f>
        <v>1287</v>
      </c>
    </row>
    <row r="198" spans="2:13">
      <c r="E198" s="21">
        <f t="shared" si="57"/>
        <v>198</v>
      </c>
      <c r="F198" s="9" t="s">
        <v>29</v>
      </c>
      <c r="M198" s="21" t="s">
        <v>149</v>
      </c>
    </row>
    <row r="199" spans="2:13">
      <c r="E199" s="21">
        <f t="shared" si="57"/>
        <v>199</v>
      </c>
      <c r="F199" s="9" t="s">
        <v>98</v>
      </c>
      <c r="K199" s="9" t="s">
        <v>136</v>
      </c>
      <c r="M199" s="21" t="s">
        <v>156</v>
      </c>
    </row>
    <row r="200" spans="2:13">
      <c r="E200" s="21">
        <f t="shared" si="57"/>
        <v>200</v>
      </c>
      <c r="F200" s="9" t="s">
        <v>112</v>
      </c>
      <c r="L200" s="9" t="s">
        <v>135</v>
      </c>
      <c r="M200" s="21" t="s">
        <v>157</v>
      </c>
    </row>
    <row r="201" spans="2:13">
      <c r="E201" s="21">
        <f t="shared" si="57"/>
        <v>201</v>
      </c>
      <c r="F201" s="9" t="s">
        <v>161</v>
      </c>
      <c r="M201" s="21">
        <v>120</v>
      </c>
    </row>
    <row r="202" spans="2:13">
      <c r="E202" s="21">
        <f t="shared" si="57"/>
        <v>202</v>
      </c>
      <c r="F202" s="9" t="s">
        <v>35</v>
      </c>
      <c r="M202" s="21">
        <v>0</v>
      </c>
    </row>
    <row r="203" spans="2:13">
      <c r="E203" s="21">
        <f t="shared" si="57"/>
        <v>203</v>
      </c>
      <c r="F203" s="9" t="s">
        <v>101</v>
      </c>
      <c r="M203" s="21">
        <f t="shared" ref="M203" si="84">M195*10+1</f>
        <v>129131</v>
      </c>
    </row>
    <row r="204" spans="2:13">
      <c r="E204" s="21">
        <f t="shared" si="57"/>
        <v>204</v>
      </c>
      <c r="F204" s="9" t="s">
        <v>159</v>
      </c>
      <c r="M204" s="21">
        <f t="shared" ref="M204" si="85">$J$15</f>
        <v>12900</v>
      </c>
    </row>
    <row r="205" spans="2:13">
      <c r="E205" s="21">
        <f t="shared" si="57"/>
        <v>205</v>
      </c>
      <c r="F205" s="9" t="s">
        <v>145</v>
      </c>
      <c r="M205" s="21">
        <f t="shared" ref="M205" si="86">M195</f>
        <v>12913</v>
      </c>
    </row>
    <row r="206" spans="2:13">
      <c r="E206" s="21">
        <f t="shared" si="57"/>
        <v>206</v>
      </c>
      <c r="F206" s="9" t="s">
        <v>127</v>
      </c>
      <c r="M206" s="21">
        <v>0</v>
      </c>
    </row>
    <row r="207" spans="2:13">
      <c r="E207" s="21">
        <f t="shared" si="57"/>
        <v>207</v>
      </c>
      <c r="F207" s="9" t="s">
        <v>100</v>
      </c>
      <c r="M207" s="21" t="s">
        <v>150</v>
      </c>
    </row>
    <row r="208" spans="2:13">
      <c r="E208" s="21">
        <f t="shared" si="57"/>
        <v>208</v>
      </c>
      <c r="F208" s="9" t="s">
        <v>107</v>
      </c>
      <c r="M208" s="21">
        <v>120</v>
      </c>
    </row>
    <row r="209" spans="2:13">
      <c r="B209" s="9">
        <f t="shared" ref="B209" si="87">QUOTIENT( D209-1,G210)+1</f>
        <v>1</v>
      </c>
      <c r="C209" s="21">
        <f t="shared" ref="C209" si="88">D209-(B209-1)*G210</f>
        <v>14</v>
      </c>
      <c r="D209" s="21">
        <f>COUNT($D$13:$D208)+1</f>
        <v>14</v>
      </c>
    </row>
    <row r="210" spans="2:13">
      <c r="E210" s="21">
        <f t="shared" ref="E210:E273" si="89">ROW(E210)</f>
        <v>210</v>
      </c>
      <c r="F210" s="9" t="s">
        <v>93</v>
      </c>
      <c r="G210" s="21">
        <v>20</v>
      </c>
      <c r="H210" s="21">
        <v>1</v>
      </c>
      <c r="J210" s="9">
        <v>12900</v>
      </c>
      <c r="M210" s="21">
        <f t="shared" ref="M210" si="90">$J$15+D209</f>
        <v>12914</v>
      </c>
    </row>
    <row r="211" spans="2:13">
      <c r="E211" s="21">
        <f t="shared" si="89"/>
        <v>211</v>
      </c>
      <c r="F211" s="9" t="s">
        <v>145</v>
      </c>
      <c r="M211" s="21">
        <v>128001</v>
      </c>
    </row>
    <row r="212" spans="2:13">
      <c r="E212" s="21">
        <f t="shared" si="89"/>
        <v>212</v>
      </c>
      <c r="F212" s="9" t="s">
        <v>126</v>
      </c>
      <c r="G212" s="21">
        <v>120</v>
      </c>
      <c r="H212" s="21">
        <v>-3</v>
      </c>
      <c r="I212" s="21">
        <f t="shared" ref="I212" si="91">G212+(C209*H212)</f>
        <v>78</v>
      </c>
      <c r="M212" s="21">
        <f>SUM($I$15:$I212)</f>
        <v>1365</v>
      </c>
    </row>
    <row r="213" spans="2:13">
      <c r="E213" s="21">
        <f t="shared" si="89"/>
        <v>213</v>
      </c>
      <c r="F213" s="9" t="s">
        <v>29</v>
      </c>
      <c r="M213" s="21" t="s">
        <v>149</v>
      </c>
    </row>
    <row r="214" spans="2:13">
      <c r="E214" s="21">
        <f t="shared" si="89"/>
        <v>214</v>
      </c>
      <c r="F214" s="9" t="s">
        <v>98</v>
      </c>
      <c r="K214" s="9" t="s">
        <v>136</v>
      </c>
      <c r="M214" s="21" t="s">
        <v>156</v>
      </c>
    </row>
    <row r="215" spans="2:13">
      <c r="E215" s="21">
        <f t="shared" si="89"/>
        <v>215</v>
      </c>
      <c r="F215" s="9" t="s">
        <v>112</v>
      </c>
      <c r="L215" s="9" t="s">
        <v>135</v>
      </c>
      <c r="M215" s="21" t="s">
        <v>157</v>
      </c>
    </row>
    <row r="216" spans="2:13">
      <c r="E216" s="21">
        <f t="shared" si="89"/>
        <v>216</v>
      </c>
      <c r="F216" s="9" t="s">
        <v>161</v>
      </c>
      <c r="M216" s="21">
        <v>120</v>
      </c>
    </row>
    <row r="217" spans="2:13">
      <c r="E217" s="21">
        <f t="shared" si="89"/>
        <v>217</v>
      </c>
      <c r="F217" s="9" t="s">
        <v>35</v>
      </c>
      <c r="M217" s="21">
        <v>0</v>
      </c>
    </row>
    <row r="218" spans="2:13">
      <c r="E218" s="21">
        <f t="shared" si="89"/>
        <v>218</v>
      </c>
      <c r="F218" s="9" t="s">
        <v>101</v>
      </c>
      <c r="M218" s="21">
        <f t="shared" ref="M218" si="92">M210*10+1</f>
        <v>129141</v>
      </c>
    </row>
    <row r="219" spans="2:13">
      <c r="E219" s="21">
        <f t="shared" si="89"/>
        <v>219</v>
      </c>
      <c r="F219" s="9" t="s">
        <v>159</v>
      </c>
      <c r="M219" s="21">
        <f t="shared" ref="M219" si="93">$J$15</f>
        <v>12900</v>
      </c>
    </row>
    <row r="220" spans="2:13">
      <c r="E220" s="21">
        <f t="shared" si="89"/>
        <v>220</v>
      </c>
      <c r="F220" s="9" t="s">
        <v>145</v>
      </c>
      <c r="M220" s="21">
        <f t="shared" ref="M220" si="94">M210</f>
        <v>12914</v>
      </c>
    </row>
    <row r="221" spans="2:13">
      <c r="E221" s="21">
        <f t="shared" si="89"/>
        <v>221</v>
      </c>
      <c r="F221" s="9" t="s">
        <v>127</v>
      </c>
      <c r="M221" s="21">
        <v>0</v>
      </c>
    </row>
    <row r="222" spans="2:13">
      <c r="E222" s="21">
        <f t="shared" si="89"/>
        <v>222</v>
      </c>
      <c r="F222" s="9" t="s">
        <v>100</v>
      </c>
      <c r="M222" s="21" t="s">
        <v>150</v>
      </c>
    </row>
    <row r="223" spans="2:13">
      <c r="E223" s="21">
        <f t="shared" si="89"/>
        <v>223</v>
      </c>
      <c r="F223" s="9" t="s">
        <v>107</v>
      </c>
      <c r="M223" s="21">
        <v>120</v>
      </c>
    </row>
    <row r="224" spans="2:13">
      <c r="B224" s="9">
        <f t="shared" ref="B224" si="95">QUOTIENT( D224-1,G225)+1</f>
        <v>1</v>
      </c>
      <c r="C224" s="21">
        <f t="shared" ref="C224" si="96">D224-(B224-1)*G225</f>
        <v>15</v>
      </c>
      <c r="D224" s="21">
        <f>COUNT($D$13:$D223)+1</f>
        <v>15</v>
      </c>
    </row>
    <row r="225" spans="2:13">
      <c r="E225" s="21">
        <f t="shared" si="89"/>
        <v>225</v>
      </c>
      <c r="F225" s="9" t="s">
        <v>93</v>
      </c>
      <c r="G225" s="21">
        <v>20</v>
      </c>
      <c r="H225" s="21">
        <v>1</v>
      </c>
      <c r="J225" s="9">
        <v>12900</v>
      </c>
      <c r="M225" s="21">
        <f t="shared" ref="M225" si="97">$J$15+D224</f>
        <v>12915</v>
      </c>
    </row>
    <row r="226" spans="2:13">
      <c r="E226" s="21">
        <f t="shared" si="89"/>
        <v>226</v>
      </c>
      <c r="F226" s="9" t="s">
        <v>145</v>
      </c>
      <c r="M226" s="21">
        <v>128001</v>
      </c>
    </row>
    <row r="227" spans="2:13">
      <c r="E227" s="21">
        <f t="shared" si="89"/>
        <v>227</v>
      </c>
      <c r="F227" s="9" t="s">
        <v>126</v>
      </c>
      <c r="G227" s="21">
        <v>120</v>
      </c>
      <c r="H227" s="21">
        <v>-3</v>
      </c>
      <c r="I227" s="21">
        <f t="shared" ref="I227" si="98">G227+(C224*H227)</f>
        <v>75</v>
      </c>
      <c r="M227" s="21">
        <f>SUM($I$15:$I227)</f>
        <v>1440</v>
      </c>
    </row>
    <row r="228" spans="2:13">
      <c r="E228" s="21">
        <f t="shared" si="89"/>
        <v>228</v>
      </c>
      <c r="F228" s="9" t="s">
        <v>29</v>
      </c>
      <c r="M228" s="21" t="s">
        <v>149</v>
      </c>
    </row>
    <row r="229" spans="2:13">
      <c r="E229" s="21">
        <f t="shared" si="89"/>
        <v>229</v>
      </c>
      <c r="F229" s="9" t="s">
        <v>98</v>
      </c>
      <c r="K229" s="9" t="s">
        <v>136</v>
      </c>
      <c r="M229" s="21" t="s">
        <v>156</v>
      </c>
    </row>
    <row r="230" spans="2:13">
      <c r="E230" s="21">
        <f t="shared" si="89"/>
        <v>230</v>
      </c>
      <c r="F230" s="9" t="s">
        <v>112</v>
      </c>
      <c r="L230" s="9" t="s">
        <v>135</v>
      </c>
      <c r="M230" s="21" t="s">
        <v>157</v>
      </c>
    </row>
    <row r="231" spans="2:13">
      <c r="E231" s="21">
        <f t="shared" si="89"/>
        <v>231</v>
      </c>
      <c r="F231" s="9" t="s">
        <v>161</v>
      </c>
      <c r="M231" s="21">
        <v>120</v>
      </c>
    </row>
    <row r="232" spans="2:13">
      <c r="E232" s="21">
        <f t="shared" si="89"/>
        <v>232</v>
      </c>
      <c r="F232" s="9" t="s">
        <v>35</v>
      </c>
      <c r="M232" s="21">
        <v>0</v>
      </c>
    </row>
    <row r="233" spans="2:13">
      <c r="E233" s="21">
        <f t="shared" si="89"/>
        <v>233</v>
      </c>
      <c r="F233" s="9" t="s">
        <v>101</v>
      </c>
      <c r="M233" s="21">
        <f t="shared" ref="M233" si="99">M225*10+1</f>
        <v>129151</v>
      </c>
    </row>
    <row r="234" spans="2:13">
      <c r="E234" s="21">
        <f t="shared" si="89"/>
        <v>234</v>
      </c>
      <c r="F234" s="9" t="s">
        <v>159</v>
      </c>
      <c r="M234" s="21">
        <f t="shared" ref="M234" si="100">$J$15</f>
        <v>12900</v>
      </c>
    </row>
    <row r="235" spans="2:13">
      <c r="E235" s="21">
        <f t="shared" si="89"/>
        <v>235</v>
      </c>
      <c r="F235" s="9" t="s">
        <v>145</v>
      </c>
      <c r="M235" s="21">
        <f t="shared" ref="M235" si="101">M225</f>
        <v>12915</v>
      </c>
    </row>
    <row r="236" spans="2:13">
      <c r="E236" s="21">
        <f t="shared" si="89"/>
        <v>236</v>
      </c>
      <c r="F236" s="9" t="s">
        <v>127</v>
      </c>
      <c r="M236" s="21">
        <v>0</v>
      </c>
    </row>
    <row r="237" spans="2:13">
      <c r="E237" s="21">
        <f t="shared" si="89"/>
        <v>237</v>
      </c>
      <c r="F237" s="9" t="s">
        <v>100</v>
      </c>
      <c r="M237" s="21" t="s">
        <v>150</v>
      </c>
    </row>
    <row r="238" spans="2:13">
      <c r="E238" s="21">
        <f t="shared" si="89"/>
        <v>238</v>
      </c>
      <c r="F238" s="9" t="s">
        <v>107</v>
      </c>
      <c r="M238" s="21">
        <v>120</v>
      </c>
    </row>
    <row r="239" spans="2:13">
      <c r="B239" s="9">
        <f t="shared" ref="B239" si="102">QUOTIENT( D239-1,G240)+1</f>
        <v>1</v>
      </c>
      <c r="C239" s="21">
        <f t="shared" ref="C239" si="103">D239-(B239-1)*G240</f>
        <v>16</v>
      </c>
      <c r="D239" s="21">
        <f>COUNT($D$13:$D238)+1</f>
        <v>16</v>
      </c>
    </row>
    <row r="240" spans="2:13">
      <c r="E240" s="21">
        <f t="shared" si="89"/>
        <v>240</v>
      </c>
      <c r="F240" s="9" t="s">
        <v>93</v>
      </c>
      <c r="G240" s="21">
        <v>20</v>
      </c>
      <c r="H240" s="21">
        <v>1</v>
      </c>
      <c r="J240" s="9">
        <v>12900</v>
      </c>
      <c r="M240" s="21">
        <f t="shared" ref="M240" si="104">$J$15+D239</f>
        <v>12916</v>
      </c>
    </row>
    <row r="241" spans="2:13">
      <c r="E241" s="21">
        <f t="shared" si="89"/>
        <v>241</v>
      </c>
      <c r="F241" s="9" t="s">
        <v>145</v>
      </c>
      <c r="M241" s="21">
        <v>128001</v>
      </c>
    </row>
    <row r="242" spans="2:13">
      <c r="E242" s="21">
        <f t="shared" si="89"/>
        <v>242</v>
      </c>
      <c r="F242" s="9" t="s">
        <v>126</v>
      </c>
      <c r="G242" s="21">
        <v>120</v>
      </c>
      <c r="H242" s="21">
        <v>-3</v>
      </c>
      <c r="I242" s="21">
        <f t="shared" ref="I242" si="105">G242+(C239*H242)</f>
        <v>72</v>
      </c>
      <c r="M242" s="21">
        <f>SUM($I$15:$I242)</f>
        <v>1512</v>
      </c>
    </row>
    <row r="243" spans="2:13">
      <c r="E243" s="21">
        <f t="shared" si="89"/>
        <v>243</v>
      </c>
      <c r="F243" s="9" t="s">
        <v>29</v>
      </c>
      <c r="M243" s="21" t="s">
        <v>149</v>
      </c>
    </row>
    <row r="244" spans="2:13">
      <c r="E244" s="21">
        <f t="shared" si="89"/>
        <v>244</v>
      </c>
      <c r="F244" s="9" t="s">
        <v>98</v>
      </c>
      <c r="K244" s="9" t="s">
        <v>136</v>
      </c>
      <c r="M244" s="21" t="s">
        <v>156</v>
      </c>
    </row>
    <row r="245" spans="2:13">
      <c r="E245" s="21">
        <f t="shared" si="89"/>
        <v>245</v>
      </c>
      <c r="F245" s="9" t="s">
        <v>112</v>
      </c>
      <c r="L245" s="9" t="s">
        <v>135</v>
      </c>
      <c r="M245" s="21" t="s">
        <v>157</v>
      </c>
    </row>
    <row r="246" spans="2:13">
      <c r="E246" s="21">
        <f t="shared" si="89"/>
        <v>246</v>
      </c>
      <c r="F246" s="9" t="s">
        <v>161</v>
      </c>
      <c r="M246" s="21">
        <v>120</v>
      </c>
    </row>
    <row r="247" spans="2:13">
      <c r="E247" s="21">
        <f t="shared" si="89"/>
        <v>247</v>
      </c>
      <c r="F247" s="9" t="s">
        <v>35</v>
      </c>
      <c r="M247" s="21">
        <v>0</v>
      </c>
    </row>
    <row r="248" spans="2:13">
      <c r="E248" s="21">
        <f t="shared" si="89"/>
        <v>248</v>
      </c>
      <c r="F248" s="9" t="s">
        <v>101</v>
      </c>
      <c r="M248" s="21">
        <f t="shared" ref="M248" si="106">M240*10+1</f>
        <v>129161</v>
      </c>
    </row>
    <row r="249" spans="2:13">
      <c r="E249" s="21">
        <f t="shared" si="89"/>
        <v>249</v>
      </c>
      <c r="F249" s="9" t="s">
        <v>159</v>
      </c>
      <c r="M249" s="21">
        <f t="shared" ref="M249" si="107">$J$15</f>
        <v>12900</v>
      </c>
    </row>
    <row r="250" spans="2:13">
      <c r="E250" s="21">
        <f t="shared" si="89"/>
        <v>250</v>
      </c>
      <c r="F250" s="9" t="s">
        <v>145</v>
      </c>
      <c r="M250" s="21">
        <f t="shared" ref="M250" si="108">M240</f>
        <v>12916</v>
      </c>
    </row>
    <row r="251" spans="2:13">
      <c r="E251" s="21">
        <f t="shared" si="89"/>
        <v>251</v>
      </c>
      <c r="F251" s="9" t="s">
        <v>127</v>
      </c>
      <c r="M251" s="21">
        <v>0</v>
      </c>
    </row>
    <row r="252" spans="2:13">
      <c r="E252" s="21">
        <f t="shared" si="89"/>
        <v>252</v>
      </c>
      <c r="F252" s="9" t="s">
        <v>100</v>
      </c>
      <c r="M252" s="21" t="s">
        <v>150</v>
      </c>
    </row>
    <row r="253" spans="2:13">
      <c r="E253" s="21">
        <f t="shared" si="89"/>
        <v>253</v>
      </c>
      <c r="F253" s="9" t="s">
        <v>107</v>
      </c>
      <c r="M253" s="21">
        <v>120</v>
      </c>
    </row>
    <row r="254" spans="2:13">
      <c r="B254" s="9">
        <f t="shared" ref="B254" si="109">QUOTIENT( D254-1,G255)+1</f>
        <v>1</v>
      </c>
      <c r="C254" s="21">
        <f t="shared" ref="C254" si="110">D254-(B254-1)*G255</f>
        <v>17</v>
      </c>
      <c r="D254" s="21">
        <f>COUNT($D$13:$D253)+1</f>
        <v>17</v>
      </c>
    </row>
    <row r="255" spans="2:13">
      <c r="E255" s="21">
        <f t="shared" si="89"/>
        <v>255</v>
      </c>
      <c r="F255" s="9" t="s">
        <v>93</v>
      </c>
      <c r="G255" s="21">
        <v>20</v>
      </c>
      <c r="H255" s="21">
        <v>1</v>
      </c>
      <c r="J255" s="9">
        <v>12900</v>
      </c>
      <c r="M255" s="21">
        <f t="shared" ref="M255" si="111">$J$15+D254</f>
        <v>12917</v>
      </c>
    </row>
    <row r="256" spans="2:13">
      <c r="E256" s="21">
        <f t="shared" si="89"/>
        <v>256</v>
      </c>
      <c r="F256" s="9" t="s">
        <v>145</v>
      </c>
      <c r="M256" s="21">
        <v>128001</v>
      </c>
    </row>
    <row r="257" spans="2:13">
      <c r="E257" s="21">
        <f t="shared" si="89"/>
        <v>257</v>
      </c>
      <c r="F257" s="9" t="s">
        <v>126</v>
      </c>
      <c r="G257" s="21">
        <v>120</v>
      </c>
      <c r="H257" s="21">
        <v>-3</v>
      </c>
      <c r="I257" s="21">
        <f t="shared" ref="I257" si="112">G257+(C254*H257)</f>
        <v>69</v>
      </c>
      <c r="M257" s="21">
        <f>SUM($I$15:$I257)</f>
        <v>1581</v>
      </c>
    </row>
    <row r="258" spans="2:13">
      <c r="E258" s="21">
        <f t="shared" si="89"/>
        <v>258</v>
      </c>
      <c r="F258" s="9" t="s">
        <v>29</v>
      </c>
      <c r="M258" s="21" t="s">
        <v>149</v>
      </c>
    </row>
    <row r="259" spans="2:13">
      <c r="E259" s="21">
        <f t="shared" si="89"/>
        <v>259</v>
      </c>
      <c r="F259" s="9" t="s">
        <v>98</v>
      </c>
      <c r="K259" s="9" t="s">
        <v>136</v>
      </c>
      <c r="M259" s="21" t="s">
        <v>156</v>
      </c>
    </row>
    <row r="260" spans="2:13">
      <c r="E260" s="21">
        <f t="shared" si="89"/>
        <v>260</v>
      </c>
      <c r="F260" s="9" t="s">
        <v>112</v>
      </c>
      <c r="L260" s="9" t="s">
        <v>135</v>
      </c>
      <c r="M260" s="21" t="s">
        <v>157</v>
      </c>
    </row>
    <row r="261" spans="2:13">
      <c r="E261" s="21">
        <f t="shared" si="89"/>
        <v>261</v>
      </c>
      <c r="F261" s="9" t="s">
        <v>161</v>
      </c>
      <c r="M261" s="21">
        <v>120</v>
      </c>
    </row>
    <row r="262" spans="2:13">
      <c r="E262" s="21">
        <f t="shared" si="89"/>
        <v>262</v>
      </c>
      <c r="F262" s="9" t="s">
        <v>35</v>
      </c>
      <c r="M262" s="21">
        <v>0</v>
      </c>
    </row>
    <row r="263" spans="2:13">
      <c r="E263" s="21">
        <f t="shared" si="89"/>
        <v>263</v>
      </c>
      <c r="F263" s="9" t="s">
        <v>101</v>
      </c>
      <c r="M263" s="21">
        <f t="shared" ref="M263" si="113">M255*10+1</f>
        <v>129171</v>
      </c>
    </row>
    <row r="264" spans="2:13">
      <c r="E264" s="21">
        <f t="shared" si="89"/>
        <v>264</v>
      </c>
      <c r="F264" s="9" t="s">
        <v>159</v>
      </c>
      <c r="M264" s="21">
        <f t="shared" ref="M264" si="114">$J$15</f>
        <v>12900</v>
      </c>
    </row>
    <row r="265" spans="2:13">
      <c r="E265" s="21">
        <f t="shared" si="89"/>
        <v>265</v>
      </c>
      <c r="F265" s="9" t="s">
        <v>145</v>
      </c>
      <c r="M265" s="21">
        <f t="shared" ref="M265" si="115">M255</f>
        <v>12917</v>
      </c>
    </row>
    <row r="266" spans="2:13">
      <c r="E266" s="21">
        <f t="shared" si="89"/>
        <v>266</v>
      </c>
      <c r="F266" s="9" t="s">
        <v>127</v>
      </c>
      <c r="M266" s="21">
        <v>0</v>
      </c>
    </row>
    <row r="267" spans="2:13">
      <c r="E267" s="21">
        <f t="shared" si="89"/>
        <v>267</v>
      </c>
      <c r="F267" s="9" t="s">
        <v>100</v>
      </c>
      <c r="M267" s="21" t="s">
        <v>150</v>
      </c>
    </row>
    <row r="268" spans="2:13">
      <c r="E268" s="21">
        <f t="shared" si="89"/>
        <v>268</v>
      </c>
      <c r="F268" s="9" t="s">
        <v>107</v>
      </c>
      <c r="M268" s="21">
        <v>120</v>
      </c>
    </row>
    <row r="269" spans="2:13">
      <c r="B269" s="9">
        <f t="shared" ref="B269" si="116">QUOTIENT( D269-1,G270)+1</f>
        <v>1</v>
      </c>
      <c r="C269" s="21">
        <f t="shared" ref="C269" si="117">D269-(B269-1)*G270</f>
        <v>18</v>
      </c>
      <c r="D269" s="21">
        <f>COUNT($D$13:$D268)+1</f>
        <v>18</v>
      </c>
    </row>
    <row r="270" spans="2:13">
      <c r="E270" s="21">
        <f t="shared" si="89"/>
        <v>270</v>
      </c>
      <c r="F270" s="9" t="s">
        <v>93</v>
      </c>
      <c r="G270" s="21">
        <v>20</v>
      </c>
      <c r="H270" s="21">
        <v>1</v>
      </c>
      <c r="J270" s="9">
        <v>12900</v>
      </c>
      <c r="M270" s="21">
        <f t="shared" ref="M270" si="118">$J$15+D269</f>
        <v>12918</v>
      </c>
    </row>
    <row r="271" spans="2:13">
      <c r="E271" s="21">
        <f t="shared" si="89"/>
        <v>271</v>
      </c>
      <c r="F271" s="9" t="s">
        <v>145</v>
      </c>
      <c r="M271" s="21">
        <v>128001</v>
      </c>
    </row>
    <row r="272" spans="2:13">
      <c r="E272" s="21">
        <f t="shared" si="89"/>
        <v>272</v>
      </c>
      <c r="F272" s="9" t="s">
        <v>126</v>
      </c>
      <c r="G272" s="21">
        <v>120</v>
      </c>
      <c r="H272" s="21">
        <v>-3</v>
      </c>
      <c r="I272" s="21">
        <f t="shared" ref="I272" si="119">G272+(C269*H272)</f>
        <v>66</v>
      </c>
      <c r="M272" s="21">
        <f>SUM($I$15:$I272)</f>
        <v>1647</v>
      </c>
    </row>
    <row r="273" spans="2:13">
      <c r="E273" s="21">
        <f t="shared" si="89"/>
        <v>273</v>
      </c>
      <c r="F273" s="9" t="s">
        <v>29</v>
      </c>
      <c r="M273" s="21" t="s">
        <v>149</v>
      </c>
    </row>
    <row r="274" spans="2:13">
      <c r="E274" s="21">
        <f t="shared" ref="E274:E313" si="120">ROW(E274)</f>
        <v>274</v>
      </c>
      <c r="F274" s="9" t="s">
        <v>98</v>
      </c>
      <c r="K274" s="9" t="s">
        <v>136</v>
      </c>
      <c r="M274" s="21" t="s">
        <v>156</v>
      </c>
    </row>
    <row r="275" spans="2:13">
      <c r="E275" s="21">
        <f t="shared" si="120"/>
        <v>275</v>
      </c>
      <c r="F275" s="9" t="s">
        <v>112</v>
      </c>
      <c r="L275" s="9" t="s">
        <v>135</v>
      </c>
      <c r="M275" s="21" t="s">
        <v>157</v>
      </c>
    </row>
    <row r="276" spans="2:13">
      <c r="E276" s="21">
        <f t="shared" si="120"/>
        <v>276</v>
      </c>
      <c r="F276" s="9" t="s">
        <v>161</v>
      </c>
      <c r="M276" s="21">
        <v>120</v>
      </c>
    </row>
    <row r="277" spans="2:13">
      <c r="E277" s="21">
        <f t="shared" si="120"/>
        <v>277</v>
      </c>
      <c r="F277" s="9" t="s">
        <v>35</v>
      </c>
      <c r="M277" s="21">
        <v>0</v>
      </c>
    </row>
    <row r="278" spans="2:13">
      <c r="E278" s="21">
        <f t="shared" si="120"/>
        <v>278</v>
      </c>
      <c r="F278" s="9" t="s">
        <v>101</v>
      </c>
      <c r="M278" s="21">
        <f t="shared" ref="M278" si="121">M270*10+1</f>
        <v>129181</v>
      </c>
    </row>
    <row r="279" spans="2:13">
      <c r="E279" s="21">
        <f t="shared" si="120"/>
        <v>279</v>
      </c>
      <c r="F279" s="9" t="s">
        <v>159</v>
      </c>
      <c r="M279" s="21">
        <f t="shared" ref="M279" si="122">$J$15</f>
        <v>12900</v>
      </c>
    </row>
    <row r="280" spans="2:13">
      <c r="E280" s="21">
        <f t="shared" si="120"/>
        <v>280</v>
      </c>
      <c r="F280" s="9" t="s">
        <v>145</v>
      </c>
      <c r="M280" s="21">
        <f t="shared" ref="M280" si="123">M270</f>
        <v>12918</v>
      </c>
    </row>
    <row r="281" spans="2:13">
      <c r="E281" s="21">
        <f t="shared" si="120"/>
        <v>281</v>
      </c>
      <c r="F281" s="9" t="s">
        <v>127</v>
      </c>
      <c r="M281" s="21">
        <v>0</v>
      </c>
    </row>
    <row r="282" spans="2:13">
      <c r="E282" s="21">
        <f t="shared" si="120"/>
        <v>282</v>
      </c>
      <c r="F282" s="9" t="s">
        <v>100</v>
      </c>
      <c r="M282" s="21" t="s">
        <v>150</v>
      </c>
    </row>
    <row r="283" spans="2:13">
      <c r="E283" s="21">
        <f t="shared" si="120"/>
        <v>283</v>
      </c>
      <c r="F283" s="9" t="s">
        <v>107</v>
      </c>
      <c r="M283" s="21">
        <v>120</v>
      </c>
    </row>
    <row r="284" spans="2:13">
      <c r="B284" s="9">
        <f t="shared" ref="B284" si="124">QUOTIENT( D284-1,G285)+1</f>
        <v>1</v>
      </c>
      <c r="C284" s="21">
        <f t="shared" ref="C284" si="125">D284-(B284-1)*G285</f>
        <v>19</v>
      </c>
      <c r="D284" s="21">
        <f>COUNT($D$13:$D283)+1</f>
        <v>19</v>
      </c>
    </row>
    <row r="285" spans="2:13">
      <c r="E285" s="21">
        <f t="shared" si="120"/>
        <v>285</v>
      </c>
      <c r="F285" s="9" t="s">
        <v>93</v>
      </c>
      <c r="G285" s="21">
        <v>20</v>
      </c>
      <c r="H285" s="21">
        <v>1</v>
      </c>
      <c r="J285" s="9">
        <v>12900</v>
      </c>
      <c r="M285" s="21">
        <f t="shared" ref="M285" si="126">$J$15+D284</f>
        <v>12919</v>
      </c>
    </row>
    <row r="286" spans="2:13">
      <c r="E286" s="21">
        <f t="shared" si="120"/>
        <v>286</v>
      </c>
      <c r="F286" s="9" t="s">
        <v>145</v>
      </c>
      <c r="M286" s="21">
        <v>128001</v>
      </c>
    </row>
    <row r="287" spans="2:13">
      <c r="E287" s="21">
        <f t="shared" si="120"/>
        <v>287</v>
      </c>
      <c r="F287" s="9" t="s">
        <v>126</v>
      </c>
      <c r="G287" s="21">
        <v>120</v>
      </c>
      <c r="H287" s="21">
        <v>-3</v>
      </c>
      <c r="I287" s="21">
        <f t="shared" ref="I287" si="127">G287+(C284*H287)</f>
        <v>63</v>
      </c>
      <c r="M287" s="21">
        <f>SUM($I$15:$I287)</f>
        <v>1710</v>
      </c>
    </row>
    <row r="288" spans="2:13">
      <c r="E288" s="21">
        <f t="shared" si="120"/>
        <v>288</v>
      </c>
      <c r="F288" s="9" t="s">
        <v>29</v>
      </c>
      <c r="M288" s="21" t="s">
        <v>149</v>
      </c>
    </row>
    <row r="289" spans="2:13">
      <c r="E289" s="21">
        <f t="shared" si="120"/>
        <v>289</v>
      </c>
      <c r="F289" s="9" t="s">
        <v>98</v>
      </c>
      <c r="K289" s="9" t="s">
        <v>136</v>
      </c>
      <c r="M289" s="21" t="s">
        <v>156</v>
      </c>
    </row>
    <row r="290" spans="2:13">
      <c r="E290" s="21">
        <f t="shared" si="120"/>
        <v>290</v>
      </c>
      <c r="F290" s="9" t="s">
        <v>112</v>
      </c>
      <c r="L290" s="9" t="s">
        <v>135</v>
      </c>
      <c r="M290" s="21" t="s">
        <v>157</v>
      </c>
    </row>
    <row r="291" spans="2:13">
      <c r="E291" s="21">
        <f t="shared" si="120"/>
        <v>291</v>
      </c>
      <c r="F291" s="9" t="s">
        <v>161</v>
      </c>
      <c r="M291" s="21">
        <v>120</v>
      </c>
    </row>
    <row r="292" spans="2:13">
      <c r="E292" s="21">
        <f t="shared" si="120"/>
        <v>292</v>
      </c>
      <c r="F292" s="9" t="s">
        <v>35</v>
      </c>
      <c r="M292" s="21">
        <v>0</v>
      </c>
    </row>
    <row r="293" spans="2:13">
      <c r="E293" s="21">
        <f t="shared" si="120"/>
        <v>293</v>
      </c>
      <c r="F293" s="9" t="s">
        <v>101</v>
      </c>
      <c r="M293" s="21">
        <f t="shared" ref="M293" si="128">M285*10+1</f>
        <v>129191</v>
      </c>
    </row>
    <row r="294" spans="2:13">
      <c r="E294" s="21">
        <f t="shared" si="120"/>
        <v>294</v>
      </c>
      <c r="F294" s="9" t="s">
        <v>159</v>
      </c>
      <c r="M294" s="21">
        <f t="shared" ref="M294" si="129">$J$15</f>
        <v>12900</v>
      </c>
    </row>
    <row r="295" spans="2:13">
      <c r="E295" s="21">
        <f t="shared" si="120"/>
        <v>295</v>
      </c>
      <c r="F295" s="9" t="s">
        <v>145</v>
      </c>
      <c r="M295" s="21">
        <f t="shared" ref="M295" si="130">M285</f>
        <v>12919</v>
      </c>
    </row>
    <row r="296" spans="2:13">
      <c r="E296" s="21">
        <f t="shared" si="120"/>
        <v>296</v>
      </c>
      <c r="F296" s="9" t="s">
        <v>127</v>
      </c>
      <c r="M296" s="21">
        <v>0</v>
      </c>
    </row>
    <row r="297" spans="2:13">
      <c r="E297" s="21">
        <f t="shared" si="120"/>
        <v>297</v>
      </c>
      <c r="F297" s="9" t="s">
        <v>100</v>
      </c>
      <c r="M297" s="21" t="s">
        <v>150</v>
      </c>
    </row>
    <row r="298" spans="2:13">
      <c r="E298" s="21">
        <f t="shared" si="120"/>
        <v>298</v>
      </c>
      <c r="F298" s="9" t="s">
        <v>107</v>
      </c>
      <c r="M298" s="21">
        <v>120</v>
      </c>
    </row>
    <row r="299" spans="2:13">
      <c r="B299" s="9">
        <f t="shared" ref="B299" si="131">QUOTIENT( D299-1,G300)+1</f>
        <v>1</v>
      </c>
      <c r="C299" s="21">
        <f t="shared" ref="C299" si="132">D299-(B299-1)*G300</f>
        <v>20</v>
      </c>
      <c r="D299" s="21">
        <f>COUNT($D$13:$D298)+1</f>
        <v>20</v>
      </c>
    </row>
    <row r="300" spans="2:13">
      <c r="E300" s="21">
        <f t="shared" si="120"/>
        <v>300</v>
      </c>
      <c r="F300" s="9" t="s">
        <v>93</v>
      </c>
      <c r="G300" s="21">
        <v>20</v>
      </c>
      <c r="H300" s="21">
        <v>1</v>
      </c>
      <c r="J300" s="9">
        <v>12900</v>
      </c>
      <c r="M300" s="21">
        <f t="shared" ref="M300" si="133">$J$15+D299</f>
        <v>12920</v>
      </c>
    </row>
    <row r="301" spans="2:13">
      <c r="E301" s="21">
        <f t="shared" si="120"/>
        <v>301</v>
      </c>
      <c r="F301" s="9" t="s">
        <v>145</v>
      </c>
      <c r="M301" s="21">
        <v>128001</v>
      </c>
    </row>
    <row r="302" spans="2:13">
      <c r="E302" s="21">
        <f t="shared" si="120"/>
        <v>302</v>
      </c>
      <c r="F302" s="9" t="s">
        <v>126</v>
      </c>
      <c r="G302" s="21">
        <v>120</v>
      </c>
      <c r="H302" s="21">
        <v>-3</v>
      </c>
      <c r="I302" s="21">
        <f t="shared" ref="I302" si="134">G302+(C299*H302)</f>
        <v>60</v>
      </c>
      <c r="M302" s="21">
        <f>SUM($I$15:$I302)</f>
        <v>1770</v>
      </c>
    </row>
    <row r="303" spans="2:13">
      <c r="E303" s="21">
        <f t="shared" si="120"/>
        <v>303</v>
      </c>
      <c r="F303" s="9" t="s">
        <v>29</v>
      </c>
      <c r="M303" s="21" t="s">
        <v>149</v>
      </c>
    </row>
    <row r="304" spans="2:13">
      <c r="E304" s="21">
        <f t="shared" si="120"/>
        <v>304</v>
      </c>
      <c r="F304" s="9" t="s">
        <v>98</v>
      </c>
      <c r="K304" s="9" t="s">
        <v>136</v>
      </c>
      <c r="M304" s="21" t="s">
        <v>156</v>
      </c>
    </row>
    <row r="305" spans="5:13">
      <c r="E305" s="21">
        <f t="shared" si="120"/>
        <v>305</v>
      </c>
      <c r="F305" s="9" t="s">
        <v>112</v>
      </c>
      <c r="L305" s="9" t="s">
        <v>135</v>
      </c>
      <c r="M305" s="21" t="s">
        <v>157</v>
      </c>
    </row>
    <row r="306" spans="5:13">
      <c r="E306" s="21">
        <f t="shared" si="120"/>
        <v>306</v>
      </c>
      <c r="F306" s="9" t="s">
        <v>161</v>
      </c>
      <c r="M306" s="21">
        <v>120</v>
      </c>
    </row>
    <row r="307" spans="5:13">
      <c r="E307" s="21">
        <f t="shared" si="120"/>
        <v>307</v>
      </c>
      <c r="F307" s="9" t="s">
        <v>35</v>
      </c>
      <c r="M307" s="21">
        <v>0</v>
      </c>
    </row>
    <row r="308" spans="5:13">
      <c r="E308" s="21">
        <f t="shared" si="120"/>
        <v>308</v>
      </c>
      <c r="F308" s="9" t="s">
        <v>101</v>
      </c>
      <c r="M308" s="21">
        <f t="shared" ref="M308" si="135">M300*10+1</f>
        <v>129201</v>
      </c>
    </row>
    <row r="309" spans="5:13">
      <c r="E309" s="21">
        <f t="shared" si="120"/>
        <v>309</v>
      </c>
      <c r="F309" s="9" t="s">
        <v>159</v>
      </c>
      <c r="M309" s="21">
        <f t="shared" ref="M309" si="136">$J$15</f>
        <v>12900</v>
      </c>
    </row>
    <row r="310" spans="5:13">
      <c r="E310" s="21">
        <f t="shared" si="120"/>
        <v>310</v>
      </c>
      <c r="F310" s="9" t="s">
        <v>145</v>
      </c>
      <c r="M310" s="21">
        <f t="shared" ref="M310" si="137">M300</f>
        <v>12920</v>
      </c>
    </row>
    <row r="311" spans="5:13">
      <c r="E311" s="21">
        <f t="shared" si="120"/>
        <v>311</v>
      </c>
      <c r="F311" s="9" t="s">
        <v>127</v>
      </c>
      <c r="M311" s="21">
        <v>0</v>
      </c>
    </row>
    <row r="312" spans="5:13">
      <c r="E312" s="21">
        <f t="shared" si="120"/>
        <v>312</v>
      </c>
      <c r="F312" s="9" t="s">
        <v>100</v>
      </c>
      <c r="M312" s="21" t="s">
        <v>150</v>
      </c>
    </row>
    <row r="313" spans="5:13">
      <c r="E313" s="21">
        <f t="shared" si="120"/>
        <v>313</v>
      </c>
      <c r="F313" s="9" t="s">
        <v>107</v>
      </c>
      <c r="M313" s="21">
        <v>120</v>
      </c>
    </row>
  </sheetData>
  <autoFilter ref="D1:D29" xr:uid="{00000000-0001-0000-0000-000000000000}"/>
  <phoneticPr fontId="2" type="noConversion"/>
  <conditionalFormatting sqref="BE1:XFD1 E1:I1">
    <cfRule type="duplicateValues" dxfId="59" priority="1749"/>
  </conditionalFormatting>
  <conditionalFormatting sqref="F1:F1048576">
    <cfRule type="cellIs" dxfId="58" priority="1250" operator="equal">
      <formula>"ID"</formula>
    </cfRule>
    <cfRule type="cellIs" dxfId="57" priority="1665" operator="equal">
      <formula>"行動序號"</formula>
    </cfRule>
  </conditionalFormatting>
  <conditionalFormatting sqref="M1:M11 M13:M1048576">
    <cfRule type="expression" dxfId="56" priority="1669">
      <formula>OR($F1="行動序號",$F1="ID")</formula>
    </cfRule>
  </conditionalFormatting>
  <conditionalFormatting sqref="M1:M11 M13:M1048576">
    <cfRule type="expression" dxfId="55" priority="1136">
      <formula>$F1="行動ID"</formula>
    </cfRule>
  </conditionalFormatting>
  <conditionalFormatting sqref="K1:L1">
    <cfRule type="duplicateValues" dxfId="54" priority="1245"/>
  </conditionalFormatting>
  <conditionalFormatting sqref="J15 M1:M11 M13:M1048576">
    <cfRule type="expression" dxfId="53" priority="860">
      <formula>_xlfn.ISFORMULA(J1)</formula>
    </cfRule>
  </conditionalFormatting>
  <conditionalFormatting sqref="M13:M14 M29 M42">
    <cfRule type="expression" dxfId="52" priority="24">
      <formula>OR($F13="行動序號",$F13="ID")</formula>
    </cfRule>
  </conditionalFormatting>
  <conditionalFormatting sqref="M13:M14 M29 M42">
    <cfRule type="expression" dxfId="51" priority="21">
      <formula>$F13="行動ID"</formula>
    </cfRule>
  </conditionalFormatting>
  <conditionalFormatting sqref="F1:F1048576">
    <cfRule type="cellIs" dxfId="50" priority="14" operator="equal">
      <formula>"行動ID"</formula>
    </cfRule>
    <cfRule type="cellIs" dxfId="49" priority="15" operator="equal">
      <formula>"ID"</formula>
    </cfRule>
    <cfRule type="cellIs" dxfId="48" priority="17" operator="equal">
      <formula>"行動序號"</formula>
    </cfRule>
  </conditionalFormatting>
  <conditionalFormatting sqref="F1:F1048576">
    <cfRule type="cellIs" dxfId="47" priority="16" operator="equal">
      <formula>"行動序號"</formula>
    </cfRule>
  </conditionalFormatting>
  <conditionalFormatting sqref="M1">
    <cfRule type="expression" dxfId="46" priority="13">
      <formula>OR($F1="行動序號",$F1="ID")</formula>
    </cfRule>
  </conditionalFormatting>
  <conditionalFormatting sqref="M1">
    <cfRule type="expression" dxfId="45" priority="12">
      <formula>$F1="行動ID"</formula>
    </cfRule>
  </conditionalFormatting>
  <conditionalFormatting sqref="F28 F41">
    <cfRule type="cellIs" dxfId="44" priority="1" operator="equal">
      <formula>"ID"</formula>
    </cfRule>
    <cfRule type="cellIs" dxfId="43" priority="2" operator="equal">
      <formula>"行動序號"</formula>
    </cfRule>
  </conditionalFormatting>
  <conditionalFormatting sqref="J1">
    <cfRule type="duplicateValues" dxfId="42" priority="1752"/>
  </conditionalFormatting>
  <conditionalFormatting sqref="J15">
    <cfRule type="expression" dxfId="41" priority="1757">
      <formula>OR($F12="行動序號",$F12="ID")</formula>
    </cfRule>
  </conditionalFormatting>
  <conditionalFormatting sqref="J15">
    <cfRule type="expression" dxfId="40" priority="1760">
      <formula>$F12="行動ID"</formula>
    </cfRule>
  </conditionalFormatting>
  <conditionalFormatting sqref="M1:BD1">
    <cfRule type="duplicateValues" dxfId="39" priority="1761"/>
  </conditionalFormatting>
  <dataValidations count="1">
    <dataValidation type="list" allowBlank="1" showInputMessage="1" showErrorMessage="1" sqref="F6 K10:K11 F12 K7" xr:uid="{4F4EA61E-002C-4E17-B463-CD736E7322BC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4C675-6D49-46EF-B730-F5AC1C25C735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50</v>
      </c>
      <c r="B2" s="9" t="s">
        <v>28</v>
      </c>
      <c r="C2" s="9" t="s">
        <v>143</v>
      </c>
      <c r="D2" s="9" t="s">
        <v>144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627EFE2B-3E42-4DFB-A9D7-4162090514AD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7AB1C-AF47-4BFE-894B-AC43013330A9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162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163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164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165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166</v>
      </c>
      <c r="E20" t="str">
        <f t="shared" si="0"/>
        <v>啟動依ID,</v>
      </c>
      <c r="H20"/>
    </row>
    <row r="21" spans="1:8">
      <c r="A21" s="7" t="s">
        <v>27</v>
      </c>
      <c r="B21" s="7" t="s">
        <v>148</v>
      </c>
      <c r="C21" s="7" t="s">
        <v>167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168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169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170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171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172</v>
      </c>
      <c r="C26" s="7" t="s">
        <v>173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174</v>
      </c>
      <c r="C27" s="7" t="s">
        <v>175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176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177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178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179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180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181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182</v>
      </c>
      <c r="C36" s="7" t="s">
        <v>183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159</v>
      </c>
      <c r="C37" s="7" t="s">
        <v>184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185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186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187</v>
      </c>
      <c r="E42" t="str">
        <f t="shared" si="0"/>
        <v>死亡時間,</v>
      </c>
      <c r="H42"/>
    </row>
    <row r="43" spans="1:8">
      <c r="A43" s="7" t="s">
        <v>27</v>
      </c>
      <c r="B43" s="7" t="s">
        <v>238</v>
      </c>
      <c r="C43" s="7" t="s">
        <v>239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188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189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190</v>
      </c>
      <c r="E48" t="str">
        <f t="shared" si="0"/>
        <v>位置參數,</v>
      </c>
      <c r="H48"/>
    </row>
    <row r="49" spans="1:8">
      <c r="A49" s="7" t="s">
        <v>27</v>
      </c>
      <c r="B49" s="7" t="s">
        <v>191</v>
      </c>
      <c r="C49" s="7" t="s">
        <v>192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193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194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195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196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197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198</v>
      </c>
      <c r="C59" s="7" t="s">
        <v>199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200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4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201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202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203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204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205</v>
      </c>
      <c r="C73" s="7" t="s">
        <v>206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207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208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209</v>
      </c>
      <c r="E76" t="str">
        <f t="shared" si="0"/>
        <v>回收距離,</v>
      </c>
      <c r="H76"/>
    </row>
    <row r="77" spans="1:11">
      <c r="A77" s="7" t="s">
        <v>27</v>
      </c>
      <c r="B77" s="7" t="s">
        <v>210</v>
      </c>
      <c r="C77" s="7" t="s">
        <v>211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161</v>
      </c>
      <c r="C78" s="7" t="s">
        <v>212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213</v>
      </c>
      <c r="C79" s="7" t="s">
        <v>214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215</v>
      </c>
      <c r="C80" s="7" t="s">
        <v>216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217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218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219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220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221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222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223</v>
      </c>
      <c r="C91" s="7" t="s">
        <v>224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225</v>
      </c>
      <c r="C92" s="7" t="s">
        <v>226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227</v>
      </c>
      <c r="C93" s="7" t="s">
        <v>228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229</v>
      </c>
      <c r="C94" s="7" t="s">
        <v>230</v>
      </c>
      <c r="E94" t="str">
        <f t="shared" si="1"/>
        <v>玩家Shift,</v>
      </c>
      <c r="H94"/>
    </row>
    <row r="95" spans="1:11">
      <c r="A95" s="7" t="s">
        <v>27</v>
      </c>
      <c r="B95" s="7" t="s">
        <v>231</v>
      </c>
      <c r="C95" s="7" t="s">
        <v>232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136</v>
      </c>
      <c r="C103" s="7" t="s">
        <v>21</v>
      </c>
      <c r="H103"/>
    </row>
    <row r="104" spans="1:12" customFormat="1">
      <c r="A104" s="7" t="s">
        <v>142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233</v>
      </c>
      <c r="C106" s="7" t="s">
        <v>96</v>
      </c>
      <c r="D106" s="7"/>
      <c r="L106" s="7"/>
    </row>
    <row r="107" spans="1:12" customFormat="1">
      <c r="A107" s="7" t="s">
        <v>142</v>
      </c>
      <c r="B107" t="s">
        <v>234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235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146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236</v>
      </c>
      <c r="C114" s="7" t="s">
        <v>22</v>
      </c>
      <c r="D114" s="7"/>
      <c r="L114" s="7"/>
    </row>
    <row r="115" spans="1:12">
      <c r="A115" s="7" t="s">
        <v>143</v>
      </c>
      <c r="B115" s="7" t="s">
        <v>158</v>
      </c>
      <c r="C115" s="7" t="s">
        <v>23</v>
      </c>
      <c r="H115"/>
    </row>
    <row r="116" spans="1:12">
      <c r="A116" s="7" t="s">
        <v>143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E767-0DE8-4EA0-8A19-20EA9A1079E7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147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237</v>
      </c>
      <c r="D4" s="19"/>
      <c r="G4" s="9"/>
      <c r="H4" s="18"/>
    </row>
    <row r="5" spans="1:10" ht="17.25" customHeight="1">
      <c r="A5" s="19" t="s">
        <v>99</v>
      </c>
      <c r="B5" s="19" t="s">
        <v>233</v>
      </c>
      <c r="C5" s="19" t="s">
        <v>236</v>
      </c>
      <c r="D5" s="19"/>
      <c r="G5" s="9"/>
    </row>
    <row r="6" spans="1:10">
      <c r="A6" s="19" t="s">
        <v>102</v>
      </c>
      <c r="B6" s="19" t="s">
        <v>234</v>
      </c>
      <c r="C6" s="19" t="s">
        <v>158</v>
      </c>
      <c r="D6" s="19"/>
      <c r="G6" s="9"/>
    </row>
    <row r="7" spans="1:10">
      <c r="A7" s="19" t="s">
        <v>48</v>
      </c>
      <c r="B7" s="19" t="s">
        <v>235</v>
      </c>
      <c r="C7" s="23" t="s">
        <v>255</v>
      </c>
      <c r="D7" s="19"/>
      <c r="G7" s="9"/>
    </row>
    <row r="8" spans="1:10">
      <c r="A8" s="19" t="s">
        <v>163</v>
      </c>
      <c r="B8" s="23"/>
      <c r="C8" s="19"/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240</v>
      </c>
      <c r="B10" s="19"/>
      <c r="C10" s="19"/>
      <c r="D10" s="19"/>
      <c r="G10" s="9"/>
    </row>
    <row r="11" spans="1:10">
      <c r="A11" s="19" t="s">
        <v>164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165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145</v>
      </c>
      <c r="C20"/>
      <c r="G20" s="9"/>
    </row>
    <row r="21" spans="1:7">
      <c r="A21" s="19" t="s">
        <v>148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172</v>
      </c>
      <c r="C26"/>
      <c r="G26" s="9"/>
    </row>
    <row r="27" spans="1:7">
      <c r="A27" s="19" t="s">
        <v>174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182</v>
      </c>
      <c r="C36"/>
    </row>
    <row r="37" spans="1:7">
      <c r="A37" s="19" t="s">
        <v>159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238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191</v>
      </c>
      <c r="C49"/>
      <c r="G49" s="9"/>
    </row>
    <row r="50" spans="1:8">
      <c r="A50" s="24" t="s">
        <v>251</v>
      </c>
      <c r="C50"/>
      <c r="G50" s="9"/>
    </row>
    <row r="51" spans="1:8">
      <c r="A51" s="24" t="s">
        <v>256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246</v>
      </c>
      <c r="C57"/>
      <c r="G57" s="9"/>
    </row>
    <row r="58" spans="1:8">
      <c r="A58" s="19" t="s">
        <v>132</v>
      </c>
      <c r="G58" s="9"/>
    </row>
    <row r="59" spans="1:8">
      <c r="A59" s="19" t="s">
        <v>198</v>
      </c>
      <c r="G59" s="9"/>
    </row>
    <row r="60" spans="1:8">
      <c r="A60" s="19" t="s">
        <v>114</v>
      </c>
      <c r="G60" s="9"/>
    </row>
    <row r="61" spans="1:8">
      <c r="A61" s="24" t="s">
        <v>242</v>
      </c>
      <c r="G61" s="9"/>
    </row>
    <row r="62" spans="1:8">
      <c r="A62" s="24" t="s">
        <v>244</v>
      </c>
      <c r="G62" s="9"/>
    </row>
    <row r="63" spans="1:8">
      <c r="A63" s="24" t="s">
        <v>251</v>
      </c>
      <c r="G63" s="9"/>
    </row>
    <row r="64" spans="1:8">
      <c r="A64" s="24" t="s">
        <v>254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205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210</v>
      </c>
      <c r="G77" s="9"/>
    </row>
    <row r="78" spans="1:7">
      <c r="A78" s="19" t="s">
        <v>161</v>
      </c>
      <c r="G78" s="9"/>
    </row>
    <row r="79" spans="1:7">
      <c r="A79" s="19" t="s">
        <v>213</v>
      </c>
    </row>
    <row r="80" spans="1:7">
      <c r="A80" s="19" t="s">
        <v>215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223</v>
      </c>
    </row>
    <row r="92" spans="1:1">
      <c r="A92" s="19" t="s">
        <v>225</v>
      </c>
    </row>
    <row r="93" spans="1:1">
      <c r="A93" s="19" t="s">
        <v>227</v>
      </c>
    </row>
    <row r="94" spans="1:1">
      <c r="A94" s="19" t="s">
        <v>229</v>
      </c>
    </row>
    <row r="95" spans="1:1">
      <c r="A95" s="19" t="s">
        <v>231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0A5E2E15-BDBB-4180-8D5C-0D674EDB9DDF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7363-BB6E-460F-BC6C-D3E237DD1602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F3E0B-3A99-4FA8-A6F1-A20973B4E41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4AF9-BD12-4A8F-88C9-1C949443CE0A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stage7_card3light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2025-04-16T06:38:20Z</dcterms:modified>
</cp:coreProperties>
</file>