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581D91BA-E9C0-411E-9FB0-651ECA738614}" xr6:coauthVersionLast="47" xr6:coauthVersionMax="47" xr10:uidLastSave="{00000000-0000-0000-0000-000000000000}"/>
  <bookViews>
    <workbookView xWindow="1860" yWindow="1860" windowWidth="21975" windowHeight="12210" xr2:uid="{00000000-000D-0000-FFFF-FFFF00000000}"/>
  </bookViews>
  <sheets>
    <sheet name="stage7_notcard6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stage7_notcard6!$D$1:$D$12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'#OPTION'!$B$2:$B$7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E31" i="1" l="1"/>
  <c r="E30" i="1"/>
  <c r="E29" i="1"/>
  <c r="M26" i="1" l="1"/>
  <c r="M29" i="1" s="1"/>
  <c r="M27" i="1" l="1"/>
  <c r="M23" i="1"/>
  <c r="M22" i="1"/>
  <c r="M19" i="1" l="1"/>
  <c r="E19" i="1"/>
  <c r="E26" i="1" l="1"/>
  <c r="E27" i="1"/>
  <c r="E28" i="1"/>
  <c r="E16" i="1"/>
  <c r="E17" i="1"/>
  <c r="E18" i="1"/>
  <c r="E21" i="1"/>
  <c r="E22" i="1"/>
  <c r="E23" i="1"/>
  <c r="E24" i="1"/>
  <c r="E25" i="1"/>
  <c r="E15" i="1" l="1"/>
</calcChain>
</file>

<file path=xl/sharedStrings.xml><?xml version="1.0" encoding="utf-8"?>
<sst xmlns="http://schemas.openxmlformats.org/spreadsheetml/2006/main" count="465" uniqueCount="258">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</sst>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70"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34"/>
  <sheetViews>
    <sheetView tabSelected="1" zoomScale="115" zoomScaleNormal="115" workbookViewId="0">
      <pane ySplit="1" topLeftCell="A14" activePane="bottomLeft" state="frozen"/>
      <selection pane="bottomLeft" activeCell="K24" sqref="K24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15300</v>
      </c>
    </row>
    <row r="7" spans="3:56">
      <c r="E7" s="22">
        <f t="shared" ref="E7:E11" si="0">ROW(E7)</f>
        <v>7</v>
      </c>
      <c r="F7" s="9" t="s">
        <v>156</v>
      </c>
      <c r="M7" s="22">
        <v>7900</v>
      </c>
      <c r="N7" s="22"/>
    </row>
    <row r="8" spans="3:56">
      <c r="E8" s="22">
        <f t="shared" si="0"/>
        <v>8</v>
      </c>
      <c r="F8" s="9" t="s">
        <v>35</v>
      </c>
      <c r="M8" s="22" t="s">
        <v>155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 t="s">
        <v>24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15310</v>
      </c>
      <c r="N15" s="22"/>
    </row>
    <row r="16" spans="3:56">
      <c r="E16" s="22">
        <f t="shared" ref="E16:E28" si="1">ROW(E16)</f>
        <v>16</v>
      </c>
      <c r="F16" s="9" t="s">
        <v>156</v>
      </c>
      <c r="M16" s="22">
        <v>8000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 t="s">
        <v>240</v>
      </c>
    </row>
    <row r="19" spans="5:14">
      <c r="E19" s="22">
        <f t="shared" si="1"/>
        <v>19</v>
      </c>
      <c r="F19" s="9" t="s">
        <v>237</v>
      </c>
      <c r="G19" s="22">
        <v>50</v>
      </c>
      <c r="M19" s="22">
        <f>G19*60</f>
        <v>3000</v>
      </c>
    </row>
    <row r="20" spans="5:14">
      <c r="F20" s="9" t="s">
        <v>151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153101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15310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150</v>
      </c>
      <c r="M25" s="22" t="b">
        <v>0</v>
      </c>
      <c r="N25" s="22"/>
    </row>
    <row r="26" spans="5:14">
      <c r="E26" s="22">
        <f t="shared" si="1"/>
        <v>26</v>
      </c>
      <c r="F26" s="9" t="s">
        <v>102</v>
      </c>
      <c r="M26" s="22">
        <f>M15*10+9</f>
        <v>153109</v>
      </c>
    </row>
    <row r="27" spans="5:14">
      <c r="E27" s="22">
        <f t="shared" si="1"/>
        <v>27</v>
      </c>
      <c r="F27" s="9" t="s">
        <v>146</v>
      </c>
      <c r="M27" s="22">
        <f>M15</f>
        <v>15310</v>
      </c>
    </row>
    <row r="28" spans="5:14">
      <c r="E28" s="22">
        <f t="shared" si="1"/>
        <v>28</v>
      </c>
      <c r="F28" s="9" t="s">
        <v>127</v>
      </c>
      <c r="M28" s="22">
        <v>480</v>
      </c>
    </row>
    <row r="29" spans="5:14">
      <c r="E29" s="22">
        <f>ROW(E29)</f>
        <v>29</v>
      </c>
      <c r="F29" s="9" t="s">
        <v>146</v>
      </c>
      <c r="M29" s="22">
        <f>M26</f>
        <v>153109</v>
      </c>
    </row>
    <row r="30" spans="5:14">
      <c r="E30" s="22">
        <f>ROW(E30)</f>
        <v>30</v>
      </c>
      <c r="F30" s="9" t="s">
        <v>128</v>
      </c>
      <c r="M30" s="22">
        <v>0</v>
      </c>
    </row>
    <row r="31" spans="5:14">
      <c r="E31" s="22">
        <f t="shared" ref="E31" si="2">ROW(E31)</f>
        <v>31</v>
      </c>
      <c r="F31" s="9" t="s">
        <v>148</v>
      </c>
      <c r="M31" s="22">
        <v>90</v>
      </c>
      <c r="N31" s="22"/>
    </row>
    <row r="34" spans="14:14">
      <c r="N34" s="24"/>
    </row>
  </sheetData>
  <autoFilter ref="D1:D12" xr:uid="{00000000-0001-0000-0000-000000000000}"/>
  <phoneticPr fontId="2" type="noConversion"/>
  <conditionalFormatting sqref="N1:BD1">
    <cfRule type="duplicateValues" dxfId="69" priority="560"/>
  </conditionalFormatting>
  <conditionalFormatting sqref="BE1:XFD1 E1:I1">
    <cfRule type="duplicateValues" dxfId="68" priority="640"/>
  </conditionalFormatting>
  <conditionalFormatting sqref="F1:F5 F12:F32">
    <cfRule type="cellIs" dxfId="67" priority="141" operator="equal">
      <formula>"ID"</formula>
    </cfRule>
    <cfRule type="cellIs" dxfId="66" priority="556" operator="equal">
      <formula>"行動序號"</formula>
    </cfRule>
  </conditionalFormatting>
  <conditionalFormatting sqref="N15:N17 N21:N25 N31">
    <cfRule type="expression" dxfId="4" priority="643">
      <formula>OR($F15="行動序號",$F15="ID")</formula>
    </cfRule>
  </conditionalFormatting>
  <conditionalFormatting sqref="N15:N17 N21:N25 N31">
    <cfRule type="expression" dxfId="3" priority="555">
      <formula>$F15="行動ID"</formula>
    </cfRule>
  </conditionalFormatting>
  <conditionalFormatting sqref="J1">
    <cfRule type="duplicateValues" dxfId="65" priority="139"/>
  </conditionalFormatting>
  <conditionalFormatting sqref="K1:L1">
    <cfRule type="duplicateValues" dxfId="64" priority="136"/>
  </conditionalFormatting>
  <conditionalFormatting sqref="F18:F20">
    <cfRule type="cellIs" dxfId="63" priority="38" operator="equal">
      <formula>"行動ID"</formula>
    </cfRule>
    <cfRule type="cellIs" dxfId="62" priority="39" operator="equal">
      <formula>"ID"</formula>
    </cfRule>
    <cfRule type="cellIs" dxfId="61" priority="40" operator="equal">
      <formula>"行動序號"</formula>
    </cfRule>
  </conditionalFormatting>
  <conditionalFormatting sqref="F37">
    <cfRule type="cellIs" dxfId="60" priority="30" operator="equal">
      <formula>"行動ID"</formula>
    </cfRule>
    <cfRule type="cellIs" dxfId="59" priority="31" operator="equal">
      <formula>"ID"</formula>
    </cfRule>
    <cfRule type="cellIs" dxfId="58" priority="33" operator="equal">
      <formula>"行動序號"</formula>
    </cfRule>
  </conditionalFormatting>
  <conditionalFormatting sqref="F37">
    <cfRule type="cellIs" dxfId="57" priority="32" operator="equal">
      <formula>"行動序號"</formula>
    </cfRule>
  </conditionalFormatting>
  <conditionalFormatting sqref="F34">
    <cfRule type="cellIs" dxfId="56" priority="18" operator="equal">
      <formula>"ID"</formula>
    </cfRule>
    <cfRule type="cellIs" dxfId="55" priority="20" operator="equal">
      <formula>"行動序號"</formula>
    </cfRule>
  </conditionalFormatting>
  <conditionalFormatting sqref="N34">
    <cfRule type="expression" dxfId="54" priority="21">
      <formula>OR($F34="行動序號",$F34="ID")</formula>
    </cfRule>
  </conditionalFormatting>
  <conditionalFormatting sqref="N34">
    <cfRule type="expression" dxfId="53" priority="19">
      <formula>$F34="行動ID"</formula>
    </cfRule>
  </conditionalFormatting>
  <conditionalFormatting sqref="F7">
    <cfRule type="cellIs" dxfId="52" priority="14" operator="equal">
      <formula>"ID"</formula>
    </cfRule>
    <cfRule type="cellIs" dxfId="51" priority="16" operator="equal">
      <formula>"行動序號"</formula>
    </cfRule>
  </conditionalFormatting>
  <conditionalFormatting sqref="N7">
    <cfRule type="expression" dxfId="50" priority="17">
      <formula>OR($F7="行動序號",$F7="ID")</formula>
    </cfRule>
  </conditionalFormatting>
  <conditionalFormatting sqref="N7">
    <cfRule type="expression" dxfId="49" priority="15">
      <formula>$F7="行動ID"</formula>
    </cfRule>
  </conditionalFormatting>
  <conditionalFormatting sqref="F10">
    <cfRule type="cellIs" dxfId="48" priority="10" operator="equal">
      <formula>"行動ID"</formula>
    </cfRule>
    <cfRule type="cellIs" dxfId="47" priority="11" operator="equal">
      <formula>"ID"</formula>
    </cfRule>
    <cfRule type="cellIs" dxfId="46" priority="13" operator="equal">
      <formula>"行動序號"</formula>
    </cfRule>
  </conditionalFormatting>
  <conditionalFormatting sqref="F10">
    <cfRule type="cellIs" dxfId="45" priority="12" operator="equal">
      <formula>"行動序號"</formula>
    </cfRule>
  </conditionalFormatting>
  <conditionalFormatting sqref="M1:M1048576">
    <cfRule type="expression" dxfId="2" priority="1">
      <formula>AND(_xlfn.ISFORMULA(M1),OR($F1="行動ID", $F1="ID"))</formula>
    </cfRule>
    <cfRule type="expression" dxfId="1" priority="3">
      <formula>OR($F1="行動ID", $F1="ID")</formula>
    </cfRule>
  </conditionalFormatting>
  <conditionalFormatting sqref="M1:M1048576">
    <cfRule type="expression" dxfId="0" priority="2">
      <formula>_xlfn.ISFORMULA(M1)</formula>
    </cfRule>
  </conditionalFormatting>
  <dataValidations count="1">
    <dataValidation type="list" allowBlank="1" showInputMessage="1" showErrorMessage="1" sqref="L5 L16 F37:F38 K13:L13 L9:L10 K7 F16 F19:F20 K19:L19 L14 M25 F30 K27 K9 L20 F22:J26 L22:L26 K22:K23 K25:K26 K24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43" priority="1"/>
  </conditionalFormatting>
  <conditionalFormatting sqref="A1:D1">
    <cfRule type="duplicateValues" dxfId="42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248</v>
      </c>
      <c r="C50" s="7" t="s">
        <v>249</v>
      </c>
      <c r="E50" t="str">
        <f t="shared" si="0"/>
        <v>記錄位置,</v>
      </c>
      <c r="H50"/>
    </row>
    <row r="51" spans="1:8">
      <c r="A51" s="7" t="s">
        <v>27</v>
      </c>
      <c r="B51" s="7" t="s">
        <v>250</v>
      </c>
      <c r="C51" s="7" t="s">
        <v>251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6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252</v>
      </c>
      <c r="C63" s="7" t="s">
        <v>253</v>
      </c>
      <c r="E63" t="str">
        <f t="shared" si="0"/>
        <v>記錄角度,</v>
      </c>
      <c r="H63"/>
    </row>
    <row r="64" spans="1:8">
      <c r="A64" s="7" t="s">
        <v>27</v>
      </c>
      <c r="B64" s="7" t="s">
        <v>255</v>
      </c>
      <c r="C64" s="7" t="s">
        <v>254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256</v>
      </c>
      <c r="C116" s="7" t="s">
        <v>24</v>
      </c>
      <c r="H116"/>
    </row>
  </sheetData>
  <phoneticPr fontId="2" type="noConversion"/>
  <conditionalFormatting sqref="K85:K87">
    <cfRule type="cellIs" dxfId="41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5" t="s">
        <v>256</v>
      </c>
      <c r="D7" s="20"/>
      <c r="G7" s="9"/>
    </row>
    <row r="8" spans="1:10">
      <c r="A8" s="20" t="s">
        <v>158</v>
      </c>
      <c r="B8" s="25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5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6" t="s">
        <v>252</v>
      </c>
      <c r="C50"/>
      <c r="G50" s="9"/>
    </row>
    <row r="51" spans="1:8">
      <c r="A51" s="26" t="s">
        <v>257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7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6" t="s">
        <v>243</v>
      </c>
      <c r="G61" s="9"/>
    </row>
    <row r="62" spans="1:8">
      <c r="A62" s="26" t="s">
        <v>245</v>
      </c>
      <c r="G62" s="9"/>
    </row>
    <row r="63" spans="1:8">
      <c r="A63" s="26" t="s">
        <v>252</v>
      </c>
      <c r="G63" s="9"/>
    </row>
    <row r="64" spans="1:8">
      <c r="A64" s="26" t="s">
        <v>255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40" priority="32"/>
  </conditionalFormatting>
  <conditionalFormatting sqref="G1">
    <cfRule type="duplicateValues" dxfId="39" priority="31"/>
  </conditionalFormatting>
  <conditionalFormatting sqref="H1:J1">
    <cfRule type="duplicateValues" dxfId="38" priority="30"/>
  </conditionalFormatting>
  <conditionalFormatting sqref="F1">
    <cfRule type="duplicateValues" dxfId="37" priority="29"/>
  </conditionalFormatting>
  <conditionalFormatting sqref="D1:E1">
    <cfRule type="duplicateValues" dxfId="36" priority="28"/>
  </conditionalFormatting>
  <conditionalFormatting sqref="G28">
    <cfRule type="cellIs" dxfId="35" priority="27" operator="equal">
      <formula>"行動序號"</formula>
    </cfRule>
  </conditionalFormatting>
  <conditionalFormatting sqref="G29">
    <cfRule type="cellIs" dxfId="34" priority="26" operator="equal">
      <formula>"行動序號"</formula>
    </cfRule>
  </conditionalFormatting>
  <conditionalFormatting sqref="G46">
    <cfRule type="cellIs" dxfId="33" priority="25" operator="equal">
      <formula>"行動序號"</formula>
    </cfRule>
  </conditionalFormatting>
  <conditionalFormatting sqref="G47">
    <cfRule type="cellIs" dxfId="32" priority="24" operator="equal">
      <formula>"行動序號"</formula>
    </cfRule>
  </conditionalFormatting>
  <conditionalFormatting sqref="G30:G31">
    <cfRule type="cellIs" dxfId="31" priority="23" operator="equal">
      <formula>"行動序號"</formula>
    </cfRule>
  </conditionalFormatting>
  <conditionalFormatting sqref="G32">
    <cfRule type="cellIs" dxfId="30" priority="22" operator="equal">
      <formula>"行動序號"</formula>
    </cfRule>
  </conditionalFormatting>
  <conditionalFormatting sqref="G58:G59">
    <cfRule type="cellIs" dxfId="29" priority="21" operator="equal">
      <formula>"行動序號"</formula>
    </cfRule>
  </conditionalFormatting>
  <conditionalFormatting sqref="G54:G57">
    <cfRule type="cellIs" dxfId="28" priority="20" operator="equal">
      <formula>"行動序號"</formula>
    </cfRule>
  </conditionalFormatting>
  <conditionalFormatting sqref="G17">
    <cfRule type="cellIs" dxfId="27" priority="19" operator="equal">
      <formula>"行動序號"</formula>
    </cfRule>
  </conditionalFormatting>
  <conditionalFormatting sqref="G60:G65">
    <cfRule type="cellIs" dxfId="26" priority="18" operator="equal">
      <formula>"行動序號"</formula>
    </cfRule>
  </conditionalFormatting>
  <conditionalFormatting sqref="G66:G67">
    <cfRule type="cellIs" dxfId="25" priority="17" operator="equal">
      <formula>"行動序號"</formula>
    </cfRule>
  </conditionalFormatting>
  <conditionalFormatting sqref="G76:G78">
    <cfRule type="cellIs" dxfId="24" priority="16" operator="equal">
      <formula>"行動序號"</formula>
    </cfRule>
  </conditionalFormatting>
  <conditionalFormatting sqref="A99">
    <cfRule type="cellIs" dxfId="23" priority="15" operator="equal">
      <formula>"行動序號"</formula>
    </cfRule>
  </conditionalFormatting>
  <conditionalFormatting sqref="A100">
    <cfRule type="cellIs" dxfId="22" priority="14" operator="equal">
      <formula>"行動序號"</formula>
    </cfRule>
  </conditionalFormatting>
  <conditionalFormatting sqref="A117">
    <cfRule type="cellIs" dxfId="21" priority="13" operator="equal">
      <formula>"行動序號"</formula>
    </cfRule>
  </conditionalFormatting>
  <conditionalFormatting sqref="A118">
    <cfRule type="cellIs" dxfId="20" priority="12" operator="equal">
      <formula>"行動序號"</formula>
    </cfRule>
  </conditionalFormatting>
  <conditionalFormatting sqref="A101:A102">
    <cfRule type="cellIs" dxfId="19" priority="11" operator="equal">
      <formula>"行動序號"</formula>
    </cfRule>
  </conditionalFormatting>
  <conditionalFormatting sqref="A103">
    <cfRule type="cellIs" dxfId="18" priority="10" operator="equal">
      <formula>"行動序號"</formula>
    </cfRule>
  </conditionalFormatting>
  <conditionalFormatting sqref="A127:A128">
    <cfRule type="cellIs" dxfId="17" priority="9" operator="equal">
      <formula>"行動序號"</formula>
    </cfRule>
  </conditionalFormatting>
  <conditionalFormatting sqref="A123:A126">
    <cfRule type="cellIs" dxfId="16" priority="8" operator="equal">
      <formula>"行動序號"</formula>
    </cfRule>
  </conditionalFormatting>
  <conditionalFormatting sqref="A129:A130">
    <cfRule type="cellIs" dxfId="15" priority="7" operator="equal">
      <formula>"行動序號"</formula>
    </cfRule>
  </conditionalFormatting>
  <conditionalFormatting sqref="A131:A132">
    <cfRule type="cellIs" dxfId="14" priority="6" operator="equal">
      <formula>"行動序號"</formula>
    </cfRule>
  </conditionalFormatting>
  <conditionalFormatting sqref="A141:A143">
    <cfRule type="cellIs" dxfId="13" priority="5" operator="equal">
      <formula>"行動序號"</formula>
    </cfRule>
  </conditionalFormatting>
  <conditionalFormatting sqref="A112:A1048576 A86:A87 A89:A95 A99:A110">
    <cfRule type="duplicateValues" dxfId="12" priority="4"/>
  </conditionalFormatting>
  <conditionalFormatting sqref="A111">
    <cfRule type="duplicateValues" dxfId="11" priority="3"/>
  </conditionalFormatting>
  <conditionalFormatting sqref="A72:A73">
    <cfRule type="cellIs" dxfId="10" priority="2" operator="equal">
      <formula>"行動序號"</formula>
    </cfRule>
  </conditionalFormatting>
  <conditionalFormatting sqref="A96:A97">
    <cfRule type="cellIs" dxfId="9" priority="1" operator="equal">
      <formula>"行動序號"</formula>
    </cfRule>
  </conditionalFormatting>
  <conditionalFormatting sqref="A1">
    <cfRule type="duplicateValues" dxfId="8" priority="33"/>
  </conditionalFormatting>
  <conditionalFormatting sqref="B112">
    <cfRule type="duplicateValues" dxfId="7" priority="34"/>
  </conditionalFormatting>
  <conditionalFormatting sqref="A99:A1048576 A86:A87 A89:A95">
    <cfRule type="duplicateValues" dxfId="6" priority="35"/>
  </conditionalFormatting>
  <conditionalFormatting sqref="A98">
    <cfRule type="duplicateValues" dxfId="5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stage7_notcard6</vt:lpstr>
      <vt:lpstr>#ALIAS</vt:lpstr>
      <vt:lpstr>#DEFINE</vt:lpstr>
      <vt:lpstr>#OPTION</vt:lpstr>
      <vt:lpstr>#PARAM</vt:lpstr>
      <vt:lpstr>#OUTPUT</vt:lpstr>
      <vt:lpstr>#使用說明</vt:lpstr>
      <vt:lpstr>'#OPTION'!_OPTION_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2025-04-16T09:18:14Z</dcterms:modified>
</cp:coreProperties>
</file>