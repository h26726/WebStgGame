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40106C41-A235-4B3E-9FFC-022959D2E00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2shot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'#OPTION'!$B$2:$B$7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8" i="1" l="1"/>
  <c r="E337" i="1"/>
  <c r="H336" i="1"/>
  <c r="E336" i="1"/>
  <c r="E335" i="1"/>
  <c r="E334" i="1"/>
  <c r="E333" i="1"/>
  <c r="E332" i="1"/>
  <c r="E331" i="1"/>
  <c r="E330" i="1"/>
  <c r="E329" i="1"/>
  <c r="E327" i="1"/>
  <c r="E326" i="1"/>
  <c r="H325" i="1"/>
  <c r="E325" i="1"/>
  <c r="E324" i="1"/>
  <c r="E323" i="1"/>
  <c r="E322" i="1"/>
  <c r="E321" i="1"/>
  <c r="E320" i="1"/>
  <c r="E319" i="1"/>
  <c r="E318" i="1"/>
  <c r="E316" i="1"/>
  <c r="E315" i="1"/>
  <c r="H314" i="1"/>
  <c r="E314" i="1"/>
  <c r="E313" i="1"/>
  <c r="E312" i="1"/>
  <c r="E311" i="1"/>
  <c r="E310" i="1"/>
  <c r="E309" i="1"/>
  <c r="E308" i="1"/>
  <c r="E307" i="1"/>
  <c r="E305" i="1"/>
  <c r="E304" i="1"/>
  <c r="H303" i="1"/>
  <c r="E303" i="1"/>
  <c r="E302" i="1"/>
  <c r="E301" i="1"/>
  <c r="E300" i="1"/>
  <c r="E299" i="1"/>
  <c r="E298" i="1"/>
  <c r="E297" i="1"/>
  <c r="E296" i="1"/>
  <c r="E294" i="1"/>
  <c r="E293" i="1"/>
  <c r="H292" i="1"/>
  <c r="E292" i="1"/>
  <c r="E291" i="1"/>
  <c r="E290" i="1"/>
  <c r="E289" i="1"/>
  <c r="E288" i="1"/>
  <c r="E287" i="1"/>
  <c r="E286" i="1"/>
  <c r="E285" i="1"/>
  <c r="E283" i="1"/>
  <c r="E282" i="1"/>
  <c r="H281" i="1"/>
  <c r="E281" i="1"/>
  <c r="E280" i="1"/>
  <c r="E279" i="1"/>
  <c r="E278" i="1"/>
  <c r="E277" i="1"/>
  <c r="E276" i="1"/>
  <c r="E275" i="1"/>
  <c r="E274" i="1"/>
  <c r="E272" i="1"/>
  <c r="E271" i="1"/>
  <c r="H270" i="1"/>
  <c r="E270" i="1"/>
  <c r="E269" i="1"/>
  <c r="E268" i="1"/>
  <c r="E267" i="1"/>
  <c r="E266" i="1"/>
  <c r="E265" i="1"/>
  <c r="E264" i="1"/>
  <c r="E263" i="1"/>
  <c r="E261" i="1"/>
  <c r="E260" i="1"/>
  <c r="H259" i="1"/>
  <c r="E259" i="1"/>
  <c r="E258" i="1"/>
  <c r="E257" i="1"/>
  <c r="E256" i="1"/>
  <c r="E255" i="1"/>
  <c r="E254" i="1"/>
  <c r="E253" i="1"/>
  <c r="E252" i="1"/>
  <c r="E250" i="1"/>
  <c r="E249" i="1"/>
  <c r="H248" i="1"/>
  <c r="E248" i="1"/>
  <c r="E247" i="1"/>
  <c r="E246" i="1"/>
  <c r="E245" i="1"/>
  <c r="E244" i="1"/>
  <c r="E243" i="1"/>
  <c r="E242" i="1"/>
  <c r="E241" i="1"/>
  <c r="E239" i="1"/>
  <c r="E238" i="1"/>
  <c r="H237" i="1"/>
  <c r="E237" i="1"/>
  <c r="E236" i="1"/>
  <c r="E235" i="1"/>
  <c r="E234" i="1"/>
  <c r="E233" i="1"/>
  <c r="E232" i="1"/>
  <c r="E231" i="1"/>
  <c r="E230" i="1"/>
  <c r="E228" i="1"/>
  <c r="E227" i="1"/>
  <c r="H226" i="1"/>
  <c r="E226" i="1"/>
  <c r="E225" i="1"/>
  <c r="E224" i="1"/>
  <c r="E223" i="1"/>
  <c r="E222" i="1"/>
  <c r="E221" i="1"/>
  <c r="E220" i="1"/>
  <c r="E219" i="1"/>
  <c r="E217" i="1"/>
  <c r="E216" i="1"/>
  <c r="H215" i="1"/>
  <c r="E215" i="1"/>
  <c r="E214" i="1"/>
  <c r="E213" i="1"/>
  <c r="E212" i="1"/>
  <c r="E211" i="1"/>
  <c r="E210" i="1"/>
  <c r="E209" i="1"/>
  <c r="E208" i="1"/>
  <c r="E206" i="1"/>
  <c r="E205" i="1"/>
  <c r="H204" i="1"/>
  <c r="E204" i="1"/>
  <c r="E203" i="1"/>
  <c r="E202" i="1"/>
  <c r="E201" i="1"/>
  <c r="E200" i="1"/>
  <c r="E199" i="1"/>
  <c r="E198" i="1"/>
  <c r="E197" i="1"/>
  <c r="E195" i="1"/>
  <c r="E194" i="1"/>
  <c r="H193" i="1"/>
  <c r="E193" i="1"/>
  <c r="E192" i="1"/>
  <c r="E191" i="1"/>
  <c r="E190" i="1"/>
  <c r="E189" i="1"/>
  <c r="E188" i="1"/>
  <c r="E187" i="1"/>
  <c r="E186" i="1"/>
  <c r="E184" i="1"/>
  <c r="E183" i="1"/>
  <c r="H182" i="1"/>
  <c r="E182" i="1"/>
  <c r="E181" i="1"/>
  <c r="E180" i="1"/>
  <c r="E179" i="1"/>
  <c r="E178" i="1"/>
  <c r="E177" i="1"/>
  <c r="E176" i="1"/>
  <c r="E175" i="1"/>
  <c r="E173" i="1"/>
  <c r="E172" i="1"/>
  <c r="H171" i="1"/>
  <c r="E171" i="1"/>
  <c r="E170" i="1"/>
  <c r="E169" i="1"/>
  <c r="E168" i="1"/>
  <c r="E167" i="1"/>
  <c r="E166" i="1"/>
  <c r="E165" i="1"/>
  <c r="E164" i="1"/>
  <c r="E162" i="1"/>
  <c r="E161" i="1"/>
  <c r="H160" i="1"/>
  <c r="E160" i="1"/>
  <c r="E159" i="1"/>
  <c r="E158" i="1"/>
  <c r="E157" i="1"/>
  <c r="E156" i="1"/>
  <c r="E155" i="1"/>
  <c r="E154" i="1"/>
  <c r="E153" i="1"/>
  <c r="E151" i="1"/>
  <c r="E150" i="1"/>
  <c r="H149" i="1"/>
  <c r="E149" i="1"/>
  <c r="E148" i="1"/>
  <c r="E147" i="1"/>
  <c r="E146" i="1"/>
  <c r="E145" i="1"/>
  <c r="E144" i="1"/>
  <c r="E143" i="1"/>
  <c r="E142" i="1"/>
  <c r="E140" i="1"/>
  <c r="E139" i="1"/>
  <c r="H138" i="1"/>
  <c r="E138" i="1"/>
  <c r="E137" i="1"/>
  <c r="E136" i="1"/>
  <c r="E135" i="1"/>
  <c r="E134" i="1"/>
  <c r="E133" i="1"/>
  <c r="E132" i="1"/>
  <c r="E131" i="1"/>
  <c r="E129" i="1"/>
  <c r="E128" i="1"/>
  <c r="H127" i="1"/>
  <c r="E127" i="1"/>
  <c r="E126" i="1"/>
  <c r="E125" i="1"/>
  <c r="E124" i="1"/>
  <c r="E123" i="1"/>
  <c r="E122" i="1"/>
  <c r="E121" i="1"/>
  <c r="E120" i="1"/>
  <c r="E118" i="1"/>
  <c r="E117" i="1"/>
  <c r="H116" i="1"/>
  <c r="E116" i="1"/>
  <c r="E115" i="1"/>
  <c r="E114" i="1"/>
  <c r="E113" i="1"/>
  <c r="E112" i="1"/>
  <c r="E111" i="1"/>
  <c r="E110" i="1"/>
  <c r="E109" i="1"/>
  <c r="E107" i="1"/>
  <c r="E106" i="1"/>
  <c r="H105" i="1"/>
  <c r="E105" i="1"/>
  <c r="E104" i="1"/>
  <c r="E103" i="1"/>
  <c r="E102" i="1"/>
  <c r="E101" i="1"/>
  <c r="E100" i="1"/>
  <c r="E99" i="1"/>
  <c r="E98" i="1"/>
  <c r="E96" i="1"/>
  <c r="E95" i="1"/>
  <c r="H94" i="1"/>
  <c r="E94" i="1"/>
  <c r="E93" i="1"/>
  <c r="E92" i="1"/>
  <c r="E91" i="1"/>
  <c r="E90" i="1"/>
  <c r="E89" i="1"/>
  <c r="E88" i="1"/>
  <c r="E87" i="1"/>
  <c r="E85" i="1"/>
  <c r="E84" i="1"/>
  <c r="H83" i="1"/>
  <c r="E83" i="1"/>
  <c r="E82" i="1"/>
  <c r="E81" i="1"/>
  <c r="E80" i="1"/>
  <c r="E79" i="1"/>
  <c r="E78" i="1"/>
  <c r="E77" i="1"/>
  <c r="E76" i="1"/>
  <c r="E74" i="1"/>
  <c r="E73" i="1"/>
  <c r="H72" i="1"/>
  <c r="E72" i="1"/>
  <c r="E71" i="1"/>
  <c r="E70" i="1"/>
  <c r="E69" i="1"/>
  <c r="E68" i="1"/>
  <c r="E67" i="1"/>
  <c r="E66" i="1"/>
  <c r="E65" i="1"/>
  <c r="E63" i="1"/>
  <c r="E62" i="1"/>
  <c r="H61" i="1"/>
  <c r="E61" i="1"/>
  <c r="E60" i="1"/>
  <c r="E59" i="1"/>
  <c r="E58" i="1"/>
  <c r="E57" i="1"/>
  <c r="E56" i="1"/>
  <c r="E55" i="1"/>
  <c r="E54" i="1"/>
  <c r="E52" i="1"/>
  <c r="E51" i="1"/>
  <c r="H50" i="1"/>
  <c r="E50" i="1"/>
  <c r="E49" i="1"/>
  <c r="E48" i="1"/>
  <c r="E47" i="1"/>
  <c r="E46" i="1"/>
  <c r="E45" i="1"/>
  <c r="E44" i="1"/>
  <c r="E43" i="1"/>
  <c r="E41" i="1"/>
  <c r="E40" i="1"/>
  <c r="H39" i="1"/>
  <c r="E39" i="1"/>
  <c r="E38" i="1"/>
  <c r="E37" i="1"/>
  <c r="E36" i="1"/>
  <c r="E35" i="1"/>
  <c r="E34" i="1"/>
  <c r="E33" i="1"/>
  <c r="E32" i="1"/>
  <c r="E30" i="1"/>
  <c r="E29" i="1"/>
  <c r="H28" i="1"/>
  <c r="E28" i="1"/>
  <c r="E27" i="1"/>
  <c r="E26" i="1"/>
  <c r="E25" i="1"/>
  <c r="E24" i="1"/>
  <c r="E23" i="1"/>
  <c r="E22" i="1"/>
  <c r="E21" i="1"/>
  <c r="D20" i="1"/>
  <c r="B20" i="1"/>
  <c r="E19" i="1"/>
  <c r="M23" i="1" l="1" a="1"/>
  <c r="M23" i="1" s="1"/>
  <c r="D53" i="1"/>
  <c r="C20" i="1"/>
  <c r="M28" i="1" s="1" a="1"/>
  <c r="M28" i="1" s="1"/>
  <c r="D31" i="1"/>
  <c r="M21" i="1"/>
  <c r="D42" i="1"/>
  <c r="E18" i="1"/>
  <c r="H17" i="1"/>
  <c r="E14" i="1"/>
  <c r="E17" i="1"/>
  <c r="B53" i="1" l="1"/>
  <c r="M54" i="1"/>
  <c r="B42" i="1"/>
  <c r="M43" i="1"/>
  <c r="D64" i="1"/>
  <c r="D75" i="1"/>
  <c r="C31" i="1"/>
  <c r="B31" i="1"/>
  <c r="M32" i="1"/>
  <c r="E16" i="1"/>
  <c r="M76" i="1" l="1"/>
  <c r="C75" i="1"/>
  <c r="B75" i="1"/>
  <c r="M45" i="1" a="1"/>
  <c r="M45" i="1" s="1"/>
  <c r="M50" i="1" a="1"/>
  <c r="M50" i="1" s="1"/>
  <c r="D97" i="1"/>
  <c r="C42" i="1"/>
  <c r="B64" i="1"/>
  <c r="M65" i="1"/>
  <c r="D86" i="1"/>
  <c r="M56" i="1" a="1"/>
  <c r="M56" i="1" s="1"/>
  <c r="M39" i="1" a="1"/>
  <c r="M39" i="1" s="1"/>
  <c r="M34" i="1" a="1"/>
  <c r="M34" i="1" s="1"/>
  <c r="C53" i="1"/>
  <c r="M61" i="1" s="1" a="1"/>
  <c r="M61" i="1" s="1"/>
  <c r="E15" i="1"/>
  <c r="E13" i="1"/>
  <c r="E12" i="1"/>
  <c r="E11" i="1"/>
  <c r="E10" i="1"/>
  <c r="D9" i="1"/>
  <c r="C97" i="1" l="1"/>
  <c r="M98" i="1"/>
  <c r="B97" i="1"/>
  <c r="M67" i="1" a="1"/>
  <c r="M67" i="1" s="1"/>
  <c r="M87" i="1"/>
  <c r="B86" i="1"/>
  <c r="C86" i="1" s="1"/>
  <c r="D130" i="1"/>
  <c r="D108" i="1"/>
  <c r="M78" i="1" a="1"/>
  <c r="M78" i="1" s="1"/>
  <c r="M83" i="1" a="1"/>
  <c r="M83" i="1" s="1"/>
  <c r="D119" i="1"/>
  <c r="C64" i="1"/>
  <c r="M72" i="1" s="1" a="1"/>
  <c r="M72" i="1" s="1"/>
  <c r="B9" i="1"/>
  <c r="M10" i="1"/>
  <c r="A8" i="1"/>
  <c r="C108" i="1" l="1"/>
  <c r="B108" i="1"/>
  <c r="M109" i="1"/>
  <c r="D152" i="1"/>
  <c r="D141" i="1"/>
  <c r="B130" i="1"/>
  <c r="C130" i="1" s="1"/>
  <c r="M131" i="1"/>
  <c r="M94" i="1" a="1"/>
  <c r="M94" i="1" s="1"/>
  <c r="M89" i="1" a="1"/>
  <c r="M89" i="1" s="1"/>
  <c r="B119" i="1"/>
  <c r="M120" i="1"/>
  <c r="M105" i="1" a="1"/>
  <c r="M105" i="1" s="1"/>
  <c r="M100" i="1" a="1"/>
  <c r="M100" i="1" s="1"/>
  <c r="M12" i="1" a="1"/>
  <c r="M12" i="1" s="1"/>
  <c r="C9" i="1"/>
  <c r="M17" i="1" s="1" a="1"/>
  <c r="M17" i="1" s="1"/>
  <c r="M122" i="1" l="1" a="1"/>
  <c r="M122" i="1" s="1"/>
  <c r="M153" i="1"/>
  <c r="B152" i="1"/>
  <c r="C152" i="1" s="1"/>
  <c r="D163" i="1"/>
  <c r="C119" i="1"/>
  <c r="M127" i="1" s="1" a="1"/>
  <c r="M127" i="1" s="1"/>
  <c r="M111" i="1" a="1"/>
  <c r="M111" i="1" s="1"/>
  <c r="M116" i="1" a="1"/>
  <c r="M116" i="1" s="1"/>
  <c r="M138" i="1" a="1"/>
  <c r="M138" i="1" s="1"/>
  <c r="M133" i="1" a="1"/>
  <c r="M133" i="1" s="1"/>
  <c r="M142" i="1"/>
  <c r="C141" i="1"/>
  <c r="B141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55" i="1" l="1" a="1"/>
  <c r="M155" i="1" s="1"/>
  <c r="M160" i="1" a="1"/>
  <c r="M160" i="1" s="1"/>
  <c r="M144" i="1" a="1"/>
  <c r="M144" i="1" s="1"/>
  <c r="M149" i="1" a="1"/>
  <c r="M149" i="1" s="1"/>
  <c r="B163" i="1"/>
  <c r="C163" i="1"/>
  <c r="M164" i="1"/>
  <c r="D174" i="1"/>
  <c r="M171" i="1" l="1" a="1"/>
  <c r="M171" i="1" s="1"/>
  <c r="M166" i="1" a="1"/>
  <c r="M166" i="1" s="1"/>
  <c r="M175" i="1"/>
  <c r="B174" i="1"/>
  <c r="D185" i="1"/>
  <c r="M177" i="1" l="1" a="1"/>
  <c r="M177" i="1" s="1"/>
  <c r="M182" i="1" a="1"/>
  <c r="M182" i="1" s="1"/>
  <c r="C174" i="1"/>
  <c r="M186" i="1"/>
  <c r="B185" i="1"/>
  <c r="C185" i="1" s="1"/>
  <c r="D207" i="1"/>
  <c r="D196" i="1"/>
  <c r="M208" i="1" l="1"/>
  <c r="B207" i="1"/>
  <c r="D218" i="1"/>
  <c r="M188" i="1" a="1"/>
  <c r="M188" i="1" s="1"/>
  <c r="M193" i="1" a="1"/>
  <c r="M193" i="1" s="1"/>
  <c r="B196" i="1"/>
  <c r="M197" i="1"/>
  <c r="C196" i="1"/>
  <c r="M219" i="1" l="1"/>
  <c r="B218" i="1"/>
  <c r="D229" i="1"/>
  <c r="M215" i="1" a="1"/>
  <c r="M215" i="1" s="1"/>
  <c r="M210" i="1" a="1"/>
  <c r="M210" i="1" s="1"/>
  <c r="C207" i="1"/>
  <c r="M204" i="1" a="1"/>
  <c r="M204" i="1" s="1"/>
  <c r="M199" i="1" a="1"/>
  <c r="M199" i="1" s="1"/>
  <c r="M221" i="1" l="1" a="1"/>
  <c r="M221" i="1" s="1"/>
  <c r="C218" i="1"/>
  <c r="M226" i="1" s="1" a="1"/>
  <c r="M226" i="1" s="1"/>
  <c r="M230" i="1"/>
  <c r="B229" i="1"/>
  <c r="D240" i="1"/>
  <c r="M232" i="1" l="1" a="1"/>
  <c r="M232" i="1" s="1"/>
  <c r="C229" i="1"/>
  <c r="M237" i="1" s="1" a="1"/>
  <c r="M237" i="1" s="1"/>
  <c r="M241" i="1"/>
  <c r="B240" i="1"/>
  <c r="D251" i="1"/>
  <c r="M243" i="1" l="1" a="1"/>
  <c r="M243" i="1" s="1"/>
  <c r="C240" i="1"/>
  <c r="M248" i="1" s="1" a="1"/>
  <c r="M248" i="1" s="1"/>
  <c r="C251" i="1"/>
  <c r="M252" i="1"/>
  <c r="B251" i="1"/>
  <c r="D262" i="1"/>
  <c r="B262" i="1" l="1"/>
  <c r="M263" i="1"/>
  <c r="D273" i="1"/>
  <c r="M254" i="1" a="1"/>
  <c r="M254" i="1" s="1"/>
  <c r="M259" i="1" a="1"/>
  <c r="M259" i="1" s="1"/>
  <c r="M265" i="1" l="1" a="1"/>
  <c r="M265" i="1" s="1"/>
  <c r="C262" i="1"/>
  <c r="M270" i="1" s="1" a="1"/>
  <c r="M270" i="1" s="1"/>
  <c r="M274" i="1"/>
  <c r="B273" i="1"/>
  <c r="C273" i="1" s="1"/>
  <c r="D284" i="1"/>
  <c r="M285" i="1" l="1"/>
  <c r="B284" i="1"/>
  <c r="C284" i="1"/>
  <c r="D295" i="1"/>
  <c r="M276" i="1" a="1"/>
  <c r="M276" i="1" s="1"/>
  <c r="M281" i="1" a="1"/>
  <c r="M281" i="1" s="1"/>
  <c r="C295" i="1" l="1"/>
  <c r="M296" i="1"/>
  <c r="B295" i="1"/>
  <c r="D306" i="1"/>
  <c r="M292" i="1" a="1"/>
  <c r="M292" i="1" s="1"/>
  <c r="M287" i="1" a="1"/>
  <c r="M287" i="1" s="1"/>
  <c r="M303" i="1" l="1" a="1"/>
  <c r="M303" i="1" s="1"/>
  <c r="M298" i="1" a="1"/>
  <c r="M298" i="1" s="1"/>
  <c r="M307" i="1"/>
  <c r="B306" i="1"/>
  <c r="D317" i="1"/>
  <c r="C317" i="1" l="1"/>
  <c r="B317" i="1"/>
  <c r="M318" i="1"/>
  <c r="D328" i="1"/>
  <c r="M309" i="1" a="1"/>
  <c r="M309" i="1" s="1"/>
  <c r="C306" i="1"/>
  <c r="M314" i="1" s="1" a="1"/>
  <c r="M314" i="1" s="1"/>
  <c r="B328" i="1" l="1"/>
  <c r="C328" i="1" s="1"/>
  <c r="M329" i="1"/>
  <c r="M320" i="1" a="1"/>
  <c r="M320" i="1" s="1"/>
  <c r="M325" i="1" a="1"/>
  <c r="M325" i="1" s="1"/>
  <c r="M336" i="1" l="1" a="1"/>
  <c r="M336" i="1" s="1"/>
  <c r="M331" i="1" a="1"/>
  <c r="M33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<sst xmlns="http://schemas.openxmlformats.org/spreadsheetml/2006/main" count="916" uniqueCount="254">
  <si>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</si>
  <si>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</si>
  <si>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</si>
  <si>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</si>
  <si>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</si>
  <si>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</si>
  <si>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</si>
  <si>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</si>
  <si>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</si>
  <si>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</si>
  <si>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</si>
  <si>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</si>
  <si>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</si>
  <si>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</si>
  <si>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</si>
  <si>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</si>
  <si>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</si>
  <si>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</si>
  <si>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</si>
  <si>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</si>
  <si>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</si>
  <si>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</si>
  <si>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</si>
  <si>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</si>
  <si>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</si>
  <si>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</si>
  <si>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</si>
  <si>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</si>
  <si>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</si>
  <si>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</si>
  <si>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</si>
  <si>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</si>
  <si>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</si>
  <si>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</si>
  <si>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</si>
  <si>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</si>
  <si>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</si>
  <si>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</si>
  <si>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</si>
  <si>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</si>
  <si>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</si>
  <si>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</si>
  <si>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</si>
  <si>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</si>
  <si>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</si>
  <si>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</si>
  <si>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</si>
  <si>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</si>
  <si>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</si>
  <si>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</si>
  <si>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</si>
  <si>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</si>
  <si>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</si>
  <si>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</si>
  <si>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</si>
  <si>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</si>
  <si>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</si>
  <si>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</si>
  <si>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</si>
  <si>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</si>
  <si>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</si>
  <si>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</si>
  <si>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</si>
  <si>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</si>
  <si>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</si>
  <si>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</si>
  <si>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</si>
  <si>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</si>
  <si>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</si>
  <si>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</si>
  <si>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</si>
  <si>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</si>
  <si>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</si>
  <si>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</si>
  <si>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</si>
  <si>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</si>
  <si>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</si>
  <si>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</si>
  <si>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</si>
  <si>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</si>
  <si>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</si>
  <si>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</si>
  <si>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</si>
  <si>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</si>
  <si>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</si>
  <si>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</si>
  <si>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</si>
  <si>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</si>
  <si>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</si>
  <si>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</si>
  <si>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</si>
  <si>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</si>
  <si>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</si>
  <si>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</si>
  <si>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</si>
  <si>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</si>
  <si>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</si>
  <si>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</si>
  <si>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</si>
  <si>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</si>
  <si>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</si>
  <si>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</si>
  <si>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</si>
  <si>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</si>
  <si>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</si>
  <si>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</si>
  <si>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</si>
  <si>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</si>
  <si>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</si>
  <si>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</si>
  <si>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</si>
  <si>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</si>
  <si>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</si>
  <si>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</si>
  <si>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</si>
  <si>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</si>
  <si>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</si>
  <si>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</si>
  <si>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</si>
  <si>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</si>
  <si>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</si>
  <si>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</si>
  <si>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</si>
  <si>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</si>
  <si>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</si>
  <si>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</si>
  <si>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</si>
  <si>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</si>
  <si>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</si>
  <si>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</si>
  <si>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</si>
  <si>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</si>
  <si>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</si>
  <si>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</si>
  <si>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</si>
  <si>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</si>
  <si>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</si>
  <si>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</si>
  <si>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</si>
  <si>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</si>
  <si>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</si>
  <si>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</si>
  <si>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</si>
  <si>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</si>
  <si>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</si>
  <si>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</si>
  <si>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</si>
  <si>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</si>
  <si>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</si>
  <si>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</si>
  <si>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</si>
  <si>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</si>
  <si>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</si>
  <si>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</si>
  <si>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</si>
  <si>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</si>
  <si>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</si>
  <si>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</si>
  <si>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</si>
  <si>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</si>
  <si>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</si>
  <si>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</si>
  <si>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</si>
  <si>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</si>
  <si>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</si>
  <si>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</si>
  <si>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</si>
  <si>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</si>
  <si>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</si>
  <si>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</si>
  <si>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</si>
  <si>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</si>
  <si>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</si>
  <si>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</si>
  <si>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</si>
  <si>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</si>
  <si>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</si>
  <si>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</si>
  <si>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</si>
  <si>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</si>
  <si>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</si>
  <si>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</si>
  <si>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</si>
  <si>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</si>
  <si>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</si>
  <si>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</si>
  <si>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</si>
  <si>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</si>
  <si>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</si>
  <si>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</si>
  <si>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</si>
  <si>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</si>
  <si>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</si>
  <si>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</si>
  <si>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</si>
  <si>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</si>
  <si>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</si>
  <si>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</si>
  <si>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</si>
  <si>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</si>
  <si>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</si>
  <si>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</si>
  <si>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</si>
  <si>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</si>
  <si>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</si>
  <si>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</si>
  <si>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</si>
  <si>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</si>
  <si>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</si>
  <si>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</si>
  <si>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</si>
  <si>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</si>
  <si>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</si>
  <si>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</si>
  <si>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</si>
  <si>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</si>
  <si>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</si>
  <si>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</si>
  <si>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</si>
  <si>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</si>
  <si>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</si>
  <si>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</si>
  <si>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</si>
  <si>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</si>
  <si>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</si>
  <si>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</si>
  <si>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</si>
  <si>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</si>
  <si>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</si>
  <si>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</si>
  <si>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</si>
  <si>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</si>
  <si>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</si>
  <si>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</si>
  <si>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</si>
  <si>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</si>
  <si>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</si>
  <si>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</si>
  <si>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</si>
  <si>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</si>
  <si>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</si>
  <si>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</si>
  <si>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</si>
  <si>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</si>
  <si>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</si>
  <si>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</si>
  <si>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</si>
  <si>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19700</t>
  </si>
  <si>
    <t>19700</t>
    <phoneticPr fontId="2" type="noConversion"/>
  </si>
  <si>
    <t>EnemyShot2</t>
  </si>
  <si>
    <t>EnemyShot2</t>
    <phoneticPr fontId="2" type="noConversion"/>
  </si>
  <si>
    <t>Shot2_purple</t>
  </si>
  <si>
    <t>Shot2_purple</t>
    <phoneticPr fontId="2" type="noConversion"/>
  </si>
  <si>
    <t>速度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</si>
</sst>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338"/>
  <sheetViews>
    <sheetView tabSelected="1" zoomScale="115" zoomScaleNormal="115" workbookViewId="0">
      <pane ySplit="1" topLeftCell="A5" activePane="bottomLeft" state="frozen"/>
      <selection pane="bottomLeft" activeCell="K12" sqref="K12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30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21" t="s">
        <v>227</v>
      </c>
      <c r="B9" s="21">
        <f t="shared" ref="B9" si="0">QUOTIENT( D9-1,G10)+1</f>
        <v>1</v>
      </c>
      <c r="C9" s="21">
        <f t="shared" ref="C9" si="1">D9-(B9-1)*G10</f>
        <v>1</v>
      </c>
      <c r="D9" s="21">
        <f>COUNT($D$8:$D8)+1</f>
        <v>1</v>
      </c>
      <c r="R9" s="12"/>
      <c r="S9" s="9"/>
      <c r="U9" s="12"/>
      <c r="X9" s="15"/>
      <c r="AE9" s="16"/>
      <c r="BH9" s="9"/>
    </row>
    <row r="10" spans="1:60">
      <c r="E10" s="21">
        <f t="shared" ref="E10:E73" si="2">ROW(E10)</f>
        <v>10</v>
      </c>
      <c r="F10" s="9" t="s">
        <v>93</v>
      </c>
      <c r="G10" s="21">
        <v>15</v>
      </c>
      <c r="H10" s="21">
        <v>2</v>
      </c>
      <c r="J10" s="9" t="s">
        <v>248</v>
      </c>
      <c r="M10" s="21">
        <f t="shared" ref="M10" si="3">J10+D9</f>
        <v>19701</v>
      </c>
      <c r="R10" s="12"/>
      <c r="S10" s="9"/>
      <c r="U10" s="12"/>
      <c r="X10" s="15"/>
      <c r="AE10" s="16"/>
      <c r="BH10" s="9"/>
    </row>
    <row r="11" spans="1:60">
      <c r="E11" s="21">
        <f t="shared" si="2"/>
        <v>11</v>
      </c>
      <c r="F11" s="9" t="s">
        <v>142</v>
      </c>
      <c r="M11" s="21">
        <v>195109</v>
      </c>
      <c r="R11" s="12"/>
      <c r="S11" s="9"/>
      <c r="U11" s="12"/>
      <c r="X11" s="15"/>
      <c r="AE11" s="16"/>
      <c r="BH11" s="9"/>
    </row>
    <row r="12" spans="1:60">
      <c r="E12" s="21">
        <f t="shared" si="2"/>
        <v>12</v>
      </c>
      <c r="F12" s="9" t="s">
        <v>126</v>
      </c>
      <c r="G12" s="21">
        <v>0</v>
      </c>
      <c r="H12" s="21">
        <v>60</v>
      </c>
      <c r="M12" s="21" cm="1">
        <f t="array" ref="M12">_xlfn.SWITCH(B9,1,G12,2,H12)</f>
        <v>0</v>
      </c>
      <c r="R12" s="12"/>
      <c r="S12" s="9"/>
      <c r="U12" s="12"/>
      <c r="X12" s="15"/>
      <c r="AE12" s="16"/>
      <c r="BH12" s="9"/>
    </row>
    <row r="13" spans="1:60">
      <c r="E13" s="21">
        <f t="shared" si="2"/>
        <v>13</v>
      </c>
      <c r="F13" s="9" t="s">
        <v>29</v>
      </c>
      <c r="M13" s="21" t="s">
        <v>250</v>
      </c>
      <c r="R13" s="12"/>
      <c r="S13" s="9"/>
      <c r="U13" s="12"/>
      <c r="X13" s="15"/>
      <c r="AE13" s="16"/>
      <c r="BH13" s="9"/>
    </row>
    <row r="14" spans="1:60">
      <c r="E14" s="21">
        <f t="shared" si="2"/>
        <v>14</v>
      </c>
      <c r="F14" s="9" t="s">
        <v>118</v>
      </c>
      <c r="M14" s="21" t="s">
        <v>252</v>
      </c>
      <c r="R14" s="12"/>
      <c r="S14" s="9"/>
      <c r="U14" s="12"/>
      <c r="X14" s="15"/>
      <c r="AE14" s="16"/>
      <c r="BH14" s="9"/>
    </row>
    <row r="15" spans="1:60">
      <c r="E15" s="21">
        <f t="shared" si="2"/>
        <v>15</v>
      </c>
      <c r="F15" s="9" t="s">
        <v>98</v>
      </c>
      <c r="G15" s="9"/>
      <c r="H15" s="9"/>
      <c r="I15" s="9"/>
      <c r="K15" s="9" t="s">
        <v>137</v>
      </c>
      <c r="M15" s="21">
        <v>5</v>
      </c>
      <c r="R15" s="12"/>
      <c r="S15" s="9"/>
      <c r="U15" s="12"/>
      <c r="X15" s="15"/>
      <c r="AE15" s="16"/>
      <c r="BH15" s="9"/>
    </row>
    <row r="16" spans="1:60">
      <c r="E16" s="21">
        <f t="shared" si="2"/>
        <v>16</v>
      </c>
      <c r="F16" s="9" t="s">
        <v>114</v>
      </c>
      <c r="M16" s="21" t="b">
        <v>1</v>
      </c>
      <c r="R16" s="12"/>
      <c r="S16" s="9"/>
      <c r="U16" s="12"/>
      <c r="X16" s="15"/>
      <c r="AE16" s="16"/>
      <c r="BH16" s="9"/>
    </row>
    <row r="17" spans="1:60">
      <c r="E17" s="21">
        <f>ROW(E17)</f>
        <v>17</v>
      </c>
      <c r="F17" s="9" t="s">
        <v>31</v>
      </c>
      <c r="G17" s="21">
        <v>360</v>
      </c>
      <c r="H17" s="21">
        <f>G17/G10</f>
        <v>24</v>
      </c>
      <c r="L17" s="9" t="s">
        <v>134</v>
      </c>
      <c r="M17" s="21" cm="1">
        <f t="array" ref="M17">_xlfn.SWITCH(B9,1,H17*C9,2,H17*C9+H17/2,3,0)</f>
        <v>24</v>
      </c>
      <c r="R17" s="12"/>
      <c r="S17" s="9"/>
      <c r="U17" s="12"/>
      <c r="X17" s="15"/>
      <c r="AE17" s="16"/>
      <c r="BH17" s="9"/>
    </row>
    <row r="18" spans="1:60">
      <c r="E18" s="21">
        <f>ROW(E18)</f>
        <v>18</v>
      </c>
      <c r="F18" s="9" t="s">
        <v>253</v>
      </c>
      <c r="M18" s="27">
        <v>3</v>
      </c>
      <c r="R18" s="12"/>
      <c r="S18" s="9"/>
      <c r="U18" s="12"/>
      <c r="X18" s="15"/>
      <c r="AE18" s="16"/>
      <c r="BH18" s="9"/>
    </row>
    <row r="19" spans="1:60">
      <c r="E19" s="21">
        <f>ROW(E19)</f>
        <v>19</v>
      </c>
      <c r="F19" s="9" t="s">
        <v>115</v>
      </c>
      <c r="M19" s="27">
        <v>-1.5</v>
      </c>
      <c r="R19" s="12"/>
      <c r="S19" s="9"/>
      <c r="U19" s="12"/>
      <c r="X19" s="15"/>
      <c r="AE19" s="16"/>
      <c r="BH19" s="9"/>
    </row>
    <row r="20" spans="1:60">
      <c r="A20" s="21" t="s">
        <v>227</v>
      </c>
      <c r="B20" s="21">
        <f t="shared" ref="B20:B83" si="4">QUOTIENT( D20-1,G21)+1</f>
        <v>1</v>
      </c>
      <c r="C20" s="21">
        <f t="shared" ref="C20:C83" si="5">D20-(B20-1)*G21</f>
        <v>2</v>
      </c>
      <c r="D20" s="21">
        <f>COUNT($D$8:$D19)+1</f>
        <v>2</v>
      </c>
      <c r="G20" s="9"/>
      <c r="H20" s="9"/>
      <c r="R20" s="12"/>
      <c r="S20" s="9"/>
      <c r="U20" s="12"/>
      <c r="X20" s="15"/>
      <c r="AE20" s="16"/>
      <c r="BH20" s="9"/>
    </row>
    <row r="21" spans="1:60">
      <c r="E21" s="21">
        <f t="shared" si="2"/>
        <v>21</v>
      </c>
      <c r="F21" s="9" t="s">
        <v>93</v>
      </c>
      <c r="G21" s="9">
        <v>15</v>
      </c>
      <c r="H21" s="9">
        <v>2</v>
      </c>
      <c r="J21" s="9" t="s">
        <v>247</v>
      </c>
      <c r="M21" s="21">
        <f t="shared" ref="M21:M84" si="6">J21+D20</f>
        <v>19702</v>
      </c>
      <c r="R21" s="12"/>
      <c r="S21" s="9"/>
      <c r="U21" s="12"/>
      <c r="X21" s="15"/>
      <c r="AE21" s="16"/>
      <c r="BH21" s="9"/>
    </row>
    <row r="22" spans="1:60">
      <c r="E22" s="21">
        <f t="shared" si="2"/>
        <v>22</v>
      </c>
      <c r="F22" s="9" t="s">
        <v>142</v>
      </c>
      <c r="G22" s="9"/>
      <c r="H22" s="9"/>
      <c r="M22" s="21">
        <v>195109</v>
      </c>
      <c r="R22" s="12"/>
      <c r="S22" s="9"/>
      <c r="U22" s="12"/>
      <c r="X22" s="15"/>
      <c r="AE22" s="16"/>
      <c r="BH22" s="9"/>
    </row>
    <row r="23" spans="1:60">
      <c r="E23" s="21">
        <f t="shared" si="2"/>
        <v>23</v>
      </c>
      <c r="F23" s="9" t="s">
        <v>126</v>
      </c>
      <c r="G23" s="9">
        <v>0</v>
      </c>
      <c r="H23" s="9">
        <v>60</v>
      </c>
      <c r="M23" s="21" cm="1">
        <f t="array" ref="M23">_xlfn.SWITCH(B20,1,G23,2,H23)</f>
        <v>0</v>
      </c>
      <c r="R23" s="12"/>
      <c r="S23" s="9"/>
      <c r="U23" s="12"/>
      <c r="X23" s="15"/>
      <c r="AE23" s="16"/>
      <c r="BH23" s="9"/>
    </row>
    <row r="24" spans="1:60">
      <c r="E24" s="21">
        <f t="shared" si="2"/>
        <v>24</v>
      </c>
      <c r="F24" s="9" t="s">
        <v>29</v>
      </c>
      <c r="M24" s="21" t="s">
        <v>249</v>
      </c>
      <c r="R24" s="12"/>
      <c r="S24" s="9"/>
      <c r="U24" s="12"/>
      <c r="X24" s="15"/>
      <c r="AE24" s="16"/>
      <c r="BH24" s="9"/>
    </row>
    <row r="25" spans="1:60">
      <c r="E25" s="21">
        <f t="shared" si="2"/>
        <v>25</v>
      </c>
      <c r="F25" s="9" t="s">
        <v>118</v>
      </c>
      <c r="M25" s="21" t="s">
        <v>251</v>
      </c>
      <c r="R25" s="12"/>
      <c r="S25" s="9"/>
      <c r="U25" s="12"/>
      <c r="X25" s="15"/>
      <c r="AE25" s="16"/>
      <c r="BH25" s="9"/>
    </row>
    <row r="26" spans="1:60">
      <c r="E26" s="21">
        <f t="shared" si="2"/>
        <v>26</v>
      </c>
      <c r="F26" s="9" t="s">
        <v>98</v>
      </c>
      <c r="K26" s="9" t="s">
        <v>137</v>
      </c>
      <c r="M26" s="26">
        <v>5</v>
      </c>
      <c r="R26" s="12"/>
      <c r="S26" s="9"/>
      <c r="U26" s="12"/>
      <c r="X26" s="15"/>
      <c r="AE26" s="16"/>
      <c r="BH26" s="9"/>
    </row>
    <row r="27" spans="1:60">
      <c r="E27" s="21">
        <f t="shared" si="2"/>
        <v>27</v>
      </c>
      <c r="F27" s="9" t="s">
        <v>114</v>
      </c>
      <c r="M27" s="21" t="b">
        <v>1</v>
      </c>
      <c r="R27" s="12"/>
      <c r="S27" s="9"/>
      <c r="U27" s="12"/>
      <c r="X27" s="15"/>
      <c r="AE27" s="16"/>
      <c r="BH27" s="9"/>
    </row>
    <row r="28" spans="1:60">
      <c r="E28" s="21">
        <f t="shared" si="2"/>
        <v>28</v>
      </c>
      <c r="F28" s="9" t="s">
        <v>31</v>
      </c>
      <c r="G28" s="21">
        <v>360</v>
      </c>
      <c r="H28" s="21">
        <f t="shared" ref="H28" si="7">G28/G21</f>
        <v>24</v>
      </c>
      <c r="L28" s="9" t="s">
        <v>134</v>
      </c>
      <c r="M28" s="21" cm="1">
        <f t="array" ref="M28">_xlfn.SWITCH(B20,1,H28*C20,2,H28*C20+H28/2,3,0)</f>
        <v>48</v>
      </c>
      <c r="R28" s="12"/>
      <c r="S28" s="9"/>
      <c r="U28" s="12"/>
      <c r="X28" s="15"/>
      <c r="AE28" s="16"/>
      <c r="BH28" s="9"/>
    </row>
    <row r="29" spans="1:60">
      <c r="E29" s="21">
        <f t="shared" si="2"/>
        <v>29</v>
      </c>
      <c r="F29" s="9" t="s">
        <v>30</v>
      </c>
      <c r="M29" s="26">
        <v>3</v>
      </c>
      <c r="R29" s="12"/>
      <c r="S29" s="9"/>
      <c r="U29" s="12"/>
      <c r="X29" s="15"/>
      <c r="AE29" s="16"/>
      <c r="BH29" s="9"/>
    </row>
    <row r="30" spans="1:60">
      <c r="E30" s="21">
        <f t="shared" si="2"/>
        <v>30</v>
      </c>
      <c r="F30" s="9" t="s">
        <v>115</v>
      </c>
      <c r="M30" s="21">
        <v>-1.5</v>
      </c>
    </row>
    <row r="31" spans="1:60">
      <c r="A31" s="21" t="s">
        <v>227</v>
      </c>
      <c r="B31" s="21">
        <f t="shared" ref="B31:B94" si="8">QUOTIENT( D31-1,G32)+1</f>
        <v>1</v>
      </c>
      <c r="C31" s="21">
        <f t="shared" ref="C31:C94" si="9">D31-(B31-1)*G32</f>
        <v>3</v>
      </c>
      <c r="D31" s="21">
        <f>COUNT($D$8:$D30)+1</f>
        <v>3</v>
      </c>
    </row>
    <row r="32" spans="1:60">
      <c r="E32" s="21">
        <f t="shared" si="2"/>
        <v>32</v>
      </c>
      <c r="F32" s="9" t="s">
        <v>93</v>
      </c>
      <c r="G32" s="21">
        <v>15</v>
      </c>
      <c r="H32" s="21">
        <v>2</v>
      </c>
      <c r="J32" s="9" t="s">
        <v>247</v>
      </c>
      <c r="M32" s="21">
        <f t="shared" ref="M32:M95" si="10">J32+D31</f>
        <v>19703</v>
      </c>
    </row>
    <row r="33" spans="1:13">
      <c r="E33" s="21">
        <f t="shared" si="2"/>
        <v>33</v>
      </c>
      <c r="F33" s="9" t="s">
        <v>142</v>
      </c>
      <c r="M33" s="21">
        <v>195109</v>
      </c>
    </row>
    <row r="34" spans="1:13">
      <c r="E34" s="21">
        <f t="shared" si="2"/>
        <v>34</v>
      </c>
      <c r="F34" s="9" t="s">
        <v>126</v>
      </c>
      <c r="G34" s="21">
        <v>0</v>
      </c>
      <c r="H34" s="21">
        <v>60</v>
      </c>
      <c r="M34" s="21" cm="1">
        <f t="array" ref="M34">_xlfn.SWITCH(B31,1,G34,2,H34)</f>
        <v>0</v>
      </c>
    </row>
    <row r="35" spans="1:13">
      <c r="E35" s="21">
        <f t="shared" si="2"/>
        <v>35</v>
      </c>
      <c r="F35" s="9" t="s">
        <v>29</v>
      </c>
      <c r="M35" s="21" t="s">
        <v>249</v>
      </c>
    </row>
    <row r="36" spans="1:13">
      <c r="E36" s="21">
        <f t="shared" si="2"/>
        <v>36</v>
      </c>
      <c r="F36" s="9" t="s">
        <v>118</v>
      </c>
      <c r="M36" s="21" t="s">
        <v>251</v>
      </c>
    </row>
    <row r="37" spans="1:13">
      <c r="E37" s="21">
        <f t="shared" si="2"/>
        <v>37</v>
      </c>
      <c r="F37" s="9" t="s">
        <v>98</v>
      </c>
      <c r="K37" s="9" t="s">
        <v>137</v>
      </c>
      <c r="M37" s="21">
        <v>5</v>
      </c>
    </row>
    <row r="38" spans="1:13">
      <c r="E38" s="21">
        <f t="shared" si="2"/>
        <v>38</v>
      </c>
      <c r="F38" s="9" t="s">
        <v>114</v>
      </c>
      <c r="M38" s="21" t="b">
        <v>1</v>
      </c>
    </row>
    <row r="39" spans="1:13">
      <c r="E39" s="21">
        <f t="shared" si="2"/>
        <v>39</v>
      </c>
      <c r="F39" s="9" t="s">
        <v>31</v>
      </c>
      <c r="G39" s="21">
        <v>360</v>
      </c>
      <c r="H39" s="21">
        <f t="shared" ref="H39" si="11">G39/G32</f>
        <v>24</v>
      </c>
      <c r="L39" s="9" t="s">
        <v>134</v>
      </c>
      <c r="M39" s="21" cm="1">
        <f t="array" ref="M39">_xlfn.SWITCH(B31,1,H39*C31,2,H39*C31+H39/2,3,0)</f>
        <v>72</v>
      </c>
    </row>
    <row r="40" spans="1:13">
      <c r="E40" s="21">
        <f t="shared" si="2"/>
        <v>40</v>
      </c>
      <c r="F40" s="9" t="s">
        <v>30</v>
      </c>
      <c r="M40" s="26">
        <v>3</v>
      </c>
    </row>
    <row r="41" spans="1:13">
      <c r="E41" s="21">
        <f t="shared" si="2"/>
        <v>41</v>
      </c>
      <c r="F41" s="9" t="s">
        <v>115</v>
      </c>
      <c r="M41" s="21">
        <v>-1.5</v>
      </c>
    </row>
    <row r="42" spans="1:13">
      <c r="A42" s="21" t="s">
        <v>227</v>
      </c>
      <c r="B42" s="21">
        <f t="shared" ref="B42:B105" si="12">QUOTIENT( D42-1,G43)+1</f>
        <v>1</v>
      </c>
      <c r="C42" s="21">
        <f t="shared" ref="C42:C105" si="13">D42-(B42-1)*G43</f>
        <v>4</v>
      </c>
      <c r="D42" s="21">
        <f>COUNT($D$8:$D41)+1</f>
        <v>4</v>
      </c>
    </row>
    <row r="43" spans="1:13">
      <c r="E43" s="21">
        <f t="shared" si="2"/>
        <v>43</v>
      </c>
      <c r="F43" s="9" t="s">
        <v>93</v>
      </c>
      <c r="G43" s="21">
        <v>15</v>
      </c>
      <c r="H43" s="21">
        <v>2</v>
      </c>
      <c r="J43" s="9" t="s">
        <v>247</v>
      </c>
      <c r="M43" s="21">
        <f t="shared" ref="M43:M106" si="14">J43+D42</f>
        <v>19704</v>
      </c>
    </row>
    <row r="44" spans="1:13">
      <c r="E44" s="21">
        <f t="shared" si="2"/>
        <v>44</v>
      </c>
      <c r="F44" s="9" t="s">
        <v>142</v>
      </c>
      <c r="M44" s="21">
        <v>195109</v>
      </c>
    </row>
    <row r="45" spans="1:13">
      <c r="E45" s="21">
        <f t="shared" si="2"/>
        <v>45</v>
      </c>
      <c r="F45" s="9" t="s">
        <v>126</v>
      </c>
      <c r="G45" s="21">
        <v>0</v>
      </c>
      <c r="H45" s="21">
        <v>60</v>
      </c>
      <c r="M45" s="21" cm="1">
        <f t="array" ref="M45">_xlfn.SWITCH(B42,1,G45,2,H45)</f>
        <v>0</v>
      </c>
    </row>
    <row r="46" spans="1:13">
      <c r="E46" s="21">
        <f t="shared" si="2"/>
        <v>46</v>
      </c>
      <c r="F46" s="9" t="s">
        <v>29</v>
      </c>
      <c r="M46" s="21" t="s">
        <v>249</v>
      </c>
    </row>
    <row r="47" spans="1:13">
      <c r="E47" s="21">
        <f t="shared" si="2"/>
        <v>47</v>
      </c>
      <c r="F47" s="9" t="s">
        <v>118</v>
      </c>
      <c r="M47" s="21" t="s">
        <v>251</v>
      </c>
    </row>
    <row r="48" spans="1:13">
      <c r="E48" s="21">
        <f t="shared" si="2"/>
        <v>48</v>
      </c>
      <c r="F48" s="9" t="s">
        <v>98</v>
      </c>
      <c r="K48" s="9" t="s">
        <v>137</v>
      </c>
      <c r="M48" s="21">
        <v>5</v>
      </c>
    </row>
    <row r="49" spans="1:13">
      <c r="E49" s="21">
        <f t="shared" si="2"/>
        <v>49</v>
      </c>
      <c r="F49" s="9" t="s">
        <v>114</v>
      </c>
      <c r="M49" s="21" t="b">
        <v>1</v>
      </c>
    </row>
    <row r="50" spans="1:13">
      <c r="E50" s="21">
        <f t="shared" si="2"/>
        <v>50</v>
      </c>
      <c r="F50" s="9" t="s">
        <v>31</v>
      </c>
      <c r="G50" s="21">
        <v>360</v>
      </c>
      <c r="H50" s="21">
        <f t="shared" ref="H50" si="15">G50/G43</f>
        <v>24</v>
      </c>
      <c r="L50" s="9" t="s">
        <v>134</v>
      </c>
      <c r="M50" s="21" cm="1">
        <f t="array" ref="M50">_xlfn.SWITCH(B42,1,H50*C42,2,H50*C42+H50/2,3,0)</f>
        <v>96</v>
      </c>
    </row>
    <row r="51" spans="1:13">
      <c r="E51" s="21">
        <f t="shared" si="2"/>
        <v>51</v>
      </c>
      <c r="F51" s="9" t="s">
        <v>30</v>
      </c>
      <c r="M51" s="21">
        <v>3</v>
      </c>
    </row>
    <row r="52" spans="1:13">
      <c r="E52" s="21">
        <f t="shared" si="2"/>
        <v>52</v>
      </c>
      <c r="F52" s="9" t="s">
        <v>115</v>
      </c>
      <c r="M52" s="21">
        <v>-1.5</v>
      </c>
    </row>
    <row r="53" spans="1:13">
      <c r="A53" s="21" t="s">
        <v>227</v>
      </c>
      <c r="B53" s="21">
        <f t="shared" ref="B53:B116" si="16">QUOTIENT( D53-1,G54)+1</f>
        <v>1</v>
      </c>
      <c r="C53" s="21">
        <f t="shared" ref="C53:C116" si="17">D53-(B53-1)*G54</f>
        <v>5</v>
      </c>
      <c r="D53" s="21">
        <f>COUNT($D$8:$D52)+1</f>
        <v>5</v>
      </c>
    </row>
    <row r="54" spans="1:13">
      <c r="E54" s="21">
        <f t="shared" si="2"/>
        <v>54</v>
      </c>
      <c r="F54" s="9" t="s">
        <v>93</v>
      </c>
      <c r="G54" s="21">
        <v>15</v>
      </c>
      <c r="H54" s="21">
        <v>2</v>
      </c>
      <c r="J54" s="9" t="s">
        <v>247</v>
      </c>
      <c r="M54" s="21">
        <f t="shared" ref="M54:M117" si="18">J54+D53</f>
        <v>19705</v>
      </c>
    </row>
    <row r="55" spans="1:13">
      <c r="E55" s="21">
        <f t="shared" si="2"/>
        <v>55</v>
      </c>
      <c r="F55" s="9" t="s">
        <v>142</v>
      </c>
      <c r="M55" s="21">
        <v>195109</v>
      </c>
    </row>
    <row r="56" spans="1:13">
      <c r="E56" s="21">
        <f t="shared" si="2"/>
        <v>56</v>
      </c>
      <c r="F56" s="9" t="s">
        <v>126</v>
      </c>
      <c r="G56" s="21">
        <v>0</v>
      </c>
      <c r="H56" s="21">
        <v>60</v>
      </c>
      <c r="M56" s="21" cm="1">
        <f t="array" ref="M56">_xlfn.SWITCH(B53,1,G56,2,H56)</f>
        <v>0</v>
      </c>
    </row>
    <row r="57" spans="1:13">
      <c r="E57" s="21">
        <f t="shared" si="2"/>
        <v>57</v>
      </c>
      <c r="F57" s="9" t="s">
        <v>29</v>
      </c>
      <c r="M57" s="21" t="s">
        <v>249</v>
      </c>
    </row>
    <row r="58" spans="1:13">
      <c r="E58" s="21">
        <f t="shared" si="2"/>
        <v>58</v>
      </c>
      <c r="F58" s="9" t="s">
        <v>118</v>
      </c>
      <c r="M58" s="21" t="s">
        <v>251</v>
      </c>
    </row>
    <row r="59" spans="1:13">
      <c r="E59" s="21">
        <f t="shared" si="2"/>
        <v>59</v>
      </c>
      <c r="F59" s="9" t="s">
        <v>98</v>
      </c>
      <c r="K59" s="9" t="s">
        <v>137</v>
      </c>
      <c r="M59" s="21">
        <v>5</v>
      </c>
    </row>
    <row r="60" spans="1:13">
      <c r="E60" s="21">
        <f t="shared" si="2"/>
        <v>60</v>
      </c>
      <c r="F60" s="9" t="s">
        <v>114</v>
      </c>
      <c r="M60" s="21" t="b">
        <v>1</v>
      </c>
    </row>
    <row r="61" spans="1:13">
      <c r="E61" s="21">
        <f t="shared" si="2"/>
        <v>61</v>
      </c>
      <c r="F61" s="9" t="s">
        <v>31</v>
      </c>
      <c r="G61" s="21">
        <v>360</v>
      </c>
      <c r="H61" s="21">
        <f t="shared" ref="H61" si="19">G61/G54</f>
        <v>24</v>
      </c>
      <c r="L61" s="9" t="s">
        <v>134</v>
      </c>
      <c r="M61" s="21" cm="1">
        <f t="array" ref="M61">_xlfn.SWITCH(B53,1,H61*C53,2,H61*C53+H61/2,3,0)</f>
        <v>120</v>
      </c>
    </row>
    <row r="62" spans="1:13">
      <c r="E62" s="21">
        <f t="shared" si="2"/>
        <v>62</v>
      </c>
      <c r="F62" s="9" t="s">
        <v>30</v>
      </c>
      <c r="M62" s="21">
        <v>3</v>
      </c>
    </row>
    <row r="63" spans="1:13">
      <c r="E63" s="21">
        <f t="shared" si="2"/>
        <v>63</v>
      </c>
      <c r="F63" s="9" t="s">
        <v>115</v>
      </c>
      <c r="M63" s="21">
        <v>-1.5</v>
      </c>
    </row>
    <row r="64" spans="1:13">
      <c r="A64" s="21" t="s">
        <v>227</v>
      </c>
      <c r="B64" s="21">
        <f t="shared" ref="B64:B127" si="20">QUOTIENT( D64-1,G65)+1</f>
        <v>1</v>
      </c>
      <c r="C64" s="21">
        <f t="shared" ref="C64:C127" si="21">D64-(B64-1)*G65</f>
        <v>6</v>
      </c>
      <c r="D64" s="21">
        <f>COUNT($D$8:$D63)+1</f>
        <v>6</v>
      </c>
    </row>
    <row r="65" spans="1:13">
      <c r="E65" s="21">
        <f t="shared" si="2"/>
        <v>65</v>
      </c>
      <c r="F65" s="9" t="s">
        <v>93</v>
      </c>
      <c r="G65" s="21">
        <v>15</v>
      </c>
      <c r="H65" s="21">
        <v>2</v>
      </c>
      <c r="J65" s="9" t="s">
        <v>247</v>
      </c>
      <c r="M65" s="21">
        <f t="shared" ref="M65:M128" si="22">J65+D64</f>
        <v>19706</v>
      </c>
    </row>
    <row r="66" spans="1:13">
      <c r="E66" s="21">
        <f t="shared" si="2"/>
        <v>66</v>
      </c>
      <c r="F66" s="9" t="s">
        <v>142</v>
      </c>
      <c r="M66" s="21">
        <v>195109</v>
      </c>
    </row>
    <row r="67" spans="1:13">
      <c r="E67" s="21">
        <f t="shared" si="2"/>
        <v>67</v>
      </c>
      <c r="F67" s="9" t="s">
        <v>126</v>
      </c>
      <c r="G67" s="21">
        <v>0</v>
      </c>
      <c r="H67" s="21">
        <v>60</v>
      </c>
      <c r="M67" s="21" cm="1">
        <f t="array" ref="M67">_xlfn.SWITCH(B64,1,G67,2,H67)</f>
        <v>0</v>
      </c>
    </row>
    <row r="68" spans="1:13">
      <c r="E68" s="21">
        <f t="shared" si="2"/>
        <v>68</v>
      </c>
      <c r="F68" s="9" t="s">
        <v>29</v>
      </c>
      <c r="M68" s="21" t="s">
        <v>249</v>
      </c>
    </row>
    <row r="69" spans="1:13">
      <c r="E69" s="21">
        <f t="shared" si="2"/>
        <v>69</v>
      </c>
      <c r="F69" s="9" t="s">
        <v>118</v>
      </c>
      <c r="M69" s="21" t="s">
        <v>251</v>
      </c>
    </row>
    <row r="70" spans="1:13">
      <c r="E70" s="21">
        <f t="shared" si="2"/>
        <v>70</v>
      </c>
      <c r="F70" s="9" t="s">
        <v>98</v>
      </c>
      <c r="K70" s="9" t="s">
        <v>137</v>
      </c>
      <c r="M70" s="21">
        <v>5</v>
      </c>
    </row>
    <row r="71" spans="1:13">
      <c r="E71" s="21">
        <f t="shared" si="2"/>
        <v>71</v>
      </c>
      <c r="F71" s="9" t="s">
        <v>114</v>
      </c>
      <c r="M71" s="21" t="b">
        <v>1</v>
      </c>
    </row>
    <row r="72" spans="1:13">
      <c r="E72" s="21">
        <f t="shared" si="2"/>
        <v>72</v>
      </c>
      <c r="F72" s="9" t="s">
        <v>31</v>
      </c>
      <c r="G72" s="21">
        <v>360</v>
      </c>
      <c r="H72" s="21">
        <f t="shared" ref="H72" si="23">G72/G65</f>
        <v>24</v>
      </c>
      <c r="L72" s="9" t="s">
        <v>134</v>
      </c>
      <c r="M72" s="21" cm="1">
        <f t="array" ref="M72">_xlfn.SWITCH(B64,1,H72*C64,2,H72*C64+H72/2,3,0)</f>
        <v>144</v>
      </c>
    </row>
    <row r="73" spans="1:13">
      <c r="E73" s="21">
        <f t="shared" si="2"/>
        <v>73</v>
      </c>
      <c r="F73" s="9" t="s">
        <v>30</v>
      </c>
      <c r="M73" s="21">
        <v>3</v>
      </c>
    </row>
    <row r="74" spans="1:13">
      <c r="E74" s="21">
        <f t="shared" ref="E74:E137" si="24">ROW(E74)</f>
        <v>74</v>
      </c>
      <c r="F74" s="9" t="s">
        <v>115</v>
      </c>
      <c r="M74" s="21">
        <v>-1.5</v>
      </c>
    </row>
    <row r="75" spans="1:13">
      <c r="A75" s="21" t="s">
        <v>227</v>
      </c>
      <c r="B75" s="21">
        <f t="shared" ref="B75:B138" si="25">QUOTIENT( D75-1,G76)+1</f>
        <v>1</v>
      </c>
      <c r="C75" s="21">
        <f t="shared" ref="C75:C138" si="26">D75-(B75-1)*G76</f>
        <v>7</v>
      </c>
      <c r="D75" s="21">
        <f>COUNT($D$8:$D74)+1</f>
        <v>7</v>
      </c>
    </row>
    <row r="76" spans="1:13">
      <c r="E76" s="21">
        <f t="shared" ref="E76:E139" si="27">ROW(E76)</f>
        <v>76</v>
      </c>
      <c r="F76" s="9" t="s">
        <v>93</v>
      </c>
      <c r="G76" s="21">
        <v>15</v>
      </c>
      <c r="H76" s="21">
        <v>2</v>
      </c>
      <c r="J76" s="9" t="s">
        <v>247</v>
      </c>
      <c r="M76" s="21">
        <f t="shared" ref="M76:M139" si="28">J76+D75</f>
        <v>19707</v>
      </c>
    </row>
    <row r="77" spans="1:13">
      <c r="E77" s="21">
        <f t="shared" si="27"/>
        <v>77</v>
      </c>
      <c r="F77" s="9" t="s">
        <v>142</v>
      </c>
      <c r="M77" s="21">
        <v>195109</v>
      </c>
    </row>
    <row r="78" spans="1:13">
      <c r="E78" s="21">
        <f t="shared" si="27"/>
        <v>78</v>
      </c>
      <c r="F78" s="9" t="s">
        <v>126</v>
      </c>
      <c r="G78" s="21">
        <v>0</v>
      </c>
      <c r="H78" s="21">
        <v>60</v>
      </c>
      <c r="M78" s="21" cm="1">
        <f t="array" ref="M78">_xlfn.SWITCH(B75,1,G78,2,H78)</f>
        <v>0</v>
      </c>
    </row>
    <row r="79" spans="1:13">
      <c r="E79" s="21">
        <f t="shared" si="27"/>
        <v>79</v>
      </c>
      <c r="F79" s="9" t="s">
        <v>29</v>
      </c>
      <c r="M79" s="21" t="s">
        <v>249</v>
      </c>
    </row>
    <row r="80" spans="1:13">
      <c r="E80" s="21">
        <f t="shared" si="27"/>
        <v>80</v>
      </c>
      <c r="F80" s="9" t="s">
        <v>118</v>
      </c>
      <c r="M80" s="21" t="s">
        <v>251</v>
      </c>
    </row>
    <row r="81" spans="1:13">
      <c r="E81" s="21">
        <f t="shared" si="27"/>
        <v>81</v>
      </c>
      <c r="F81" s="9" t="s">
        <v>98</v>
      </c>
      <c r="K81" s="9" t="s">
        <v>137</v>
      </c>
      <c r="M81" s="21">
        <v>5</v>
      </c>
    </row>
    <row r="82" spans="1:13">
      <c r="E82" s="21">
        <f t="shared" si="27"/>
        <v>82</v>
      </c>
      <c r="F82" s="9" t="s">
        <v>114</v>
      </c>
      <c r="M82" s="21" t="b">
        <v>1</v>
      </c>
    </row>
    <row r="83" spans="1:13">
      <c r="E83" s="21">
        <f t="shared" si="27"/>
        <v>83</v>
      </c>
      <c r="F83" s="9" t="s">
        <v>31</v>
      </c>
      <c r="G83" s="21">
        <v>360</v>
      </c>
      <c r="H83" s="21">
        <f t="shared" ref="H83" si="29">G83/G76</f>
        <v>24</v>
      </c>
      <c r="L83" s="9" t="s">
        <v>134</v>
      </c>
      <c r="M83" s="21" cm="1">
        <f t="array" ref="M83">_xlfn.SWITCH(B75,1,H83*C75,2,H83*C75+H83/2,3,0)</f>
        <v>168</v>
      </c>
    </row>
    <row r="84" spans="1:13">
      <c r="E84" s="21">
        <f t="shared" si="27"/>
        <v>84</v>
      </c>
      <c r="F84" s="9" t="s">
        <v>30</v>
      </c>
      <c r="M84" s="21">
        <v>3</v>
      </c>
    </row>
    <row r="85" spans="1:13">
      <c r="E85" s="21">
        <f t="shared" si="27"/>
        <v>85</v>
      </c>
      <c r="F85" s="9" t="s">
        <v>115</v>
      </c>
      <c r="M85" s="21">
        <v>-1.5</v>
      </c>
    </row>
    <row r="86" spans="1:13">
      <c r="A86" s="21" t="s">
        <v>227</v>
      </c>
      <c r="B86" s="21">
        <f t="shared" ref="B86:B149" si="30">QUOTIENT( D86-1,G87)+1</f>
        <v>1</v>
      </c>
      <c r="C86" s="21">
        <f t="shared" ref="C86:C149" si="31">D86-(B86-1)*G87</f>
        <v>8</v>
      </c>
      <c r="D86" s="21">
        <f>COUNT($D$8:$D85)+1</f>
        <v>8</v>
      </c>
    </row>
    <row r="87" spans="1:13">
      <c r="E87" s="21">
        <f t="shared" ref="E87:E150" si="32">ROW(E87)</f>
        <v>87</v>
      </c>
      <c r="F87" s="9" t="s">
        <v>93</v>
      </c>
      <c r="G87" s="21">
        <v>15</v>
      </c>
      <c r="H87" s="21">
        <v>2</v>
      </c>
      <c r="J87" s="9" t="s">
        <v>247</v>
      </c>
      <c r="M87" s="21">
        <f t="shared" ref="M87:M150" si="33">J87+D86</f>
        <v>19708</v>
      </c>
    </row>
    <row r="88" spans="1:13">
      <c r="E88" s="21">
        <f t="shared" si="32"/>
        <v>88</v>
      </c>
      <c r="F88" s="9" t="s">
        <v>142</v>
      </c>
      <c r="M88" s="21">
        <v>195109</v>
      </c>
    </row>
    <row r="89" spans="1:13">
      <c r="E89" s="21">
        <f t="shared" si="32"/>
        <v>89</v>
      </c>
      <c r="F89" s="9" t="s">
        <v>126</v>
      </c>
      <c r="G89" s="21">
        <v>0</v>
      </c>
      <c r="H89" s="21">
        <v>60</v>
      </c>
      <c r="M89" s="21" cm="1">
        <f t="array" ref="M89">_xlfn.SWITCH(B86,1,G89,2,H89)</f>
        <v>0</v>
      </c>
    </row>
    <row r="90" spans="1:13">
      <c r="E90" s="21">
        <f t="shared" si="32"/>
        <v>90</v>
      </c>
      <c r="F90" s="9" t="s">
        <v>29</v>
      </c>
      <c r="M90" s="21" t="s">
        <v>249</v>
      </c>
    </row>
    <row r="91" spans="1:13">
      <c r="E91" s="21">
        <f t="shared" si="32"/>
        <v>91</v>
      </c>
      <c r="F91" s="9" t="s">
        <v>118</v>
      </c>
      <c r="M91" s="21" t="s">
        <v>251</v>
      </c>
    </row>
    <row r="92" spans="1:13">
      <c r="E92" s="21">
        <f t="shared" si="32"/>
        <v>92</v>
      </c>
      <c r="F92" s="9" t="s">
        <v>98</v>
      </c>
      <c r="K92" s="9" t="s">
        <v>137</v>
      </c>
      <c r="M92" s="21">
        <v>5</v>
      </c>
    </row>
    <row r="93" spans="1:13">
      <c r="E93" s="21">
        <f t="shared" si="32"/>
        <v>93</v>
      </c>
      <c r="F93" s="9" t="s">
        <v>114</v>
      </c>
      <c r="M93" s="21" t="b">
        <v>1</v>
      </c>
    </row>
    <row r="94" spans="1:13">
      <c r="E94" s="21">
        <f t="shared" si="32"/>
        <v>94</v>
      </c>
      <c r="F94" s="9" t="s">
        <v>31</v>
      </c>
      <c r="G94" s="21">
        <v>360</v>
      </c>
      <c r="H94" s="21">
        <f t="shared" ref="H94" si="34">G94/G87</f>
        <v>24</v>
      </c>
      <c r="L94" s="9" t="s">
        <v>134</v>
      </c>
      <c r="M94" s="21" cm="1">
        <f t="array" ref="M94">_xlfn.SWITCH(B86,1,H94*C86,2,H94*C86+H94/2,3,0)</f>
        <v>192</v>
      </c>
    </row>
    <row r="95" spans="1:13">
      <c r="E95" s="21">
        <f t="shared" si="32"/>
        <v>95</v>
      </c>
      <c r="F95" s="9" t="s">
        <v>30</v>
      </c>
      <c r="M95" s="21">
        <v>3</v>
      </c>
    </row>
    <row r="96" spans="1:13">
      <c r="E96" s="21">
        <f t="shared" si="32"/>
        <v>96</v>
      </c>
      <c r="F96" s="9" t="s">
        <v>115</v>
      </c>
      <c r="M96" s="21">
        <v>-1.5</v>
      </c>
    </row>
    <row r="97" spans="1:13">
      <c r="A97" s="21" t="s">
        <v>227</v>
      </c>
      <c r="B97" s="21">
        <f t="shared" ref="B97:B160" si="35">QUOTIENT( D97-1,G98)+1</f>
        <v>1</v>
      </c>
      <c r="C97" s="21">
        <f t="shared" ref="C97:C160" si="36">D97-(B97-1)*G98</f>
        <v>9</v>
      </c>
      <c r="D97" s="21">
        <f>COUNT($D$8:$D96)+1</f>
        <v>9</v>
      </c>
    </row>
    <row r="98" spans="1:13">
      <c r="E98" s="21">
        <f t="shared" ref="E98:E161" si="37">ROW(E98)</f>
        <v>98</v>
      </c>
      <c r="F98" s="9" t="s">
        <v>93</v>
      </c>
      <c r="G98" s="21">
        <v>15</v>
      </c>
      <c r="H98" s="21">
        <v>2</v>
      </c>
      <c r="J98" s="9" t="s">
        <v>247</v>
      </c>
      <c r="M98" s="21">
        <f t="shared" ref="M98:M161" si="38">J98+D97</f>
        <v>19709</v>
      </c>
    </row>
    <row r="99" spans="1:13">
      <c r="E99" s="21">
        <f t="shared" si="37"/>
        <v>99</v>
      </c>
      <c r="F99" s="9" t="s">
        <v>142</v>
      </c>
      <c r="M99" s="21">
        <v>195109</v>
      </c>
    </row>
    <row r="100" spans="1:13">
      <c r="E100" s="21">
        <f t="shared" si="37"/>
        <v>100</v>
      </c>
      <c r="F100" s="9" t="s">
        <v>126</v>
      </c>
      <c r="G100" s="21">
        <v>0</v>
      </c>
      <c r="H100" s="21">
        <v>60</v>
      </c>
      <c r="M100" s="21" cm="1">
        <f t="array" ref="M100">_xlfn.SWITCH(B97,1,G100,2,H100)</f>
        <v>0</v>
      </c>
    </row>
    <row r="101" spans="1:13">
      <c r="E101" s="21">
        <f t="shared" si="37"/>
        <v>101</v>
      </c>
      <c r="F101" s="9" t="s">
        <v>29</v>
      </c>
      <c r="M101" s="21" t="s">
        <v>249</v>
      </c>
    </row>
    <row r="102" spans="1:13">
      <c r="E102" s="21">
        <f t="shared" si="37"/>
        <v>102</v>
      </c>
      <c r="F102" s="9" t="s">
        <v>118</v>
      </c>
      <c r="M102" s="21" t="s">
        <v>251</v>
      </c>
    </row>
    <row r="103" spans="1:13">
      <c r="E103" s="21">
        <f t="shared" si="37"/>
        <v>103</v>
      </c>
      <c r="F103" s="9" t="s">
        <v>98</v>
      </c>
      <c r="K103" s="9" t="s">
        <v>137</v>
      </c>
      <c r="M103" s="21">
        <v>5</v>
      </c>
    </row>
    <row r="104" spans="1:13">
      <c r="E104" s="21">
        <f t="shared" si="37"/>
        <v>104</v>
      </c>
      <c r="F104" s="9" t="s">
        <v>114</v>
      </c>
      <c r="M104" s="21" t="b">
        <v>1</v>
      </c>
    </row>
    <row r="105" spans="1:13">
      <c r="E105" s="21">
        <f t="shared" si="37"/>
        <v>105</v>
      </c>
      <c r="F105" s="9" t="s">
        <v>31</v>
      </c>
      <c r="G105" s="21">
        <v>360</v>
      </c>
      <c r="H105" s="21">
        <f t="shared" ref="H105" si="39">G105/G98</f>
        <v>24</v>
      </c>
      <c r="L105" s="9" t="s">
        <v>134</v>
      </c>
      <c r="M105" s="21" cm="1">
        <f t="array" ref="M105">_xlfn.SWITCH(B97,1,H105*C97,2,H105*C97+H105/2,3,0)</f>
        <v>216</v>
      </c>
    </row>
    <row r="106" spans="1:13">
      <c r="E106" s="21">
        <f t="shared" si="37"/>
        <v>106</v>
      </c>
      <c r="F106" s="9" t="s">
        <v>30</v>
      </c>
      <c r="M106" s="21">
        <v>3</v>
      </c>
    </row>
    <row r="107" spans="1:13">
      <c r="E107" s="21">
        <f t="shared" si="37"/>
        <v>107</v>
      </c>
      <c r="F107" s="9" t="s">
        <v>115</v>
      </c>
      <c r="M107" s="21">
        <v>-1.5</v>
      </c>
    </row>
    <row r="108" spans="1:13">
      <c r="A108" s="21" t="s">
        <v>227</v>
      </c>
      <c r="B108" s="21">
        <f t="shared" ref="B108:B171" si="40">QUOTIENT( D108-1,G109)+1</f>
        <v>1</v>
      </c>
      <c r="C108" s="21">
        <f t="shared" ref="C108:C171" si="41">D108-(B108-1)*G109</f>
        <v>10</v>
      </c>
      <c r="D108" s="21">
        <f>COUNT($D$8:$D107)+1</f>
        <v>10</v>
      </c>
    </row>
    <row r="109" spans="1:13">
      <c r="E109" s="21">
        <f t="shared" ref="E109:E172" si="42">ROW(E109)</f>
        <v>109</v>
      </c>
      <c r="F109" s="9" t="s">
        <v>93</v>
      </c>
      <c r="G109" s="21">
        <v>15</v>
      </c>
      <c r="H109" s="21">
        <v>2</v>
      </c>
      <c r="J109" s="9" t="s">
        <v>247</v>
      </c>
      <c r="M109" s="21">
        <f t="shared" ref="M109:M172" si="43">J109+D108</f>
        <v>19710</v>
      </c>
    </row>
    <row r="110" spans="1:13">
      <c r="E110" s="21">
        <f t="shared" si="42"/>
        <v>110</v>
      </c>
      <c r="F110" s="9" t="s">
        <v>142</v>
      </c>
      <c r="M110" s="21">
        <v>195109</v>
      </c>
    </row>
    <row r="111" spans="1:13">
      <c r="E111" s="21">
        <f t="shared" si="42"/>
        <v>111</v>
      </c>
      <c r="F111" s="9" t="s">
        <v>126</v>
      </c>
      <c r="G111" s="21">
        <v>0</v>
      </c>
      <c r="H111" s="21">
        <v>60</v>
      </c>
      <c r="M111" s="21" cm="1">
        <f t="array" ref="M111">_xlfn.SWITCH(B108,1,G111,2,H111)</f>
        <v>0</v>
      </c>
    </row>
    <row r="112" spans="1:13">
      <c r="E112" s="21">
        <f t="shared" si="42"/>
        <v>112</v>
      </c>
      <c r="F112" s="9" t="s">
        <v>29</v>
      </c>
      <c r="M112" s="21" t="s">
        <v>249</v>
      </c>
    </row>
    <row r="113" spans="1:13">
      <c r="E113" s="21">
        <f t="shared" si="42"/>
        <v>113</v>
      </c>
      <c r="F113" s="9" t="s">
        <v>118</v>
      </c>
      <c r="M113" s="21" t="s">
        <v>251</v>
      </c>
    </row>
    <row r="114" spans="1:13">
      <c r="E114" s="21">
        <f t="shared" si="42"/>
        <v>114</v>
      </c>
      <c r="F114" s="9" t="s">
        <v>98</v>
      </c>
      <c r="K114" s="9" t="s">
        <v>137</v>
      </c>
      <c r="M114" s="21">
        <v>5</v>
      </c>
    </row>
    <row r="115" spans="1:13">
      <c r="E115" s="21">
        <f t="shared" si="42"/>
        <v>115</v>
      </c>
      <c r="F115" s="9" t="s">
        <v>114</v>
      </c>
      <c r="M115" s="21" t="b">
        <v>1</v>
      </c>
    </row>
    <row r="116" spans="1:13">
      <c r="E116" s="21">
        <f t="shared" si="42"/>
        <v>116</v>
      </c>
      <c r="F116" s="9" t="s">
        <v>31</v>
      </c>
      <c r="G116" s="21">
        <v>360</v>
      </c>
      <c r="H116" s="21">
        <f t="shared" ref="H116" si="44">G116/G109</f>
        <v>24</v>
      </c>
      <c r="L116" s="9" t="s">
        <v>134</v>
      </c>
      <c r="M116" s="21" cm="1">
        <f t="array" ref="M116">_xlfn.SWITCH(B108,1,H116*C108,2,H116*C108+H116/2,3,0)</f>
        <v>240</v>
      </c>
    </row>
    <row r="117" spans="1:13">
      <c r="E117" s="21">
        <f t="shared" si="42"/>
        <v>117</v>
      </c>
      <c r="F117" s="9" t="s">
        <v>30</v>
      </c>
      <c r="M117" s="21">
        <v>3</v>
      </c>
    </row>
    <row r="118" spans="1:13">
      <c r="E118" s="21">
        <f t="shared" si="42"/>
        <v>118</v>
      </c>
      <c r="F118" s="9" t="s">
        <v>115</v>
      </c>
      <c r="M118" s="21">
        <v>-1.5</v>
      </c>
    </row>
    <row r="119" spans="1:13">
      <c r="A119" s="21" t="s">
        <v>227</v>
      </c>
      <c r="B119" s="21">
        <f t="shared" ref="B119:B182" si="45">QUOTIENT( D119-1,G120)+1</f>
        <v>1</v>
      </c>
      <c r="C119" s="21">
        <f t="shared" ref="C119:C182" si="46">D119-(B119-1)*G120</f>
        <v>11</v>
      </c>
      <c r="D119" s="21">
        <f>COUNT($D$8:$D118)+1</f>
        <v>11</v>
      </c>
    </row>
    <row r="120" spans="1:13">
      <c r="E120" s="21">
        <f t="shared" ref="E120:E183" si="47">ROW(E120)</f>
        <v>120</v>
      </c>
      <c r="F120" s="9" t="s">
        <v>93</v>
      </c>
      <c r="G120" s="21">
        <v>15</v>
      </c>
      <c r="H120" s="21">
        <v>2</v>
      </c>
      <c r="J120" s="9" t="s">
        <v>247</v>
      </c>
      <c r="M120" s="21">
        <f t="shared" ref="M120:M183" si="48">J120+D119</f>
        <v>19711</v>
      </c>
    </row>
    <row r="121" spans="1:13">
      <c r="E121" s="21">
        <f t="shared" si="47"/>
        <v>121</v>
      </c>
      <c r="F121" s="9" t="s">
        <v>142</v>
      </c>
      <c r="M121" s="21">
        <v>195109</v>
      </c>
    </row>
    <row r="122" spans="1:13">
      <c r="E122" s="21">
        <f t="shared" si="47"/>
        <v>122</v>
      </c>
      <c r="F122" s="9" t="s">
        <v>126</v>
      </c>
      <c r="G122" s="21">
        <v>0</v>
      </c>
      <c r="H122" s="21">
        <v>60</v>
      </c>
      <c r="M122" s="21" cm="1">
        <f t="array" ref="M122">_xlfn.SWITCH(B119,1,G122,2,H122)</f>
        <v>0</v>
      </c>
    </row>
    <row r="123" spans="1:13">
      <c r="E123" s="21">
        <f t="shared" si="47"/>
        <v>123</v>
      </c>
      <c r="F123" s="9" t="s">
        <v>29</v>
      </c>
      <c r="M123" s="21" t="s">
        <v>249</v>
      </c>
    </row>
    <row r="124" spans="1:13">
      <c r="E124" s="21">
        <f t="shared" si="47"/>
        <v>124</v>
      </c>
      <c r="F124" s="9" t="s">
        <v>118</v>
      </c>
      <c r="M124" s="21" t="s">
        <v>251</v>
      </c>
    </row>
    <row r="125" spans="1:13">
      <c r="E125" s="21">
        <f t="shared" si="47"/>
        <v>125</v>
      </c>
      <c r="F125" s="9" t="s">
        <v>98</v>
      </c>
      <c r="K125" s="9" t="s">
        <v>137</v>
      </c>
      <c r="M125" s="21">
        <v>5</v>
      </c>
    </row>
    <row r="126" spans="1:13">
      <c r="E126" s="21">
        <f t="shared" si="47"/>
        <v>126</v>
      </c>
      <c r="F126" s="9" t="s">
        <v>114</v>
      </c>
      <c r="M126" s="21" t="b">
        <v>1</v>
      </c>
    </row>
    <row r="127" spans="1:13">
      <c r="E127" s="21">
        <f t="shared" si="47"/>
        <v>127</v>
      </c>
      <c r="F127" s="9" t="s">
        <v>31</v>
      </c>
      <c r="G127" s="21">
        <v>360</v>
      </c>
      <c r="H127" s="21">
        <f t="shared" ref="H127" si="49">G127/G120</f>
        <v>24</v>
      </c>
      <c r="L127" s="9" t="s">
        <v>134</v>
      </c>
      <c r="M127" s="21" cm="1">
        <f t="array" ref="M127">_xlfn.SWITCH(B119,1,H127*C119,2,H127*C119+H127/2,3,0)</f>
        <v>264</v>
      </c>
    </row>
    <row r="128" spans="1:13">
      <c r="E128" s="21">
        <f t="shared" si="47"/>
        <v>128</v>
      </c>
      <c r="F128" s="9" t="s">
        <v>30</v>
      </c>
      <c r="M128" s="21">
        <v>3</v>
      </c>
    </row>
    <row r="129" spans="1:13">
      <c r="E129" s="21">
        <f t="shared" si="47"/>
        <v>129</v>
      </c>
      <c r="F129" s="9" t="s">
        <v>115</v>
      </c>
      <c r="M129" s="21">
        <v>-1.5</v>
      </c>
    </row>
    <row r="130" spans="1:13">
      <c r="A130" s="21" t="s">
        <v>227</v>
      </c>
      <c r="B130" s="21">
        <f t="shared" ref="B130:B193" si="50">QUOTIENT( D130-1,G131)+1</f>
        <v>1</v>
      </c>
      <c r="C130" s="21">
        <f t="shared" ref="C130:C193" si="51">D130-(B130-1)*G131</f>
        <v>12</v>
      </c>
      <c r="D130" s="21">
        <f>COUNT($D$8:$D129)+1</f>
        <v>12</v>
      </c>
    </row>
    <row r="131" spans="1:13">
      <c r="E131" s="21">
        <f t="shared" ref="E131:E194" si="52">ROW(E131)</f>
        <v>131</v>
      </c>
      <c r="F131" s="9" t="s">
        <v>93</v>
      </c>
      <c r="G131" s="21">
        <v>15</v>
      </c>
      <c r="H131" s="21">
        <v>2</v>
      </c>
      <c r="J131" s="9" t="s">
        <v>247</v>
      </c>
      <c r="M131" s="21">
        <f t="shared" ref="M131:M194" si="53">J131+D130</f>
        <v>19712</v>
      </c>
    </row>
    <row r="132" spans="1:13">
      <c r="E132" s="21">
        <f t="shared" si="52"/>
        <v>132</v>
      </c>
      <c r="F132" s="9" t="s">
        <v>142</v>
      </c>
      <c r="M132" s="21">
        <v>195109</v>
      </c>
    </row>
    <row r="133" spans="1:13">
      <c r="E133" s="21">
        <f t="shared" si="52"/>
        <v>133</v>
      </c>
      <c r="F133" s="9" t="s">
        <v>126</v>
      </c>
      <c r="G133" s="21">
        <v>0</v>
      </c>
      <c r="H133" s="21">
        <v>60</v>
      </c>
      <c r="M133" s="21" cm="1">
        <f t="array" ref="M133">_xlfn.SWITCH(B130,1,G133,2,H133)</f>
        <v>0</v>
      </c>
    </row>
    <row r="134" spans="1:13">
      <c r="E134" s="21">
        <f t="shared" si="52"/>
        <v>134</v>
      </c>
      <c r="F134" s="9" t="s">
        <v>29</v>
      </c>
      <c r="M134" s="21" t="s">
        <v>249</v>
      </c>
    </row>
    <row r="135" spans="1:13">
      <c r="E135" s="21">
        <f t="shared" si="52"/>
        <v>135</v>
      </c>
      <c r="F135" s="9" t="s">
        <v>118</v>
      </c>
      <c r="M135" s="21" t="s">
        <v>251</v>
      </c>
    </row>
    <row r="136" spans="1:13">
      <c r="E136" s="21">
        <f t="shared" si="52"/>
        <v>136</v>
      </c>
      <c r="F136" s="9" t="s">
        <v>98</v>
      </c>
      <c r="K136" s="9" t="s">
        <v>137</v>
      </c>
      <c r="M136" s="21">
        <v>5</v>
      </c>
    </row>
    <row r="137" spans="1:13">
      <c r="E137" s="21">
        <f t="shared" si="52"/>
        <v>137</v>
      </c>
      <c r="F137" s="9" t="s">
        <v>114</v>
      </c>
      <c r="M137" s="21" t="b">
        <v>1</v>
      </c>
    </row>
    <row r="138" spans="1:13">
      <c r="E138" s="21">
        <f t="shared" si="52"/>
        <v>138</v>
      </c>
      <c r="F138" s="9" t="s">
        <v>31</v>
      </c>
      <c r="G138" s="21">
        <v>360</v>
      </c>
      <c r="H138" s="21">
        <f t="shared" ref="H138" si="54">G138/G131</f>
        <v>24</v>
      </c>
      <c r="L138" s="9" t="s">
        <v>134</v>
      </c>
      <c r="M138" s="21" cm="1">
        <f t="array" ref="M138">_xlfn.SWITCH(B130,1,H138*C130,2,H138*C130+H138/2,3,0)</f>
        <v>288</v>
      </c>
    </row>
    <row r="139" spans="1:13">
      <c r="E139" s="21">
        <f t="shared" si="52"/>
        <v>139</v>
      </c>
      <c r="F139" s="9" t="s">
        <v>30</v>
      </c>
      <c r="M139" s="21">
        <v>3</v>
      </c>
    </row>
    <row r="140" spans="1:13">
      <c r="E140" s="21">
        <f t="shared" si="52"/>
        <v>140</v>
      </c>
      <c r="F140" s="9" t="s">
        <v>115</v>
      </c>
      <c r="M140" s="21">
        <v>-1.5</v>
      </c>
    </row>
    <row r="141" spans="1:13">
      <c r="A141" s="21" t="s">
        <v>227</v>
      </c>
      <c r="B141" s="21">
        <f t="shared" ref="B141:B204" si="55">QUOTIENT( D141-1,G142)+1</f>
        <v>1</v>
      </c>
      <c r="C141" s="21">
        <f t="shared" ref="C141:C204" si="56">D141-(B141-1)*G142</f>
        <v>13</v>
      </c>
      <c r="D141" s="21">
        <f>COUNT($D$8:$D140)+1</f>
        <v>13</v>
      </c>
    </row>
    <row r="142" spans="1:13">
      <c r="E142" s="21">
        <f t="shared" ref="E142:E205" si="57">ROW(E142)</f>
        <v>142</v>
      </c>
      <c r="F142" s="9" t="s">
        <v>93</v>
      </c>
      <c r="G142" s="21">
        <v>15</v>
      </c>
      <c r="H142" s="21">
        <v>2</v>
      </c>
      <c r="J142" s="9" t="s">
        <v>247</v>
      </c>
      <c r="M142" s="21">
        <f t="shared" ref="M142:M205" si="58">J142+D141</f>
        <v>19713</v>
      </c>
    </row>
    <row r="143" spans="1:13">
      <c r="E143" s="21">
        <f t="shared" si="57"/>
        <v>143</v>
      </c>
      <c r="F143" s="9" t="s">
        <v>142</v>
      </c>
      <c r="M143" s="21">
        <v>195109</v>
      </c>
    </row>
    <row r="144" spans="1:13">
      <c r="E144" s="21">
        <f t="shared" si="57"/>
        <v>144</v>
      </c>
      <c r="F144" s="9" t="s">
        <v>126</v>
      </c>
      <c r="G144" s="21">
        <v>0</v>
      </c>
      <c r="H144" s="21">
        <v>60</v>
      </c>
      <c r="M144" s="21" cm="1">
        <f t="array" ref="M144">_xlfn.SWITCH(B141,1,G144,2,H144)</f>
        <v>0</v>
      </c>
    </row>
    <row r="145" spans="1:13">
      <c r="E145" s="21">
        <f t="shared" si="57"/>
        <v>145</v>
      </c>
      <c r="F145" s="9" t="s">
        <v>29</v>
      </c>
      <c r="M145" s="21" t="s">
        <v>249</v>
      </c>
    </row>
    <row r="146" spans="1:13">
      <c r="E146" s="21">
        <f t="shared" si="57"/>
        <v>146</v>
      </c>
      <c r="F146" s="9" t="s">
        <v>118</v>
      </c>
      <c r="M146" s="21" t="s">
        <v>251</v>
      </c>
    </row>
    <row r="147" spans="1:13">
      <c r="E147" s="21">
        <f t="shared" si="57"/>
        <v>147</v>
      </c>
      <c r="F147" s="9" t="s">
        <v>98</v>
      </c>
      <c r="K147" s="9" t="s">
        <v>137</v>
      </c>
      <c r="M147" s="21">
        <v>5</v>
      </c>
    </row>
    <row r="148" spans="1:13">
      <c r="E148" s="21">
        <f t="shared" si="57"/>
        <v>148</v>
      </c>
      <c r="F148" s="9" t="s">
        <v>114</v>
      </c>
      <c r="M148" s="21" t="b">
        <v>1</v>
      </c>
    </row>
    <row r="149" spans="1:13">
      <c r="E149" s="21">
        <f t="shared" si="57"/>
        <v>149</v>
      </c>
      <c r="F149" s="9" t="s">
        <v>31</v>
      </c>
      <c r="G149" s="21">
        <v>360</v>
      </c>
      <c r="H149" s="21">
        <f t="shared" ref="H149" si="59">G149/G142</f>
        <v>24</v>
      </c>
      <c r="L149" s="9" t="s">
        <v>134</v>
      </c>
      <c r="M149" s="21" cm="1">
        <f t="array" ref="M149">_xlfn.SWITCH(B141,1,H149*C141,2,H149*C141+H149/2,3,0)</f>
        <v>312</v>
      </c>
    </row>
    <row r="150" spans="1:13">
      <c r="E150" s="21">
        <f t="shared" si="57"/>
        <v>150</v>
      </c>
      <c r="F150" s="9" t="s">
        <v>30</v>
      </c>
      <c r="M150" s="21">
        <v>3</v>
      </c>
    </row>
    <row r="151" spans="1:13">
      <c r="E151" s="21">
        <f t="shared" si="57"/>
        <v>151</v>
      </c>
      <c r="F151" s="9" t="s">
        <v>115</v>
      </c>
      <c r="M151" s="21">
        <v>-1.5</v>
      </c>
    </row>
    <row r="152" spans="1:13">
      <c r="A152" s="21" t="s">
        <v>227</v>
      </c>
      <c r="B152" s="21">
        <f t="shared" ref="B152:B215" si="60">QUOTIENT( D152-1,G153)+1</f>
        <v>1</v>
      </c>
      <c r="C152" s="21">
        <f t="shared" ref="C152:C215" si="61">D152-(B152-1)*G153</f>
        <v>14</v>
      </c>
      <c r="D152" s="21">
        <f>COUNT($D$8:$D151)+1</f>
        <v>14</v>
      </c>
    </row>
    <row r="153" spans="1:13">
      <c r="E153" s="21">
        <f t="shared" ref="E153:E216" si="62">ROW(E153)</f>
        <v>153</v>
      </c>
      <c r="F153" s="9" t="s">
        <v>93</v>
      </c>
      <c r="G153" s="21">
        <v>15</v>
      </c>
      <c r="H153" s="21">
        <v>2</v>
      </c>
      <c r="J153" s="9" t="s">
        <v>247</v>
      </c>
      <c r="M153" s="21">
        <f t="shared" ref="M153:M216" si="63">J153+D152</f>
        <v>19714</v>
      </c>
    </row>
    <row r="154" spans="1:13">
      <c r="E154" s="21">
        <f t="shared" si="62"/>
        <v>154</v>
      </c>
      <c r="F154" s="9" t="s">
        <v>142</v>
      </c>
      <c r="M154" s="21">
        <v>195109</v>
      </c>
    </row>
    <row r="155" spans="1:13">
      <c r="E155" s="21">
        <f t="shared" si="62"/>
        <v>155</v>
      </c>
      <c r="F155" s="9" t="s">
        <v>126</v>
      </c>
      <c r="G155" s="21">
        <v>0</v>
      </c>
      <c r="H155" s="21">
        <v>60</v>
      </c>
      <c r="M155" s="21" cm="1">
        <f t="array" ref="M155">_xlfn.SWITCH(B152,1,G155,2,H155)</f>
        <v>0</v>
      </c>
    </row>
    <row r="156" spans="1:13">
      <c r="E156" s="21">
        <f t="shared" si="62"/>
        <v>156</v>
      </c>
      <c r="F156" s="9" t="s">
        <v>29</v>
      </c>
      <c r="M156" s="21" t="s">
        <v>249</v>
      </c>
    </row>
    <row r="157" spans="1:13">
      <c r="E157" s="21">
        <f t="shared" si="62"/>
        <v>157</v>
      </c>
      <c r="F157" s="9" t="s">
        <v>118</v>
      </c>
      <c r="M157" s="21" t="s">
        <v>251</v>
      </c>
    </row>
    <row r="158" spans="1:13">
      <c r="E158" s="21">
        <f t="shared" si="62"/>
        <v>158</v>
      </c>
      <c r="F158" s="9" t="s">
        <v>98</v>
      </c>
      <c r="K158" s="9" t="s">
        <v>137</v>
      </c>
      <c r="M158" s="21">
        <v>5</v>
      </c>
    </row>
    <row r="159" spans="1:13">
      <c r="E159" s="21">
        <f t="shared" si="62"/>
        <v>159</v>
      </c>
      <c r="F159" s="9" t="s">
        <v>114</v>
      </c>
      <c r="M159" s="21" t="b">
        <v>1</v>
      </c>
    </row>
    <row r="160" spans="1:13">
      <c r="E160" s="21">
        <f t="shared" si="62"/>
        <v>160</v>
      </c>
      <c r="F160" s="9" t="s">
        <v>31</v>
      </c>
      <c r="G160" s="21">
        <v>360</v>
      </c>
      <c r="H160" s="21">
        <f t="shared" ref="H160" si="64">G160/G153</f>
        <v>24</v>
      </c>
      <c r="L160" s="9" t="s">
        <v>134</v>
      </c>
      <c r="M160" s="21" cm="1">
        <f t="array" ref="M160">_xlfn.SWITCH(B152,1,H160*C152,2,H160*C152+H160/2,3,0)</f>
        <v>336</v>
      </c>
    </row>
    <row r="161" spans="1:13">
      <c r="E161" s="21">
        <f t="shared" si="62"/>
        <v>161</v>
      </c>
      <c r="F161" s="9" t="s">
        <v>30</v>
      </c>
      <c r="M161" s="21">
        <v>3</v>
      </c>
    </row>
    <row r="162" spans="1:13">
      <c r="E162" s="21">
        <f t="shared" si="62"/>
        <v>162</v>
      </c>
      <c r="F162" s="9" t="s">
        <v>115</v>
      </c>
      <c r="M162" s="21">
        <v>-1.5</v>
      </c>
    </row>
    <row r="163" spans="1:13">
      <c r="A163" s="21" t="s">
        <v>227</v>
      </c>
      <c r="B163" s="21">
        <f t="shared" ref="B163:B226" si="65">QUOTIENT( D163-1,G164)+1</f>
        <v>1</v>
      </c>
      <c r="C163" s="21">
        <f t="shared" ref="C163:C226" si="66">D163-(B163-1)*G164</f>
        <v>15</v>
      </c>
      <c r="D163" s="21">
        <f>COUNT($D$8:$D162)+1</f>
        <v>15</v>
      </c>
    </row>
    <row r="164" spans="1:13">
      <c r="E164" s="21">
        <f t="shared" ref="E164:E227" si="67">ROW(E164)</f>
        <v>164</v>
      </c>
      <c r="F164" s="9" t="s">
        <v>93</v>
      </c>
      <c r="G164" s="21">
        <v>15</v>
      </c>
      <c r="H164" s="21">
        <v>2</v>
      </c>
      <c r="J164" s="9" t="s">
        <v>247</v>
      </c>
      <c r="M164" s="21">
        <f t="shared" ref="M164:M227" si="68">J164+D163</f>
        <v>19715</v>
      </c>
    </row>
    <row r="165" spans="1:13">
      <c r="E165" s="21">
        <f t="shared" si="67"/>
        <v>165</v>
      </c>
      <c r="F165" s="9" t="s">
        <v>142</v>
      </c>
      <c r="M165" s="21">
        <v>195109</v>
      </c>
    </row>
    <row r="166" spans="1:13">
      <c r="E166" s="21">
        <f t="shared" si="67"/>
        <v>166</v>
      </c>
      <c r="F166" s="9" t="s">
        <v>126</v>
      </c>
      <c r="G166" s="21">
        <v>0</v>
      </c>
      <c r="H166" s="21">
        <v>60</v>
      </c>
      <c r="M166" s="21" cm="1">
        <f t="array" ref="M166">_xlfn.SWITCH(B163,1,G166,2,H166)</f>
        <v>0</v>
      </c>
    </row>
    <row r="167" spans="1:13">
      <c r="E167" s="21">
        <f t="shared" si="67"/>
        <v>167</v>
      </c>
      <c r="F167" s="9" t="s">
        <v>29</v>
      </c>
      <c r="M167" s="21" t="s">
        <v>249</v>
      </c>
    </row>
    <row r="168" spans="1:13">
      <c r="E168" s="21">
        <f t="shared" si="67"/>
        <v>168</v>
      </c>
      <c r="F168" s="9" t="s">
        <v>118</v>
      </c>
      <c r="M168" s="21" t="s">
        <v>251</v>
      </c>
    </row>
    <row r="169" spans="1:13">
      <c r="E169" s="21">
        <f t="shared" si="67"/>
        <v>169</v>
      </c>
      <c r="F169" s="9" t="s">
        <v>98</v>
      </c>
      <c r="K169" s="9" t="s">
        <v>137</v>
      </c>
      <c r="M169" s="21">
        <v>5</v>
      </c>
    </row>
    <row r="170" spans="1:13">
      <c r="E170" s="21">
        <f t="shared" si="67"/>
        <v>170</v>
      </c>
      <c r="F170" s="9" t="s">
        <v>114</v>
      </c>
      <c r="M170" s="21" t="b">
        <v>1</v>
      </c>
    </row>
    <row r="171" spans="1:13">
      <c r="E171" s="21">
        <f t="shared" si="67"/>
        <v>171</v>
      </c>
      <c r="F171" s="9" t="s">
        <v>31</v>
      </c>
      <c r="G171" s="21">
        <v>360</v>
      </c>
      <c r="H171" s="21">
        <f t="shared" ref="H171" si="69">G171/G164</f>
        <v>24</v>
      </c>
      <c r="L171" s="9" t="s">
        <v>134</v>
      </c>
      <c r="M171" s="21" cm="1">
        <f t="array" ref="M171">_xlfn.SWITCH(B163,1,H171*C163,2,H171*C163+H171/2,3,0)</f>
        <v>360</v>
      </c>
    </row>
    <row r="172" spans="1:13">
      <c r="E172" s="21">
        <f t="shared" si="67"/>
        <v>172</v>
      </c>
      <c r="F172" s="9" t="s">
        <v>30</v>
      </c>
      <c r="M172" s="21">
        <v>3</v>
      </c>
    </row>
    <row r="173" spans="1:13">
      <c r="E173" s="21">
        <f t="shared" si="67"/>
        <v>173</v>
      </c>
      <c r="F173" s="9" t="s">
        <v>115</v>
      </c>
      <c r="M173" s="21">
        <v>-1.5</v>
      </c>
    </row>
    <row r="174" spans="1:13">
      <c r="A174" s="21" t="s">
        <v>227</v>
      </c>
      <c r="B174" s="21">
        <f t="shared" ref="B174:B237" si="70">QUOTIENT( D174-1,G175)+1</f>
        <v>2</v>
      </c>
      <c r="C174" s="21">
        <f t="shared" ref="C174:C237" si="71">D174-(B174-1)*G175</f>
        <v>1</v>
      </c>
      <c r="D174" s="21">
        <f>COUNT($D$8:$D173)+1</f>
        <v>16</v>
      </c>
    </row>
    <row r="175" spans="1:13">
      <c r="E175" s="21">
        <f t="shared" ref="E175:E238" si="72">ROW(E175)</f>
        <v>175</v>
      </c>
      <c r="F175" s="9" t="s">
        <v>93</v>
      </c>
      <c r="G175" s="21">
        <v>15</v>
      </c>
      <c r="H175" s="21">
        <v>2</v>
      </c>
      <c r="J175" s="9" t="s">
        <v>247</v>
      </c>
      <c r="M175" s="21">
        <f t="shared" ref="M175:M238" si="73">J175+D174</f>
        <v>19716</v>
      </c>
    </row>
    <row r="176" spans="1:13">
      <c r="E176" s="21">
        <f t="shared" si="72"/>
        <v>176</v>
      </c>
      <c r="F176" s="9" t="s">
        <v>142</v>
      </c>
      <c r="M176" s="21">
        <v>195109</v>
      </c>
    </row>
    <row r="177" spans="1:13">
      <c r="E177" s="21">
        <f t="shared" si="72"/>
        <v>177</v>
      </c>
      <c r="F177" s="9" t="s">
        <v>126</v>
      </c>
      <c r="G177" s="21">
        <v>0</v>
      </c>
      <c r="H177" s="21">
        <v>60</v>
      </c>
      <c r="M177" s="21" cm="1">
        <f t="array" ref="M177">_xlfn.SWITCH(B174,1,G177,2,H177)</f>
        <v>60</v>
      </c>
    </row>
    <row r="178" spans="1:13">
      <c r="E178" s="21">
        <f t="shared" si="72"/>
        <v>178</v>
      </c>
      <c r="F178" s="9" t="s">
        <v>29</v>
      </c>
      <c r="M178" s="21" t="s">
        <v>249</v>
      </c>
    </row>
    <row r="179" spans="1:13">
      <c r="E179" s="21">
        <f t="shared" si="72"/>
        <v>179</v>
      </c>
      <c r="F179" s="9" t="s">
        <v>118</v>
      </c>
      <c r="M179" s="21" t="s">
        <v>251</v>
      </c>
    </row>
    <row r="180" spans="1:13">
      <c r="E180" s="21">
        <f t="shared" si="72"/>
        <v>180</v>
      </c>
      <c r="F180" s="9" t="s">
        <v>98</v>
      </c>
      <c r="K180" s="9" t="s">
        <v>137</v>
      </c>
      <c r="M180" s="21">
        <v>5</v>
      </c>
    </row>
    <row r="181" spans="1:13">
      <c r="E181" s="21">
        <f t="shared" si="72"/>
        <v>181</v>
      </c>
      <c r="F181" s="9" t="s">
        <v>114</v>
      </c>
      <c r="M181" s="21" t="b">
        <v>1</v>
      </c>
    </row>
    <row r="182" spans="1:13">
      <c r="E182" s="21">
        <f t="shared" si="72"/>
        <v>182</v>
      </c>
      <c r="F182" s="9" t="s">
        <v>31</v>
      </c>
      <c r="G182" s="21">
        <v>360</v>
      </c>
      <c r="H182" s="21">
        <f t="shared" ref="H182" si="74">G182/G175</f>
        <v>24</v>
      </c>
      <c r="L182" s="9" t="s">
        <v>134</v>
      </c>
      <c r="M182" s="21" cm="1">
        <f t="array" ref="M182">_xlfn.SWITCH(B174,1,H182*C174,2,H182*C174+H182/2,3,0)</f>
        <v>36</v>
      </c>
    </row>
    <row r="183" spans="1:13">
      <c r="E183" s="21">
        <f t="shared" si="72"/>
        <v>183</v>
      </c>
      <c r="F183" s="9" t="s">
        <v>30</v>
      </c>
      <c r="M183" s="21">
        <v>3</v>
      </c>
    </row>
    <row r="184" spans="1:13">
      <c r="E184" s="21">
        <f t="shared" si="72"/>
        <v>184</v>
      </c>
      <c r="F184" s="9" t="s">
        <v>115</v>
      </c>
      <c r="M184" s="21">
        <v>-1.5</v>
      </c>
    </row>
    <row r="185" spans="1:13">
      <c r="A185" s="21" t="s">
        <v>227</v>
      </c>
      <c r="B185" s="21">
        <f t="shared" ref="B185:B248" si="75">QUOTIENT( D185-1,G186)+1</f>
        <v>2</v>
      </c>
      <c r="C185" s="21">
        <f t="shared" ref="C185:C248" si="76">D185-(B185-1)*G186</f>
        <v>2</v>
      </c>
      <c r="D185" s="21">
        <f>COUNT($D$8:$D184)+1</f>
        <v>17</v>
      </c>
    </row>
    <row r="186" spans="1:13">
      <c r="E186" s="21">
        <f t="shared" ref="E186:E249" si="77">ROW(E186)</f>
        <v>186</v>
      </c>
      <c r="F186" s="9" t="s">
        <v>93</v>
      </c>
      <c r="G186" s="21">
        <v>15</v>
      </c>
      <c r="H186" s="21">
        <v>2</v>
      </c>
      <c r="J186" s="9" t="s">
        <v>247</v>
      </c>
      <c r="M186" s="21">
        <f t="shared" ref="M186:M249" si="78">J186+D185</f>
        <v>19717</v>
      </c>
    </row>
    <row r="187" spans="1:13">
      <c r="E187" s="21">
        <f t="shared" si="77"/>
        <v>187</v>
      </c>
      <c r="F187" s="9" t="s">
        <v>142</v>
      </c>
      <c r="M187" s="21">
        <v>195109</v>
      </c>
    </row>
    <row r="188" spans="1:13">
      <c r="E188" s="21">
        <f t="shared" si="77"/>
        <v>188</v>
      </c>
      <c r="F188" s="9" t="s">
        <v>126</v>
      </c>
      <c r="G188" s="21">
        <v>0</v>
      </c>
      <c r="H188" s="21">
        <v>60</v>
      </c>
      <c r="M188" s="21" cm="1">
        <f t="array" ref="M188">_xlfn.SWITCH(B185,1,G188,2,H188)</f>
        <v>60</v>
      </c>
    </row>
    <row r="189" spans="1:13">
      <c r="E189" s="21">
        <f t="shared" si="77"/>
        <v>189</v>
      </c>
      <c r="F189" s="9" t="s">
        <v>29</v>
      </c>
      <c r="M189" s="21" t="s">
        <v>249</v>
      </c>
    </row>
    <row r="190" spans="1:13">
      <c r="E190" s="21">
        <f t="shared" si="77"/>
        <v>190</v>
      </c>
      <c r="F190" s="9" t="s">
        <v>118</v>
      </c>
      <c r="M190" s="21" t="s">
        <v>251</v>
      </c>
    </row>
    <row r="191" spans="1:13">
      <c r="E191" s="21">
        <f t="shared" si="77"/>
        <v>191</v>
      </c>
      <c r="F191" s="9" t="s">
        <v>98</v>
      </c>
      <c r="K191" s="9" t="s">
        <v>137</v>
      </c>
      <c r="M191" s="21">
        <v>5</v>
      </c>
    </row>
    <row r="192" spans="1:13">
      <c r="E192" s="21">
        <f t="shared" si="77"/>
        <v>192</v>
      </c>
      <c r="F192" s="9" t="s">
        <v>114</v>
      </c>
      <c r="M192" s="21" t="b">
        <v>1</v>
      </c>
    </row>
    <row r="193" spans="1:13">
      <c r="E193" s="21">
        <f t="shared" si="77"/>
        <v>193</v>
      </c>
      <c r="F193" s="9" t="s">
        <v>31</v>
      </c>
      <c r="G193" s="21">
        <v>360</v>
      </c>
      <c r="H193" s="21">
        <f t="shared" ref="H193" si="79">G193/G186</f>
        <v>24</v>
      </c>
      <c r="L193" s="9" t="s">
        <v>134</v>
      </c>
      <c r="M193" s="21" cm="1">
        <f t="array" ref="M193">_xlfn.SWITCH(B185,1,H193*C185,2,H193*C185+H193/2,3,0)</f>
        <v>60</v>
      </c>
    </row>
    <row r="194" spans="1:13">
      <c r="E194" s="21">
        <f t="shared" si="77"/>
        <v>194</v>
      </c>
      <c r="F194" s="9" t="s">
        <v>30</v>
      </c>
      <c r="M194" s="21">
        <v>3</v>
      </c>
    </row>
    <row r="195" spans="1:13">
      <c r="E195" s="21">
        <f t="shared" si="77"/>
        <v>195</v>
      </c>
      <c r="F195" s="9" t="s">
        <v>115</v>
      </c>
      <c r="M195" s="21">
        <v>-1.5</v>
      </c>
    </row>
    <row r="196" spans="1:13">
      <c r="A196" s="21" t="s">
        <v>227</v>
      </c>
      <c r="B196" s="21">
        <f t="shared" ref="B196:B259" si="80">QUOTIENT( D196-1,G197)+1</f>
        <v>2</v>
      </c>
      <c r="C196" s="21">
        <f t="shared" ref="C196:C259" si="81">D196-(B196-1)*G197</f>
        <v>3</v>
      </c>
      <c r="D196" s="21">
        <f>COUNT($D$8:$D195)+1</f>
        <v>18</v>
      </c>
    </row>
    <row r="197" spans="1:13">
      <c r="E197" s="21">
        <f t="shared" ref="E197:E260" si="82">ROW(E197)</f>
        <v>197</v>
      </c>
      <c r="F197" s="9" t="s">
        <v>93</v>
      </c>
      <c r="G197" s="21">
        <v>15</v>
      </c>
      <c r="H197" s="21">
        <v>2</v>
      </c>
      <c r="J197" s="9" t="s">
        <v>247</v>
      </c>
      <c r="M197" s="21">
        <f t="shared" ref="M197:M260" si="83">J197+D196</f>
        <v>19718</v>
      </c>
    </row>
    <row r="198" spans="1:13">
      <c r="E198" s="21">
        <f t="shared" si="82"/>
        <v>198</v>
      </c>
      <c r="F198" s="9" t="s">
        <v>142</v>
      </c>
      <c r="M198" s="21">
        <v>195109</v>
      </c>
    </row>
    <row r="199" spans="1:13">
      <c r="E199" s="21">
        <f t="shared" si="82"/>
        <v>199</v>
      </c>
      <c r="F199" s="9" t="s">
        <v>126</v>
      </c>
      <c r="G199" s="21">
        <v>0</v>
      </c>
      <c r="H199" s="21">
        <v>60</v>
      </c>
      <c r="M199" s="21" cm="1">
        <f t="array" ref="M199">_xlfn.SWITCH(B196,1,G199,2,H199)</f>
        <v>60</v>
      </c>
    </row>
    <row r="200" spans="1:13">
      <c r="E200" s="21">
        <f t="shared" si="82"/>
        <v>200</v>
      </c>
      <c r="F200" s="9" t="s">
        <v>29</v>
      </c>
      <c r="M200" s="21" t="s">
        <v>249</v>
      </c>
    </row>
    <row r="201" spans="1:13">
      <c r="E201" s="21">
        <f t="shared" si="82"/>
        <v>201</v>
      </c>
      <c r="F201" s="9" t="s">
        <v>118</v>
      </c>
      <c r="M201" s="21" t="s">
        <v>251</v>
      </c>
    </row>
    <row r="202" spans="1:13">
      <c r="E202" s="21">
        <f t="shared" si="82"/>
        <v>202</v>
      </c>
      <c r="F202" s="9" t="s">
        <v>98</v>
      </c>
      <c r="K202" s="9" t="s">
        <v>137</v>
      </c>
      <c r="M202" s="21">
        <v>5</v>
      </c>
    </row>
    <row r="203" spans="1:13">
      <c r="E203" s="21">
        <f t="shared" si="82"/>
        <v>203</v>
      </c>
      <c r="F203" s="9" t="s">
        <v>114</v>
      </c>
      <c r="M203" s="21" t="b">
        <v>1</v>
      </c>
    </row>
    <row r="204" spans="1:13">
      <c r="E204" s="21">
        <f t="shared" si="82"/>
        <v>204</v>
      </c>
      <c r="F204" s="9" t="s">
        <v>31</v>
      </c>
      <c r="G204" s="21">
        <v>360</v>
      </c>
      <c r="H204" s="21">
        <f t="shared" ref="H204" si="84">G204/G197</f>
        <v>24</v>
      </c>
      <c r="L204" s="9" t="s">
        <v>134</v>
      </c>
      <c r="M204" s="21" cm="1">
        <f t="array" ref="M204">_xlfn.SWITCH(B196,1,H204*C196,2,H204*C196+H204/2,3,0)</f>
        <v>84</v>
      </c>
    </row>
    <row r="205" spans="1:13">
      <c r="E205" s="21">
        <f t="shared" si="82"/>
        <v>205</v>
      </c>
      <c r="F205" s="9" t="s">
        <v>30</v>
      </c>
      <c r="M205" s="21">
        <v>3</v>
      </c>
    </row>
    <row r="206" spans="1:13">
      <c r="E206" s="21">
        <f t="shared" si="82"/>
        <v>206</v>
      </c>
      <c r="F206" s="9" t="s">
        <v>115</v>
      </c>
      <c r="M206" s="21">
        <v>-1.5</v>
      </c>
    </row>
    <row r="207" spans="1:13">
      <c r="A207" s="21" t="s">
        <v>227</v>
      </c>
      <c r="B207" s="21">
        <f t="shared" ref="B207:B270" si="85">QUOTIENT( D207-1,G208)+1</f>
        <v>2</v>
      </c>
      <c r="C207" s="21">
        <f t="shared" ref="C207:C270" si="86">D207-(B207-1)*G208</f>
        <v>4</v>
      </c>
      <c r="D207" s="21">
        <f>COUNT($D$8:$D206)+1</f>
        <v>19</v>
      </c>
    </row>
    <row r="208" spans="1:13">
      <c r="E208" s="21">
        <f t="shared" ref="E208:E271" si="87">ROW(E208)</f>
        <v>208</v>
      </c>
      <c r="F208" s="9" t="s">
        <v>93</v>
      </c>
      <c r="G208" s="21">
        <v>15</v>
      </c>
      <c r="H208" s="21">
        <v>2</v>
      </c>
      <c r="J208" s="9" t="s">
        <v>247</v>
      </c>
      <c r="M208" s="21">
        <f t="shared" ref="M208:M271" si="88">J208+D207</f>
        <v>19719</v>
      </c>
    </row>
    <row r="209" spans="1:13">
      <c r="E209" s="21">
        <f t="shared" si="87"/>
        <v>209</v>
      </c>
      <c r="F209" s="9" t="s">
        <v>142</v>
      </c>
      <c r="M209" s="21">
        <v>195109</v>
      </c>
    </row>
    <row r="210" spans="1:13">
      <c r="E210" s="21">
        <f t="shared" si="87"/>
        <v>210</v>
      </c>
      <c r="F210" s="9" t="s">
        <v>126</v>
      </c>
      <c r="G210" s="21">
        <v>0</v>
      </c>
      <c r="H210" s="21">
        <v>60</v>
      </c>
      <c r="M210" s="21" cm="1">
        <f t="array" ref="M210">_xlfn.SWITCH(B207,1,G210,2,H210)</f>
        <v>60</v>
      </c>
    </row>
    <row r="211" spans="1:13">
      <c r="E211" s="21">
        <f t="shared" si="87"/>
        <v>211</v>
      </c>
      <c r="F211" s="9" t="s">
        <v>29</v>
      </c>
      <c r="M211" s="21" t="s">
        <v>249</v>
      </c>
    </row>
    <row r="212" spans="1:13">
      <c r="E212" s="21">
        <f t="shared" si="87"/>
        <v>212</v>
      </c>
      <c r="F212" s="9" t="s">
        <v>118</v>
      </c>
      <c r="M212" s="21" t="s">
        <v>251</v>
      </c>
    </row>
    <row r="213" spans="1:13">
      <c r="E213" s="21">
        <f t="shared" si="87"/>
        <v>213</v>
      </c>
      <c r="F213" s="9" t="s">
        <v>98</v>
      </c>
      <c r="K213" s="9" t="s">
        <v>137</v>
      </c>
      <c r="M213" s="21">
        <v>5</v>
      </c>
    </row>
    <row r="214" spans="1:13">
      <c r="E214" s="21">
        <f t="shared" si="87"/>
        <v>214</v>
      </c>
      <c r="F214" s="9" t="s">
        <v>114</v>
      </c>
      <c r="M214" s="21" t="b">
        <v>1</v>
      </c>
    </row>
    <row r="215" spans="1:13">
      <c r="E215" s="21">
        <f t="shared" si="87"/>
        <v>215</v>
      </c>
      <c r="F215" s="9" t="s">
        <v>31</v>
      </c>
      <c r="G215" s="21">
        <v>360</v>
      </c>
      <c r="H215" s="21">
        <f t="shared" ref="H215" si="89">G215/G208</f>
        <v>24</v>
      </c>
      <c r="L215" s="9" t="s">
        <v>134</v>
      </c>
      <c r="M215" s="21" cm="1">
        <f t="array" ref="M215">_xlfn.SWITCH(B207,1,H215*C207,2,H215*C207+H215/2,3,0)</f>
        <v>108</v>
      </c>
    </row>
    <row r="216" spans="1:13">
      <c r="E216" s="21">
        <f t="shared" si="87"/>
        <v>216</v>
      </c>
      <c r="F216" s="9" t="s">
        <v>30</v>
      </c>
      <c r="M216" s="21">
        <v>3</v>
      </c>
    </row>
    <row r="217" spans="1:13">
      <c r="E217" s="21">
        <f t="shared" si="87"/>
        <v>217</v>
      </c>
      <c r="F217" s="9" t="s">
        <v>115</v>
      </c>
      <c r="M217" s="21">
        <v>-1.5</v>
      </c>
    </row>
    <row r="218" spans="1:13">
      <c r="A218" s="21" t="s">
        <v>227</v>
      </c>
      <c r="B218" s="21">
        <f t="shared" ref="B218:B281" si="90">QUOTIENT( D218-1,G219)+1</f>
        <v>2</v>
      </c>
      <c r="C218" s="21">
        <f t="shared" ref="C218:C281" si="91">D218-(B218-1)*G219</f>
        <v>5</v>
      </c>
      <c r="D218" s="21">
        <f>COUNT($D$8:$D217)+1</f>
        <v>20</v>
      </c>
    </row>
    <row r="219" spans="1:13">
      <c r="E219" s="21">
        <f t="shared" ref="E219:E282" si="92">ROW(E219)</f>
        <v>219</v>
      </c>
      <c r="F219" s="9" t="s">
        <v>93</v>
      </c>
      <c r="G219" s="21">
        <v>15</v>
      </c>
      <c r="H219" s="21">
        <v>2</v>
      </c>
      <c r="J219" s="9" t="s">
        <v>247</v>
      </c>
      <c r="M219" s="21">
        <f t="shared" ref="M219:M282" si="93">J219+D218</f>
        <v>19720</v>
      </c>
    </row>
    <row r="220" spans="1:13">
      <c r="E220" s="21">
        <f t="shared" si="92"/>
        <v>220</v>
      </c>
      <c r="F220" s="9" t="s">
        <v>142</v>
      </c>
      <c r="M220" s="21">
        <v>195109</v>
      </c>
    </row>
    <row r="221" spans="1:13">
      <c r="E221" s="21">
        <f t="shared" si="92"/>
        <v>221</v>
      </c>
      <c r="F221" s="9" t="s">
        <v>126</v>
      </c>
      <c r="G221" s="21">
        <v>0</v>
      </c>
      <c r="H221" s="21">
        <v>60</v>
      </c>
      <c r="M221" s="21" cm="1">
        <f t="array" ref="M221">_xlfn.SWITCH(B218,1,G221,2,H221)</f>
        <v>60</v>
      </c>
    </row>
    <row r="222" spans="1:13">
      <c r="E222" s="21">
        <f t="shared" si="92"/>
        <v>222</v>
      </c>
      <c r="F222" s="9" t="s">
        <v>29</v>
      </c>
      <c r="M222" s="21" t="s">
        <v>249</v>
      </c>
    </row>
    <row r="223" spans="1:13">
      <c r="E223" s="21">
        <f t="shared" si="92"/>
        <v>223</v>
      </c>
      <c r="F223" s="9" t="s">
        <v>118</v>
      </c>
      <c r="M223" s="21" t="s">
        <v>251</v>
      </c>
    </row>
    <row r="224" spans="1:13">
      <c r="E224" s="21">
        <f t="shared" si="92"/>
        <v>224</v>
      </c>
      <c r="F224" s="9" t="s">
        <v>98</v>
      </c>
      <c r="K224" s="9" t="s">
        <v>137</v>
      </c>
      <c r="M224" s="21">
        <v>5</v>
      </c>
    </row>
    <row r="225" spans="1:13">
      <c r="E225" s="21">
        <f t="shared" si="92"/>
        <v>225</v>
      </c>
      <c r="F225" s="9" t="s">
        <v>114</v>
      </c>
      <c r="M225" s="21" t="b">
        <v>1</v>
      </c>
    </row>
    <row r="226" spans="1:13">
      <c r="E226" s="21">
        <f t="shared" si="92"/>
        <v>226</v>
      </c>
      <c r="F226" s="9" t="s">
        <v>31</v>
      </c>
      <c r="G226" s="21">
        <v>360</v>
      </c>
      <c r="H226" s="21">
        <f t="shared" ref="H226" si="94">G226/G219</f>
        <v>24</v>
      </c>
      <c r="L226" s="9" t="s">
        <v>134</v>
      </c>
      <c r="M226" s="21" cm="1">
        <f t="array" ref="M226">_xlfn.SWITCH(B218,1,H226*C218,2,H226*C218+H226/2,3,0)</f>
        <v>132</v>
      </c>
    </row>
    <row r="227" spans="1:13">
      <c r="E227" s="21">
        <f t="shared" si="92"/>
        <v>227</v>
      </c>
      <c r="F227" s="9" t="s">
        <v>30</v>
      </c>
      <c r="M227" s="21">
        <v>3</v>
      </c>
    </row>
    <row r="228" spans="1:13">
      <c r="E228" s="21">
        <f t="shared" si="92"/>
        <v>228</v>
      </c>
      <c r="F228" s="9" t="s">
        <v>115</v>
      </c>
      <c r="M228" s="21">
        <v>-1.5</v>
      </c>
    </row>
    <row r="229" spans="1:13">
      <c r="A229" s="21" t="s">
        <v>227</v>
      </c>
      <c r="B229" s="21">
        <f t="shared" ref="B229:B292" si="95">QUOTIENT( D229-1,G230)+1</f>
        <v>2</v>
      </c>
      <c r="C229" s="21">
        <f t="shared" ref="C229:C292" si="96">D229-(B229-1)*G230</f>
        <v>6</v>
      </c>
      <c r="D229" s="21">
        <f>COUNT($D$8:$D228)+1</f>
        <v>21</v>
      </c>
    </row>
    <row r="230" spans="1:13">
      <c r="E230" s="21">
        <f t="shared" ref="E230:E293" si="97">ROW(E230)</f>
        <v>230</v>
      </c>
      <c r="F230" s="9" t="s">
        <v>93</v>
      </c>
      <c r="G230" s="21">
        <v>15</v>
      </c>
      <c r="H230" s="21">
        <v>2</v>
      </c>
      <c r="J230" s="9" t="s">
        <v>247</v>
      </c>
      <c r="M230" s="21">
        <f t="shared" ref="M230:M293" si="98">J230+D229</f>
        <v>19721</v>
      </c>
    </row>
    <row r="231" spans="1:13">
      <c r="E231" s="21">
        <f t="shared" si="97"/>
        <v>231</v>
      </c>
      <c r="F231" s="9" t="s">
        <v>142</v>
      </c>
      <c r="M231" s="21">
        <v>195109</v>
      </c>
    </row>
    <row r="232" spans="1:13">
      <c r="E232" s="21">
        <f t="shared" si="97"/>
        <v>232</v>
      </c>
      <c r="F232" s="9" t="s">
        <v>126</v>
      </c>
      <c r="G232" s="21">
        <v>0</v>
      </c>
      <c r="H232" s="21">
        <v>60</v>
      </c>
      <c r="M232" s="21" cm="1">
        <f t="array" ref="M232">_xlfn.SWITCH(B229,1,G232,2,H232)</f>
        <v>60</v>
      </c>
    </row>
    <row r="233" spans="1:13">
      <c r="E233" s="21">
        <f t="shared" si="97"/>
        <v>233</v>
      </c>
      <c r="F233" s="9" t="s">
        <v>29</v>
      </c>
      <c r="M233" s="21" t="s">
        <v>249</v>
      </c>
    </row>
    <row r="234" spans="1:13">
      <c r="E234" s="21">
        <f t="shared" si="97"/>
        <v>234</v>
      </c>
      <c r="F234" s="9" t="s">
        <v>118</v>
      </c>
      <c r="M234" s="21" t="s">
        <v>251</v>
      </c>
    </row>
    <row r="235" spans="1:13">
      <c r="E235" s="21">
        <f t="shared" si="97"/>
        <v>235</v>
      </c>
      <c r="F235" s="9" t="s">
        <v>98</v>
      </c>
      <c r="K235" s="9" t="s">
        <v>137</v>
      </c>
      <c r="M235" s="21">
        <v>5</v>
      </c>
    </row>
    <row r="236" spans="1:13">
      <c r="E236" s="21">
        <f t="shared" si="97"/>
        <v>236</v>
      </c>
      <c r="F236" s="9" t="s">
        <v>114</v>
      </c>
      <c r="M236" s="21" t="b">
        <v>1</v>
      </c>
    </row>
    <row r="237" spans="1:13">
      <c r="E237" s="21">
        <f t="shared" si="97"/>
        <v>237</v>
      </c>
      <c r="F237" s="9" t="s">
        <v>31</v>
      </c>
      <c r="G237" s="21">
        <v>360</v>
      </c>
      <c r="H237" s="21">
        <f t="shared" ref="H237" si="99">G237/G230</f>
        <v>24</v>
      </c>
      <c r="L237" s="9" t="s">
        <v>134</v>
      </c>
      <c r="M237" s="21" cm="1">
        <f t="array" ref="M237">_xlfn.SWITCH(B229,1,H237*C229,2,H237*C229+H237/2,3,0)</f>
        <v>156</v>
      </c>
    </row>
    <row r="238" spans="1:13">
      <c r="E238" s="21">
        <f t="shared" si="97"/>
        <v>238</v>
      </c>
      <c r="F238" s="9" t="s">
        <v>30</v>
      </c>
      <c r="M238" s="21">
        <v>3</v>
      </c>
    </row>
    <row r="239" spans="1:13">
      <c r="E239" s="21">
        <f t="shared" si="97"/>
        <v>239</v>
      </c>
      <c r="F239" s="9" t="s">
        <v>115</v>
      </c>
      <c r="M239" s="21">
        <v>-1.5</v>
      </c>
    </row>
    <row r="240" spans="1:13">
      <c r="A240" s="21" t="s">
        <v>227</v>
      </c>
      <c r="B240" s="21">
        <f t="shared" ref="B240:B303" si="100">QUOTIENT( D240-1,G241)+1</f>
        <v>2</v>
      </c>
      <c r="C240" s="21">
        <f t="shared" ref="C240:C303" si="101">D240-(B240-1)*G241</f>
        <v>7</v>
      </c>
      <c r="D240" s="21">
        <f>COUNT($D$8:$D239)+1</f>
        <v>22</v>
      </c>
    </row>
    <row r="241" spans="1:13">
      <c r="E241" s="21">
        <f t="shared" ref="E241:E304" si="102">ROW(E241)</f>
        <v>241</v>
      </c>
      <c r="F241" s="9" t="s">
        <v>93</v>
      </c>
      <c r="G241" s="21">
        <v>15</v>
      </c>
      <c r="H241" s="21">
        <v>2</v>
      </c>
      <c r="J241" s="9" t="s">
        <v>247</v>
      </c>
      <c r="M241" s="21">
        <f t="shared" ref="M241:M304" si="103">J241+D240</f>
        <v>19722</v>
      </c>
    </row>
    <row r="242" spans="1:13">
      <c r="E242" s="21">
        <f t="shared" si="102"/>
        <v>242</v>
      </c>
      <c r="F242" s="9" t="s">
        <v>142</v>
      </c>
      <c r="M242" s="21">
        <v>195109</v>
      </c>
    </row>
    <row r="243" spans="1:13">
      <c r="E243" s="21">
        <f t="shared" si="102"/>
        <v>243</v>
      </c>
      <c r="F243" s="9" t="s">
        <v>126</v>
      </c>
      <c r="G243" s="21">
        <v>0</v>
      </c>
      <c r="H243" s="21">
        <v>60</v>
      </c>
      <c r="M243" s="21" cm="1">
        <f t="array" ref="M243">_xlfn.SWITCH(B240,1,G243,2,H243)</f>
        <v>60</v>
      </c>
    </row>
    <row r="244" spans="1:13">
      <c r="E244" s="21">
        <f t="shared" si="102"/>
        <v>244</v>
      </c>
      <c r="F244" s="9" t="s">
        <v>29</v>
      </c>
      <c r="M244" s="21" t="s">
        <v>249</v>
      </c>
    </row>
    <row r="245" spans="1:13">
      <c r="E245" s="21">
        <f t="shared" si="102"/>
        <v>245</v>
      </c>
      <c r="F245" s="9" t="s">
        <v>118</v>
      </c>
      <c r="M245" s="21" t="s">
        <v>251</v>
      </c>
    </row>
    <row r="246" spans="1:13">
      <c r="E246" s="21">
        <f t="shared" si="102"/>
        <v>246</v>
      </c>
      <c r="F246" s="9" t="s">
        <v>98</v>
      </c>
      <c r="K246" s="9" t="s">
        <v>137</v>
      </c>
      <c r="M246" s="21">
        <v>5</v>
      </c>
    </row>
    <row r="247" spans="1:13">
      <c r="E247" s="21">
        <f t="shared" si="102"/>
        <v>247</v>
      </c>
      <c r="F247" s="9" t="s">
        <v>114</v>
      </c>
      <c r="M247" s="21" t="b">
        <v>1</v>
      </c>
    </row>
    <row r="248" spans="1:13">
      <c r="E248" s="21">
        <f t="shared" si="102"/>
        <v>248</v>
      </c>
      <c r="F248" s="9" t="s">
        <v>31</v>
      </c>
      <c r="G248" s="21">
        <v>360</v>
      </c>
      <c r="H248" s="21">
        <f t="shared" ref="H248" si="104">G248/G241</f>
        <v>24</v>
      </c>
      <c r="L248" s="9" t="s">
        <v>134</v>
      </c>
      <c r="M248" s="21" cm="1">
        <f t="array" ref="M248">_xlfn.SWITCH(B240,1,H248*C240,2,H248*C240+H248/2,3,0)</f>
        <v>180</v>
      </c>
    </row>
    <row r="249" spans="1:13">
      <c r="E249" s="21">
        <f t="shared" si="102"/>
        <v>249</v>
      </c>
      <c r="F249" s="9" t="s">
        <v>30</v>
      </c>
      <c r="M249" s="21">
        <v>3</v>
      </c>
    </row>
    <row r="250" spans="1:13">
      <c r="E250" s="21">
        <f t="shared" si="102"/>
        <v>250</v>
      </c>
      <c r="F250" s="9" t="s">
        <v>115</v>
      </c>
      <c r="M250" s="21">
        <v>-1.5</v>
      </c>
    </row>
    <row r="251" spans="1:13">
      <c r="A251" s="21" t="s">
        <v>227</v>
      </c>
      <c r="B251" s="21">
        <f t="shared" ref="B251:B314" si="105">QUOTIENT( D251-1,G252)+1</f>
        <v>2</v>
      </c>
      <c r="C251" s="21">
        <f t="shared" ref="C251:C314" si="106">D251-(B251-1)*G252</f>
        <v>8</v>
      </c>
      <c r="D251" s="21">
        <f>COUNT($D$8:$D250)+1</f>
        <v>23</v>
      </c>
    </row>
    <row r="252" spans="1:13">
      <c r="E252" s="21">
        <f t="shared" ref="E252:E315" si="107">ROW(E252)</f>
        <v>252</v>
      </c>
      <c r="F252" s="9" t="s">
        <v>93</v>
      </c>
      <c r="G252" s="21">
        <v>15</v>
      </c>
      <c r="H252" s="21">
        <v>2</v>
      </c>
      <c r="J252" s="9" t="s">
        <v>247</v>
      </c>
      <c r="M252" s="21">
        <f t="shared" ref="M252:M315" si="108">J252+D251</f>
        <v>19723</v>
      </c>
    </row>
    <row r="253" spans="1:13">
      <c r="E253" s="21">
        <f t="shared" si="107"/>
        <v>253</v>
      </c>
      <c r="F253" s="9" t="s">
        <v>142</v>
      </c>
      <c r="M253" s="21">
        <v>195109</v>
      </c>
    </row>
    <row r="254" spans="1:13">
      <c r="E254" s="21">
        <f t="shared" si="107"/>
        <v>254</v>
      </c>
      <c r="F254" s="9" t="s">
        <v>126</v>
      </c>
      <c r="G254" s="21">
        <v>0</v>
      </c>
      <c r="H254" s="21">
        <v>60</v>
      </c>
      <c r="M254" s="21" cm="1">
        <f t="array" ref="M254">_xlfn.SWITCH(B251,1,G254,2,H254)</f>
        <v>60</v>
      </c>
    </row>
    <row r="255" spans="1:13">
      <c r="E255" s="21">
        <f t="shared" si="107"/>
        <v>255</v>
      </c>
      <c r="F255" s="9" t="s">
        <v>29</v>
      </c>
      <c r="M255" s="21" t="s">
        <v>249</v>
      </c>
    </row>
    <row r="256" spans="1:13">
      <c r="E256" s="21">
        <f t="shared" si="107"/>
        <v>256</v>
      </c>
      <c r="F256" s="9" t="s">
        <v>118</v>
      </c>
      <c r="M256" s="21" t="s">
        <v>251</v>
      </c>
    </row>
    <row r="257" spans="1:13">
      <c r="E257" s="21">
        <f t="shared" si="107"/>
        <v>257</v>
      </c>
      <c r="F257" s="9" t="s">
        <v>98</v>
      </c>
      <c r="K257" s="9" t="s">
        <v>137</v>
      </c>
      <c r="M257" s="21">
        <v>5</v>
      </c>
    </row>
    <row r="258" spans="1:13">
      <c r="E258" s="21">
        <f t="shared" si="107"/>
        <v>258</v>
      </c>
      <c r="F258" s="9" t="s">
        <v>114</v>
      </c>
      <c r="M258" s="21" t="b">
        <v>1</v>
      </c>
    </row>
    <row r="259" spans="1:13">
      <c r="E259" s="21">
        <f t="shared" si="107"/>
        <v>259</v>
      </c>
      <c r="F259" s="9" t="s">
        <v>31</v>
      </c>
      <c r="G259" s="21">
        <v>360</v>
      </c>
      <c r="H259" s="21">
        <f t="shared" ref="H259" si="109">G259/G252</f>
        <v>24</v>
      </c>
      <c r="L259" s="9" t="s">
        <v>134</v>
      </c>
      <c r="M259" s="21" cm="1">
        <f t="array" ref="M259">_xlfn.SWITCH(B251,1,H259*C251,2,H259*C251+H259/2,3,0)</f>
        <v>204</v>
      </c>
    </row>
    <row r="260" spans="1:13">
      <c r="E260" s="21">
        <f t="shared" si="107"/>
        <v>260</v>
      </c>
      <c r="F260" s="9" t="s">
        <v>30</v>
      </c>
      <c r="M260" s="21">
        <v>3</v>
      </c>
    </row>
    <row r="261" spans="1:13">
      <c r="E261" s="21">
        <f t="shared" si="107"/>
        <v>261</v>
      </c>
      <c r="F261" s="9" t="s">
        <v>115</v>
      </c>
      <c r="M261" s="21">
        <v>-1.5</v>
      </c>
    </row>
    <row r="262" spans="1:13">
      <c r="A262" s="21" t="s">
        <v>227</v>
      </c>
      <c r="B262" s="21">
        <f t="shared" ref="B262:B325" si="110">QUOTIENT( D262-1,G263)+1</f>
        <v>2</v>
      </c>
      <c r="C262" s="21">
        <f t="shared" ref="C262:C325" si="111">D262-(B262-1)*G263</f>
        <v>9</v>
      </c>
      <c r="D262" s="21">
        <f>COUNT($D$8:$D261)+1</f>
        <v>24</v>
      </c>
    </row>
    <row r="263" spans="1:13">
      <c r="E263" s="21">
        <f t="shared" ref="E263:E326" si="112">ROW(E263)</f>
        <v>263</v>
      </c>
      <c r="F263" s="9" t="s">
        <v>93</v>
      </c>
      <c r="G263" s="21">
        <v>15</v>
      </c>
      <c r="H263" s="21">
        <v>2</v>
      </c>
      <c r="J263" s="9" t="s">
        <v>247</v>
      </c>
      <c r="M263" s="21">
        <f t="shared" ref="M263:M326" si="113">J263+D262</f>
        <v>19724</v>
      </c>
    </row>
    <row r="264" spans="1:13">
      <c r="E264" s="21">
        <f t="shared" si="112"/>
        <v>264</v>
      </c>
      <c r="F264" s="9" t="s">
        <v>142</v>
      </c>
      <c r="M264" s="21">
        <v>195109</v>
      </c>
    </row>
    <row r="265" spans="1:13">
      <c r="E265" s="21">
        <f t="shared" si="112"/>
        <v>265</v>
      </c>
      <c r="F265" s="9" t="s">
        <v>126</v>
      </c>
      <c r="G265" s="21">
        <v>0</v>
      </c>
      <c r="H265" s="21">
        <v>60</v>
      </c>
      <c r="M265" s="21" cm="1">
        <f t="array" ref="M265">_xlfn.SWITCH(B262,1,G265,2,H265)</f>
        <v>60</v>
      </c>
    </row>
    <row r="266" spans="1:13">
      <c r="E266" s="21">
        <f t="shared" si="112"/>
        <v>266</v>
      </c>
      <c r="F266" s="9" t="s">
        <v>29</v>
      </c>
      <c r="M266" s="21" t="s">
        <v>249</v>
      </c>
    </row>
    <row r="267" spans="1:13">
      <c r="E267" s="21">
        <f t="shared" si="112"/>
        <v>267</v>
      </c>
      <c r="F267" s="9" t="s">
        <v>118</v>
      </c>
      <c r="M267" s="21" t="s">
        <v>251</v>
      </c>
    </row>
    <row r="268" spans="1:13">
      <c r="E268" s="21">
        <f t="shared" si="112"/>
        <v>268</v>
      </c>
      <c r="F268" s="9" t="s">
        <v>98</v>
      </c>
      <c r="K268" s="9" t="s">
        <v>137</v>
      </c>
      <c r="M268" s="21">
        <v>5</v>
      </c>
    </row>
    <row r="269" spans="1:13">
      <c r="E269" s="21">
        <f t="shared" si="112"/>
        <v>269</v>
      </c>
      <c r="F269" s="9" t="s">
        <v>114</v>
      </c>
      <c r="M269" s="21" t="b">
        <v>1</v>
      </c>
    </row>
    <row r="270" spans="1:13">
      <c r="E270" s="21">
        <f t="shared" si="112"/>
        <v>270</v>
      </c>
      <c r="F270" s="9" t="s">
        <v>31</v>
      </c>
      <c r="G270" s="21">
        <v>360</v>
      </c>
      <c r="H270" s="21">
        <f t="shared" ref="H270" si="114">G270/G263</f>
        <v>24</v>
      </c>
      <c r="L270" s="9" t="s">
        <v>134</v>
      </c>
      <c r="M270" s="21" cm="1">
        <f t="array" ref="M270">_xlfn.SWITCH(B262,1,H270*C262,2,H270*C262+H270/2,3,0)</f>
        <v>228</v>
      </c>
    </row>
    <row r="271" spans="1:13">
      <c r="E271" s="21">
        <f t="shared" si="112"/>
        <v>271</v>
      </c>
      <c r="F271" s="9" t="s">
        <v>30</v>
      </c>
      <c r="M271" s="21">
        <v>3</v>
      </c>
    </row>
    <row r="272" spans="1:13">
      <c r="E272" s="21">
        <f t="shared" si="112"/>
        <v>272</v>
      </c>
      <c r="F272" s="9" t="s">
        <v>115</v>
      </c>
      <c r="M272" s="21">
        <v>-1.5</v>
      </c>
    </row>
    <row r="273" spans="1:13">
      <c r="A273" s="21" t="s">
        <v>227</v>
      </c>
      <c r="B273" s="21">
        <f t="shared" ref="B273:B336" si="115">QUOTIENT( D273-1,G274)+1</f>
        <v>2</v>
      </c>
      <c r="C273" s="21">
        <f t="shared" ref="C273:C336" si="116">D273-(B273-1)*G274</f>
        <v>10</v>
      </c>
      <c r="D273" s="21">
        <f>COUNT($D$8:$D272)+1</f>
        <v>25</v>
      </c>
    </row>
    <row r="274" spans="1:13">
      <c r="E274" s="21">
        <f t="shared" ref="E274:E337" si="117">ROW(E274)</f>
        <v>274</v>
      </c>
      <c r="F274" s="9" t="s">
        <v>93</v>
      </c>
      <c r="G274" s="21">
        <v>15</v>
      </c>
      <c r="H274" s="21">
        <v>2</v>
      </c>
      <c r="J274" s="9" t="s">
        <v>247</v>
      </c>
      <c r="M274" s="21">
        <f t="shared" ref="M274:M337" si="118">J274+D273</f>
        <v>19725</v>
      </c>
    </row>
    <row r="275" spans="1:13">
      <c r="E275" s="21">
        <f t="shared" si="117"/>
        <v>275</v>
      </c>
      <c r="F275" s="9" t="s">
        <v>142</v>
      </c>
      <c r="M275" s="21">
        <v>195109</v>
      </c>
    </row>
    <row r="276" spans="1:13">
      <c r="E276" s="21">
        <f t="shared" si="117"/>
        <v>276</v>
      </c>
      <c r="F276" s="9" t="s">
        <v>126</v>
      </c>
      <c r="G276" s="21">
        <v>0</v>
      </c>
      <c r="H276" s="21">
        <v>60</v>
      </c>
      <c r="M276" s="21" cm="1">
        <f t="array" ref="M276">_xlfn.SWITCH(B273,1,G276,2,H276)</f>
        <v>60</v>
      </c>
    </row>
    <row r="277" spans="1:13">
      <c r="E277" s="21">
        <f t="shared" si="117"/>
        <v>277</v>
      </c>
      <c r="F277" s="9" t="s">
        <v>29</v>
      </c>
      <c r="M277" s="21" t="s">
        <v>249</v>
      </c>
    </row>
    <row r="278" spans="1:13">
      <c r="E278" s="21">
        <f t="shared" si="117"/>
        <v>278</v>
      </c>
      <c r="F278" s="9" t="s">
        <v>118</v>
      </c>
      <c r="M278" s="21" t="s">
        <v>251</v>
      </c>
    </row>
    <row r="279" spans="1:13">
      <c r="E279" s="21">
        <f t="shared" si="117"/>
        <v>279</v>
      </c>
      <c r="F279" s="9" t="s">
        <v>98</v>
      </c>
      <c r="K279" s="9" t="s">
        <v>137</v>
      </c>
      <c r="M279" s="21">
        <v>5</v>
      </c>
    </row>
    <row r="280" spans="1:13">
      <c r="E280" s="21">
        <f t="shared" si="117"/>
        <v>280</v>
      </c>
      <c r="F280" s="9" t="s">
        <v>114</v>
      </c>
      <c r="M280" s="21" t="b">
        <v>1</v>
      </c>
    </row>
    <row r="281" spans="1:13">
      <c r="E281" s="21">
        <f t="shared" si="117"/>
        <v>281</v>
      </c>
      <c r="F281" s="9" t="s">
        <v>31</v>
      </c>
      <c r="G281" s="21">
        <v>360</v>
      </c>
      <c r="H281" s="21">
        <f t="shared" ref="H281" si="119">G281/G274</f>
        <v>24</v>
      </c>
      <c r="L281" s="9" t="s">
        <v>134</v>
      </c>
      <c r="M281" s="21" cm="1">
        <f t="array" ref="M281">_xlfn.SWITCH(B273,1,H281*C273,2,H281*C273+H281/2,3,0)</f>
        <v>252</v>
      </c>
    </row>
    <row r="282" spans="1:13">
      <c r="E282" s="21">
        <f t="shared" si="117"/>
        <v>282</v>
      </c>
      <c r="F282" s="9" t="s">
        <v>30</v>
      </c>
      <c r="M282" s="21">
        <v>3</v>
      </c>
    </row>
    <row r="283" spans="1:13">
      <c r="E283" s="21">
        <f t="shared" si="117"/>
        <v>283</v>
      </c>
      <c r="F283" s="9" t="s">
        <v>115</v>
      </c>
      <c r="M283" s="21">
        <v>-1.5</v>
      </c>
    </row>
    <row r="284" spans="1:13">
      <c r="A284" s="21" t="s">
        <v>227</v>
      </c>
      <c r="B284" s="21">
        <f t="shared" ref="B284:B338" si="120">QUOTIENT( D284-1,G285)+1</f>
        <v>2</v>
      </c>
      <c r="C284" s="21">
        <f t="shared" ref="C284:C338" si="121">D284-(B284-1)*G285</f>
        <v>11</v>
      </c>
      <c r="D284" s="21">
        <f>COUNT($D$8:$D283)+1</f>
        <v>26</v>
      </c>
    </row>
    <row r="285" spans="1:13">
      <c r="E285" s="21">
        <f t="shared" ref="E285:E338" si="122">ROW(E285)</f>
        <v>285</v>
      </c>
      <c r="F285" s="9" t="s">
        <v>93</v>
      </c>
      <c r="G285" s="21">
        <v>15</v>
      </c>
      <c r="H285" s="21">
        <v>2</v>
      </c>
      <c r="J285" s="9" t="s">
        <v>247</v>
      </c>
      <c r="M285" s="21">
        <f t="shared" ref="M285:M338" si="123">J285+D284</f>
        <v>19726</v>
      </c>
    </row>
    <row r="286" spans="1:13">
      <c r="E286" s="21">
        <f t="shared" si="122"/>
        <v>286</v>
      </c>
      <c r="F286" s="9" t="s">
        <v>142</v>
      </c>
      <c r="M286" s="21">
        <v>195109</v>
      </c>
    </row>
    <row r="287" spans="1:13">
      <c r="E287" s="21">
        <f t="shared" si="122"/>
        <v>287</v>
      </c>
      <c r="F287" s="9" t="s">
        <v>126</v>
      </c>
      <c r="G287" s="21">
        <v>0</v>
      </c>
      <c r="H287" s="21">
        <v>60</v>
      </c>
      <c r="M287" s="21" cm="1">
        <f t="array" ref="M287">_xlfn.SWITCH(B284,1,G287,2,H287)</f>
        <v>60</v>
      </c>
    </row>
    <row r="288" spans="1:13">
      <c r="E288" s="21">
        <f t="shared" si="122"/>
        <v>288</v>
      </c>
      <c r="F288" s="9" t="s">
        <v>29</v>
      </c>
      <c r="M288" s="21" t="s">
        <v>249</v>
      </c>
    </row>
    <row r="289" spans="1:13">
      <c r="E289" s="21">
        <f t="shared" si="122"/>
        <v>289</v>
      </c>
      <c r="F289" s="9" t="s">
        <v>118</v>
      </c>
      <c r="M289" s="21" t="s">
        <v>251</v>
      </c>
    </row>
    <row r="290" spans="1:13">
      <c r="E290" s="21">
        <f t="shared" si="122"/>
        <v>290</v>
      </c>
      <c r="F290" s="9" t="s">
        <v>98</v>
      </c>
      <c r="K290" s="9" t="s">
        <v>137</v>
      </c>
      <c r="M290" s="21">
        <v>5</v>
      </c>
    </row>
    <row r="291" spans="1:13">
      <c r="E291" s="21">
        <f t="shared" si="122"/>
        <v>291</v>
      </c>
      <c r="F291" s="9" t="s">
        <v>114</v>
      </c>
      <c r="M291" s="21" t="b">
        <v>1</v>
      </c>
    </row>
    <row r="292" spans="1:13">
      <c r="E292" s="21">
        <f t="shared" si="122"/>
        <v>292</v>
      </c>
      <c r="F292" s="9" t="s">
        <v>31</v>
      </c>
      <c r="G292" s="21">
        <v>360</v>
      </c>
      <c r="H292" s="21">
        <f t="shared" ref="H292" si="124">G292/G285</f>
        <v>24</v>
      </c>
      <c r="L292" s="9" t="s">
        <v>134</v>
      </c>
      <c r="M292" s="21" cm="1">
        <f t="array" ref="M292">_xlfn.SWITCH(B284,1,H292*C284,2,H292*C284+H292/2,3,0)</f>
        <v>276</v>
      </c>
    </row>
    <row r="293" spans="1:13">
      <c r="E293" s="21">
        <f t="shared" si="122"/>
        <v>293</v>
      </c>
      <c r="F293" s="9" t="s">
        <v>30</v>
      </c>
      <c r="M293" s="21">
        <v>3</v>
      </c>
    </row>
    <row r="294" spans="1:13">
      <c r="E294" s="21">
        <f t="shared" si="122"/>
        <v>294</v>
      </c>
      <c r="F294" s="9" t="s">
        <v>115</v>
      </c>
      <c r="M294" s="21">
        <v>-1.5</v>
      </c>
    </row>
    <row r="295" spans="1:13">
      <c r="A295" s="21" t="s">
        <v>227</v>
      </c>
      <c r="B295" s="21">
        <f t="shared" ref="B295:B338" si="125">QUOTIENT( D295-1,G296)+1</f>
        <v>2</v>
      </c>
      <c r="C295" s="21">
        <f t="shared" ref="C295:C338" si="126">D295-(B295-1)*G296</f>
        <v>12</v>
      </c>
      <c r="D295" s="21">
        <f>COUNT($D$8:$D294)+1</f>
        <v>27</v>
      </c>
    </row>
    <row r="296" spans="1:13">
      <c r="E296" s="21">
        <f t="shared" ref="E296:E338" si="127">ROW(E296)</f>
        <v>296</v>
      </c>
      <c r="F296" s="9" t="s">
        <v>93</v>
      </c>
      <c r="G296" s="21">
        <v>15</v>
      </c>
      <c r="H296" s="21">
        <v>2</v>
      </c>
      <c r="J296" s="9" t="s">
        <v>247</v>
      </c>
      <c r="M296" s="21">
        <f t="shared" ref="M296:M338" si="128">J296+D295</f>
        <v>19727</v>
      </c>
    </row>
    <row r="297" spans="1:13">
      <c r="E297" s="21">
        <f t="shared" si="127"/>
        <v>297</v>
      </c>
      <c r="F297" s="9" t="s">
        <v>142</v>
      </c>
      <c r="M297" s="21">
        <v>195109</v>
      </c>
    </row>
    <row r="298" spans="1:13">
      <c r="E298" s="21">
        <f t="shared" si="127"/>
        <v>298</v>
      </c>
      <c r="F298" s="9" t="s">
        <v>126</v>
      </c>
      <c r="G298" s="21">
        <v>0</v>
      </c>
      <c r="H298" s="21">
        <v>60</v>
      </c>
      <c r="M298" s="21" cm="1">
        <f t="array" ref="M298">_xlfn.SWITCH(B295,1,G298,2,H298)</f>
        <v>60</v>
      </c>
    </row>
    <row r="299" spans="1:13">
      <c r="E299" s="21">
        <f t="shared" si="127"/>
        <v>299</v>
      </c>
      <c r="F299" s="9" t="s">
        <v>29</v>
      </c>
      <c r="M299" s="21" t="s">
        <v>249</v>
      </c>
    </row>
    <row r="300" spans="1:13">
      <c r="E300" s="21">
        <f t="shared" si="127"/>
        <v>300</v>
      </c>
      <c r="F300" s="9" t="s">
        <v>118</v>
      </c>
      <c r="M300" s="21" t="s">
        <v>251</v>
      </c>
    </row>
    <row r="301" spans="1:13">
      <c r="E301" s="21">
        <f t="shared" si="127"/>
        <v>301</v>
      </c>
      <c r="F301" s="9" t="s">
        <v>98</v>
      </c>
      <c r="K301" s="9" t="s">
        <v>137</v>
      </c>
      <c r="M301" s="21">
        <v>5</v>
      </c>
    </row>
    <row r="302" spans="1:13">
      <c r="E302" s="21">
        <f t="shared" si="127"/>
        <v>302</v>
      </c>
      <c r="F302" s="9" t="s">
        <v>114</v>
      </c>
      <c r="M302" s="21" t="b">
        <v>1</v>
      </c>
    </row>
    <row r="303" spans="1:13">
      <c r="E303" s="21">
        <f t="shared" si="127"/>
        <v>303</v>
      </c>
      <c r="F303" s="9" t="s">
        <v>31</v>
      </c>
      <c r="G303" s="21">
        <v>360</v>
      </c>
      <c r="H303" s="21">
        <f t="shared" ref="H303" si="129">G303/G296</f>
        <v>24</v>
      </c>
      <c r="L303" s="9" t="s">
        <v>134</v>
      </c>
      <c r="M303" s="21" cm="1">
        <f t="array" ref="M303">_xlfn.SWITCH(B295,1,H303*C295,2,H303*C295+H303/2,3,0)</f>
        <v>300</v>
      </c>
    </row>
    <row r="304" spans="1:13">
      <c r="E304" s="21">
        <f t="shared" si="127"/>
        <v>304</v>
      </c>
      <c r="F304" s="9" t="s">
        <v>30</v>
      </c>
      <c r="M304" s="21">
        <v>3</v>
      </c>
    </row>
    <row r="305" spans="1:13">
      <c r="E305" s="21">
        <f t="shared" si="127"/>
        <v>305</v>
      </c>
      <c r="F305" s="9" t="s">
        <v>115</v>
      </c>
      <c r="M305" s="21">
        <v>-1.5</v>
      </c>
    </row>
    <row r="306" spans="1:13">
      <c r="A306" s="21" t="s">
        <v>227</v>
      </c>
      <c r="B306" s="21">
        <f t="shared" ref="B306:B338" si="130">QUOTIENT( D306-1,G307)+1</f>
        <v>2</v>
      </c>
      <c r="C306" s="21">
        <f t="shared" ref="C306:C338" si="131">D306-(B306-1)*G307</f>
        <v>13</v>
      </c>
      <c r="D306" s="21">
        <f>COUNT($D$8:$D305)+1</f>
        <v>28</v>
      </c>
    </row>
    <row r="307" spans="1:13">
      <c r="E307" s="21">
        <f t="shared" ref="E307:E338" si="132">ROW(E307)</f>
        <v>307</v>
      </c>
      <c r="F307" s="9" t="s">
        <v>93</v>
      </c>
      <c r="G307" s="21">
        <v>15</v>
      </c>
      <c r="H307" s="21">
        <v>2</v>
      </c>
      <c r="J307" s="9" t="s">
        <v>247</v>
      </c>
      <c r="M307" s="21">
        <f t="shared" ref="M307:M338" si="133">J307+D306</f>
        <v>19728</v>
      </c>
    </row>
    <row r="308" spans="1:13">
      <c r="E308" s="21">
        <f t="shared" si="132"/>
        <v>308</v>
      </c>
      <c r="F308" s="9" t="s">
        <v>142</v>
      </c>
      <c r="M308" s="21">
        <v>195109</v>
      </c>
    </row>
    <row r="309" spans="1:13">
      <c r="E309" s="21">
        <f t="shared" si="132"/>
        <v>309</v>
      </c>
      <c r="F309" s="9" t="s">
        <v>126</v>
      </c>
      <c r="G309" s="21">
        <v>0</v>
      </c>
      <c r="H309" s="21">
        <v>60</v>
      </c>
      <c r="M309" s="21" cm="1">
        <f t="array" ref="M309">_xlfn.SWITCH(B306,1,G309,2,H309)</f>
        <v>60</v>
      </c>
    </row>
    <row r="310" spans="1:13">
      <c r="E310" s="21">
        <f t="shared" si="132"/>
        <v>310</v>
      </c>
      <c r="F310" s="9" t="s">
        <v>29</v>
      </c>
      <c r="M310" s="21" t="s">
        <v>249</v>
      </c>
    </row>
    <row r="311" spans="1:13">
      <c r="E311" s="21">
        <f t="shared" si="132"/>
        <v>311</v>
      </c>
      <c r="F311" s="9" t="s">
        <v>118</v>
      </c>
      <c r="M311" s="21" t="s">
        <v>251</v>
      </c>
    </row>
    <row r="312" spans="1:13">
      <c r="E312" s="21">
        <f t="shared" si="132"/>
        <v>312</v>
      </c>
      <c r="F312" s="9" t="s">
        <v>98</v>
      </c>
      <c r="K312" s="9" t="s">
        <v>137</v>
      </c>
      <c r="M312" s="21">
        <v>5</v>
      </c>
    </row>
    <row r="313" spans="1:13">
      <c r="E313" s="21">
        <f t="shared" si="132"/>
        <v>313</v>
      </c>
      <c r="F313" s="9" t="s">
        <v>114</v>
      </c>
      <c r="M313" s="21" t="b">
        <v>1</v>
      </c>
    </row>
    <row r="314" spans="1:13">
      <c r="E314" s="21">
        <f t="shared" si="132"/>
        <v>314</v>
      </c>
      <c r="F314" s="9" t="s">
        <v>31</v>
      </c>
      <c r="G314" s="21">
        <v>360</v>
      </c>
      <c r="H314" s="21">
        <f t="shared" ref="H314" si="134">G314/G307</f>
        <v>24</v>
      </c>
      <c r="L314" s="9" t="s">
        <v>134</v>
      </c>
      <c r="M314" s="21" cm="1">
        <f t="array" ref="M314">_xlfn.SWITCH(B306,1,H314*C306,2,H314*C306+H314/2,3,0)</f>
        <v>324</v>
      </c>
    </row>
    <row r="315" spans="1:13">
      <c r="E315" s="21">
        <f t="shared" si="132"/>
        <v>315</v>
      </c>
      <c r="F315" s="9" t="s">
        <v>30</v>
      </c>
      <c r="M315" s="21">
        <v>3</v>
      </c>
    </row>
    <row r="316" spans="1:13">
      <c r="E316" s="21">
        <f t="shared" si="132"/>
        <v>316</v>
      </c>
      <c r="F316" s="9" t="s">
        <v>115</v>
      </c>
      <c r="M316" s="21">
        <v>-1.5</v>
      </c>
    </row>
    <row r="317" spans="1:13">
      <c r="A317" s="21" t="s">
        <v>227</v>
      </c>
      <c r="B317" s="21">
        <f t="shared" ref="B317:B338" si="135">QUOTIENT( D317-1,G318)+1</f>
        <v>2</v>
      </c>
      <c r="C317" s="21">
        <f t="shared" ref="C317:C338" si="136">D317-(B317-1)*G318</f>
        <v>14</v>
      </c>
      <c r="D317" s="21">
        <f>COUNT($D$8:$D316)+1</f>
        <v>29</v>
      </c>
    </row>
    <row r="318" spans="1:13">
      <c r="E318" s="21">
        <f t="shared" ref="E318:E338" si="137">ROW(E318)</f>
        <v>318</v>
      </c>
      <c r="F318" s="9" t="s">
        <v>93</v>
      </c>
      <c r="G318" s="21">
        <v>15</v>
      </c>
      <c r="H318" s="21">
        <v>2</v>
      </c>
      <c r="J318" s="9" t="s">
        <v>247</v>
      </c>
      <c r="M318" s="21">
        <f t="shared" ref="M318:M338" si="138">J318+D317</f>
        <v>19729</v>
      </c>
    </row>
    <row r="319" spans="1:13">
      <c r="E319" s="21">
        <f t="shared" si="137"/>
        <v>319</v>
      </c>
      <c r="F319" s="9" t="s">
        <v>142</v>
      </c>
      <c r="M319" s="21">
        <v>195109</v>
      </c>
    </row>
    <row r="320" spans="1:13">
      <c r="E320" s="21">
        <f t="shared" si="137"/>
        <v>320</v>
      </c>
      <c r="F320" s="9" t="s">
        <v>126</v>
      </c>
      <c r="G320" s="21">
        <v>0</v>
      </c>
      <c r="H320" s="21">
        <v>60</v>
      </c>
      <c r="M320" s="21" cm="1">
        <f t="array" ref="M320">_xlfn.SWITCH(B317,1,G320,2,H320)</f>
        <v>60</v>
      </c>
    </row>
    <row r="321" spans="1:13">
      <c r="E321" s="21">
        <f t="shared" si="137"/>
        <v>321</v>
      </c>
      <c r="F321" s="9" t="s">
        <v>29</v>
      </c>
      <c r="M321" s="21" t="s">
        <v>249</v>
      </c>
    </row>
    <row r="322" spans="1:13">
      <c r="E322" s="21">
        <f t="shared" si="137"/>
        <v>322</v>
      </c>
      <c r="F322" s="9" t="s">
        <v>118</v>
      </c>
      <c r="M322" s="21" t="s">
        <v>251</v>
      </c>
    </row>
    <row r="323" spans="1:13">
      <c r="E323" s="21">
        <f t="shared" si="137"/>
        <v>323</v>
      </c>
      <c r="F323" s="9" t="s">
        <v>98</v>
      </c>
      <c r="K323" s="9" t="s">
        <v>137</v>
      </c>
      <c r="M323" s="21">
        <v>5</v>
      </c>
    </row>
    <row r="324" spans="1:13">
      <c r="E324" s="21">
        <f t="shared" si="137"/>
        <v>324</v>
      </c>
      <c r="F324" s="9" t="s">
        <v>114</v>
      </c>
      <c r="M324" s="21" t="b">
        <v>1</v>
      </c>
    </row>
    <row r="325" spans="1:13">
      <c r="E325" s="21">
        <f t="shared" si="137"/>
        <v>325</v>
      </c>
      <c r="F325" s="9" t="s">
        <v>31</v>
      </c>
      <c r="G325" s="21">
        <v>360</v>
      </c>
      <c r="H325" s="21">
        <f t="shared" ref="H325" si="139">G325/G318</f>
        <v>24</v>
      </c>
      <c r="L325" s="9" t="s">
        <v>134</v>
      </c>
      <c r="M325" s="21" cm="1">
        <f t="array" ref="M325">_xlfn.SWITCH(B317,1,H325*C317,2,H325*C317+H325/2,3,0)</f>
        <v>348</v>
      </c>
    </row>
    <row r="326" spans="1:13">
      <c r="E326" s="21">
        <f t="shared" si="137"/>
        <v>326</v>
      </c>
      <c r="F326" s="9" t="s">
        <v>30</v>
      </c>
      <c r="M326" s="21">
        <v>3</v>
      </c>
    </row>
    <row r="327" spans="1:13">
      <c r="E327" s="21">
        <f t="shared" si="137"/>
        <v>327</v>
      </c>
      <c r="F327" s="9" t="s">
        <v>115</v>
      </c>
      <c r="M327" s="21">
        <v>-1.5</v>
      </c>
    </row>
    <row r="328" spans="1:13">
      <c r="A328" s="21" t="s">
        <v>227</v>
      </c>
      <c r="B328" s="21">
        <f t="shared" ref="B328:B338" si="140">QUOTIENT( D328-1,G329)+1</f>
        <v>2</v>
      </c>
      <c r="C328" s="21">
        <f t="shared" ref="C328:C338" si="141">D328-(B328-1)*G329</f>
        <v>15</v>
      </c>
      <c r="D328" s="21">
        <f>COUNT($D$8:$D327)+1</f>
        <v>30</v>
      </c>
    </row>
    <row r="329" spans="1:13">
      <c r="E329" s="21">
        <f t="shared" ref="E329:E338" si="142">ROW(E329)</f>
        <v>329</v>
      </c>
      <c r="F329" s="9" t="s">
        <v>93</v>
      </c>
      <c r="G329" s="21">
        <v>15</v>
      </c>
      <c r="H329" s="21">
        <v>2</v>
      </c>
      <c r="J329" s="9" t="s">
        <v>247</v>
      </c>
      <c r="M329" s="21">
        <f t="shared" ref="M329:M338" si="143">J329+D328</f>
        <v>19730</v>
      </c>
    </row>
    <row r="330" spans="1:13">
      <c r="E330" s="21">
        <f t="shared" si="142"/>
        <v>330</v>
      </c>
      <c r="F330" s="9" t="s">
        <v>142</v>
      </c>
      <c r="M330" s="21">
        <v>195109</v>
      </c>
    </row>
    <row r="331" spans="1:13">
      <c r="E331" s="21">
        <f t="shared" si="142"/>
        <v>331</v>
      </c>
      <c r="F331" s="9" t="s">
        <v>126</v>
      </c>
      <c r="G331" s="21">
        <v>0</v>
      </c>
      <c r="H331" s="21">
        <v>60</v>
      </c>
      <c r="M331" s="21" cm="1">
        <f t="array" ref="M331">_xlfn.SWITCH(B328,1,G331,2,H331)</f>
        <v>60</v>
      </c>
    </row>
    <row r="332" spans="1:13">
      <c r="E332" s="21">
        <f t="shared" si="142"/>
        <v>332</v>
      </c>
      <c r="F332" s="9" t="s">
        <v>29</v>
      </c>
      <c r="M332" s="21" t="s">
        <v>249</v>
      </c>
    </row>
    <row r="333" spans="1:13">
      <c r="E333" s="21">
        <f t="shared" si="142"/>
        <v>333</v>
      </c>
      <c r="F333" s="9" t="s">
        <v>118</v>
      </c>
      <c r="M333" s="21" t="s">
        <v>251</v>
      </c>
    </row>
    <row r="334" spans="1:13">
      <c r="E334" s="21">
        <f t="shared" si="142"/>
        <v>334</v>
      </c>
      <c r="F334" s="9" t="s">
        <v>98</v>
      </c>
      <c r="K334" s="9" t="s">
        <v>137</v>
      </c>
      <c r="M334" s="21">
        <v>5</v>
      </c>
    </row>
    <row r="335" spans="1:13">
      <c r="E335" s="21">
        <f t="shared" si="142"/>
        <v>335</v>
      </c>
      <c r="F335" s="9" t="s">
        <v>114</v>
      </c>
      <c r="M335" s="21" t="b">
        <v>1</v>
      </c>
    </row>
    <row r="336" spans="1:13">
      <c r="E336" s="21">
        <f t="shared" si="142"/>
        <v>336</v>
      </c>
      <c r="F336" s="9" t="s">
        <v>31</v>
      </c>
      <c r="G336" s="21">
        <v>360</v>
      </c>
      <c r="H336" s="21">
        <f t="shared" ref="H336" si="144">G336/G329</f>
        <v>24</v>
      </c>
      <c r="L336" s="9" t="s">
        <v>134</v>
      </c>
      <c r="M336" s="21" cm="1">
        <f t="array" ref="M336">_xlfn.SWITCH(B328,1,H336*C328,2,H336*C328+H336/2,3,0)</f>
        <v>372</v>
      </c>
    </row>
    <row r="337" spans="5:13">
      <c r="E337" s="21">
        <f t="shared" si="142"/>
        <v>337</v>
      </c>
      <c r="F337" s="9" t="s">
        <v>30</v>
      </c>
      <c r="M337" s="21">
        <v>3</v>
      </c>
    </row>
    <row r="338" spans="5:13">
      <c r="E338" s="21">
        <f t="shared" si="142"/>
        <v>338</v>
      </c>
      <c r="F338" s="9" t="s">
        <v>115</v>
      </c>
      <c r="M338" s="21">
        <v>-1.5</v>
      </c>
    </row>
  </sheetData>
  <phoneticPr fontId="2" type="noConversion"/>
  <conditionalFormatting sqref="BE1:XFD1 E1:I1">
    <cfRule type="duplicateValues" dxfId="49" priority="1882"/>
  </conditionalFormatting>
  <conditionalFormatting sqref="F1:F2">
    <cfRule type="cellIs" dxfId="48" priority="1383" operator="equal">
      <formula>"ID"</formula>
    </cfRule>
    <cfRule type="cellIs" dxfId="47" priority="1798" operator="equal">
      <formula>"行動序號"</formula>
    </cfRule>
  </conditionalFormatting>
  <conditionalFormatting sqref="J1">
    <cfRule type="duplicateValues" dxfId="46" priority="1381"/>
  </conditionalFormatting>
  <conditionalFormatting sqref="K1:L1">
    <cfRule type="duplicateValues" dxfId="45" priority="1378"/>
  </conditionalFormatting>
  <conditionalFormatting sqref="M1:M1048576">
    <cfRule type="expression" dxfId="44" priority="993">
      <formula>_xlfn.ISFORMULA(M1)</formula>
    </cfRule>
  </conditionalFormatting>
  <conditionalFormatting sqref="N1:BD1">
    <cfRule type="duplicateValues" dxfId="43" priority="1898"/>
  </conditionalFormatting>
  <conditionalFormatting sqref="F1:F1048576">
    <cfRule type="cellIs" dxfId="42" priority="96" operator="equal">
      <formula>"ID"</formula>
    </cfRule>
    <cfRule type="cellIs" dxfId="41" priority="97" operator="equal">
      <formula>"行動ID"</formula>
    </cfRule>
  </conditionalFormatting>
  <conditionalFormatting sqref="M1:M1048576">
    <cfRule type="expression" dxfId="40" priority="57">
      <formula>AND(_xlfn.ISFORMULA(M1),OR($F1="行動ID", $F1="ID"))</formula>
    </cfRule>
    <cfRule type="expression" dxfId="39" priority="59">
      <formula>OR($F1="行動ID", $F1="ID")</formula>
    </cfRule>
  </conditionalFormatting>
  <dataValidations count="1">
    <dataValidation type="list" allowBlank="1" showInputMessage="1" showErrorMessage="1" sqref="L5 L7:L8 K1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stage7_card12shot2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2025-04-25T12:37:06Z</dcterms:modified>
</cp:coreProperties>
</file>