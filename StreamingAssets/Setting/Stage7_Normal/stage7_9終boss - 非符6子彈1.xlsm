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1F53E3F0-FDCA-42F6-AAAF-711AE22CDC2A}" xr6:coauthVersionLast="47" xr6:coauthVersionMax="47" xr10:uidLastSave="{00000000-0000-0000-0000-000000000000}"/>
  <bookViews>
    <workbookView xWindow="1860" yWindow="1860" windowWidth="21975" windowHeight="12210" xr2:uid="{00000000-000D-0000-FFFF-FFFF00000000}"/>
  </bookViews>
  <sheets>
    <sheet name="stage7_notcard6shot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8" i="1" l="1"/>
  <c r="E257" i="1"/>
  <c r="E256" i="1"/>
  <c r="E255" i="1"/>
  <c r="E254" i="1"/>
  <c r="E253" i="1"/>
  <c r="E252" i="1"/>
  <c r="E251" i="1"/>
  <c r="M228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M204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M180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M156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M132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M108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M84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248" i="1"/>
  <c r="E247" i="1"/>
  <c r="E246" i="1"/>
  <c r="E245" i="1"/>
  <c r="E244" i="1"/>
  <c r="E243" i="1"/>
  <c r="E242" i="1"/>
  <c r="E241" i="1"/>
  <c r="E240" i="1"/>
  <c r="M60" i="1" l="1"/>
  <c r="E60" i="1"/>
  <c r="E57" i="1"/>
  <c r="E56" i="1" l="1"/>
  <c r="E55" i="1"/>
  <c r="E59" i="1"/>
  <c r="E5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D37" i="1"/>
  <c r="A36" i="1"/>
  <c r="E29" i="1"/>
  <c r="E28" i="1"/>
  <c r="E27" i="1"/>
  <c r="M26" i="1"/>
  <c r="E26" i="1"/>
  <c r="E25" i="1"/>
  <c r="E24" i="1"/>
  <c r="E23" i="1"/>
  <c r="E22" i="1"/>
  <c r="E21" i="1"/>
  <c r="M20" i="1"/>
  <c r="E20" i="1"/>
  <c r="M19" i="1"/>
  <c r="M27" i="1" s="1"/>
  <c r="E19" i="1"/>
  <c r="E18" i="1"/>
  <c r="E17" i="1"/>
  <c r="E16" i="1"/>
  <c r="E15" i="1"/>
  <c r="E14" i="1"/>
  <c r="E13" i="1"/>
  <c r="D61" i="1" l="1"/>
  <c r="D85" i="1"/>
  <c r="M38" i="1"/>
  <c r="M53" i="1" s="1"/>
  <c r="B37" i="1"/>
  <c r="C37" i="1" s="1"/>
  <c r="M47" i="1"/>
  <c r="M86" i="1" l="1"/>
  <c r="B85" i="1"/>
  <c r="C85" i="1" s="1"/>
  <c r="M95" i="1"/>
  <c r="B61" i="1"/>
  <c r="C61" i="1" s="1"/>
  <c r="M62" i="1"/>
  <c r="M71" i="1"/>
  <c r="D109" i="1"/>
  <c r="M52" i="1"/>
  <c r="M55" i="1" s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77" i="1" l="1"/>
  <c r="M76" i="1"/>
  <c r="M79" i="1" s="1"/>
  <c r="M119" i="1"/>
  <c r="M110" i="1"/>
  <c r="B109" i="1"/>
  <c r="C109" i="1" s="1"/>
  <c r="D133" i="1"/>
  <c r="D157" i="1" s="1"/>
  <c r="M100" i="1"/>
  <c r="M103" i="1" s="1"/>
  <c r="M101" i="1"/>
  <c r="M124" i="1" l="1"/>
  <c r="M127" i="1" s="1"/>
  <c r="M125" i="1"/>
  <c r="M167" i="1"/>
  <c r="B157" i="1"/>
  <c r="C157" i="1" s="1"/>
  <c r="M158" i="1"/>
  <c r="B133" i="1"/>
  <c r="C133" i="1" s="1"/>
  <c r="M134" i="1"/>
  <c r="M143" i="1"/>
  <c r="D181" i="1"/>
  <c r="D205" i="1" s="1"/>
  <c r="B205" i="1" l="1"/>
  <c r="C205" i="1" s="1"/>
  <c r="M206" i="1"/>
  <c r="M215" i="1"/>
  <c r="M149" i="1"/>
  <c r="M148" i="1"/>
  <c r="M151" i="1" s="1"/>
  <c r="M191" i="1"/>
  <c r="B181" i="1"/>
  <c r="C181" i="1" s="1"/>
  <c r="M182" i="1"/>
  <c r="M173" i="1"/>
  <c r="M172" i="1"/>
  <c r="M175" i="1" s="1"/>
  <c r="M196" i="1" l="1"/>
  <c r="M199" i="1" s="1"/>
  <c r="M197" i="1"/>
  <c r="M221" i="1"/>
  <c r="M220" i="1"/>
  <c r="M223" i="1" s="1"/>
</calcChain>
</file>

<file path=xl/sharedStrings.xml><?xml version="1.0" encoding="utf-8"?>
<sst xmlns="http://schemas.openxmlformats.org/spreadsheetml/2006/main" count="733" uniqueCount="269">
  <si>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</si>
  <si>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</si>
  <si>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</si>
  <si>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</si>
  <si>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</si>
  <si>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</si>
  <si>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</si>
  <si>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</si>
  <si>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</si>
  <si>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</si>
  <si>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</si>
  <si>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</si>
  <si>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</si>
  <si>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</si>
  <si>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</si>
  <si>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</si>
  <si>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</si>
  <si>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</si>
  <si>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</si>
  <si>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</si>
  <si>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</si>
  <si>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</si>
  <si>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</si>
  <si>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</si>
  <si>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</si>
  <si>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</si>
  <si>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</si>
  <si>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</si>
  <si>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</si>
  <si>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</si>
  <si>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</si>
  <si>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</si>
  <si>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</si>
  <si>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</si>
  <si>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</si>
  <si>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</si>
  <si>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</si>
  <si>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</si>
  <si>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</si>
  <si>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</si>
  <si>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</si>
  <si>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</si>
  <si>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</si>
  <si>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</si>
  <si>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</si>
  <si>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</si>
  <si>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</si>
  <si>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</si>
  <si>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</si>
  <si>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</si>
  <si>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</si>
  <si>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</si>
  <si>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</si>
  <si>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</si>
  <si>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</si>
  <si>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</si>
  <si>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</si>
  <si>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</si>
  <si>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</si>
  <si>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</si>
  <si>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</si>
  <si>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</si>
  <si>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</si>
  <si>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</si>
  <si>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</si>
  <si>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</si>
  <si>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</si>
  <si>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</si>
  <si>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</si>
  <si>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</si>
  <si>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</si>
  <si>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</si>
  <si>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</si>
  <si>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</si>
  <si>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</si>
  <si>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</si>
  <si>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</si>
  <si>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</si>
  <si>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</si>
  <si>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</si>
  <si>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</si>
  <si>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</si>
  <si>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</si>
  <si>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</si>
  <si>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</si>
  <si>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</si>
  <si>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</si>
  <si>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</si>
  <si>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</si>
  <si>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</si>
  <si>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</si>
  <si>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</si>
  <si>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</si>
  <si>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</si>
  <si>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</si>
  <si>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</si>
  <si>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物件</t>
    <phoneticPr fontId="2" type="noConversion"/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</si>
  <si>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</si>
  <si>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</si>
  <si>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</si>
  <si>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</si>
  <si>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</si>
  <si>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</si>
  <si>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</si>
  <si>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</si>
  <si>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</si>
  <si>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</si>
  <si>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</si>
  <si>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</si>
  <si>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</si>
  <si>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</si>
  <si>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</si>
  <si>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</si>
  <si>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</si>
  <si>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</si>
  <si>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</si>
  <si>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</si>
  <si>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</si>
  <si>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</si>
  <si>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</si>
  <si>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</si>
  <si>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</si>
  <si>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</si>
  <si>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</si>
  <si>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</si>
  <si>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</si>
  <si>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</si>
  <si>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</si>
  <si>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</si>
  <si>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</si>
  <si>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</si>
  <si>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</si>
  <si>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</si>
  <si>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</si>
  <si>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</si>
  <si>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</si>
  <si>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</si>
  <si>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</si>
  <si>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</si>
  <si>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</si>
  <si>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</si>
  <si>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</si>
  <si>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</si>
  <si>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</si>
  <si>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</si>
  <si>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移位置</t>
    <phoneticPr fontId="2" type="noConversion"/>
  </si>
  <si>
    <t>EnemyShot3</t>
  </si>
  <si>
    <t>回收距離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</si>
  <si>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</si>
  <si>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</si>
  <si>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</si>
  <si>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</si>
  <si>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</si>
  <si>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</si>
  <si>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</si>
  <si>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</si>
  <si>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</si>
  <si>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</si>
  <si>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</si>
  <si>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</si>
  <si>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</si>
  <si>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</si>
  <si>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</si>
  <si>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</si>
  <si>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</si>
  <si>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</si>
  <si>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</si>
  <si>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</si>
  <si>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</si>
  <si>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</si>
  <si>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</si>
  <si>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</si>
  <si>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</si>
  <si>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</si>
  <si>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</si>
  <si>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</si>
  <si>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</si>
  <si>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</si>
  <si>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</si>
  <si>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</si>
  <si>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</si>
  <si>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</si>
  <si>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</si>
  <si>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</si>
  <si>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</si>
  <si>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</si>
  <si>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</si>
  <si>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</si>
  <si>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</si>
  <si>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</si>
  <si>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</si>
  <si>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</si>
  <si>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</si>
  <si>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</si>
  <si>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</si>
  <si>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</si>
  <si>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</si>
  <si>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</si>
  <si>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</si>
  <si>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</si>
  <si>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</si>
  <si>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</si>
  <si>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</si>
  <si>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</si>
  <si>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</si>
  <si>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</si>
  <si>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</si>
  <si>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</si>
  <si>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</si>
  <si>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</si>
  <si>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</si>
  <si>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</si>
  <si>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</si>
  <si>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</si>
  <si>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</si>
  <si>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</si>
  <si>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</si>
  <si>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</si>
  <si>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</si>
  <si>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</si>
  <si>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</si>
  <si>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</si>
  <si>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</si>
  <si>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</si>
  <si>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</si>
  <si>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</si>
  <si>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</si>
  <si>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</si>
  <si>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</si>
  <si>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</si>
  <si>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</si>
  <si>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</si>
  <si>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</si>
  <si>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</si>
  <si>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</si>
  <si>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</si>
  <si>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</si>
  <si>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</si>
  <si>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</si>
  <si>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EnemyShot2</t>
    <phoneticPr fontId="2" type="noConversion"/>
  </si>
  <si>
    <t>Shot2_purple</t>
    <phoneticPr fontId="2" type="noConversion"/>
  </si>
  <si>
    <t>BOSS彈</t>
    <phoneticPr fontId="2" type="noConversion"/>
  </si>
  <si>
    <t>EnemyShot5</t>
    <phoneticPr fontId="2" type="noConversion"/>
  </si>
  <si>
    <t>Shot5_red</t>
    <phoneticPr fontId="2" type="noConversion"/>
  </si>
  <si>
    <t>1,3</t>
    <phoneticPr fontId="2" type="noConversion"/>
  </si>
  <si>
    <t>Shot3_purple</t>
  </si>
  <si>
    <t>Shot3_purple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</si>
  <si>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</si>
  <si>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</si>
  <si>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</si>
  <si>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</si>
  <si>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</si>
  <si>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</si>
  <si>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</si>
  <si>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</si>
  <si>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</si>
  <si>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</si>
  <si>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行動時間</t>
    <phoneticPr fontId="2" type="noConversion"/>
  </si>
  <si>
    <t>時位時間</t>
    <phoneticPr fontId="2" type="noConversion"/>
  </si>
  <si>
    <t>時位變速點</t>
    <phoneticPr fontId="2" type="noConversion"/>
  </si>
  <si>
    <t>時位位置</t>
    <phoneticPr fontId="2" type="noConversion"/>
  </si>
  <si>
    <t>加速度</t>
    <phoneticPr fontId="2" type="noConversion"/>
  </si>
  <si>
    <t>Empty</t>
    <phoneticPr fontId="2" type="noConversion"/>
  </si>
  <si>
    <t>EnemyShot3</t>
    <phoneticPr fontId="2" type="noConversion"/>
  </si>
  <si>
    <t>角度ID移動角度</t>
  </si>
  <si>
    <t>角度ID移動角度</t>
    <phoneticPr fontId="2" type="noConversion"/>
  </si>
  <si>
    <t>7</t>
    <phoneticPr fontId="2" type="noConversion"/>
  </si>
  <si>
    <t>2,0</t>
    <phoneticPr fontId="2" type="noConversion"/>
  </si>
  <si>
    <t>軌跡彈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</si>
</sst>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6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857"/>
  <sheetViews>
    <sheetView tabSelected="1" zoomScale="115" zoomScaleNormal="115" workbookViewId="0">
      <pane ySplit="1" topLeftCell="A251" activePane="bottomLeft" state="frozen"/>
      <selection pane="bottomLeft" activeCell="A262" sqref="A262:XFD262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6.12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140</v>
      </c>
      <c r="L1" s="17" t="s">
        <v>141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11" spans="1:60">
      <c r="A11" s="9"/>
      <c r="B11" s="9"/>
    </row>
    <row r="12" spans="1:60">
      <c r="B12" s="9"/>
      <c r="C12" s="9"/>
      <c r="D12" s="9"/>
    </row>
    <row r="13" spans="1:60">
      <c r="A13" s="9"/>
      <c r="B13" s="9"/>
      <c r="E13" s="21">
        <f t="shared" ref="E13:E29" si="0">ROW(E13)</f>
        <v>13</v>
      </c>
      <c r="F13" s="9" t="s">
        <v>93</v>
      </c>
      <c r="G13" s="21">
        <v>1</v>
      </c>
      <c r="J13" s="21"/>
      <c r="M13" s="21">
        <v>15400</v>
      </c>
      <c r="R13" s="12"/>
      <c r="S13" s="9"/>
      <c r="U13" s="12"/>
      <c r="X13" s="15"/>
      <c r="AE13" s="16"/>
      <c r="BH13" s="9"/>
    </row>
    <row r="14" spans="1:60">
      <c r="A14" s="9"/>
      <c r="B14" s="9"/>
      <c r="E14" s="21">
        <f t="shared" si="0"/>
        <v>14</v>
      </c>
      <c r="F14" s="9" t="s">
        <v>143</v>
      </c>
      <c r="M14" s="21">
        <v>15310</v>
      </c>
      <c r="R14" s="12"/>
      <c r="S14" s="9"/>
      <c r="U14" s="12"/>
      <c r="X14" s="15"/>
      <c r="AE14" s="16"/>
      <c r="BH14" s="9"/>
    </row>
    <row r="15" spans="1:60">
      <c r="A15" s="9"/>
      <c r="B15" s="9"/>
      <c r="E15" s="21">
        <f t="shared" si="0"/>
        <v>15</v>
      </c>
      <c r="F15" s="9" t="s">
        <v>127</v>
      </c>
      <c r="M15" s="21">
        <v>240</v>
      </c>
      <c r="R15" s="12"/>
      <c r="S15" s="9"/>
      <c r="U15" s="12"/>
      <c r="X15" s="15"/>
      <c r="AE15" s="16"/>
      <c r="BH15" s="9"/>
    </row>
    <row r="16" spans="1:60">
      <c r="A16" s="9"/>
      <c r="B16" s="9"/>
      <c r="E16" s="21">
        <f t="shared" si="0"/>
        <v>16</v>
      </c>
      <c r="F16" s="9" t="s">
        <v>96</v>
      </c>
      <c r="M16" s="21" t="s">
        <v>262</v>
      </c>
      <c r="R16" s="12"/>
      <c r="S16" s="9"/>
      <c r="U16" s="12"/>
      <c r="X16" s="15"/>
      <c r="AE16" s="16"/>
      <c r="BH16" s="9"/>
    </row>
    <row r="17" spans="1:60">
      <c r="A17" s="9"/>
      <c r="B17" s="9"/>
      <c r="E17" s="21">
        <f t="shared" si="0"/>
        <v>17</v>
      </c>
      <c r="F17" s="9" t="s">
        <v>145</v>
      </c>
      <c r="K17" s="9" t="s">
        <v>138</v>
      </c>
      <c r="M17" s="21">
        <v>2</v>
      </c>
      <c r="R17" s="12"/>
      <c r="S17" s="9"/>
      <c r="U17" s="12"/>
      <c r="X17" s="15"/>
      <c r="AE17" s="16"/>
      <c r="BH17" s="9"/>
    </row>
    <row r="18" spans="1:60">
      <c r="A18" s="9"/>
      <c r="B18" s="9"/>
      <c r="E18" s="21">
        <f t="shared" si="0"/>
        <v>18</v>
      </c>
      <c r="F18" s="9" t="s">
        <v>257</v>
      </c>
      <c r="M18" s="21">
        <v>0</v>
      </c>
      <c r="R18" s="12"/>
      <c r="S18" s="9"/>
      <c r="U18" s="12"/>
      <c r="X18" s="15"/>
      <c r="AE18" s="16"/>
      <c r="BH18" s="9"/>
    </row>
    <row r="19" spans="1:60">
      <c r="A19" s="9"/>
      <c r="B19" s="9"/>
      <c r="E19" s="21">
        <f t="shared" si="0"/>
        <v>19</v>
      </c>
      <c r="F19" s="9" t="s">
        <v>102</v>
      </c>
      <c r="M19" s="21">
        <f>M13*10+1</f>
        <v>154001</v>
      </c>
      <c r="R19" s="12"/>
      <c r="S19" s="9"/>
      <c r="U19" s="12"/>
      <c r="X19" s="15"/>
      <c r="AE19" s="16"/>
      <c r="BH19" s="9"/>
    </row>
    <row r="20" spans="1:60">
      <c r="A20" s="9"/>
      <c r="B20" s="9"/>
      <c r="E20" s="21">
        <f t="shared" si="0"/>
        <v>20</v>
      </c>
      <c r="F20" s="9" t="s">
        <v>143</v>
      </c>
      <c r="M20" s="21">
        <f>M13</f>
        <v>15400</v>
      </c>
      <c r="R20" s="12"/>
      <c r="S20" s="9"/>
      <c r="U20" s="12"/>
      <c r="X20" s="15"/>
      <c r="AE20" s="16"/>
      <c r="BH20" s="9"/>
    </row>
    <row r="21" spans="1:60">
      <c r="A21" s="9"/>
      <c r="B21" s="9"/>
      <c r="E21" s="21">
        <f t="shared" si="0"/>
        <v>21</v>
      </c>
      <c r="F21" s="9" t="s">
        <v>128</v>
      </c>
      <c r="M21" s="21">
        <v>0</v>
      </c>
      <c r="R21" s="12"/>
      <c r="S21" s="9"/>
      <c r="U21" s="12"/>
      <c r="X21" s="15"/>
      <c r="AE21" s="16"/>
      <c r="BH21" s="9"/>
    </row>
    <row r="22" spans="1:60">
      <c r="A22" s="9"/>
      <c r="B22" s="9"/>
      <c r="E22" s="21">
        <f t="shared" si="0"/>
        <v>22</v>
      </c>
      <c r="F22" s="9" t="s">
        <v>258</v>
      </c>
      <c r="M22" s="21">
        <v>180</v>
      </c>
      <c r="R22" s="12"/>
      <c r="S22" s="9"/>
      <c r="U22" s="12"/>
      <c r="X22" s="15"/>
      <c r="AE22" s="16"/>
      <c r="BH22" s="9"/>
    </row>
    <row r="23" spans="1:60">
      <c r="A23" s="9"/>
      <c r="B23" s="9"/>
      <c r="E23" s="21">
        <f t="shared" si="0"/>
        <v>23</v>
      </c>
      <c r="F23" s="9" t="s">
        <v>259</v>
      </c>
      <c r="M23" s="21">
        <v>0</v>
      </c>
      <c r="R23" s="12"/>
      <c r="S23" s="9"/>
      <c r="U23" s="12"/>
      <c r="X23" s="15"/>
      <c r="AE23" s="16"/>
      <c r="BH23" s="9"/>
    </row>
    <row r="24" spans="1:60">
      <c r="A24" s="9"/>
      <c r="B24" s="9"/>
      <c r="E24" s="21">
        <f t="shared" si="0"/>
        <v>24</v>
      </c>
      <c r="F24" s="9" t="s">
        <v>260</v>
      </c>
      <c r="K24" s="9" t="s">
        <v>138</v>
      </c>
      <c r="M24" s="21">
        <v>5</v>
      </c>
      <c r="R24" s="12"/>
      <c r="S24" s="9"/>
      <c r="U24" s="12"/>
      <c r="X24" s="15"/>
      <c r="AE24" s="16"/>
      <c r="BH24" s="9"/>
    </row>
    <row r="25" spans="1:60">
      <c r="A25" s="9"/>
      <c r="B25" s="9"/>
      <c r="E25" s="21">
        <f t="shared" si="0"/>
        <v>25</v>
      </c>
      <c r="F25" s="9" t="s">
        <v>257</v>
      </c>
      <c r="M25" s="21">
        <v>180</v>
      </c>
      <c r="R25" s="12"/>
      <c r="S25" s="9"/>
      <c r="U25" s="12"/>
      <c r="X25" s="15"/>
      <c r="AE25" s="16"/>
      <c r="BH25" s="9"/>
    </row>
    <row r="26" spans="1:60">
      <c r="A26" s="9"/>
      <c r="B26" s="9"/>
      <c r="E26" s="21">
        <f t="shared" si="0"/>
        <v>26</v>
      </c>
      <c r="F26" s="9" t="s">
        <v>102</v>
      </c>
      <c r="M26" s="21">
        <f>M13*10+2</f>
        <v>154002</v>
      </c>
      <c r="R26" s="12"/>
      <c r="S26" s="9"/>
      <c r="U26" s="12"/>
      <c r="X26" s="15"/>
      <c r="AE26" s="16"/>
      <c r="BH26" s="9"/>
    </row>
    <row r="27" spans="1:60">
      <c r="A27" s="9"/>
      <c r="B27" s="9"/>
      <c r="E27" s="21">
        <f t="shared" si="0"/>
        <v>27</v>
      </c>
      <c r="F27" s="9" t="s">
        <v>143</v>
      </c>
      <c r="M27" s="21">
        <f>M19</f>
        <v>154001</v>
      </c>
      <c r="R27" s="12"/>
      <c r="S27" s="9"/>
      <c r="U27" s="12"/>
      <c r="X27" s="15"/>
      <c r="AE27" s="16"/>
      <c r="BH27" s="9"/>
    </row>
    <row r="28" spans="1:60">
      <c r="A28" s="9"/>
      <c r="B28" s="9"/>
      <c r="E28" s="21">
        <f t="shared" si="0"/>
        <v>28</v>
      </c>
      <c r="F28" s="9" t="s">
        <v>128</v>
      </c>
      <c r="M28" s="21">
        <v>0</v>
      </c>
      <c r="R28" s="12"/>
      <c r="S28" s="9"/>
      <c r="U28" s="12"/>
      <c r="X28" s="15"/>
      <c r="AE28" s="16"/>
      <c r="BH28" s="9"/>
    </row>
    <row r="29" spans="1:60">
      <c r="A29" s="9"/>
      <c r="B29" s="9"/>
      <c r="E29" s="21">
        <f t="shared" si="0"/>
        <v>29</v>
      </c>
      <c r="F29" s="9" t="s">
        <v>30</v>
      </c>
      <c r="M29" s="21">
        <v>0</v>
      </c>
      <c r="R29" s="12"/>
      <c r="S29" s="9"/>
      <c r="U29" s="12"/>
      <c r="X29" s="15"/>
      <c r="AE29" s="16"/>
      <c r="BH29" s="9"/>
    </row>
    <row r="30" spans="1:60">
      <c r="A30" s="9"/>
      <c r="B30" s="9"/>
      <c r="R30" s="12"/>
      <c r="S30" s="9"/>
      <c r="U30" s="12"/>
      <c r="X30" s="15"/>
      <c r="AE30" s="16"/>
      <c r="BH30" s="9"/>
    </row>
    <row r="31" spans="1:60">
      <c r="A31" s="9"/>
    </row>
    <row r="32" spans="1:60">
      <c r="A32" s="9"/>
      <c r="B32" s="9"/>
    </row>
    <row r="33" spans="1:60">
      <c r="A33" s="9"/>
      <c r="B33" s="9"/>
    </row>
    <row r="34" spans="1:60">
      <c r="A34" s="9"/>
      <c r="B34" s="9"/>
    </row>
    <row r="35" spans="1:60">
      <c r="A35" s="9"/>
      <c r="B35" s="9"/>
      <c r="R35" s="12"/>
      <c r="S35" s="9"/>
      <c r="U35" s="12"/>
      <c r="X35" s="15"/>
      <c r="AE35" s="16"/>
      <c r="BH35" s="9"/>
    </row>
    <row r="36" spans="1:60">
      <c r="A36" s="21">
        <f>G38*H38</f>
        <v>8</v>
      </c>
      <c r="B36" s="9"/>
      <c r="C36" s="9"/>
      <c r="D36" s="9"/>
      <c r="R36" s="12"/>
      <c r="S36" s="9"/>
      <c r="U36" s="12"/>
      <c r="X36" s="15"/>
      <c r="AE36" s="16"/>
      <c r="BH36" s="9"/>
    </row>
    <row r="37" spans="1:60">
      <c r="A37" s="9" t="s">
        <v>231</v>
      </c>
      <c r="B37" s="21">
        <f>QUOTIENT( D37-1,G38)+1</f>
        <v>1</v>
      </c>
      <c r="C37" s="21">
        <f>D37-(B37-1)*G38</f>
        <v>1</v>
      </c>
      <c r="D37" s="21">
        <f>COUNT($D$31:$D36)+1</f>
        <v>1</v>
      </c>
      <c r="R37" s="12"/>
      <c r="S37" s="9"/>
      <c r="U37" s="12"/>
      <c r="X37" s="15"/>
      <c r="AE37" s="16"/>
      <c r="BH37" s="9"/>
    </row>
    <row r="38" spans="1:60">
      <c r="A38" s="9"/>
      <c r="B38" s="9"/>
      <c r="E38" s="21">
        <f>ROW(E38)</f>
        <v>38</v>
      </c>
      <c r="F38" s="9" t="s">
        <v>93</v>
      </c>
      <c r="G38" s="21">
        <v>8</v>
      </c>
      <c r="H38" s="21">
        <v>1</v>
      </c>
      <c r="J38" s="21">
        <v>15500</v>
      </c>
      <c r="M38" s="21">
        <f>J38+D37</f>
        <v>15501</v>
      </c>
      <c r="R38" s="12"/>
      <c r="S38" s="9"/>
      <c r="U38" s="12"/>
      <c r="X38" s="15"/>
      <c r="AE38" s="16"/>
      <c r="BH38" s="9"/>
    </row>
    <row r="39" spans="1:60">
      <c r="A39" s="9"/>
      <c r="B39" s="9"/>
      <c r="E39" s="21">
        <f t="shared" ref="E39:E59" si="1">ROW(E39)</f>
        <v>39</v>
      </c>
      <c r="F39" s="9" t="s">
        <v>143</v>
      </c>
      <c r="M39" s="21">
        <v>15400</v>
      </c>
      <c r="R39" s="12"/>
      <c r="S39" s="9"/>
      <c r="U39" s="12"/>
      <c r="X39" s="15"/>
      <c r="AE39" s="16"/>
      <c r="BH39" s="9"/>
    </row>
    <row r="40" spans="1:60">
      <c r="A40" s="9"/>
      <c r="B40" s="9"/>
      <c r="E40" s="21">
        <f t="shared" si="1"/>
        <v>40</v>
      </c>
      <c r="F40" s="9" t="s">
        <v>128</v>
      </c>
      <c r="M40" s="21">
        <v>0</v>
      </c>
      <c r="R40" s="12"/>
      <c r="S40" s="9"/>
      <c r="U40" s="12"/>
      <c r="X40" s="15"/>
      <c r="AE40" s="16"/>
      <c r="BH40" s="9"/>
    </row>
    <row r="41" spans="1:60">
      <c r="A41" s="9"/>
      <c r="B41" s="9"/>
      <c r="E41" s="21">
        <f t="shared" si="1"/>
        <v>41</v>
      </c>
      <c r="F41" s="9" t="s">
        <v>96</v>
      </c>
      <c r="M41" s="21" t="s">
        <v>263</v>
      </c>
      <c r="R41" s="12"/>
      <c r="S41" s="9"/>
      <c r="U41" s="12"/>
      <c r="X41" s="15"/>
      <c r="AE41" s="16"/>
      <c r="BH41" s="9"/>
    </row>
    <row r="42" spans="1:60">
      <c r="A42" s="9"/>
      <c r="B42" s="9"/>
      <c r="E42" s="21">
        <f t="shared" si="1"/>
        <v>42</v>
      </c>
      <c r="F42" s="9" t="s">
        <v>119</v>
      </c>
      <c r="M42" s="21" t="s">
        <v>246</v>
      </c>
      <c r="R42" s="12"/>
      <c r="S42" s="9"/>
      <c r="U42" s="12"/>
      <c r="X42" s="15"/>
      <c r="AE42" s="16"/>
      <c r="BH42" s="9"/>
    </row>
    <row r="43" spans="1:60">
      <c r="A43" s="9"/>
      <c r="B43" s="9"/>
      <c r="E43" s="21">
        <f t="shared" si="1"/>
        <v>43</v>
      </c>
      <c r="F43" s="9" t="s">
        <v>145</v>
      </c>
      <c r="K43" s="9" t="s">
        <v>138</v>
      </c>
      <c r="M43" s="21">
        <v>2</v>
      </c>
      <c r="R43" s="12"/>
      <c r="S43" s="9"/>
      <c r="U43" s="12"/>
      <c r="X43" s="15"/>
      <c r="AE43" s="16"/>
      <c r="BH43" s="9"/>
    </row>
    <row r="44" spans="1:60">
      <c r="A44" s="9"/>
      <c r="B44" s="9"/>
      <c r="E44" s="21">
        <f t="shared" si="1"/>
        <v>44</v>
      </c>
      <c r="F44" s="9" t="s">
        <v>110</v>
      </c>
      <c r="M44" s="21">
        <v>3</v>
      </c>
      <c r="R44" s="12"/>
      <c r="S44" s="9"/>
      <c r="U44" s="12"/>
      <c r="X44" s="15"/>
      <c r="AE44" s="16"/>
      <c r="BH44" s="9"/>
    </row>
    <row r="45" spans="1:60">
      <c r="A45" s="9"/>
      <c r="B45" s="9"/>
      <c r="E45" s="21">
        <f t="shared" si="1"/>
        <v>45</v>
      </c>
      <c r="F45" s="9" t="s">
        <v>30</v>
      </c>
      <c r="M45" s="21">
        <v>3</v>
      </c>
      <c r="R45" s="12"/>
      <c r="S45" s="9"/>
      <c r="U45" s="12"/>
      <c r="X45" s="15"/>
      <c r="AE45" s="16"/>
      <c r="BH45" s="9"/>
    </row>
    <row r="46" spans="1:60">
      <c r="A46" s="9"/>
      <c r="B46" s="9"/>
      <c r="E46" s="21">
        <f t="shared" si="1"/>
        <v>46</v>
      </c>
      <c r="F46" s="9" t="s">
        <v>261</v>
      </c>
      <c r="M46" s="21">
        <v>1.5</v>
      </c>
      <c r="R46" s="12"/>
      <c r="S46" s="9"/>
      <c r="U46" s="12"/>
      <c r="X46" s="15"/>
      <c r="AE46" s="16"/>
      <c r="BH46" s="9"/>
    </row>
    <row r="47" spans="1:60">
      <c r="A47" s="9"/>
      <c r="B47" s="9"/>
      <c r="E47" s="21">
        <f t="shared" si="1"/>
        <v>47</v>
      </c>
      <c r="F47" s="9" t="s">
        <v>31</v>
      </c>
      <c r="G47" s="21">
        <v>45</v>
      </c>
      <c r="L47" s="9" t="s">
        <v>135</v>
      </c>
      <c r="M47" s="21">
        <f>G47*D37</f>
        <v>45</v>
      </c>
      <c r="R47" s="12"/>
      <c r="S47" s="9"/>
      <c r="U47" s="12"/>
      <c r="X47" s="15"/>
      <c r="AE47" s="16"/>
      <c r="BH47" s="9"/>
    </row>
    <row r="48" spans="1:60">
      <c r="A48" s="9"/>
      <c r="B48" s="9"/>
      <c r="E48" s="21">
        <f t="shared" si="1"/>
        <v>48</v>
      </c>
      <c r="F48" s="9" t="s">
        <v>112</v>
      </c>
      <c r="L48" s="9" t="s">
        <v>135</v>
      </c>
      <c r="M48" s="21">
        <v>85.94</v>
      </c>
      <c r="R48" s="12"/>
      <c r="S48" s="9"/>
      <c r="U48" s="12"/>
      <c r="X48" s="15"/>
      <c r="AE48" s="16"/>
      <c r="BH48" s="9"/>
    </row>
    <row r="49" spans="1:60" s="21" customFormat="1">
      <c r="A49" s="9"/>
      <c r="B49" s="9"/>
      <c r="E49" s="21">
        <f t="shared" si="1"/>
        <v>49</v>
      </c>
      <c r="F49" s="9" t="s">
        <v>117</v>
      </c>
      <c r="J49" s="9"/>
      <c r="K49" s="9" t="s">
        <v>138</v>
      </c>
      <c r="L49" s="9"/>
      <c r="M49" s="21">
        <v>2</v>
      </c>
      <c r="N49" s="9"/>
      <c r="O49" s="9"/>
      <c r="P49" s="9"/>
      <c r="Q49" s="9"/>
      <c r="R49" s="12"/>
      <c r="S49" s="9"/>
      <c r="T49" s="9"/>
      <c r="U49" s="12"/>
      <c r="V49" s="12"/>
      <c r="W49" s="12"/>
      <c r="X49" s="15"/>
      <c r="Y49" s="15"/>
      <c r="Z49" s="15"/>
      <c r="AA49" s="15"/>
      <c r="AB49" s="15"/>
      <c r="AC49" s="15"/>
      <c r="AD49" s="15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</row>
    <row r="50" spans="1:60" s="21" customFormat="1">
      <c r="A50" s="9"/>
      <c r="B50" s="9"/>
      <c r="E50" s="21">
        <f t="shared" si="1"/>
        <v>50</v>
      </c>
      <c r="F50" s="9" t="s">
        <v>147</v>
      </c>
      <c r="J50" s="9"/>
      <c r="K50" s="9"/>
      <c r="L50" s="9"/>
      <c r="M50" s="21">
        <v>10000</v>
      </c>
      <c r="N50" s="9"/>
      <c r="O50" s="9"/>
      <c r="P50" s="9"/>
      <c r="Q50" s="9"/>
      <c r="R50" s="12"/>
      <c r="S50" s="9"/>
      <c r="T50" s="9"/>
      <c r="U50" s="12"/>
      <c r="V50" s="12"/>
      <c r="W50" s="12"/>
      <c r="X50" s="15"/>
      <c r="Y50" s="15"/>
      <c r="Z50" s="15"/>
      <c r="AA50" s="15"/>
      <c r="AB50" s="15"/>
      <c r="AC50" s="15"/>
      <c r="AD50" s="15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</row>
    <row r="51" spans="1:60" s="21" customFormat="1">
      <c r="A51" s="9"/>
      <c r="B51" s="9"/>
      <c r="E51" s="21">
        <f t="shared" si="1"/>
        <v>51</v>
      </c>
      <c r="F51" s="9" t="s">
        <v>118</v>
      </c>
      <c r="J51" s="9"/>
      <c r="K51" s="9"/>
      <c r="L51" s="9"/>
      <c r="M51" s="21" t="b">
        <v>1</v>
      </c>
      <c r="N51" s="9"/>
      <c r="O51" s="9"/>
      <c r="P51" s="9"/>
      <c r="Q51" s="9"/>
      <c r="R51" s="12"/>
      <c r="S51" s="9"/>
      <c r="T51" s="9"/>
      <c r="U51" s="12"/>
      <c r="V51" s="12"/>
      <c r="W51" s="12"/>
      <c r="X51" s="15"/>
      <c r="Y51" s="15"/>
      <c r="Z51" s="15"/>
      <c r="AA51" s="15"/>
      <c r="AB51" s="15"/>
      <c r="AC51" s="15"/>
      <c r="AD51" s="15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</row>
    <row r="52" spans="1:60">
      <c r="A52" s="9"/>
      <c r="B52" s="9"/>
      <c r="E52" s="21">
        <f>ROW(E52)</f>
        <v>52</v>
      </c>
      <c r="F52" s="9" t="s">
        <v>102</v>
      </c>
      <c r="J52" s="21"/>
      <c r="M52" s="21">
        <f>M38*10+9</f>
        <v>155019</v>
      </c>
      <c r="R52" s="12"/>
      <c r="S52" s="9"/>
      <c r="U52" s="12"/>
      <c r="X52" s="15"/>
      <c r="AE52" s="16"/>
      <c r="BH52" s="9"/>
    </row>
    <row r="53" spans="1:60">
      <c r="A53" s="9"/>
      <c r="B53" s="9"/>
      <c r="E53" s="21">
        <f t="shared" si="1"/>
        <v>53</v>
      </c>
      <c r="F53" s="9" t="s">
        <v>143</v>
      </c>
      <c r="M53" s="21">
        <f>M38</f>
        <v>15501</v>
      </c>
      <c r="R53" s="12"/>
      <c r="S53" s="9"/>
      <c r="U53" s="12"/>
      <c r="X53" s="15"/>
      <c r="AE53" s="16"/>
      <c r="BH53" s="9"/>
    </row>
    <row r="54" spans="1:60">
      <c r="A54" s="9"/>
      <c r="B54" s="9"/>
      <c r="E54" s="21">
        <f t="shared" si="1"/>
        <v>54</v>
      </c>
      <c r="F54" s="9" t="s">
        <v>127</v>
      </c>
      <c r="M54" s="21">
        <v>90</v>
      </c>
      <c r="R54" s="12"/>
      <c r="S54" s="9"/>
      <c r="U54" s="12"/>
      <c r="X54" s="15"/>
      <c r="AE54" s="16"/>
      <c r="BH54" s="9"/>
    </row>
    <row r="55" spans="1:60">
      <c r="A55" s="9"/>
      <c r="B55" s="9"/>
      <c r="E55" s="21">
        <f t="shared" si="1"/>
        <v>55</v>
      </c>
      <c r="F55" s="9" t="s">
        <v>143</v>
      </c>
      <c r="M55" s="21">
        <f>M52</f>
        <v>155019</v>
      </c>
      <c r="R55" s="12"/>
      <c r="S55" s="9"/>
      <c r="U55" s="12"/>
      <c r="X55" s="15"/>
      <c r="AE55" s="16"/>
      <c r="BH55" s="9"/>
    </row>
    <row r="56" spans="1:60">
      <c r="A56" s="9"/>
      <c r="B56" s="9"/>
      <c r="E56" s="21">
        <f t="shared" si="1"/>
        <v>56</v>
      </c>
      <c r="F56" s="9" t="s">
        <v>128</v>
      </c>
      <c r="M56" s="21">
        <v>0</v>
      </c>
      <c r="R56" s="12"/>
      <c r="S56" s="9"/>
      <c r="U56" s="12"/>
      <c r="X56" s="15"/>
      <c r="AE56" s="16"/>
      <c r="BH56" s="9"/>
    </row>
    <row r="57" spans="1:60">
      <c r="A57" s="9"/>
      <c r="B57" s="9"/>
      <c r="E57" s="21">
        <f t="shared" si="1"/>
        <v>57</v>
      </c>
      <c r="F57" s="9" t="s">
        <v>35</v>
      </c>
      <c r="M57" s="21">
        <v>20</v>
      </c>
      <c r="R57" s="12"/>
      <c r="S57" s="9"/>
      <c r="U57" s="12"/>
      <c r="X57" s="15"/>
      <c r="AE57" s="16"/>
      <c r="BH57" s="9"/>
    </row>
    <row r="58" spans="1:60">
      <c r="A58" s="9"/>
      <c r="B58" s="9"/>
      <c r="E58" s="21">
        <f t="shared" si="1"/>
        <v>58</v>
      </c>
      <c r="F58" s="9" t="s">
        <v>30</v>
      </c>
      <c r="M58" s="21">
        <v>0</v>
      </c>
      <c r="R58" s="12"/>
      <c r="S58" s="9"/>
      <c r="U58" s="12"/>
      <c r="X58" s="15"/>
      <c r="AE58" s="16"/>
      <c r="BH58" s="9"/>
    </row>
    <row r="59" spans="1:60">
      <c r="A59" s="9"/>
      <c r="B59" s="9"/>
      <c r="E59" s="21">
        <f t="shared" si="1"/>
        <v>59</v>
      </c>
      <c r="F59" s="9" t="s">
        <v>31</v>
      </c>
      <c r="L59" s="9" t="s">
        <v>135</v>
      </c>
      <c r="M59" s="21">
        <v>0</v>
      </c>
      <c r="R59" s="12"/>
      <c r="S59" s="9"/>
      <c r="U59" s="12"/>
      <c r="X59" s="15"/>
      <c r="AE59" s="16"/>
      <c r="BH59" s="9"/>
    </row>
    <row r="60" spans="1:60">
      <c r="A60" s="9"/>
      <c r="B60" s="9"/>
      <c r="E60" s="21">
        <f>ROW(E60)</f>
        <v>60</v>
      </c>
      <c r="F60" s="9" t="s">
        <v>171</v>
      </c>
      <c r="M60" s="21">
        <f>J38</f>
        <v>15500</v>
      </c>
      <c r="R60" s="12"/>
      <c r="S60" s="9"/>
      <c r="U60" s="12"/>
      <c r="X60" s="15"/>
      <c r="AE60" s="16"/>
      <c r="BH60" s="9"/>
    </row>
    <row r="61" spans="1:60" s="21" customFormat="1">
      <c r="A61" s="9" t="s">
        <v>231</v>
      </c>
      <c r="B61" s="9">
        <f t="shared" ref="B61" si="2">QUOTIENT( D61-1,G62)+1</f>
        <v>1</v>
      </c>
      <c r="C61" s="21">
        <f t="shared" ref="C61" si="3">D61-(B61-1)*G62</f>
        <v>2</v>
      </c>
      <c r="D61" s="21">
        <f>COUNT($D$31:$D60)+1</f>
        <v>2</v>
      </c>
      <c r="F61" s="9"/>
      <c r="J61" s="9"/>
      <c r="K61" s="9"/>
      <c r="L61" s="9"/>
      <c r="N61" s="9"/>
      <c r="O61" s="9"/>
      <c r="P61" s="9"/>
      <c r="Q61" s="9"/>
      <c r="R61" s="12"/>
      <c r="S61" s="9"/>
      <c r="T61" s="9"/>
      <c r="U61" s="12"/>
      <c r="V61" s="12"/>
      <c r="W61" s="12"/>
      <c r="X61" s="15"/>
      <c r="Y61" s="15"/>
      <c r="Z61" s="15"/>
      <c r="AA61" s="15"/>
      <c r="AB61" s="15"/>
      <c r="AC61" s="15"/>
      <c r="AD61" s="15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16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</row>
    <row r="62" spans="1:60" s="21" customFormat="1">
      <c r="A62" s="9"/>
      <c r="E62" s="21">
        <f t="shared" ref="E62:E125" si="4">ROW(E62)</f>
        <v>62</v>
      </c>
      <c r="F62" s="9" t="s">
        <v>93</v>
      </c>
      <c r="G62" s="21">
        <v>8</v>
      </c>
      <c r="H62" s="21">
        <v>1</v>
      </c>
      <c r="J62" s="9">
        <v>15500</v>
      </c>
      <c r="K62" s="9"/>
      <c r="L62" s="9"/>
      <c r="M62" s="21">
        <f t="shared" ref="M62" si="5">J62+D61</f>
        <v>15502</v>
      </c>
      <c r="N62" s="9"/>
      <c r="O62" s="9"/>
      <c r="P62" s="9"/>
      <c r="Q62" s="9"/>
      <c r="R62" s="12"/>
      <c r="S62" s="9"/>
      <c r="T62" s="9"/>
      <c r="U62" s="12"/>
      <c r="V62" s="12"/>
      <c r="W62" s="12"/>
      <c r="X62" s="15"/>
      <c r="Y62" s="15"/>
      <c r="Z62" s="15"/>
      <c r="AA62" s="15"/>
      <c r="AB62" s="15"/>
      <c r="AC62" s="15"/>
      <c r="AD62" s="15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16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</row>
    <row r="63" spans="1:60" s="21" customFormat="1">
      <c r="A63" s="9"/>
      <c r="B63" s="9"/>
      <c r="E63" s="21">
        <f t="shared" si="4"/>
        <v>63</v>
      </c>
      <c r="F63" s="9" t="s">
        <v>143</v>
      </c>
      <c r="J63" s="9"/>
      <c r="K63" s="9"/>
      <c r="L63" s="9"/>
      <c r="M63" s="21">
        <v>15400</v>
      </c>
      <c r="N63" s="9"/>
      <c r="O63" s="9"/>
      <c r="P63" s="9"/>
      <c r="Q63" s="9"/>
      <c r="R63" s="12"/>
      <c r="S63" s="9"/>
      <c r="T63" s="9"/>
      <c r="U63" s="12"/>
      <c r="V63" s="12"/>
      <c r="W63" s="12"/>
      <c r="X63" s="15"/>
      <c r="Y63" s="15"/>
      <c r="Z63" s="15"/>
      <c r="AA63" s="15"/>
      <c r="AB63" s="15"/>
      <c r="AC63" s="15"/>
      <c r="AD63" s="15"/>
      <c r="AE63" s="16"/>
      <c r="AF63" s="16"/>
      <c r="AG63" s="16"/>
      <c r="AH63" s="16"/>
      <c r="AI63" s="16"/>
      <c r="AJ63" s="16"/>
      <c r="AK63" s="16"/>
      <c r="AL63" s="16"/>
      <c r="AM63" s="16"/>
      <c r="AN63" s="16"/>
      <c r="AO63" s="16"/>
      <c r="AP63" s="16"/>
      <c r="AQ63" s="16"/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  <c r="BC63" s="16"/>
      <c r="BD63" s="16"/>
      <c r="BE63" s="16"/>
      <c r="BF63" s="16"/>
      <c r="BG63" s="16"/>
    </row>
    <row r="64" spans="1:60" s="21" customFormat="1">
      <c r="A64" s="9"/>
      <c r="B64" s="9"/>
      <c r="E64" s="21">
        <f t="shared" si="4"/>
        <v>64</v>
      </c>
      <c r="F64" s="9" t="s">
        <v>128</v>
      </c>
      <c r="J64" s="9"/>
      <c r="K64" s="9"/>
      <c r="L64" s="9"/>
      <c r="M64" s="21">
        <v>0</v>
      </c>
      <c r="N64" s="9"/>
      <c r="O64" s="9"/>
      <c r="P64" s="9"/>
      <c r="Q64" s="9"/>
      <c r="R64" s="12"/>
      <c r="S64" s="9"/>
      <c r="T64" s="9"/>
      <c r="U64" s="12"/>
      <c r="V64" s="12"/>
      <c r="W64" s="12"/>
      <c r="X64" s="15"/>
      <c r="Y64" s="15"/>
      <c r="Z64" s="15"/>
      <c r="AA64" s="15"/>
      <c r="AB64" s="15"/>
      <c r="AC64" s="15"/>
      <c r="AD64" s="15"/>
      <c r="AE64" s="16"/>
      <c r="AF64" s="16"/>
      <c r="AG64" s="16"/>
      <c r="AH64" s="16"/>
      <c r="AI64" s="16"/>
      <c r="AJ64" s="16"/>
      <c r="AK64" s="16"/>
      <c r="AL64" s="16"/>
      <c r="AM64" s="16"/>
      <c r="AN64" s="16"/>
      <c r="AO64" s="16"/>
      <c r="AP64" s="16"/>
      <c r="AQ64" s="16"/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  <c r="BC64" s="16"/>
      <c r="BD64" s="16"/>
      <c r="BE64" s="16"/>
      <c r="BF64" s="16"/>
      <c r="BG64" s="16"/>
    </row>
    <row r="65" spans="1:59" s="21" customFormat="1">
      <c r="A65" s="9"/>
      <c r="B65" s="9"/>
      <c r="E65" s="21">
        <f t="shared" si="4"/>
        <v>65</v>
      </c>
      <c r="F65" s="9" t="s">
        <v>29</v>
      </c>
      <c r="J65" s="9"/>
      <c r="K65" s="9"/>
      <c r="L65" s="9"/>
      <c r="M65" s="21" t="s">
        <v>146</v>
      </c>
      <c r="N65" s="9"/>
      <c r="O65" s="9"/>
      <c r="P65" s="9"/>
      <c r="Q65" s="9"/>
      <c r="R65" s="12"/>
      <c r="S65" s="9"/>
      <c r="T65" s="9"/>
      <c r="U65" s="12"/>
      <c r="V65" s="12"/>
      <c r="W65" s="12"/>
      <c r="X65" s="15"/>
      <c r="Y65" s="15"/>
      <c r="Z65" s="15"/>
      <c r="AA65" s="15"/>
      <c r="AB65" s="15"/>
      <c r="AC65" s="15"/>
      <c r="AD65" s="15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</row>
    <row r="66" spans="1:59" s="21" customFormat="1">
      <c r="A66" s="9"/>
      <c r="B66" s="9"/>
      <c r="E66" s="21">
        <f t="shared" si="4"/>
        <v>66</v>
      </c>
      <c r="F66" s="9" t="s">
        <v>119</v>
      </c>
      <c r="J66" s="9"/>
      <c r="K66" s="9"/>
      <c r="L66" s="9"/>
      <c r="M66" s="21" t="s">
        <v>245</v>
      </c>
      <c r="N66" s="9"/>
      <c r="O66" s="9"/>
      <c r="P66" s="9"/>
      <c r="Q66" s="9"/>
      <c r="R66" s="12"/>
      <c r="S66" s="9"/>
      <c r="T66" s="9"/>
      <c r="U66" s="12"/>
      <c r="V66" s="12"/>
      <c r="W66" s="12"/>
      <c r="X66" s="15"/>
      <c r="Y66" s="15"/>
      <c r="Z66" s="15"/>
      <c r="AA66" s="15"/>
      <c r="AB66" s="15"/>
      <c r="AC66" s="15"/>
      <c r="AD66" s="15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</row>
    <row r="67" spans="1:59" s="21" customFormat="1">
      <c r="A67" s="9"/>
      <c r="B67" s="9"/>
      <c r="E67" s="21">
        <f t="shared" si="4"/>
        <v>67</v>
      </c>
      <c r="F67" s="9" t="s">
        <v>99</v>
      </c>
      <c r="J67" s="9"/>
      <c r="K67" s="9" t="s">
        <v>138</v>
      </c>
      <c r="L67" s="9"/>
      <c r="M67" s="21">
        <v>2</v>
      </c>
      <c r="N67" s="9"/>
      <c r="O67" s="9"/>
      <c r="P67" s="9"/>
      <c r="Q67" s="9"/>
      <c r="R67" s="12"/>
      <c r="S67" s="9"/>
      <c r="T67" s="9"/>
      <c r="U67" s="12"/>
      <c r="V67" s="12"/>
      <c r="W67" s="12"/>
      <c r="X67" s="15"/>
      <c r="Y67" s="15"/>
      <c r="Z67" s="15"/>
      <c r="AA67" s="15"/>
      <c r="AB67" s="15"/>
      <c r="AC67" s="15"/>
      <c r="AD67" s="15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</row>
    <row r="68" spans="1:59" s="21" customFormat="1">
      <c r="A68" s="9"/>
      <c r="B68" s="9"/>
      <c r="E68" s="21">
        <f t="shared" si="4"/>
        <v>68</v>
      </c>
      <c r="F68" s="9" t="s">
        <v>110</v>
      </c>
      <c r="J68" s="9"/>
      <c r="K68" s="9"/>
      <c r="L68" s="9"/>
      <c r="M68" s="21">
        <v>3</v>
      </c>
      <c r="N68" s="9"/>
      <c r="O68" s="9"/>
      <c r="P68" s="9"/>
      <c r="Q68" s="9"/>
      <c r="R68" s="12"/>
      <c r="S68" s="9"/>
      <c r="T68" s="9"/>
      <c r="U68" s="12"/>
      <c r="V68" s="12"/>
      <c r="W68" s="12"/>
      <c r="X68" s="15"/>
      <c r="Y68" s="15"/>
      <c r="Z68" s="15"/>
      <c r="AA68" s="15"/>
      <c r="AB68" s="15"/>
      <c r="AC68" s="15"/>
      <c r="AD68" s="15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</row>
    <row r="69" spans="1:59" s="21" customFormat="1">
      <c r="A69" s="9"/>
      <c r="B69" s="9"/>
      <c r="E69" s="21">
        <f t="shared" si="4"/>
        <v>69</v>
      </c>
      <c r="F69" s="9" t="s">
        <v>30</v>
      </c>
      <c r="J69" s="9"/>
      <c r="K69" s="9"/>
      <c r="L69" s="9"/>
      <c r="M69" s="21">
        <v>3</v>
      </c>
      <c r="N69" s="9"/>
      <c r="O69" s="9"/>
      <c r="P69" s="9"/>
      <c r="Q69" s="9"/>
      <c r="R69" s="12"/>
      <c r="S69" s="9"/>
      <c r="T69" s="9"/>
      <c r="U69" s="12"/>
      <c r="V69" s="12"/>
      <c r="W69" s="12"/>
      <c r="X69" s="15"/>
      <c r="Y69" s="15"/>
      <c r="Z69" s="15"/>
      <c r="AA69" s="15"/>
      <c r="AB69" s="15"/>
      <c r="AC69" s="15"/>
      <c r="AD69" s="15"/>
      <c r="AE69" s="16"/>
      <c r="AF69" s="16"/>
      <c r="AG69" s="16"/>
      <c r="AH69" s="16"/>
      <c r="AI69" s="16"/>
      <c r="AJ69" s="16"/>
      <c r="AK69" s="16"/>
      <c r="AL69" s="16"/>
      <c r="AM69" s="16"/>
      <c r="AN69" s="16"/>
      <c r="AO69" s="16"/>
      <c r="AP69" s="16"/>
      <c r="AQ69" s="16"/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  <c r="BC69" s="16"/>
      <c r="BD69" s="16"/>
      <c r="BE69" s="16"/>
      <c r="BF69" s="16"/>
      <c r="BG69" s="16"/>
    </row>
    <row r="70" spans="1:59" s="21" customFormat="1">
      <c r="A70" s="9"/>
      <c r="B70" s="9"/>
      <c r="E70" s="21">
        <f t="shared" si="4"/>
        <v>70</v>
      </c>
      <c r="F70" s="9" t="s">
        <v>116</v>
      </c>
      <c r="J70" s="9"/>
      <c r="K70" s="9"/>
      <c r="L70" s="9"/>
      <c r="M70" s="21">
        <v>1.5</v>
      </c>
      <c r="N70" s="9"/>
      <c r="O70" s="9"/>
      <c r="P70" s="9"/>
      <c r="Q70" s="9"/>
      <c r="R70" s="12"/>
      <c r="S70" s="9"/>
      <c r="T70" s="9"/>
      <c r="U70" s="12"/>
      <c r="V70" s="12"/>
      <c r="W70" s="12"/>
      <c r="X70" s="15"/>
      <c r="Y70" s="15"/>
      <c r="Z70" s="15"/>
      <c r="AA70" s="15"/>
      <c r="AB70" s="15"/>
      <c r="AC70" s="15"/>
      <c r="AD70" s="15"/>
      <c r="AE70" s="16"/>
      <c r="AF70" s="16"/>
      <c r="AG70" s="16"/>
      <c r="AH70" s="16"/>
      <c r="AI70" s="16"/>
      <c r="AJ70" s="16"/>
      <c r="AK70" s="16"/>
      <c r="AL70" s="16"/>
      <c r="AM70" s="16"/>
      <c r="AN70" s="16"/>
      <c r="AO70" s="16"/>
      <c r="AP70" s="16"/>
      <c r="AQ70" s="16"/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  <c r="BC70" s="16"/>
      <c r="BD70" s="16"/>
      <c r="BE70" s="16"/>
      <c r="BF70" s="16"/>
      <c r="BG70" s="16"/>
    </row>
    <row r="71" spans="1:59" s="21" customFormat="1">
      <c r="A71" s="9"/>
      <c r="B71" s="9"/>
      <c r="E71" s="21">
        <f t="shared" si="4"/>
        <v>71</v>
      </c>
      <c r="F71" s="9" t="s">
        <v>31</v>
      </c>
      <c r="G71" s="21">
        <v>45</v>
      </c>
      <c r="J71" s="9"/>
      <c r="K71" s="9"/>
      <c r="L71" s="9" t="s">
        <v>135</v>
      </c>
      <c r="M71" s="21">
        <f t="shared" ref="M71" si="6">G71*D61</f>
        <v>90</v>
      </c>
      <c r="N71" s="9"/>
      <c r="O71" s="9"/>
      <c r="P71" s="9"/>
      <c r="Q71" s="9"/>
      <c r="R71" s="12"/>
      <c r="S71" s="9"/>
      <c r="T71" s="9"/>
      <c r="U71" s="12"/>
      <c r="V71" s="12"/>
      <c r="W71" s="12"/>
      <c r="X71" s="15"/>
      <c r="Y71" s="15"/>
      <c r="Z71" s="15"/>
      <c r="AA71" s="15"/>
      <c r="AB71" s="15"/>
      <c r="AC71" s="15"/>
      <c r="AD71" s="15"/>
      <c r="AE71" s="16"/>
      <c r="AF71" s="16"/>
      <c r="AG71" s="16"/>
      <c r="AH71" s="16"/>
      <c r="AI71" s="16"/>
      <c r="AJ71" s="16"/>
      <c r="AK71" s="16"/>
      <c r="AL71" s="16"/>
      <c r="AM71" s="16"/>
      <c r="AN71" s="16"/>
      <c r="AO71" s="16"/>
      <c r="AP71" s="16"/>
      <c r="AQ71" s="16"/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  <c r="BC71" s="16"/>
      <c r="BD71" s="16"/>
      <c r="BE71" s="16"/>
      <c r="BF71" s="16"/>
      <c r="BG71" s="16"/>
    </row>
    <row r="72" spans="1:59" s="21" customFormat="1">
      <c r="A72" s="9"/>
      <c r="B72" s="9"/>
      <c r="E72" s="21">
        <f t="shared" si="4"/>
        <v>72</v>
      </c>
      <c r="F72" s="9" t="s">
        <v>112</v>
      </c>
      <c r="J72" s="9"/>
      <c r="K72" s="9"/>
      <c r="L72" s="9" t="s">
        <v>135</v>
      </c>
      <c r="M72" s="21">
        <v>85.94</v>
      </c>
      <c r="N72" s="9"/>
      <c r="O72" s="9"/>
      <c r="P72" s="9"/>
      <c r="Q72" s="9"/>
      <c r="R72" s="12"/>
      <c r="S72" s="9"/>
      <c r="T72" s="9"/>
      <c r="U72" s="12"/>
      <c r="V72" s="12"/>
      <c r="W72" s="12"/>
      <c r="X72" s="15"/>
      <c r="Y72" s="15"/>
      <c r="Z72" s="15"/>
      <c r="AA72" s="15"/>
      <c r="AB72" s="15"/>
      <c r="AC72" s="15"/>
      <c r="AD72" s="15"/>
      <c r="AE72" s="16"/>
      <c r="AF72" s="16"/>
      <c r="AG72" s="16"/>
      <c r="AH72" s="16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  <c r="BC72" s="16"/>
      <c r="BD72" s="16"/>
      <c r="BE72" s="16"/>
      <c r="BF72" s="16"/>
      <c r="BG72" s="16"/>
    </row>
    <row r="73" spans="1:59" s="21" customFormat="1">
      <c r="A73" s="9"/>
      <c r="B73" s="9"/>
      <c r="E73" s="21">
        <f t="shared" si="4"/>
        <v>73</v>
      </c>
      <c r="F73" s="9" t="s">
        <v>117</v>
      </c>
      <c r="J73" s="9"/>
      <c r="K73" s="9" t="s">
        <v>138</v>
      </c>
      <c r="L73" s="9"/>
      <c r="M73" s="21">
        <v>2</v>
      </c>
      <c r="N73" s="9"/>
      <c r="O73" s="9"/>
      <c r="P73" s="9"/>
      <c r="Q73" s="9"/>
      <c r="R73" s="12"/>
      <c r="S73" s="9"/>
      <c r="T73" s="9"/>
      <c r="U73" s="12"/>
      <c r="V73" s="12"/>
      <c r="W73" s="12"/>
      <c r="X73" s="15"/>
      <c r="Y73" s="15"/>
      <c r="Z73" s="15"/>
      <c r="AA73" s="15"/>
      <c r="AB73" s="15"/>
      <c r="AC73" s="15"/>
      <c r="AD73" s="15"/>
      <c r="AE73" s="16"/>
      <c r="AF73" s="16"/>
      <c r="AG73" s="16"/>
      <c r="AH73" s="16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  <c r="BC73" s="16"/>
      <c r="BD73" s="16"/>
      <c r="BE73" s="16"/>
      <c r="BF73" s="16"/>
      <c r="BG73" s="16"/>
    </row>
    <row r="74" spans="1:59" s="21" customFormat="1">
      <c r="A74" s="9"/>
      <c r="B74" s="9"/>
      <c r="E74" s="21">
        <f t="shared" si="4"/>
        <v>74</v>
      </c>
      <c r="F74" s="9" t="s">
        <v>126</v>
      </c>
      <c r="J74" s="9"/>
      <c r="K74" s="9"/>
      <c r="L74" s="9"/>
      <c r="M74" s="21">
        <v>10000</v>
      </c>
      <c r="N74" s="9"/>
      <c r="O74" s="9"/>
      <c r="P74" s="9"/>
      <c r="Q74" s="9"/>
      <c r="R74" s="12"/>
      <c r="S74" s="9"/>
      <c r="T74" s="9"/>
      <c r="U74" s="12"/>
      <c r="V74" s="12"/>
      <c r="W74" s="12"/>
      <c r="X74" s="15"/>
      <c r="Y74" s="15"/>
      <c r="Z74" s="15"/>
      <c r="AA74" s="15"/>
      <c r="AB74" s="15"/>
      <c r="AC74" s="15"/>
      <c r="AD74" s="15"/>
      <c r="AE74" s="16"/>
      <c r="AF74" s="16"/>
      <c r="AG74" s="16"/>
      <c r="AH74" s="16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  <c r="BC74" s="16"/>
      <c r="BD74" s="16"/>
      <c r="BE74" s="16"/>
      <c r="BF74" s="16"/>
      <c r="BG74" s="16"/>
    </row>
    <row r="75" spans="1:59" s="21" customFormat="1">
      <c r="A75" s="9"/>
      <c r="B75" s="9"/>
      <c r="E75" s="21">
        <f t="shared" si="4"/>
        <v>75</v>
      </c>
      <c r="F75" s="9" t="s">
        <v>118</v>
      </c>
      <c r="J75" s="9"/>
      <c r="K75" s="9"/>
      <c r="L75" s="9"/>
      <c r="M75" s="21" t="b">
        <v>1</v>
      </c>
      <c r="N75" s="9"/>
      <c r="O75" s="9"/>
      <c r="P75" s="9"/>
      <c r="Q75" s="9"/>
      <c r="R75" s="12"/>
      <c r="S75" s="9"/>
      <c r="T75" s="9"/>
      <c r="U75" s="12"/>
      <c r="V75" s="12"/>
      <c r="W75" s="12"/>
      <c r="X75" s="15"/>
      <c r="Y75" s="15"/>
      <c r="Z75" s="15"/>
      <c r="AA75" s="15"/>
      <c r="AB75" s="15"/>
      <c r="AC75" s="15"/>
      <c r="AD75" s="15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</row>
    <row r="76" spans="1:59" s="21" customFormat="1">
      <c r="A76" s="9"/>
      <c r="B76" s="9"/>
      <c r="E76" s="21">
        <f t="shared" si="4"/>
        <v>76</v>
      </c>
      <c r="F76" s="9" t="s">
        <v>102</v>
      </c>
      <c r="J76" s="9"/>
      <c r="K76" s="9"/>
      <c r="L76" s="9"/>
      <c r="M76" s="21">
        <f t="shared" ref="M76" si="7">M62*10+9</f>
        <v>155029</v>
      </c>
      <c r="N76" s="9"/>
      <c r="O76" s="9"/>
      <c r="P76" s="9"/>
      <c r="Q76" s="9"/>
      <c r="R76" s="12"/>
      <c r="S76" s="9"/>
      <c r="T76" s="9"/>
      <c r="U76" s="12"/>
      <c r="V76" s="12"/>
      <c r="W76" s="12"/>
      <c r="X76" s="15"/>
      <c r="Y76" s="15"/>
      <c r="Z76" s="15"/>
      <c r="AA76" s="15"/>
      <c r="AB76" s="15"/>
      <c r="AC76" s="15"/>
      <c r="AD76" s="15"/>
      <c r="AE76" s="16"/>
      <c r="AF76" s="16"/>
      <c r="AG76" s="16"/>
      <c r="AH76" s="16"/>
      <c r="AI76" s="16"/>
      <c r="AJ76" s="16"/>
      <c r="AK76" s="16"/>
      <c r="AL76" s="16"/>
      <c r="AM76" s="16"/>
      <c r="AN76" s="16"/>
      <c r="AO76" s="16"/>
      <c r="AP76" s="16"/>
      <c r="AQ76" s="16"/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  <c r="BC76" s="16"/>
      <c r="BD76" s="16"/>
      <c r="BE76" s="16"/>
      <c r="BF76" s="16"/>
      <c r="BG76" s="16"/>
    </row>
    <row r="77" spans="1:59" s="21" customFormat="1">
      <c r="A77" s="9"/>
      <c r="E77" s="21">
        <f t="shared" si="4"/>
        <v>77</v>
      </c>
      <c r="F77" s="9" t="s">
        <v>143</v>
      </c>
      <c r="J77" s="9"/>
      <c r="K77" s="9"/>
      <c r="L77" s="9"/>
      <c r="M77" s="21">
        <f t="shared" ref="M77" si="8">M62</f>
        <v>15502</v>
      </c>
      <c r="N77" s="9"/>
      <c r="O77" s="9"/>
      <c r="P77" s="9"/>
      <c r="Q77" s="9"/>
      <c r="R77" s="12"/>
      <c r="S77" s="9"/>
      <c r="T77" s="9"/>
      <c r="U77" s="12"/>
      <c r="V77" s="12"/>
      <c r="W77" s="12"/>
      <c r="X77" s="15"/>
      <c r="Y77" s="15"/>
      <c r="Z77" s="15"/>
      <c r="AA77" s="15"/>
      <c r="AB77" s="15"/>
      <c r="AC77" s="15"/>
      <c r="AD77" s="15"/>
      <c r="AE77" s="16"/>
      <c r="AF77" s="16"/>
      <c r="AG77" s="16"/>
      <c r="AH77" s="16"/>
      <c r="AI77" s="16"/>
      <c r="AJ77" s="16"/>
      <c r="AK77" s="16"/>
      <c r="AL77" s="16"/>
      <c r="AM77" s="16"/>
      <c r="AN77" s="16"/>
      <c r="AO77" s="16"/>
      <c r="AP77" s="16"/>
      <c r="AQ77" s="16"/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  <c r="BC77" s="16"/>
      <c r="BD77" s="16"/>
      <c r="BE77" s="16"/>
      <c r="BF77" s="16"/>
      <c r="BG77" s="16"/>
    </row>
    <row r="78" spans="1:59" s="21" customFormat="1">
      <c r="A78" s="9"/>
      <c r="B78" s="9"/>
      <c r="E78" s="21">
        <f t="shared" si="4"/>
        <v>78</v>
      </c>
      <c r="F78" s="9" t="s">
        <v>127</v>
      </c>
      <c r="J78" s="9"/>
      <c r="K78" s="9"/>
      <c r="L78" s="9"/>
      <c r="M78" s="21">
        <v>90</v>
      </c>
      <c r="N78" s="9"/>
      <c r="O78" s="9"/>
      <c r="P78" s="9"/>
      <c r="Q78" s="9"/>
      <c r="R78" s="12"/>
      <c r="S78" s="9"/>
      <c r="T78" s="9"/>
      <c r="U78" s="12"/>
      <c r="V78" s="12"/>
      <c r="W78" s="12"/>
      <c r="X78" s="15"/>
      <c r="Y78" s="15"/>
      <c r="Z78" s="15"/>
      <c r="AA78" s="15"/>
      <c r="AB78" s="15"/>
      <c r="AC78" s="15"/>
      <c r="AD78" s="15"/>
      <c r="AE78" s="16"/>
      <c r="AF78" s="16"/>
      <c r="AG78" s="16"/>
      <c r="AH78" s="16"/>
      <c r="AI78" s="16"/>
      <c r="AJ78" s="16"/>
      <c r="AK78" s="16"/>
      <c r="AL78" s="16"/>
      <c r="AM78" s="16"/>
      <c r="AN78" s="16"/>
      <c r="AO78" s="16"/>
      <c r="AP78" s="16"/>
      <c r="AQ78" s="16"/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  <c r="BC78" s="16"/>
      <c r="BD78" s="16"/>
      <c r="BE78" s="16"/>
      <c r="BF78" s="16"/>
      <c r="BG78" s="16"/>
    </row>
    <row r="79" spans="1:59" s="21" customFormat="1">
      <c r="A79" s="9"/>
      <c r="B79" s="9"/>
      <c r="E79" s="21">
        <f t="shared" si="4"/>
        <v>79</v>
      </c>
      <c r="F79" s="9" t="s">
        <v>143</v>
      </c>
      <c r="J79" s="9"/>
      <c r="K79" s="9"/>
      <c r="L79" s="9"/>
      <c r="M79" s="21">
        <f t="shared" ref="M79" si="9">M76</f>
        <v>155029</v>
      </c>
      <c r="N79" s="9"/>
      <c r="O79" s="9"/>
      <c r="P79" s="9"/>
      <c r="Q79" s="9"/>
      <c r="R79" s="12"/>
      <c r="S79" s="9"/>
      <c r="T79" s="9"/>
      <c r="U79" s="12"/>
      <c r="V79" s="12"/>
      <c r="W79" s="12"/>
      <c r="X79" s="15"/>
      <c r="Y79" s="15"/>
      <c r="Z79" s="15"/>
      <c r="AA79" s="15"/>
      <c r="AB79" s="15"/>
      <c r="AC79" s="15"/>
      <c r="AD79" s="15"/>
      <c r="AE79" s="16"/>
      <c r="AF79" s="16"/>
      <c r="AG79" s="16"/>
      <c r="AH79" s="16"/>
      <c r="AI79" s="16"/>
      <c r="AJ79" s="16"/>
      <c r="AK79" s="16"/>
      <c r="AL79" s="16"/>
      <c r="AM79" s="16"/>
      <c r="AN79" s="16"/>
      <c r="AO79" s="16"/>
      <c r="AP79" s="16"/>
      <c r="AQ79" s="16"/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  <c r="BC79" s="16"/>
      <c r="BD79" s="16"/>
      <c r="BE79" s="16"/>
      <c r="BF79" s="16"/>
      <c r="BG79" s="16"/>
    </row>
    <row r="80" spans="1:59" s="21" customFormat="1">
      <c r="A80" s="9"/>
      <c r="B80" s="9"/>
      <c r="E80" s="21">
        <f t="shared" si="4"/>
        <v>80</v>
      </c>
      <c r="F80" s="9" t="s">
        <v>128</v>
      </c>
      <c r="J80" s="9"/>
      <c r="K80" s="9"/>
      <c r="L80" s="9"/>
      <c r="M80" s="21">
        <v>0</v>
      </c>
      <c r="N80" s="9"/>
      <c r="O80" s="9"/>
      <c r="P80" s="9"/>
      <c r="Q80" s="9"/>
      <c r="R80" s="12"/>
      <c r="S80" s="9"/>
      <c r="T80" s="9"/>
      <c r="U80" s="12"/>
      <c r="V80" s="12"/>
      <c r="W80" s="12"/>
      <c r="X80" s="15"/>
      <c r="Y80" s="15"/>
      <c r="Z80" s="15"/>
      <c r="AA80" s="15"/>
      <c r="AB80" s="15"/>
      <c r="AC80" s="15"/>
      <c r="AD80" s="15"/>
      <c r="AE80" s="16"/>
      <c r="AF80" s="16"/>
      <c r="AG80" s="16"/>
      <c r="AH80" s="16"/>
      <c r="AI80" s="16"/>
      <c r="AJ80" s="16"/>
      <c r="AK80" s="16"/>
      <c r="AL80" s="16"/>
      <c r="AM80" s="16"/>
      <c r="AN80" s="16"/>
      <c r="AO80" s="16"/>
      <c r="AP80" s="16"/>
      <c r="AQ80" s="16"/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  <c r="BC80" s="16"/>
      <c r="BD80" s="16"/>
      <c r="BE80" s="16"/>
      <c r="BF80" s="16"/>
      <c r="BG80" s="16"/>
    </row>
    <row r="81" spans="1:59" s="21" customFormat="1">
      <c r="A81" s="9"/>
      <c r="B81" s="9"/>
      <c r="E81" s="21">
        <f t="shared" si="4"/>
        <v>81</v>
      </c>
      <c r="F81" s="9" t="s">
        <v>35</v>
      </c>
      <c r="J81" s="9"/>
      <c r="K81" s="9"/>
      <c r="L81" s="9"/>
      <c r="M81" s="21">
        <v>20</v>
      </c>
      <c r="N81" s="9"/>
      <c r="O81" s="9"/>
      <c r="P81" s="9"/>
      <c r="Q81" s="9"/>
      <c r="R81" s="12"/>
      <c r="S81" s="9"/>
      <c r="T81" s="9"/>
      <c r="U81" s="12"/>
      <c r="V81" s="12"/>
      <c r="W81" s="12"/>
      <c r="X81" s="15"/>
      <c r="Y81" s="15"/>
      <c r="Z81" s="15"/>
      <c r="AA81" s="15"/>
      <c r="AB81" s="15"/>
      <c r="AC81" s="15"/>
      <c r="AD81" s="15"/>
      <c r="AE81" s="16"/>
      <c r="AF81" s="16"/>
      <c r="AG81" s="16"/>
      <c r="AH81" s="16"/>
      <c r="AI81" s="16"/>
      <c r="AJ81" s="16"/>
      <c r="AK81" s="16"/>
      <c r="AL81" s="16"/>
      <c r="AM81" s="16"/>
      <c r="AN81" s="16"/>
      <c r="AO81" s="16"/>
      <c r="AP81" s="16"/>
      <c r="AQ81" s="16"/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  <c r="BC81" s="16"/>
      <c r="BD81" s="16"/>
      <c r="BE81" s="16"/>
      <c r="BF81" s="16"/>
      <c r="BG81" s="16"/>
    </row>
    <row r="82" spans="1:59" s="21" customFormat="1">
      <c r="A82" s="9"/>
      <c r="B82" s="9"/>
      <c r="E82" s="21">
        <f t="shared" si="4"/>
        <v>82</v>
      </c>
      <c r="F82" s="9" t="s">
        <v>30</v>
      </c>
      <c r="J82" s="9"/>
      <c r="K82" s="9"/>
      <c r="L82" s="9"/>
      <c r="M82" s="21">
        <v>0</v>
      </c>
      <c r="N82" s="9"/>
      <c r="O82" s="9"/>
      <c r="P82" s="9"/>
      <c r="Q82" s="9"/>
      <c r="R82" s="12"/>
      <c r="S82" s="9"/>
      <c r="T82" s="9"/>
      <c r="U82" s="12"/>
      <c r="V82" s="12"/>
      <c r="W82" s="12"/>
      <c r="X82" s="15"/>
      <c r="Y82" s="15"/>
      <c r="Z82" s="15"/>
      <c r="AA82" s="15"/>
      <c r="AB82" s="15"/>
      <c r="AC82" s="15"/>
      <c r="AD82" s="15"/>
      <c r="AE82" s="16"/>
      <c r="AF82" s="16"/>
      <c r="AG82" s="16"/>
      <c r="AH82" s="16"/>
      <c r="AI82" s="16"/>
      <c r="AJ82" s="16"/>
      <c r="AK82" s="16"/>
      <c r="AL82" s="16"/>
      <c r="AM82" s="16"/>
      <c r="AN82" s="16"/>
      <c r="AO82" s="16"/>
      <c r="AP82" s="16"/>
      <c r="AQ82" s="16"/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  <c r="BC82" s="16"/>
      <c r="BD82" s="16"/>
      <c r="BE82" s="16"/>
      <c r="BF82" s="16"/>
      <c r="BG82" s="16"/>
    </row>
    <row r="83" spans="1:59" s="21" customFormat="1">
      <c r="A83" s="9"/>
      <c r="B83" s="9"/>
      <c r="E83" s="21">
        <f t="shared" si="4"/>
        <v>83</v>
      </c>
      <c r="F83" s="9" t="s">
        <v>31</v>
      </c>
      <c r="J83" s="9"/>
      <c r="K83" s="9"/>
      <c r="L83" s="9" t="s">
        <v>135</v>
      </c>
      <c r="M83" s="21">
        <v>0</v>
      </c>
      <c r="N83" s="9"/>
      <c r="O83" s="9"/>
      <c r="P83" s="9"/>
      <c r="Q83" s="9"/>
      <c r="R83" s="12"/>
      <c r="S83" s="9"/>
      <c r="T83" s="9"/>
      <c r="U83" s="12"/>
      <c r="V83" s="12"/>
      <c r="W83" s="12"/>
      <c r="X83" s="15"/>
      <c r="Y83" s="15"/>
      <c r="Z83" s="15"/>
      <c r="AA83" s="15"/>
      <c r="AB83" s="15"/>
      <c r="AC83" s="15"/>
      <c r="AD83" s="15"/>
      <c r="AE83" s="16"/>
      <c r="AF83" s="16"/>
      <c r="AG83" s="16"/>
      <c r="AH83" s="16"/>
      <c r="AI83" s="16"/>
      <c r="AJ83" s="16"/>
      <c r="AK83" s="16"/>
      <c r="AL83" s="16"/>
      <c r="AM83" s="16"/>
      <c r="AN83" s="16"/>
      <c r="AO83" s="16"/>
      <c r="AP83" s="16"/>
      <c r="AQ83" s="16"/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  <c r="BC83" s="16"/>
      <c r="BD83" s="16"/>
      <c r="BE83" s="16"/>
      <c r="BF83" s="16"/>
      <c r="BG83" s="16"/>
    </row>
    <row r="84" spans="1:59" s="21" customFormat="1">
      <c r="A84" s="9"/>
      <c r="B84" s="9"/>
      <c r="E84" s="21">
        <f t="shared" si="4"/>
        <v>84</v>
      </c>
      <c r="F84" s="9" t="s">
        <v>171</v>
      </c>
      <c r="J84" s="9"/>
      <c r="K84" s="9"/>
      <c r="L84" s="9"/>
      <c r="M84" s="21">
        <f t="shared" ref="M84" si="10">J62</f>
        <v>15500</v>
      </c>
      <c r="N84" s="9"/>
      <c r="O84" s="9"/>
      <c r="P84" s="9"/>
      <c r="Q84" s="9"/>
      <c r="R84" s="12"/>
      <c r="S84" s="9"/>
      <c r="T84" s="9"/>
      <c r="U84" s="12"/>
      <c r="V84" s="12"/>
      <c r="W84" s="12"/>
      <c r="X84" s="15"/>
      <c r="Y84" s="15"/>
      <c r="Z84" s="15"/>
      <c r="AA84" s="15"/>
      <c r="AB84" s="15"/>
      <c r="AC84" s="15"/>
      <c r="AD84" s="15"/>
      <c r="AE84" s="16"/>
      <c r="AF84" s="16"/>
      <c r="AG84" s="16"/>
      <c r="AH84" s="16"/>
      <c r="AI84" s="16"/>
      <c r="AJ84" s="16"/>
      <c r="AK84" s="16"/>
      <c r="AL84" s="16"/>
      <c r="AM84" s="16"/>
      <c r="AN84" s="16"/>
      <c r="AO84" s="16"/>
      <c r="AP84" s="16"/>
      <c r="AQ84" s="16"/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  <c r="BC84" s="16"/>
      <c r="BD84" s="16"/>
      <c r="BE84" s="16"/>
      <c r="BF84" s="16"/>
      <c r="BG84" s="16"/>
    </row>
    <row r="85" spans="1:59" s="21" customFormat="1">
      <c r="A85" s="9" t="s">
        <v>231</v>
      </c>
      <c r="B85" s="9">
        <f t="shared" ref="B85" si="11">QUOTIENT( D85-1,G86)+1</f>
        <v>1</v>
      </c>
      <c r="C85" s="21">
        <f t="shared" ref="C85" si="12">D85-(B85-1)*G86</f>
        <v>3</v>
      </c>
      <c r="D85" s="21">
        <f>COUNT($D$31:$D84)+1</f>
        <v>3</v>
      </c>
      <c r="F85" s="9"/>
      <c r="J85" s="9"/>
      <c r="K85" s="9"/>
      <c r="L85" s="9"/>
      <c r="N85" s="9"/>
      <c r="O85" s="9"/>
      <c r="P85" s="9"/>
      <c r="Q85" s="9"/>
      <c r="R85" s="12"/>
      <c r="S85" s="9"/>
      <c r="T85" s="9"/>
      <c r="U85" s="12"/>
      <c r="V85" s="12"/>
      <c r="W85" s="12"/>
      <c r="X85" s="15"/>
      <c r="Y85" s="15"/>
      <c r="Z85" s="15"/>
      <c r="AA85" s="15"/>
      <c r="AB85" s="15"/>
      <c r="AC85" s="15"/>
      <c r="AD85" s="15"/>
      <c r="AE85" s="16"/>
      <c r="AF85" s="16"/>
      <c r="AG85" s="16"/>
      <c r="AH85" s="16"/>
      <c r="AI85" s="16"/>
      <c r="AJ85" s="16"/>
      <c r="AK85" s="16"/>
      <c r="AL85" s="16"/>
      <c r="AM85" s="16"/>
      <c r="AN85" s="16"/>
      <c r="AO85" s="16"/>
      <c r="AP85" s="16"/>
      <c r="AQ85" s="16"/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  <c r="BC85" s="16"/>
      <c r="BD85" s="16"/>
      <c r="BE85" s="16"/>
      <c r="BF85" s="16"/>
      <c r="BG85" s="16"/>
    </row>
    <row r="86" spans="1:59" s="21" customFormat="1">
      <c r="A86" s="9"/>
      <c r="B86" s="9"/>
      <c r="E86" s="21">
        <f t="shared" ref="E86" si="13">ROW(E86)</f>
        <v>86</v>
      </c>
      <c r="F86" s="9" t="s">
        <v>93</v>
      </c>
      <c r="G86" s="21">
        <v>8</v>
      </c>
      <c r="H86" s="21">
        <v>1</v>
      </c>
      <c r="J86" s="9">
        <v>15500</v>
      </c>
      <c r="K86" s="9"/>
      <c r="L86" s="9"/>
      <c r="M86" s="21">
        <f t="shared" ref="M86" si="14">J86+D85</f>
        <v>15503</v>
      </c>
      <c r="N86" s="9"/>
      <c r="O86" s="9"/>
      <c r="P86" s="9"/>
      <c r="Q86" s="9"/>
      <c r="R86" s="12"/>
      <c r="S86" s="9"/>
      <c r="T86" s="9"/>
      <c r="U86" s="12"/>
      <c r="V86" s="12"/>
      <c r="W86" s="12"/>
      <c r="X86" s="15"/>
      <c r="Y86" s="15"/>
      <c r="Z86" s="15"/>
      <c r="AA86" s="15"/>
      <c r="AB86" s="15"/>
      <c r="AC86" s="15"/>
      <c r="AD86" s="15"/>
      <c r="AE86" s="16"/>
      <c r="AF86" s="16"/>
      <c r="AG86" s="16"/>
      <c r="AH86" s="16"/>
      <c r="AI86" s="16"/>
      <c r="AJ86" s="16"/>
      <c r="AK86" s="16"/>
      <c r="AL86" s="16"/>
      <c r="AM86" s="16"/>
      <c r="AN86" s="16"/>
      <c r="AO86" s="16"/>
      <c r="AP86" s="16"/>
      <c r="AQ86" s="16"/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  <c r="BC86" s="16"/>
      <c r="BD86" s="16"/>
      <c r="BE86" s="16"/>
      <c r="BF86" s="16"/>
      <c r="BG86" s="16"/>
    </row>
    <row r="87" spans="1:59" s="21" customFormat="1">
      <c r="A87" s="9"/>
      <c r="B87" s="9"/>
      <c r="E87" s="21">
        <f t="shared" si="4"/>
        <v>87</v>
      </c>
      <c r="F87" s="9" t="s">
        <v>143</v>
      </c>
      <c r="J87" s="9"/>
      <c r="K87" s="9"/>
      <c r="L87" s="9"/>
      <c r="M87" s="21">
        <v>15400</v>
      </c>
      <c r="N87" s="9"/>
      <c r="O87" s="9"/>
      <c r="P87" s="9"/>
      <c r="Q87" s="9"/>
      <c r="R87" s="12"/>
      <c r="S87" s="9"/>
      <c r="T87" s="9"/>
      <c r="U87" s="12"/>
      <c r="V87" s="12"/>
      <c r="W87" s="12"/>
      <c r="X87" s="15"/>
      <c r="Y87" s="15"/>
      <c r="Z87" s="15"/>
      <c r="AA87" s="15"/>
      <c r="AB87" s="15"/>
      <c r="AC87" s="15"/>
      <c r="AD87" s="15"/>
      <c r="AE87" s="16"/>
      <c r="AF87" s="16"/>
      <c r="AG87" s="16"/>
      <c r="AH87" s="16"/>
      <c r="AI87" s="16"/>
      <c r="AJ87" s="16"/>
      <c r="AK87" s="16"/>
      <c r="AL87" s="16"/>
      <c r="AM87" s="16"/>
      <c r="AN87" s="16"/>
      <c r="AO87" s="16"/>
      <c r="AP87" s="16"/>
      <c r="AQ87" s="16"/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  <c r="BC87" s="16"/>
      <c r="BD87" s="16"/>
      <c r="BE87" s="16"/>
      <c r="BF87" s="16"/>
      <c r="BG87" s="16"/>
    </row>
    <row r="88" spans="1:59" s="21" customFormat="1">
      <c r="A88" s="9"/>
      <c r="B88" s="9"/>
      <c r="E88" s="21">
        <f t="shared" si="4"/>
        <v>88</v>
      </c>
      <c r="F88" s="9" t="s">
        <v>128</v>
      </c>
      <c r="J88" s="9"/>
      <c r="K88" s="9"/>
      <c r="L88" s="9"/>
      <c r="M88" s="21">
        <v>0</v>
      </c>
      <c r="N88" s="9"/>
      <c r="O88" s="9"/>
      <c r="P88" s="9"/>
      <c r="Q88" s="9"/>
      <c r="R88" s="12"/>
      <c r="S88" s="9"/>
      <c r="T88" s="9"/>
      <c r="U88" s="12"/>
      <c r="V88" s="12"/>
      <c r="W88" s="12"/>
      <c r="X88" s="15"/>
      <c r="Y88" s="15"/>
      <c r="Z88" s="15"/>
      <c r="AA88" s="15"/>
      <c r="AB88" s="15"/>
      <c r="AC88" s="15"/>
      <c r="AD88" s="15"/>
      <c r="AE88" s="16"/>
      <c r="AF88" s="16"/>
      <c r="AG88" s="16"/>
      <c r="AH88" s="16"/>
      <c r="AI88" s="16"/>
      <c r="AJ88" s="16"/>
      <c r="AK88" s="16"/>
      <c r="AL88" s="16"/>
      <c r="AM88" s="16"/>
      <c r="AN88" s="16"/>
      <c r="AO88" s="16"/>
      <c r="AP88" s="16"/>
      <c r="AQ88" s="16"/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  <c r="BC88" s="16"/>
      <c r="BD88" s="16"/>
      <c r="BE88" s="16"/>
      <c r="BF88" s="16"/>
      <c r="BG88" s="16"/>
    </row>
    <row r="89" spans="1:59" s="21" customFormat="1">
      <c r="A89" s="9"/>
      <c r="B89" s="9"/>
      <c r="E89" s="21">
        <f t="shared" si="4"/>
        <v>89</v>
      </c>
      <c r="F89" s="9" t="s">
        <v>29</v>
      </c>
      <c r="J89" s="9"/>
      <c r="K89" s="9"/>
      <c r="L89" s="9"/>
      <c r="M89" s="21" t="s">
        <v>146</v>
      </c>
      <c r="N89" s="9"/>
      <c r="O89" s="9"/>
      <c r="P89" s="9"/>
      <c r="Q89" s="9"/>
      <c r="R89" s="12"/>
      <c r="S89" s="9"/>
      <c r="T89" s="9"/>
      <c r="U89" s="12"/>
      <c r="V89" s="12"/>
      <c r="W89" s="12"/>
      <c r="X89" s="15"/>
      <c r="Y89" s="15"/>
      <c r="Z89" s="15"/>
      <c r="AA89" s="15"/>
      <c r="AB89" s="15"/>
      <c r="AC89" s="15"/>
      <c r="AD89" s="15"/>
      <c r="AE89" s="16"/>
      <c r="AF89" s="16"/>
      <c r="AG89" s="16"/>
      <c r="AH89" s="16"/>
      <c r="AI89" s="16"/>
      <c r="AJ89" s="16"/>
      <c r="AK89" s="16"/>
      <c r="AL89" s="16"/>
      <c r="AM89" s="16"/>
      <c r="AN89" s="16"/>
      <c r="AO89" s="16"/>
      <c r="AP89" s="16"/>
      <c r="AQ89" s="16"/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  <c r="BC89" s="16"/>
      <c r="BD89" s="16"/>
      <c r="BE89" s="16"/>
      <c r="BF89" s="16"/>
      <c r="BG89" s="16"/>
    </row>
    <row r="90" spans="1:59" s="21" customFormat="1">
      <c r="A90" s="9"/>
      <c r="B90" s="9"/>
      <c r="E90" s="21">
        <f t="shared" si="4"/>
        <v>90</v>
      </c>
      <c r="F90" s="9" t="s">
        <v>119</v>
      </c>
      <c r="J90" s="9"/>
      <c r="K90" s="9"/>
      <c r="L90" s="9"/>
      <c r="M90" s="21" t="s">
        <v>245</v>
      </c>
      <c r="N90" s="9"/>
      <c r="O90" s="9"/>
      <c r="P90" s="9"/>
      <c r="Q90" s="9"/>
      <c r="R90" s="12"/>
      <c r="S90" s="9"/>
      <c r="T90" s="9"/>
      <c r="U90" s="12"/>
      <c r="V90" s="12"/>
      <c r="W90" s="12"/>
      <c r="X90" s="15"/>
      <c r="Y90" s="15"/>
      <c r="Z90" s="15"/>
      <c r="AA90" s="15"/>
      <c r="AB90" s="15"/>
      <c r="AC90" s="15"/>
      <c r="AD90" s="15"/>
      <c r="AE90" s="16"/>
      <c r="AF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  <c r="BD90" s="16"/>
      <c r="BE90" s="16"/>
      <c r="BF90" s="16"/>
      <c r="BG90" s="16"/>
    </row>
    <row r="91" spans="1:59" s="21" customFormat="1">
      <c r="A91" s="9"/>
      <c r="B91" s="9"/>
      <c r="E91" s="21">
        <f t="shared" si="4"/>
        <v>91</v>
      </c>
      <c r="F91" s="9" t="s">
        <v>99</v>
      </c>
      <c r="J91" s="9"/>
      <c r="K91" s="9" t="s">
        <v>138</v>
      </c>
      <c r="L91" s="9"/>
      <c r="M91" s="21">
        <v>2</v>
      </c>
      <c r="N91" s="9"/>
      <c r="O91" s="9"/>
      <c r="P91" s="9"/>
      <c r="Q91" s="9"/>
      <c r="R91" s="12"/>
      <c r="S91" s="9"/>
      <c r="T91" s="9"/>
      <c r="U91" s="12"/>
      <c r="V91" s="12"/>
      <c r="W91" s="12"/>
      <c r="X91" s="15"/>
      <c r="Y91" s="15"/>
      <c r="Z91" s="15"/>
      <c r="AA91" s="15"/>
      <c r="AB91" s="15"/>
      <c r="AC91" s="15"/>
      <c r="AD91" s="15"/>
      <c r="AE91" s="16"/>
      <c r="AF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  <c r="BD91" s="16"/>
      <c r="BE91" s="16"/>
      <c r="BF91" s="16"/>
      <c r="BG91" s="16"/>
    </row>
    <row r="92" spans="1:59" s="21" customFormat="1">
      <c r="A92" s="9"/>
      <c r="E92" s="21">
        <f t="shared" si="4"/>
        <v>92</v>
      </c>
      <c r="F92" s="9" t="s">
        <v>110</v>
      </c>
      <c r="J92" s="9"/>
      <c r="K92" s="9"/>
      <c r="L92" s="9"/>
      <c r="M92" s="21">
        <v>3</v>
      </c>
      <c r="N92" s="9"/>
      <c r="O92" s="9"/>
      <c r="P92" s="9"/>
      <c r="Q92" s="9"/>
      <c r="R92" s="12"/>
      <c r="S92" s="9"/>
      <c r="T92" s="9"/>
      <c r="U92" s="12"/>
      <c r="V92" s="12"/>
      <c r="W92" s="12"/>
      <c r="X92" s="15"/>
      <c r="Y92" s="15"/>
      <c r="Z92" s="15"/>
      <c r="AA92" s="15"/>
      <c r="AB92" s="15"/>
      <c r="AC92" s="15"/>
      <c r="AD92" s="15"/>
      <c r="AE92" s="16"/>
      <c r="AF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  <c r="BD92" s="16"/>
      <c r="BE92" s="16"/>
      <c r="BF92" s="16"/>
      <c r="BG92" s="16"/>
    </row>
    <row r="93" spans="1:59" s="21" customFormat="1">
      <c r="A93" s="9"/>
      <c r="B93" s="9"/>
      <c r="E93" s="21">
        <f t="shared" si="4"/>
        <v>93</v>
      </c>
      <c r="F93" s="9" t="s">
        <v>30</v>
      </c>
      <c r="J93" s="9"/>
      <c r="K93" s="9"/>
      <c r="L93" s="9"/>
      <c r="M93" s="21">
        <v>3</v>
      </c>
      <c r="N93" s="9"/>
      <c r="O93" s="9"/>
      <c r="P93" s="9"/>
      <c r="Q93" s="9"/>
      <c r="R93" s="12"/>
      <c r="S93" s="9"/>
      <c r="T93" s="9"/>
      <c r="U93" s="12"/>
      <c r="V93" s="12"/>
      <c r="W93" s="12"/>
      <c r="X93" s="15"/>
      <c r="Y93" s="15"/>
      <c r="Z93" s="15"/>
      <c r="AA93" s="15"/>
      <c r="AB93" s="15"/>
      <c r="AC93" s="15"/>
      <c r="AD93" s="15"/>
      <c r="AE93" s="16"/>
      <c r="AF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  <c r="BD93" s="16"/>
      <c r="BE93" s="16"/>
      <c r="BF93" s="16"/>
      <c r="BG93" s="16"/>
    </row>
    <row r="94" spans="1:59" s="21" customFormat="1">
      <c r="A94" s="9"/>
      <c r="B94" s="9"/>
      <c r="E94" s="21">
        <f t="shared" si="4"/>
        <v>94</v>
      </c>
      <c r="F94" s="9" t="s">
        <v>116</v>
      </c>
      <c r="J94" s="9"/>
      <c r="K94" s="9"/>
      <c r="L94" s="9"/>
      <c r="M94" s="21">
        <v>1.5</v>
      </c>
      <c r="N94" s="9"/>
      <c r="O94" s="9"/>
      <c r="P94" s="9"/>
      <c r="Q94" s="9"/>
      <c r="R94" s="12"/>
      <c r="S94" s="9"/>
      <c r="T94" s="9"/>
      <c r="U94" s="12"/>
      <c r="V94" s="12"/>
      <c r="W94" s="12"/>
      <c r="X94" s="15"/>
      <c r="Y94" s="15"/>
      <c r="Z94" s="15"/>
      <c r="AA94" s="15"/>
      <c r="AB94" s="15"/>
      <c r="AC94" s="15"/>
      <c r="AD94" s="15"/>
      <c r="AE94" s="16"/>
      <c r="AF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  <c r="BD94" s="16"/>
      <c r="BE94" s="16"/>
      <c r="BF94" s="16"/>
      <c r="BG94" s="16"/>
    </row>
    <row r="95" spans="1:59" s="21" customFormat="1">
      <c r="A95" s="9"/>
      <c r="B95" s="9"/>
      <c r="E95" s="21">
        <f t="shared" si="4"/>
        <v>95</v>
      </c>
      <c r="F95" s="9" t="s">
        <v>31</v>
      </c>
      <c r="G95" s="21">
        <v>45</v>
      </c>
      <c r="J95" s="9"/>
      <c r="K95" s="9"/>
      <c r="L95" s="9" t="s">
        <v>135</v>
      </c>
      <c r="M95" s="21">
        <f t="shared" ref="M95" si="15">G95*D85</f>
        <v>135</v>
      </c>
      <c r="N95" s="9"/>
      <c r="O95" s="9"/>
      <c r="P95" s="9"/>
      <c r="Q95" s="9"/>
      <c r="R95" s="12"/>
      <c r="S95" s="9"/>
      <c r="T95" s="9"/>
      <c r="U95" s="12"/>
      <c r="V95" s="12"/>
      <c r="W95" s="12"/>
      <c r="X95" s="15"/>
      <c r="Y95" s="15"/>
      <c r="Z95" s="15"/>
      <c r="AA95" s="15"/>
      <c r="AB95" s="15"/>
      <c r="AC95" s="15"/>
      <c r="AD95" s="15"/>
      <c r="AE95" s="16"/>
      <c r="AF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  <c r="BD95" s="16"/>
      <c r="BE95" s="16"/>
      <c r="BF95" s="16"/>
      <c r="BG95" s="16"/>
    </row>
    <row r="96" spans="1:59" s="21" customFormat="1">
      <c r="A96" s="9"/>
      <c r="B96" s="9"/>
      <c r="E96" s="21">
        <f t="shared" si="4"/>
        <v>96</v>
      </c>
      <c r="F96" s="9" t="s">
        <v>112</v>
      </c>
      <c r="J96" s="9"/>
      <c r="K96" s="9"/>
      <c r="L96" s="9" t="s">
        <v>135</v>
      </c>
      <c r="M96" s="21">
        <v>85.94</v>
      </c>
      <c r="N96" s="9"/>
      <c r="O96" s="9"/>
      <c r="P96" s="9"/>
      <c r="Q96" s="9"/>
      <c r="R96" s="12"/>
      <c r="S96" s="9"/>
      <c r="T96" s="9"/>
      <c r="U96" s="12"/>
      <c r="V96" s="12"/>
      <c r="W96" s="12"/>
      <c r="X96" s="15"/>
      <c r="Y96" s="15"/>
      <c r="Z96" s="15"/>
      <c r="AA96" s="15"/>
      <c r="AB96" s="15"/>
      <c r="AC96" s="15"/>
      <c r="AD96" s="15"/>
      <c r="AE96" s="16"/>
      <c r="AF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  <c r="BD96" s="16"/>
      <c r="BE96" s="16"/>
      <c r="BF96" s="16"/>
      <c r="BG96" s="16"/>
    </row>
    <row r="97" spans="1:59" s="21" customFormat="1">
      <c r="A97" s="9"/>
      <c r="B97" s="9"/>
      <c r="E97" s="21">
        <f t="shared" si="4"/>
        <v>97</v>
      </c>
      <c r="F97" s="9" t="s">
        <v>117</v>
      </c>
      <c r="J97" s="9"/>
      <c r="K97" s="9" t="s">
        <v>138</v>
      </c>
      <c r="L97" s="9"/>
      <c r="M97" s="21">
        <v>2</v>
      </c>
      <c r="N97" s="9"/>
      <c r="O97" s="9"/>
      <c r="P97" s="9"/>
      <c r="Q97" s="9"/>
      <c r="R97" s="12"/>
      <c r="S97" s="9"/>
      <c r="T97" s="9"/>
      <c r="U97" s="12"/>
      <c r="V97" s="12"/>
      <c r="W97" s="12"/>
      <c r="X97" s="15"/>
      <c r="Y97" s="15"/>
      <c r="Z97" s="15"/>
      <c r="AA97" s="15"/>
      <c r="AB97" s="15"/>
      <c r="AC97" s="15"/>
      <c r="AD97" s="15"/>
      <c r="AE97" s="16"/>
      <c r="AF97" s="16"/>
      <c r="AG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  <c r="BD97" s="16"/>
      <c r="BE97" s="16"/>
      <c r="BF97" s="16"/>
      <c r="BG97" s="16"/>
    </row>
    <row r="98" spans="1:59" s="21" customFormat="1">
      <c r="A98" s="9"/>
      <c r="B98" s="9"/>
      <c r="E98" s="21">
        <f t="shared" si="4"/>
        <v>98</v>
      </c>
      <c r="F98" s="9" t="s">
        <v>126</v>
      </c>
      <c r="J98" s="9"/>
      <c r="K98" s="9"/>
      <c r="L98" s="9"/>
      <c r="M98" s="21">
        <v>10000</v>
      </c>
      <c r="N98" s="9"/>
      <c r="O98" s="9"/>
      <c r="P98" s="9"/>
      <c r="Q98" s="9"/>
      <c r="R98" s="12"/>
      <c r="S98" s="9"/>
      <c r="T98" s="9"/>
      <c r="U98" s="12"/>
      <c r="V98" s="12"/>
      <c r="W98" s="12"/>
      <c r="X98" s="15"/>
      <c r="Y98" s="15"/>
      <c r="Z98" s="15"/>
      <c r="AA98" s="15"/>
      <c r="AB98" s="15"/>
      <c r="AC98" s="15"/>
      <c r="AD98" s="15"/>
      <c r="AE98" s="16"/>
      <c r="AF98" s="16"/>
      <c r="AG98" s="16"/>
      <c r="AH98" s="16"/>
      <c r="AI98" s="16"/>
      <c r="AJ98" s="16"/>
      <c r="AK98" s="16"/>
      <c r="AL98" s="16"/>
      <c r="AM98" s="16"/>
      <c r="AN98" s="16"/>
      <c r="AO98" s="16"/>
      <c r="AP98" s="16"/>
      <c r="AQ98" s="16"/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  <c r="BC98" s="16"/>
      <c r="BD98" s="16"/>
      <c r="BE98" s="16"/>
      <c r="BF98" s="16"/>
      <c r="BG98" s="16"/>
    </row>
    <row r="99" spans="1:59" s="21" customFormat="1">
      <c r="A99" s="9"/>
      <c r="B99" s="9"/>
      <c r="E99" s="21">
        <f t="shared" si="4"/>
        <v>99</v>
      </c>
      <c r="F99" s="9" t="s">
        <v>118</v>
      </c>
      <c r="J99" s="9"/>
      <c r="K99" s="9"/>
      <c r="L99" s="9"/>
      <c r="M99" s="21" t="b">
        <v>1</v>
      </c>
      <c r="N99" s="9"/>
      <c r="O99" s="9"/>
      <c r="P99" s="9"/>
      <c r="Q99" s="9"/>
      <c r="R99" s="12"/>
      <c r="S99" s="9"/>
      <c r="T99" s="9"/>
      <c r="U99" s="12"/>
      <c r="V99" s="12"/>
      <c r="W99" s="12"/>
      <c r="X99" s="15"/>
      <c r="Y99" s="15"/>
      <c r="Z99" s="15"/>
      <c r="AA99" s="15"/>
      <c r="AB99" s="15"/>
      <c r="AC99" s="15"/>
      <c r="AD99" s="15"/>
      <c r="AE99" s="16"/>
      <c r="AF99" s="16"/>
      <c r="AG99" s="16"/>
      <c r="AH99" s="16"/>
      <c r="AI99" s="16"/>
      <c r="AJ99" s="16"/>
      <c r="AK99" s="16"/>
      <c r="AL99" s="16"/>
      <c r="AM99" s="16"/>
      <c r="AN99" s="16"/>
      <c r="AO99" s="16"/>
      <c r="AP99" s="16"/>
      <c r="AQ99" s="16"/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  <c r="BC99" s="16"/>
      <c r="BD99" s="16"/>
      <c r="BE99" s="16"/>
      <c r="BF99" s="16"/>
      <c r="BG99" s="16"/>
    </row>
    <row r="100" spans="1:59" s="21" customFormat="1">
      <c r="A100" s="9"/>
      <c r="B100" s="9"/>
      <c r="E100" s="21">
        <f t="shared" si="4"/>
        <v>100</v>
      </c>
      <c r="F100" s="9" t="s">
        <v>102</v>
      </c>
      <c r="J100" s="9"/>
      <c r="K100" s="9"/>
      <c r="L100" s="9"/>
      <c r="M100" s="21">
        <f t="shared" ref="M100" si="16">M86*10+9</f>
        <v>155039</v>
      </c>
      <c r="N100" s="9"/>
      <c r="O100" s="9"/>
      <c r="P100" s="9"/>
      <c r="Q100" s="9"/>
      <c r="R100" s="12"/>
      <c r="S100" s="9"/>
      <c r="T100" s="9"/>
      <c r="U100" s="12"/>
      <c r="V100" s="12"/>
      <c r="W100" s="12"/>
      <c r="X100" s="15"/>
      <c r="Y100" s="15"/>
      <c r="Z100" s="15"/>
      <c r="AA100" s="15"/>
      <c r="AB100" s="15"/>
      <c r="AC100" s="15"/>
      <c r="AD100" s="15"/>
      <c r="AE100" s="16"/>
      <c r="AF100" s="16"/>
      <c r="AG100" s="16"/>
      <c r="AH100" s="16"/>
      <c r="AI100" s="16"/>
      <c r="AJ100" s="16"/>
      <c r="AK100" s="16"/>
      <c r="AL100" s="16"/>
      <c r="AM100" s="16"/>
      <c r="AN100" s="16"/>
      <c r="AO100" s="16"/>
      <c r="AP100" s="16"/>
      <c r="AQ100" s="16"/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  <c r="BC100" s="16"/>
      <c r="BD100" s="16"/>
      <c r="BE100" s="16"/>
      <c r="BF100" s="16"/>
      <c r="BG100" s="16"/>
    </row>
    <row r="101" spans="1:59" s="21" customFormat="1">
      <c r="A101" s="9"/>
      <c r="B101" s="9"/>
      <c r="E101" s="21">
        <f t="shared" si="4"/>
        <v>101</v>
      </c>
      <c r="F101" s="9" t="s">
        <v>143</v>
      </c>
      <c r="J101" s="9"/>
      <c r="K101" s="9"/>
      <c r="L101" s="9"/>
      <c r="M101" s="21">
        <f t="shared" ref="M101" si="17">M86</f>
        <v>15503</v>
      </c>
      <c r="N101" s="9"/>
      <c r="O101" s="9"/>
      <c r="P101" s="9"/>
      <c r="Q101" s="9"/>
      <c r="R101" s="12"/>
      <c r="S101" s="9"/>
      <c r="T101" s="9"/>
      <c r="U101" s="12"/>
      <c r="V101" s="12"/>
      <c r="W101" s="12"/>
      <c r="X101" s="15"/>
      <c r="Y101" s="15"/>
      <c r="Z101" s="15"/>
      <c r="AA101" s="15"/>
      <c r="AB101" s="15"/>
      <c r="AC101" s="15"/>
      <c r="AD101" s="15"/>
      <c r="AE101" s="16"/>
      <c r="AF101" s="16"/>
      <c r="AG101" s="16"/>
      <c r="AH101" s="16"/>
      <c r="AI101" s="16"/>
      <c r="AJ101" s="16"/>
      <c r="AK101" s="16"/>
      <c r="AL101" s="16"/>
      <c r="AM101" s="16"/>
      <c r="AN101" s="16"/>
      <c r="AO101" s="16"/>
      <c r="AP101" s="16"/>
      <c r="AQ101" s="16"/>
      <c r="AR101" s="16"/>
      <c r="AS101" s="16"/>
      <c r="AT101" s="16"/>
      <c r="AU101" s="16"/>
      <c r="AV101" s="16"/>
      <c r="AW101" s="16"/>
      <c r="AX101" s="16"/>
      <c r="AY101" s="16"/>
      <c r="AZ101" s="16"/>
      <c r="BA101" s="16"/>
      <c r="BB101" s="16"/>
      <c r="BC101" s="16"/>
      <c r="BD101" s="16"/>
      <c r="BE101" s="16"/>
      <c r="BF101" s="16"/>
      <c r="BG101" s="16"/>
    </row>
    <row r="102" spans="1:59" s="21" customFormat="1">
      <c r="A102" s="9"/>
      <c r="B102" s="9"/>
      <c r="E102" s="21">
        <f t="shared" si="4"/>
        <v>102</v>
      </c>
      <c r="F102" s="9" t="s">
        <v>127</v>
      </c>
      <c r="J102" s="9"/>
      <c r="K102" s="9"/>
      <c r="L102" s="9"/>
      <c r="M102" s="21">
        <v>90</v>
      </c>
      <c r="N102" s="9"/>
      <c r="O102" s="9"/>
      <c r="P102" s="9"/>
      <c r="Q102" s="9"/>
      <c r="R102" s="12"/>
      <c r="S102" s="9"/>
      <c r="T102" s="9"/>
      <c r="U102" s="12"/>
      <c r="V102" s="12"/>
      <c r="W102" s="12"/>
      <c r="X102" s="15"/>
      <c r="Y102" s="15"/>
      <c r="Z102" s="15"/>
      <c r="AA102" s="15"/>
      <c r="AB102" s="15"/>
      <c r="AC102" s="15"/>
      <c r="AD102" s="15"/>
      <c r="AE102" s="16"/>
      <c r="AF102" s="16"/>
      <c r="AG102" s="16"/>
      <c r="AH102" s="16"/>
      <c r="AI102" s="16"/>
      <c r="AJ102" s="16"/>
      <c r="AK102" s="16"/>
      <c r="AL102" s="16"/>
      <c r="AM102" s="16"/>
      <c r="AN102" s="16"/>
      <c r="AO102" s="16"/>
      <c r="AP102" s="16"/>
      <c r="AQ102" s="16"/>
      <c r="AR102" s="16"/>
      <c r="AS102" s="16"/>
      <c r="AT102" s="16"/>
      <c r="AU102" s="16"/>
      <c r="AV102" s="16"/>
      <c r="AW102" s="16"/>
      <c r="AX102" s="16"/>
      <c r="AY102" s="16"/>
      <c r="AZ102" s="16"/>
      <c r="BA102" s="16"/>
      <c r="BB102" s="16"/>
      <c r="BC102" s="16"/>
      <c r="BD102" s="16"/>
      <c r="BE102" s="16"/>
      <c r="BF102" s="16"/>
      <c r="BG102" s="16"/>
    </row>
    <row r="103" spans="1:59" s="21" customFormat="1">
      <c r="A103" s="9"/>
      <c r="B103" s="9"/>
      <c r="E103" s="21">
        <f t="shared" si="4"/>
        <v>103</v>
      </c>
      <c r="F103" s="9" t="s">
        <v>143</v>
      </c>
      <c r="J103" s="9"/>
      <c r="K103" s="9"/>
      <c r="L103" s="9"/>
      <c r="M103" s="21">
        <f t="shared" ref="M103" si="18">M100</f>
        <v>155039</v>
      </c>
      <c r="N103" s="9"/>
      <c r="O103" s="9"/>
      <c r="P103" s="9"/>
      <c r="Q103" s="9"/>
      <c r="R103" s="12"/>
      <c r="S103" s="9"/>
      <c r="T103" s="9"/>
      <c r="U103" s="12"/>
      <c r="V103" s="12"/>
      <c r="W103" s="12"/>
      <c r="X103" s="15"/>
      <c r="Y103" s="15"/>
      <c r="Z103" s="15"/>
      <c r="AA103" s="15"/>
      <c r="AB103" s="15"/>
      <c r="AC103" s="15"/>
      <c r="AD103" s="15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</row>
    <row r="104" spans="1:59" s="21" customFormat="1">
      <c r="A104" s="9"/>
      <c r="B104" s="9"/>
      <c r="E104" s="21">
        <f t="shared" si="4"/>
        <v>104</v>
      </c>
      <c r="F104" s="9" t="s">
        <v>128</v>
      </c>
      <c r="J104" s="9"/>
      <c r="K104" s="9"/>
      <c r="L104" s="9"/>
      <c r="M104" s="21">
        <v>0</v>
      </c>
      <c r="N104" s="9"/>
      <c r="O104" s="9"/>
      <c r="P104" s="9"/>
      <c r="Q104" s="9"/>
      <c r="R104" s="12"/>
      <c r="S104" s="9"/>
      <c r="T104" s="9"/>
      <c r="U104" s="12"/>
      <c r="V104" s="12"/>
      <c r="W104" s="12"/>
      <c r="X104" s="15"/>
      <c r="Y104" s="15"/>
      <c r="Z104" s="15"/>
      <c r="AA104" s="15"/>
      <c r="AB104" s="15"/>
      <c r="AC104" s="15"/>
      <c r="AD104" s="15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</row>
    <row r="105" spans="1:59" s="21" customFormat="1">
      <c r="A105" s="9"/>
      <c r="B105" s="9"/>
      <c r="E105" s="21">
        <f t="shared" si="4"/>
        <v>105</v>
      </c>
      <c r="F105" s="9" t="s">
        <v>35</v>
      </c>
      <c r="J105" s="9"/>
      <c r="K105" s="9"/>
      <c r="L105" s="9"/>
      <c r="M105" s="21">
        <v>20</v>
      </c>
      <c r="N105" s="9"/>
      <c r="O105" s="9"/>
      <c r="P105" s="9"/>
      <c r="Q105" s="9"/>
      <c r="R105" s="12"/>
      <c r="S105" s="9"/>
      <c r="T105" s="9"/>
      <c r="U105" s="12"/>
      <c r="V105" s="12"/>
      <c r="W105" s="12"/>
      <c r="X105" s="15"/>
      <c r="Y105" s="15"/>
      <c r="Z105" s="15"/>
      <c r="AA105" s="15"/>
      <c r="AB105" s="15"/>
      <c r="AC105" s="15"/>
      <c r="AD105" s="15"/>
      <c r="AE105" s="16"/>
      <c r="AF105" s="16"/>
      <c r="AG105" s="16"/>
      <c r="AH105" s="16"/>
      <c r="AI105" s="16"/>
      <c r="AJ105" s="16"/>
      <c r="AK105" s="16"/>
      <c r="AL105" s="16"/>
      <c r="AM105" s="16"/>
      <c r="AN105" s="16"/>
      <c r="AO105" s="16"/>
      <c r="AP105" s="16"/>
      <c r="AQ105" s="16"/>
      <c r="AR105" s="16"/>
      <c r="AS105" s="16"/>
      <c r="AT105" s="16"/>
      <c r="AU105" s="16"/>
      <c r="AV105" s="16"/>
      <c r="AW105" s="16"/>
      <c r="AX105" s="16"/>
      <c r="AY105" s="16"/>
      <c r="AZ105" s="16"/>
      <c r="BA105" s="16"/>
      <c r="BB105" s="16"/>
      <c r="BC105" s="16"/>
      <c r="BD105" s="16"/>
      <c r="BE105" s="16"/>
      <c r="BF105" s="16"/>
      <c r="BG105" s="16"/>
    </row>
    <row r="106" spans="1:59" s="21" customFormat="1">
      <c r="A106" s="9"/>
      <c r="B106" s="9"/>
      <c r="E106" s="21">
        <f t="shared" si="4"/>
        <v>106</v>
      </c>
      <c r="F106" s="9" t="s">
        <v>30</v>
      </c>
      <c r="J106" s="9"/>
      <c r="K106" s="9"/>
      <c r="L106" s="9"/>
      <c r="M106" s="21">
        <v>0</v>
      </c>
      <c r="N106" s="9"/>
      <c r="O106" s="9"/>
      <c r="P106" s="9"/>
      <c r="Q106" s="9"/>
      <c r="R106" s="12"/>
      <c r="S106" s="9"/>
      <c r="T106" s="9"/>
      <c r="U106" s="12"/>
      <c r="V106" s="12"/>
      <c r="W106" s="12"/>
      <c r="X106" s="15"/>
      <c r="Y106" s="15"/>
      <c r="Z106" s="15"/>
      <c r="AA106" s="15"/>
      <c r="AB106" s="15"/>
      <c r="AC106" s="15"/>
      <c r="AD106" s="15"/>
      <c r="AE106" s="16"/>
      <c r="AF106" s="16"/>
      <c r="AG106" s="16"/>
      <c r="AH106" s="16"/>
      <c r="AI106" s="16"/>
      <c r="AJ106" s="16"/>
      <c r="AK106" s="16"/>
      <c r="AL106" s="16"/>
      <c r="AM106" s="16"/>
      <c r="AN106" s="16"/>
      <c r="AO106" s="16"/>
      <c r="AP106" s="16"/>
      <c r="AQ106" s="16"/>
      <c r="AR106" s="16"/>
      <c r="AS106" s="16"/>
      <c r="AT106" s="16"/>
      <c r="AU106" s="16"/>
      <c r="AV106" s="16"/>
      <c r="AW106" s="16"/>
      <c r="AX106" s="16"/>
      <c r="AY106" s="16"/>
      <c r="AZ106" s="16"/>
      <c r="BA106" s="16"/>
      <c r="BB106" s="16"/>
      <c r="BC106" s="16"/>
      <c r="BD106" s="16"/>
      <c r="BE106" s="16"/>
      <c r="BF106" s="16"/>
      <c r="BG106" s="16"/>
    </row>
    <row r="107" spans="1:59" s="21" customFormat="1">
      <c r="A107" s="9"/>
      <c r="E107" s="21">
        <f t="shared" si="4"/>
        <v>107</v>
      </c>
      <c r="F107" s="9" t="s">
        <v>31</v>
      </c>
      <c r="J107" s="9"/>
      <c r="K107" s="9"/>
      <c r="L107" s="9" t="s">
        <v>135</v>
      </c>
      <c r="M107" s="21">
        <v>0</v>
      </c>
      <c r="N107" s="9"/>
      <c r="O107" s="9"/>
      <c r="P107" s="9"/>
      <c r="Q107" s="9"/>
      <c r="R107" s="12"/>
      <c r="S107" s="9"/>
      <c r="T107" s="9"/>
      <c r="U107" s="12"/>
      <c r="V107" s="12"/>
      <c r="W107" s="12"/>
      <c r="X107" s="15"/>
      <c r="Y107" s="15"/>
      <c r="Z107" s="15"/>
      <c r="AA107" s="15"/>
      <c r="AB107" s="15"/>
      <c r="AC107" s="15"/>
      <c r="AD107" s="15"/>
      <c r="AE107" s="16"/>
      <c r="AF107" s="16"/>
      <c r="AG107" s="16"/>
      <c r="AH107" s="16"/>
      <c r="AI107" s="16"/>
      <c r="AJ107" s="16"/>
      <c r="AK107" s="16"/>
      <c r="AL107" s="16"/>
      <c r="AM107" s="16"/>
      <c r="AN107" s="16"/>
      <c r="AO107" s="16"/>
      <c r="AP107" s="16"/>
      <c r="AQ107" s="16"/>
      <c r="AR107" s="16"/>
      <c r="AS107" s="16"/>
      <c r="AT107" s="16"/>
      <c r="AU107" s="16"/>
      <c r="AV107" s="16"/>
      <c r="AW107" s="16"/>
      <c r="AX107" s="16"/>
      <c r="AY107" s="16"/>
      <c r="AZ107" s="16"/>
      <c r="BA107" s="16"/>
      <c r="BB107" s="16"/>
      <c r="BC107" s="16"/>
      <c r="BD107" s="16"/>
      <c r="BE107" s="16"/>
      <c r="BF107" s="16"/>
      <c r="BG107" s="16"/>
    </row>
    <row r="108" spans="1:59" s="21" customFormat="1">
      <c r="A108" s="9"/>
      <c r="B108" s="9"/>
      <c r="E108" s="21">
        <f t="shared" si="4"/>
        <v>108</v>
      </c>
      <c r="F108" s="9" t="s">
        <v>171</v>
      </c>
      <c r="J108" s="9"/>
      <c r="K108" s="9"/>
      <c r="L108" s="9"/>
      <c r="M108" s="21">
        <f t="shared" ref="M108" si="19">J86</f>
        <v>15500</v>
      </c>
      <c r="N108" s="9"/>
      <c r="O108" s="9"/>
      <c r="P108" s="9"/>
      <c r="Q108" s="9"/>
      <c r="R108" s="12"/>
      <c r="S108" s="9"/>
      <c r="T108" s="9"/>
      <c r="U108" s="12"/>
      <c r="V108" s="12"/>
      <c r="W108" s="12"/>
      <c r="X108" s="15"/>
      <c r="Y108" s="15"/>
      <c r="Z108" s="15"/>
      <c r="AA108" s="15"/>
      <c r="AB108" s="15"/>
      <c r="AC108" s="15"/>
      <c r="AD108" s="15"/>
      <c r="AE108" s="16"/>
      <c r="AF108" s="16"/>
      <c r="AG108" s="16"/>
      <c r="AH108" s="16"/>
      <c r="AI108" s="16"/>
      <c r="AJ108" s="16"/>
      <c r="AK108" s="16"/>
      <c r="AL108" s="16"/>
      <c r="AM108" s="16"/>
      <c r="AN108" s="16"/>
      <c r="AO108" s="16"/>
      <c r="AP108" s="16"/>
      <c r="AQ108" s="16"/>
      <c r="AR108" s="16"/>
      <c r="AS108" s="16"/>
      <c r="AT108" s="16"/>
      <c r="AU108" s="16"/>
      <c r="AV108" s="16"/>
      <c r="AW108" s="16"/>
      <c r="AX108" s="16"/>
      <c r="AY108" s="16"/>
      <c r="AZ108" s="16"/>
      <c r="BA108" s="16"/>
      <c r="BB108" s="16"/>
      <c r="BC108" s="16"/>
      <c r="BD108" s="16"/>
      <c r="BE108" s="16"/>
      <c r="BF108" s="16"/>
      <c r="BG108" s="16"/>
    </row>
    <row r="109" spans="1:59" s="21" customFormat="1">
      <c r="A109" s="9" t="s">
        <v>231</v>
      </c>
      <c r="B109" s="9">
        <f t="shared" ref="B109" si="20">QUOTIENT( D109-1,G110)+1</f>
        <v>1</v>
      </c>
      <c r="C109" s="21">
        <f t="shared" ref="C109" si="21">D109-(B109-1)*G110</f>
        <v>4</v>
      </c>
      <c r="D109" s="21">
        <f>COUNT($D$31:$D108)+1</f>
        <v>4</v>
      </c>
      <c r="F109" s="9"/>
      <c r="J109" s="9"/>
      <c r="K109" s="9"/>
      <c r="L109" s="9"/>
      <c r="N109" s="9"/>
      <c r="O109" s="9"/>
      <c r="P109" s="9"/>
      <c r="Q109" s="9"/>
      <c r="R109" s="12"/>
      <c r="S109" s="9"/>
      <c r="T109" s="9"/>
      <c r="U109" s="12"/>
      <c r="V109" s="12"/>
      <c r="W109" s="12"/>
      <c r="X109" s="15"/>
      <c r="Y109" s="15"/>
      <c r="Z109" s="15"/>
      <c r="AA109" s="15"/>
      <c r="AB109" s="15"/>
      <c r="AC109" s="15"/>
      <c r="AD109" s="15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  <c r="BB109" s="16"/>
      <c r="BC109" s="16"/>
      <c r="BD109" s="16"/>
      <c r="BE109" s="16"/>
      <c r="BF109" s="16"/>
      <c r="BG109" s="16"/>
    </row>
    <row r="110" spans="1:59" s="21" customFormat="1">
      <c r="A110" s="9"/>
      <c r="B110" s="9"/>
      <c r="E110" s="21">
        <f t="shared" ref="E110" si="22">ROW(E110)</f>
        <v>110</v>
      </c>
      <c r="F110" s="9" t="s">
        <v>93</v>
      </c>
      <c r="G110" s="21">
        <v>8</v>
      </c>
      <c r="H110" s="21">
        <v>1</v>
      </c>
      <c r="J110" s="9">
        <v>15500</v>
      </c>
      <c r="K110" s="9"/>
      <c r="L110" s="9"/>
      <c r="M110" s="21">
        <f t="shared" ref="M110" si="23">J110+D109</f>
        <v>15504</v>
      </c>
      <c r="N110" s="9"/>
      <c r="O110" s="9"/>
      <c r="P110" s="9"/>
      <c r="Q110" s="9"/>
      <c r="R110" s="12"/>
      <c r="S110" s="9"/>
      <c r="T110" s="9"/>
      <c r="U110" s="12"/>
      <c r="V110" s="12"/>
      <c r="W110" s="12"/>
      <c r="X110" s="15"/>
      <c r="Y110" s="15"/>
      <c r="Z110" s="15"/>
      <c r="AA110" s="15"/>
      <c r="AB110" s="15"/>
      <c r="AC110" s="15"/>
      <c r="AD110" s="15"/>
      <c r="AE110" s="16"/>
      <c r="AF110" s="16"/>
      <c r="AG110" s="16"/>
      <c r="AH110" s="16"/>
      <c r="AI110" s="16"/>
      <c r="AJ110" s="16"/>
      <c r="AK110" s="16"/>
      <c r="AL110" s="16"/>
      <c r="AM110" s="16"/>
      <c r="AN110" s="16"/>
      <c r="AO110" s="16"/>
      <c r="AP110" s="16"/>
      <c r="AQ110" s="16"/>
      <c r="AR110" s="16"/>
      <c r="AS110" s="16"/>
      <c r="AT110" s="16"/>
      <c r="AU110" s="16"/>
      <c r="AV110" s="16"/>
      <c r="AW110" s="16"/>
      <c r="AX110" s="16"/>
      <c r="AY110" s="16"/>
      <c r="AZ110" s="16"/>
      <c r="BA110" s="16"/>
      <c r="BB110" s="16"/>
      <c r="BC110" s="16"/>
      <c r="BD110" s="16"/>
      <c r="BE110" s="16"/>
      <c r="BF110" s="16"/>
      <c r="BG110" s="16"/>
    </row>
    <row r="111" spans="1:59" s="21" customFormat="1">
      <c r="A111" s="9"/>
      <c r="B111" s="9"/>
      <c r="E111" s="21">
        <f t="shared" si="4"/>
        <v>111</v>
      </c>
      <c r="F111" s="9" t="s">
        <v>143</v>
      </c>
      <c r="J111" s="9"/>
      <c r="K111" s="9"/>
      <c r="L111" s="9"/>
      <c r="M111" s="21">
        <v>15400</v>
      </c>
      <c r="N111" s="9"/>
      <c r="O111" s="9"/>
      <c r="P111" s="9"/>
      <c r="Q111" s="9"/>
      <c r="R111" s="12"/>
      <c r="S111" s="9"/>
      <c r="T111" s="9"/>
      <c r="U111" s="12"/>
      <c r="V111" s="12"/>
      <c r="W111" s="12"/>
      <c r="X111" s="15"/>
      <c r="Y111" s="15"/>
      <c r="Z111" s="15"/>
      <c r="AA111" s="15"/>
      <c r="AB111" s="15"/>
      <c r="AC111" s="15"/>
      <c r="AD111" s="15"/>
      <c r="AE111" s="16"/>
      <c r="AF111" s="16"/>
      <c r="AG111" s="16"/>
      <c r="AH111" s="16"/>
      <c r="AI111" s="16"/>
      <c r="AJ111" s="16"/>
      <c r="AK111" s="16"/>
      <c r="AL111" s="16"/>
      <c r="AM111" s="16"/>
      <c r="AN111" s="16"/>
      <c r="AO111" s="16"/>
      <c r="AP111" s="16"/>
      <c r="AQ111" s="16"/>
      <c r="AR111" s="16"/>
      <c r="AS111" s="16"/>
      <c r="AT111" s="16"/>
      <c r="AU111" s="16"/>
      <c r="AV111" s="16"/>
      <c r="AW111" s="16"/>
      <c r="AX111" s="16"/>
      <c r="AY111" s="16"/>
      <c r="AZ111" s="16"/>
      <c r="BA111" s="16"/>
      <c r="BB111" s="16"/>
      <c r="BC111" s="16"/>
      <c r="BD111" s="16"/>
      <c r="BE111" s="16"/>
      <c r="BF111" s="16"/>
      <c r="BG111" s="16"/>
    </row>
    <row r="112" spans="1:59" s="21" customFormat="1">
      <c r="A112" s="9"/>
      <c r="B112" s="9"/>
      <c r="E112" s="21">
        <f t="shared" si="4"/>
        <v>112</v>
      </c>
      <c r="F112" s="9" t="s">
        <v>128</v>
      </c>
      <c r="J112" s="9"/>
      <c r="K112" s="9"/>
      <c r="L112" s="9"/>
      <c r="M112" s="21">
        <v>0</v>
      </c>
      <c r="N112" s="9"/>
      <c r="O112" s="9"/>
      <c r="P112" s="9"/>
      <c r="Q112" s="9"/>
      <c r="R112" s="12"/>
      <c r="S112" s="9"/>
      <c r="T112" s="9"/>
      <c r="U112" s="12"/>
      <c r="V112" s="12"/>
      <c r="W112" s="12"/>
      <c r="X112" s="15"/>
      <c r="Y112" s="15"/>
      <c r="Z112" s="15"/>
      <c r="AA112" s="15"/>
      <c r="AB112" s="15"/>
      <c r="AC112" s="15"/>
      <c r="AD112" s="15"/>
      <c r="AE112" s="16"/>
      <c r="AF112" s="16"/>
      <c r="AG112" s="16"/>
      <c r="AH112" s="16"/>
      <c r="AI112" s="16"/>
      <c r="AJ112" s="16"/>
      <c r="AK112" s="16"/>
      <c r="AL112" s="16"/>
      <c r="AM112" s="16"/>
      <c r="AN112" s="16"/>
      <c r="AO112" s="16"/>
      <c r="AP112" s="16"/>
      <c r="AQ112" s="16"/>
      <c r="AR112" s="16"/>
      <c r="AS112" s="16"/>
      <c r="AT112" s="16"/>
      <c r="AU112" s="16"/>
      <c r="AV112" s="16"/>
      <c r="AW112" s="16"/>
      <c r="AX112" s="16"/>
      <c r="AY112" s="16"/>
      <c r="AZ112" s="16"/>
      <c r="BA112" s="16"/>
      <c r="BB112" s="16"/>
      <c r="BC112" s="16"/>
      <c r="BD112" s="16"/>
      <c r="BE112" s="16"/>
      <c r="BF112" s="16"/>
      <c r="BG112" s="16"/>
    </row>
    <row r="113" spans="1:59" s="21" customFormat="1">
      <c r="A113" s="9"/>
      <c r="B113" s="9"/>
      <c r="E113" s="21">
        <f t="shared" si="4"/>
        <v>113</v>
      </c>
      <c r="F113" s="9" t="s">
        <v>29</v>
      </c>
      <c r="J113" s="9"/>
      <c r="K113" s="9"/>
      <c r="L113" s="9"/>
      <c r="M113" s="21" t="s">
        <v>146</v>
      </c>
      <c r="N113" s="9"/>
      <c r="O113" s="9"/>
      <c r="P113" s="9"/>
      <c r="Q113" s="9"/>
      <c r="R113" s="12"/>
      <c r="S113" s="9"/>
      <c r="T113" s="9"/>
      <c r="U113" s="12"/>
      <c r="V113" s="12"/>
      <c r="W113" s="12"/>
      <c r="X113" s="15"/>
      <c r="Y113" s="15"/>
      <c r="Z113" s="15"/>
      <c r="AA113" s="15"/>
      <c r="AB113" s="15"/>
      <c r="AC113" s="15"/>
      <c r="AD113" s="15"/>
      <c r="AE113" s="16"/>
      <c r="AF113" s="16"/>
      <c r="AG113" s="16"/>
      <c r="AH113" s="16"/>
      <c r="AI113" s="16"/>
      <c r="AJ113" s="16"/>
      <c r="AK113" s="16"/>
      <c r="AL113" s="16"/>
      <c r="AM113" s="16"/>
      <c r="AN113" s="16"/>
      <c r="AO113" s="16"/>
      <c r="AP113" s="16"/>
      <c r="AQ113" s="16"/>
      <c r="AR113" s="16"/>
      <c r="AS113" s="16"/>
      <c r="AT113" s="16"/>
      <c r="AU113" s="16"/>
      <c r="AV113" s="16"/>
      <c r="AW113" s="16"/>
      <c r="AX113" s="16"/>
      <c r="AY113" s="16"/>
      <c r="AZ113" s="16"/>
      <c r="BA113" s="16"/>
      <c r="BB113" s="16"/>
      <c r="BC113" s="16"/>
      <c r="BD113" s="16"/>
      <c r="BE113" s="16"/>
      <c r="BF113" s="16"/>
      <c r="BG113" s="16"/>
    </row>
    <row r="114" spans="1:59" s="21" customFormat="1">
      <c r="A114" s="9"/>
      <c r="B114" s="9"/>
      <c r="E114" s="21">
        <f t="shared" si="4"/>
        <v>114</v>
      </c>
      <c r="F114" s="9" t="s">
        <v>119</v>
      </c>
      <c r="J114" s="9"/>
      <c r="K114" s="9"/>
      <c r="L114" s="9"/>
      <c r="M114" s="21" t="s">
        <v>245</v>
      </c>
      <c r="N114" s="9"/>
      <c r="O114" s="9"/>
      <c r="P114" s="9"/>
      <c r="Q114" s="9"/>
      <c r="R114" s="12"/>
      <c r="S114" s="9"/>
      <c r="T114" s="9"/>
      <c r="U114" s="12"/>
      <c r="V114" s="12"/>
      <c r="W114" s="12"/>
      <c r="X114" s="15"/>
      <c r="Y114" s="15"/>
      <c r="Z114" s="15"/>
      <c r="AA114" s="15"/>
      <c r="AB114" s="15"/>
      <c r="AC114" s="15"/>
      <c r="AD114" s="15"/>
      <c r="AE114" s="16"/>
      <c r="AF114" s="16"/>
      <c r="AG114" s="16"/>
      <c r="AH114" s="16"/>
      <c r="AI114" s="16"/>
      <c r="AJ114" s="16"/>
      <c r="AK114" s="16"/>
      <c r="AL114" s="16"/>
      <c r="AM114" s="16"/>
      <c r="AN114" s="16"/>
      <c r="AO114" s="16"/>
      <c r="AP114" s="16"/>
      <c r="AQ114" s="16"/>
      <c r="AR114" s="16"/>
      <c r="AS114" s="16"/>
      <c r="AT114" s="16"/>
      <c r="AU114" s="16"/>
      <c r="AV114" s="16"/>
      <c r="AW114" s="16"/>
      <c r="AX114" s="16"/>
      <c r="AY114" s="16"/>
      <c r="AZ114" s="16"/>
      <c r="BA114" s="16"/>
      <c r="BB114" s="16"/>
      <c r="BC114" s="16"/>
      <c r="BD114" s="16"/>
      <c r="BE114" s="16"/>
      <c r="BF114" s="16"/>
      <c r="BG114" s="16"/>
    </row>
    <row r="115" spans="1:59" s="21" customFormat="1">
      <c r="A115" s="9"/>
      <c r="B115" s="9"/>
      <c r="E115" s="21">
        <f t="shared" si="4"/>
        <v>115</v>
      </c>
      <c r="F115" s="9" t="s">
        <v>99</v>
      </c>
      <c r="J115" s="9"/>
      <c r="K115" s="9" t="s">
        <v>138</v>
      </c>
      <c r="L115" s="9"/>
      <c r="M115" s="21">
        <v>2</v>
      </c>
      <c r="N115" s="9"/>
      <c r="O115" s="9"/>
      <c r="P115" s="9"/>
      <c r="Q115" s="9"/>
      <c r="R115" s="12"/>
      <c r="S115" s="9"/>
      <c r="T115" s="9"/>
      <c r="U115" s="12"/>
      <c r="V115" s="12"/>
      <c r="W115" s="12"/>
      <c r="X115" s="15"/>
      <c r="Y115" s="15"/>
      <c r="Z115" s="15"/>
      <c r="AA115" s="15"/>
      <c r="AB115" s="15"/>
      <c r="AC115" s="15"/>
      <c r="AD115" s="15"/>
      <c r="AE115" s="16"/>
      <c r="AF115" s="16"/>
      <c r="AG115" s="16"/>
      <c r="AH115" s="16"/>
      <c r="AI115" s="16"/>
      <c r="AJ115" s="16"/>
      <c r="AK115" s="16"/>
      <c r="AL115" s="16"/>
      <c r="AM115" s="16"/>
      <c r="AN115" s="16"/>
      <c r="AO115" s="16"/>
      <c r="AP115" s="16"/>
      <c r="AQ115" s="16"/>
      <c r="AR115" s="16"/>
      <c r="AS115" s="16"/>
      <c r="AT115" s="16"/>
      <c r="AU115" s="16"/>
      <c r="AV115" s="16"/>
      <c r="AW115" s="16"/>
      <c r="AX115" s="16"/>
      <c r="AY115" s="16"/>
      <c r="AZ115" s="16"/>
      <c r="BA115" s="16"/>
      <c r="BB115" s="16"/>
      <c r="BC115" s="16"/>
      <c r="BD115" s="16"/>
      <c r="BE115" s="16"/>
      <c r="BF115" s="16"/>
      <c r="BG115" s="16"/>
    </row>
    <row r="116" spans="1:59" s="21" customFormat="1">
      <c r="A116" s="9"/>
      <c r="B116" s="9"/>
      <c r="E116" s="21">
        <f t="shared" si="4"/>
        <v>116</v>
      </c>
      <c r="F116" s="9" t="s">
        <v>110</v>
      </c>
      <c r="J116" s="9"/>
      <c r="K116" s="9"/>
      <c r="L116" s="9"/>
      <c r="M116" s="21">
        <v>3</v>
      </c>
      <c r="N116" s="9"/>
      <c r="O116" s="9"/>
      <c r="P116" s="9"/>
      <c r="Q116" s="9"/>
      <c r="R116" s="12"/>
      <c r="S116" s="9"/>
      <c r="T116" s="9"/>
      <c r="U116" s="12"/>
      <c r="V116" s="12"/>
      <c r="W116" s="12"/>
      <c r="X116" s="15"/>
      <c r="Y116" s="15"/>
      <c r="Z116" s="15"/>
      <c r="AA116" s="15"/>
      <c r="AB116" s="15"/>
      <c r="AC116" s="15"/>
      <c r="AD116" s="15"/>
      <c r="AE116" s="16"/>
      <c r="AF116" s="16"/>
      <c r="AG116" s="16"/>
      <c r="AH116" s="16"/>
      <c r="AI116" s="16"/>
      <c r="AJ116" s="16"/>
      <c r="AK116" s="16"/>
      <c r="AL116" s="16"/>
      <c r="AM116" s="16"/>
      <c r="AN116" s="16"/>
      <c r="AO116" s="16"/>
      <c r="AP116" s="16"/>
      <c r="AQ116" s="16"/>
      <c r="AR116" s="16"/>
      <c r="AS116" s="16"/>
      <c r="AT116" s="16"/>
      <c r="AU116" s="16"/>
      <c r="AV116" s="16"/>
      <c r="AW116" s="16"/>
      <c r="AX116" s="16"/>
      <c r="AY116" s="16"/>
      <c r="AZ116" s="16"/>
      <c r="BA116" s="16"/>
      <c r="BB116" s="16"/>
      <c r="BC116" s="16"/>
      <c r="BD116" s="16"/>
      <c r="BE116" s="16"/>
      <c r="BF116" s="16"/>
      <c r="BG116" s="16"/>
    </row>
    <row r="117" spans="1:59" s="21" customFormat="1">
      <c r="A117" s="9"/>
      <c r="B117" s="9"/>
      <c r="E117" s="21">
        <f t="shared" si="4"/>
        <v>117</v>
      </c>
      <c r="F117" s="9" t="s">
        <v>30</v>
      </c>
      <c r="J117" s="9"/>
      <c r="K117" s="9"/>
      <c r="L117" s="9"/>
      <c r="M117" s="21">
        <v>3</v>
      </c>
      <c r="N117" s="9"/>
      <c r="O117" s="9"/>
      <c r="P117" s="9"/>
      <c r="Q117" s="9"/>
      <c r="R117" s="12"/>
      <c r="S117" s="9"/>
      <c r="T117" s="9"/>
      <c r="U117" s="12"/>
      <c r="V117" s="12"/>
      <c r="W117" s="12"/>
      <c r="X117" s="15"/>
      <c r="Y117" s="15"/>
      <c r="Z117" s="15"/>
      <c r="AA117" s="15"/>
      <c r="AB117" s="15"/>
      <c r="AC117" s="15"/>
      <c r="AD117" s="15"/>
      <c r="AE117" s="16"/>
      <c r="AF117" s="16"/>
      <c r="AG117" s="16"/>
      <c r="AH117" s="16"/>
      <c r="AI117" s="16"/>
      <c r="AJ117" s="16"/>
      <c r="AK117" s="16"/>
      <c r="AL117" s="16"/>
      <c r="AM117" s="16"/>
      <c r="AN117" s="16"/>
      <c r="AO117" s="16"/>
      <c r="AP117" s="16"/>
      <c r="AQ117" s="16"/>
      <c r="AR117" s="16"/>
      <c r="AS117" s="16"/>
      <c r="AT117" s="16"/>
      <c r="AU117" s="16"/>
      <c r="AV117" s="16"/>
      <c r="AW117" s="16"/>
      <c r="AX117" s="16"/>
      <c r="AY117" s="16"/>
      <c r="AZ117" s="16"/>
      <c r="BA117" s="16"/>
      <c r="BB117" s="16"/>
      <c r="BC117" s="16"/>
      <c r="BD117" s="16"/>
      <c r="BE117" s="16"/>
      <c r="BF117" s="16"/>
      <c r="BG117" s="16"/>
    </row>
    <row r="118" spans="1:59" s="21" customFormat="1">
      <c r="A118" s="9"/>
      <c r="B118" s="9"/>
      <c r="E118" s="21">
        <f t="shared" si="4"/>
        <v>118</v>
      </c>
      <c r="F118" s="9" t="s">
        <v>116</v>
      </c>
      <c r="J118" s="9"/>
      <c r="K118" s="9"/>
      <c r="L118" s="9"/>
      <c r="M118" s="21">
        <v>1.5</v>
      </c>
      <c r="N118" s="9"/>
      <c r="O118" s="9"/>
      <c r="P118" s="9"/>
      <c r="Q118" s="9"/>
      <c r="R118" s="12"/>
      <c r="S118" s="9"/>
      <c r="T118" s="9"/>
      <c r="U118" s="12"/>
      <c r="V118" s="12"/>
      <c r="W118" s="12"/>
      <c r="X118" s="15"/>
      <c r="Y118" s="15"/>
      <c r="Z118" s="15"/>
      <c r="AA118" s="15"/>
      <c r="AB118" s="15"/>
      <c r="AC118" s="15"/>
      <c r="AD118" s="15"/>
      <c r="AE118" s="16"/>
      <c r="AF118" s="16"/>
      <c r="AG118" s="16"/>
      <c r="AH118" s="16"/>
      <c r="AI118" s="16"/>
      <c r="AJ118" s="16"/>
      <c r="AK118" s="16"/>
      <c r="AL118" s="16"/>
      <c r="AM118" s="16"/>
      <c r="AN118" s="16"/>
      <c r="AO118" s="16"/>
      <c r="AP118" s="16"/>
      <c r="AQ118" s="16"/>
      <c r="AR118" s="16"/>
      <c r="AS118" s="16"/>
      <c r="AT118" s="16"/>
      <c r="AU118" s="16"/>
      <c r="AV118" s="16"/>
      <c r="AW118" s="16"/>
      <c r="AX118" s="16"/>
      <c r="AY118" s="16"/>
      <c r="AZ118" s="16"/>
      <c r="BA118" s="16"/>
      <c r="BB118" s="16"/>
      <c r="BC118" s="16"/>
      <c r="BD118" s="16"/>
      <c r="BE118" s="16"/>
      <c r="BF118" s="16"/>
      <c r="BG118" s="16"/>
    </row>
    <row r="119" spans="1:59" s="21" customFormat="1">
      <c r="A119" s="9"/>
      <c r="B119" s="9"/>
      <c r="E119" s="21">
        <f t="shared" si="4"/>
        <v>119</v>
      </c>
      <c r="F119" s="9" t="s">
        <v>31</v>
      </c>
      <c r="G119" s="21">
        <v>45</v>
      </c>
      <c r="J119" s="9"/>
      <c r="K119" s="9"/>
      <c r="L119" s="9" t="s">
        <v>135</v>
      </c>
      <c r="M119" s="21">
        <f t="shared" ref="M119" si="24">G119*D109</f>
        <v>180</v>
      </c>
      <c r="N119" s="9"/>
      <c r="O119" s="9"/>
      <c r="P119" s="9"/>
      <c r="Q119" s="9"/>
      <c r="R119" s="12"/>
      <c r="S119" s="9"/>
      <c r="T119" s="9"/>
      <c r="U119" s="12"/>
      <c r="V119" s="12"/>
      <c r="W119" s="12"/>
      <c r="X119" s="15"/>
      <c r="Y119" s="15"/>
      <c r="Z119" s="15"/>
      <c r="AA119" s="15"/>
      <c r="AB119" s="15"/>
      <c r="AC119" s="15"/>
      <c r="AD119" s="15"/>
      <c r="AE119" s="16"/>
      <c r="AF119" s="16"/>
      <c r="AG119" s="16"/>
      <c r="AH119" s="16"/>
      <c r="AI119" s="16"/>
      <c r="AJ119" s="16"/>
      <c r="AK119" s="16"/>
      <c r="AL119" s="16"/>
      <c r="AM119" s="16"/>
      <c r="AN119" s="16"/>
      <c r="AO119" s="16"/>
      <c r="AP119" s="16"/>
      <c r="AQ119" s="16"/>
      <c r="AR119" s="16"/>
      <c r="AS119" s="16"/>
      <c r="AT119" s="16"/>
      <c r="AU119" s="16"/>
      <c r="AV119" s="16"/>
      <c r="AW119" s="16"/>
      <c r="AX119" s="16"/>
      <c r="AY119" s="16"/>
      <c r="AZ119" s="16"/>
      <c r="BA119" s="16"/>
      <c r="BB119" s="16"/>
      <c r="BC119" s="16"/>
      <c r="BD119" s="16"/>
      <c r="BE119" s="16"/>
      <c r="BF119" s="16"/>
      <c r="BG119" s="16"/>
    </row>
    <row r="120" spans="1:59" s="21" customFormat="1">
      <c r="A120" s="9"/>
      <c r="B120" s="9"/>
      <c r="E120" s="21">
        <f t="shared" si="4"/>
        <v>120</v>
      </c>
      <c r="F120" s="9" t="s">
        <v>112</v>
      </c>
      <c r="J120" s="9"/>
      <c r="K120" s="9"/>
      <c r="L120" s="9" t="s">
        <v>135</v>
      </c>
      <c r="M120" s="21">
        <v>85.94</v>
      </c>
      <c r="N120" s="9"/>
      <c r="O120" s="9"/>
      <c r="P120" s="9"/>
      <c r="Q120" s="9"/>
      <c r="R120" s="12"/>
      <c r="S120" s="9"/>
      <c r="T120" s="9"/>
      <c r="U120" s="12"/>
      <c r="V120" s="12"/>
      <c r="W120" s="12"/>
      <c r="X120" s="15"/>
      <c r="Y120" s="15"/>
      <c r="Z120" s="15"/>
      <c r="AA120" s="15"/>
      <c r="AB120" s="15"/>
      <c r="AC120" s="15"/>
      <c r="AD120" s="15"/>
      <c r="AE120" s="16"/>
      <c r="AF120" s="16"/>
      <c r="AG120" s="16"/>
      <c r="AH120" s="16"/>
      <c r="AI120" s="16"/>
      <c r="AJ120" s="16"/>
      <c r="AK120" s="16"/>
      <c r="AL120" s="16"/>
      <c r="AM120" s="16"/>
      <c r="AN120" s="16"/>
      <c r="AO120" s="16"/>
      <c r="AP120" s="16"/>
      <c r="AQ120" s="16"/>
      <c r="AR120" s="16"/>
      <c r="AS120" s="16"/>
      <c r="AT120" s="16"/>
      <c r="AU120" s="16"/>
      <c r="AV120" s="16"/>
      <c r="AW120" s="16"/>
      <c r="AX120" s="16"/>
      <c r="AY120" s="16"/>
      <c r="AZ120" s="16"/>
      <c r="BA120" s="16"/>
      <c r="BB120" s="16"/>
      <c r="BC120" s="16"/>
      <c r="BD120" s="16"/>
      <c r="BE120" s="16"/>
      <c r="BF120" s="16"/>
      <c r="BG120" s="16"/>
    </row>
    <row r="121" spans="1:59" s="21" customFormat="1">
      <c r="A121" s="9"/>
      <c r="B121" s="9"/>
      <c r="E121" s="21">
        <f t="shared" si="4"/>
        <v>121</v>
      </c>
      <c r="F121" s="9" t="s">
        <v>117</v>
      </c>
      <c r="J121" s="9"/>
      <c r="K121" s="9" t="s">
        <v>138</v>
      </c>
      <c r="L121" s="9"/>
      <c r="M121" s="21">
        <v>2</v>
      </c>
      <c r="N121" s="9"/>
      <c r="O121" s="9"/>
      <c r="P121" s="9"/>
      <c r="Q121" s="9"/>
      <c r="R121" s="12"/>
      <c r="S121" s="9"/>
      <c r="T121" s="9"/>
      <c r="U121" s="12"/>
      <c r="V121" s="12"/>
      <c r="W121" s="12"/>
      <c r="X121" s="15"/>
      <c r="Y121" s="15"/>
      <c r="Z121" s="15"/>
      <c r="AA121" s="15"/>
      <c r="AB121" s="15"/>
      <c r="AC121" s="15"/>
      <c r="AD121" s="15"/>
      <c r="AE121" s="16"/>
      <c r="AF121" s="16"/>
      <c r="AG121" s="16"/>
      <c r="AH121" s="16"/>
      <c r="AI121" s="16"/>
      <c r="AJ121" s="16"/>
      <c r="AK121" s="16"/>
      <c r="AL121" s="16"/>
      <c r="AM121" s="16"/>
      <c r="AN121" s="16"/>
      <c r="AO121" s="16"/>
      <c r="AP121" s="16"/>
      <c r="AQ121" s="16"/>
      <c r="AR121" s="16"/>
      <c r="AS121" s="16"/>
      <c r="AT121" s="16"/>
      <c r="AU121" s="16"/>
      <c r="AV121" s="16"/>
      <c r="AW121" s="16"/>
      <c r="AX121" s="16"/>
      <c r="AY121" s="16"/>
      <c r="AZ121" s="16"/>
      <c r="BA121" s="16"/>
      <c r="BB121" s="16"/>
      <c r="BC121" s="16"/>
      <c r="BD121" s="16"/>
      <c r="BE121" s="16"/>
      <c r="BF121" s="16"/>
      <c r="BG121" s="16"/>
    </row>
    <row r="122" spans="1:59" s="21" customFormat="1">
      <c r="A122" s="9"/>
      <c r="E122" s="21">
        <f t="shared" si="4"/>
        <v>122</v>
      </c>
      <c r="F122" s="9" t="s">
        <v>126</v>
      </c>
      <c r="J122" s="9"/>
      <c r="K122" s="9"/>
      <c r="L122" s="9"/>
      <c r="M122" s="21">
        <v>10000</v>
      </c>
      <c r="N122" s="9"/>
      <c r="O122" s="9"/>
      <c r="P122" s="9"/>
      <c r="Q122" s="9"/>
      <c r="R122" s="12"/>
      <c r="S122" s="9"/>
      <c r="T122" s="9"/>
      <c r="U122" s="12"/>
      <c r="V122" s="12"/>
      <c r="W122" s="12"/>
      <c r="X122" s="15"/>
      <c r="Y122" s="15"/>
      <c r="Z122" s="15"/>
      <c r="AA122" s="15"/>
      <c r="AB122" s="15"/>
      <c r="AC122" s="15"/>
      <c r="AD122" s="15"/>
      <c r="AE122" s="16"/>
      <c r="AF122" s="16"/>
      <c r="AG122" s="16"/>
      <c r="AH122" s="16"/>
      <c r="AI122" s="16"/>
      <c r="AJ122" s="16"/>
      <c r="AK122" s="16"/>
      <c r="AL122" s="16"/>
      <c r="AM122" s="16"/>
      <c r="AN122" s="16"/>
      <c r="AO122" s="16"/>
      <c r="AP122" s="16"/>
      <c r="AQ122" s="16"/>
      <c r="AR122" s="16"/>
      <c r="AS122" s="16"/>
      <c r="AT122" s="16"/>
      <c r="AU122" s="16"/>
      <c r="AV122" s="16"/>
      <c r="AW122" s="16"/>
      <c r="AX122" s="16"/>
      <c r="AY122" s="16"/>
      <c r="AZ122" s="16"/>
      <c r="BA122" s="16"/>
      <c r="BB122" s="16"/>
      <c r="BC122" s="16"/>
      <c r="BD122" s="16"/>
      <c r="BE122" s="16"/>
      <c r="BF122" s="16"/>
      <c r="BG122" s="16"/>
    </row>
    <row r="123" spans="1:59" s="21" customFormat="1">
      <c r="A123" s="9"/>
      <c r="B123" s="9"/>
      <c r="E123" s="21">
        <f t="shared" si="4"/>
        <v>123</v>
      </c>
      <c r="F123" s="9" t="s">
        <v>118</v>
      </c>
      <c r="J123" s="9"/>
      <c r="K123" s="9"/>
      <c r="L123" s="9"/>
      <c r="M123" s="21" t="b">
        <v>1</v>
      </c>
      <c r="N123" s="9"/>
      <c r="O123" s="9"/>
      <c r="P123" s="9"/>
      <c r="Q123" s="9"/>
      <c r="R123" s="12"/>
      <c r="S123" s="9"/>
      <c r="T123" s="9"/>
      <c r="U123" s="12"/>
      <c r="V123" s="12"/>
      <c r="W123" s="12"/>
      <c r="X123" s="15"/>
      <c r="Y123" s="15"/>
      <c r="Z123" s="15"/>
      <c r="AA123" s="15"/>
      <c r="AB123" s="15"/>
      <c r="AC123" s="15"/>
      <c r="AD123" s="15"/>
      <c r="AE123" s="16"/>
      <c r="AF123" s="16"/>
      <c r="AG123" s="16"/>
      <c r="AH123" s="16"/>
      <c r="AI123" s="16"/>
      <c r="AJ123" s="16"/>
      <c r="AK123" s="16"/>
      <c r="AL123" s="16"/>
      <c r="AM123" s="16"/>
      <c r="AN123" s="16"/>
      <c r="AO123" s="16"/>
      <c r="AP123" s="16"/>
      <c r="AQ123" s="16"/>
      <c r="AR123" s="16"/>
      <c r="AS123" s="16"/>
      <c r="AT123" s="16"/>
      <c r="AU123" s="16"/>
      <c r="AV123" s="16"/>
      <c r="AW123" s="16"/>
      <c r="AX123" s="16"/>
      <c r="AY123" s="16"/>
      <c r="AZ123" s="16"/>
      <c r="BA123" s="16"/>
      <c r="BB123" s="16"/>
      <c r="BC123" s="16"/>
      <c r="BD123" s="16"/>
      <c r="BE123" s="16"/>
      <c r="BF123" s="16"/>
      <c r="BG123" s="16"/>
    </row>
    <row r="124" spans="1:59" s="21" customFormat="1">
      <c r="A124" s="9"/>
      <c r="B124" s="9"/>
      <c r="E124" s="21">
        <f t="shared" si="4"/>
        <v>124</v>
      </c>
      <c r="F124" s="9" t="s">
        <v>102</v>
      </c>
      <c r="J124" s="9"/>
      <c r="K124" s="9"/>
      <c r="L124" s="9"/>
      <c r="M124" s="21">
        <f t="shared" ref="M124" si="25">M110*10+9</f>
        <v>155049</v>
      </c>
      <c r="N124" s="9"/>
      <c r="O124" s="9"/>
      <c r="P124" s="9"/>
      <c r="Q124" s="9"/>
      <c r="R124" s="12"/>
      <c r="S124" s="9"/>
      <c r="T124" s="9"/>
      <c r="U124" s="12"/>
      <c r="V124" s="12"/>
      <c r="W124" s="12"/>
      <c r="X124" s="15"/>
      <c r="Y124" s="15"/>
      <c r="Z124" s="15"/>
      <c r="AA124" s="15"/>
      <c r="AB124" s="15"/>
      <c r="AC124" s="15"/>
      <c r="AD124" s="15"/>
      <c r="AE124" s="16"/>
      <c r="AF124" s="16"/>
      <c r="AG124" s="16"/>
      <c r="AH124" s="16"/>
      <c r="AI124" s="16"/>
      <c r="AJ124" s="16"/>
      <c r="AK124" s="16"/>
      <c r="AL124" s="16"/>
      <c r="AM124" s="16"/>
      <c r="AN124" s="16"/>
      <c r="AO124" s="16"/>
      <c r="AP124" s="16"/>
      <c r="AQ124" s="16"/>
      <c r="AR124" s="16"/>
      <c r="AS124" s="16"/>
      <c r="AT124" s="16"/>
      <c r="AU124" s="16"/>
      <c r="AV124" s="16"/>
      <c r="AW124" s="16"/>
      <c r="AX124" s="16"/>
      <c r="AY124" s="16"/>
      <c r="AZ124" s="16"/>
      <c r="BA124" s="16"/>
      <c r="BB124" s="16"/>
      <c r="BC124" s="16"/>
      <c r="BD124" s="16"/>
      <c r="BE124" s="16"/>
      <c r="BF124" s="16"/>
      <c r="BG124" s="16"/>
    </row>
    <row r="125" spans="1:59" s="21" customFormat="1">
      <c r="A125" s="9"/>
      <c r="B125" s="9"/>
      <c r="E125" s="21">
        <f t="shared" si="4"/>
        <v>125</v>
      </c>
      <c r="F125" s="9" t="s">
        <v>143</v>
      </c>
      <c r="J125" s="9"/>
      <c r="K125" s="9"/>
      <c r="L125" s="9"/>
      <c r="M125" s="21">
        <f t="shared" ref="M125" si="26">M110</f>
        <v>15504</v>
      </c>
      <c r="N125" s="9"/>
      <c r="O125" s="9"/>
      <c r="P125" s="9"/>
      <c r="Q125" s="9"/>
      <c r="R125" s="12"/>
      <c r="S125" s="9"/>
      <c r="T125" s="9"/>
      <c r="U125" s="12"/>
      <c r="V125" s="12"/>
      <c r="W125" s="12"/>
      <c r="X125" s="15"/>
      <c r="Y125" s="15"/>
      <c r="Z125" s="15"/>
      <c r="AA125" s="15"/>
      <c r="AB125" s="15"/>
      <c r="AC125" s="15"/>
      <c r="AD125" s="15"/>
      <c r="AE125" s="16"/>
      <c r="AF125" s="16"/>
      <c r="AG125" s="16"/>
      <c r="AH125" s="16"/>
      <c r="AI125" s="16"/>
      <c r="AJ125" s="16"/>
      <c r="AK125" s="16"/>
      <c r="AL125" s="16"/>
      <c r="AM125" s="16"/>
      <c r="AN125" s="16"/>
      <c r="AO125" s="16"/>
      <c r="AP125" s="16"/>
      <c r="AQ125" s="16"/>
      <c r="AR125" s="16"/>
      <c r="AS125" s="16"/>
      <c r="AT125" s="16"/>
      <c r="AU125" s="16"/>
      <c r="AV125" s="16"/>
      <c r="AW125" s="16"/>
      <c r="AX125" s="16"/>
      <c r="AY125" s="16"/>
      <c r="AZ125" s="16"/>
      <c r="BA125" s="16"/>
      <c r="BB125" s="16"/>
      <c r="BC125" s="16"/>
      <c r="BD125" s="16"/>
      <c r="BE125" s="16"/>
      <c r="BF125" s="16"/>
      <c r="BG125" s="16"/>
    </row>
    <row r="126" spans="1:59" s="21" customFormat="1">
      <c r="A126" s="9"/>
      <c r="B126" s="9"/>
      <c r="E126" s="21">
        <f t="shared" ref="E126:E189" si="27">ROW(E126)</f>
        <v>126</v>
      </c>
      <c r="F126" s="9" t="s">
        <v>127</v>
      </c>
      <c r="J126" s="9"/>
      <c r="K126" s="9"/>
      <c r="L126" s="9"/>
      <c r="M126" s="21">
        <v>90</v>
      </c>
      <c r="N126" s="9"/>
      <c r="O126" s="9"/>
      <c r="P126" s="9"/>
      <c r="Q126" s="9"/>
      <c r="R126" s="12"/>
      <c r="S126" s="9"/>
      <c r="T126" s="9"/>
      <c r="U126" s="12"/>
      <c r="V126" s="12"/>
      <c r="W126" s="12"/>
      <c r="X126" s="15"/>
      <c r="Y126" s="15"/>
      <c r="Z126" s="15"/>
      <c r="AA126" s="15"/>
      <c r="AB126" s="15"/>
      <c r="AC126" s="15"/>
      <c r="AD126" s="15"/>
      <c r="AE126" s="16"/>
      <c r="AF126" s="16"/>
      <c r="AG126" s="16"/>
      <c r="AH126" s="16"/>
      <c r="AI126" s="16"/>
      <c r="AJ126" s="16"/>
      <c r="AK126" s="16"/>
      <c r="AL126" s="16"/>
      <c r="AM126" s="16"/>
      <c r="AN126" s="16"/>
      <c r="AO126" s="16"/>
      <c r="AP126" s="16"/>
      <c r="AQ126" s="16"/>
      <c r="AR126" s="16"/>
      <c r="AS126" s="16"/>
      <c r="AT126" s="16"/>
      <c r="AU126" s="16"/>
      <c r="AV126" s="16"/>
      <c r="AW126" s="16"/>
      <c r="AX126" s="16"/>
      <c r="AY126" s="16"/>
      <c r="AZ126" s="16"/>
      <c r="BA126" s="16"/>
      <c r="BB126" s="16"/>
      <c r="BC126" s="16"/>
      <c r="BD126" s="16"/>
      <c r="BE126" s="16"/>
      <c r="BF126" s="16"/>
      <c r="BG126" s="16"/>
    </row>
    <row r="127" spans="1:59" s="21" customFormat="1">
      <c r="A127" s="9"/>
      <c r="B127" s="9"/>
      <c r="E127" s="21">
        <f t="shared" si="27"/>
        <v>127</v>
      </c>
      <c r="F127" s="9" t="s">
        <v>143</v>
      </c>
      <c r="J127" s="9"/>
      <c r="K127" s="9"/>
      <c r="L127" s="9"/>
      <c r="M127" s="21">
        <f t="shared" ref="M127" si="28">M124</f>
        <v>155049</v>
      </c>
      <c r="N127" s="9"/>
      <c r="O127" s="9"/>
      <c r="P127" s="9"/>
      <c r="Q127" s="9"/>
      <c r="R127" s="12"/>
      <c r="S127" s="9"/>
      <c r="T127" s="9"/>
      <c r="U127" s="12"/>
      <c r="V127" s="12"/>
      <c r="W127" s="12"/>
      <c r="X127" s="15"/>
      <c r="Y127" s="15"/>
      <c r="Z127" s="15"/>
      <c r="AA127" s="15"/>
      <c r="AB127" s="15"/>
      <c r="AC127" s="15"/>
      <c r="AD127" s="15"/>
      <c r="AE127" s="16"/>
      <c r="AF127" s="16"/>
      <c r="AG127" s="16"/>
      <c r="AH127" s="16"/>
      <c r="AI127" s="16"/>
      <c r="AJ127" s="16"/>
      <c r="AK127" s="16"/>
      <c r="AL127" s="16"/>
      <c r="AM127" s="16"/>
      <c r="AN127" s="16"/>
      <c r="AO127" s="16"/>
      <c r="AP127" s="16"/>
      <c r="AQ127" s="16"/>
      <c r="AR127" s="16"/>
      <c r="AS127" s="16"/>
      <c r="AT127" s="16"/>
      <c r="AU127" s="16"/>
      <c r="AV127" s="16"/>
      <c r="AW127" s="16"/>
      <c r="AX127" s="16"/>
      <c r="AY127" s="16"/>
      <c r="AZ127" s="16"/>
      <c r="BA127" s="16"/>
      <c r="BB127" s="16"/>
      <c r="BC127" s="16"/>
      <c r="BD127" s="16"/>
      <c r="BE127" s="16"/>
      <c r="BF127" s="16"/>
      <c r="BG127" s="16"/>
    </row>
    <row r="128" spans="1:59" s="21" customFormat="1">
      <c r="A128" s="9"/>
      <c r="B128" s="9"/>
      <c r="E128" s="21">
        <f t="shared" si="27"/>
        <v>128</v>
      </c>
      <c r="F128" s="9" t="s">
        <v>128</v>
      </c>
      <c r="J128" s="9"/>
      <c r="K128" s="9"/>
      <c r="L128" s="9"/>
      <c r="M128" s="21">
        <v>0</v>
      </c>
      <c r="N128" s="9"/>
      <c r="O128" s="9"/>
      <c r="P128" s="9"/>
      <c r="Q128" s="9"/>
      <c r="R128" s="12"/>
      <c r="S128" s="9"/>
      <c r="T128" s="9"/>
      <c r="U128" s="12"/>
      <c r="V128" s="12"/>
      <c r="W128" s="12"/>
      <c r="X128" s="15"/>
      <c r="Y128" s="15"/>
      <c r="Z128" s="15"/>
      <c r="AA128" s="15"/>
      <c r="AB128" s="15"/>
      <c r="AC128" s="15"/>
      <c r="AD128" s="15"/>
      <c r="AE128" s="16"/>
      <c r="AF128" s="16"/>
      <c r="AG128" s="16"/>
      <c r="AH128" s="16"/>
      <c r="AI128" s="16"/>
      <c r="AJ128" s="16"/>
      <c r="AK128" s="16"/>
      <c r="AL128" s="16"/>
      <c r="AM128" s="16"/>
      <c r="AN128" s="16"/>
      <c r="AO128" s="16"/>
      <c r="AP128" s="16"/>
      <c r="AQ128" s="16"/>
      <c r="AR128" s="16"/>
      <c r="AS128" s="16"/>
      <c r="AT128" s="16"/>
      <c r="AU128" s="16"/>
      <c r="AV128" s="16"/>
      <c r="AW128" s="16"/>
      <c r="AX128" s="16"/>
      <c r="AY128" s="16"/>
      <c r="AZ128" s="16"/>
      <c r="BA128" s="16"/>
      <c r="BB128" s="16"/>
      <c r="BC128" s="16"/>
      <c r="BD128" s="16"/>
      <c r="BE128" s="16"/>
      <c r="BF128" s="16"/>
      <c r="BG128" s="16"/>
    </row>
    <row r="129" spans="1:59" s="21" customFormat="1">
      <c r="A129" s="9"/>
      <c r="B129" s="9"/>
      <c r="E129" s="21">
        <f t="shared" si="27"/>
        <v>129</v>
      </c>
      <c r="F129" s="9" t="s">
        <v>35</v>
      </c>
      <c r="J129" s="9"/>
      <c r="K129" s="9"/>
      <c r="L129" s="9"/>
      <c r="M129" s="21">
        <v>20</v>
      </c>
      <c r="N129" s="9"/>
      <c r="O129" s="9"/>
      <c r="P129" s="9"/>
      <c r="Q129" s="9"/>
      <c r="R129" s="12"/>
      <c r="S129" s="9"/>
      <c r="T129" s="9"/>
      <c r="U129" s="12"/>
      <c r="V129" s="12"/>
      <c r="W129" s="12"/>
      <c r="X129" s="15"/>
      <c r="Y129" s="15"/>
      <c r="Z129" s="15"/>
      <c r="AA129" s="15"/>
      <c r="AB129" s="15"/>
      <c r="AC129" s="15"/>
      <c r="AD129" s="15"/>
      <c r="AE129" s="16"/>
      <c r="AF129" s="16"/>
      <c r="AG129" s="16"/>
      <c r="AH129" s="16"/>
      <c r="AI129" s="16"/>
      <c r="AJ129" s="16"/>
      <c r="AK129" s="16"/>
      <c r="AL129" s="16"/>
      <c r="AM129" s="16"/>
      <c r="AN129" s="16"/>
      <c r="AO129" s="16"/>
      <c r="AP129" s="16"/>
      <c r="AQ129" s="16"/>
      <c r="AR129" s="16"/>
      <c r="AS129" s="16"/>
      <c r="AT129" s="16"/>
      <c r="AU129" s="16"/>
      <c r="AV129" s="16"/>
      <c r="AW129" s="16"/>
      <c r="AX129" s="16"/>
      <c r="AY129" s="16"/>
      <c r="AZ129" s="16"/>
      <c r="BA129" s="16"/>
      <c r="BB129" s="16"/>
      <c r="BC129" s="16"/>
      <c r="BD129" s="16"/>
      <c r="BE129" s="16"/>
      <c r="BF129" s="16"/>
      <c r="BG129" s="16"/>
    </row>
    <row r="130" spans="1:59" s="21" customFormat="1">
      <c r="A130" s="9"/>
      <c r="B130" s="9"/>
      <c r="E130" s="21">
        <f t="shared" si="27"/>
        <v>130</v>
      </c>
      <c r="F130" s="9" t="s">
        <v>30</v>
      </c>
      <c r="J130" s="9"/>
      <c r="K130" s="9"/>
      <c r="L130" s="9"/>
      <c r="M130" s="21">
        <v>0</v>
      </c>
      <c r="N130" s="9"/>
      <c r="O130" s="9"/>
      <c r="P130" s="9"/>
      <c r="Q130" s="9"/>
      <c r="R130" s="12"/>
      <c r="S130" s="9"/>
      <c r="T130" s="9"/>
      <c r="U130" s="12"/>
      <c r="V130" s="12"/>
      <c r="W130" s="12"/>
      <c r="X130" s="15"/>
      <c r="Y130" s="15"/>
      <c r="Z130" s="15"/>
      <c r="AA130" s="15"/>
      <c r="AB130" s="15"/>
      <c r="AC130" s="15"/>
      <c r="AD130" s="15"/>
      <c r="AE130" s="16"/>
      <c r="AF130" s="16"/>
      <c r="AG130" s="16"/>
      <c r="AH130" s="16"/>
      <c r="AI130" s="16"/>
      <c r="AJ130" s="16"/>
      <c r="AK130" s="16"/>
      <c r="AL130" s="16"/>
      <c r="AM130" s="16"/>
      <c r="AN130" s="16"/>
      <c r="AO130" s="16"/>
      <c r="AP130" s="16"/>
      <c r="AQ130" s="16"/>
      <c r="AR130" s="16"/>
      <c r="AS130" s="16"/>
      <c r="AT130" s="16"/>
      <c r="AU130" s="16"/>
      <c r="AV130" s="16"/>
      <c r="AW130" s="16"/>
      <c r="AX130" s="16"/>
      <c r="AY130" s="16"/>
      <c r="AZ130" s="16"/>
      <c r="BA130" s="16"/>
      <c r="BB130" s="16"/>
      <c r="BC130" s="16"/>
      <c r="BD130" s="16"/>
      <c r="BE130" s="16"/>
      <c r="BF130" s="16"/>
      <c r="BG130" s="16"/>
    </row>
    <row r="131" spans="1:59" s="21" customFormat="1">
      <c r="A131" s="9"/>
      <c r="B131" s="9"/>
      <c r="E131" s="21">
        <f t="shared" si="27"/>
        <v>131</v>
      </c>
      <c r="F131" s="9" t="s">
        <v>31</v>
      </c>
      <c r="J131" s="9"/>
      <c r="K131" s="9"/>
      <c r="L131" s="9" t="s">
        <v>135</v>
      </c>
      <c r="M131" s="21">
        <v>0</v>
      </c>
      <c r="N131" s="9"/>
      <c r="O131" s="9"/>
      <c r="P131" s="9"/>
      <c r="Q131" s="9"/>
      <c r="R131" s="12"/>
      <c r="S131" s="9"/>
      <c r="T131" s="9"/>
      <c r="U131" s="12"/>
      <c r="V131" s="12"/>
      <c r="W131" s="12"/>
      <c r="X131" s="15"/>
      <c r="Y131" s="15"/>
      <c r="Z131" s="15"/>
      <c r="AA131" s="15"/>
      <c r="AB131" s="15"/>
      <c r="AC131" s="15"/>
      <c r="AD131" s="15"/>
      <c r="AE131" s="16"/>
      <c r="AF131" s="16"/>
      <c r="AG131" s="16"/>
      <c r="AH131" s="16"/>
      <c r="AI131" s="16"/>
      <c r="AJ131" s="16"/>
      <c r="AK131" s="16"/>
      <c r="AL131" s="16"/>
      <c r="AM131" s="16"/>
      <c r="AN131" s="16"/>
      <c r="AO131" s="16"/>
      <c r="AP131" s="16"/>
      <c r="AQ131" s="16"/>
      <c r="AR131" s="16"/>
      <c r="AS131" s="16"/>
      <c r="AT131" s="16"/>
      <c r="AU131" s="16"/>
      <c r="AV131" s="16"/>
      <c r="AW131" s="16"/>
      <c r="AX131" s="16"/>
      <c r="AY131" s="16"/>
      <c r="AZ131" s="16"/>
      <c r="BA131" s="16"/>
      <c r="BB131" s="16"/>
      <c r="BC131" s="16"/>
      <c r="BD131" s="16"/>
      <c r="BE131" s="16"/>
      <c r="BF131" s="16"/>
      <c r="BG131" s="16"/>
    </row>
    <row r="132" spans="1:59" s="21" customFormat="1">
      <c r="A132" s="9"/>
      <c r="B132" s="9"/>
      <c r="E132" s="21">
        <f t="shared" si="27"/>
        <v>132</v>
      </c>
      <c r="F132" s="9" t="s">
        <v>171</v>
      </c>
      <c r="J132" s="9"/>
      <c r="K132" s="9"/>
      <c r="L132" s="9"/>
      <c r="M132" s="21">
        <f t="shared" ref="M132" si="29">J110</f>
        <v>15500</v>
      </c>
      <c r="N132" s="9"/>
      <c r="O132" s="9"/>
      <c r="P132" s="9"/>
      <c r="Q132" s="9"/>
      <c r="R132" s="12"/>
      <c r="S132" s="9"/>
      <c r="T132" s="9"/>
      <c r="U132" s="12"/>
      <c r="V132" s="12"/>
      <c r="W132" s="12"/>
      <c r="X132" s="15"/>
      <c r="Y132" s="15"/>
      <c r="Z132" s="15"/>
      <c r="AA132" s="15"/>
      <c r="AB132" s="15"/>
      <c r="AC132" s="15"/>
      <c r="AD132" s="15"/>
      <c r="AE132" s="16"/>
      <c r="AF132" s="16"/>
      <c r="AG132" s="16"/>
      <c r="AH132" s="16"/>
      <c r="AI132" s="16"/>
      <c r="AJ132" s="16"/>
      <c r="AK132" s="16"/>
      <c r="AL132" s="16"/>
      <c r="AM132" s="16"/>
      <c r="AN132" s="16"/>
      <c r="AO132" s="16"/>
      <c r="AP132" s="16"/>
      <c r="AQ132" s="16"/>
      <c r="AR132" s="16"/>
      <c r="AS132" s="16"/>
      <c r="AT132" s="16"/>
      <c r="AU132" s="16"/>
      <c r="AV132" s="16"/>
      <c r="AW132" s="16"/>
      <c r="AX132" s="16"/>
      <c r="AY132" s="16"/>
      <c r="AZ132" s="16"/>
      <c r="BA132" s="16"/>
      <c r="BB132" s="16"/>
      <c r="BC132" s="16"/>
      <c r="BD132" s="16"/>
      <c r="BE132" s="16"/>
      <c r="BF132" s="16"/>
      <c r="BG132" s="16"/>
    </row>
    <row r="133" spans="1:59" s="21" customFormat="1">
      <c r="A133" s="9" t="s">
        <v>231</v>
      </c>
      <c r="B133" s="9">
        <f t="shared" ref="B133" si="30">QUOTIENT( D133-1,G134)+1</f>
        <v>1</v>
      </c>
      <c r="C133" s="21">
        <f t="shared" ref="C133" si="31">D133-(B133-1)*G134</f>
        <v>5</v>
      </c>
      <c r="D133" s="21">
        <f>COUNT($D$31:$D132)+1</f>
        <v>5</v>
      </c>
      <c r="F133" s="9"/>
      <c r="J133" s="9"/>
      <c r="K133" s="9"/>
      <c r="L133" s="9"/>
      <c r="N133" s="9"/>
      <c r="O133" s="9"/>
      <c r="P133" s="9"/>
      <c r="Q133" s="9"/>
      <c r="R133" s="12"/>
      <c r="S133" s="9"/>
      <c r="T133" s="9"/>
      <c r="U133" s="12"/>
      <c r="V133" s="12"/>
      <c r="W133" s="12"/>
      <c r="X133" s="15"/>
      <c r="Y133" s="15"/>
      <c r="Z133" s="15"/>
      <c r="AA133" s="15"/>
      <c r="AB133" s="15"/>
      <c r="AC133" s="15"/>
      <c r="AD133" s="15"/>
      <c r="AE133" s="16"/>
      <c r="AF133" s="16"/>
      <c r="AG133" s="16"/>
      <c r="AH133" s="16"/>
      <c r="AI133" s="16"/>
      <c r="AJ133" s="16"/>
      <c r="AK133" s="16"/>
      <c r="AL133" s="16"/>
      <c r="AM133" s="16"/>
      <c r="AN133" s="16"/>
      <c r="AO133" s="16"/>
      <c r="AP133" s="16"/>
      <c r="AQ133" s="16"/>
      <c r="AR133" s="16"/>
      <c r="AS133" s="16"/>
      <c r="AT133" s="16"/>
      <c r="AU133" s="16"/>
      <c r="AV133" s="16"/>
      <c r="AW133" s="16"/>
      <c r="AX133" s="16"/>
      <c r="AY133" s="16"/>
      <c r="AZ133" s="16"/>
      <c r="BA133" s="16"/>
      <c r="BB133" s="16"/>
      <c r="BC133" s="16"/>
      <c r="BD133" s="16"/>
      <c r="BE133" s="16"/>
      <c r="BF133" s="16"/>
      <c r="BG133" s="16"/>
    </row>
    <row r="134" spans="1:59" s="21" customFormat="1">
      <c r="A134" s="9"/>
      <c r="B134" s="9"/>
      <c r="E134" s="21">
        <f t="shared" ref="E134" si="32">ROW(E134)</f>
        <v>134</v>
      </c>
      <c r="F134" s="9" t="s">
        <v>93</v>
      </c>
      <c r="G134" s="21">
        <v>8</v>
      </c>
      <c r="H134" s="21">
        <v>1</v>
      </c>
      <c r="J134" s="9">
        <v>15500</v>
      </c>
      <c r="K134" s="9"/>
      <c r="L134" s="9"/>
      <c r="M134" s="21">
        <f t="shared" ref="M134" si="33">J134+D133</f>
        <v>15505</v>
      </c>
      <c r="N134" s="9"/>
      <c r="O134" s="9"/>
      <c r="P134" s="9"/>
      <c r="Q134" s="9"/>
      <c r="R134" s="12"/>
      <c r="S134" s="9"/>
      <c r="T134" s="9"/>
      <c r="U134" s="12"/>
      <c r="V134" s="12"/>
      <c r="W134" s="12"/>
      <c r="X134" s="15"/>
      <c r="Y134" s="15"/>
      <c r="Z134" s="15"/>
      <c r="AA134" s="15"/>
      <c r="AB134" s="15"/>
      <c r="AC134" s="15"/>
      <c r="AD134" s="15"/>
      <c r="AE134" s="16"/>
      <c r="AF134" s="16"/>
      <c r="AG134" s="16"/>
      <c r="AH134" s="16"/>
      <c r="AI134" s="16"/>
      <c r="AJ134" s="16"/>
      <c r="AK134" s="16"/>
      <c r="AL134" s="16"/>
      <c r="AM134" s="16"/>
      <c r="AN134" s="16"/>
      <c r="AO134" s="16"/>
      <c r="AP134" s="16"/>
      <c r="AQ134" s="16"/>
      <c r="AR134" s="16"/>
      <c r="AS134" s="16"/>
      <c r="AT134" s="16"/>
      <c r="AU134" s="16"/>
      <c r="AV134" s="16"/>
      <c r="AW134" s="16"/>
      <c r="AX134" s="16"/>
      <c r="AY134" s="16"/>
      <c r="AZ134" s="16"/>
      <c r="BA134" s="16"/>
      <c r="BB134" s="16"/>
      <c r="BC134" s="16"/>
      <c r="BD134" s="16"/>
      <c r="BE134" s="16"/>
      <c r="BF134" s="16"/>
      <c r="BG134" s="16"/>
    </row>
    <row r="135" spans="1:59" s="21" customFormat="1">
      <c r="A135" s="9"/>
      <c r="B135" s="9"/>
      <c r="E135" s="21">
        <f t="shared" si="27"/>
        <v>135</v>
      </c>
      <c r="F135" s="9" t="s">
        <v>143</v>
      </c>
      <c r="J135" s="9"/>
      <c r="K135" s="9"/>
      <c r="L135" s="9"/>
      <c r="M135" s="21">
        <v>15400</v>
      </c>
      <c r="N135" s="9"/>
      <c r="O135" s="9"/>
      <c r="P135" s="9"/>
      <c r="Q135" s="9"/>
      <c r="R135" s="12"/>
      <c r="S135" s="9"/>
      <c r="T135" s="9"/>
      <c r="U135" s="12"/>
      <c r="V135" s="12"/>
      <c r="W135" s="12"/>
      <c r="X135" s="15"/>
      <c r="Y135" s="15"/>
      <c r="Z135" s="15"/>
      <c r="AA135" s="15"/>
      <c r="AB135" s="15"/>
      <c r="AC135" s="15"/>
      <c r="AD135" s="15"/>
      <c r="AE135" s="16"/>
      <c r="AF135" s="16"/>
      <c r="AG135" s="16"/>
      <c r="AH135" s="16"/>
      <c r="AI135" s="16"/>
      <c r="AJ135" s="16"/>
      <c r="AK135" s="16"/>
      <c r="AL135" s="16"/>
      <c r="AM135" s="16"/>
      <c r="AN135" s="16"/>
      <c r="AO135" s="16"/>
      <c r="AP135" s="16"/>
      <c r="AQ135" s="16"/>
      <c r="AR135" s="16"/>
      <c r="AS135" s="16"/>
      <c r="AT135" s="16"/>
      <c r="AU135" s="16"/>
      <c r="AV135" s="16"/>
      <c r="AW135" s="16"/>
      <c r="AX135" s="16"/>
      <c r="AY135" s="16"/>
      <c r="AZ135" s="16"/>
      <c r="BA135" s="16"/>
      <c r="BB135" s="16"/>
      <c r="BC135" s="16"/>
      <c r="BD135" s="16"/>
      <c r="BE135" s="16"/>
      <c r="BF135" s="16"/>
      <c r="BG135" s="16"/>
    </row>
    <row r="136" spans="1:59" s="21" customFormat="1">
      <c r="A136" s="9"/>
      <c r="B136" s="9"/>
      <c r="E136" s="21">
        <f t="shared" si="27"/>
        <v>136</v>
      </c>
      <c r="F136" s="9" t="s">
        <v>128</v>
      </c>
      <c r="J136" s="9"/>
      <c r="K136" s="9"/>
      <c r="L136" s="9"/>
      <c r="M136" s="21">
        <v>0</v>
      </c>
      <c r="N136" s="9"/>
      <c r="O136" s="9"/>
      <c r="P136" s="9"/>
      <c r="Q136" s="9"/>
      <c r="R136" s="12"/>
      <c r="S136" s="9"/>
      <c r="T136" s="9"/>
      <c r="U136" s="12"/>
      <c r="V136" s="12"/>
      <c r="W136" s="12"/>
      <c r="X136" s="15"/>
      <c r="Y136" s="15"/>
      <c r="Z136" s="15"/>
      <c r="AA136" s="15"/>
      <c r="AB136" s="15"/>
      <c r="AC136" s="15"/>
      <c r="AD136" s="15"/>
      <c r="AE136" s="16"/>
      <c r="AF136" s="16"/>
      <c r="AG136" s="16"/>
      <c r="AH136" s="16"/>
      <c r="AI136" s="16"/>
      <c r="AJ136" s="16"/>
      <c r="AK136" s="16"/>
      <c r="AL136" s="16"/>
      <c r="AM136" s="16"/>
      <c r="AN136" s="16"/>
      <c r="AO136" s="16"/>
      <c r="AP136" s="16"/>
      <c r="AQ136" s="16"/>
      <c r="AR136" s="16"/>
      <c r="AS136" s="16"/>
      <c r="AT136" s="16"/>
      <c r="AU136" s="16"/>
      <c r="AV136" s="16"/>
      <c r="AW136" s="16"/>
      <c r="AX136" s="16"/>
      <c r="AY136" s="16"/>
      <c r="AZ136" s="16"/>
      <c r="BA136" s="16"/>
      <c r="BB136" s="16"/>
      <c r="BC136" s="16"/>
      <c r="BD136" s="16"/>
      <c r="BE136" s="16"/>
      <c r="BF136" s="16"/>
      <c r="BG136" s="16"/>
    </row>
    <row r="137" spans="1:59" s="21" customFormat="1">
      <c r="A137" s="9"/>
      <c r="E137" s="21">
        <f t="shared" si="27"/>
        <v>137</v>
      </c>
      <c r="F137" s="9" t="s">
        <v>29</v>
      </c>
      <c r="J137" s="9"/>
      <c r="K137" s="9"/>
      <c r="L137" s="9"/>
      <c r="M137" s="21" t="s">
        <v>146</v>
      </c>
      <c r="N137" s="9"/>
      <c r="O137" s="9"/>
      <c r="P137" s="9"/>
      <c r="Q137" s="9"/>
      <c r="R137" s="12"/>
      <c r="S137" s="9"/>
      <c r="T137" s="9"/>
      <c r="U137" s="12"/>
      <c r="V137" s="12"/>
      <c r="W137" s="12"/>
      <c r="X137" s="15"/>
      <c r="Y137" s="15"/>
      <c r="Z137" s="15"/>
      <c r="AA137" s="15"/>
      <c r="AB137" s="15"/>
      <c r="AC137" s="15"/>
      <c r="AD137" s="15"/>
      <c r="AE137" s="16"/>
      <c r="AF137" s="16"/>
      <c r="AG137" s="16"/>
      <c r="AH137" s="16"/>
      <c r="AI137" s="16"/>
      <c r="AJ137" s="16"/>
      <c r="AK137" s="16"/>
      <c r="AL137" s="16"/>
      <c r="AM137" s="16"/>
      <c r="AN137" s="16"/>
      <c r="AO137" s="16"/>
      <c r="AP137" s="16"/>
      <c r="AQ137" s="16"/>
      <c r="AR137" s="16"/>
      <c r="AS137" s="16"/>
      <c r="AT137" s="16"/>
      <c r="AU137" s="16"/>
      <c r="AV137" s="16"/>
      <c r="AW137" s="16"/>
      <c r="AX137" s="16"/>
      <c r="AY137" s="16"/>
      <c r="AZ137" s="16"/>
      <c r="BA137" s="16"/>
      <c r="BB137" s="16"/>
      <c r="BC137" s="16"/>
      <c r="BD137" s="16"/>
      <c r="BE137" s="16"/>
      <c r="BF137" s="16"/>
      <c r="BG137" s="16"/>
    </row>
    <row r="138" spans="1:59" s="21" customFormat="1">
      <c r="A138" s="9"/>
      <c r="B138" s="9"/>
      <c r="E138" s="21">
        <f t="shared" si="27"/>
        <v>138</v>
      </c>
      <c r="F138" s="9" t="s">
        <v>119</v>
      </c>
      <c r="J138" s="9"/>
      <c r="K138" s="9"/>
      <c r="L138" s="9"/>
      <c r="M138" s="21" t="s">
        <v>245</v>
      </c>
      <c r="N138" s="9"/>
      <c r="O138" s="9"/>
      <c r="P138" s="9"/>
      <c r="Q138" s="9"/>
      <c r="R138" s="12"/>
      <c r="S138" s="9"/>
      <c r="T138" s="9"/>
      <c r="U138" s="12"/>
      <c r="V138" s="12"/>
      <c r="W138" s="12"/>
      <c r="X138" s="15"/>
      <c r="Y138" s="15"/>
      <c r="Z138" s="15"/>
      <c r="AA138" s="15"/>
      <c r="AB138" s="15"/>
      <c r="AC138" s="15"/>
      <c r="AD138" s="15"/>
      <c r="AE138" s="16"/>
      <c r="AF138" s="16"/>
      <c r="AG138" s="16"/>
      <c r="AH138" s="16"/>
      <c r="AI138" s="16"/>
      <c r="AJ138" s="16"/>
      <c r="AK138" s="16"/>
      <c r="AL138" s="16"/>
      <c r="AM138" s="16"/>
      <c r="AN138" s="16"/>
      <c r="AO138" s="16"/>
      <c r="AP138" s="16"/>
      <c r="AQ138" s="16"/>
      <c r="AR138" s="16"/>
      <c r="AS138" s="16"/>
      <c r="AT138" s="16"/>
      <c r="AU138" s="16"/>
      <c r="AV138" s="16"/>
      <c r="AW138" s="16"/>
      <c r="AX138" s="16"/>
      <c r="AY138" s="16"/>
      <c r="AZ138" s="16"/>
      <c r="BA138" s="16"/>
      <c r="BB138" s="16"/>
      <c r="BC138" s="16"/>
      <c r="BD138" s="16"/>
      <c r="BE138" s="16"/>
      <c r="BF138" s="16"/>
      <c r="BG138" s="16"/>
    </row>
    <row r="139" spans="1:59" s="21" customFormat="1">
      <c r="A139" s="9"/>
      <c r="B139" s="9"/>
      <c r="E139" s="21">
        <f t="shared" si="27"/>
        <v>139</v>
      </c>
      <c r="F139" s="9" t="s">
        <v>99</v>
      </c>
      <c r="J139" s="9"/>
      <c r="K139" s="9" t="s">
        <v>138</v>
      </c>
      <c r="L139" s="9"/>
      <c r="M139" s="21">
        <v>2</v>
      </c>
      <c r="N139" s="9"/>
      <c r="O139" s="9"/>
      <c r="P139" s="9"/>
      <c r="Q139" s="9"/>
      <c r="R139" s="12"/>
      <c r="S139" s="9"/>
      <c r="T139" s="9"/>
      <c r="U139" s="12"/>
      <c r="V139" s="12"/>
      <c r="W139" s="12"/>
      <c r="X139" s="15"/>
      <c r="Y139" s="15"/>
      <c r="Z139" s="15"/>
      <c r="AA139" s="15"/>
      <c r="AB139" s="15"/>
      <c r="AC139" s="15"/>
      <c r="AD139" s="15"/>
      <c r="AE139" s="16"/>
      <c r="AF139" s="16"/>
      <c r="AG139" s="16"/>
      <c r="AH139" s="16"/>
      <c r="AI139" s="16"/>
      <c r="AJ139" s="16"/>
      <c r="AK139" s="16"/>
      <c r="AL139" s="16"/>
      <c r="AM139" s="16"/>
      <c r="AN139" s="16"/>
      <c r="AO139" s="16"/>
      <c r="AP139" s="16"/>
      <c r="AQ139" s="16"/>
      <c r="AR139" s="16"/>
      <c r="AS139" s="16"/>
      <c r="AT139" s="16"/>
      <c r="AU139" s="16"/>
      <c r="AV139" s="16"/>
      <c r="AW139" s="16"/>
      <c r="AX139" s="16"/>
      <c r="AY139" s="16"/>
      <c r="AZ139" s="16"/>
      <c r="BA139" s="16"/>
      <c r="BB139" s="16"/>
      <c r="BC139" s="16"/>
      <c r="BD139" s="16"/>
      <c r="BE139" s="16"/>
      <c r="BF139" s="16"/>
      <c r="BG139" s="16"/>
    </row>
    <row r="140" spans="1:59" s="21" customFormat="1">
      <c r="A140" s="9"/>
      <c r="B140" s="9"/>
      <c r="E140" s="21">
        <f t="shared" si="27"/>
        <v>140</v>
      </c>
      <c r="F140" s="9" t="s">
        <v>110</v>
      </c>
      <c r="J140" s="9"/>
      <c r="K140" s="9"/>
      <c r="L140" s="9"/>
      <c r="M140" s="21">
        <v>3</v>
      </c>
      <c r="N140" s="9"/>
      <c r="O140" s="9"/>
      <c r="P140" s="9"/>
      <c r="Q140" s="9"/>
      <c r="R140" s="12"/>
      <c r="S140" s="9"/>
      <c r="T140" s="9"/>
      <c r="U140" s="12"/>
      <c r="V140" s="12"/>
      <c r="W140" s="12"/>
      <c r="X140" s="15"/>
      <c r="Y140" s="15"/>
      <c r="Z140" s="15"/>
      <c r="AA140" s="15"/>
      <c r="AB140" s="15"/>
      <c r="AC140" s="15"/>
      <c r="AD140" s="15"/>
      <c r="AE140" s="16"/>
      <c r="AF140" s="16"/>
      <c r="AG140" s="16"/>
      <c r="AH140" s="16"/>
      <c r="AI140" s="16"/>
      <c r="AJ140" s="16"/>
      <c r="AK140" s="16"/>
      <c r="AL140" s="16"/>
      <c r="AM140" s="16"/>
      <c r="AN140" s="16"/>
      <c r="AO140" s="16"/>
      <c r="AP140" s="16"/>
      <c r="AQ140" s="16"/>
      <c r="AR140" s="16"/>
      <c r="AS140" s="16"/>
      <c r="AT140" s="16"/>
      <c r="AU140" s="16"/>
      <c r="AV140" s="16"/>
      <c r="AW140" s="16"/>
      <c r="AX140" s="16"/>
      <c r="AY140" s="16"/>
      <c r="AZ140" s="16"/>
      <c r="BA140" s="16"/>
      <c r="BB140" s="16"/>
      <c r="BC140" s="16"/>
      <c r="BD140" s="16"/>
      <c r="BE140" s="16"/>
      <c r="BF140" s="16"/>
      <c r="BG140" s="16"/>
    </row>
    <row r="141" spans="1:59" s="21" customFormat="1">
      <c r="A141" s="9"/>
      <c r="B141" s="9"/>
      <c r="E141" s="21">
        <f t="shared" si="27"/>
        <v>141</v>
      </c>
      <c r="F141" s="9" t="s">
        <v>30</v>
      </c>
      <c r="J141" s="9"/>
      <c r="K141" s="9"/>
      <c r="L141" s="9"/>
      <c r="M141" s="21">
        <v>3</v>
      </c>
      <c r="N141" s="9"/>
      <c r="O141" s="9"/>
      <c r="P141" s="9"/>
      <c r="Q141" s="9"/>
      <c r="R141" s="12"/>
      <c r="S141" s="9"/>
      <c r="T141" s="9"/>
      <c r="U141" s="12"/>
      <c r="V141" s="12"/>
      <c r="W141" s="12"/>
      <c r="X141" s="15"/>
      <c r="Y141" s="15"/>
      <c r="Z141" s="15"/>
      <c r="AA141" s="15"/>
      <c r="AB141" s="15"/>
      <c r="AC141" s="15"/>
      <c r="AD141" s="15"/>
      <c r="AE141" s="16"/>
      <c r="AF141" s="16"/>
      <c r="AG141" s="16"/>
      <c r="AH141" s="16"/>
      <c r="AI141" s="16"/>
      <c r="AJ141" s="16"/>
      <c r="AK141" s="16"/>
      <c r="AL141" s="16"/>
      <c r="AM141" s="16"/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6"/>
    </row>
    <row r="142" spans="1:59" s="21" customFormat="1">
      <c r="A142" s="9"/>
      <c r="B142" s="9"/>
      <c r="E142" s="21">
        <f t="shared" si="27"/>
        <v>142</v>
      </c>
      <c r="F142" s="9" t="s">
        <v>116</v>
      </c>
      <c r="J142" s="9"/>
      <c r="K142" s="9"/>
      <c r="L142" s="9"/>
      <c r="M142" s="21">
        <v>1.5</v>
      </c>
      <c r="N142" s="9"/>
      <c r="O142" s="9"/>
      <c r="P142" s="9"/>
      <c r="Q142" s="9"/>
      <c r="R142" s="12"/>
      <c r="S142" s="9"/>
      <c r="T142" s="9"/>
      <c r="U142" s="12"/>
      <c r="V142" s="12"/>
      <c r="W142" s="12"/>
      <c r="X142" s="15"/>
      <c r="Y142" s="15"/>
      <c r="Z142" s="15"/>
      <c r="AA142" s="15"/>
      <c r="AB142" s="15"/>
      <c r="AC142" s="15"/>
      <c r="AD142" s="15"/>
      <c r="AE142" s="16"/>
      <c r="AF142" s="16"/>
      <c r="AG142" s="16"/>
      <c r="AH142" s="16"/>
      <c r="AI142" s="16"/>
      <c r="AJ142" s="16"/>
      <c r="AK142" s="16"/>
      <c r="AL142" s="16"/>
      <c r="AM142" s="16"/>
      <c r="AN142" s="16"/>
      <c r="AO142" s="16"/>
      <c r="AP142" s="16"/>
      <c r="AQ142" s="16"/>
      <c r="AR142" s="16"/>
      <c r="AS142" s="16"/>
      <c r="AT142" s="16"/>
      <c r="AU142" s="16"/>
      <c r="AV142" s="16"/>
      <c r="AW142" s="16"/>
      <c r="AX142" s="16"/>
      <c r="AY142" s="16"/>
      <c r="AZ142" s="16"/>
      <c r="BA142" s="16"/>
      <c r="BB142" s="16"/>
      <c r="BC142" s="16"/>
      <c r="BD142" s="16"/>
      <c r="BE142" s="16"/>
      <c r="BF142" s="16"/>
      <c r="BG142" s="16"/>
    </row>
    <row r="143" spans="1:59" s="21" customFormat="1">
      <c r="A143" s="9"/>
      <c r="B143" s="9"/>
      <c r="E143" s="21">
        <f t="shared" si="27"/>
        <v>143</v>
      </c>
      <c r="F143" s="9" t="s">
        <v>31</v>
      </c>
      <c r="G143" s="21">
        <v>45</v>
      </c>
      <c r="J143" s="9"/>
      <c r="K143" s="9"/>
      <c r="L143" s="9" t="s">
        <v>135</v>
      </c>
      <c r="M143" s="21">
        <f t="shared" ref="M143" si="34">G143*D133</f>
        <v>225</v>
      </c>
      <c r="N143" s="9"/>
      <c r="O143" s="9"/>
      <c r="P143" s="9"/>
      <c r="Q143" s="9"/>
      <c r="R143" s="12"/>
      <c r="S143" s="9"/>
      <c r="T143" s="9"/>
      <c r="U143" s="12"/>
      <c r="V143" s="12"/>
      <c r="W143" s="12"/>
      <c r="X143" s="15"/>
      <c r="Y143" s="15"/>
      <c r="Z143" s="15"/>
      <c r="AA143" s="15"/>
      <c r="AB143" s="15"/>
      <c r="AC143" s="15"/>
      <c r="AD143" s="15"/>
      <c r="AE143" s="16"/>
      <c r="AF143" s="16"/>
      <c r="AG143" s="16"/>
      <c r="AH143" s="16"/>
      <c r="AI143" s="16"/>
      <c r="AJ143" s="16"/>
      <c r="AK143" s="16"/>
      <c r="AL143" s="16"/>
      <c r="AM143" s="16"/>
      <c r="AN143" s="16"/>
      <c r="AO143" s="16"/>
      <c r="AP143" s="16"/>
      <c r="AQ143" s="16"/>
      <c r="AR143" s="16"/>
      <c r="AS143" s="16"/>
      <c r="AT143" s="16"/>
      <c r="AU143" s="16"/>
      <c r="AV143" s="16"/>
      <c r="AW143" s="16"/>
      <c r="AX143" s="16"/>
      <c r="AY143" s="16"/>
      <c r="AZ143" s="16"/>
      <c r="BA143" s="16"/>
      <c r="BB143" s="16"/>
      <c r="BC143" s="16"/>
      <c r="BD143" s="16"/>
      <c r="BE143" s="16"/>
      <c r="BF143" s="16"/>
      <c r="BG143" s="16"/>
    </row>
    <row r="144" spans="1:59" s="21" customFormat="1">
      <c r="A144" s="9"/>
      <c r="B144" s="9"/>
      <c r="E144" s="21">
        <f t="shared" si="27"/>
        <v>144</v>
      </c>
      <c r="F144" s="9" t="s">
        <v>112</v>
      </c>
      <c r="J144" s="9"/>
      <c r="K144" s="9"/>
      <c r="L144" s="9" t="s">
        <v>135</v>
      </c>
      <c r="M144" s="21">
        <v>85.94</v>
      </c>
      <c r="N144" s="9"/>
      <c r="O144" s="9"/>
      <c r="P144" s="9"/>
      <c r="Q144" s="9"/>
      <c r="R144" s="12"/>
      <c r="S144" s="9"/>
      <c r="T144" s="9"/>
      <c r="U144" s="12"/>
      <c r="V144" s="12"/>
      <c r="W144" s="12"/>
      <c r="X144" s="15"/>
      <c r="Y144" s="15"/>
      <c r="Z144" s="15"/>
      <c r="AA144" s="15"/>
      <c r="AB144" s="15"/>
      <c r="AC144" s="15"/>
      <c r="AD144" s="15"/>
      <c r="AE144" s="16"/>
      <c r="AF144" s="16"/>
      <c r="AG144" s="16"/>
      <c r="AH144" s="16"/>
      <c r="AI144" s="16"/>
      <c r="AJ144" s="16"/>
      <c r="AK144" s="16"/>
      <c r="AL144" s="16"/>
      <c r="AM144" s="16"/>
      <c r="AN144" s="16"/>
      <c r="AO144" s="16"/>
      <c r="AP144" s="16"/>
      <c r="AQ144" s="16"/>
      <c r="AR144" s="16"/>
      <c r="AS144" s="16"/>
      <c r="AT144" s="16"/>
      <c r="AU144" s="16"/>
      <c r="AV144" s="16"/>
      <c r="AW144" s="16"/>
      <c r="AX144" s="16"/>
      <c r="AY144" s="16"/>
      <c r="AZ144" s="16"/>
      <c r="BA144" s="16"/>
      <c r="BB144" s="16"/>
      <c r="BC144" s="16"/>
      <c r="BD144" s="16"/>
      <c r="BE144" s="16"/>
      <c r="BF144" s="16"/>
      <c r="BG144" s="16"/>
    </row>
    <row r="145" spans="1:59" s="21" customFormat="1">
      <c r="A145" s="9"/>
      <c r="B145" s="9"/>
      <c r="E145" s="21">
        <f t="shared" si="27"/>
        <v>145</v>
      </c>
      <c r="F145" s="9" t="s">
        <v>117</v>
      </c>
      <c r="J145" s="9"/>
      <c r="K145" s="9" t="s">
        <v>138</v>
      </c>
      <c r="L145" s="9"/>
      <c r="M145" s="21">
        <v>2</v>
      </c>
      <c r="N145" s="9"/>
      <c r="O145" s="9"/>
      <c r="P145" s="9"/>
      <c r="Q145" s="9"/>
      <c r="R145" s="12"/>
      <c r="S145" s="9"/>
      <c r="T145" s="9"/>
      <c r="U145" s="12"/>
      <c r="V145" s="12"/>
      <c r="W145" s="12"/>
      <c r="X145" s="15"/>
      <c r="Y145" s="15"/>
      <c r="Z145" s="15"/>
      <c r="AA145" s="15"/>
      <c r="AB145" s="15"/>
      <c r="AC145" s="15"/>
      <c r="AD145" s="15"/>
      <c r="AE145" s="16"/>
      <c r="AF145" s="16"/>
      <c r="AG145" s="16"/>
      <c r="AH145" s="16"/>
      <c r="AI145" s="16"/>
      <c r="AJ145" s="16"/>
      <c r="AK145" s="16"/>
      <c r="AL145" s="16"/>
      <c r="AM145" s="16"/>
      <c r="AN145" s="16"/>
      <c r="AO145" s="16"/>
      <c r="AP145" s="16"/>
      <c r="AQ145" s="16"/>
      <c r="AR145" s="16"/>
      <c r="AS145" s="16"/>
      <c r="AT145" s="16"/>
      <c r="AU145" s="16"/>
      <c r="AV145" s="16"/>
      <c r="AW145" s="16"/>
      <c r="AX145" s="16"/>
      <c r="AY145" s="16"/>
      <c r="AZ145" s="16"/>
      <c r="BA145" s="16"/>
      <c r="BB145" s="16"/>
      <c r="BC145" s="16"/>
      <c r="BD145" s="16"/>
      <c r="BE145" s="16"/>
      <c r="BF145" s="16"/>
      <c r="BG145" s="16"/>
    </row>
    <row r="146" spans="1:59" s="21" customFormat="1">
      <c r="A146" s="9"/>
      <c r="B146" s="9"/>
      <c r="E146" s="21">
        <f t="shared" si="27"/>
        <v>146</v>
      </c>
      <c r="F146" s="9" t="s">
        <v>126</v>
      </c>
      <c r="J146" s="9"/>
      <c r="K146" s="9"/>
      <c r="L146" s="9"/>
      <c r="M146" s="21">
        <v>10000</v>
      </c>
      <c r="N146" s="9"/>
      <c r="O146" s="9"/>
      <c r="P146" s="9"/>
      <c r="Q146" s="9"/>
      <c r="R146" s="12"/>
      <c r="S146" s="9"/>
      <c r="T146" s="9"/>
      <c r="U146" s="12"/>
      <c r="V146" s="12"/>
      <c r="W146" s="12"/>
      <c r="X146" s="15"/>
      <c r="Y146" s="15"/>
      <c r="Z146" s="15"/>
      <c r="AA146" s="15"/>
      <c r="AB146" s="15"/>
      <c r="AC146" s="15"/>
      <c r="AD146" s="15"/>
      <c r="AE146" s="16"/>
      <c r="AF146" s="16"/>
      <c r="AG146" s="16"/>
      <c r="AH146" s="16"/>
      <c r="AI146" s="16"/>
      <c r="AJ146" s="16"/>
      <c r="AK146" s="16"/>
      <c r="AL146" s="16"/>
      <c r="AM146" s="16"/>
      <c r="AN146" s="16"/>
      <c r="AO146" s="16"/>
      <c r="AP146" s="16"/>
      <c r="AQ146" s="16"/>
      <c r="AR146" s="16"/>
      <c r="AS146" s="16"/>
      <c r="AT146" s="16"/>
      <c r="AU146" s="16"/>
      <c r="AV146" s="16"/>
      <c r="AW146" s="16"/>
      <c r="AX146" s="16"/>
      <c r="AY146" s="16"/>
      <c r="AZ146" s="16"/>
      <c r="BA146" s="16"/>
      <c r="BB146" s="16"/>
      <c r="BC146" s="16"/>
      <c r="BD146" s="16"/>
      <c r="BE146" s="16"/>
      <c r="BF146" s="16"/>
      <c r="BG146" s="16"/>
    </row>
    <row r="147" spans="1:59" s="21" customFormat="1">
      <c r="A147" s="9"/>
      <c r="B147" s="9"/>
      <c r="E147" s="21">
        <f t="shared" si="27"/>
        <v>147</v>
      </c>
      <c r="F147" s="9" t="s">
        <v>118</v>
      </c>
      <c r="J147" s="9"/>
      <c r="K147" s="9"/>
      <c r="L147" s="9"/>
      <c r="M147" s="21" t="b">
        <v>1</v>
      </c>
      <c r="N147" s="9"/>
      <c r="O147" s="9"/>
      <c r="P147" s="9"/>
      <c r="Q147" s="9"/>
      <c r="R147" s="12"/>
      <c r="S147" s="9"/>
      <c r="T147" s="9"/>
      <c r="U147" s="12"/>
      <c r="V147" s="12"/>
      <c r="W147" s="12"/>
      <c r="X147" s="15"/>
      <c r="Y147" s="15"/>
      <c r="Z147" s="15"/>
      <c r="AA147" s="15"/>
      <c r="AB147" s="15"/>
      <c r="AC147" s="15"/>
      <c r="AD147" s="15"/>
      <c r="AE147" s="16"/>
      <c r="AF147" s="16"/>
      <c r="AG147" s="16"/>
      <c r="AH147" s="16"/>
      <c r="AI147" s="16"/>
      <c r="AJ147" s="16"/>
      <c r="AK147" s="16"/>
      <c r="AL147" s="16"/>
      <c r="AM147" s="16"/>
      <c r="AN147" s="16"/>
      <c r="AO147" s="16"/>
      <c r="AP147" s="16"/>
      <c r="AQ147" s="16"/>
      <c r="AR147" s="16"/>
      <c r="AS147" s="16"/>
      <c r="AT147" s="16"/>
      <c r="AU147" s="16"/>
      <c r="AV147" s="16"/>
      <c r="AW147" s="16"/>
      <c r="AX147" s="16"/>
      <c r="AY147" s="16"/>
      <c r="AZ147" s="16"/>
      <c r="BA147" s="16"/>
      <c r="BB147" s="16"/>
      <c r="BC147" s="16"/>
      <c r="BD147" s="16"/>
      <c r="BE147" s="16"/>
      <c r="BF147" s="16"/>
      <c r="BG147" s="16"/>
    </row>
    <row r="148" spans="1:59" s="21" customFormat="1">
      <c r="A148" s="9"/>
      <c r="B148" s="9"/>
      <c r="E148" s="21">
        <f t="shared" si="27"/>
        <v>148</v>
      </c>
      <c r="F148" s="9" t="s">
        <v>102</v>
      </c>
      <c r="J148" s="9"/>
      <c r="K148" s="9"/>
      <c r="L148" s="9"/>
      <c r="M148" s="21">
        <f t="shared" ref="M148" si="35">M134*10+9</f>
        <v>155059</v>
      </c>
      <c r="N148" s="9"/>
      <c r="O148" s="9"/>
      <c r="P148" s="9"/>
      <c r="Q148" s="9"/>
      <c r="R148" s="12"/>
      <c r="S148" s="9"/>
      <c r="T148" s="9"/>
      <c r="U148" s="12"/>
      <c r="V148" s="12"/>
      <c r="W148" s="12"/>
      <c r="X148" s="15"/>
      <c r="Y148" s="15"/>
      <c r="Z148" s="15"/>
      <c r="AA148" s="15"/>
      <c r="AB148" s="15"/>
      <c r="AC148" s="15"/>
      <c r="AD148" s="15"/>
      <c r="AE148" s="16"/>
      <c r="AF148" s="16"/>
      <c r="AG148" s="16"/>
      <c r="AH148" s="16"/>
      <c r="AI148" s="16"/>
      <c r="AJ148" s="16"/>
      <c r="AK148" s="16"/>
      <c r="AL148" s="16"/>
      <c r="AM148" s="16"/>
      <c r="AN148" s="16"/>
      <c r="AO148" s="16"/>
      <c r="AP148" s="16"/>
      <c r="AQ148" s="16"/>
      <c r="AR148" s="16"/>
      <c r="AS148" s="16"/>
      <c r="AT148" s="16"/>
      <c r="AU148" s="16"/>
      <c r="AV148" s="16"/>
      <c r="AW148" s="16"/>
      <c r="AX148" s="16"/>
      <c r="AY148" s="16"/>
      <c r="AZ148" s="16"/>
      <c r="BA148" s="16"/>
      <c r="BB148" s="16"/>
      <c r="BC148" s="16"/>
      <c r="BD148" s="16"/>
      <c r="BE148" s="16"/>
      <c r="BF148" s="16"/>
      <c r="BG148" s="16"/>
    </row>
    <row r="149" spans="1:59" s="21" customFormat="1">
      <c r="A149" s="9"/>
      <c r="B149" s="9"/>
      <c r="E149" s="21">
        <f t="shared" si="27"/>
        <v>149</v>
      </c>
      <c r="F149" s="9" t="s">
        <v>143</v>
      </c>
      <c r="J149" s="9"/>
      <c r="K149" s="9"/>
      <c r="L149" s="9"/>
      <c r="M149" s="21">
        <f t="shared" ref="M149" si="36">M134</f>
        <v>15505</v>
      </c>
      <c r="N149" s="9"/>
      <c r="O149" s="9"/>
      <c r="P149" s="9"/>
      <c r="Q149" s="9"/>
      <c r="R149" s="12"/>
      <c r="S149" s="9"/>
      <c r="T149" s="9"/>
      <c r="U149" s="12"/>
      <c r="V149" s="12"/>
      <c r="W149" s="12"/>
      <c r="X149" s="15"/>
      <c r="Y149" s="15"/>
      <c r="Z149" s="15"/>
      <c r="AA149" s="15"/>
      <c r="AB149" s="15"/>
      <c r="AC149" s="15"/>
      <c r="AD149" s="15"/>
      <c r="AE149" s="16"/>
      <c r="AF149" s="16"/>
      <c r="AG149" s="16"/>
      <c r="AH149" s="16"/>
      <c r="AI149" s="16"/>
      <c r="AJ149" s="16"/>
      <c r="AK149" s="16"/>
      <c r="AL149" s="16"/>
      <c r="AM149" s="16"/>
      <c r="AN149" s="16"/>
      <c r="AO149" s="16"/>
      <c r="AP149" s="16"/>
      <c r="AQ149" s="16"/>
      <c r="AR149" s="16"/>
      <c r="AS149" s="16"/>
      <c r="AT149" s="16"/>
      <c r="AU149" s="16"/>
      <c r="AV149" s="16"/>
      <c r="AW149" s="16"/>
      <c r="AX149" s="16"/>
      <c r="AY149" s="16"/>
      <c r="AZ149" s="16"/>
      <c r="BA149" s="16"/>
      <c r="BB149" s="16"/>
      <c r="BC149" s="16"/>
      <c r="BD149" s="16"/>
      <c r="BE149" s="16"/>
      <c r="BF149" s="16"/>
      <c r="BG149" s="16"/>
    </row>
    <row r="150" spans="1:59" s="21" customFormat="1">
      <c r="A150" s="9"/>
      <c r="B150" s="9"/>
      <c r="E150" s="21">
        <f t="shared" si="27"/>
        <v>150</v>
      </c>
      <c r="F150" s="9" t="s">
        <v>127</v>
      </c>
      <c r="J150" s="9"/>
      <c r="K150" s="9"/>
      <c r="L150" s="9"/>
      <c r="M150" s="21">
        <v>90</v>
      </c>
      <c r="N150" s="9"/>
      <c r="O150" s="9"/>
      <c r="P150" s="9"/>
      <c r="Q150" s="9"/>
      <c r="R150" s="12"/>
      <c r="S150" s="9"/>
      <c r="T150" s="9"/>
      <c r="U150" s="12"/>
      <c r="V150" s="12"/>
      <c r="W150" s="12"/>
      <c r="X150" s="15"/>
      <c r="Y150" s="15"/>
      <c r="Z150" s="15"/>
      <c r="AA150" s="15"/>
      <c r="AB150" s="15"/>
      <c r="AC150" s="15"/>
      <c r="AD150" s="15"/>
      <c r="AE150" s="16"/>
      <c r="AF150" s="16"/>
      <c r="AG150" s="16"/>
      <c r="AH150" s="16"/>
      <c r="AI150" s="16"/>
      <c r="AJ150" s="16"/>
      <c r="AK150" s="16"/>
      <c r="AL150" s="16"/>
      <c r="AM150" s="16"/>
      <c r="AN150" s="16"/>
      <c r="AO150" s="16"/>
      <c r="AP150" s="16"/>
      <c r="AQ150" s="16"/>
      <c r="AR150" s="16"/>
      <c r="AS150" s="16"/>
      <c r="AT150" s="16"/>
      <c r="AU150" s="16"/>
      <c r="AV150" s="16"/>
      <c r="AW150" s="16"/>
      <c r="AX150" s="16"/>
      <c r="AY150" s="16"/>
      <c r="AZ150" s="16"/>
      <c r="BA150" s="16"/>
      <c r="BB150" s="16"/>
      <c r="BC150" s="16"/>
      <c r="BD150" s="16"/>
      <c r="BE150" s="16"/>
      <c r="BF150" s="16"/>
      <c r="BG150" s="16"/>
    </row>
    <row r="151" spans="1:59" s="21" customFormat="1">
      <c r="A151" s="9"/>
      <c r="B151" s="9"/>
      <c r="E151" s="21">
        <f t="shared" si="27"/>
        <v>151</v>
      </c>
      <c r="F151" s="9" t="s">
        <v>143</v>
      </c>
      <c r="J151" s="9"/>
      <c r="K151" s="9"/>
      <c r="L151" s="9"/>
      <c r="M151" s="21">
        <f t="shared" ref="M151" si="37">M148</f>
        <v>155059</v>
      </c>
      <c r="N151" s="9"/>
      <c r="O151" s="9"/>
      <c r="P151" s="9"/>
      <c r="Q151" s="9"/>
      <c r="R151" s="12"/>
      <c r="S151" s="9"/>
      <c r="T151" s="9"/>
      <c r="U151" s="12"/>
      <c r="V151" s="12"/>
      <c r="W151" s="12"/>
      <c r="X151" s="15"/>
      <c r="Y151" s="15"/>
      <c r="Z151" s="15"/>
      <c r="AA151" s="15"/>
      <c r="AB151" s="15"/>
      <c r="AC151" s="15"/>
      <c r="AD151" s="15"/>
      <c r="AE151" s="16"/>
      <c r="AF151" s="16"/>
      <c r="AG151" s="16"/>
      <c r="AH151" s="16"/>
      <c r="AI151" s="16"/>
      <c r="AJ151" s="16"/>
      <c r="AK151" s="16"/>
      <c r="AL151" s="16"/>
      <c r="AM151" s="16"/>
      <c r="AN151" s="16"/>
      <c r="AO151" s="16"/>
      <c r="AP151" s="16"/>
      <c r="AQ151" s="16"/>
      <c r="AR151" s="16"/>
      <c r="AS151" s="16"/>
      <c r="AT151" s="16"/>
      <c r="AU151" s="16"/>
      <c r="AV151" s="16"/>
      <c r="AW151" s="16"/>
      <c r="AX151" s="16"/>
      <c r="AY151" s="16"/>
      <c r="AZ151" s="16"/>
      <c r="BA151" s="16"/>
      <c r="BB151" s="16"/>
      <c r="BC151" s="16"/>
      <c r="BD151" s="16"/>
      <c r="BE151" s="16"/>
      <c r="BF151" s="16"/>
      <c r="BG151" s="16"/>
    </row>
    <row r="152" spans="1:59" s="21" customFormat="1">
      <c r="A152" s="9"/>
      <c r="E152" s="21">
        <f t="shared" si="27"/>
        <v>152</v>
      </c>
      <c r="F152" s="9" t="s">
        <v>128</v>
      </c>
      <c r="J152" s="9"/>
      <c r="K152" s="9"/>
      <c r="L152" s="9"/>
      <c r="M152" s="21">
        <v>0</v>
      </c>
      <c r="N152" s="9"/>
      <c r="O152" s="9"/>
      <c r="P152" s="9"/>
      <c r="Q152" s="9"/>
      <c r="R152" s="12"/>
      <c r="S152" s="9"/>
      <c r="T152" s="9"/>
      <c r="U152" s="12"/>
      <c r="V152" s="12"/>
      <c r="W152" s="12"/>
      <c r="X152" s="15"/>
      <c r="Y152" s="15"/>
      <c r="Z152" s="15"/>
      <c r="AA152" s="15"/>
      <c r="AB152" s="15"/>
      <c r="AC152" s="15"/>
      <c r="AD152" s="15"/>
      <c r="AE152" s="16"/>
      <c r="AF152" s="16"/>
      <c r="AG152" s="16"/>
      <c r="AH152" s="16"/>
      <c r="AI152" s="16"/>
      <c r="AJ152" s="16"/>
      <c r="AK152" s="16"/>
      <c r="AL152" s="16"/>
      <c r="AM152" s="16"/>
      <c r="AN152" s="16"/>
      <c r="AO152" s="16"/>
      <c r="AP152" s="16"/>
      <c r="AQ152" s="16"/>
      <c r="AR152" s="16"/>
      <c r="AS152" s="16"/>
      <c r="AT152" s="16"/>
      <c r="AU152" s="16"/>
      <c r="AV152" s="16"/>
      <c r="AW152" s="16"/>
      <c r="AX152" s="16"/>
      <c r="AY152" s="16"/>
      <c r="AZ152" s="16"/>
      <c r="BA152" s="16"/>
      <c r="BB152" s="16"/>
      <c r="BC152" s="16"/>
      <c r="BD152" s="16"/>
      <c r="BE152" s="16"/>
      <c r="BF152" s="16"/>
      <c r="BG152" s="16"/>
    </row>
    <row r="153" spans="1:59" s="21" customFormat="1">
      <c r="A153" s="9"/>
      <c r="B153" s="9"/>
      <c r="E153" s="21">
        <f t="shared" si="27"/>
        <v>153</v>
      </c>
      <c r="F153" s="9" t="s">
        <v>35</v>
      </c>
      <c r="J153" s="9"/>
      <c r="K153" s="9"/>
      <c r="L153" s="9"/>
      <c r="M153" s="21">
        <v>20</v>
      </c>
      <c r="N153" s="9"/>
      <c r="O153" s="9"/>
      <c r="P153" s="9"/>
      <c r="Q153" s="9"/>
      <c r="R153" s="12"/>
      <c r="S153" s="9"/>
      <c r="T153" s="9"/>
      <c r="U153" s="12"/>
      <c r="V153" s="12"/>
      <c r="W153" s="12"/>
      <c r="X153" s="15"/>
      <c r="Y153" s="15"/>
      <c r="Z153" s="15"/>
      <c r="AA153" s="15"/>
      <c r="AB153" s="15"/>
      <c r="AC153" s="15"/>
      <c r="AD153" s="15"/>
      <c r="AE153" s="16"/>
      <c r="AF153" s="16"/>
      <c r="AG153" s="16"/>
      <c r="AH153" s="16"/>
      <c r="AI153" s="16"/>
      <c r="AJ153" s="16"/>
      <c r="AK153" s="16"/>
      <c r="AL153" s="16"/>
      <c r="AM153" s="16"/>
      <c r="AN153" s="16"/>
      <c r="AO153" s="16"/>
      <c r="AP153" s="16"/>
      <c r="AQ153" s="16"/>
      <c r="AR153" s="16"/>
      <c r="AS153" s="16"/>
      <c r="AT153" s="16"/>
      <c r="AU153" s="16"/>
      <c r="AV153" s="16"/>
      <c r="AW153" s="16"/>
      <c r="AX153" s="16"/>
      <c r="AY153" s="16"/>
      <c r="AZ153" s="16"/>
      <c r="BA153" s="16"/>
      <c r="BB153" s="16"/>
      <c r="BC153" s="16"/>
      <c r="BD153" s="16"/>
      <c r="BE153" s="16"/>
      <c r="BF153" s="16"/>
      <c r="BG153" s="16"/>
    </row>
    <row r="154" spans="1:59" s="21" customFormat="1">
      <c r="A154" s="9"/>
      <c r="B154" s="9"/>
      <c r="E154" s="21">
        <f t="shared" si="27"/>
        <v>154</v>
      </c>
      <c r="F154" s="9" t="s">
        <v>30</v>
      </c>
      <c r="J154" s="9"/>
      <c r="K154" s="9"/>
      <c r="L154" s="9"/>
      <c r="M154" s="21">
        <v>0</v>
      </c>
      <c r="N154" s="9"/>
      <c r="O154" s="9"/>
      <c r="P154" s="9"/>
      <c r="Q154" s="9"/>
      <c r="R154" s="12"/>
      <c r="S154" s="9"/>
      <c r="T154" s="9"/>
      <c r="U154" s="12"/>
      <c r="V154" s="12"/>
      <c r="W154" s="12"/>
      <c r="X154" s="15"/>
      <c r="Y154" s="15"/>
      <c r="Z154" s="15"/>
      <c r="AA154" s="15"/>
      <c r="AB154" s="15"/>
      <c r="AC154" s="15"/>
      <c r="AD154" s="15"/>
      <c r="AE154" s="16"/>
      <c r="AF154" s="16"/>
      <c r="AG154" s="16"/>
      <c r="AH154" s="16"/>
      <c r="AI154" s="16"/>
      <c r="AJ154" s="16"/>
      <c r="AK154" s="16"/>
      <c r="AL154" s="16"/>
      <c r="AM154" s="16"/>
      <c r="AN154" s="16"/>
      <c r="AO154" s="16"/>
      <c r="AP154" s="16"/>
      <c r="AQ154" s="16"/>
      <c r="AR154" s="16"/>
      <c r="AS154" s="16"/>
      <c r="AT154" s="16"/>
      <c r="AU154" s="16"/>
      <c r="AV154" s="16"/>
      <c r="AW154" s="16"/>
      <c r="AX154" s="16"/>
      <c r="AY154" s="16"/>
      <c r="AZ154" s="16"/>
      <c r="BA154" s="16"/>
      <c r="BB154" s="16"/>
      <c r="BC154" s="16"/>
      <c r="BD154" s="16"/>
      <c r="BE154" s="16"/>
      <c r="BF154" s="16"/>
      <c r="BG154" s="16"/>
    </row>
    <row r="155" spans="1:59" s="21" customFormat="1">
      <c r="A155" s="9"/>
      <c r="B155" s="9"/>
      <c r="E155" s="21">
        <f t="shared" si="27"/>
        <v>155</v>
      </c>
      <c r="F155" s="9" t="s">
        <v>31</v>
      </c>
      <c r="J155" s="9"/>
      <c r="K155" s="9"/>
      <c r="L155" s="9" t="s">
        <v>135</v>
      </c>
      <c r="M155" s="21">
        <v>0</v>
      </c>
      <c r="N155" s="9"/>
      <c r="O155" s="9"/>
      <c r="P155" s="9"/>
      <c r="Q155" s="9"/>
      <c r="R155" s="12"/>
      <c r="S155" s="9"/>
      <c r="T155" s="9"/>
      <c r="U155" s="12"/>
      <c r="V155" s="12"/>
      <c r="W155" s="12"/>
      <c r="X155" s="15"/>
      <c r="Y155" s="15"/>
      <c r="Z155" s="15"/>
      <c r="AA155" s="15"/>
      <c r="AB155" s="15"/>
      <c r="AC155" s="15"/>
      <c r="AD155" s="15"/>
      <c r="AE155" s="16"/>
      <c r="AF155" s="16"/>
      <c r="AG155" s="16"/>
      <c r="AH155" s="16"/>
      <c r="AI155" s="16"/>
      <c r="AJ155" s="16"/>
      <c r="AK155" s="16"/>
      <c r="AL155" s="16"/>
      <c r="AM155" s="16"/>
      <c r="AN155" s="16"/>
      <c r="AO155" s="16"/>
      <c r="AP155" s="16"/>
      <c r="AQ155" s="16"/>
      <c r="AR155" s="16"/>
      <c r="AS155" s="16"/>
      <c r="AT155" s="16"/>
      <c r="AU155" s="16"/>
      <c r="AV155" s="16"/>
      <c r="AW155" s="16"/>
      <c r="AX155" s="16"/>
      <c r="AY155" s="16"/>
      <c r="AZ155" s="16"/>
      <c r="BA155" s="16"/>
      <c r="BB155" s="16"/>
      <c r="BC155" s="16"/>
      <c r="BD155" s="16"/>
      <c r="BE155" s="16"/>
      <c r="BF155" s="16"/>
      <c r="BG155" s="16"/>
    </row>
    <row r="156" spans="1:59" s="21" customFormat="1">
      <c r="A156" s="9"/>
      <c r="B156" s="9"/>
      <c r="E156" s="21">
        <f t="shared" si="27"/>
        <v>156</v>
      </c>
      <c r="F156" s="9" t="s">
        <v>171</v>
      </c>
      <c r="J156" s="9"/>
      <c r="K156" s="9"/>
      <c r="L156" s="9"/>
      <c r="M156" s="21">
        <f t="shared" ref="M156" si="38">J134</f>
        <v>15500</v>
      </c>
      <c r="N156" s="9"/>
      <c r="O156" s="9"/>
      <c r="P156" s="9"/>
      <c r="Q156" s="9"/>
      <c r="R156" s="12"/>
      <c r="S156" s="9"/>
      <c r="T156" s="9"/>
      <c r="U156" s="12"/>
      <c r="V156" s="12"/>
      <c r="W156" s="12"/>
      <c r="X156" s="15"/>
      <c r="Y156" s="15"/>
      <c r="Z156" s="15"/>
      <c r="AA156" s="15"/>
      <c r="AB156" s="15"/>
      <c r="AC156" s="15"/>
      <c r="AD156" s="15"/>
      <c r="AE156" s="16"/>
      <c r="AF156" s="16"/>
      <c r="AG156" s="16"/>
      <c r="AH156" s="16"/>
      <c r="AI156" s="16"/>
      <c r="AJ156" s="16"/>
      <c r="AK156" s="16"/>
      <c r="AL156" s="16"/>
      <c r="AM156" s="16"/>
      <c r="AN156" s="16"/>
      <c r="AO156" s="16"/>
      <c r="AP156" s="16"/>
      <c r="AQ156" s="16"/>
      <c r="AR156" s="16"/>
      <c r="AS156" s="16"/>
      <c r="AT156" s="16"/>
      <c r="AU156" s="16"/>
      <c r="AV156" s="16"/>
      <c r="AW156" s="16"/>
      <c r="AX156" s="16"/>
      <c r="AY156" s="16"/>
      <c r="AZ156" s="16"/>
      <c r="BA156" s="16"/>
      <c r="BB156" s="16"/>
      <c r="BC156" s="16"/>
      <c r="BD156" s="16"/>
      <c r="BE156" s="16"/>
      <c r="BF156" s="16"/>
      <c r="BG156" s="16"/>
    </row>
    <row r="157" spans="1:59" s="21" customFormat="1">
      <c r="A157" s="9" t="s">
        <v>231</v>
      </c>
      <c r="B157" s="9">
        <f t="shared" ref="B157" si="39">QUOTIENT( D157-1,G158)+1</f>
        <v>1</v>
      </c>
      <c r="C157" s="21">
        <f t="shared" ref="C157" si="40">D157-(B157-1)*G158</f>
        <v>6</v>
      </c>
      <c r="D157" s="21">
        <f>COUNT($D$31:$D156)+1</f>
        <v>6</v>
      </c>
      <c r="F157" s="9"/>
      <c r="J157" s="9"/>
      <c r="K157" s="9"/>
      <c r="L157" s="9"/>
      <c r="N157" s="9"/>
      <c r="O157" s="9"/>
      <c r="P157" s="9"/>
      <c r="Q157" s="9"/>
      <c r="R157" s="12"/>
      <c r="S157" s="9"/>
      <c r="T157" s="9"/>
      <c r="U157" s="12"/>
      <c r="V157" s="12"/>
      <c r="W157" s="12"/>
      <c r="X157" s="15"/>
      <c r="Y157" s="15"/>
      <c r="Z157" s="15"/>
      <c r="AA157" s="15"/>
      <c r="AB157" s="15"/>
      <c r="AC157" s="15"/>
      <c r="AD157" s="15"/>
      <c r="AE157" s="16"/>
      <c r="AF157" s="16"/>
      <c r="AG157" s="16"/>
      <c r="AH157" s="16"/>
      <c r="AI157" s="16"/>
      <c r="AJ157" s="16"/>
      <c r="AK157" s="16"/>
      <c r="AL157" s="16"/>
      <c r="AM157" s="16"/>
      <c r="AN157" s="16"/>
      <c r="AO157" s="16"/>
      <c r="AP157" s="16"/>
      <c r="AQ157" s="16"/>
      <c r="AR157" s="16"/>
      <c r="AS157" s="16"/>
      <c r="AT157" s="16"/>
      <c r="AU157" s="16"/>
      <c r="AV157" s="16"/>
      <c r="AW157" s="16"/>
      <c r="AX157" s="16"/>
      <c r="AY157" s="16"/>
      <c r="AZ157" s="16"/>
      <c r="BA157" s="16"/>
      <c r="BB157" s="16"/>
      <c r="BC157" s="16"/>
      <c r="BD157" s="16"/>
      <c r="BE157" s="16"/>
      <c r="BF157" s="16"/>
      <c r="BG157" s="16"/>
    </row>
    <row r="158" spans="1:59" s="21" customFormat="1">
      <c r="A158" s="9"/>
      <c r="B158" s="9"/>
      <c r="E158" s="21">
        <f t="shared" ref="E158" si="41">ROW(E158)</f>
        <v>158</v>
      </c>
      <c r="F158" s="9" t="s">
        <v>93</v>
      </c>
      <c r="G158" s="21">
        <v>8</v>
      </c>
      <c r="H158" s="21">
        <v>1</v>
      </c>
      <c r="J158" s="9">
        <v>15500</v>
      </c>
      <c r="K158" s="9"/>
      <c r="L158" s="9"/>
      <c r="M158" s="21">
        <f t="shared" ref="M158" si="42">J158+D157</f>
        <v>15506</v>
      </c>
      <c r="N158" s="9"/>
      <c r="O158" s="9"/>
      <c r="P158" s="9"/>
      <c r="Q158" s="9"/>
      <c r="R158" s="12"/>
      <c r="S158" s="9"/>
      <c r="T158" s="9"/>
      <c r="U158" s="12"/>
      <c r="V158" s="12"/>
      <c r="W158" s="12"/>
      <c r="X158" s="15"/>
      <c r="Y158" s="15"/>
      <c r="Z158" s="15"/>
      <c r="AA158" s="15"/>
      <c r="AB158" s="15"/>
      <c r="AC158" s="15"/>
      <c r="AD158" s="15"/>
      <c r="AE158" s="16"/>
      <c r="AF158" s="16"/>
      <c r="AG158" s="16"/>
      <c r="AH158" s="16"/>
      <c r="AI158" s="16"/>
      <c r="AJ158" s="16"/>
      <c r="AK158" s="16"/>
      <c r="AL158" s="16"/>
      <c r="AM158" s="16"/>
      <c r="AN158" s="16"/>
      <c r="AO158" s="16"/>
      <c r="AP158" s="16"/>
      <c r="AQ158" s="16"/>
      <c r="AR158" s="16"/>
      <c r="AS158" s="16"/>
      <c r="AT158" s="16"/>
      <c r="AU158" s="16"/>
      <c r="AV158" s="16"/>
      <c r="AW158" s="16"/>
      <c r="AX158" s="16"/>
      <c r="AY158" s="16"/>
      <c r="AZ158" s="16"/>
      <c r="BA158" s="16"/>
      <c r="BB158" s="16"/>
      <c r="BC158" s="16"/>
      <c r="BD158" s="16"/>
      <c r="BE158" s="16"/>
      <c r="BF158" s="16"/>
      <c r="BG158" s="16"/>
    </row>
    <row r="159" spans="1:59" s="21" customFormat="1">
      <c r="A159" s="9"/>
      <c r="B159" s="9"/>
      <c r="E159" s="21">
        <f t="shared" si="27"/>
        <v>159</v>
      </c>
      <c r="F159" s="9" t="s">
        <v>143</v>
      </c>
      <c r="J159" s="9"/>
      <c r="K159" s="9"/>
      <c r="L159" s="9"/>
      <c r="M159" s="21">
        <v>15400</v>
      </c>
      <c r="N159" s="9"/>
      <c r="O159" s="9"/>
      <c r="P159" s="9"/>
      <c r="Q159" s="9"/>
      <c r="R159" s="12"/>
      <c r="S159" s="9"/>
      <c r="T159" s="9"/>
      <c r="U159" s="12"/>
      <c r="V159" s="12"/>
      <c r="W159" s="12"/>
      <c r="X159" s="15"/>
      <c r="Y159" s="15"/>
      <c r="Z159" s="15"/>
      <c r="AA159" s="15"/>
      <c r="AB159" s="15"/>
      <c r="AC159" s="15"/>
      <c r="AD159" s="15"/>
      <c r="AE159" s="16"/>
      <c r="AF159" s="16"/>
      <c r="AG159" s="16"/>
      <c r="AH159" s="16"/>
      <c r="AI159" s="16"/>
      <c r="AJ159" s="16"/>
      <c r="AK159" s="16"/>
      <c r="AL159" s="16"/>
      <c r="AM159" s="16"/>
      <c r="AN159" s="16"/>
      <c r="AO159" s="16"/>
      <c r="AP159" s="16"/>
      <c r="AQ159" s="16"/>
      <c r="AR159" s="16"/>
      <c r="AS159" s="16"/>
      <c r="AT159" s="16"/>
      <c r="AU159" s="16"/>
      <c r="AV159" s="16"/>
      <c r="AW159" s="16"/>
      <c r="AX159" s="16"/>
      <c r="AY159" s="16"/>
      <c r="AZ159" s="16"/>
      <c r="BA159" s="16"/>
      <c r="BB159" s="16"/>
      <c r="BC159" s="16"/>
      <c r="BD159" s="16"/>
      <c r="BE159" s="16"/>
      <c r="BF159" s="16"/>
      <c r="BG159" s="16"/>
    </row>
    <row r="160" spans="1:59" s="21" customFormat="1">
      <c r="A160" s="9"/>
      <c r="B160" s="9"/>
      <c r="E160" s="21">
        <f t="shared" si="27"/>
        <v>160</v>
      </c>
      <c r="F160" s="9" t="s">
        <v>128</v>
      </c>
      <c r="J160" s="9"/>
      <c r="K160" s="9"/>
      <c r="L160" s="9"/>
      <c r="M160" s="21">
        <v>0</v>
      </c>
      <c r="N160" s="9"/>
      <c r="O160" s="9"/>
      <c r="P160" s="9"/>
      <c r="Q160" s="9"/>
      <c r="R160" s="12"/>
      <c r="S160" s="9"/>
      <c r="T160" s="9"/>
      <c r="U160" s="12"/>
      <c r="V160" s="12"/>
      <c r="W160" s="12"/>
      <c r="X160" s="15"/>
      <c r="Y160" s="15"/>
      <c r="Z160" s="15"/>
      <c r="AA160" s="15"/>
      <c r="AB160" s="15"/>
      <c r="AC160" s="15"/>
      <c r="AD160" s="15"/>
      <c r="AE160" s="16"/>
      <c r="AF160" s="16"/>
      <c r="AG160" s="16"/>
      <c r="AH160" s="16"/>
      <c r="AI160" s="16"/>
      <c r="AJ160" s="16"/>
      <c r="AK160" s="16"/>
      <c r="AL160" s="16"/>
      <c r="AM160" s="16"/>
      <c r="AN160" s="16"/>
      <c r="AO160" s="16"/>
      <c r="AP160" s="16"/>
      <c r="AQ160" s="16"/>
      <c r="AR160" s="16"/>
      <c r="AS160" s="16"/>
      <c r="AT160" s="16"/>
      <c r="AU160" s="16"/>
      <c r="AV160" s="16"/>
      <c r="AW160" s="16"/>
      <c r="AX160" s="16"/>
      <c r="AY160" s="16"/>
      <c r="AZ160" s="16"/>
      <c r="BA160" s="16"/>
      <c r="BB160" s="16"/>
      <c r="BC160" s="16"/>
      <c r="BD160" s="16"/>
      <c r="BE160" s="16"/>
      <c r="BF160" s="16"/>
      <c r="BG160" s="16"/>
    </row>
    <row r="161" spans="1:59" s="21" customFormat="1">
      <c r="A161" s="9"/>
      <c r="B161" s="9"/>
      <c r="E161" s="21">
        <f t="shared" si="27"/>
        <v>161</v>
      </c>
      <c r="F161" s="9" t="s">
        <v>29</v>
      </c>
      <c r="J161" s="9"/>
      <c r="K161" s="9"/>
      <c r="L161" s="9"/>
      <c r="M161" s="21" t="s">
        <v>146</v>
      </c>
      <c r="N161" s="9"/>
      <c r="O161" s="9"/>
      <c r="P161" s="9"/>
      <c r="Q161" s="9"/>
      <c r="R161" s="12"/>
      <c r="S161" s="9"/>
      <c r="T161" s="9"/>
      <c r="U161" s="12"/>
      <c r="V161" s="12"/>
      <c r="W161" s="12"/>
      <c r="X161" s="15"/>
      <c r="Y161" s="15"/>
      <c r="Z161" s="15"/>
      <c r="AA161" s="15"/>
      <c r="AB161" s="15"/>
      <c r="AC161" s="15"/>
      <c r="AD161" s="15"/>
      <c r="AE161" s="16"/>
      <c r="AF161" s="16"/>
      <c r="AG161" s="16"/>
      <c r="AH161" s="16"/>
      <c r="AI161" s="16"/>
      <c r="AJ161" s="16"/>
      <c r="AK161" s="16"/>
      <c r="AL161" s="16"/>
      <c r="AM161" s="16"/>
      <c r="AN161" s="16"/>
      <c r="AO161" s="16"/>
      <c r="AP161" s="16"/>
      <c r="AQ161" s="16"/>
      <c r="AR161" s="16"/>
      <c r="AS161" s="16"/>
      <c r="AT161" s="16"/>
      <c r="AU161" s="16"/>
      <c r="AV161" s="16"/>
      <c r="AW161" s="16"/>
      <c r="AX161" s="16"/>
      <c r="AY161" s="16"/>
      <c r="AZ161" s="16"/>
      <c r="BA161" s="16"/>
      <c r="BB161" s="16"/>
      <c r="BC161" s="16"/>
      <c r="BD161" s="16"/>
      <c r="BE161" s="16"/>
      <c r="BF161" s="16"/>
      <c r="BG161" s="16"/>
    </row>
    <row r="162" spans="1:59" s="21" customFormat="1">
      <c r="A162" s="9"/>
      <c r="B162" s="9"/>
      <c r="E162" s="21">
        <f t="shared" si="27"/>
        <v>162</v>
      </c>
      <c r="F162" s="9" t="s">
        <v>119</v>
      </c>
      <c r="J162" s="9"/>
      <c r="K162" s="9"/>
      <c r="L162" s="9"/>
      <c r="M162" s="21" t="s">
        <v>245</v>
      </c>
      <c r="N162" s="9"/>
      <c r="O162" s="9"/>
      <c r="P162" s="9"/>
      <c r="Q162" s="9"/>
      <c r="R162" s="12"/>
      <c r="S162" s="9"/>
      <c r="T162" s="9"/>
      <c r="U162" s="12"/>
      <c r="V162" s="12"/>
      <c r="W162" s="12"/>
      <c r="X162" s="15"/>
      <c r="Y162" s="15"/>
      <c r="Z162" s="15"/>
      <c r="AA162" s="15"/>
      <c r="AB162" s="15"/>
      <c r="AC162" s="15"/>
      <c r="AD162" s="15"/>
      <c r="AE162" s="16"/>
      <c r="AF162" s="16"/>
      <c r="AG162" s="16"/>
      <c r="AH162" s="16"/>
      <c r="AI162" s="16"/>
      <c r="AJ162" s="16"/>
      <c r="AK162" s="16"/>
      <c r="AL162" s="16"/>
      <c r="AM162" s="16"/>
      <c r="AN162" s="16"/>
      <c r="AO162" s="16"/>
      <c r="AP162" s="16"/>
      <c r="AQ162" s="16"/>
      <c r="AR162" s="16"/>
      <c r="AS162" s="16"/>
      <c r="AT162" s="16"/>
      <c r="AU162" s="16"/>
      <c r="AV162" s="16"/>
      <c r="AW162" s="16"/>
      <c r="AX162" s="16"/>
      <c r="AY162" s="16"/>
      <c r="AZ162" s="16"/>
      <c r="BA162" s="16"/>
      <c r="BB162" s="16"/>
      <c r="BC162" s="16"/>
      <c r="BD162" s="16"/>
      <c r="BE162" s="16"/>
      <c r="BF162" s="16"/>
      <c r="BG162" s="16"/>
    </row>
    <row r="163" spans="1:59" s="21" customFormat="1">
      <c r="A163" s="9"/>
      <c r="B163" s="9"/>
      <c r="E163" s="21">
        <f t="shared" si="27"/>
        <v>163</v>
      </c>
      <c r="F163" s="9" t="s">
        <v>99</v>
      </c>
      <c r="J163" s="9"/>
      <c r="K163" s="9" t="s">
        <v>138</v>
      </c>
      <c r="L163" s="9"/>
      <c r="M163" s="21">
        <v>2</v>
      </c>
      <c r="N163" s="9"/>
      <c r="O163" s="9"/>
      <c r="P163" s="9"/>
      <c r="Q163" s="9"/>
      <c r="R163" s="12"/>
      <c r="S163" s="9"/>
      <c r="T163" s="9"/>
      <c r="U163" s="12"/>
      <c r="V163" s="12"/>
      <c r="W163" s="12"/>
      <c r="X163" s="15"/>
      <c r="Y163" s="15"/>
      <c r="Z163" s="15"/>
      <c r="AA163" s="15"/>
      <c r="AB163" s="15"/>
      <c r="AC163" s="15"/>
      <c r="AD163" s="15"/>
      <c r="AE163" s="16"/>
      <c r="AF163" s="16"/>
      <c r="AG163" s="16"/>
      <c r="AH163" s="16"/>
      <c r="AI163" s="16"/>
      <c r="AJ163" s="16"/>
      <c r="AK163" s="16"/>
      <c r="AL163" s="16"/>
      <c r="AM163" s="16"/>
      <c r="AN163" s="16"/>
      <c r="AO163" s="16"/>
      <c r="AP163" s="16"/>
      <c r="AQ163" s="16"/>
      <c r="AR163" s="16"/>
      <c r="AS163" s="16"/>
      <c r="AT163" s="16"/>
      <c r="AU163" s="16"/>
      <c r="AV163" s="16"/>
      <c r="AW163" s="16"/>
      <c r="AX163" s="16"/>
      <c r="AY163" s="16"/>
      <c r="AZ163" s="16"/>
      <c r="BA163" s="16"/>
      <c r="BB163" s="16"/>
      <c r="BC163" s="16"/>
      <c r="BD163" s="16"/>
      <c r="BE163" s="16"/>
      <c r="BF163" s="16"/>
      <c r="BG163" s="16"/>
    </row>
    <row r="164" spans="1:59" s="21" customFormat="1">
      <c r="A164" s="9"/>
      <c r="B164" s="9"/>
      <c r="E164" s="21">
        <f t="shared" si="27"/>
        <v>164</v>
      </c>
      <c r="F164" s="9" t="s">
        <v>110</v>
      </c>
      <c r="J164" s="9"/>
      <c r="K164" s="9"/>
      <c r="L164" s="9"/>
      <c r="M164" s="21">
        <v>3</v>
      </c>
      <c r="N164" s="9"/>
      <c r="O164" s="9"/>
      <c r="P164" s="9"/>
      <c r="Q164" s="9"/>
      <c r="R164" s="12"/>
      <c r="S164" s="9"/>
      <c r="T164" s="9"/>
      <c r="U164" s="12"/>
      <c r="V164" s="12"/>
      <c r="W164" s="12"/>
      <c r="X164" s="15"/>
      <c r="Y164" s="15"/>
      <c r="Z164" s="15"/>
      <c r="AA164" s="15"/>
      <c r="AB164" s="15"/>
      <c r="AC164" s="15"/>
      <c r="AD164" s="15"/>
      <c r="AE164" s="16"/>
      <c r="AF164" s="16"/>
      <c r="AG164" s="16"/>
      <c r="AH164" s="16"/>
      <c r="AI164" s="16"/>
      <c r="AJ164" s="16"/>
      <c r="AK164" s="16"/>
      <c r="AL164" s="16"/>
      <c r="AM164" s="16"/>
      <c r="AN164" s="16"/>
      <c r="AO164" s="16"/>
      <c r="AP164" s="16"/>
      <c r="AQ164" s="16"/>
      <c r="AR164" s="16"/>
      <c r="AS164" s="16"/>
      <c r="AT164" s="16"/>
      <c r="AU164" s="16"/>
      <c r="AV164" s="16"/>
      <c r="AW164" s="16"/>
      <c r="AX164" s="16"/>
      <c r="AY164" s="16"/>
      <c r="AZ164" s="16"/>
      <c r="BA164" s="16"/>
      <c r="BB164" s="16"/>
      <c r="BC164" s="16"/>
      <c r="BD164" s="16"/>
      <c r="BE164" s="16"/>
      <c r="BF164" s="16"/>
      <c r="BG164" s="16"/>
    </row>
    <row r="165" spans="1:59" s="21" customFormat="1">
      <c r="A165" s="9"/>
      <c r="B165" s="9"/>
      <c r="E165" s="21">
        <f t="shared" si="27"/>
        <v>165</v>
      </c>
      <c r="F165" s="9" t="s">
        <v>30</v>
      </c>
      <c r="J165" s="9"/>
      <c r="K165" s="9"/>
      <c r="L165" s="9"/>
      <c r="M165" s="21">
        <v>3</v>
      </c>
      <c r="N165" s="9"/>
      <c r="O165" s="9"/>
      <c r="P165" s="9"/>
      <c r="Q165" s="9"/>
      <c r="R165" s="12"/>
      <c r="S165" s="9"/>
      <c r="T165" s="9"/>
      <c r="U165" s="12"/>
      <c r="V165" s="12"/>
      <c r="W165" s="12"/>
      <c r="X165" s="15"/>
      <c r="Y165" s="15"/>
      <c r="Z165" s="15"/>
      <c r="AA165" s="15"/>
      <c r="AB165" s="15"/>
      <c r="AC165" s="15"/>
      <c r="AD165" s="15"/>
      <c r="AE165" s="16"/>
      <c r="AF165" s="16"/>
      <c r="AG165" s="16"/>
      <c r="AH165" s="16"/>
      <c r="AI165" s="16"/>
      <c r="AJ165" s="16"/>
      <c r="AK165" s="16"/>
      <c r="AL165" s="16"/>
      <c r="AM165" s="16"/>
      <c r="AN165" s="16"/>
      <c r="AO165" s="16"/>
      <c r="AP165" s="16"/>
      <c r="AQ165" s="16"/>
      <c r="AR165" s="16"/>
      <c r="AS165" s="16"/>
      <c r="AT165" s="16"/>
      <c r="AU165" s="16"/>
      <c r="AV165" s="16"/>
      <c r="AW165" s="16"/>
      <c r="AX165" s="16"/>
      <c r="AY165" s="16"/>
      <c r="AZ165" s="16"/>
      <c r="BA165" s="16"/>
      <c r="BB165" s="16"/>
      <c r="BC165" s="16"/>
      <c r="BD165" s="16"/>
      <c r="BE165" s="16"/>
      <c r="BF165" s="16"/>
      <c r="BG165" s="16"/>
    </row>
    <row r="166" spans="1:59" s="21" customFormat="1">
      <c r="A166" s="9"/>
      <c r="B166" s="9"/>
      <c r="E166" s="21">
        <f t="shared" si="27"/>
        <v>166</v>
      </c>
      <c r="F166" s="9" t="s">
        <v>116</v>
      </c>
      <c r="J166" s="9"/>
      <c r="K166" s="9"/>
      <c r="L166" s="9"/>
      <c r="M166" s="21">
        <v>1.5</v>
      </c>
      <c r="N166" s="9"/>
      <c r="O166" s="9"/>
      <c r="P166" s="9"/>
      <c r="Q166" s="9"/>
      <c r="R166" s="12"/>
      <c r="S166" s="9"/>
      <c r="T166" s="9"/>
      <c r="U166" s="12"/>
      <c r="V166" s="12"/>
      <c r="W166" s="12"/>
      <c r="X166" s="15"/>
      <c r="Y166" s="15"/>
      <c r="Z166" s="15"/>
      <c r="AA166" s="15"/>
      <c r="AB166" s="15"/>
      <c r="AC166" s="15"/>
      <c r="AD166" s="15"/>
      <c r="AE166" s="16"/>
      <c r="AF166" s="16"/>
      <c r="AG166" s="16"/>
      <c r="AH166" s="16"/>
      <c r="AI166" s="16"/>
      <c r="AJ166" s="16"/>
      <c r="AK166" s="16"/>
      <c r="AL166" s="16"/>
      <c r="AM166" s="16"/>
      <c r="AN166" s="16"/>
      <c r="AO166" s="16"/>
      <c r="AP166" s="16"/>
      <c r="AQ166" s="16"/>
      <c r="AR166" s="16"/>
      <c r="AS166" s="16"/>
      <c r="AT166" s="16"/>
      <c r="AU166" s="16"/>
      <c r="AV166" s="16"/>
      <c r="AW166" s="16"/>
      <c r="AX166" s="16"/>
      <c r="AY166" s="16"/>
      <c r="AZ166" s="16"/>
      <c r="BA166" s="16"/>
      <c r="BB166" s="16"/>
      <c r="BC166" s="16"/>
      <c r="BD166" s="16"/>
      <c r="BE166" s="16"/>
      <c r="BF166" s="16"/>
      <c r="BG166" s="16"/>
    </row>
    <row r="167" spans="1:59">
      <c r="A167" s="9"/>
      <c r="B167" s="9"/>
      <c r="E167" s="21">
        <f t="shared" si="27"/>
        <v>167</v>
      </c>
      <c r="F167" s="9" t="s">
        <v>31</v>
      </c>
      <c r="G167" s="21">
        <v>45</v>
      </c>
      <c r="L167" s="9" t="s">
        <v>135</v>
      </c>
      <c r="M167" s="21">
        <f t="shared" ref="M167" si="43">G167*D157</f>
        <v>270</v>
      </c>
    </row>
    <row r="168" spans="1:59">
      <c r="A168" s="9"/>
      <c r="B168" s="9"/>
      <c r="E168" s="21">
        <f t="shared" si="27"/>
        <v>168</v>
      </c>
      <c r="F168" s="9" t="s">
        <v>112</v>
      </c>
      <c r="L168" s="9" t="s">
        <v>135</v>
      </c>
      <c r="M168" s="21">
        <v>85.94</v>
      </c>
    </row>
    <row r="169" spans="1:59">
      <c r="A169" s="9"/>
      <c r="B169" s="9"/>
      <c r="E169" s="21">
        <f t="shared" si="27"/>
        <v>169</v>
      </c>
      <c r="F169" s="9" t="s">
        <v>117</v>
      </c>
      <c r="K169" s="9" t="s">
        <v>138</v>
      </c>
      <c r="M169" s="21">
        <v>2</v>
      </c>
    </row>
    <row r="170" spans="1:59">
      <c r="A170" s="9"/>
      <c r="B170" s="9"/>
      <c r="E170" s="21">
        <f t="shared" si="27"/>
        <v>170</v>
      </c>
      <c r="F170" s="9" t="s">
        <v>126</v>
      </c>
      <c r="M170" s="21">
        <v>10000</v>
      </c>
    </row>
    <row r="171" spans="1:59">
      <c r="A171" s="9"/>
      <c r="B171" s="9"/>
      <c r="E171" s="21">
        <f t="shared" si="27"/>
        <v>171</v>
      </c>
      <c r="F171" s="9" t="s">
        <v>118</v>
      </c>
      <c r="M171" s="21" t="b">
        <v>1</v>
      </c>
    </row>
    <row r="172" spans="1:59">
      <c r="A172" s="9"/>
      <c r="B172" s="9"/>
      <c r="E172" s="21">
        <f t="shared" si="27"/>
        <v>172</v>
      </c>
      <c r="F172" s="9" t="s">
        <v>102</v>
      </c>
      <c r="M172" s="21">
        <f t="shared" ref="M172" si="44">M158*10+9</f>
        <v>155069</v>
      </c>
    </row>
    <row r="173" spans="1:59">
      <c r="A173" s="9"/>
      <c r="B173" s="9"/>
      <c r="E173" s="21">
        <f t="shared" si="27"/>
        <v>173</v>
      </c>
      <c r="F173" s="9" t="s">
        <v>143</v>
      </c>
      <c r="M173" s="21">
        <f t="shared" ref="M173" si="45">M158</f>
        <v>15506</v>
      </c>
    </row>
    <row r="174" spans="1:59">
      <c r="A174" s="9"/>
      <c r="B174" s="9"/>
      <c r="E174" s="21">
        <f t="shared" si="27"/>
        <v>174</v>
      </c>
      <c r="F174" s="9" t="s">
        <v>127</v>
      </c>
      <c r="M174" s="21">
        <v>90</v>
      </c>
    </row>
    <row r="175" spans="1:59">
      <c r="A175" s="9"/>
      <c r="B175" s="9"/>
      <c r="E175" s="21">
        <f t="shared" si="27"/>
        <v>175</v>
      </c>
      <c r="F175" s="9" t="s">
        <v>143</v>
      </c>
      <c r="M175" s="21">
        <f t="shared" ref="M175" si="46">M172</f>
        <v>155069</v>
      </c>
    </row>
    <row r="176" spans="1:59">
      <c r="A176" s="9"/>
      <c r="B176" s="9"/>
      <c r="E176" s="21">
        <f t="shared" si="27"/>
        <v>176</v>
      </c>
      <c r="F176" s="9" t="s">
        <v>128</v>
      </c>
      <c r="M176" s="21">
        <v>0</v>
      </c>
    </row>
    <row r="177" spans="1:13">
      <c r="A177" s="9"/>
      <c r="B177" s="9"/>
      <c r="E177" s="21">
        <f t="shared" si="27"/>
        <v>177</v>
      </c>
      <c r="F177" s="9" t="s">
        <v>35</v>
      </c>
      <c r="M177" s="21">
        <v>20</v>
      </c>
    </row>
    <row r="178" spans="1:13">
      <c r="A178" s="9"/>
      <c r="B178" s="9"/>
      <c r="E178" s="21">
        <f t="shared" si="27"/>
        <v>178</v>
      </c>
      <c r="F178" s="9" t="s">
        <v>30</v>
      </c>
      <c r="M178" s="21">
        <v>0</v>
      </c>
    </row>
    <row r="179" spans="1:13">
      <c r="A179" s="9"/>
      <c r="B179" s="9"/>
      <c r="E179" s="21">
        <f t="shared" si="27"/>
        <v>179</v>
      </c>
      <c r="F179" s="9" t="s">
        <v>31</v>
      </c>
      <c r="L179" s="9" t="s">
        <v>135</v>
      </c>
      <c r="M179" s="21">
        <v>0</v>
      </c>
    </row>
    <row r="180" spans="1:13">
      <c r="A180" s="9"/>
      <c r="B180" s="9"/>
      <c r="E180" s="21">
        <f t="shared" si="27"/>
        <v>180</v>
      </c>
      <c r="F180" s="9" t="s">
        <v>171</v>
      </c>
      <c r="M180" s="21">
        <f t="shared" ref="M180" si="47">J158</f>
        <v>15500</v>
      </c>
    </row>
    <row r="181" spans="1:13">
      <c r="A181" s="9" t="s">
        <v>231</v>
      </c>
      <c r="B181" s="9">
        <f t="shared" ref="B181" si="48">QUOTIENT( D181-1,G182)+1</f>
        <v>1</v>
      </c>
      <c r="C181" s="21">
        <f t="shared" ref="C181" si="49">D181-(B181-1)*G182</f>
        <v>7</v>
      </c>
      <c r="D181" s="21">
        <f>COUNT($D$31:$D180)+1</f>
        <v>7</v>
      </c>
    </row>
    <row r="182" spans="1:13">
      <c r="A182" s="9"/>
      <c r="B182" s="9"/>
      <c r="E182" s="21">
        <f t="shared" ref="E182" si="50">ROW(E182)</f>
        <v>182</v>
      </c>
      <c r="F182" s="9" t="s">
        <v>93</v>
      </c>
      <c r="G182" s="21">
        <v>8</v>
      </c>
      <c r="H182" s="21">
        <v>1</v>
      </c>
      <c r="J182" s="9">
        <v>15500</v>
      </c>
      <c r="M182" s="21">
        <f t="shared" ref="M182" si="51">J182+D181</f>
        <v>15507</v>
      </c>
    </row>
    <row r="183" spans="1:13">
      <c r="A183" s="9"/>
      <c r="B183" s="9"/>
      <c r="E183" s="21">
        <f t="shared" si="27"/>
        <v>183</v>
      </c>
      <c r="F183" s="9" t="s">
        <v>143</v>
      </c>
      <c r="M183" s="21">
        <v>15400</v>
      </c>
    </row>
    <row r="184" spans="1:13">
      <c r="A184" s="9"/>
      <c r="B184" s="9"/>
      <c r="E184" s="21">
        <f t="shared" si="27"/>
        <v>184</v>
      </c>
      <c r="F184" s="9" t="s">
        <v>128</v>
      </c>
      <c r="M184" s="21">
        <v>0</v>
      </c>
    </row>
    <row r="185" spans="1:13">
      <c r="A185" s="9"/>
      <c r="B185" s="9"/>
      <c r="E185" s="21">
        <f t="shared" si="27"/>
        <v>185</v>
      </c>
      <c r="F185" s="9" t="s">
        <v>29</v>
      </c>
      <c r="M185" s="21" t="s">
        <v>146</v>
      </c>
    </row>
    <row r="186" spans="1:13">
      <c r="A186" s="9"/>
      <c r="B186" s="9"/>
      <c r="E186" s="21">
        <f t="shared" si="27"/>
        <v>186</v>
      </c>
      <c r="F186" s="9" t="s">
        <v>119</v>
      </c>
      <c r="M186" s="21" t="s">
        <v>245</v>
      </c>
    </row>
    <row r="187" spans="1:13">
      <c r="A187" s="9"/>
      <c r="B187" s="9"/>
      <c r="E187" s="21">
        <f t="shared" si="27"/>
        <v>187</v>
      </c>
      <c r="F187" s="9" t="s">
        <v>99</v>
      </c>
      <c r="K187" s="9" t="s">
        <v>138</v>
      </c>
      <c r="M187" s="21">
        <v>2</v>
      </c>
    </row>
    <row r="188" spans="1:13">
      <c r="A188" s="9"/>
      <c r="B188" s="9"/>
      <c r="E188" s="21">
        <f t="shared" si="27"/>
        <v>188</v>
      </c>
      <c r="F188" s="9" t="s">
        <v>110</v>
      </c>
      <c r="M188" s="21">
        <v>3</v>
      </c>
    </row>
    <row r="189" spans="1:13">
      <c r="A189" s="9"/>
      <c r="B189" s="9"/>
      <c r="E189" s="21">
        <f t="shared" si="27"/>
        <v>189</v>
      </c>
      <c r="F189" s="9" t="s">
        <v>30</v>
      </c>
      <c r="M189" s="21">
        <v>3</v>
      </c>
    </row>
    <row r="190" spans="1:13">
      <c r="E190" s="21">
        <f t="shared" ref="E190:E228" si="52">ROW(E190)</f>
        <v>190</v>
      </c>
      <c r="F190" s="9" t="s">
        <v>116</v>
      </c>
      <c r="M190" s="21">
        <v>1.5</v>
      </c>
    </row>
    <row r="191" spans="1:13">
      <c r="E191" s="21">
        <f t="shared" si="52"/>
        <v>191</v>
      </c>
      <c r="F191" s="9" t="s">
        <v>31</v>
      </c>
      <c r="G191" s="21">
        <v>45</v>
      </c>
      <c r="L191" s="9" t="s">
        <v>135</v>
      </c>
      <c r="M191" s="21">
        <f t="shared" ref="M191" si="53">G191*D181</f>
        <v>315</v>
      </c>
    </row>
    <row r="192" spans="1:13">
      <c r="E192" s="21">
        <f t="shared" si="52"/>
        <v>192</v>
      </c>
      <c r="F192" s="9" t="s">
        <v>112</v>
      </c>
      <c r="L192" s="9" t="s">
        <v>135</v>
      </c>
      <c r="M192" s="21">
        <v>85.94</v>
      </c>
    </row>
    <row r="193" spans="1:13">
      <c r="E193" s="21">
        <f t="shared" si="52"/>
        <v>193</v>
      </c>
      <c r="F193" s="9" t="s">
        <v>117</v>
      </c>
      <c r="K193" s="9" t="s">
        <v>138</v>
      </c>
      <c r="M193" s="21">
        <v>2</v>
      </c>
    </row>
    <row r="194" spans="1:13">
      <c r="E194" s="21">
        <f t="shared" si="52"/>
        <v>194</v>
      </c>
      <c r="F194" s="9" t="s">
        <v>126</v>
      </c>
      <c r="M194" s="21">
        <v>10000</v>
      </c>
    </row>
    <row r="195" spans="1:13">
      <c r="E195" s="21">
        <f t="shared" si="52"/>
        <v>195</v>
      </c>
      <c r="F195" s="9" t="s">
        <v>118</v>
      </c>
      <c r="M195" s="21" t="b">
        <v>1</v>
      </c>
    </row>
    <row r="196" spans="1:13">
      <c r="E196" s="21">
        <f t="shared" si="52"/>
        <v>196</v>
      </c>
      <c r="F196" s="9" t="s">
        <v>102</v>
      </c>
      <c r="M196" s="21">
        <f t="shared" ref="M196" si="54">M182*10+9</f>
        <v>155079</v>
      </c>
    </row>
    <row r="197" spans="1:13">
      <c r="E197" s="21">
        <f t="shared" si="52"/>
        <v>197</v>
      </c>
      <c r="F197" s="9" t="s">
        <v>143</v>
      </c>
      <c r="M197" s="21">
        <f t="shared" ref="M197" si="55">M182</f>
        <v>15507</v>
      </c>
    </row>
    <row r="198" spans="1:13">
      <c r="E198" s="21">
        <f t="shared" si="52"/>
        <v>198</v>
      </c>
      <c r="F198" s="9" t="s">
        <v>127</v>
      </c>
      <c r="M198" s="21">
        <v>90</v>
      </c>
    </row>
    <row r="199" spans="1:13">
      <c r="E199" s="21">
        <f t="shared" si="52"/>
        <v>199</v>
      </c>
      <c r="F199" s="9" t="s">
        <v>143</v>
      </c>
      <c r="M199" s="21">
        <f t="shared" ref="M199" si="56">M196</f>
        <v>155079</v>
      </c>
    </row>
    <row r="200" spans="1:13">
      <c r="E200" s="21">
        <f t="shared" si="52"/>
        <v>200</v>
      </c>
      <c r="F200" s="9" t="s">
        <v>128</v>
      </c>
      <c r="M200" s="21">
        <v>0</v>
      </c>
    </row>
    <row r="201" spans="1:13">
      <c r="E201" s="21">
        <f t="shared" si="52"/>
        <v>201</v>
      </c>
      <c r="F201" s="9" t="s">
        <v>35</v>
      </c>
      <c r="M201" s="21">
        <v>20</v>
      </c>
    </row>
    <row r="202" spans="1:13">
      <c r="E202" s="21">
        <f t="shared" si="52"/>
        <v>202</v>
      </c>
      <c r="F202" s="9" t="s">
        <v>30</v>
      </c>
      <c r="M202" s="21">
        <v>0</v>
      </c>
    </row>
    <row r="203" spans="1:13">
      <c r="E203" s="21">
        <f t="shared" si="52"/>
        <v>203</v>
      </c>
      <c r="F203" s="9" t="s">
        <v>31</v>
      </c>
      <c r="L203" s="9" t="s">
        <v>135</v>
      </c>
      <c r="M203" s="21">
        <v>0</v>
      </c>
    </row>
    <row r="204" spans="1:13">
      <c r="E204" s="21">
        <f t="shared" si="52"/>
        <v>204</v>
      </c>
      <c r="F204" s="9" t="s">
        <v>171</v>
      </c>
      <c r="M204" s="21">
        <f t="shared" ref="M204" si="57">J182</f>
        <v>15500</v>
      </c>
    </row>
    <row r="205" spans="1:13">
      <c r="A205" s="21" t="s">
        <v>231</v>
      </c>
      <c r="B205" s="21">
        <f t="shared" ref="B205" si="58">QUOTIENT( D205-1,G206)+1</f>
        <v>1</v>
      </c>
      <c r="C205" s="21">
        <f t="shared" ref="C205" si="59">D205-(B205-1)*G206</f>
        <v>8</v>
      </c>
      <c r="D205" s="21">
        <f>COUNT($D$31:$D204)+1</f>
        <v>8</v>
      </c>
    </row>
    <row r="206" spans="1:13">
      <c r="E206" s="21">
        <f t="shared" ref="E206" si="60">ROW(E206)</f>
        <v>206</v>
      </c>
      <c r="F206" s="9" t="s">
        <v>93</v>
      </c>
      <c r="G206" s="21">
        <v>8</v>
      </c>
      <c r="H206" s="21">
        <v>1</v>
      </c>
      <c r="J206" s="9">
        <v>15500</v>
      </c>
      <c r="M206" s="21">
        <f t="shared" ref="M206" si="61">J206+D205</f>
        <v>15508</v>
      </c>
    </row>
    <row r="207" spans="1:13">
      <c r="E207" s="21">
        <f t="shared" si="52"/>
        <v>207</v>
      </c>
      <c r="F207" s="9" t="s">
        <v>143</v>
      </c>
      <c r="M207" s="21">
        <v>15400</v>
      </c>
    </row>
    <row r="208" spans="1:13">
      <c r="E208" s="21">
        <f t="shared" si="52"/>
        <v>208</v>
      </c>
      <c r="F208" s="9" t="s">
        <v>128</v>
      </c>
      <c r="M208" s="21">
        <v>0</v>
      </c>
    </row>
    <row r="209" spans="5:13">
      <c r="E209" s="21">
        <f t="shared" si="52"/>
        <v>209</v>
      </c>
      <c r="F209" s="9" t="s">
        <v>29</v>
      </c>
      <c r="M209" s="21" t="s">
        <v>146</v>
      </c>
    </row>
    <row r="210" spans="5:13">
      <c r="E210" s="21">
        <f t="shared" si="52"/>
        <v>210</v>
      </c>
      <c r="F210" s="9" t="s">
        <v>119</v>
      </c>
      <c r="M210" s="21" t="s">
        <v>245</v>
      </c>
    </row>
    <row r="211" spans="5:13">
      <c r="E211" s="21">
        <f t="shared" si="52"/>
        <v>211</v>
      </c>
      <c r="F211" s="9" t="s">
        <v>99</v>
      </c>
      <c r="K211" s="9" t="s">
        <v>138</v>
      </c>
      <c r="M211" s="21">
        <v>2</v>
      </c>
    </row>
    <row r="212" spans="5:13">
      <c r="E212" s="21">
        <f t="shared" si="52"/>
        <v>212</v>
      </c>
      <c r="F212" s="9" t="s">
        <v>110</v>
      </c>
      <c r="M212" s="21">
        <v>3</v>
      </c>
    </row>
    <row r="213" spans="5:13">
      <c r="E213" s="21">
        <f t="shared" si="52"/>
        <v>213</v>
      </c>
      <c r="F213" s="9" t="s">
        <v>30</v>
      </c>
      <c r="M213" s="21">
        <v>3</v>
      </c>
    </row>
    <row r="214" spans="5:13">
      <c r="E214" s="21">
        <f t="shared" si="52"/>
        <v>214</v>
      </c>
      <c r="F214" s="9" t="s">
        <v>116</v>
      </c>
      <c r="M214" s="21">
        <v>1.5</v>
      </c>
    </row>
    <row r="215" spans="5:13">
      <c r="E215" s="21">
        <f t="shared" si="52"/>
        <v>215</v>
      </c>
      <c r="F215" s="9" t="s">
        <v>31</v>
      </c>
      <c r="G215" s="21">
        <v>45</v>
      </c>
      <c r="L215" s="9" t="s">
        <v>135</v>
      </c>
      <c r="M215" s="21">
        <f t="shared" ref="M215" si="62">G215*D205</f>
        <v>360</v>
      </c>
    </row>
    <row r="216" spans="5:13">
      <c r="E216" s="21">
        <f t="shared" si="52"/>
        <v>216</v>
      </c>
      <c r="F216" s="9" t="s">
        <v>112</v>
      </c>
      <c r="L216" s="9" t="s">
        <v>135</v>
      </c>
      <c r="M216" s="21">
        <v>85.94</v>
      </c>
    </row>
    <row r="217" spans="5:13">
      <c r="E217" s="21">
        <f t="shared" si="52"/>
        <v>217</v>
      </c>
      <c r="F217" s="9" t="s">
        <v>117</v>
      </c>
      <c r="K217" s="9" t="s">
        <v>138</v>
      </c>
      <c r="M217" s="21">
        <v>2</v>
      </c>
    </row>
    <row r="218" spans="5:13">
      <c r="E218" s="21">
        <f t="shared" si="52"/>
        <v>218</v>
      </c>
      <c r="F218" s="9" t="s">
        <v>126</v>
      </c>
      <c r="M218" s="21">
        <v>10000</v>
      </c>
    </row>
    <row r="219" spans="5:13">
      <c r="E219" s="21">
        <f t="shared" si="52"/>
        <v>219</v>
      </c>
      <c r="F219" s="9" t="s">
        <v>118</v>
      </c>
      <c r="M219" s="21" t="b">
        <v>1</v>
      </c>
    </row>
    <row r="220" spans="5:13">
      <c r="E220" s="21">
        <f t="shared" si="52"/>
        <v>220</v>
      </c>
      <c r="F220" s="9" t="s">
        <v>102</v>
      </c>
      <c r="M220" s="21">
        <f t="shared" ref="M220" si="63">M206*10+9</f>
        <v>155089</v>
      </c>
    </row>
    <row r="221" spans="5:13">
      <c r="E221" s="21">
        <f t="shared" si="52"/>
        <v>221</v>
      </c>
      <c r="F221" s="9" t="s">
        <v>143</v>
      </c>
      <c r="M221" s="21">
        <f t="shared" ref="M221" si="64">M206</f>
        <v>15508</v>
      </c>
    </row>
    <row r="222" spans="5:13">
      <c r="E222" s="21">
        <f t="shared" si="52"/>
        <v>222</v>
      </c>
      <c r="F222" s="9" t="s">
        <v>127</v>
      </c>
      <c r="M222" s="21">
        <v>90</v>
      </c>
    </row>
    <row r="223" spans="5:13">
      <c r="E223" s="21">
        <f t="shared" si="52"/>
        <v>223</v>
      </c>
      <c r="F223" s="9" t="s">
        <v>143</v>
      </c>
      <c r="M223" s="21">
        <f t="shared" ref="M223" si="65">M220</f>
        <v>155089</v>
      </c>
    </row>
    <row r="224" spans="5:13">
      <c r="E224" s="21">
        <f t="shared" si="52"/>
        <v>224</v>
      </c>
      <c r="F224" s="9" t="s">
        <v>128</v>
      </c>
      <c r="M224" s="21">
        <v>0</v>
      </c>
    </row>
    <row r="225" spans="1:13">
      <c r="E225" s="21">
        <f t="shared" si="52"/>
        <v>225</v>
      </c>
      <c r="F225" s="9" t="s">
        <v>35</v>
      </c>
      <c r="M225" s="21">
        <v>20</v>
      </c>
    </row>
    <row r="226" spans="1:13">
      <c r="E226" s="21">
        <f t="shared" si="52"/>
        <v>226</v>
      </c>
      <c r="F226" s="9" t="s">
        <v>30</v>
      </c>
      <c r="M226" s="21">
        <v>0</v>
      </c>
    </row>
    <row r="227" spans="1:13">
      <c r="E227" s="21">
        <f t="shared" si="52"/>
        <v>227</v>
      </c>
      <c r="F227" s="9" t="s">
        <v>31</v>
      </c>
      <c r="L227" s="9" t="s">
        <v>135</v>
      </c>
      <c r="M227" s="21">
        <v>0</v>
      </c>
    </row>
    <row r="228" spans="1:13">
      <c r="E228" s="21">
        <f t="shared" si="52"/>
        <v>228</v>
      </c>
      <c r="F228" s="9" t="s">
        <v>171</v>
      </c>
      <c r="M228" s="21">
        <f t="shared" ref="M228" si="66">J206</f>
        <v>15500</v>
      </c>
    </row>
    <row r="239" spans="1:13">
      <c r="A239" s="21" t="s">
        <v>268</v>
      </c>
    </row>
    <row r="240" spans="1:13">
      <c r="E240" s="21">
        <f t="shared" ref="E240:E248" si="67">ROW(E240)</f>
        <v>240</v>
      </c>
      <c r="F240" s="9" t="s">
        <v>93</v>
      </c>
      <c r="M240" s="21">
        <v>15600</v>
      </c>
    </row>
    <row r="241" spans="1:13">
      <c r="E241" s="21">
        <f t="shared" si="67"/>
        <v>241</v>
      </c>
      <c r="F241" s="9" t="s">
        <v>143</v>
      </c>
      <c r="M241" s="21">
        <v>15500</v>
      </c>
    </row>
    <row r="242" spans="1:13">
      <c r="E242" s="21">
        <f t="shared" si="67"/>
        <v>242</v>
      </c>
      <c r="F242" s="9" t="s">
        <v>127</v>
      </c>
      <c r="M242" s="21">
        <v>0</v>
      </c>
    </row>
    <row r="243" spans="1:13">
      <c r="E243" s="21">
        <f t="shared" si="67"/>
        <v>243</v>
      </c>
      <c r="F243" s="9" t="s">
        <v>29</v>
      </c>
      <c r="M243" s="21" t="s">
        <v>239</v>
      </c>
    </row>
    <row r="244" spans="1:13">
      <c r="E244" s="21">
        <f t="shared" si="67"/>
        <v>244</v>
      </c>
      <c r="F244" s="9" t="s">
        <v>119</v>
      </c>
      <c r="M244" s="21" t="s">
        <v>240</v>
      </c>
    </row>
    <row r="245" spans="1:13">
      <c r="E245" s="21">
        <f t="shared" si="67"/>
        <v>245</v>
      </c>
      <c r="F245" s="9" t="s">
        <v>99</v>
      </c>
      <c r="K245" s="9" t="s">
        <v>138</v>
      </c>
      <c r="M245" s="21">
        <v>2</v>
      </c>
    </row>
    <row r="246" spans="1:13">
      <c r="E246" s="21">
        <f t="shared" si="67"/>
        <v>246</v>
      </c>
      <c r="F246" s="9" t="s">
        <v>116</v>
      </c>
      <c r="M246" s="21">
        <v>1</v>
      </c>
    </row>
    <row r="247" spans="1:13">
      <c r="E247" s="21">
        <f t="shared" si="67"/>
        <v>247</v>
      </c>
      <c r="F247" s="9" t="s">
        <v>31</v>
      </c>
      <c r="L247" s="9" t="s">
        <v>264</v>
      </c>
      <c r="M247" s="21" t="s">
        <v>267</v>
      </c>
    </row>
    <row r="248" spans="1:13">
      <c r="E248" s="21">
        <f t="shared" si="67"/>
        <v>248</v>
      </c>
      <c r="F248" s="9" t="s">
        <v>115</v>
      </c>
      <c r="M248" s="21" t="b">
        <v>1</v>
      </c>
    </row>
    <row r="250" spans="1:13">
      <c r="A250" s="21" t="s">
        <v>241</v>
      </c>
    </row>
    <row r="251" spans="1:13">
      <c r="E251" s="21">
        <f t="shared" ref="E251:E258" si="68">ROW(E251)</f>
        <v>251</v>
      </c>
      <c r="F251" s="9" t="s">
        <v>93</v>
      </c>
      <c r="M251" s="21">
        <v>15610</v>
      </c>
    </row>
    <row r="252" spans="1:13">
      <c r="E252" s="21">
        <f t="shared" si="68"/>
        <v>252</v>
      </c>
      <c r="F252" s="9" t="s">
        <v>143</v>
      </c>
      <c r="M252" s="21">
        <v>153109</v>
      </c>
    </row>
    <row r="253" spans="1:13">
      <c r="E253" s="21">
        <f t="shared" si="68"/>
        <v>253</v>
      </c>
      <c r="F253" s="9" t="s">
        <v>127</v>
      </c>
      <c r="M253" s="21">
        <v>0</v>
      </c>
    </row>
    <row r="254" spans="1:13">
      <c r="E254" s="21">
        <f t="shared" si="68"/>
        <v>254</v>
      </c>
      <c r="F254" s="9" t="s">
        <v>29</v>
      </c>
      <c r="M254" s="21" t="s">
        <v>242</v>
      </c>
    </row>
    <row r="255" spans="1:13">
      <c r="E255" s="21">
        <f t="shared" si="68"/>
        <v>255</v>
      </c>
      <c r="F255" s="9" t="s">
        <v>119</v>
      </c>
      <c r="M255" s="21" t="s">
        <v>243</v>
      </c>
    </row>
    <row r="256" spans="1:13">
      <c r="E256" s="21">
        <f t="shared" si="68"/>
        <v>256</v>
      </c>
      <c r="F256" s="9" t="s">
        <v>99</v>
      </c>
      <c r="K256" s="9" t="s">
        <v>138</v>
      </c>
      <c r="M256" s="21">
        <v>2</v>
      </c>
    </row>
    <row r="257" spans="1:60">
      <c r="E257" s="21">
        <f t="shared" si="68"/>
        <v>257</v>
      </c>
      <c r="F257" s="9" t="s">
        <v>30</v>
      </c>
      <c r="M257" s="21">
        <v>2</v>
      </c>
    </row>
    <row r="258" spans="1:60">
      <c r="E258" s="21">
        <f t="shared" si="68"/>
        <v>258</v>
      </c>
      <c r="F258" s="9" t="s">
        <v>31</v>
      </c>
      <c r="L258" s="9" t="s">
        <v>136</v>
      </c>
      <c r="M258" s="21" t="s">
        <v>244</v>
      </c>
    </row>
    <row r="264" spans="1:60">
      <c r="A264" s="9"/>
      <c r="B264" s="9"/>
      <c r="J264" s="21"/>
      <c r="R264" s="12"/>
      <c r="S264" s="9"/>
      <c r="U264" s="12"/>
      <c r="X264" s="15"/>
      <c r="AE264" s="16"/>
      <c r="BH264" s="9"/>
    </row>
    <row r="265" spans="1:60">
      <c r="A265" s="9"/>
      <c r="B265" s="9"/>
      <c r="R265" s="12"/>
      <c r="S265" s="9"/>
      <c r="U265" s="12"/>
      <c r="X265" s="15"/>
      <c r="AE265" s="16"/>
      <c r="BH265" s="9"/>
    </row>
    <row r="266" spans="1:60">
      <c r="A266" s="9"/>
      <c r="B266" s="9"/>
      <c r="R266" s="12"/>
      <c r="S266" s="9"/>
      <c r="U266" s="12"/>
      <c r="X266" s="15"/>
      <c r="AE266" s="16"/>
      <c r="BH266" s="9"/>
    </row>
    <row r="267" spans="1:60">
      <c r="A267" s="9"/>
      <c r="B267" s="9"/>
      <c r="R267" s="12"/>
      <c r="S267" s="9"/>
      <c r="U267" s="12"/>
      <c r="X267" s="15"/>
      <c r="AE267" s="16"/>
      <c r="BH267" s="9"/>
    </row>
    <row r="268" spans="1:60">
      <c r="A268" s="9"/>
      <c r="B268" s="9"/>
      <c r="R268" s="12"/>
      <c r="S268" s="9"/>
      <c r="U268" s="12"/>
      <c r="X268" s="15"/>
      <c r="AE268" s="16"/>
      <c r="BH268" s="9"/>
    </row>
    <row r="269" spans="1:60">
      <c r="A269" s="9"/>
      <c r="B269" s="9"/>
      <c r="R269" s="12"/>
      <c r="S269" s="9"/>
      <c r="U269" s="12"/>
      <c r="X269" s="15"/>
      <c r="AE269" s="16"/>
      <c r="BH269" s="9"/>
    </row>
    <row r="270" spans="1:60">
      <c r="A270" s="9"/>
      <c r="B270" s="9"/>
      <c r="R270" s="12"/>
      <c r="S270" s="9"/>
      <c r="U270" s="12"/>
      <c r="X270" s="15"/>
      <c r="AE270" s="16"/>
      <c r="BH270" s="9"/>
    </row>
    <row r="281" spans="1:60">
      <c r="A281" s="9"/>
      <c r="B281" s="9"/>
    </row>
    <row r="282" spans="1:60">
      <c r="B282" s="9"/>
      <c r="C282" s="9"/>
      <c r="D282" s="9"/>
    </row>
    <row r="283" spans="1:60">
      <c r="A283" s="9"/>
      <c r="B283" s="9"/>
      <c r="J283" s="21"/>
      <c r="R283" s="12"/>
      <c r="S283" s="9"/>
      <c r="U283" s="12"/>
      <c r="X283" s="15"/>
      <c r="AE283" s="16"/>
      <c r="BH283" s="9"/>
    </row>
    <row r="284" spans="1:60">
      <c r="A284" s="9"/>
      <c r="B284" s="9"/>
      <c r="R284" s="12"/>
      <c r="S284" s="9"/>
      <c r="U284" s="12"/>
      <c r="X284" s="15"/>
      <c r="AE284" s="16"/>
      <c r="BH284" s="9"/>
    </row>
    <row r="285" spans="1:60">
      <c r="A285" s="9"/>
      <c r="B285" s="9"/>
      <c r="R285" s="12"/>
      <c r="S285" s="9"/>
      <c r="U285" s="12"/>
      <c r="X285" s="15"/>
      <c r="AE285" s="16"/>
      <c r="BH285" s="9"/>
    </row>
    <row r="286" spans="1:60">
      <c r="A286" s="9"/>
      <c r="B286" s="9"/>
      <c r="R286" s="12"/>
      <c r="S286" s="9"/>
      <c r="U286" s="12"/>
      <c r="X286" s="15"/>
      <c r="AE286" s="16"/>
      <c r="BH286" s="9"/>
    </row>
    <row r="287" spans="1:60">
      <c r="A287" s="9"/>
      <c r="B287" s="9"/>
      <c r="R287" s="12"/>
      <c r="S287" s="9"/>
      <c r="U287" s="12"/>
      <c r="X287" s="15"/>
      <c r="AE287" s="16"/>
      <c r="BH287" s="9"/>
    </row>
    <row r="288" spans="1:60">
      <c r="A288" s="9"/>
      <c r="B288" s="9"/>
      <c r="R288" s="12"/>
      <c r="S288" s="9"/>
      <c r="U288" s="12"/>
      <c r="X288" s="15"/>
      <c r="AE288" s="16"/>
      <c r="BH288" s="9"/>
    </row>
    <row r="289" spans="1:60">
      <c r="A289" s="9"/>
      <c r="B289" s="9"/>
      <c r="R289" s="12"/>
      <c r="S289" s="9"/>
      <c r="U289" s="12"/>
      <c r="X289" s="15"/>
      <c r="AE289" s="16"/>
      <c r="BH289" s="9"/>
    </row>
    <row r="290" spans="1:60">
      <c r="A290" s="9"/>
      <c r="B290" s="9"/>
      <c r="R290" s="12"/>
      <c r="S290" s="9"/>
      <c r="U290" s="12"/>
      <c r="X290" s="15"/>
      <c r="AE290" s="16"/>
      <c r="BH290" s="9"/>
    </row>
    <row r="291" spans="1:60">
      <c r="A291" s="9"/>
      <c r="B291" s="9"/>
      <c r="R291" s="12"/>
      <c r="S291" s="9"/>
      <c r="U291" s="12"/>
      <c r="X291" s="15"/>
      <c r="AE291" s="16"/>
      <c r="BH291" s="9"/>
    </row>
    <row r="292" spans="1:60">
      <c r="A292" s="9"/>
      <c r="B292" s="9"/>
      <c r="R292" s="12"/>
      <c r="S292" s="9"/>
      <c r="U292" s="12"/>
      <c r="X292" s="15"/>
      <c r="AE292" s="16"/>
      <c r="BH292" s="9"/>
    </row>
    <row r="293" spans="1:60">
      <c r="A293" s="9"/>
      <c r="B293" s="9"/>
      <c r="R293" s="12"/>
      <c r="S293" s="9"/>
      <c r="U293" s="12"/>
      <c r="X293" s="15"/>
      <c r="AE293" s="16"/>
      <c r="BH293" s="9"/>
    </row>
    <row r="294" spans="1:60">
      <c r="A294" s="9"/>
      <c r="B294" s="9"/>
      <c r="R294" s="12"/>
      <c r="S294" s="9"/>
      <c r="U294" s="12"/>
      <c r="X294" s="15"/>
      <c r="AE294" s="16"/>
      <c r="BH294" s="9"/>
    </row>
    <row r="295" spans="1:60">
      <c r="A295" s="9"/>
      <c r="B295" s="9"/>
      <c r="R295" s="12"/>
      <c r="S295" s="9"/>
      <c r="U295" s="12"/>
      <c r="X295" s="15"/>
      <c r="AE295" s="16"/>
      <c r="BH295" s="9"/>
    </row>
    <row r="296" spans="1:60">
      <c r="A296" s="9"/>
      <c r="B296" s="9"/>
      <c r="R296" s="12"/>
      <c r="S296" s="9"/>
      <c r="U296" s="12"/>
      <c r="X296" s="15"/>
      <c r="AE296" s="16"/>
      <c r="BH296" s="9"/>
    </row>
    <row r="297" spans="1:60">
      <c r="A297" s="9"/>
      <c r="B297" s="9"/>
      <c r="R297" s="12"/>
      <c r="S297" s="9"/>
      <c r="U297" s="12"/>
      <c r="X297" s="15"/>
      <c r="AE297" s="16"/>
      <c r="BH297" s="9"/>
    </row>
    <row r="298" spans="1:60">
      <c r="A298" s="9"/>
      <c r="B298" s="9"/>
      <c r="R298" s="12"/>
      <c r="S298" s="9"/>
      <c r="U298" s="12"/>
      <c r="X298" s="15"/>
      <c r="AE298" s="16"/>
      <c r="BH298" s="9"/>
    </row>
    <row r="299" spans="1:60">
      <c r="A299" s="9"/>
      <c r="B299" s="9"/>
      <c r="R299" s="12"/>
      <c r="S299" s="9"/>
      <c r="U299" s="12"/>
      <c r="X299" s="15"/>
      <c r="AE299" s="16"/>
      <c r="BH299" s="9"/>
    </row>
    <row r="300" spans="1:60">
      <c r="A300" s="9"/>
      <c r="B300" s="9"/>
      <c r="R300" s="12"/>
      <c r="S300" s="9"/>
      <c r="U300" s="12"/>
      <c r="X300" s="15"/>
      <c r="AE300" s="16"/>
      <c r="BH300" s="9"/>
    </row>
    <row r="301" spans="1:60">
      <c r="A301" s="9"/>
    </row>
    <row r="302" spans="1:60">
      <c r="A302" s="9"/>
      <c r="B302" s="9"/>
    </row>
    <row r="303" spans="1:60">
      <c r="A303" s="9"/>
      <c r="B303" s="9"/>
    </row>
    <row r="304" spans="1:60">
      <c r="A304" s="9"/>
      <c r="B304" s="9"/>
    </row>
    <row r="305" spans="1:60">
      <c r="A305" s="9"/>
      <c r="B305" s="9"/>
      <c r="R305" s="12"/>
      <c r="S305" s="9"/>
      <c r="U305" s="12"/>
      <c r="X305" s="15"/>
      <c r="AE305" s="16"/>
      <c r="BH305" s="9"/>
    </row>
    <row r="306" spans="1:60">
      <c r="B306" s="9"/>
      <c r="C306" s="9"/>
      <c r="D306" s="9"/>
      <c r="R306" s="12"/>
      <c r="S306" s="9"/>
      <c r="U306" s="12"/>
      <c r="X306" s="15"/>
      <c r="AE306" s="16"/>
      <c r="BH306" s="9"/>
    </row>
    <row r="307" spans="1:60">
      <c r="A307" s="9"/>
      <c r="R307" s="12"/>
      <c r="S307" s="9"/>
      <c r="U307" s="12"/>
      <c r="X307" s="15"/>
      <c r="AE307" s="16"/>
      <c r="BH307" s="9"/>
    </row>
    <row r="308" spans="1:60">
      <c r="A308" s="9"/>
      <c r="B308" s="9"/>
      <c r="J308" s="21"/>
      <c r="R308" s="12"/>
      <c r="S308" s="9"/>
      <c r="U308" s="12"/>
      <c r="X308" s="15"/>
      <c r="AE308" s="16"/>
      <c r="BH308" s="9"/>
    </row>
    <row r="309" spans="1:60">
      <c r="A309" s="9"/>
      <c r="B309" s="9"/>
      <c r="R309" s="12"/>
      <c r="S309" s="9"/>
      <c r="U309" s="12"/>
      <c r="X309" s="15"/>
      <c r="AE309" s="16"/>
      <c r="BH309" s="9"/>
    </row>
    <row r="310" spans="1:60">
      <c r="A310" s="9"/>
      <c r="B310" s="9"/>
      <c r="R310" s="12"/>
      <c r="S310" s="9"/>
      <c r="U310" s="12"/>
      <c r="X310" s="15"/>
      <c r="AE310" s="16"/>
      <c r="BH310" s="9"/>
    </row>
    <row r="311" spans="1:60">
      <c r="A311" s="9"/>
      <c r="B311" s="9"/>
      <c r="R311" s="12"/>
      <c r="S311" s="9"/>
      <c r="U311" s="12"/>
      <c r="X311" s="15"/>
      <c r="AE311" s="16"/>
      <c r="BH311" s="9"/>
    </row>
    <row r="312" spans="1:60">
      <c r="A312" s="9"/>
      <c r="B312" s="9"/>
      <c r="R312" s="12"/>
      <c r="S312" s="9"/>
      <c r="U312" s="12"/>
      <c r="X312" s="15"/>
      <c r="AE312" s="16"/>
      <c r="BH312" s="9"/>
    </row>
    <row r="313" spans="1:60">
      <c r="A313" s="9"/>
      <c r="B313" s="9"/>
      <c r="R313" s="12"/>
      <c r="S313" s="9"/>
      <c r="U313" s="12"/>
      <c r="X313" s="15"/>
      <c r="AE313" s="16"/>
      <c r="BH313" s="9"/>
    </row>
    <row r="314" spans="1:60">
      <c r="A314" s="9"/>
      <c r="B314" s="9"/>
      <c r="R314" s="12"/>
      <c r="S314" s="9"/>
      <c r="U314" s="12"/>
      <c r="X314" s="15"/>
      <c r="AE314" s="16"/>
      <c r="BH314" s="9"/>
    </row>
    <row r="315" spans="1:60">
      <c r="A315" s="9"/>
      <c r="B315" s="9"/>
      <c r="R315" s="12"/>
      <c r="S315" s="9"/>
      <c r="U315" s="12"/>
      <c r="X315" s="15"/>
      <c r="AE315" s="16"/>
      <c r="BH315" s="9"/>
    </row>
    <row r="316" spans="1:60">
      <c r="A316" s="9"/>
      <c r="B316" s="9"/>
      <c r="R316" s="12"/>
      <c r="S316" s="9"/>
      <c r="U316" s="12"/>
      <c r="X316" s="15"/>
      <c r="AE316" s="16"/>
      <c r="BH316" s="9"/>
    </row>
    <row r="317" spans="1:60">
      <c r="A317" s="9"/>
      <c r="B317" s="9"/>
      <c r="R317" s="12"/>
      <c r="S317" s="9"/>
      <c r="U317" s="12"/>
      <c r="X317" s="15"/>
      <c r="AE317" s="16"/>
      <c r="BH317" s="9"/>
    </row>
    <row r="318" spans="1:60">
      <c r="A318" s="9"/>
      <c r="B318" s="9"/>
      <c r="R318" s="12"/>
      <c r="S318" s="9"/>
      <c r="U318" s="12"/>
      <c r="X318" s="15"/>
      <c r="AE318" s="16"/>
      <c r="BH318" s="9"/>
    </row>
    <row r="319" spans="1:60" s="21" customFormat="1">
      <c r="A319" s="9"/>
      <c r="B319" s="9"/>
      <c r="F319" s="9"/>
      <c r="J319" s="9"/>
      <c r="K319" s="9"/>
      <c r="L319" s="9"/>
      <c r="N319" s="9"/>
      <c r="O319" s="9"/>
      <c r="P319" s="9"/>
      <c r="Q319" s="9"/>
      <c r="R319" s="12"/>
      <c r="S319" s="9"/>
      <c r="T319" s="9"/>
      <c r="U319" s="12"/>
      <c r="V319" s="12"/>
      <c r="W319" s="12"/>
      <c r="X319" s="15"/>
      <c r="Y319" s="15"/>
      <c r="Z319" s="15"/>
      <c r="AA319" s="15"/>
      <c r="AB319" s="15"/>
      <c r="AC319" s="15"/>
      <c r="AD319" s="15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  <c r="BB319" s="16"/>
      <c r="BC319" s="16"/>
      <c r="BD319" s="16"/>
      <c r="BE319" s="16"/>
      <c r="BF319" s="16"/>
      <c r="BG319" s="16"/>
    </row>
    <row r="320" spans="1:60" s="21" customFormat="1">
      <c r="A320" s="9"/>
      <c r="B320" s="9"/>
      <c r="F320" s="9"/>
      <c r="J320" s="9"/>
      <c r="K320" s="9"/>
      <c r="L320" s="9"/>
      <c r="N320" s="9"/>
      <c r="O320" s="9"/>
      <c r="P320" s="9"/>
      <c r="Q320" s="9"/>
      <c r="R320" s="12"/>
      <c r="S320" s="9"/>
      <c r="T320" s="9"/>
      <c r="U320" s="12"/>
      <c r="V320" s="12"/>
      <c r="W320" s="12"/>
      <c r="X320" s="15"/>
      <c r="Y320" s="15"/>
      <c r="Z320" s="15"/>
      <c r="AA320" s="15"/>
      <c r="AB320" s="15"/>
      <c r="AC320" s="15"/>
      <c r="AD320" s="15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  <c r="BB320" s="16"/>
      <c r="BC320" s="16"/>
      <c r="BD320" s="16"/>
      <c r="BE320" s="16"/>
      <c r="BF320" s="16"/>
      <c r="BG320" s="16"/>
    </row>
    <row r="321" spans="1:60" s="21" customFormat="1">
      <c r="A321" s="9"/>
      <c r="B321" s="9"/>
      <c r="F321" s="9"/>
      <c r="J321" s="9"/>
      <c r="K321" s="9"/>
      <c r="L321" s="9"/>
      <c r="N321" s="9"/>
      <c r="O321" s="9"/>
      <c r="P321" s="9"/>
      <c r="Q321" s="9"/>
      <c r="R321" s="12"/>
      <c r="S321" s="9"/>
      <c r="T321" s="9"/>
      <c r="U321" s="12"/>
      <c r="V321" s="12"/>
      <c r="W321" s="12"/>
      <c r="X321" s="15"/>
      <c r="Y321" s="15"/>
      <c r="Z321" s="15"/>
      <c r="AA321" s="15"/>
      <c r="AB321" s="15"/>
      <c r="AC321" s="15"/>
      <c r="AD321" s="15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  <c r="BB321" s="16"/>
      <c r="BC321" s="16"/>
      <c r="BD321" s="16"/>
      <c r="BE321" s="16"/>
      <c r="BF321" s="16"/>
      <c r="BG321" s="16"/>
    </row>
    <row r="322" spans="1:60">
      <c r="A322" s="9"/>
      <c r="B322" s="9"/>
      <c r="J322" s="21"/>
      <c r="R322" s="12"/>
      <c r="S322" s="9"/>
      <c r="U322" s="12"/>
      <c r="X322" s="15"/>
      <c r="AE322" s="16"/>
      <c r="BH322" s="9"/>
    </row>
    <row r="323" spans="1:60">
      <c r="A323" s="9"/>
      <c r="B323" s="9"/>
      <c r="R323" s="12"/>
      <c r="S323" s="9"/>
      <c r="U323" s="12"/>
      <c r="X323" s="15"/>
      <c r="AE323" s="16"/>
      <c r="BH323" s="9"/>
    </row>
    <row r="324" spans="1:60">
      <c r="A324" s="9"/>
      <c r="B324" s="9"/>
      <c r="R324" s="12"/>
      <c r="S324" s="9"/>
      <c r="U324" s="12"/>
      <c r="X324" s="15"/>
      <c r="AE324" s="16"/>
      <c r="BH324" s="9"/>
    </row>
    <row r="325" spans="1:60">
      <c r="A325" s="9"/>
      <c r="B325" s="9"/>
      <c r="R325" s="12"/>
      <c r="S325" s="9"/>
      <c r="U325" s="12"/>
      <c r="X325" s="15"/>
      <c r="AE325" s="16"/>
      <c r="BH325" s="9"/>
    </row>
    <row r="326" spans="1:60">
      <c r="A326" s="9"/>
      <c r="B326" s="9"/>
      <c r="R326" s="12"/>
      <c r="S326" s="9"/>
      <c r="U326" s="12"/>
      <c r="X326" s="15"/>
      <c r="AE326" s="16"/>
      <c r="BH326" s="9"/>
    </row>
    <row r="327" spans="1:60">
      <c r="A327" s="9"/>
      <c r="B327" s="9"/>
      <c r="R327" s="12"/>
      <c r="S327" s="9"/>
      <c r="U327" s="12"/>
      <c r="X327" s="15"/>
      <c r="AE327" s="16"/>
      <c r="BH327" s="9"/>
    </row>
    <row r="328" spans="1:60">
      <c r="A328" s="9"/>
      <c r="B328" s="9"/>
      <c r="R328" s="12"/>
      <c r="S328" s="9"/>
      <c r="U328" s="12"/>
      <c r="X328" s="15"/>
      <c r="AE328" s="16"/>
      <c r="BH328" s="9"/>
    </row>
    <row r="329" spans="1:60">
      <c r="A329" s="9"/>
      <c r="B329" s="9"/>
      <c r="R329" s="12"/>
      <c r="S329" s="9"/>
      <c r="U329" s="12"/>
      <c r="X329" s="15"/>
      <c r="AE329" s="16"/>
      <c r="BH329" s="9"/>
    </row>
    <row r="330" spans="1:60" s="21" customFormat="1">
      <c r="A330" s="9"/>
      <c r="F330" s="9"/>
      <c r="J330" s="9"/>
      <c r="K330" s="9"/>
      <c r="L330" s="9"/>
      <c r="N330" s="9"/>
      <c r="O330" s="9"/>
      <c r="P330" s="9"/>
      <c r="Q330" s="9"/>
      <c r="R330" s="12"/>
      <c r="S330" s="9"/>
      <c r="T330" s="9"/>
      <c r="U330" s="12"/>
      <c r="V330" s="12"/>
      <c r="W330" s="12"/>
      <c r="X330" s="15"/>
      <c r="Y330" s="15"/>
      <c r="Z330" s="15"/>
      <c r="AA330" s="15"/>
      <c r="AB330" s="15"/>
      <c r="AC330" s="15"/>
      <c r="AD330" s="15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  <c r="BB330" s="16"/>
      <c r="BC330" s="16"/>
      <c r="BD330" s="16"/>
      <c r="BE330" s="16"/>
      <c r="BF330" s="16"/>
      <c r="BG330" s="16"/>
    </row>
    <row r="331" spans="1:60" s="21" customFormat="1">
      <c r="A331" s="9"/>
      <c r="B331" s="9"/>
      <c r="F331" s="9"/>
      <c r="J331" s="9"/>
      <c r="K331" s="9"/>
      <c r="L331" s="9"/>
      <c r="N331" s="9"/>
      <c r="O331" s="9"/>
      <c r="P331" s="9"/>
      <c r="Q331" s="9"/>
      <c r="R331" s="12"/>
      <c r="S331" s="9"/>
      <c r="T331" s="9"/>
      <c r="U331" s="12"/>
      <c r="V331" s="12"/>
      <c r="W331" s="12"/>
      <c r="X331" s="15"/>
      <c r="Y331" s="15"/>
      <c r="Z331" s="15"/>
      <c r="AA331" s="15"/>
      <c r="AB331" s="15"/>
      <c r="AC331" s="15"/>
      <c r="AD331" s="15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  <c r="BB331" s="16"/>
      <c r="BC331" s="16"/>
      <c r="BD331" s="16"/>
      <c r="BE331" s="16"/>
      <c r="BF331" s="16"/>
      <c r="BG331" s="16"/>
    </row>
    <row r="332" spans="1:60" s="21" customFormat="1">
      <c r="A332" s="9"/>
      <c r="B332" s="9"/>
      <c r="F332" s="9"/>
      <c r="J332" s="9"/>
      <c r="K332" s="9"/>
      <c r="L332" s="9"/>
      <c r="N332" s="9"/>
      <c r="O332" s="9"/>
      <c r="P332" s="9"/>
      <c r="Q332" s="9"/>
      <c r="R332" s="12"/>
      <c r="S332" s="9"/>
      <c r="T332" s="9"/>
      <c r="U332" s="12"/>
      <c r="V332" s="12"/>
      <c r="W332" s="12"/>
      <c r="X332" s="15"/>
      <c r="Y332" s="15"/>
      <c r="Z332" s="15"/>
      <c r="AA332" s="15"/>
      <c r="AB332" s="15"/>
      <c r="AC332" s="15"/>
      <c r="AD332" s="15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  <c r="BB332" s="16"/>
      <c r="BC332" s="16"/>
      <c r="BD332" s="16"/>
      <c r="BE332" s="16"/>
      <c r="BF332" s="16"/>
      <c r="BG332" s="16"/>
    </row>
    <row r="333" spans="1:60" s="21" customFormat="1">
      <c r="A333" s="9"/>
      <c r="B333" s="9"/>
      <c r="F333" s="9"/>
      <c r="J333" s="9"/>
      <c r="K333" s="9"/>
      <c r="L333" s="9"/>
      <c r="N333" s="9"/>
      <c r="O333" s="9"/>
      <c r="P333" s="9"/>
      <c r="Q333" s="9"/>
      <c r="R333" s="12"/>
      <c r="S333" s="9"/>
      <c r="T333" s="9"/>
      <c r="U333" s="12"/>
      <c r="V333" s="12"/>
      <c r="W333" s="12"/>
      <c r="X333" s="15"/>
      <c r="Y333" s="15"/>
      <c r="Z333" s="15"/>
      <c r="AA333" s="15"/>
      <c r="AB333" s="15"/>
      <c r="AC333" s="15"/>
      <c r="AD333" s="15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</row>
    <row r="334" spans="1:60" s="21" customFormat="1">
      <c r="A334" s="9"/>
      <c r="B334" s="9"/>
      <c r="F334" s="9"/>
      <c r="J334" s="9"/>
      <c r="K334" s="9"/>
      <c r="L334" s="9"/>
      <c r="N334" s="9"/>
      <c r="O334" s="9"/>
      <c r="P334" s="9"/>
      <c r="Q334" s="9"/>
      <c r="R334" s="12"/>
      <c r="S334" s="9"/>
      <c r="T334" s="9"/>
      <c r="U334" s="12"/>
      <c r="V334" s="12"/>
      <c r="W334" s="12"/>
      <c r="X334" s="15"/>
      <c r="Y334" s="15"/>
      <c r="Z334" s="15"/>
      <c r="AA334" s="15"/>
      <c r="AB334" s="15"/>
      <c r="AC334" s="15"/>
      <c r="AD334" s="15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  <c r="BB334" s="16"/>
      <c r="BC334" s="16"/>
      <c r="BD334" s="16"/>
      <c r="BE334" s="16"/>
      <c r="BF334" s="16"/>
      <c r="BG334" s="16"/>
    </row>
    <row r="335" spans="1:60" s="21" customFormat="1">
      <c r="A335" s="9"/>
      <c r="B335" s="9"/>
      <c r="F335" s="9"/>
      <c r="J335" s="9"/>
      <c r="K335" s="9"/>
      <c r="L335" s="9"/>
      <c r="N335" s="9"/>
      <c r="O335" s="9"/>
      <c r="P335" s="9"/>
      <c r="Q335" s="9"/>
      <c r="R335" s="12"/>
      <c r="S335" s="9"/>
      <c r="T335" s="9"/>
      <c r="U335" s="12"/>
      <c r="V335" s="12"/>
      <c r="W335" s="12"/>
      <c r="X335" s="15"/>
      <c r="Y335" s="15"/>
      <c r="Z335" s="15"/>
      <c r="AA335" s="15"/>
      <c r="AB335" s="15"/>
      <c r="AC335" s="15"/>
      <c r="AD335" s="15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  <c r="BB335" s="16"/>
      <c r="BC335" s="16"/>
      <c r="BD335" s="16"/>
      <c r="BE335" s="16"/>
      <c r="BF335" s="16"/>
      <c r="BG335" s="16"/>
    </row>
    <row r="336" spans="1:60" s="21" customFormat="1">
      <c r="A336" s="9"/>
      <c r="B336" s="9"/>
      <c r="F336" s="9"/>
      <c r="J336" s="9"/>
      <c r="K336" s="9"/>
      <c r="L336" s="9"/>
      <c r="N336" s="9"/>
      <c r="O336" s="9"/>
      <c r="P336" s="9"/>
      <c r="Q336" s="9"/>
      <c r="R336" s="12"/>
      <c r="S336" s="9"/>
      <c r="T336" s="9"/>
      <c r="U336" s="12"/>
      <c r="V336" s="12"/>
      <c r="W336" s="12"/>
      <c r="X336" s="15"/>
      <c r="Y336" s="15"/>
      <c r="Z336" s="15"/>
      <c r="AA336" s="15"/>
      <c r="AB336" s="15"/>
      <c r="AC336" s="15"/>
      <c r="AD336" s="15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  <c r="BB336" s="16"/>
      <c r="BC336" s="16"/>
      <c r="BD336" s="16"/>
      <c r="BE336" s="16"/>
      <c r="BF336" s="16"/>
      <c r="BG336" s="16"/>
    </row>
    <row r="337" spans="1:59" s="21" customFormat="1">
      <c r="A337" s="9"/>
      <c r="B337" s="9"/>
      <c r="F337" s="9"/>
      <c r="J337" s="9"/>
      <c r="K337" s="9"/>
      <c r="L337" s="9"/>
      <c r="N337" s="9"/>
      <c r="O337" s="9"/>
      <c r="P337" s="9"/>
      <c r="Q337" s="9"/>
      <c r="R337" s="12"/>
      <c r="S337" s="9"/>
      <c r="T337" s="9"/>
      <c r="U337" s="12"/>
      <c r="V337" s="12"/>
      <c r="W337" s="12"/>
      <c r="X337" s="15"/>
      <c r="Y337" s="15"/>
      <c r="Z337" s="15"/>
      <c r="AA337" s="15"/>
      <c r="AB337" s="15"/>
      <c r="AC337" s="15"/>
      <c r="AD337" s="15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</row>
    <row r="338" spans="1:59" s="21" customFormat="1">
      <c r="A338" s="9"/>
      <c r="B338" s="9"/>
      <c r="F338" s="9"/>
      <c r="J338" s="9"/>
      <c r="K338" s="9"/>
      <c r="L338" s="9"/>
      <c r="N338" s="9"/>
      <c r="O338" s="9"/>
      <c r="P338" s="9"/>
      <c r="Q338" s="9"/>
      <c r="R338" s="12"/>
      <c r="S338" s="9"/>
      <c r="T338" s="9"/>
      <c r="U338" s="12"/>
      <c r="V338" s="12"/>
      <c r="W338" s="12"/>
      <c r="X338" s="15"/>
      <c r="Y338" s="15"/>
      <c r="Z338" s="15"/>
      <c r="AA338" s="15"/>
      <c r="AB338" s="15"/>
      <c r="AC338" s="15"/>
      <c r="AD338" s="15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</row>
    <row r="339" spans="1:59" s="21" customFormat="1">
      <c r="A339" s="9"/>
      <c r="B339" s="9"/>
      <c r="F339" s="9"/>
      <c r="J339" s="9"/>
      <c r="K339" s="9"/>
      <c r="L339" s="9"/>
      <c r="N339" s="9"/>
      <c r="O339" s="9"/>
      <c r="P339" s="9"/>
      <c r="Q339" s="9"/>
      <c r="R339" s="12"/>
      <c r="S339" s="9"/>
      <c r="T339" s="9"/>
      <c r="U339" s="12"/>
      <c r="V339" s="12"/>
      <c r="W339" s="12"/>
      <c r="X339" s="15"/>
      <c r="Y339" s="15"/>
      <c r="Z339" s="15"/>
      <c r="AA339" s="15"/>
      <c r="AB339" s="15"/>
      <c r="AC339" s="15"/>
      <c r="AD339" s="15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</row>
    <row r="340" spans="1:59" s="21" customFormat="1">
      <c r="A340" s="9"/>
      <c r="B340" s="9"/>
      <c r="F340" s="9"/>
      <c r="J340" s="9"/>
      <c r="K340" s="9"/>
      <c r="L340" s="9"/>
      <c r="N340" s="9"/>
      <c r="O340" s="9"/>
      <c r="P340" s="9"/>
      <c r="Q340" s="9"/>
      <c r="R340" s="12"/>
      <c r="S340" s="9"/>
      <c r="T340" s="9"/>
      <c r="U340" s="12"/>
      <c r="V340" s="12"/>
      <c r="W340" s="12"/>
      <c r="X340" s="15"/>
      <c r="Y340" s="15"/>
      <c r="Z340" s="15"/>
      <c r="AA340" s="15"/>
      <c r="AB340" s="15"/>
      <c r="AC340" s="15"/>
      <c r="AD340" s="15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  <c r="BB340" s="16"/>
      <c r="BC340" s="16"/>
      <c r="BD340" s="16"/>
      <c r="BE340" s="16"/>
      <c r="BF340" s="16"/>
      <c r="BG340" s="16"/>
    </row>
    <row r="341" spans="1:59" s="21" customFormat="1">
      <c r="A341" s="9"/>
      <c r="B341" s="9"/>
      <c r="F341" s="9"/>
      <c r="J341" s="9"/>
      <c r="K341" s="9"/>
      <c r="L341" s="9"/>
      <c r="N341" s="9"/>
      <c r="O341" s="9"/>
      <c r="P341" s="9"/>
      <c r="Q341" s="9"/>
      <c r="R341" s="12"/>
      <c r="S341" s="9"/>
      <c r="T341" s="9"/>
      <c r="U341" s="12"/>
      <c r="V341" s="12"/>
      <c r="W341" s="12"/>
      <c r="X341" s="15"/>
      <c r="Y341" s="15"/>
      <c r="Z341" s="15"/>
      <c r="AA341" s="15"/>
      <c r="AB341" s="15"/>
      <c r="AC341" s="15"/>
      <c r="AD341" s="15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  <c r="BB341" s="16"/>
      <c r="BC341" s="16"/>
      <c r="BD341" s="16"/>
      <c r="BE341" s="16"/>
      <c r="BF341" s="16"/>
      <c r="BG341" s="16"/>
    </row>
    <row r="342" spans="1:59" s="21" customFormat="1">
      <c r="A342" s="9"/>
      <c r="B342" s="9"/>
      <c r="F342" s="9"/>
      <c r="J342" s="9"/>
      <c r="K342" s="9"/>
      <c r="L342" s="9"/>
      <c r="N342" s="9"/>
      <c r="O342" s="9"/>
      <c r="P342" s="9"/>
      <c r="Q342" s="9"/>
      <c r="R342" s="12"/>
      <c r="S342" s="9"/>
      <c r="T342" s="9"/>
      <c r="U342" s="12"/>
      <c r="V342" s="12"/>
      <c r="W342" s="12"/>
      <c r="X342" s="15"/>
      <c r="Y342" s="15"/>
      <c r="Z342" s="15"/>
      <c r="AA342" s="15"/>
      <c r="AB342" s="15"/>
      <c r="AC342" s="15"/>
      <c r="AD342" s="15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  <c r="BB342" s="16"/>
      <c r="BC342" s="16"/>
      <c r="BD342" s="16"/>
      <c r="BE342" s="16"/>
      <c r="BF342" s="16"/>
      <c r="BG342" s="16"/>
    </row>
    <row r="343" spans="1:59" s="21" customFormat="1">
      <c r="A343" s="9"/>
      <c r="B343" s="9"/>
      <c r="F343" s="9"/>
      <c r="J343" s="9"/>
      <c r="K343" s="9"/>
      <c r="L343" s="9"/>
      <c r="N343" s="9"/>
      <c r="O343" s="9"/>
      <c r="P343" s="9"/>
      <c r="Q343" s="9"/>
      <c r="R343" s="12"/>
      <c r="S343" s="9"/>
      <c r="T343" s="9"/>
      <c r="U343" s="12"/>
      <c r="V343" s="12"/>
      <c r="W343" s="12"/>
      <c r="X343" s="15"/>
      <c r="Y343" s="15"/>
      <c r="Z343" s="15"/>
      <c r="AA343" s="15"/>
      <c r="AB343" s="15"/>
      <c r="AC343" s="15"/>
      <c r="AD343" s="15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  <c r="BB343" s="16"/>
      <c r="BC343" s="16"/>
      <c r="BD343" s="16"/>
      <c r="BE343" s="16"/>
      <c r="BF343" s="16"/>
      <c r="BG343" s="16"/>
    </row>
    <row r="344" spans="1:59" s="21" customFormat="1">
      <c r="A344" s="9"/>
      <c r="B344" s="9"/>
      <c r="F344" s="9"/>
      <c r="J344" s="9"/>
      <c r="K344" s="9"/>
      <c r="L344" s="9"/>
      <c r="N344" s="9"/>
      <c r="O344" s="9"/>
      <c r="P344" s="9"/>
      <c r="Q344" s="9"/>
      <c r="R344" s="12"/>
      <c r="S344" s="9"/>
      <c r="T344" s="9"/>
      <c r="U344" s="12"/>
      <c r="V344" s="12"/>
      <c r="W344" s="12"/>
      <c r="X344" s="15"/>
      <c r="Y344" s="15"/>
      <c r="Z344" s="15"/>
      <c r="AA344" s="15"/>
      <c r="AB344" s="15"/>
      <c r="AC344" s="15"/>
      <c r="AD344" s="15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  <c r="BB344" s="16"/>
      <c r="BC344" s="16"/>
      <c r="BD344" s="16"/>
      <c r="BE344" s="16"/>
      <c r="BF344" s="16"/>
      <c r="BG344" s="16"/>
    </row>
    <row r="345" spans="1:59" s="21" customFormat="1">
      <c r="A345" s="9"/>
      <c r="F345" s="9"/>
      <c r="J345" s="9"/>
      <c r="K345" s="9"/>
      <c r="L345" s="9"/>
      <c r="N345" s="9"/>
      <c r="O345" s="9"/>
      <c r="P345" s="9"/>
      <c r="Q345" s="9"/>
      <c r="R345" s="12"/>
      <c r="S345" s="9"/>
      <c r="T345" s="9"/>
      <c r="U345" s="12"/>
      <c r="V345" s="12"/>
      <c r="W345" s="12"/>
      <c r="X345" s="15"/>
      <c r="Y345" s="15"/>
      <c r="Z345" s="15"/>
      <c r="AA345" s="15"/>
      <c r="AB345" s="15"/>
      <c r="AC345" s="15"/>
      <c r="AD345" s="15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  <c r="BB345" s="16"/>
      <c r="BC345" s="16"/>
      <c r="BD345" s="16"/>
      <c r="BE345" s="16"/>
      <c r="BF345" s="16"/>
      <c r="BG345" s="16"/>
    </row>
    <row r="346" spans="1:59" s="21" customFormat="1">
      <c r="A346" s="9"/>
      <c r="B346" s="9"/>
      <c r="F346" s="9"/>
      <c r="J346" s="9"/>
      <c r="K346" s="9"/>
      <c r="L346" s="9"/>
      <c r="N346" s="9"/>
      <c r="O346" s="9"/>
      <c r="P346" s="9"/>
      <c r="Q346" s="9"/>
      <c r="R346" s="12"/>
      <c r="S346" s="9"/>
      <c r="T346" s="9"/>
      <c r="U346" s="12"/>
      <c r="V346" s="12"/>
      <c r="W346" s="12"/>
      <c r="X346" s="15"/>
      <c r="Y346" s="15"/>
      <c r="Z346" s="15"/>
      <c r="AA346" s="15"/>
      <c r="AB346" s="15"/>
      <c r="AC346" s="15"/>
      <c r="AD346" s="15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  <c r="BB346" s="16"/>
      <c r="BC346" s="16"/>
      <c r="BD346" s="16"/>
      <c r="BE346" s="16"/>
      <c r="BF346" s="16"/>
      <c r="BG346" s="16"/>
    </row>
    <row r="347" spans="1:59" s="21" customFormat="1">
      <c r="A347" s="9"/>
      <c r="B347" s="9"/>
      <c r="F347" s="9"/>
      <c r="J347" s="9"/>
      <c r="K347" s="9"/>
      <c r="L347" s="9"/>
      <c r="N347" s="9"/>
      <c r="O347" s="9"/>
      <c r="P347" s="9"/>
      <c r="Q347" s="9"/>
      <c r="R347" s="12"/>
      <c r="S347" s="9"/>
      <c r="T347" s="9"/>
      <c r="U347" s="12"/>
      <c r="V347" s="12"/>
      <c r="W347" s="12"/>
      <c r="X347" s="15"/>
      <c r="Y347" s="15"/>
      <c r="Z347" s="15"/>
      <c r="AA347" s="15"/>
      <c r="AB347" s="15"/>
      <c r="AC347" s="15"/>
      <c r="AD347" s="15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  <c r="BB347" s="16"/>
      <c r="BC347" s="16"/>
      <c r="BD347" s="16"/>
      <c r="BE347" s="16"/>
      <c r="BF347" s="16"/>
      <c r="BG347" s="16"/>
    </row>
    <row r="348" spans="1:59" s="21" customFormat="1">
      <c r="A348" s="9"/>
      <c r="B348" s="9"/>
      <c r="F348" s="9"/>
      <c r="J348" s="9"/>
      <c r="K348" s="9"/>
      <c r="L348" s="9"/>
      <c r="N348" s="9"/>
      <c r="O348" s="9"/>
      <c r="P348" s="9"/>
      <c r="Q348" s="9"/>
      <c r="R348" s="12"/>
      <c r="S348" s="9"/>
      <c r="T348" s="9"/>
      <c r="U348" s="12"/>
      <c r="V348" s="12"/>
      <c r="W348" s="12"/>
      <c r="X348" s="15"/>
      <c r="Y348" s="15"/>
      <c r="Z348" s="15"/>
      <c r="AA348" s="15"/>
      <c r="AB348" s="15"/>
      <c r="AC348" s="15"/>
      <c r="AD348" s="15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  <c r="BB348" s="16"/>
      <c r="BC348" s="16"/>
      <c r="BD348" s="16"/>
      <c r="BE348" s="16"/>
      <c r="BF348" s="16"/>
      <c r="BG348" s="16"/>
    </row>
    <row r="349" spans="1:59" s="21" customFormat="1">
      <c r="A349" s="9"/>
      <c r="B349" s="9"/>
      <c r="F349" s="9"/>
      <c r="J349" s="9"/>
      <c r="K349" s="9"/>
      <c r="L349" s="9"/>
      <c r="N349" s="9"/>
      <c r="O349" s="9"/>
      <c r="P349" s="9"/>
      <c r="Q349" s="9"/>
      <c r="R349" s="12"/>
      <c r="S349" s="9"/>
      <c r="T349" s="9"/>
      <c r="U349" s="12"/>
      <c r="V349" s="12"/>
      <c r="W349" s="12"/>
      <c r="X349" s="15"/>
      <c r="Y349" s="15"/>
      <c r="Z349" s="15"/>
      <c r="AA349" s="15"/>
      <c r="AB349" s="15"/>
      <c r="AC349" s="15"/>
      <c r="AD349" s="15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  <c r="BB349" s="16"/>
      <c r="BC349" s="16"/>
      <c r="BD349" s="16"/>
      <c r="BE349" s="16"/>
      <c r="BF349" s="16"/>
      <c r="BG349" s="16"/>
    </row>
    <row r="350" spans="1:59" s="21" customFormat="1">
      <c r="A350" s="9"/>
      <c r="B350" s="9"/>
      <c r="F350" s="9"/>
      <c r="J350" s="9"/>
      <c r="K350" s="9"/>
      <c r="L350" s="9"/>
      <c r="N350" s="9"/>
      <c r="O350" s="9"/>
      <c r="P350" s="9"/>
      <c r="Q350" s="9"/>
      <c r="R350" s="12"/>
      <c r="S350" s="9"/>
      <c r="T350" s="9"/>
      <c r="U350" s="12"/>
      <c r="V350" s="12"/>
      <c r="W350" s="12"/>
      <c r="X350" s="15"/>
      <c r="Y350" s="15"/>
      <c r="Z350" s="15"/>
      <c r="AA350" s="15"/>
      <c r="AB350" s="15"/>
      <c r="AC350" s="15"/>
      <c r="AD350" s="15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  <c r="BB350" s="16"/>
      <c r="BC350" s="16"/>
      <c r="BD350" s="16"/>
      <c r="BE350" s="16"/>
      <c r="BF350" s="16"/>
      <c r="BG350" s="16"/>
    </row>
    <row r="351" spans="1:59" s="21" customFormat="1">
      <c r="A351" s="9"/>
      <c r="B351" s="9"/>
      <c r="F351" s="9"/>
      <c r="J351" s="9"/>
      <c r="K351" s="9"/>
      <c r="L351" s="9"/>
      <c r="N351" s="9"/>
      <c r="O351" s="9"/>
      <c r="P351" s="9"/>
      <c r="Q351" s="9"/>
      <c r="R351" s="12"/>
      <c r="S351" s="9"/>
      <c r="T351" s="9"/>
      <c r="U351" s="12"/>
      <c r="V351" s="12"/>
      <c r="W351" s="12"/>
      <c r="X351" s="15"/>
      <c r="Y351" s="15"/>
      <c r="Z351" s="15"/>
      <c r="AA351" s="15"/>
      <c r="AB351" s="15"/>
      <c r="AC351" s="15"/>
      <c r="AD351" s="15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  <c r="BB351" s="16"/>
      <c r="BC351" s="16"/>
      <c r="BD351" s="16"/>
      <c r="BE351" s="16"/>
      <c r="BF351" s="16"/>
      <c r="BG351" s="16"/>
    </row>
    <row r="352" spans="1:59" s="21" customFormat="1">
      <c r="A352" s="9"/>
      <c r="B352" s="9"/>
      <c r="F352" s="9"/>
      <c r="J352" s="9"/>
      <c r="K352" s="9"/>
      <c r="L352" s="9"/>
      <c r="N352" s="9"/>
      <c r="O352" s="9"/>
      <c r="P352" s="9"/>
      <c r="Q352" s="9"/>
      <c r="R352" s="12"/>
      <c r="S352" s="9"/>
      <c r="T352" s="9"/>
      <c r="U352" s="12"/>
      <c r="V352" s="12"/>
      <c r="W352" s="12"/>
      <c r="X352" s="15"/>
      <c r="Y352" s="15"/>
      <c r="Z352" s="15"/>
      <c r="AA352" s="15"/>
      <c r="AB352" s="15"/>
      <c r="AC352" s="15"/>
      <c r="AD352" s="15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  <c r="BB352" s="16"/>
      <c r="BC352" s="16"/>
      <c r="BD352" s="16"/>
      <c r="BE352" s="16"/>
      <c r="BF352" s="16"/>
      <c r="BG352" s="16"/>
    </row>
    <row r="353" spans="1:59" s="21" customFormat="1">
      <c r="A353" s="9"/>
      <c r="B353" s="9"/>
      <c r="F353" s="9"/>
      <c r="J353" s="9"/>
      <c r="K353" s="9"/>
      <c r="L353" s="9"/>
      <c r="N353" s="9"/>
      <c r="O353" s="9"/>
      <c r="P353" s="9"/>
      <c r="Q353" s="9"/>
      <c r="R353" s="12"/>
      <c r="S353" s="9"/>
      <c r="T353" s="9"/>
      <c r="U353" s="12"/>
      <c r="V353" s="12"/>
      <c r="W353" s="12"/>
      <c r="X353" s="15"/>
      <c r="Y353" s="15"/>
      <c r="Z353" s="15"/>
      <c r="AA353" s="15"/>
      <c r="AB353" s="15"/>
      <c r="AC353" s="15"/>
      <c r="AD353" s="15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  <c r="BB353" s="16"/>
      <c r="BC353" s="16"/>
      <c r="BD353" s="16"/>
      <c r="BE353" s="16"/>
      <c r="BF353" s="16"/>
      <c r="BG353" s="16"/>
    </row>
    <row r="354" spans="1:59" s="21" customFormat="1">
      <c r="A354" s="9"/>
      <c r="B354" s="9"/>
      <c r="F354" s="9"/>
      <c r="J354" s="9"/>
      <c r="K354" s="9"/>
      <c r="L354" s="9"/>
      <c r="N354" s="9"/>
      <c r="O354" s="9"/>
      <c r="P354" s="9"/>
      <c r="Q354" s="9"/>
      <c r="R354" s="12"/>
      <c r="S354" s="9"/>
      <c r="T354" s="9"/>
      <c r="U354" s="12"/>
      <c r="V354" s="12"/>
      <c r="W354" s="12"/>
      <c r="X354" s="15"/>
      <c r="Y354" s="15"/>
      <c r="Z354" s="15"/>
      <c r="AA354" s="15"/>
      <c r="AB354" s="15"/>
      <c r="AC354" s="15"/>
      <c r="AD354" s="15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  <c r="BB354" s="16"/>
      <c r="BC354" s="16"/>
      <c r="BD354" s="16"/>
      <c r="BE354" s="16"/>
      <c r="BF354" s="16"/>
      <c r="BG354" s="16"/>
    </row>
    <row r="355" spans="1:59" s="21" customFormat="1">
      <c r="A355" s="9"/>
      <c r="B355" s="9"/>
      <c r="F355" s="9"/>
      <c r="J355" s="9"/>
      <c r="K355" s="9"/>
      <c r="L355" s="9"/>
      <c r="N355" s="9"/>
      <c r="O355" s="9"/>
      <c r="P355" s="9"/>
      <c r="Q355" s="9"/>
      <c r="R355" s="12"/>
      <c r="S355" s="9"/>
      <c r="T355" s="9"/>
      <c r="U355" s="12"/>
      <c r="V355" s="12"/>
      <c r="W355" s="12"/>
      <c r="X355" s="15"/>
      <c r="Y355" s="15"/>
      <c r="Z355" s="15"/>
      <c r="AA355" s="15"/>
      <c r="AB355" s="15"/>
      <c r="AC355" s="15"/>
      <c r="AD355" s="15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  <c r="BB355" s="16"/>
      <c r="BC355" s="16"/>
      <c r="BD355" s="16"/>
      <c r="BE355" s="16"/>
      <c r="BF355" s="16"/>
      <c r="BG355" s="16"/>
    </row>
    <row r="356" spans="1:59" s="21" customFormat="1">
      <c r="A356" s="9"/>
      <c r="B356" s="9"/>
      <c r="F356" s="9"/>
      <c r="J356" s="9"/>
      <c r="K356" s="9"/>
      <c r="L356" s="9"/>
      <c r="N356" s="9"/>
      <c r="O356" s="9"/>
      <c r="P356" s="9"/>
      <c r="Q356" s="9"/>
      <c r="R356" s="12"/>
      <c r="S356" s="9"/>
      <c r="T356" s="9"/>
      <c r="U356" s="12"/>
      <c r="V356" s="12"/>
      <c r="W356" s="12"/>
      <c r="X356" s="15"/>
      <c r="Y356" s="15"/>
      <c r="Z356" s="15"/>
      <c r="AA356" s="15"/>
      <c r="AB356" s="15"/>
      <c r="AC356" s="15"/>
      <c r="AD356" s="15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</row>
    <row r="357" spans="1:59" s="21" customFormat="1">
      <c r="A357" s="9"/>
      <c r="B357" s="9"/>
      <c r="F357" s="9"/>
      <c r="J357" s="9"/>
      <c r="K357" s="9"/>
      <c r="L357" s="9"/>
      <c r="N357" s="9"/>
      <c r="O357" s="9"/>
      <c r="P357" s="9"/>
      <c r="Q357" s="9"/>
      <c r="R357" s="12"/>
      <c r="S357" s="9"/>
      <c r="T357" s="9"/>
      <c r="U357" s="12"/>
      <c r="V357" s="12"/>
      <c r="W357" s="12"/>
      <c r="X357" s="15"/>
      <c r="Y357" s="15"/>
      <c r="Z357" s="15"/>
      <c r="AA357" s="15"/>
      <c r="AB357" s="15"/>
      <c r="AC357" s="15"/>
      <c r="AD357" s="15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</row>
    <row r="358" spans="1:59" s="21" customFormat="1">
      <c r="A358" s="9"/>
      <c r="B358" s="9"/>
      <c r="F358" s="9"/>
      <c r="J358" s="9"/>
      <c r="K358" s="9"/>
      <c r="L358" s="9"/>
      <c r="N358" s="9"/>
      <c r="O358" s="9"/>
      <c r="P358" s="9"/>
      <c r="Q358" s="9"/>
      <c r="R358" s="12"/>
      <c r="S358" s="9"/>
      <c r="T358" s="9"/>
      <c r="U358" s="12"/>
      <c r="V358" s="12"/>
      <c r="W358" s="12"/>
      <c r="X358" s="15"/>
      <c r="Y358" s="15"/>
      <c r="Z358" s="15"/>
      <c r="AA358" s="15"/>
      <c r="AB358" s="15"/>
      <c r="AC358" s="15"/>
      <c r="AD358" s="15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  <c r="BB358" s="16"/>
      <c r="BC358" s="16"/>
      <c r="BD358" s="16"/>
      <c r="BE358" s="16"/>
      <c r="BF358" s="16"/>
      <c r="BG358" s="16"/>
    </row>
    <row r="359" spans="1:59" s="21" customFormat="1">
      <c r="A359" s="9"/>
      <c r="B359" s="9"/>
      <c r="F359" s="9"/>
      <c r="J359" s="9"/>
      <c r="K359" s="9"/>
      <c r="L359" s="9"/>
      <c r="N359" s="9"/>
      <c r="O359" s="9"/>
      <c r="P359" s="9"/>
      <c r="Q359" s="9"/>
      <c r="R359" s="12"/>
      <c r="S359" s="9"/>
      <c r="T359" s="9"/>
      <c r="U359" s="12"/>
      <c r="V359" s="12"/>
      <c r="W359" s="12"/>
      <c r="X359" s="15"/>
      <c r="Y359" s="15"/>
      <c r="Z359" s="15"/>
      <c r="AA359" s="15"/>
      <c r="AB359" s="15"/>
      <c r="AC359" s="15"/>
      <c r="AD359" s="15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  <c r="BB359" s="16"/>
      <c r="BC359" s="16"/>
      <c r="BD359" s="16"/>
      <c r="BE359" s="16"/>
      <c r="BF359" s="16"/>
      <c r="BG359" s="16"/>
    </row>
    <row r="360" spans="1:59" s="21" customFormat="1">
      <c r="A360" s="9"/>
      <c r="F360" s="9"/>
      <c r="J360" s="9"/>
      <c r="K360" s="9"/>
      <c r="L360" s="9"/>
      <c r="N360" s="9"/>
      <c r="O360" s="9"/>
      <c r="P360" s="9"/>
      <c r="Q360" s="9"/>
      <c r="R360" s="12"/>
      <c r="S360" s="9"/>
      <c r="T360" s="9"/>
      <c r="U360" s="12"/>
      <c r="V360" s="12"/>
      <c r="W360" s="12"/>
      <c r="X360" s="15"/>
      <c r="Y360" s="15"/>
      <c r="Z360" s="15"/>
      <c r="AA360" s="15"/>
      <c r="AB360" s="15"/>
      <c r="AC360" s="15"/>
      <c r="AD360" s="15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  <c r="BB360" s="16"/>
      <c r="BC360" s="16"/>
      <c r="BD360" s="16"/>
      <c r="BE360" s="16"/>
      <c r="BF360" s="16"/>
      <c r="BG360" s="16"/>
    </row>
    <row r="361" spans="1:59" s="21" customFormat="1">
      <c r="A361" s="9"/>
      <c r="B361" s="9"/>
      <c r="F361" s="9"/>
      <c r="J361" s="9"/>
      <c r="K361" s="9"/>
      <c r="L361" s="9"/>
      <c r="N361" s="9"/>
      <c r="O361" s="9"/>
      <c r="P361" s="9"/>
      <c r="Q361" s="9"/>
      <c r="R361" s="12"/>
      <c r="S361" s="9"/>
      <c r="T361" s="9"/>
      <c r="U361" s="12"/>
      <c r="V361" s="12"/>
      <c r="W361" s="12"/>
      <c r="X361" s="15"/>
      <c r="Y361" s="15"/>
      <c r="Z361" s="15"/>
      <c r="AA361" s="15"/>
      <c r="AB361" s="15"/>
      <c r="AC361" s="15"/>
      <c r="AD361" s="15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  <c r="BB361" s="16"/>
      <c r="BC361" s="16"/>
      <c r="BD361" s="16"/>
      <c r="BE361" s="16"/>
      <c r="BF361" s="16"/>
      <c r="BG361" s="16"/>
    </row>
    <row r="362" spans="1:59" s="21" customFormat="1">
      <c r="A362" s="9"/>
      <c r="B362" s="9"/>
      <c r="F362" s="9"/>
      <c r="J362" s="9"/>
      <c r="K362" s="9"/>
      <c r="L362" s="9"/>
      <c r="N362" s="9"/>
      <c r="O362" s="9"/>
      <c r="P362" s="9"/>
      <c r="Q362" s="9"/>
      <c r="R362" s="12"/>
      <c r="S362" s="9"/>
      <c r="T362" s="9"/>
      <c r="U362" s="12"/>
      <c r="V362" s="12"/>
      <c r="W362" s="12"/>
      <c r="X362" s="15"/>
      <c r="Y362" s="15"/>
      <c r="Z362" s="15"/>
      <c r="AA362" s="15"/>
      <c r="AB362" s="15"/>
      <c r="AC362" s="15"/>
      <c r="AD362" s="15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  <c r="BB362" s="16"/>
      <c r="BC362" s="16"/>
      <c r="BD362" s="16"/>
      <c r="BE362" s="16"/>
      <c r="BF362" s="16"/>
      <c r="BG362" s="16"/>
    </row>
    <row r="363" spans="1:59" s="21" customFormat="1">
      <c r="A363" s="9"/>
      <c r="B363" s="9"/>
      <c r="F363" s="9"/>
      <c r="J363" s="9"/>
      <c r="K363" s="9"/>
      <c r="L363" s="9"/>
      <c r="N363" s="9"/>
      <c r="O363" s="9"/>
      <c r="P363" s="9"/>
      <c r="Q363" s="9"/>
      <c r="R363" s="12"/>
      <c r="S363" s="9"/>
      <c r="T363" s="9"/>
      <c r="U363" s="12"/>
      <c r="V363" s="12"/>
      <c r="W363" s="12"/>
      <c r="X363" s="15"/>
      <c r="Y363" s="15"/>
      <c r="Z363" s="15"/>
      <c r="AA363" s="15"/>
      <c r="AB363" s="15"/>
      <c r="AC363" s="15"/>
      <c r="AD363" s="15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  <c r="BB363" s="16"/>
      <c r="BC363" s="16"/>
      <c r="BD363" s="16"/>
      <c r="BE363" s="16"/>
      <c r="BF363" s="16"/>
      <c r="BG363" s="16"/>
    </row>
    <row r="364" spans="1:59" s="21" customFormat="1">
      <c r="A364" s="9"/>
      <c r="B364" s="9"/>
      <c r="F364" s="9"/>
      <c r="J364" s="9"/>
      <c r="K364" s="9"/>
      <c r="L364" s="9"/>
      <c r="N364" s="9"/>
      <c r="O364" s="9"/>
      <c r="P364" s="9"/>
      <c r="Q364" s="9"/>
      <c r="R364" s="12"/>
      <c r="S364" s="9"/>
      <c r="T364" s="9"/>
      <c r="U364" s="12"/>
      <c r="V364" s="12"/>
      <c r="W364" s="12"/>
      <c r="X364" s="15"/>
      <c r="Y364" s="15"/>
      <c r="Z364" s="15"/>
      <c r="AA364" s="15"/>
      <c r="AB364" s="15"/>
      <c r="AC364" s="15"/>
      <c r="AD364" s="15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  <c r="BB364" s="16"/>
      <c r="BC364" s="16"/>
      <c r="BD364" s="16"/>
      <c r="BE364" s="16"/>
      <c r="BF364" s="16"/>
      <c r="BG364" s="16"/>
    </row>
    <row r="365" spans="1:59" s="21" customFormat="1">
      <c r="A365" s="9"/>
      <c r="B365" s="9"/>
      <c r="F365" s="9"/>
      <c r="J365" s="9"/>
      <c r="K365" s="9"/>
      <c r="L365" s="9"/>
      <c r="N365" s="9"/>
      <c r="O365" s="9"/>
      <c r="P365" s="9"/>
      <c r="Q365" s="9"/>
      <c r="R365" s="12"/>
      <c r="S365" s="9"/>
      <c r="T365" s="9"/>
      <c r="U365" s="12"/>
      <c r="V365" s="12"/>
      <c r="W365" s="12"/>
      <c r="X365" s="15"/>
      <c r="Y365" s="15"/>
      <c r="Z365" s="15"/>
      <c r="AA365" s="15"/>
      <c r="AB365" s="15"/>
      <c r="AC365" s="15"/>
      <c r="AD365" s="15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  <c r="BB365" s="16"/>
      <c r="BC365" s="16"/>
      <c r="BD365" s="16"/>
      <c r="BE365" s="16"/>
      <c r="BF365" s="16"/>
      <c r="BG365" s="16"/>
    </row>
    <row r="366" spans="1:59" s="21" customFormat="1">
      <c r="A366" s="9"/>
      <c r="B366" s="9"/>
      <c r="F366" s="9"/>
      <c r="J366" s="9"/>
      <c r="K366" s="9"/>
      <c r="L366" s="9"/>
      <c r="N366" s="9"/>
      <c r="O366" s="9"/>
      <c r="P366" s="9"/>
      <c r="Q366" s="9"/>
      <c r="R366" s="12"/>
      <c r="S366" s="9"/>
      <c r="T366" s="9"/>
      <c r="U366" s="12"/>
      <c r="V366" s="12"/>
      <c r="W366" s="12"/>
      <c r="X366" s="15"/>
      <c r="Y366" s="15"/>
      <c r="Z366" s="15"/>
      <c r="AA366" s="15"/>
      <c r="AB366" s="15"/>
      <c r="AC366" s="15"/>
      <c r="AD366" s="15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  <c r="BB366" s="16"/>
      <c r="BC366" s="16"/>
      <c r="BD366" s="16"/>
      <c r="BE366" s="16"/>
      <c r="BF366" s="16"/>
      <c r="BG366" s="16"/>
    </row>
    <row r="367" spans="1:59" s="21" customFormat="1">
      <c r="A367" s="9"/>
      <c r="B367" s="9"/>
      <c r="F367" s="9"/>
      <c r="J367" s="9"/>
      <c r="K367" s="9"/>
      <c r="L367" s="9"/>
      <c r="N367" s="9"/>
      <c r="O367" s="9"/>
      <c r="P367" s="9"/>
      <c r="Q367" s="9"/>
      <c r="R367" s="12"/>
      <c r="S367" s="9"/>
      <c r="T367" s="9"/>
      <c r="U367" s="12"/>
      <c r="V367" s="12"/>
      <c r="W367" s="12"/>
      <c r="X367" s="15"/>
      <c r="Y367" s="15"/>
      <c r="Z367" s="15"/>
      <c r="AA367" s="15"/>
      <c r="AB367" s="15"/>
      <c r="AC367" s="15"/>
      <c r="AD367" s="15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  <c r="BB367" s="16"/>
      <c r="BC367" s="16"/>
      <c r="BD367" s="16"/>
      <c r="BE367" s="16"/>
      <c r="BF367" s="16"/>
      <c r="BG367" s="16"/>
    </row>
    <row r="368" spans="1:59" s="21" customFormat="1">
      <c r="A368" s="9"/>
      <c r="B368" s="9"/>
      <c r="F368" s="9"/>
      <c r="J368" s="9"/>
      <c r="K368" s="9"/>
      <c r="L368" s="9"/>
      <c r="N368" s="9"/>
      <c r="O368" s="9"/>
      <c r="P368" s="9"/>
      <c r="Q368" s="9"/>
      <c r="R368" s="12"/>
      <c r="S368" s="9"/>
      <c r="T368" s="9"/>
      <c r="U368" s="12"/>
      <c r="V368" s="12"/>
      <c r="W368" s="12"/>
      <c r="X368" s="15"/>
      <c r="Y368" s="15"/>
      <c r="Z368" s="15"/>
      <c r="AA368" s="15"/>
      <c r="AB368" s="15"/>
      <c r="AC368" s="15"/>
      <c r="AD368" s="15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  <c r="BB368" s="16"/>
      <c r="BC368" s="16"/>
      <c r="BD368" s="16"/>
      <c r="BE368" s="16"/>
      <c r="BF368" s="16"/>
      <c r="BG368" s="16"/>
    </row>
    <row r="369" spans="1:59" s="21" customFormat="1">
      <c r="A369" s="9"/>
      <c r="B369" s="9"/>
      <c r="F369" s="9"/>
      <c r="J369" s="9"/>
      <c r="K369" s="9"/>
      <c r="L369" s="9"/>
      <c r="N369" s="9"/>
      <c r="O369" s="9"/>
      <c r="P369" s="9"/>
      <c r="Q369" s="9"/>
      <c r="R369" s="12"/>
      <c r="S369" s="9"/>
      <c r="T369" s="9"/>
      <c r="U369" s="12"/>
      <c r="V369" s="12"/>
      <c r="W369" s="12"/>
      <c r="X369" s="15"/>
      <c r="Y369" s="15"/>
      <c r="Z369" s="15"/>
      <c r="AA369" s="15"/>
      <c r="AB369" s="15"/>
      <c r="AC369" s="15"/>
      <c r="AD369" s="15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</row>
    <row r="370" spans="1:59" s="21" customFormat="1">
      <c r="A370" s="9"/>
      <c r="B370" s="9"/>
      <c r="F370" s="9"/>
      <c r="J370" s="9"/>
      <c r="K370" s="9"/>
      <c r="L370" s="9"/>
      <c r="N370" s="9"/>
      <c r="O370" s="9"/>
      <c r="P370" s="9"/>
      <c r="Q370" s="9"/>
      <c r="R370" s="12"/>
      <c r="S370" s="9"/>
      <c r="T370" s="9"/>
      <c r="U370" s="12"/>
      <c r="V370" s="12"/>
      <c r="W370" s="12"/>
      <c r="X370" s="15"/>
      <c r="Y370" s="15"/>
      <c r="Z370" s="15"/>
      <c r="AA370" s="15"/>
      <c r="AB370" s="15"/>
      <c r="AC370" s="15"/>
      <c r="AD370" s="15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  <c r="BB370" s="16"/>
      <c r="BC370" s="16"/>
      <c r="BD370" s="16"/>
      <c r="BE370" s="16"/>
      <c r="BF370" s="16"/>
      <c r="BG370" s="16"/>
    </row>
    <row r="371" spans="1:59" s="21" customFormat="1">
      <c r="A371" s="9"/>
      <c r="B371" s="9"/>
      <c r="F371" s="9"/>
      <c r="J371" s="9"/>
      <c r="K371" s="9"/>
      <c r="L371" s="9"/>
      <c r="N371" s="9"/>
      <c r="O371" s="9"/>
      <c r="P371" s="9"/>
      <c r="Q371" s="9"/>
      <c r="R371" s="12"/>
      <c r="S371" s="9"/>
      <c r="T371" s="9"/>
      <c r="U371" s="12"/>
      <c r="V371" s="12"/>
      <c r="W371" s="12"/>
      <c r="X371" s="15"/>
      <c r="Y371" s="15"/>
      <c r="Z371" s="15"/>
      <c r="AA371" s="15"/>
      <c r="AB371" s="15"/>
      <c r="AC371" s="15"/>
      <c r="AD371" s="15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  <c r="BB371" s="16"/>
      <c r="BC371" s="16"/>
      <c r="BD371" s="16"/>
      <c r="BE371" s="16"/>
      <c r="BF371" s="16"/>
      <c r="BG371" s="16"/>
    </row>
    <row r="372" spans="1:59" s="21" customFormat="1">
      <c r="A372" s="9"/>
      <c r="B372" s="9"/>
      <c r="F372" s="9"/>
      <c r="J372" s="9"/>
      <c r="K372" s="9"/>
      <c r="L372" s="9"/>
      <c r="N372" s="9"/>
      <c r="O372" s="9"/>
      <c r="P372" s="9"/>
      <c r="Q372" s="9"/>
      <c r="R372" s="12"/>
      <c r="S372" s="9"/>
      <c r="T372" s="9"/>
      <c r="U372" s="12"/>
      <c r="V372" s="12"/>
      <c r="W372" s="12"/>
      <c r="X372" s="15"/>
      <c r="Y372" s="15"/>
      <c r="Z372" s="15"/>
      <c r="AA372" s="15"/>
      <c r="AB372" s="15"/>
      <c r="AC372" s="15"/>
      <c r="AD372" s="15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</row>
    <row r="373" spans="1:59" s="21" customFormat="1">
      <c r="A373" s="9"/>
      <c r="B373" s="9"/>
      <c r="F373" s="9"/>
      <c r="J373" s="9"/>
      <c r="K373" s="9"/>
      <c r="L373" s="9"/>
      <c r="N373" s="9"/>
      <c r="O373" s="9"/>
      <c r="P373" s="9"/>
      <c r="Q373" s="9"/>
      <c r="R373" s="12"/>
      <c r="S373" s="9"/>
      <c r="T373" s="9"/>
      <c r="U373" s="12"/>
      <c r="V373" s="12"/>
      <c r="W373" s="12"/>
      <c r="X373" s="15"/>
      <c r="Y373" s="15"/>
      <c r="Z373" s="15"/>
      <c r="AA373" s="15"/>
      <c r="AB373" s="15"/>
      <c r="AC373" s="15"/>
      <c r="AD373" s="15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  <c r="BB373" s="16"/>
      <c r="BC373" s="16"/>
      <c r="BD373" s="16"/>
      <c r="BE373" s="16"/>
      <c r="BF373" s="16"/>
      <c r="BG373" s="16"/>
    </row>
    <row r="374" spans="1:59" s="21" customFormat="1">
      <c r="A374" s="9"/>
      <c r="B374" s="9"/>
      <c r="F374" s="9"/>
      <c r="J374" s="9"/>
      <c r="K374" s="9"/>
      <c r="L374" s="9"/>
      <c r="N374" s="9"/>
      <c r="O374" s="9"/>
      <c r="P374" s="9"/>
      <c r="Q374" s="9"/>
      <c r="R374" s="12"/>
      <c r="S374" s="9"/>
      <c r="T374" s="9"/>
      <c r="U374" s="12"/>
      <c r="V374" s="12"/>
      <c r="W374" s="12"/>
      <c r="X374" s="15"/>
      <c r="Y374" s="15"/>
      <c r="Z374" s="15"/>
      <c r="AA374" s="15"/>
      <c r="AB374" s="15"/>
      <c r="AC374" s="15"/>
      <c r="AD374" s="15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  <c r="BB374" s="16"/>
      <c r="BC374" s="16"/>
      <c r="BD374" s="16"/>
      <c r="BE374" s="16"/>
      <c r="BF374" s="16"/>
      <c r="BG374" s="16"/>
    </row>
    <row r="375" spans="1:59" s="21" customFormat="1">
      <c r="A375" s="9"/>
      <c r="F375" s="9"/>
      <c r="J375" s="9"/>
      <c r="K375" s="9"/>
      <c r="L375" s="9"/>
      <c r="N375" s="9"/>
      <c r="O375" s="9"/>
      <c r="P375" s="9"/>
      <c r="Q375" s="9"/>
      <c r="R375" s="12"/>
      <c r="S375" s="9"/>
      <c r="T375" s="9"/>
      <c r="U375" s="12"/>
      <c r="V375" s="12"/>
      <c r="W375" s="12"/>
      <c r="X375" s="15"/>
      <c r="Y375" s="15"/>
      <c r="Z375" s="15"/>
      <c r="AA375" s="15"/>
      <c r="AB375" s="15"/>
      <c r="AC375" s="15"/>
      <c r="AD375" s="15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  <c r="BB375" s="16"/>
      <c r="BC375" s="16"/>
      <c r="BD375" s="16"/>
      <c r="BE375" s="16"/>
      <c r="BF375" s="16"/>
      <c r="BG375" s="16"/>
    </row>
    <row r="376" spans="1:59" s="21" customFormat="1">
      <c r="A376" s="9"/>
      <c r="B376" s="9"/>
      <c r="F376" s="9"/>
      <c r="J376" s="9"/>
      <c r="K376" s="9"/>
      <c r="L376" s="9"/>
      <c r="N376" s="9"/>
      <c r="O376" s="9"/>
      <c r="P376" s="9"/>
      <c r="Q376" s="9"/>
      <c r="R376" s="12"/>
      <c r="S376" s="9"/>
      <c r="T376" s="9"/>
      <c r="U376" s="12"/>
      <c r="V376" s="12"/>
      <c r="W376" s="12"/>
      <c r="X376" s="15"/>
      <c r="Y376" s="15"/>
      <c r="Z376" s="15"/>
      <c r="AA376" s="15"/>
      <c r="AB376" s="15"/>
      <c r="AC376" s="15"/>
      <c r="AD376" s="15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  <c r="BB376" s="16"/>
      <c r="BC376" s="16"/>
      <c r="BD376" s="16"/>
      <c r="BE376" s="16"/>
      <c r="BF376" s="16"/>
      <c r="BG376" s="16"/>
    </row>
    <row r="377" spans="1:59" s="21" customFormat="1">
      <c r="A377" s="9"/>
      <c r="B377" s="9"/>
      <c r="F377" s="9"/>
      <c r="J377" s="9"/>
      <c r="K377" s="9"/>
      <c r="L377" s="9"/>
      <c r="N377" s="9"/>
      <c r="O377" s="9"/>
      <c r="P377" s="9"/>
      <c r="Q377" s="9"/>
      <c r="R377" s="12"/>
      <c r="S377" s="9"/>
      <c r="T377" s="9"/>
      <c r="U377" s="12"/>
      <c r="V377" s="12"/>
      <c r="W377" s="12"/>
      <c r="X377" s="15"/>
      <c r="Y377" s="15"/>
      <c r="Z377" s="15"/>
      <c r="AA377" s="15"/>
      <c r="AB377" s="15"/>
      <c r="AC377" s="15"/>
      <c r="AD377" s="15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  <c r="BB377" s="16"/>
      <c r="BC377" s="16"/>
      <c r="BD377" s="16"/>
      <c r="BE377" s="16"/>
      <c r="BF377" s="16"/>
      <c r="BG377" s="16"/>
    </row>
    <row r="378" spans="1:59" s="21" customFormat="1">
      <c r="A378" s="9"/>
      <c r="B378" s="9"/>
      <c r="F378" s="9"/>
      <c r="J378" s="9"/>
      <c r="K378" s="9"/>
      <c r="L378" s="9"/>
      <c r="N378" s="9"/>
      <c r="O378" s="9"/>
      <c r="P378" s="9"/>
      <c r="Q378" s="9"/>
      <c r="R378" s="12"/>
      <c r="S378" s="9"/>
      <c r="T378" s="9"/>
      <c r="U378" s="12"/>
      <c r="V378" s="12"/>
      <c r="W378" s="12"/>
      <c r="X378" s="15"/>
      <c r="Y378" s="15"/>
      <c r="Z378" s="15"/>
      <c r="AA378" s="15"/>
      <c r="AB378" s="15"/>
      <c r="AC378" s="15"/>
      <c r="AD378" s="15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  <c r="BB378" s="16"/>
      <c r="BC378" s="16"/>
      <c r="BD378" s="16"/>
      <c r="BE378" s="16"/>
      <c r="BF378" s="16"/>
      <c r="BG378" s="16"/>
    </row>
    <row r="379" spans="1:59" s="21" customFormat="1">
      <c r="A379" s="9"/>
      <c r="B379" s="9"/>
      <c r="F379" s="9"/>
      <c r="J379" s="9"/>
      <c r="K379" s="9"/>
      <c r="L379" s="9"/>
      <c r="N379" s="9"/>
      <c r="O379" s="9"/>
      <c r="P379" s="9"/>
      <c r="Q379" s="9"/>
      <c r="R379" s="12"/>
      <c r="S379" s="9"/>
      <c r="T379" s="9"/>
      <c r="U379" s="12"/>
      <c r="V379" s="12"/>
      <c r="W379" s="12"/>
      <c r="X379" s="15"/>
      <c r="Y379" s="15"/>
      <c r="Z379" s="15"/>
      <c r="AA379" s="15"/>
      <c r="AB379" s="15"/>
      <c r="AC379" s="15"/>
      <c r="AD379" s="15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  <c r="BB379" s="16"/>
      <c r="BC379" s="16"/>
      <c r="BD379" s="16"/>
      <c r="BE379" s="16"/>
      <c r="BF379" s="16"/>
      <c r="BG379" s="16"/>
    </row>
    <row r="380" spans="1:59" s="21" customFormat="1">
      <c r="A380" s="9"/>
      <c r="B380" s="9"/>
      <c r="F380" s="9"/>
      <c r="J380" s="9"/>
      <c r="K380" s="9"/>
      <c r="L380" s="9"/>
      <c r="N380" s="9"/>
      <c r="O380" s="9"/>
      <c r="P380" s="9"/>
      <c r="Q380" s="9"/>
      <c r="R380" s="12"/>
      <c r="S380" s="9"/>
      <c r="T380" s="9"/>
      <c r="U380" s="12"/>
      <c r="V380" s="12"/>
      <c r="W380" s="12"/>
      <c r="X380" s="15"/>
      <c r="Y380" s="15"/>
      <c r="Z380" s="15"/>
      <c r="AA380" s="15"/>
      <c r="AB380" s="15"/>
      <c r="AC380" s="15"/>
      <c r="AD380" s="15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  <c r="BB380" s="16"/>
      <c r="BC380" s="16"/>
      <c r="BD380" s="16"/>
      <c r="BE380" s="16"/>
      <c r="BF380" s="16"/>
      <c r="BG380" s="16"/>
    </row>
    <row r="381" spans="1:59" s="21" customFormat="1">
      <c r="A381" s="9"/>
      <c r="B381" s="9"/>
      <c r="F381" s="9"/>
      <c r="J381" s="9"/>
      <c r="K381" s="9"/>
      <c r="L381" s="9"/>
      <c r="N381" s="9"/>
      <c r="O381" s="9"/>
      <c r="P381" s="9"/>
      <c r="Q381" s="9"/>
      <c r="R381" s="12"/>
      <c r="S381" s="9"/>
      <c r="T381" s="9"/>
      <c r="U381" s="12"/>
      <c r="V381" s="12"/>
      <c r="W381" s="12"/>
      <c r="X381" s="15"/>
      <c r="Y381" s="15"/>
      <c r="Z381" s="15"/>
      <c r="AA381" s="15"/>
      <c r="AB381" s="15"/>
      <c r="AC381" s="15"/>
      <c r="AD381" s="15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  <c r="BB381" s="16"/>
      <c r="BC381" s="16"/>
      <c r="BD381" s="16"/>
      <c r="BE381" s="16"/>
      <c r="BF381" s="16"/>
      <c r="BG381" s="16"/>
    </row>
    <row r="382" spans="1:59" s="21" customFormat="1">
      <c r="A382" s="9"/>
      <c r="B382" s="9"/>
      <c r="F382" s="9"/>
      <c r="J382" s="9"/>
      <c r="K382" s="9"/>
      <c r="L382" s="9"/>
      <c r="N382" s="9"/>
      <c r="O382" s="9"/>
      <c r="P382" s="9"/>
      <c r="Q382" s="9"/>
      <c r="R382" s="12"/>
      <c r="S382" s="9"/>
      <c r="T382" s="9"/>
      <c r="U382" s="12"/>
      <c r="V382" s="12"/>
      <c r="W382" s="12"/>
      <c r="X382" s="15"/>
      <c r="Y382" s="15"/>
      <c r="Z382" s="15"/>
      <c r="AA382" s="15"/>
      <c r="AB382" s="15"/>
      <c r="AC382" s="15"/>
      <c r="AD382" s="15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  <c r="BB382" s="16"/>
      <c r="BC382" s="16"/>
      <c r="BD382" s="16"/>
      <c r="BE382" s="16"/>
      <c r="BF382" s="16"/>
      <c r="BG382" s="16"/>
    </row>
    <row r="383" spans="1:59" s="21" customFormat="1">
      <c r="A383" s="9"/>
      <c r="B383" s="9"/>
      <c r="F383" s="9"/>
      <c r="J383" s="9"/>
      <c r="K383" s="9"/>
      <c r="L383" s="9"/>
      <c r="N383" s="9"/>
      <c r="O383" s="9"/>
      <c r="P383" s="9"/>
      <c r="Q383" s="9"/>
      <c r="R383" s="12"/>
      <c r="S383" s="9"/>
      <c r="T383" s="9"/>
      <c r="U383" s="12"/>
      <c r="V383" s="12"/>
      <c r="W383" s="12"/>
      <c r="X383" s="15"/>
      <c r="Y383" s="15"/>
      <c r="Z383" s="15"/>
      <c r="AA383" s="15"/>
      <c r="AB383" s="15"/>
      <c r="AC383" s="15"/>
      <c r="AD383" s="15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  <c r="BB383" s="16"/>
      <c r="BC383" s="16"/>
      <c r="BD383" s="16"/>
      <c r="BE383" s="16"/>
      <c r="BF383" s="16"/>
      <c r="BG383" s="16"/>
    </row>
    <row r="384" spans="1:59" s="21" customFormat="1">
      <c r="A384" s="9"/>
      <c r="B384" s="9"/>
      <c r="F384" s="9"/>
      <c r="J384" s="9"/>
      <c r="K384" s="9"/>
      <c r="L384" s="9"/>
      <c r="N384" s="9"/>
      <c r="O384" s="9"/>
      <c r="P384" s="9"/>
      <c r="Q384" s="9"/>
      <c r="R384" s="12"/>
      <c r="S384" s="9"/>
      <c r="T384" s="9"/>
      <c r="U384" s="12"/>
      <c r="V384" s="12"/>
      <c r="W384" s="12"/>
      <c r="X384" s="15"/>
      <c r="Y384" s="15"/>
      <c r="Z384" s="15"/>
      <c r="AA384" s="15"/>
      <c r="AB384" s="15"/>
      <c r="AC384" s="15"/>
      <c r="AD384" s="15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  <c r="BB384" s="16"/>
      <c r="BC384" s="16"/>
      <c r="BD384" s="16"/>
      <c r="BE384" s="16"/>
      <c r="BF384" s="16"/>
      <c r="BG384" s="16"/>
    </row>
    <row r="385" spans="1:59" s="21" customFormat="1">
      <c r="A385" s="9"/>
      <c r="B385" s="9"/>
      <c r="F385" s="9"/>
      <c r="J385" s="9"/>
      <c r="K385" s="9"/>
      <c r="L385" s="9"/>
      <c r="N385" s="9"/>
      <c r="O385" s="9"/>
      <c r="P385" s="9"/>
      <c r="Q385" s="9"/>
      <c r="R385" s="12"/>
      <c r="S385" s="9"/>
      <c r="T385" s="9"/>
      <c r="U385" s="12"/>
      <c r="V385" s="12"/>
      <c r="W385" s="12"/>
      <c r="X385" s="15"/>
      <c r="Y385" s="15"/>
      <c r="Z385" s="15"/>
      <c r="AA385" s="15"/>
      <c r="AB385" s="15"/>
      <c r="AC385" s="15"/>
      <c r="AD385" s="15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  <c r="BB385" s="16"/>
      <c r="BC385" s="16"/>
      <c r="BD385" s="16"/>
      <c r="BE385" s="16"/>
      <c r="BF385" s="16"/>
      <c r="BG385" s="16"/>
    </row>
    <row r="386" spans="1:59" s="21" customFormat="1">
      <c r="A386" s="9"/>
      <c r="B386" s="9"/>
      <c r="F386" s="9"/>
      <c r="J386" s="9"/>
      <c r="K386" s="9"/>
      <c r="L386" s="9"/>
      <c r="N386" s="9"/>
      <c r="O386" s="9"/>
      <c r="P386" s="9"/>
      <c r="Q386" s="9"/>
      <c r="R386" s="12"/>
      <c r="S386" s="9"/>
      <c r="T386" s="9"/>
      <c r="U386" s="12"/>
      <c r="V386" s="12"/>
      <c r="W386" s="12"/>
      <c r="X386" s="15"/>
      <c r="Y386" s="15"/>
      <c r="Z386" s="15"/>
      <c r="AA386" s="15"/>
      <c r="AB386" s="15"/>
      <c r="AC386" s="15"/>
      <c r="AD386" s="15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  <c r="BB386" s="16"/>
      <c r="BC386" s="16"/>
      <c r="BD386" s="16"/>
      <c r="BE386" s="16"/>
      <c r="BF386" s="16"/>
      <c r="BG386" s="16"/>
    </row>
    <row r="387" spans="1:59" s="21" customFormat="1">
      <c r="A387" s="9"/>
      <c r="B387" s="9"/>
      <c r="F387" s="9"/>
      <c r="J387" s="9"/>
      <c r="K387" s="9"/>
      <c r="L387" s="9"/>
      <c r="N387" s="9"/>
      <c r="O387" s="9"/>
      <c r="P387" s="9"/>
      <c r="Q387" s="9"/>
      <c r="R387" s="12"/>
      <c r="S387" s="9"/>
      <c r="T387" s="9"/>
      <c r="U387" s="12"/>
      <c r="V387" s="12"/>
      <c r="W387" s="12"/>
      <c r="X387" s="15"/>
      <c r="Y387" s="15"/>
      <c r="Z387" s="15"/>
      <c r="AA387" s="15"/>
      <c r="AB387" s="15"/>
      <c r="AC387" s="15"/>
      <c r="AD387" s="15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  <c r="BB387" s="16"/>
      <c r="BC387" s="16"/>
      <c r="BD387" s="16"/>
      <c r="BE387" s="16"/>
      <c r="BF387" s="16"/>
      <c r="BG387" s="16"/>
    </row>
    <row r="388" spans="1:59" s="21" customFormat="1">
      <c r="A388" s="9"/>
      <c r="B388" s="9"/>
      <c r="F388" s="9"/>
      <c r="J388" s="9"/>
      <c r="K388" s="9"/>
      <c r="L388" s="9"/>
      <c r="N388" s="9"/>
      <c r="O388" s="9"/>
      <c r="P388" s="9"/>
      <c r="Q388" s="9"/>
      <c r="R388" s="12"/>
      <c r="S388" s="9"/>
      <c r="T388" s="9"/>
      <c r="U388" s="12"/>
      <c r="V388" s="12"/>
      <c r="W388" s="12"/>
      <c r="X388" s="15"/>
      <c r="Y388" s="15"/>
      <c r="Z388" s="15"/>
      <c r="AA388" s="15"/>
      <c r="AB388" s="15"/>
      <c r="AC388" s="15"/>
      <c r="AD388" s="15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  <c r="BB388" s="16"/>
      <c r="BC388" s="16"/>
      <c r="BD388" s="16"/>
      <c r="BE388" s="16"/>
      <c r="BF388" s="16"/>
      <c r="BG388" s="16"/>
    </row>
    <row r="389" spans="1:59" s="21" customFormat="1">
      <c r="A389" s="9"/>
      <c r="B389" s="9"/>
      <c r="F389" s="9"/>
      <c r="J389" s="9"/>
      <c r="K389" s="9"/>
      <c r="L389" s="9"/>
      <c r="N389" s="9"/>
      <c r="O389" s="9"/>
      <c r="P389" s="9"/>
      <c r="Q389" s="9"/>
      <c r="R389" s="12"/>
      <c r="S389" s="9"/>
      <c r="T389" s="9"/>
      <c r="U389" s="12"/>
      <c r="V389" s="12"/>
      <c r="W389" s="12"/>
      <c r="X389" s="15"/>
      <c r="Y389" s="15"/>
      <c r="Z389" s="15"/>
      <c r="AA389" s="15"/>
      <c r="AB389" s="15"/>
      <c r="AC389" s="15"/>
      <c r="AD389" s="15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  <c r="BB389" s="16"/>
      <c r="BC389" s="16"/>
      <c r="BD389" s="16"/>
      <c r="BE389" s="16"/>
      <c r="BF389" s="16"/>
      <c r="BG389" s="16"/>
    </row>
    <row r="390" spans="1:59" s="21" customFormat="1">
      <c r="A390" s="9"/>
      <c r="F390" s="9"/>
      <c r="J390" s="9"/>
      <c r="K390" s="9"/>
      <c r="L390" s="9"/>
      <c r="N390" s="9"/>
      <c r="O390" s="9"/>
      <c r="P390" s="9"/>
      <c r="Q390" s="9"/>
      <c r="R390" s="12"/>
      <c r="S390" s="9"/>
      <c r="T390" s="9"/>
      <c r="U390" s="12"/>
      <c r="V390" s="12"/>
      <c r="W390" s="12"/>
      <c r="X390" s="15"/>
      <c r="Y390" s="15"/>
      <c r="Z390" s="15"/>
      <c r="AA390" s="15"/>
      <c r="AB390" s="15"/>
      <c r="AC390" s="15"/>
      <c r="AD390" s="15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  <c r="BB390" s="16"/>
      <c r="BC390" s="16"/>
      <c r="BD390" s="16"/>
      <c r="BE390" s="16"/>
      <c r="BF390" s="16"/>
      <c r="BG390" s="16"/>
    </row>
    <row r="391" spans="1:59" s="21" customFormat="1">
      <c r="A391" s="9"/>
      <c r="B391" s="9"/>
      <c r="F391" s="9"/>
      <c r="J391" s="9"/>
      <c r="K391" s="9"/>
      <c r="L391" s="9"/>
      <c r="N391" s="9"/>
      <c r="O391" s="9"/>
      <c r="P391" s="9"/>
      <c r="Q391" s="9"/>
      <c r="R391" s="12"/>
      <c r="S391" s="9"/>
      <c r="T391" s="9"/>
      <c r="U391" s="12"/>
      <c r="V391" s="12"/>
      <c r="W391" s="12"/>
      <c r="X391" s="15"/>
      <c r="Y391" s="15"/>
      <c r="Z391" s="15"/>
      <c r="AA391" s="15"/>
      <c r="AB391" s="15"/>
      <c r="AC391" s="15"/>
      <c r="AD391" s="15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  <c r="BB391" s="16"/>
      <c r="BC391" s="16"/>
      <c r="BD391" s="16"/>
      <c r="BE391" s="16"/>
      <c r="BF391" s="16"/>
      <c r="BG391" s="16"/>
    </row>
    <row r="392" spans="1:59" s="21" customFormat="1">
      <c r="A392" s="9"/>
      <c r="B392" s="9"/>
      <c r="F392" s="9"/>
      <c r="J392" s="9"/>
      <c r="K392" s="9"/>
      <c r="L392" s="9"/>
      <c r="N392" s="9"/>
      <c r="O392" s="9"/>
      <c r="P392" s="9"/>
      <c r="Q392" s="9"/>
      <c r="R392" s="12"/>
      <c r="S392" s="9"/>
      <c r="T392" s="9"/>
      <c r="U392" s="12"/>
      <c r="V392" s="12"/>
      <c r="W392" s="12"/>
      <c r="X392" s="15"/>
      <c r="Y392" s="15"/>
      <c r="Z392" s="15"/>
      <c r="AA392" s="15"/>
      <c r="AB392" s="15"/>
      <c r="AC392" s="15"/>
      <c r="AD392" s="15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  <c r="BB392" s="16"/>
      <c r="BC392" s="16"/>
      <c r="BD392" s="16"/>
      <c r="BE392" s="16"/>
      <c r="BF392" s="16"/>
      <c r="BG392" s="16"/>
    </row>
    <row r="393" spans="1:59" s="21" customFormat="1">
      <c r="A393" s="9"/>
      <c r="B393" s="9"/>
      <c r="F393" s="9"/>
      <c r="J393" s="9"/>
      <c r="K393" s="9"/>
      <c r="L393" s="9"/>
      <c r="N393" s="9"/>
      <c r="O393" s="9"/>
      <c r="P393" s="9"/>
      <c r="Q393" s="9"/>
      <c r="R393" s="12"/>
      <c r="S393" s="9"/>
      <c r="T393" s="9"/>
      <c r="U393" s="12"/>
      <c r="V393" s="12"/>
      <c r="W393" s="12"/>
      <c r="X393" s="15"/>
      <c r="Y393" s="15"/>
      <c r="Z393" s="15"/>
      <c r="AA393" s="15"/>
      <c r="AB393" s="15"/>
      <c r="AC393" s="15"/>
      <c r="AD393" s="15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  <c r="BB393" s="16"/>
      <c r="BC393" s="16"/>
      <c r="BD393" s="16"/>
      <c r="BE393" s="16"/>
      <c r="BF393" s="16"/>
      <c r="BG393" s="16"/>
    </row>
    <row r="394" spans="1:59" s="21" customFormat="1">
      <c r="A394" s="9"/>
      <c r="B394" s="9"/>
      <c r="F394" s="9"/>
      <c r="J394" s="9"/>
      <c r="K394" s="9"/>
      <c r="L394" s="9"/>
      <c r="N394" s="9"/>
      <c r="O394" s="9"/>
      <c r="P394" s="9"/>
      <c r="Q394" s="9"/>
      <c r="R394" s="12"/>
      <c r="S394" s="9"/>
      <c r="T394" s="9"/>
      <c r="U394" s="12"/>
      <c r="V394" s="12"/>
      <c r="W394" s="12"/>
      <c r="X394" s="15"/>
      <c r="Y394" s="15"/>
      <c r="Z394" s="15"/>
      <c r="AA394" s="15"/>
      <c r="AB394" s="15"/>
      <c r="AC394" s="15"/>
      <c r="AD394" s="15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  <c r="BB394" s="16"/>
      <c r="BC394" s="16"/>
      <c r="BD394" s="16"/>
      <c r="BE394" s="16"/>
      <c r="BF394" s="16"/>
      <c r="BG394" s="16"/>
    </row>
    <row r="395" spans="1:59" s="21" customFormat="1">
      <c r="A395" s="9"/>
      <c r="B395" s="9"/>
      <c r="F395" s="9"/>
      <c r="J395" s="9"/>
      <c r="K395" s="9"/>
      <c r="L395" s="9"/>
      <c r="N395" s="9"/>
      <c r="O395" s="9"/>
      <c r="P395" s="9"/>
      <c r="Q395" s="9"/>
      <c r="R395" s="12"/>
      <c r="S395" s="9"/>
      <c r="T395" s="9"/>
      <c r="U395" s="12"/>
      <c r="V395" s="12"/>
      <c r="W395" s="12"/>
      <c r="X395" s="15"/>
      <c r="Y395" s="15"/>
      <c r="Z395" s="15"/>
      <c r="AA395" s="15"/>
      <c r="AB395" s="15"/>
      <c r="AC395" s="15"/>
      <c r="AD395" s="15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  <c r="BB395" s="16"/>
      <c r="BC395" s="16"/>
      <c r="BD395" s="16"/>
      <c r="BE395" s="16"/>
      <c r="BF395" s="16"/>
      <c r="BG395" s="16"/>
    </row>
    <row r="396" spans="1:59" s="21" customFormat="1">
      <c r="A396" s="9"/>
      <c r="B396" s="9"/>
      <c r="F396" s="9"/>
      <c r="J396" s="9"/>
      <c r="K396" s="9"/>
      <c r="L396" s="9"/>
      <c r="N396" s="9"/>
      <c r="O396" s="9"/>
      <c r="P396" s="9"/>
      <c r="Q396" s="9"/>
      <c r="R396" s="12"/>
      <c r="S396" s="9"/>
      <c r="T396" s="9"/>
      <c r="U396" s="12"/>
      <c r="V396" s="12"/>
      <c r="W396" s="12"/>
      <c r="X396" s="15"/>
      <c r="Y396" s="15"/>
      <c r="Z396" s="15"/>
      <c r="AA396" s="15"/>
      <c r="AB396" s="15"/>
      <c r="AC396" s="15"/>
      <c r="AD396" s="15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  <c r="BB396" s="16"/>
      <c r="BC396" s="16"/>
      <c r="BD396" s="16"/>
      <c r="BE396" s="16"/>
      <c r="BF396" s="16"/>
      <c r="BG396" s="16"/>
    </row>
    <row r="397" spans="1:59" s="21" customFormat="1">
      <c r="A397" s="9"/>
      <c r="B397" s="9"/>
      <c r="F397" s="9"/>
      <c r="J397" s="9"/>
      <c r="K397" s="9"/>
      <c r="L397" s="9"/>
      <c r="N397" s="9"/>
      <c r="O397" s="9"/>
      <c r="P397" s="9"/>
      <c r="Q397" s="9"/>
      <c r="R397" s="12"/>
      <c r="S397" s="9"/>
      <c r="T397" s="9"/>
      <c r="U397" s="12"/>
      <c r="V397" s="12"/>
      <c r="W397" s="12"/>
      <c r="X397" s="15"/>
      <c r="Y397" s="15"/>
      <c r="Z397" s="15"/>
      <c r="AA397" s="15"/>
      <c r="AB397" s="15"/>
      <c r="AC397" s="15"/>
      <c r="AD397" s="15"/>
      <c r="AE397" s="16"/>
      <c r="AF397" s="16"/>
      <c r="AG397" s="16"/>
      <c r="AH397" s="16"/>
      <c r="AI397" s="16"/>
      <c r="AJ397" s="16"/>
      <c r="AK397" s="16"/>
      <c r="AL397" s="16"/>
      <c r="AM397" s="16"/>
      <c r="AN397" s="16"/>
      <c r="AO397" s="16"/>
      <c r="AP397" s="16"/>
      <c r="AQ397" s="16"/>
      <c r="AR397" s="16"/>
      <c r="AS397" s="16"/>
      <c r="AT397" s="16"/>
      <c r="AU397" s="16"/>
      <c r="AV397" s="16"/>
      <c r="AW397" s="16"/>
      <c r="AX397" s="16"/>
      <c r="AY397" s="16"/>
      <c r="AZ397" s="16"/>
      <c r="BA397" s="16"/>
      <c r="BB397" s="16"/>
      <c r="BC397" s="16"/>
      <c r="BD397" s="16"/>
      <c r="BE397" s="16"/>
      <c r="BF397" s="16"/>
      <c r="BG397" s="16"/>
    </row>
    <row r="398" spans="1:59" s="21" customFormat="1">
      <c r="A398" s="9"/>
      <c r="B398" s="9"/>
      <c r="F398" s="9"/>
      <c r="J398" s="9"/>
      <c r="K398" s="9"/>
      <c r="L398" s="9"/>
      <c r="N398" s="9"/>
      <c r="O398" s="9"/>
      <c r="P398" s="9"/>
      <c r="Q398" s="9"/>
      <c r="R398" s="12"/>
      <c r="S398" s="9"/>
      <c r="T398" s="9"/>
      <c r="U398" s="12"/>
      <c r="V398" s="12"/>
      <c r="W398" s="12"/>
      <c r="X398" s="15"/>
      <c r="Y398" s="15"/>
      <c r="Z398" s="15"/>
      <c r="AA398" s="15"/>
      <c r="AB398" s="15"/>
      <c r="AC398" s="15"/>
      <c r="AD398" s="15"/>
      <c r="AE398" s="16"/>
      <c r="AF398" s="16"/>
      <c r="AG398" s="16"/>
      <c r="AH398" s="16"/>
      <c r="AI398" s="16"/>
      <c r="AJ398" s="16"/>
      <c r="AK398" s="16"/>
      <c r="AL398" s="16"/>
      <c r="AM398" s="16"/>
      <c r="AN398" s="16"/>
      <c r="AO398" s="16"/>
      <c r="AP398" s="16"/>
      <c r="AQ398" s="16"/>
      <c r="AR398" s="16"/>
      <c r="AS398" s="16"/>
      <c r="AT398" s="16"/>
      <c r="AU398" s="16"/>
      <c r="AV398" s="16"/>
      <c r="AW398" s="16"/>
      <c r="AX398" s="16"/>
      <c r="AY398" s="16"/>
      <c r="AZ398" s="16"/>
      <c r="BA398" s="16"/>
      <c r="BB398" s="16"/>
      <c r="BC398" s="16"/>
      <c r="BD398" s="16"/>
      <c r="BE398" s="16"/>
      <c r="BF398" s="16"/>
      <c r="BG398" s="16"/>
    </row>
    <row r="399" spans="1:59" s="21" customFormat="1">
      <c r="A399" s="9"/>
      <c r="B399" s="9"/>
      <c r="F399" s="9"/>
      <c r="J399" s="9"/>
      <c r="K399" s="9"/>
      <c r="L399" s="9"/>
      <c r="N399" s="9"/>
      <c r="O399" s="9"/>
      <c r="P399" s="9"/>
      <c r="Q399" s="9"/>
      <c r="R399" s="12"/>
      <c r="S399" s="9"/>
      <c r="T399" s="9"/>
      <c r="U399" s="12"/>
      <c r="V399" s="12"/>
      <c r="W399" s="12"/>
      <c r="X399" s="15"/>
      <c r="Y399" s="15"/>
      <c r="Z399" s="15"/>
      <c r="AA399" s="15"/>
      <c r="AB399" s="15"/>
      <c r="AC399" s="15"/>
      <c r="AD399" s="15"/>
      <c r="AE399" s="16"/>
      <c r="AF399" s="16"/>
      <c r="AG399" s="16"/>
      <c r="AH399" s="16"/>
      <c r="AI399" s="16"/>
      <c r="AJ399" s="16"/>
      <c r="AK399" s="16"/>
      <c r="AL399" s="16"/>
      <c r="AM399" s="16"/>
      <c r="AN399" s="16"/>
      <c r="AO399" s="16"/>
      <c r="AP399" s="16"/>
      <c r="AQ399" s="16"/>
      <c r="AR399" s="16"/>
      <c r="AS399" s="16"/>
      <c r="AT399" s="16"/>
      <c r="AU399" s="16"/>
      <c r="AV399" s="16"/>
      <c r="AW399" s="16"/>
      <c r="AX399" s="16"/>
      <c r="AY399" s="16"/>
      <c r="AZ399" s="16"/>
      <c r="BA399" s="16"/>
      <c r="BB399" s="16"/>
      <c r="BC399" s="16"/>
      <c r="BD399" s="16"/>
      <c r="BE399" s="16"/>
      <c r="BF399" s="16"/>
      <c r="BG399" s="16"/>
    </row>
    <row r="400" spans="1:59" s="21" customFormat="1">
      <c r="A400" s="9"/>
      <c r="B400" s="9"/>
      <c r="F400" s="9"/>
      <c r="J400" s="9"/>
      <c r="K400" s="9"/>
      <c r="L400" s="9"/>
      <c r="N400" s="9"/>
      <c r="O400" s="9"/>
      <c r="P400" s="9"/>
      <c r="Q400" s="9"/>
      <c r="R400" s="12"/>
      <c r="S400" s="9"/>
      <c r="T400" s="9"/>
      <c r="U400" s="12"/>
      <c r="V400" s="12"/>
      <c r="W400" s="12"/>
      <c r="X400" s="15"/>
      <c r="Y400" s="15"/>
      <c r="Z400" s="15"/>
      <c r="AA400" s="15"/>
      <c r="AB400" s="15"/>
      <c r="AC400" s="15"/>
      <c r="AD400" s="15"/>
      <c r="AE400" s="16"/>
      <c r="AF400" s="16"/>
      <c r="AG400" s="16"/>
      <c r="AH400" s="16"/>
      <c r="AI400" s="16"/>
      <c r="AJ400" s="16"/>
      <c r="AK400" s="16"/>
      <c r="AL400" s="16"/>
      <c r="AM400" s="16"/>
      <c r="AN400" s="16"/>
      <c r="AO400" s="16"/>
      <c r="AP400" s="16"/>
      <c r="AQ400" s="16"/>
      <c r="AR400" s="16"/>
      <c r="AS400" s="16"/>
      <c r="AT400" s="16"/>
      <c r="AU400" s="16"/>
      <c r="AV400" s="16"/>
      <c r="AW400" s="16"/>
      <c r="AX400" s="16"/>
      <c r="AY400" s="16"/>
      <c r="AZ400" s="16"/>
      <c r="BA400" s="16"/>
      <c r="BB400" s="16"/>
      <c r="BC400" s="16"/>
      <c r="BD400" s="16"/>
      <c r="BE400" s="16"/>
      <c r="BF400" s="16"/>
      <c r="BG400" s="16"/>
    </row>
    <row r="401" spans="1:59" s="21" customFormat="1">
      <c r="A401" s="9"/>
      <c r="B401" s="9"/>
      <c r="F401" s="9"/>
      <c r="J401" s="9"/>
      <c r="K401" s="9"/>
      <c r="L401" s="9"/>
      <c r="N401" s="9"/>
      <c r="O401" s="9"/>
      <c r="P401" s="9"/>
      <c r="Q401" s="9"/>
      <c r="R401" s="12"/>
      <c r="S401" s="9"/>
      <c r="T401" s="9"/>
      <c r="U401" s="12"/>
      <c r="V401" s="12"/>
      <c r="W401" s="12"/>
      <c r="X401" s="15"/>
      <c r="Y401" s="15"/>
      <c r="Z401" s="15"/>
      <c r="AA401" s="15"/>
      <c r="AB401" s="15"/>
      <c r="AC401" s="15"/>
      <c r="AD401" s="15"/>
      <c r="AE401" s="16"/>
      <c r="AF401" s="16"/>
      <c r="AG401" s="16"/>
      <c r="AH401" s="16"/>
      <c r="AI401" s="16"/>
      <c r="AJ401" s="16"/>
      <c r="AK401" s="16"/>
      <c r="AL401" s="16"/>
      <c r="AM401" s="16"/>
      <c r="AN401" s="16"/>
      <c r="AO401" s="16"/>
      <c r="AP401" s="16"/>
      <c r="AQ401" s="16"/>
      <c r="AR401" s="16"/>
      <c r="AS401" s="16"/>
      <c r="AT401" s="16"/>
      <c r="AU401" s="16"/>
      <c r="AV401" s="16"/>
      <c r="AW401" s="16"/>
      <c r="AX401" s="16"/>
      <c r="AY401" s="16"/>
      <c r="AZ401" s="16"/>
      <c r="BA401" s="16"/>
      <c r="BB401" s="16"/>
      <c r="BC401" s="16"/>
      <c r="BD401" s="16"/>
      <c r="BE401" s="16"/>
      <c r="BF401" s="16"/>
      <c r="BG401" s="16"/>
    </row>
    <row r="402" spans="1:59" s="21" customFormat="1">
      <c r="A402" s="9"/>
      <c r="B402" s="9"/>
      <c r="F402" s="9"/>
      <c r="J402" s="9"/>
      <c r="K402" s="9"/>
      <c r="L402" s="9"/>
      <c r="N402" s="9"/>
      <c r="O402" s="9"/>
      <c r="P402" s="9"/>
      <c r="Q402" s="9"/>
      <c r="R402" s="12"/>
      <c r="S402" s="9"/>
      <c r="T402" s="9"/>
      <c r="U402" s="12"/>
      <c r="V402" s="12"/>
      <c r="W402" s="12"/>
      <c r="X402" s="15"/>
      <c r="Y402" s="15"/>
      <c r="Z402" s="15"/>
      <c r="AA402" s="15"/>
      <c r="AB402" s="15"/>
      <c r="AC402" s="15"/>
      <c r="AD402" s="15"/>
      <c r="AE402" s="16"/>
      <c r="AF402" s="16"/>
      <c r="AG402" s="16"/>
      <c r="AH402" s="16"/>
      <c r="AI402" s="16"/>
      <c r="AJ402" s="16"/>
      <c r="AK402" s="16"/>
      <c r="AL402" s="16"/>
      <c r="AM402" s="16"/>
      <c r="AN402" s="16"/>
      <c r="AO402" s="16"/>
      <c r="AP402" s="16"/>
      <c r="AQ402" s="16"/>
      <c r="AR402" s="16"/>
      <c r="AS402" s="16"/>
      <c r="AT402" s="16"/>
      <c r="AU402" s="16"/>
      <c r="AV402" s="16"/>
      <c r="AW402" s="16"/>
      <c r="AX402" s="16"/>
      <c r="AY402" s="16"/>
      <c r="AZ402" s="16"/>
      <c r="BA402" s="16"/>
      <c r="BB402" s="16"/>
      <c r="BC402" s="16"/>
      <c r="BD402" s="16"/>
      <c r="BE402" s="16"/>
      <c r="BF402" s="16"/>
      <c r="BG402" s="16"/>
    </row>
    <row r="403" spans="1:59" s="21" customFormat="1">
      <c r="A403" s="9"/>
      <c r="B403" s="9"/>
      <c r="F403" s="9"/>
      <c r="J403" s="9"/>
      <c r="K403" s="9"/>
      <c r="L403" s="9"/>
      <c r="N403" s="9"/>
      <c r="O403" s="9"/>
      <c r="P403" s="9"/>
      <c r="Q403" s="9"/>
      <c r="R403" s="12"/>
      <c r="S403" s="9"/>
      <c r="T403" s="9"/>
      <c r="U403" s="12"/>
      <c r="V403" s="12"/>
      <c r="W403" s="12"/>
      <c r="X403" s="15"/>
      <c r="Y403" s="15"/>
      <c r="Z403" s="15"/>
      <c r="AA403" s="15"/>
      <c r="AB403" s="15"/>
      <c r="AC403" s="15"/>
      <c r="AD403" s="15"/>
      <c r="AE403" s="16"/>
      <c r="AF403" s="16"/>
      <c r="AG403" s="16"/>
      <c r="AH403" s="16"/>
      <c r="AI403" s="16"/>
      <c r="AJ403" s="16"/>
      <c r="AK403" s="16"/>
      <c r="AL403" s="16"/>
      <c r="AM403" s="16"/>
      <c r="AN403" s="16"/>
      <c r="AO403" s="16"/>
      <c r="AP403" s="16"/>
      <c r="AQ403" s="16"/>
      <c r="AR403" s="16"/>
      <c r="AS403" s="16"/>
      <c r="AT403" s="16"/>
      <c r="AU403" s="16"/>
      <c r="AV403" s="16"/>
      <c r="AW403" s="16"/>
      <c r="AX403" s="16"/>
      <c r="AY403" s="16"/>
      <c r="AZ403" s="16"/>
      <c r="BA403" s="16"/>
      <c r="BB403" s="16"/>
      <c r="BC403" s="16"/>
      <c r="BD403" s="16"/>
      <c r="BE403" s="16"/>
      <c r="BF403" s="16"/>
      <c r="BG403" s="16"/>
    </row>
    <row r="404" spans="1:59" s="21" customFormat="1">
      <c r="A404" s="9"/>
      <c r="B404" s="9"/>
      <c r="F404" s="9"/>
      <c r="J404" s="9"/>
      <c r="K404" s="9"/>
      <c r="L404" s="9"/>
      <c r="N404" s="9"/>
      <c r="O404" s="9"/>
      <c r="P404" s="9"/>
      <c r="Q404" s="9"/>
      <c r="R404" s="12"/>
      <c r="S404" s="9"/>
      <c r="T404" s="9"/>
      <c r="U404" s="12"/>
      <c r="V404" s="12"/>
      <c r="W404" s="12"/>
      <c r="X404" s="15"/>
      <c r="Y404" s="15"/>
      <c r="Z404" s="15"/>
      <c r="AA404" s="15"/>
      <c r="AB404" s="15"/>
      <c r="AC404" s="15"/>
      <c r="AD404" s="15"/>
      <c r="AE404" s="16"/>
      <c r="AF404" s="16"/>
      <c r="AG404" s="16"/>
      <c r="AH404" s="16"/>
      <c r="AI404" s="16"/>
      <c r="AJ404" s="16"/>
      <c r="AK404" s="16"/>
      <c r="AL404" s="16"/>
      <c r="AM404" s="16"/>
      <c r="AN404" s="16"/>
      <c r="AO404" s="16"/>
      <c r="AP404" s="16"/>
      <c r="AQ404" s="16"/>
      <c r="AR404" s="16"/>
      <c r="AS404" s="16"/>
      <c r="AT404" s="16"/>
      <c r="AU404" s="16"/>
      <c r="AV404" s="16"/>
      <c r="AW404" s="16"/>
      <c r="AX404" s="16"/>
      <c r="AY404" s="16"/>
      <c r="AZ404" s="16"/>
      <c r="BA404" s="16"/>
      <c r="BB404" s="16"/>
      <c r="BC404" s="16"/>
      <c r="BD404" s="16"/>
      <c r="BE404" s="16"/>
      <c r="BF404" s="16"/>
      <c r="BG404" s="16"/>
    </row>
    <row r="405" spans="1:59" s="21" customFormat="1">
      <c r="A405" s="9"/>
      <c r="F405" s="9"/>
      <c r="J405" s="9"/>
      <c r="K405" s="9"/>
      <c r="L405" s="9"/>
      <c r="N405" s="9"/>
      <c r="O405" s="9"/>
      <c r="P405" s="9"/>
      <c r="Q405" s="9"/>
      <c r="R405" s="12"/>
      <c r="S405" s="9"/>
      <c r="T405" s="9"/>
      <c r="U405" s="12"/>
      <c r="V405" s="12"/>
      <c r="W405" s="12"/>
      <c r="X405" s="15"/>
      <c r="Y405" s="15"/>
      <c r="Z405" s="15"/>
      <c r="AA405" s="15"/>
      <c r="AB405" s="15"/>
      <c r="AC405" s="15"/>
      <c r="AD405" s="15"/>
      <c r="AE405" s="16"/>
      <c r="AF405" s="16"/>
      <c r="AG405" s="16"/>
      <c r="AH405" s="16"/>
      <c r="AI405" s="16"/>
      <c r="AJ405" s="16"/>
      <c r="AK405" s="16"/>
      <c r="AL405" s="16"/>
      <c r="AM405" s="16"/>
      <c r="AN405" s="16"/>
      <c r="AO405" s="16"/>
      <c r="AP405" s="16"/>
      <c r="AQ405" s="16"/>
      <c r="AR405" s="16"/>
      <c r="AS405" s="16"/>
      <c r="AT405" s="16"/>
      <c r="AU405" s="16"/>
      <c r="AV405" s="16"/>
      <c r="AW405" s="16"/>
      <c r="AX405" s="16"/>
      <c r="AY405" s="16"/>
      <c r="AZ405" s="16"/>
      <c r="BA405" s="16"/>
      <c r="BB405" s="16"/>
      <c r="BC405" s="16"/>
      <c r="BD405" s="16"/>
      <c r="BE405" s="16"/>
      <c r="BF405" s="16"/>
      <c r="BG405" s="16"/>
    </row>
    <row r="406" spans="1:59" s="21" customFormat="1">
      <c r="A406" s="9"/>
      <c r="B406" s="9"/>
      <c r="F406" s="9"/>
      <c r="J406" s="9"/>
      <c r="K406" s="9"/>
      <c r="L406" s="9"/>
      <c r="N406" s="9"/>
      <c r="O406" s="9"/>
      <c r="P406" s="9"/>
      <c r="Q406" s="9"/>
      <c r="R406" s="12"/>
      <c r="S406" s="9"/>
      <c r="T406" s="9"/>
      <c r="U406" s="12"/>
      <c r="V406" s="12"/>
      <c r="W406" s="12"/>
      <c r="X406" s="15"/>
      <c r="Y406" s="15"/>
      <c r="Z406" s="15"/>
      <c r="AA406" s="15"/>
      <c r="AB406" s="15"/>
      <c r="AC406" s="15"/>
      <c r="AD406" s="15"/>
      <c r="AE406" s="16"/>
      <c r="AF406" s="16"/>
      <c r="AG406" s="16"/>
      <c r="AH406" s="16"/>
      <c r="AI406" s="16"/>
      <c r="AJ406" s="16"/>
      <c r="AK406" s="16"/>
      <c r="AL406" s="16"/>
      <c r="AM406" s="16"/>
      <c r="AN406" s="16"/>
      <c r="AO406" s="16"/>
      <c r="AP406" s="16"/>
      <c r="AQ406" s="16"/>
      <c r="AR406" s="16"/>
      <c r="AS406" s="16"/>
      <c r="AT406" s="16"/>
      <c r="AU406" s="16"/>
      <c r="AV406" s="16"/>
      <c r="AW406" s="16"/>
      <c r="AX406" s="16"/>
      <c r="AY406" s="16"/>
      <c r="AZ406" s="16"/>
      <c r="BA406" s="16"/>
      <c r="BB406" s="16"/>
      <c r="BC406" s="16"/>
      <c r="BD406" s="16"/>
      <c r="BE406" s="16"/>
      <c r="BF406" s="16"/>
      <c r="BG406" s="16"/>
    </row>
    <row r="407" spans="1:59" s="21" customFormat="1">
      <c r="A407" s="9"/>
      <c r="B407" s="9"/>
      <c r="F407" s="9"/>
      <c r="J407" s="9"/>
      <c r="K407" s="9"/>
      <c r="L407" s="9"/>
      <c r="N407" s="9"/>
      <c r="O407" s="9"/>
      <c r="P407" s="9"/>
      <c r="Q407" s="9"/>
      <c r="R407" s="12"/>
      <c r="S407" s="9"/>
      <c r="T407" s="9"/>
      <c r="U407" s="12"/>
      <c r="V407" s="12"/>
      <c r="W407" s="12"/>
      <c r="X407" s="15"/>
      <c r="Y407" s="15"/>
      <c r="Z407" s="15"/>
      <c r="AA407" s="15"/>
      <c r="AB407" s="15"/>
      <c r="AC407" s="15"/>
      <c r="AD407" s="15"/>
      <c r="AE407" s="16"/>
      <c r="AF407" s="16"/>
      <c r="AG407" s="16"/>
      <c r="AH407" s="16"/>
      <c r="AI407" s="16"/>
      <c r="AJ407" s="16"/>
      <c r="AK407" s="16"/>
      <c r="AL407" s="16"/>
      <c r="AM407" s="16"/>
      <c r="AN407" s="16"/>
      <c r="AO407" s="16"/>
      <c r="AP407" s="16"/>
      <c r="AQ407" s="16"/>
      <c r="AR407" s="16"/>
      <c r="AS407" s="16"/>
      <c r="AT407" s="16"/>
      <c r="AU407" s="16"/>
      <c r="AV407" s="16"/>
      <c r="AW407" s="16"/>
      <c r="AX407" s="16"/>
      <c r="AY407" s="16"/>
      <c r="AZ407" s="16"/>
      <c r="BA407" s="16"/>
      <c r="BB407" s="16"/>
      <c r="BC407" s="16"/>
      <c r="BD407" s="16"/>
      <c r="BE407" s="16"/>
      <c r="BF407" s="16"/>
      <c r="BG407" s="16"/>
    </row>
    <row r="408" spans="1:59" s="21" customFormat="1">
      <c r="A408" s="9"/>
      <c r="B408" s="9"/>
      <c r="F408" s="9"/>
      <c r="J408" s="9"/>
      <c r="K408" s="9"/>
      <c r="L408" s="9"/>
      <c r="N408" s="9"/>
      <c r="O408" s="9"/>
      <c r="P408" s="9"/>
      <c r="Q408" s="9"/>
      <c r="R408" s="12"/>
      <c r="S408" s="9"/>
      <c r="T408" s="9"/>
      <c r="U408" s="12"/>
      <c r="V408" s="12"/>
      <c r="W408" s="12"/>
      <c r="X408" s="15"/>
      <c r="Y408" s="15"/>
      <c r="Z408" s="15"/>
      <c r="AA408" s="15"/>
      <c r="AB408" s="15"/>
      <c r="AC408" s="15"/>
      <c r="AD408" s="15"/>
      <c r="AE408" s="16"/>
      <c r="AF408" s="16"/>
      <c r="AG408" s="16"/>
      <c r="AH408" s="16"/>
      <c r="AI408" s="16"/>
      <c r="AJ408" s="16"/>
      <c r="AK408" s="16"/>
      <c r="AL408" s="16"/>
      <c r="AM408" s="16"/>
      <c r="AN408" s="16"/>
      <c r="AO408" s="16"/>
      <c r="AP408" s="16"/>
      <c r="AQ408" s="16"/>
      <c r="AR408" s="16"/>
      <c r="AS408" s="16"/>
      <c r="AT408" s="16"/>
      <c r="AU408" s="16"/>
      <c r="AV408" s="16"/>
      <c r="AW408" s="16"/>
      <c r="AX408" s="16"/>
      <c r="AY408" s="16"/>
      <c r="AZ408" s="16"/>
      <c r="BA408" s="16"/>
      <c r="BB408" s="16"/>
      <c r="BC408" s="16"/>
      <c r="BD408" s="16"/>
      <c r="BE408" s="16"/>
      <c r="BF408" s="16"/>
      <c r="BG408" s="16"/>
    </row>
    <row r="409" spans="1:59" s="21" customFormat="1">
      <c r="A409" s="9"/>
      <c r="B409" s="9"/>
      <c r="F409" s="9"/>
      <c r="J409" s="9"/>
      <c r="K409" s="9"/>
      <c r="L409" s="9"/>
      <c r="N409" s="9"/>
      <c r="O409" s="9"/>
      <c r="P409" s="9"/>
      <c r="Q409" s="9"/>
      <c r="R409" s="12"/>
      <c r="S409" s="9"/>
      <c r="T409" s="9"/>
      <c r="U409" s="12"/>
      <c r="V409" s="12"/>
      <c r="W409" s="12"/>
      <c r="X409" s="15"/>
      <c r="Y409" s="15"/>
      <c r="Z409" s="15"/>
      <c r="AA409" s="15"/>
      <c r="AB409" s="15"/>
      <c r="AC409" s="15"/>
      <c r="AD409" s="15"/>
      <c r="AE409" s="16"/>
      <c r="AF409" s="16"/>
      <c r="AG409" s="16"/>
      <c r="AH409" s="16"/>
      <c r="AI409" s="16"/>
      <c r="AJ409" s="16"/>
      <c r="AK409" s="16"/>
      <c r="AL409" s="16"/>
      <c r="AM409" s="16"/>
      <c r="AN409" s="16"/>
      <c r="AO409" s="16"/>
      <c r="AP409" s="16"/>
      <c r="AQ409" s="16"/>
      <c r="AR409" s="16"/>
      <c r="AS409" s="16"/>
      <c r="AT409" s="16"/>
      <c r="AU409" s="16"/>
      <c r="AV409" s="16"/>
      <c r="AW409" s="16"/>
      <c r="AX409" s="16"/>
      <c r="AY409" s="16"/>
      <c r="AZ409" s="16"/>
      <c r="BA409" s="16"/>
      <c r="BB409" s="16"/>
      <c r="BC409" s="16"/>
      <c r="BD409" s="16"/>
      <c r="BE409" s="16"/>
      <c r="BF409" s="16"/>
      <c r="BG409" s="16"/>
    </row>
    <row r="410" spans="1:59" s="21" customFormat="1">
      <c r="A410" s="9"/>
      <c r="B410" s="9"/>
      <c r="F410" s="9"/>
      <c r="J410" s="9"/>
      <c r="K410" s="9"/>
      <c r="L410" s="9"/>
      <c r="N410" s="9"/>
      <c r="O410" s="9"/>
      <c r="P410" s="9"/>
      <c r="Q410" s="9"/>
      <c r="R410" s="12"/>
      <c r="S410" s="9"/>
      <c r="T410" s="9"/>
      <c r="U410" s="12"/>
      <c r="V410" s="12"/>
      <c r="W410" s="12"/>
      <c r="X410" s="15"/>
      <c r="Y410" s="15"/>
      <c r="Z410" s="15"/>
      <c r="AA410" s="15"/>
      <c r="AB410" s="15"/>
      <c r="AC410" s="15"/>
      <c r="AD410" s="15"/>
      <c r="AE410" s="16"/>
      <c r="AF410" s="16"/>
      <c r="AG410" s="16"/>
      <c r="AH410" s="16"/>
      <c r="AI410" s="16"/>
      <c r="AJ410" s="16"/>
      <c r="AK410" s="16"/>
      <c r="AL410" s="16"/>
      <c r="AM410" s="16"/>
      <c r="AN410" s="16"/>
      <c r="AO410" s="16"/>
      <c r="AP410" s="16"/>
      <c r="AQ410" s="16"/>
      <c r="AR410" s="16"/>
      <c r="AS410" s="16"/>
      <c r="AT410" s="16"/>
      <c r="AU410" s="16"/>
      <c r="AV410" s="16"/>
      <c r="AW410" s="16"/>
      <c r="AX410" s="16"/>
      <c r="AY410" s="16"/>
      <c r="AZ410" s="16"/>
      <c r="BA410" s="16"/>
      <c r="BB410" s="16"/>
      <c r="BC410" s="16"/>
      <c r="BD410" s="16"/>
      <c r="BE410" s="16"/>
      <c r="BF410" s="16"/>
      <c r="BG410" s="16"/>
    </row>
    <row r="411" spans="1:59" s="21" customFormat="1">
      <c r="A411" s="9"/>
      <c r="B411" s="9"/>
      <c r="F411" s="9"/>
      <c r="J411" s="9"/>
      <c r="K411" s="9"/>
      <c r="L411" s="9"/>
      <c r="N411" s="9"/>
      <c r="O411" s="9"/>
      <c r="P411" s="9"/>
      <c r="Q411" s="9"/>
      <c r="R411" s="12"/>
      <c r="S411" s="9"/>
      <c r="T411" s="9"/>
      <c r="U411" s="12"/>
      <c r="V411" s="12"/>
      <c r="W411" s="12"/>
      <c r="X411" s="15"/>
      <c r="Y411" s="15"/>
      <c r="Z411" s="15"/>
      <c r="AA411" s="15"/>
      <c r="AB411" s="15"/>
      <c r="AC411" s="15"/>
      <c r="AD411" s="15"/>
      <c r="AE411" s="16"/>
      <c r="AF411" s="16"/>
      <c r="AG411" s="16"/>
      <c r="AH411" s="16"/>
      <c r="AI411" s="16"/>
      <c r="AJ411" s="16"/>
      <c r="AK411" s="16"/>
      <c r="AL411" s="16"/>
      <c r="AM411" s="16"/>
      <c r="AN411" s="16"/>
      <c r="AO411" s="16"/>
      <c r="AP411" s="16"/>
      <c r="AQ411" s="16"/>
      <c r="AR411" s="16"/>
      <c r="AS411" s="16"/>
      <c r="AT411" s="16"/>
      <c r="AU411" s="16"/>
      <c r="AV411" s="16"/>
      <c r="AW411" s="16"/>
      <c r="AX411" s="16"/>
      <c r="AY411" s="16"/>
      <c r="AZ411" s="16"/>
      <c r="BA411" s="16"/>
      <c r="BB411" s="16"/>
      <c r="BC411" s="16"/>
      <c r="BD411" s="16"/>
      <c r="BE411" s="16"/>
      <c r="BF411" s="16"/>
      <c r="BG411" s="16"/>
    </row>
    <row r="412" spans="1:59" s="21" customFormat="1">
      <c r="A412" s="9"/>
      <c r="B412" s="9"/>
      <c r="F412" s="9"/>
      <c r="J412" s="9"/>
      <c r="K412" s="9"/>
      <c r="L412" s="9"/>
      <c r="N412" s="9"/>
      <c r="O412" s="9"/>
      <c r="P412" s="9"/>
      <c r="Q412" s="9"/>
      <c r="R412" s="12"/>
      <c r="S412" s="9"/>
      <c r="T412" s="9"/>
      <c r="U412" s="12"/>
      <c r="V412" s="12"/>
      <c r="W412" s="12"/>
      <c r="X412" s="15"/>
      <c r="Y412" s="15"/>
      <c r="Z412" s="15"/>
      <c r="AA412" s="15"/>
      <c r="AB412" s="15"/>
      <c r="AC412" s="15"/>
      <c r="AD412" s="15"/>
      <c r="AE412" s="16"/>
      <c r="AF412" s="16"/>
      <c r="AG412" s="16"/>
      <c r="AH412" s="16"/>
      <c r="AI412" s="16"/>
      <c r="AJ412" s="16"/>
      <c r="AK412" s="16"/>
      <c r="AL412" s="16"/>
      <c r="AM412" s="16"/>
      <c r="AN412" s="16"/>
      <c r="AO412" s="16"/>
      <c r="AP412" s="16"/>
      <c r="AQ412" s="16"/>
      <c r="AR412" s="16"/>
      <c r="AS412" s="16"/>
      <c r="AT412" s="16"/>
      <c r="AU412" s="16"/>
      <c r="AV412" s="16"/>
      <c r="AW412" s="16"/>
      <c r="AX412" s="16"/>
      <c r="AY412" s="16"/>
      <c r="AZ412" s="16"/>
      <c r="BA412" s="16"/>
      <c r="BB412" s="16"/>
      <c r="BC412" s="16"/>
      <c r="BD412" s="16"/>
      <c r="BE412" s="16"/>
      <c r="BF412" s="16"/>
      <c r="BG412" s="16"/>
    </row>
    <row r="413" spans="1:59" s="21" customFormat="1">
      <c r="A413" s="9"/>
      <c r="B413" s="9"/>
      <c r="F413" s="9"/>
      <c r="J413" s="9"/>
      <c r="K413" s="9"/>
      <c r="L413" s="9"/>
      <c r="N413" s="9"/>
      <c r="O413" s="9"/>
      <c r="P413" s="9"/>
      <c r="Q413" s="9"/>
      <c r="R413" s="12"/>
      <c r="S413" s="9"/>
      <c r="T413" s="9"/>
      <c r="U413" s="12"/>
      <c r="V413" s="12"/>
      <c r="W413" s="12"/>
      <c r="X413" s="15"/>
      <c r="Y413" s="15"/>
      <c r="Z413" s="15"/>
      <c r="AA413" s="15"/>
      <c r="AB413" s="15"/>
      <c r="AC413" s="15"/>
      <c r="AD413" s="15"/>
      <c r="AE413" s="16"/>
      <c r="AF413" s="16"/>
      <c r="AG413" s="16"/>
      <c r="AH413" s="16"/>
      <c r="AI413" s="16"/>
      <c r="AJ413" s="16"/>
      <c r="AK413" s="16"/>
      <c r="AL413" s="16"/>
      <c r="AM413" s="16"/>
      <c r="AN413" s="16"/>
      <c r="AO413" s="16"/>
      <c r="AP413" s="16"/>
      <c r="AQ413" s="16"/>
      <c r="AR413" s="16"/>
      <c r="AS413" s="16"/>
      <c r="AT413" s="16"/>
      <c r="AU413" s="16"/>
      <c r="AV413" s="16"/>
      <c r="AW413" s="16"/>
      <c r="AX413" s="16"/>
      <c r="AY413" s="16"/>
      <c r="AZ413" s="16"/>
      <c r="BA413" s="16"/>
      <c r="BB413" s="16"/>
      <c r="BC413" s="16"/>
      <c r="BD413" s="16"/>
      <c r="BE413" s="16"/>
      <c r="BF413" s="16"/>
      <c r="BG413" s="16"/>
    </row>
    <row r="414" spans="1:59" s="21" customFormat="1">
      <c r="A414" s="9"/>
      <c r="B414" s="9"/>
      <c r="F414" s="9"/>
      <c r="J414" s="9"/>
      <c r="K414" s="9"/>
      <c r="L414" s="9"/>
      <c r="N414" s="9"/>
      <c r="O414" s="9"/>
      <c r="P414" s="9"/>
      <c r="Q414" s="9"/>
      <c r="R414" s="12"/>
      <c r="S414" s="9"/>
      <c r="T414" s="9"/>
      <c r="U414" s="12"/>
      <c r="V414" s="12"/>
      <c r="W414" s="12"/>
      <c r="X414" s="15"/>
      <c r="Y414" s="15"/>
      <c r="Z414" s="15"/>
      <c r="AA414" s="15"/>
      <c r="AB414" s="15"/>
      <c r="AC414" s="15"/>
      <c r="AD414" s="15"/>
      <c r="AE414" s="16"/>
      <c r="AF414" s="16"/>
      <c r="AG414" s="16"/>
      <c r="AH414" s="16"/>
      <c r="AI414" s="16"/>
      <c r="AJ414" s="16"/>
      <c r="AK414" s="16"/>
      <c r="AL414" s="16"/>
      <c r="AM414" s="16"/>
      <c r="AN414" s="16"/>
      <c r="AO414" s="16"/>
      <c r="AP414" s="16"/>
      <c r="AQ414" s="16"/>
      <c r="AR414" s="16"/>
      <c r="AS414" s="16"/>
      <c r="AT414" s="16"/>
      <c r="AU414" s="16"/>
      <c r="AV414" s="16"/>
      <c r="AW414" s="16"/>
      <c r="AX414" s="16"/>
      <c r="AY414" s="16"/>
      <c r="AZ414" s="16"/>
      <c r="BA414" s="16"/>
      <c r="BB414" s="16"/>
      <c r="BC414" s="16"/>
      <c r="BD414" s="16"/>
      <c r="BE414" s="16"/>
      <c r="BF414" s="16"/>
      <c r="BG414" s="16"/>
    </row>
    <row r="415" spans="1:59" s="21" customFormat="1">
      <c r="A415" s="9"/>
      <c r="B415" s="9"/>
      <c r="F415" s="9"/>
      <c r="J415" s="9"/>
      <c r="K415" s="9"/>
      <c r="L415" s="9"/>
      <c r="N415" s="9"/>
      <c r="O415" s="9"/>
      <c r="P415" s="9"/>
      <c r="Q415" s="9"/>
      <c r="R415" s="12"/>
      <c r="S415" s="9"/>
      <c r="T415" s="9"/>
      <c r="U415" s="12"/>
      <c r="V415" s="12"/>
      <c r="W415" s="12"/>
      <c r="X415" s="15"/>
      <c r="Y415" s="15"/>
      <c r="Z415" s="15"/>
      <c r="AA415" s="15"/>
      <c r="AB415" s="15"/>
      <c r="AC415" s="15"/>
      <c r="AD415" s="15"/>
      <c r="AE415" s="16"/>
      <c r="AF415" s="16"/>
      <c r="AG415" s="16"/>
      <c r="AH415" s="16"/>
      <c r="AI415" s="16"/>
      <c r="AJ415" s="16"/>
      <c r="AK415" s="16"/>
      <c r="AL415" s="16"/>
      <c r="AM415" s="16"/>
      <c r="AN415" s="16"/>
      <c r="AO415" s="16"/>
      <c r="AP415" s="16"/>
      <c r="AQ415" s="16"/>
      <c r="AR415" s="16"/>
      <c r="AS415" s="16"/>
      <c r="AT415" s="16"/>
      <c r="AU415" s="16"/>
      <c r="AV415" s="16"/>
      <c r="AW415" s="16"/>
      <c r="AX415" s="16"/>
      <c r="AY415" s="16"/>
      <c r="AZ415" s="16"/>
      <c r="BA415" s="16"/>
      <c r="BB415" s="16"/>
      <c r="BC415" s="16"/>
      <c r="BD415" s="16"/>
      <c r="BE415" s="16"/>
      <c r="BF415" s="16"/>
      <c r="BG415" s="16"/>
    </row>
    <row r="416" spans="1:59" s="21" customFormat="1">
      <c r="A416" s="9"/>
      <c r="B416" s="9"/>
      <c r="F416" s="9"/>
      <c r="J416" s="9"/>
      <c r="K416" s="9"/>
      <c r="L416" s="9"/>
      <c r="N416" s="9"/>
      <c r="O416" s="9"/>
      <c r="P416" s="9"/>
      <c r="Q416" s="9"/>
      <c r="R416" s="12"/>
      <c r="S416" s="9"/>
      <c r="T416" s="9"/>
      <c r="U416" s="12"/>
      <c r="V416" s="12"/>
      <c r="W416" s="12"/>
      <c r="X416" s="15"/>
      <c r="Y416" s="15"/>
      <c r="Z416" s="15"/>
      <c r="AA416" s="15"/>
      <c r="AB416" s="15"/>
      <c r="AC416" s="15"/>
      <c r="AD416" s="15"/>
      <c r="AE416" s="16"/>
      <c r="AF416" s="16"/>
      <c r="AG416" s="16"/>
      <c r="AH416" s="16"/>
      <c r="AI416" s="16"/>
      <c r="AJ416" s="16"/>
      <c r="AK416" s="16"/>
      <c r="AL416" s="16"/>
      <c r="AM416" s="16"/>
      <c r="AN416" s="16"/>
      <c r="AO416" s="16"/>
      <c r="AP416" s="16"/>
      <c r="AQ416" s="16"/>
      <c r="AR416" s="16"/>
      <c r="AS416" s="16"/>
      <c r="AT416" s="16"/>
      <c r="AU416" s="16"/>
      <c r="AV416" s="16"/>
      <c r="AW416" s="16"/>
      <c r="AX416" s="16"/>
      <c r="AY416" s="16"/>
      <c r="AZ416" s="16"/>
      <c r="BA416" s="16"/>
      <c r="BB416" s="16"/>
      <c r="BC416" s="16"/>
      <c r="BD416" s="16"/>
      <c r="BE416" s="16"/>
      <c r="BF416" s="16"/>
      <c r="BG416" s="16"/>
    </row>
    <row r="417" spans="1:59" s="21" customFormat="1">
      <c r="A417" s="9"/>
      <c r="B417" s="9"/>
      <c r="F417" s="9"/>
      <c r="J417" s="9"/>
      <c r="K417" s="9"/>
      <c r="L417" s="9"/>
      <c r="N417" s="9"/>
      <c r="O417" s="9"/>
      <c r="P417" s="9"/>
      <c r="Q417" s="9"/>
      <c r="R417" s="12"/>
      <c r="S417" s="9"/>
      <c r="T417" s="9"/>
      <c r="U417" s="12"/>
      <c r="V417" s="12"/>
      <c r="W417" s="12"/>
      <c r="X417" s="15"/>
      <c r="Y417" s="15"/>
      <c r="Z417" s="15"/>
      <c r="AA417" s="15"/>
      <c r="AB417" s="15"/>
      <c r="AC417" s="15"/>
      <c r="AD417" s="15"/>
      <c r="AE417" s="16"/>
      <c r="AF417" s="16"/>
      <c r="AG417" s="16"/>
      <c r="AH417" s="16"/>
      <c r="AI417" s="16"/>
      <c r="AJ417" s="16"/>
      <c r="AK417" s="16"/>
      <c r="AL417" s="16"/>
      <c r="AM417" s="16"/>
      <c r="AN417" s="16"/>
      <c r="AO417" s="16"/>
      <c r="AP417" s="16"/>
      <c r="AQ417" s="16"/>
      <c r="AR417" s="16"/>
      <c r="AS417" s="16"/>
      <c r="AT417" s="16"/>
      <c r="AU417" s="16"/>
      <c r="AV417" s="16"/>
      <c r="AW417" s="16"/>
      <c r="AX417" s="16"/>
      <c r="AY417" s="16"/>
      <c r="AZ417" s="16"/>
      <c r="BA417" s="16"/>
      <c r="BB417" s="16"/>
      <c r="BC417" s="16"/>
      <c r="BD417" s="16"/>
      <c r="BE417" s="16"/>
      <c r="BF417" s="16"/>
      <c r="BG417" s="16"/>
    </row>
    <row r="418" spans="1:59" s="21" customFormat="1">
      <c r="A418" s="9"/>
      <c r="B418" s="9"/>
      <c r="F418" s="9"/>
      <c r="J418" s="9"/>
      <c r="K418" s="9"/>
      <c r="L418" s="9"/>
      <c r="N418" s="9"/>
      <c r="O418" s="9"/>
      <c r="P418" s="9"/>
      <c r="Q418" s="9"/>
      <c r="R418" s="12"/>
      <c r="S418" s="9"/>
      <c r="T418" s="9"/>
      <c r="U418" s="12"/>
      <c r="V418" s="12"/>
      <c r="W418" s="12"/>
      <c r="X418" s="15"/>
      <c r="Y418" s="15"/>
      <c r="Z418" s="15"/>
      <c r="AA418" s="15"/>
      <c r="AB418" s="15"/>
      <c r="AC418" s="15"/>
      <c r="AD418" s="15"/>
      <c r="AE418" s="16"/>
      <c r="AF418" s="16"/>
      <c r="AG418" s="16"/>
      <c r="AH418" s="16"/>
      <c r="AI418" s="16"/>
      <c r="AJ418" s="16"/>
      <c r="AK418" s="16"/>
      <c r="AL418" s="16"/>
      <c r="AM418" s="16"/>
      <c r="AN418" s="16"/>
      <c r="AO418" s="16"/>
      <c r="AP418" s="16"/>
      <c r="AQ418" s="16"/>
      <c r="AR418" s="16"/>
      <c r="AS418" s="16"/>
      <c r="AT418" s="16"/>
      <c r="AU418" s="16"/>
      <c r="AV418" s="16"/>
      <c r="AW418" s="16"/>
      <c r="AX418" s="16"/>
      <c r="AY418" s="16"/>
      <c r="AZ418" s="16"/>
      <c r="BA418" s="16"/>
      <c r="BB418" s="16"/>
      <c r="BC418" s="16"/>
      <c r="BD418" s="16"/>
      <c r="BE418" s="16"/>
      <c r="BF418" s="16"/>
      <c r="BG418" s="16"/>
    </row>
    <row r="419" spans="1:59" s="21" customFormat="1">
      <c r="A419" s="9"/>
      <c r="B419" s="9"/>
      <c r="F419" s="9"/>
      <c r="J419" s="9"/>
      <c r="K419" s="9"/>
      <c r="L419" s="9"/>
      <c r="N419" s="9"/>
      <c r="O419" s="9"/>
      <c r="P419" s="9"/>
      <c r="Q419" s="9"/>
      <c r="R419" s="12"/>
      <c r="S419" s="9"/>
      <c r="T419" s="9"/>
      <c r="U419" s="12"/>
      <c r="V419" s="12"/>
      <c r="W419" s="12"/>
      <c r="X419" s="15"/>
      <c r="Y419" s="15"/>
      <c r="Z419" s="15"/>
      <c r="AA419" s="15"/>
      <c r="AB419" s="15"/>
      <c r="AC419" s="15"/>
      <c r="AD419" s="15"/>
      <c r="AE419" s="16"/>
      <c r="AF419" s="16"/>
      <c r="AG419" s="16"/>
      <c r="AH419" s="16"/>
      <c r="AI419" s="16"/>
      <c r="AJ419" s="16"/>
      <c r="AK419" s="16"/>
      <c r="AL419" s="16"/>
      <c r="AM419" s="16"/>
      <c r="AN419" s="16"/>
      <c r="AO419" s="16"/>
      <c r="AP419" s="16"/>
      <c r="AQ419" s="16"/>
      <c r="AR419" s="16"/>
      <c r="AS419" s="16"/>
      <c r="AT419" s="16"/>
      <c r="AU419" s="16"/>
      <c r="AV419" s="16"/>
      <c r="AW419" s="16"/>
      <c r="AX419" s="16"/>
      <c r="AY419" s="16"/>
      <c r="AZ419" s="16"/>
      <c r="BA419" s="16"/>
      <c r="BB419" s="16"/>
      <c r="BC419" s="16"/>
      <c r="BD419" s="16"/>
      <c r="BE419" s="16"/>
      <c r="BF419" s="16"/>
      <c r="BG419" s="16"/>
    </row>
    <row r="420" spans="1:59" s="21" customFormat="1">
      <c r="A420" s="9"/>
      <c r="F420" s="9"/>
      <c r="J420" s="9"/>
      <c r="K420" s="9"/>
      <c r="L420" s="9"/>
      <c r="N420" s="9"/>
      <c r="O420" s="9"/>
      <c r="P420" s="9"/>
      <c r="Q420" s="9"/>
      <c r="R420" s="12"/>
      <c r="S420" s="9"/>
      <c r="T420" s="9"/>
      <c r="U420" s="12"/>
      <c r="V420" s="12"/>
      <c r="W420" s="12"/>
      <c r="X420" s="15"/>
      <c r="Y420" s="15"/>
      <c r="Z420" s="15"/>
      <c r="AA420" s="15"/>
      <c r="AB420" s="15"/>
      <c r="AC420" s="15"/>
      <c r="AD420" s="15"/>
      <c r="AE420" s="16"/>
      <c r="AF420" s="16"/>
      <c r="AG420" s="16"/>
      <c r="AH420" s="16"/>
      <c r="AI420" s="16"/>
      <c r="AJ420" s="16"/>
      <c r="AK420" s="16"/>
      <c r="AL420" s="16"/>
      <c r="AM420" s="16"/>
      <c r="AN420" s="16"/>
      <c r="AO420" s="16"/>
      <c r="AP420" s="16"/>
      <c r="AQ420" s="16"/>
      <c r="AR420" s="16"/>
      <c r="AS420" s="16"/>
      <c r="AT420" s="16"/>
      <c r="AU420" s="16"/>
      <c r="AV420" s="16"/>
      <c r="AW420" s="16"/>
      <c r="AX420" s="16"/>
      <c r="AY420" s="16"/>
      <c r="AZ420" s="16"/>
      <c r="BA420" s="16"/>
      <c r="BB420" s="16"/>
      <c r="BC420" s="16"/>
      <c r="BD420" s="16"/>
      <c r="BE420" s="16"/>
      <c r="BF420" s="16"/>
      <c r="BG420" s="16"/>
    </row>
    <row r="421" spans="1:59" s="21" customFormat="1">
      <c r="A421" s="9"/>
      <c r="B421" s="9"/>
      <c r="F421" s="9"/>
      <c r="J421" s="9"/>
      <c r="K421" s="9"/>
      <c r="L421" s="9"/>
      <c r="N421" s="9"/>
      <c r="O421" s="9"/>
      <c r="P421" s="9"/>
      <c r="Q421" s="9"/>
      <c r="R421" s="12"/>
      <c r="S421" s="9"/>
      <c r="T421" s="9"/>
      <c r="U421" s="12"/>
      <c r="V421" s="12"/>
      <c r="W421" s="12"/>
      <c r="X421" s="15"/>
      <c r="Y421" s="15"/>
      <c r="Z421" s="15"/>
      <c r="AA421" s="15"/>
      <c r="AB421" s="15"/>
      <c r="AC421" s="15"/>
      <c r="AD421" s="15"/>
      <c r="AE421" s="16"/>
      <c r="AF421" s="16"/>
      <c r="AG421" s="16"/>
      <c r="AH421" s="16"/>
      <c r="AI421" s="16"/>
      <c r="AJ421" s="16"/>
      <c r="AK421" s="16"/>
      <c r="AL421" s="16"/>
      <c r="AM421" s="16"/>
      <c r="AN421" s="16"/>
      <c r="AO421" s="16"/>
      <c r="AP421" s="16"/>
      <c r="AQ421" s="16"/>
      <c r="AR421" s="16"/>
      <c r="AS421" s="16"/>
      <c r="AT421" s="16"/>
      <c r="AU421" s="16"/>
      <c r="AV421" s="16"/>
      <c r="AW421" s="16"/>
      <c r="AX421" s="16"/>
      <c r="AY421" s="16"/>
      <c r="AZ421" s="16"/>
      <c r="BA421" s="16"/>
      <c r="BB421" s="16"/>
      <c r="BC421" s="16"/>
      <c r="BD421" s="16"/>
      <c r="BE421" s="16"/>
      <c r="BF421" s="16"/>
      <c r="BG421" s="16"/>
    </row>
    <row r="422" spans="1:59" s="21" customFormat="1">
      <c r="A422" s="9"/>
      <c r="B422" s="9"/>
      <c r="F422" s="9"/>
      <c r="J422" s="9"/>
      <c r="K422" s="9"/>
      <c r="L422" s="9"/>
      <c r="N422" s="9"/>
      <c r="O422" s="9"/>
      <c r="P422" s="9"/>
      <c r="Q422" s="9"/>
      <c r="R422" s="12"/>
      <c r="S422" s="9"/>
      <c r="T422" s="9"/>
      <c r="U422" s="12"/>
      <c r="V422" s="12"/>
      <c r="W422" s="12"/>
      <c r="X422" s="15"/>
      <c r="Y422" s="15"/>
      <c r="Z422" s="15"/>
      <c r="AA422" s="15"/>
      <c r="AB422" s="15"/>
      <c r="AC422" s="15"/>
      <c r="AD422" s="15"/>
      <c r="AE422" s="16"/>
      <c r="AF422" s="16"/>
      <c r="AG422" s="16"/>
      <c r="AH422" s="16"/>
      <c r="AI422" s="16"/>
      <c r="AJ422" s="16"/>
      <c r="AK422" s="16"/>
      <c r="AL422" s="16"/>
      <c r="AM422" s="16"/>
      <c r="AN422" s="16"/>
      <c r="AO422" s="16"/>
      <c r="AP422" s="16"/>
      <c r="AQ422" s="16"/>
      <c r="AR422" s="16"/>
      <c r="AS422" s="16"/>
      <c r="AT422" s="16"/>
      <c r="AU422" s="16"/>
      <c r="AV422" s="16"/>
      <c r="AW422" s="16"/>
      <c r="AX422" s="16"/>
      <c r="AY422" s="16"/>
      <c r="AZ422" s="16"/>
      <c r="BA422" s="16"/>
      <c r="BB422" s="16"/>
      <c r="BC422" s="16"/>
      <c r="BD422" s="16"/>
      <c r="BE422" s="16"/>
      <c r="BF422" s="16"/>
      <c r="BG422" s="16"/>
    </row>
    <row r="423" spans="1:59" s="21" customFormat="1">
      <c r="A423" s="9"/>
      <c r="B423" s="9"/>
      <c r="F423" s="9"/>
      <c r="J423" s="9"/>
      <c r="K423" s="9"/>
      <c r="L423" s="9"/>
      <c r="N423" s="9"/>
      <c r="O423" s="9"/>
      <c r="P423" s="9"/>
      <c r="Q423" s="9"/>
      <c r="R423" s="12"/>
      <c r="S423" s="9"/>
      <c r="T423" s="9"/>
      <c r="U423" s="12"/>
      <c r="V423" s="12"/>
      <c r="W423" s="12"/>
      <c r="X423" s="15"/>
      <c r="Y423" s="15"/>
      <c r="Z423" s="15"/>
      <c r="AA423" s="15"/>
      <c r="AB423" s="15"/>
      <c r="AC423" s="15"/>
      <c r="AD423" s="15"/>
      <c r="AE423" s="16"/>
      <c r="AF423" s="16"/>
      <c r="AG423" s="16"/>
      <c r="AH423" s="16"/>
      <c r="AI423" s="16"/>
      <c r="AJ423" s="16"/>
      <c r="AK423" s="16"/>
      <c r="AL423" s="16"/>
      <c r="AM423" s="16"/>
      <c r="AN423" s="16"/>
      <c r="AO423" s="16"/>
      <c r="AP423" s="16"/>
      <c r="AQ423" s="16"/>
      <c r="AR423" s="16"/>
      <c r="AS423" s="16"/>
      <c r="AT423" s="16"/>
      <c r="AU423" s="16"/>
      <c r="AV423" s="16"/>
      <c r="AW423" s="16"/>
      <c r="AX423" s="16"/>
      <c r="AY423" s="16"/>
      <c r="AZ423" s="16"/>
      <c r="BA423" s="16"/>
      <c r="BB423" s="16"/>
      <c r="BC423" s="16"/>
      <c r="BD423" s="16"/>
      <c r="BE423" s="16"/>
      <c r="BF423" s="16"/>
      <c r="BG423" s="16"/>
    </row>
    <row r="424" spans="1:59" s="21" customFormat="1">
      <c r="A424" s="9"/>
      <c r="B424" s="9"/>
      <c r="F424" s="9"/>
      <c r="J424" s="9"/>
      <c r="K424" s="9"/>
      <c r="L424" s="9"/>
      <c r="N424" s="9"/>
      <c r="O424" s="9"/>
      <c r="P424" s="9"/>
      <c r="Q424" s="9"/>
      <c r="R424" s="12"/>
      <c r="S424" s="9"/>
      <c r="T424" s="9"/>
      <c r="U424" s="12"/>
      <c r="V424" s="12"/>
      <c r="W424" s="12"/>
      <c r="X424" s="15"/>
      <c r="Y424" s="15"/>
      <c r="Z424" s="15"/>
      <c r="AA424" s="15"/>
      <c r="AB424" s="15"/>
      <c r="AC424" s="15"/>
      <c r="AD424" s="15"/>
      <c r="AE424" s="16"/>
      <c r="AF424" s="16"/>
      <c r="AG424" s="16"/>
      <c r="AH424" s="16"/>
      <c r="AI424" s="16"/>
      <c r="AJ424" s="16"/>
      <c r="AK424" s="16"/>
      <c r="AL424" s="16"/>
      <c r="AM424" s="16"/>
      <c r="AN424" s="16"/>
      <c r="AO424" s="16"/>
      <c r="AP424" s="16"/>
      <c r="AQ424" s="16"/>
      <c r="AR424" s="16"/>
      <c r="AS424" s="16"/>
      <c r="AT424" s="16"/>
      <c r="AU424" s="16"/>
      <c r="AV424" s="16"/>
      <c r="AW424" s="16"/>
      <c r="AX424" s="16"/>
      <c r="AY424" s="16"/>
      <c r="AZ424" s="16"/>
      <c r="BA424" s="16"/>
      <c r="BB424" s="16"/>
      <c r="BC424" s="16"/>
      <c r="BD424" s="16"/>
      <c r="BE424" s="16"/>
      <c r="BF424" s="16"/>
      <c r="BG424" s="16"/>
    </row>
    <row r="425" spans="1:59" s="21" customFormat="1">
      <c r="A425" s="9"/>
      <c r="B425" s="9"/>
      <c r="F425" s="9"/>
      <c r="J425" s="9"/>
      <c r="K425" s="9"/>
      <c r="L425" s="9"/>
      <c r="N425" s="9"/>
      <c r="O425" s="9"/>
      <c r="P425" s="9"/>
      <c r="Q425" s="9"/>
      <c r="R425" s="12"/>
      <c r="S425" s="9"/>
      <c r="T425" s="9"/>
      <c r="U425" s="12"/>
      <c r="V425" s="12"/>
      <c r="W425" s="12"/>
      <c r="X425" s="15"/>
      <c r="Y425" s="15"/>
      <c r="Z425" s="15"/>
      <c r="AA425" s="15"/>
      <c r="AB425" s="15"/>
      <c r="AC425" s="15"/>
      <c r="AD425" s="15"/>
      <c r="AE425" s="16"/>
      <c r="AF425" s="16"/>
      <c r="AG425" s="16"/>
      <c r="AH425" s="16"/>
      <c r="AI425" s="16"/>
      <c r="AJ425" s="16"/>
      <c r="AK425" s="16"/>
      <c r="AL425" s="16"/>
      <c r="AM425" s="16"/>
      <c r="AN425" s="16"/>
      <c r="AO425" s="16"/>
      <c r="AP425" s="16"/>
      <c r="AQ425" s="16"/>
      <c r="AR425" s="16"/>
      <c r="AS425" s="16"/>
      <c r="AT425" s="16"/>
      <c r="AU425" s="16"/>
      <c r="AV425" s="16"/>
      <c r="AW425" s="16"/>
      <c r="AX425" s="16"/>
      <c r="AY425" s="16"/>
      <c r="AZ425" s="16"/>
      <c r="BA425" s="16"/>
      <c r="BB425" s="16"/>
      <c r="BC425" s="16"/>
      <c r="BD425" s="16"/>
      <c r="BE425" s="16"/>
      <c r="BF425" s="16"/>
      <c r="BG425" s="16"/>
    </row>
    <row r="426" spans="1:59" s="21" customFormat="1">
      <c r="A426" s="9"/>
      <c r="B426" s="9"/>
      <c r="F426" s="9"/>
      <c r="J426" s="9"/>
      <c r="K426" s="9"/>
      <c r="L426" s="9"/>
      <c r="N426" s="9"/>
      <c r="O426" s="9"/>
      <c r="P426" s="9"/>
      <c r="Q426" s="9"/>
      <c r="R426" s="12"/>
      <c r="S426" s="9"/>
      <c r="T426" s="9"/>
      <c r="U426" s="12"/>
      <c r="V426" s="12"/>
      <c r="W426" s="12"/>
      <c r="X426" s="15"/>
      <c r="Y426" s="15"/>
      <c r="Z426" s="15"/>
      <c r="AA426" s="15"/>
      <c r="AB426" s="15"/>
      <c r="AC426" s="15"/>
      <c r="AD426" s="15"/>
      <c r="AE426" s="16"/>
      <c r="AF426" s="16"/>
      <c r="AG426" s="16"/>
      <c r="AH426" s="16"/>
      <c r="AI426" s="16"/>
      <c r="AJ426" s="16"/>
      <c r="AK426" s="16"/>
      <c r="AL426" s="16"/>
      <c r="AM426" s="16"/>
      <c r="AN426" s="16"/>
      <c r="AO426" s="16"/>
      <c r="AP426" s="16"/>
      <c r="AQ426" s="16"/>
      <c r="AR426" s="16"/>
      <c r="AS426" s="16"/>
      <c r="AT426" s="16"/>
      <c r="AU426" s="16"/>
      <c r="AV426" s="16"/>
      <c r="AW426" s="16"/>
      <c r="AX426" s="16"/>
      <c r="AY426" s="16"/>
      <c r="AZ426" s="16"/>
      <c r="BA426" s="16"/>
      <c r="BB426" s="16"/>
      <c r="BC426" s="16"/>
      <c r="BD426" s="16"/>
      <c r="BE426" s="16"/>
      <c r="BF426" s="16"/>
      <c r="BG426" s="16"/>
    </row>
    <row r="427" spans="1:59" s="21" customFormat="1">
      <c r="A427" s="9"/>
      <c r="B427" s="9"/>
      <c r="F427" s="9"/>
      <c r="J427" s="9"/>
      <c r="K427" s="9"/>
      <c r="L427" s="9"/>
      <c r="N427" s="9"/>
      <c r="O427" s="9"/>
      <c r="P427" s="9"/>
      <c r="Q427" s="9"/>
      <c r="R427" s="12"/>
      <c r="S427" s="9"/>
      <c r="T427" s="9"/>
      <c r="U427" s="12"/>
      <c r="V427" s="12"/>
      <c r="W427" s="12"/>
      <c r="X427" s="15"/>
      <c r="Y427" s="15"/>
      <c r="Z427" s="15"/>
      <c r="AA427" s="15"/>
      <c r="AB427" s="15"/>
      <c r="AC427" s="15"/>
      <c r="AD427" s="15"/>
      <c r="AE427" s="16"/>
      <c r="AF427" s="16"/>
      <c r="AG427" s="16"/>
      <c r="AH427" s="16"/>
      <c r="AI427" s="16"/>
      <c r="AJ427" s="16"/>
      <c r="AK427" s="16"/>
      <c r="AL427" s="16"/>
      <c r="AM427" s="16"/>
      <c r="AN427" s="16"/>
      <c r="AO427" s="16"/>
      <c r="AP427" s="16"/>
      <c r="AQ427" s="16"/>
      <c r="AR427" s="16"/>
      <c r="AS427" s="16"/>
      <c r="AT427" s="16"/>
      <c r="AU427" s="16"/>
      <c r="AV427" s="16"/>
      <c r="AW427" s="16"/>
      <c r="AX427" s="16"/>
      <c r="AY427" s="16"/>
      <c r="AZ427" s="16"/>
      <c r="BA427" s="16"/>
      <c r="BB427" s="16"/>
      <c r="BC427" s="16"/>
      <c r="BD427" s="16"/>
      <c r="BE427" s="16"/>
      <c r="BF427" s="16"/>
      <c r="BG427" s="16"/>
    </row>
    <row r="428" spans="1:59" s="21" customFormat="1">
      <c r="A428" s="9"/>
      <c r="B428" s="9"/>
      <c r="F428" s="9"/>
      <c r="J428" s="9"/>
      <c r="K428" s="9"/>
      <c r="L428" s="9"/>
      <c r="N428" s="9"/>
      <c r="O428" s="9"/>
      <c r="P428" s="9"/>
      <c r="Q428" s="9"/>
      <c r="R428" s="12"/>
      <c r="S428" s="9"/>
      <c r="T428" s="9"/>
      <c r="U428" s="12"/>
      <c r="V428" s="12"/>
      <c r="W428" s="12"/>
      <c r="X428" s="15"/>
      <c r="Y428" s="15"/>
      <c r="Z428" s="15"/>
      <c r="AA428" s="15"/>
      <c r="AB428" s="15"/>
      <c r="AC428" s="15"/>
      <c r="AD428" s="15"/>
      <c r="AE428" s="16"/>
      <c r="AF428" s="16"/>
      <c r="AG428" s="16"/>
      <c r="AH428" s="16"/>
      <c r="AI428" s="16"/>
      <c r="AJ428" s="16"/>
      <c r="AK428" s="16"/>
      <c r="AL428" s="16"/>
      <c r="AM428" s="16"/>
      <c r="AN428" s="16"/>
      <c r="AO428" s="16"/>
      <c r="AP428" s="16"/>
      <c r="AQ428" s="16"/>
      <c r="AR428" s="16"/>
      <c r="AS428" s="16"/>
      <c r="AT428" s="16"/>
      <c r="AU428" s="16"/>
      <c r="AV428" s="16"/>
      <c r="AW428" s="16"/>
      <c r="AX428" s="16"/>
      <c r="AY428" s="16"/>
      <c r="AZ428" s="16"/>
      <c r="BA428" s="16"/>
      <c r="BB428" s="16"/>
      <c r="BC428" s="16"/>
      <c r="BD428" s="16"/>
      <c r="BE428" s="16"/>
      <c r="BF428" s="16"/>
      <c r="BG428" s="16"/>
    </row>
    <row r="429" spans="1:59" s="21" customFormat="1">
      <c r="A429" s="9"/>
      <c r="B429" s="9"/>
      <c r="F429" s="9"/>
      <c r="J429" s="9"/>
      <c r="K429" s="9"/>
      <c r="L429" s="9"/>
      <c r="N429" s="9"/>
      <c r="O429" s="9"/>
      <c r="P429" s="9"/>
      <c r="Q429" s="9"/>
      <c r="R429" s="12"/>
      <c r="S429" s="9"/>
      <c r="T429" s="9"/>
      <c r="U429" s="12"/>
      <c r="V429" s="12"/>
      <c r="W429" s="12"/>
      <c r="X429" s="15"/>
      <c r="Y429" s="15"/>
      <c r="Z429" s="15"/>
      <c r="AA429" s="15"/>
      <c r="AB429" s="15"/>
      <c r="AC429" s="15"/>
      <c r="AD429" s="15"/>
      <c r="AE429" s="16"/>
      <c r="AF429" s="16"/>
      <c r="AG429" s="16"/>
      <c r="AH429" s="16"/>
      <c r="AI429" s="16"/>
      <c r="AJ429" s="16"/>
      <c r="AK429" s="16"/>
      <c r="AL429" s="16"/>
      <c r="AM429" s="16"/>
      <c r="AN429" s="16"/>
      <c r="AO429" s="16"/>
      <c r="AP429" s="16"/>
      <c r="AQ429" s="16"/>
      <c r="AR429" s="16"/>
      <c r="AS429" s="16"/>
      <c r="AT429" s="16"/>
      <c r="AU429" s="16"/>
      <c r="AV429" s="16"/>
      <c r="AW429" s="16"/>
      <c r="AX429" s="16"/>
      <c r="AY429" s="16"/>
      <c r="AZ429" s="16"/>
      <c r="BA429" s="16"/>
      <c r="BB429" s="16"/>
      <c r="BC429" s="16"/>
      <c r="BD429" s="16"/>
      <c r="BE429" s="16"/>
      <c r="BF429" s="16"/>
      <c r="BG429" s="16"/>
    </row>
    <row r="430" spans="1:59" s="21" customFormat="1">
      <c r="A430" s="9"/>
      <c r="B430" s="9"/>
      <c r="F430" s="9"/>
      <c r="J430" s="9"/>
      <c r="K430" s="9"/>
      <c r="L430" s="9"/>
      <c r="N430" s="9"/>
      <c r="O430" s="9"/>
      <c r="P430" s="9"/>
      <c r="Q430" s="9"/>
      <c r="R430" s="12"/>
      <c r="S430" s="9"/>
      <c r="T430" s="9"/>
      <c r="U430" s="12"/>
      <c r="V430" s="12"/>
      <c r="W430" s="12"/>
      <c r="X430" s="15"/>
      <c r="Y430" s="15"/>
      <c r="Z430" s="15"/>
      <c r="AA430" s="15"/>
      <c r="AB430" s="15"/>
      <c r="AC430" s="15"/>
      <c r="AD430" s="15"/>
      <c r="AE430" s="16"/>
      <c r="AF430" s="16"/>
      <c r="AG430" s="16"/>
      <c r="AH430" s="16"/>
      <c r="AI430" s="16"/>
      <c r="AJ430" s="16"/>
      <c r="AK430" s="16"/>
      <c r="AL430" s="16"/>
      <c r="AM430" s="16"/>
      <c r="AN430" s="16"/>
      <c r="AO430" s="16"/>
      <c r="AP430" s="16"/>
      <c r="AQ430" s="16"/>
      <c r="AR430" s="16"/>
      <c r="AS430" s="16"/>
      <c r="AT430" s="16"/>
      <c r="AU430" s="16"/>
      <c r="AV430" s="16"/>
      <c r="AW430" s="16"/>
      <c r="AX430" s="16"/>
      <c r="AY430" s="16"/>
      <c r="AZ430" s="16"/>
      <c r="BA430" s="16"/>
      <c r="BB430" s="16"/>
      <c r="BC430" s="16"/>
      <c r="BD430" s="16"/>
      <c r="BE430" s="16"/>
      <c r="BF430" s="16"/>
      <c r="BG430" s="16"/>
    </row>
    <row r="431" spans="1:59" s="21" customFormat="1">
      <c r="A431" s="9"/>
      <c r="B431" s="9"/>
      <c r="F431" s="9"/>
      <c r="J431" s="9"/>
      <c r="K431" s="9"/>
      <c r="L431" s="9"/>
      <c r="N431" s="9"/>
      <c r="O431" s="9"/>
      <c r="P431" s="9"/>
      <c r="Q431" s="9"/>
      <c r="R431" s="12"/>
      <c r="S431" s="9"/>
      <c r="T431" s="9"/>
      <c r="U431" s="12"/>
      <c r="V431" s="12"/>
      <c r="W431" s="12"/>
      <c r="X431" s="15"/>
      <c r="Y431" s="15"/>
      <c r="Z431" s="15"/>
      <c r="AA431" s="15"/>
      <c r="AB431" s="15"/>
      <c r="AC431" s="15"/>
      <c r="AD431" s="15"/>
      <c r="AE431" s="16"/>
      <c r="AF431" s="16"/>
      <c r="AG431" s="16"/>
      <c r="AH431" s="16"/>
      <c r="AI431" s="16"/>
      <c r="AJ431" s="16"/>
      <c r="AK431" s="16"/>
      <c r="AL431" s="16"/>
      <c r="AM431" s="16"/>
      <c r="AN431" s="16"/>
      <c r="AO431" s="16"/>
      <c r="AP431" s="16"/>
      <c r="AQ431" s="16"/>
      <c r="AR431" s="16"/>
      <c r="AS431" s="16"/>
      <c r="AT431" s="16"/>
      <c r="AU431" s="16"/>
      <c r="AV431" s="16"/>
      <c r="AW431" s="16"/>
      <c r="AX431" s="16"/>
      <c r="AY431" s="16"/>
      <c r="AZ431" s="16"/>
      <c r="BA431" s="16"/>
      <c r="BB431" s="16"/>
      <c r="BC431" s="16"/>
      <c r="BD431" s="16"/>
      <c r="BE431" s="16"/>
      <c r="BF431" s="16"/>
      <c r="BG431" s="16"/>
    </row>
    <row r="432" spans="1:59" s="21" customFormat="1">
      <c r="A432" s="9"/>
      <c r="B432" s="9"/>
      <c r="F432" s="9"/>
      <c r="J432" s="9"/>
      <c r="K432" s="9"/>
      <c r="L432" s="9"/>
      <c r="N432" s="9"/>
      <c r="O432" s="9"/>
      <c r="P432" s="9"/>
      <c r="Q432" s="9"/>
      <c r="R432" s="12"/>
      <c r="S432" s="9"/>
      <c r="T432" s="9"/>
      <c r="U432" s="12"/>
      <c r="V432" s="12"/>
      <c r="W432" s="12"/>
      <c r="X432" s="15"/>
      <c r="Y432" s="15"/>
      <c r="Z432" s="15"/>
      <c r="AA432" s="15"/>
      <c r="AB432" s="15"/>
      <c r="AC432" s="15"/>
      <c r="AD432" s="15"/>
      <c r="AE432" s="16"/>
      <c r="AF432" s="16"/>
      <c r="AG432" s="16"/>
      <c r="AH432" s="16"/>
      <c r="AI432" s="16"/>
      <c r="AJ432" s="16"/>
      <c r="AK432" s="16"/>
      <c r="AL432" s="16"/>
      <c r="AM432" s="16"/>
      <c r="AN432" s="16"/>
      <c r="AO432" s="16"/>
      <c r="AP432" s="16"/>
      <c r="AQ432" s="16"/>
      <c r="AR432" s="16"/>
      <c r="AS432" s="16"/>
      <c r="AT432" s="16"/>
      <c r="AU432" s="16"/>
      <c r="AV432" s="16"/>
      <c r="AW432" s="16"/>
      <c r="AX432" s="16"/>
      <c r="AY432" s="16"/>
      <c r="AZ432" s="16"/>
      <c r="BA432" s="16"/>
      <c r="BB432" s="16"/>
      <c r="BC432" s="16"/>
      <c r="BD432" s="16"/>
      <c r="BE432" s="16"/>
      <c r="BF432" s="16"/>
      <c r="BG432" s="16"/>
    </row>
    <row r="433" spans="1:59" s="21" customFormat="1">
      <c r="A433" s="9"/>
      <c r="B433" s="9"/>
      <c r="F433" s="9"/>
      <c r="J433" s="9"/>
      <c r="K433" s="9"/>
      <c r="L433" s="9"/>
      <c r="N433" s="9"/>
      <c r="O433" s="9"/>
      <c r="P433" s="9"/>
      <c r="Q433" s="9"/>
      <c r="R433" s="12"/>
      <c r="S433" s="9"/>
      <c r="T433" s="9"/>
      <c r="U433" s="12"/>
      <c r="V433" s="12"/>
      <c r="W433" s="12"/>
      <c r="X433" s="15"/>
      <c r="Y433" s="15"/>
      <c r="Z433" s="15"/>
      <c r="AA433" s="15"/>
      <c r="AB433" s="15"/>
      <c r="AC433" s="15"/>
      <c r="AD433" s="15"/>
      <c r="AE433" s="16"/>
      <c r="AF433" s="16"/>
      <c r="AG433" s="16"/>
      <c r="AH433" s="16"/>
      <c r="AI433" s="16"/>
      <c r="AJ433" s="16"/>
      <c r="AK433" s="16"/>
      <c r="AL433" s="16"/>
      <c r="AM433" s="16"/>
      <c r="AN433" s="16"/>
      <c r="AO433" s="16"/>
      <c r="AP433" s="16"/>
      <c r="AQ433" s="16"/>
      <c r="AR433" s="16"/>
      <c r="AS433" s="16"/>
      <c r="AT433" s="16"/>
      <c r="AU433" s="16"/>
      <c r="AV433" s="16"/>
      <c r="AW433" s="16"/>
      <c r="AX433" s="16"/>
      <c r="AY433" s="16"/>
      <c r="AZ433" s="16"/>
      <c r="BA433" s="16"/>
      <c r="BB433" s="16"/>
      <c r="BC433" s="16"/>
      <c r="BD433" s="16"/>
      <c r="BE433" s="16"/>
      <c r="BF433" s="16"/>
      <c r="BG433" s="16"/>
    </row>
    <row r="434" spans="1:59" s="21" customFormat="1">
      <c r="A434" s="9"/>
      <c r="B434" s="9"/>
      <c r="F434" s="9"/>
      <c r="J434" s="9"/>
      <c r="K434" s="9"/>
      <c r="L434" s="9"/>
      <c r="N434" s="9"/>
      <c r="O434" s="9"/>
      <c r="P434" s="9"/>
      <c r="Q434" s="9"/>
      <c r="R434" s="12"/>
      <c r="S434" s="9"/>
      <c r="T434" s="9"/>
      <c r="U434" s="12"/>
      <c r="V434" s="12"/>
      <c r="W434" s="12"/>
      <c r="X434" s="15"/>
      <c r="Y434" s="15"/>
      <c r="Z434" s="15"/>
      <c r="AA434" s="15"/>
      <c r="AB434" s="15"/>
      <c r="AC434" s="15"/>
      <c r="AD434" s="15"/>
      <c r="AE434" s="16"/>
      <c r="AF434" s="16"/>
      <c r="AG434" s="16"/>
      <c r="AH434" s="16"/>
      <c r="AI434" s="16"/>
      <c r="AJ434" s="16"/>
      <c r="AK434" s="16"/>
      <c r="AL434" s="16"/>
      <c r="AM434" s="16"/>
      <c r="AN434" s="16"/>
      <c r="AO434" s="16"/>
      <c r="AP434" s="16"/>
      <c r="AQ434" s="16"/>
      <c r="AR434" s="16"/>
      <c r="AS434" s="16"/>
      <c r="AT434" s="16"/>
      <c r="AU434" s="16"/>
      <c r="AV434" s="16"/>
      <c r="AW434" s="16"/>
      <c r="AX434" s="16"/>
      <c r="AY434" s="16"/>
      <c r="AZ434" s="16"/>
      <c r="BA434" s="16"/>
      <c r="BB434" s="16"/>
      <c r="BC434" s="16"/>
      <c r="BD434" s="16"/>
      <c r="BE434" s="16"/>
      <c r="BF434" s="16"/>
      <c r="BG434" s="16"/>
    </row>
    <row r="435" spans="1:59">
      <c r="A435" s="9"/>
      <c r="B435" s="9"/>
    </row>
    <row r="436" spans="1:59">
      <c r="A436" s="9"/>
      <c r="B436" s="9"/>
    </row>
    <row r="437" spans="1:59" ht="20.25" customHeight="1"/>
    <row r="438" spans="1:59" ht="20.25" customHeight="1"/>
    <row r="444" spans="1:59" ht="20.25" customHeight="1"/>
    <row r="715" spans="1:31" s="16" customFormat="1">
      <c r="A715" s="21"/>
      <c r="B715" s="21"/>
      <c r="C715" s="21"/>
      <c r="D715" s="21"/>
      <c r="E715" s="21"/>
      <c r="F715" s="9"/>
      <c r="G715" s="21"/>
      <c r="H715" s="21"/>
      <c r="I715" s="21"/>
      <c r="J715" s="9"/>
      <c r="K715" s="9"/>
      <c r="L715" s="9"/>
      <c r="M715" s="21"/>
      <c r="N715" s="21"/>
      <c r="O715" s="9"/>
      <c r="P715" s="9"/>
      <c r="Q715" s="9"/>
      <c r="R715" s="9"/>
      <c r="S715" s="12"/>
      <c r="T715" s="9"/>
      <c r="U715" s="9"/>
      <c r="V715" s="12"/>
      <c r="W715" s="12"/>
      <c r="X715" s="12"/>
      <c r="Y715" s="15"/>
      <c r="Z715" s="15"/>
      <c r="AA715" s="15"/>
      <c r="AB715" s="15"/>
      <c r="AC715" s="15"/>
      <c r="AD715" s="15"/>
      <c r="AE715" s="15"/>
    </row>
    <row r="716" spans="1:31" s="16" customFormat="1">
      <c r="A716" s="21"/>
      <c r="B716" s="21"/>
      <c r="C716" s="21"/>
      <c r="D716" s="21"/>
      <c r="E716" s="21"/>
      <c r="F716" s="9"/>
      <c r="G716" s="21"/>
      <c r="H716" s="21"/>
      <c r="I716" s="21"/>
      <c r="J716" s="9"/>
      <c r="K716" s="9"/>
      <c r="L716" s="9"/>
      <c r="M716" s="21"/>
      <c r="N716" s="21"/>
      <c r="O716" s="9"/>
      <c r="P716" s="9"/>
      <c r="Q716" s="9"/>
      <c r="R716" s="9"/>
      <c r="S716" s="12"/>
      <c r="T716" s="9"/>
      <c r="U716" s="9"/>
      <c r="V716" s="12"/>
      <c r="W716" s="12"/>
      <c r="X716" s="12"/>
      <c r="Y716" s="15"/>
      <c r="Z716" s="15"/>
      <c r="AA716" s="15"/>
      <c r="AB716" s="15"/>
      <c r="AC716" s="15"/>
      <c r="AD716" s="15"/>
      <c r="AE716" s="15"/>
    </row>
    <row r="717" spans="1:31" s="16" customFormat="1">
      <c r="A717" s="21"/>
      <c r="B717" s="21"/>
      <c r="C717" s="21"/>
      <c r="D717" s="21"/>
      <c r="E717" s="21"/>
      <c r="F717" s="9"/>
      <c r="G717" s="21"/>
      <c r="H717" s="21"/>
      <c r="I717" s="21"/>
      <c r="J717" s="9"/>
      <c r="K717" s="9"/>
      <c r="L717" s="9"/>
      <c r="M717" s="21"/>
      <c r="N717" s="21"/>
      <c r="O717" s="9"/>
      <c r="P717" s="9"/>
      <c r="Q717" s="9"/>
      <c r="R717" s="9"/>
      <c r="S717" s="12"/>
      <c r="T717" s="9"/>
      <c r="U717" s="9"/>
      <c r="V717" s="12"/>
      <c r="W717" s="12"/>
      <c r="X717" s="12"/>
      <c r="Y717" s="15"/>
      <c r="Z717" s="15"/>
      <c r="AA717" s="15"/>
      <c r="AB717" s="15"/>
      <c r="AC717" s="15"/>
      <c r="AD717" s="15"/>
      <c r="AE717" s="15"/>
    </row>
    <row r="718" spans="1:31" s="16" customFormat="1">
      <c r="A718" s="21"/>
      <c r="B718" s="21"/>
      <c r="C718" s="21"/>
      <c r="D718" s="21"/>
      <c r="E718" s="21"/>
      <c r="F718" s="9"/>
      <c r="G718" s="21"/>
      <c r="H718" s="21"/>
      <c r="I718" s="21"/>
      <c r="J718" s="9"/>
      <c r="K718" s="9"/>
      <c r="L718" s="9"/>
      <c r="M718" s="21"/>
      <c r="N718" s="21"/>
      <c r="O718" s="9"/>
      <c r="P718" s="9"/>
      <c r="Q718" s="9"/>
      <c r="R718" s="9"/>
      <c r="S718" s="12"/>
      <c r="T718" s="9"/>
      <c r="U718" s="9"/>
      <c r="V718" s="12"/>
      <c r="W718" s="12"/>
      <c r="X718" s="12"/>
      <c r="Y718" s="15"/>
      <c r="Z718" s="15"/>
      <c r="AA718" s="15"/>
      <c r="AB718" s="15"/>
      <c r="AC718" s="15"/>
      <c r="AD718" s="15"/>
      <c r="AE718" s="15"/>
    </row>
    <row r="719" spans="1:31" s="16" customFormat="1">
      <c r="A719" s="21"/>
      <c r="B719" s="21"/>
      <c r="C719" s="21"/>
      <c r="D719" s="21"/>
      <c r="E719" s="21"/>
      <c r="F719" s="9"/>
      <c r="G719" s="21"/>
      <c r="H719" s="21"/>
      <c r="I719" s="21"/>
      <c r="J719" s="9"/>
      <c r="K719" s="9"/>
      <c r="L719" s="9"/>
      <c r="M719" s="21"/>
      <c r="N719" s="21"/>
      <c r="O719" s="9"/>
      <c r="P719" s="9"/>
      <c r="Q719" s="9"/>
      <c r="R719" s="9"/>
      <c r="S719" s="12"/>
      <c r="T719" s="9"/>
      <c r="U719" s="9"/>
      <c r="V719" s="12"/>
      <c r="W719" s="12"/>
      <c r="X719" s="12"/>
      <c r="Y719" s="15"/>
      <c r="Z719" s="15"/>
      <c r="AA719" s="15"/>
      <c r="AB719" s="15"/>
      <c r="AC719" s="15"/>
      <c r="AD719" s="15"/>
      <c r="AE719" s="15"/>
    </row>
    <row r="720" spans="1:31" s="16" customFormat="1">
      <c r="A720" s="21"/>
      <c r="B720" s="21"/>
      <c r="C720" s="21"/>
      <c r="D720" s="21"/>
      <c r="E720" s="21"/>
      <c r="F720" s="9"/>
      <c r="G720" s="21"/>
      <c r="H720" s="21"/>
      <c r="I720" s="21"/>
      <c r="J720" s="9"/>
      <c r="K720" s="9"/>
      <c r="L720" s="9"/>
      <c r="M720" s="21"/>
      <c r="N720" s="21"/>
      <c r="O720" s="9"/>
      <c r="P720" s="9"/>
      <c r="Q720" s="9"/>
      <c r="R720" s="9"/>
      <c r="S720" s="12"/>
      <c r="T720" s="9"/>
      <c r="U720" s="9"/>
      <c r="V720" s="12"/>
      <c r="W720" s="12"/>
      <c r="X720" s="12"/>
      <c r="Y720" s="15"/>
      <c r="Z720" s="15"/>
      <c r="AA720" s="15"/>
      <c r="AB720" s="15"/>
      <c r="AC720" s="15"/>
      <c r="AD720" s="15"/>
      <c r="AE720" s="15"/>
    </row>
    <row r="721" spans="1:31" s="16" customFormat="1">
      <c r="A721" s="21"/>
      <c r="B721" s="21"/>
      <c r="C721" s="21"/>
      <c r="D721" s="21"/>
      <c r="E721" s="21"/>
      <c r="F721" s="9"/>
      <c r="G721" s="21"/>
      <c r="H721" s="21"/>
      <c r="I721" s="21"/>
      <c r="J721" s="9"/>
      <c r="K721" s="9"/>
      <c r="L721" s="9"/>
      <c r="M721" s="21"/>
      <c r="N721" s="21"/>
      <c r="O721" s="9"/>
      <c r="P721" s="9"/>
      <c r="Q721" s="9"/>
      <c r="R721" s="9"/>
      <c r="S721" s="12"/>
      <c r="T721" s="9"/>
      <c r="U721" s="9"/>
      <c r="V721" s="12"/>
      <c r="W721" s="12"/>
      <c r="X721" s="12"/>
      <c r="Y721" s="15"/>
      <c r="Z721" s="15"/>
      <c r="AA721" s="15"/>
      <c r="AB721" s="15"/>
      <c r="AC721" s="15"/>
      <c r="AD721" s="15"/>
      <c r="AE721" s="15"/>
    </row>
    <row r="722" spans="1:31">
      <c r="N722" s="21"/>
    </row>
    <row r="723" spans="1:31">
      <c r="N723" s="21"/>
    </row>
    <row r="724" spans="1:31">
      <c r="N724" s="21"/>
    </row>
    <row r="725" spans="1:31">
      <c r="N725" s="21"/>
    </row>
    <row r="726" spans="1:31">
      <c r="N726" s="21"/>
    </row>
    <row r="727" spans="1:31">
      <c r="N727" s="21"/>
    </row>
    <row r="728" spans="1:31">
      <c r="N728" s="21"/>
    </row>
    <row r="729" spans="1:31">
      <c r="N729" s="21"/>
    </row>
    <row r="730" spans="1:31">
      <c r="N730" s="21"/>
    </row>
    <row r="731" spans="1:31">
      <c r="N731" s="21"/>
    </row>
    <row r="732" spans="1:31">
      <c r="N732" s="21"/>
    </row>
    <row r="736" spans="1:31">
      <c r="B736" s="9"/>
      <c r="C736" s="9"/>
      <c r="D736" s="9"/>
    </row>
    <row r="737" spans="1:60">
      <c r="A737" s="9"/>
    </row>
    <row r="738" spans="1:60">
      <c r="J738" s="21"/>
    </row>
    <row r="749" spans="1:60" s="21" customFormat="1">
      <c r="F749" s="9"/>
      <c r="J749" s="9"/>
      <c r="K749" s="9"/>
      <c r="L749" s="9"/>
      <c r="N749" s="9"/>
      <c r="O749" s="9"/>
      <c r="P749" s="9"/>
      <c r="Q749" s="9"/>
      <c r="R749" s="9"/>
      <c r="S749" s="12"/>
      <c r="T749" s="9"/>
      <c r="U749" s="9"/>
      <c r="V749" s="12"/>
      <c r="W749" s="12"/>
      <c r="X749" s="12"/>
      <c r="Y749" s="15"/>
      <c r="Z749" s="15"/>
      <c r="AA749" s="15"/>
      <c r="AB749" s="15"/>
      <c r="AC749" s="15"/>
      <c r="AD749" s="15"/>
      <c r="AE749" s="15"/>
      <c r="AF749" s="16"/>
      <c r="AG749" s="16"/>
      <c r="AH749" s="16"/>
      <c r="AI749" s="16"/>
      <c r="AJ749" s="16"/>
      <c r="AK749" s="16"/>
      <c r="AL749" s="16"/>
      <c r="AM749" s="16"/>
      <c r="AN749" s="16"/>
      <c r="AO749" s="16"/>
      <c r="AP749" s="16"/>
      <c r="AQ749" s="16"/>
      <c r="AR749" s="16"/>
      <c r="AS749" s="16"/>
      <c r="AT749" s="16"/>
      <c r="AU749" s="16"/>
      <c r="AV749" s="16"/>
      <c r="AW749" s="16"/>
      <c r="AX749" s="16"/>
      <c r="AY749" s="16"/>
      <c r="AZ749" s="16"/>
      <c r="BA749" s="16"/>
      <c r="BB749" s="16"/>
      <c r="BC749" s="16"/>
      <c r="BD749" s="16"/>
      <c r="BE749" s="16"/>
      <c r="BF749" s="16"/>
      <c r="BG749" s="16"/>
      <c r="BH749" s="16"/>
    </row>
    <row r="750" spans="1:60" s="21" customFormat="1">
      <c r="F750" s="9"/>
      <c r="J750" s="9"/>
      <c r="K750" s="9"/>
      <c r="L750" s="9"/>
      <c r="N750" s="9"/>
      <c r="O750" s="9"/>
      <c r="P750" s="9"/>
      <c r="Q750" s="9"/>
      <c r="R750" s="9"/>
      <c r="S750" s="12"/>
      <c r="T750" s="9"/>
      <c r="U750" s="9"/>
      <c r="V750" s="12"/>
      <c r="W750" s="12"/>
      <c r="X750" s="12"/>
      <c r="Y750" s="15"/>
      <c r="Z750" s="15"/>
      <c r="AA750" s="15"/>
      <c r="AB750" s="15"/>
      <c r="AC750" s="15"/>
      <c r="AD750" s="15"/>
      <c r="AE750" s="15"/>
      <c r="AF750" s="16"/>
      <c r="AG750" s="16"/>
      <c r="AH750" s="16"/>
      <c r="AI750" s="16"/>
      <c r="AJ750" s="16"/>
      <c r="AK750" s="16"/>
      <c r="AL750" s="16"/>
      <c r="AM750" s="16"/>
      <c r="AN750" s="16"/>
      <c r="AO750" s="16"/>
      <c r="AP750" s="16"/>
      <c r="AQ750" s="16"/>
      <c r="AR750" s="16"/>
      <c r="AS750" s="16"/>
      <c r="AT750" s="16"/>
      <c r="AU750" s="16"/>
      <c r="AV750" s="16"/>
      <c r="AW750" s="16"/>
      <c r="AX750" s="16"/>
      <c r="AY750" s="16"/>
      <c r="AZ750" s="16"/>
      <c r="BA750" s="16"/>
      <c r="BB750" s="16"/>
      <c r="BC750" s="16"/>
      <c r="BD750" s="16"/>
      <c r="BE750" s="16"/>
      <c r="BF750" s="16"/>
      <c r="BG750" s="16"/>
      <c r="BH750" s="16"/>
    </row>
    <row r="751" spans="1:60" s="21" customFormat="1">
      <c r="F751" s="9"/>
      <c r="J751" s="9"/>
      <c r="K751" s="9"/>
      <c r="L751" s="9"/>
      <c r="N751" s="9"/>
      <c r="O751" s="9"/>
      <c r="P751" s="9"/>
      <c r="Q751" s="9"/>
      <c r="R751" s="9"/>
      <c r="S751" s="12"/>
      <c r="T751" s="9"/>
      <c r="U751" s="9"/>
      <c r="V751" s="12"/>
      <c r="W751" s="12"/>
      <c r="X751" s="12"/>
      <c r="Y751" s="15"/>
      <c r="Z751" s="15"/>
      <c r="AA751" s="15"/>
      <c r="AB751" s="15"/>
      <c r="AC751" s="15"/>
      <c r="AD751" s="15"/>
      <c r="AE751" s="15"/>
      <c r="AF751" s="16"/>
      <c r="AG751" s="16"/>
      <c r="AH751" s="16"/>
      <c r="AI751" s="16"/>
      <c r="AJ751" s="16"/>
      <c r="AK751" s="16"/>
      <c r="AL751" s="16"/>
      <c r="AM751" s="16"/>
      <c r="AN751" s="16"/>
      <c r="AO751" s="16"/>
      <c r="AP751" s="16"/>
      <c r="AQ751" s="16"/>
      <c r="AR751" s="16"/>
      <c r="AS751" s="16"/>
      <c r="AT751" s="16"/>
      <c r="AU751" s="16"/>
      <c r="AV751" s="16"/>
      <c r="AW751" s="16"/>
      <c r="AX751" s="16"/>
      <c r="AY751" s="16"/>
      <c r="AZ751" s="16"/>
      <c r="BA751" s="16"/>
      <c r="BB751" s="16"/>
      <c r="BC751" s="16"/>
      <c r="BD751" s="16"/>
      <c r="BE751" s="16"/>
      <c r="BF751" s="16"/>
      <c r="BG751" s="16"/>
      <c r="BH751" s="16"/>
    </row>
    <row r="753" spans="6:60" s="21" customFormat="1">
      <c r="F753" s="9"/>
      <c r="J753" s="9"/>
      <c r="K753" s="9"/>
      <c r="L753" s="9"/>
      <c r="N753" s="9"/>
      <c r="O753" s="9"/>
      <c r="P753" s="9"/>
      <c r="Q753" s="9"/>
      <c r="R753" s="9"/>
      <c r="S753" s="12"/>
      <c r="T753" s="9"/>
      <c r="U753" s="9"/>
      <c r="V753" s="12"/>
      <c r="W753" s="12"/>
      <c r="X753" s="12"/>
      <c r="Y753" s="15"/>
      <c r="Z753" s="15"/>
      <c r="AA753" s="15"/>
      <c r="AB753" s="15"/>
      <c r="AC753" s="15"/>
      <c r="AD753" s="15"/>
      <c r="AE753" s="15"/>
      <c r="AF753" s="16"/>
      <c r="AG753" s="16"/>
      <c r="AH753" s="16"/>
      <c r="AI753" s="16"/>
      <c r="AJ753" s="16"/>
      <c r="AK753" s="16"/>
      <c r="AL753" s="16"/>
      <c r="AM753" s="16"/>
      <c r="AN753" s="16"/>
      <c r="AO753" s="16"/>
      <c r="AP753" s="16"/>
      <c r="AQ753" s="16"/>
      <c r="AR753" s="16"/>
      <c r="AS753" s="16"/>
      <c r="AT753" s="16"/>
      <c r="AU753" s="16"/>
      <c r="AV753" s="16"/>
      <c r="AW753" s="16"/>
      <c r="AX753" s="16"/>
      <c r="AY753" s="16"/>
      <c r="AZ753" s="16"/>
      <c r="BA753" s="16"/>
      <c r="BB753" s="16"/>
      <c r="BC753" s="16"/>
      <c r="BD753" s="16"/>
      <c r="BE753" s="16"/>
      <c r="BF753" s="16"/>
      <c r="BG753" s="16"/>
      <c r="BH753" s="16"/>
    </row>
    <row r="754" spans="6:60" s="21" customFormat="1">
      <c r="F754" s="9"/>
      <c r="J754" s="9"/>
      <c r="K754" s="9"/>
      <c r="L754" s="9"/>
      <c r="N754" s="9"/>
      <c r="O754" s="9"/>
      <c r="P754" s="9"/>
      <c r="Q754" s="9"/>
      <c r="R754" s="9"/>
      <c r="S754" s="12"/>
      <c r="T754" s="9"/>
      <c r="U754" s="9"/>
      <c r="V754" s="12"/>
      <c r="W754" s="12"/>
      <c r="X754" s="12"/>
      <c r="Y754" s="15"/>
      <c r="Z754" s="15"/>
      <c r="AA754" s="15"/>
      <c r="AB754" s="15"/>
      <c r="AC754" s="15"/>
      <c r="AD754" s="15"/>
      <c r="AE754" s="15"/>
      <c r="AF754" s="16"/>
      <c r="AG754" s="16"/>
      <c r="AH754" s="16"/>
      <c r="AI754" s="16"/>
      <c r="AJ754" s="16"/>
      <c r="AK754" s="16"/>
      <c r="AL754" s="16"/>
      <c r="AM754" s="16"/>
      <c r="AN754" s="16"/>
      <c r="AO754" s="16"/>
      <c r="AP754" s="16"/>
      <c r="AQ754" s="16"/>
      <c r="AR754" s="16"/>
      <c r="AS754" s="16"/>
      <c r="AT754" s="16"/>
      <c r="AU754" s="16"/>
      <c r="AV754" s="16"/>
      <c r="AW754" s="16"/>
      <c r="AX754" s="16"/>
      <c r="AY754" s="16"/>
      <c r="AZ754" s="16"/>
      <c r="BA754" s="16"/>
      <c r="BB754" s="16"/>
      <c r="BC754" s="16"/>
      <c r="BD754" s="16"/>
      <c r="BE754" s="16"/>
      <c r="BF754" s="16"/>
      <c r="BG754" s="16"/>
      <c r="BH754" s="16"/>
    </row>
    <row r="755" spans="6:60" s="21" customFormat="1">
      <c r="F755" s="9"/>
      <c r="J755" s="9"/>
      <c r="K755" s="9"/>
      <c r="L755" s="9"/>
      <c r="N755" s="9"/>
      <c r="O755" s="9"/>
      <c r="P755" s="9"/>
      <c r="Q755" s="9"/>
      <c r="R755" s="9"/>
      <c r="S755" s="12"/>
      <c r="T755" s="9"/>
      <c r="U755" s="9"/>
      <c r="V755" s="12"/>
      <c r="W755" s="12"/>
      <c r="X755" s="12"/>
      <c r="Y755" s="15"/>
      <c r="Z755" s="15"/>
      <c r="AA755" s="15"/>
      <c r="AB755" s="15"/>
      <c r="AC755" s="15"/>
      <c r="AD755" s="15"/>
      <c r="AE755" s="15"/>
      <c r="AF755" s="16"/>
      <c r="AG755" s="16"/>
      <c r="AH755" s="16"/>
      <c r="AI755" s="16"/>
      <c r="AJ755" s="16"/>
      <c r="AK755" s="16"/>
      <c r="AL755" s="16"/>
      <c r="AM755" s="16"/>
      <c r="AN755" s="16"/>
      <c r="AO755" s="16"/>
      <c r="AP755" s="16"/>
      <c r="AQ755" s="16"/>
      <c r="AR755" s="16"/>
      <c r="AS755" s="16"/>
      <c r="AT755" s="16"/>
      <c r="AU755" s="16"/>
      <c r="AV755" s="16"/>
      <c r="AW755" s="16"/>
      <c r="AX755" s="16"/>
      <c r="AY755" s="16"/>
      <c r="AZ755" s="16"/>
      <c r="BA755" s="16"/>
      <c r="BB755" s="16"/>
      <c r="BC755" s="16"/>
      <c r="BD755" s="16"/>
      <c r="BE755" s="16"/>
      <c r="BF755" s="16"/>
      <c r="BG755" s="16"/>
      <c r="BH755" s="16"/>
    </row>
    <row r="756" spans="6:60" s="21" customFormat="1">
      <c r="F756" s="9"/>
      <c r="J756" s="9"/>
      <c r="K756" s="9"/>
      <c r="L756" s="9"/>
      <c r="N756" s="9"/>
      <c r="O756" s="9"/>
      <c r="P756" s="9"/>
      <c r="Q756" s="9"/>
      <c r="R756" s="9"/>
      <c r="S756" s="12"/>
      <c r="T756" s="9"/>
      <c r="U756" s="9"/>
      <c r="V756" s="12"/>
      <c r="W756" s="12"/>
      <c r="X756" s="12"/>
      <c r="Y756" s="15"/>
      <c r="Z756" s="15"/>
      <c r="AA756" s="15"/>
      <c r="AB756" s="15"/>
      <c r="AC756" s="15"/>
      <c r="AD756" s="15"/>
      <c r="AE756" s="15"/>
      <c r="AF756" s="16"/>
      <c r="AG756" s="16"/>
      <c r="AH756" s="16"/>
      <c r="AI756" s="16"/>
      <c r="AJ756" s="16"/>
      <c r="AK756" s="16"/>
      <c r="AL756" s="16"/>
      <c r="AM756" s="16"/>
      <c r="AN756" s="16"/>
      <c r="AO756" s="16"/>
      <c r="AP756" s="16"/>
      <c r="AQ756" s="16"/>
      <c r="AR756" s="16"/>
      <c r="AS756" s="16"/>
      <c r="AT756" s="16"/>
      <c r="AU756" s="16"/>
      <c r="AV756" s="16"/>
      <c r="AW756" s="16"/>
      <c r="AX756" s="16"/>
      <c r="AY756" s="16"/>
      <c r="AZ756" s="16"/>
      <c r="BA756" s="16"/>
      <c r="BB756" s="16"/>
      <c r="BC756" s="16"/>
      <c r="BD756" s="16"/>
      <c r="BE756" s="16"/>
      <c r="BF756" s="16"/>
      <c r="BG756" s="16"/>
      <c r="BH756" s="16"/>
    </row>
    <row r="757" spans="6:60" s="21" customFormat="1">
      <c r="F757" s="9"/>
      <c r="J757" s="9"/>
      <c r="K757" s="9"/>
      <c r="L757" s="9"/>
      <c r="N757" s="9"/>
      <c r="O757" s="9"/>
      <c r="P757" s="9"/>
      <c r="Q757" s="9"/>
      <c r="R757" s="9"/>
      <c r="S757" s="12"/>
      <c r="T757" s="9"/>
      <c r="U757" s="9"/>
      <c r="V757" s="12"/>
      <c r="W757" s="12"/>
      <c r="X757" s="12"/>
      <c r="Y757" s="15"/>
      <c r="Z757" s="15"/>
      <c r="AA757" s="15"/>
      <c r="AB757" s="15"/>
      <c r="AC757" s="15"/>
      <c r="AD757" s="15"/>
      <c r="AE757" s="15"/>
      <c r="AF757" s="16"/>
      <c r="AG757" s="16"/>
      <c r="AH757" s="16"/>
      <c r="AI757" s="16"/>
      <c r="AJ757" s="16"/>
      <c r="AK757" s="16"/>
      <c r="AL757" s="16"/>
      <c r="AM757" s="16"/>
      <c r="AN757" s="16"/>
      <c r="AO757" s="16"/>
      <c r="AP757" s="16"/>
      <c r="AQ757" s="16"/>
      <c r="AR757" s="16"/>
      <c r="AS757" s="16"/>
      <c r="AT757" s="16"/>
      <c r="AU757" s="16"/>
      <c r="AV757" s="16"/>
      <c r="AW757" s="16"/>
      <c r="AX757" s="16"/>
      <c r="AY757" s="16"/>
      <c r="AZ757" s="16"/>
      <c r="BA757" s="16"/>
      <c r="BB757" s="16"/>
      <c r="BC757" s="16"/>
      <c r="BD757" s="16"/>
      <c r="BE757" s="16"/>
      <c r="BF757" s="16"/>
      <c r="BG757" s="16"/>
      <c r="BH757" s="16"/>
    </row>
    <row r="758" spans="6:60" s="21" customFormat="1">
      <c r="F758" s="9"/>
      <c r="J758" s="9"/>
      <c r="K758" s="9"/>
      <c r="L758" s="9"/>
      <c r="N758" s="9"/>
      <c r="O758" s="9"/>
      <c r="P758" s="9"/>
      <c r="Q758" s="9"/>
      <c r="R758" s="9"/>
      <c r="S758" s="12"/>
      <c r="T758" s="9"/>
      <c r="U758" s="9"/>
      <c r="V758" s="12"/>
      <c r="W758" s="12"/>
      <c r="X758" s="12"/>
      <c r="Y758" s="15"/>
      <c r="Z758" s="15"/>
      <c r="AA758" s="15"/>
      <c r="AB758" s="15"/>
      <c r="AC758" s="15"/>
      <c r="AD758" s="15"/>
      <c r="AE758" s="15"/>
      <c r="AF758" s="16"/>
      <c r="AG758" s="16"/>
      <c r="AH758" s="16"/>
      <c r="AI758" s="16"/>
      <c r="AJ758" s="16"/>
      <c r="AK758" s="16"/>
      <c r="AL758" s="16"/>
      <c r="AM758" s="16"/>
      <c r="AN758" s="16"/>
      <c r="AO758" s="16"/>
      <c r="AP758" s="16"/>
      <c r="AQ758" s="16"/>
      <c r="AR758" s="16"/>
      <c r="AS758" s="16"/>
      <c r="AT758" s="16"/>
      <c r="AU758" s="16"/>
      <c r="AV758" s="16"/>
      <c r="AW758" s="16"/>
      <c r="AX758" s="16"/>
      <c r="AY758" s="16"/>
      <c r="AZ758" s="16"/>
      <c r="BA758" s="16"/>
      <c r="BB758" s="16"/>
      <c r="BC758" s="16"/>
      <c r="BD758" s="16"/>
      <c r="BE758" s="16"/>
      <c r="BF758" s="16"/>
      <c r="BG758" s="16"/>
      <c r="BH758" s="16"/>
    </row>
    <row r="759" spans="6:60" s="21" customFormat="1">
      <c r="F759" s="9"/>
      <c r="J759" s="9"/>
      <c r="K759" s="9"/>
      <c r="L759" s="9"/>
      <c r="N759" s="9"/>
      <c r="O759" s="9"/>
      <c r="P759" s="9"/>
      <c r="Q759" s="9"/>
      <c r="R759" s="9"/>
      <c r="S759" s="12"/>
      <c r="T759" s="9"/>
      <c r="U759" s="9"/>
      <c r="V759" s="12"/>
      <c r="W759" s="12"/>
      <c r="X759" s="12"/>
      <c r="Y759" s="15"/>
      <c r="Z759" s="15"/>
      <c r="AA759" s="15"/>
      <c r="AB759" s="15"/>
      <c r="AC759" s="15"/>
      <c r="AD759" s="15"/>
      <c r="AE759" s="15"/>
      <c r="AF759" s="16"/>
      <c r="AG759" s="16"/>
      <c r="AH759" s="16"/>
      <c r="AI759" s="16"/>
      <c r="AJ759" s="16"/>
      <c r="AK759" s="16"/>
      <c r="AL759" s="16"/>
      <c r="AM759" s="16"/>
      <c r="AN759" s="16"/>
      <c r="AO759" s="16"/>
      <c r="AP759" s="16"/>
      <c r="AQ759" s="16"/>
      <c r="AR759" s="16"/>
      <c r="AS759" s="16"/>
      <c r="AT759" s="16"/>
      <c r="AU759" s="16"/>
      <c r="AV759" s="16"/>
      <c r="AW759" s="16"/>
      <c r="AX759" s="16"/>
      <c r="AY759" s="16"/>
      <c r="AZ759" s="16"/>
      <c r="BA759" s="16"/>
      <c r="BB759" s="16"/>
      <c r="BC759" s="16"/>
      <c r="BD759" s="16"/>
      <c r="BE759" s="16"/>
      <c r="BF759" s="16"/>
      <c r="BG759" s="16"/>
      <c r="BH759" s="16"/>
    </row>
    <row r="760" spans="6:60" s="21" customFormat="1">
      <c r="F760" s="9"/>
      <c r="J760" s="9"/>
      <c r="K760" s="9"/>
      <c r="L760" s="9"/>
      <c r="N760" s="9"/>
      <c r="O760" s="9"/>
      <c r="P760" s="9"/>
      <c r="Q760" s="9"/>
      <c r="R760" s="9"/>
      <c r="S760" s="12"/>
      <c r="T760" s="9"/>
      <c r="U760" s="9"/>
      <c r="V760" s="12"/>
      <c r="W760" s="12"/>
      <c r="X760" s="12"/>
      <c r="Y760" s="15"/>
      <c r="Z760" s="15"/>
      <c r="AA760" s="15"/>
      <c r="AB760" s="15"/>
      <c r="AC760" s="15"/>
      <c r="AD760" s="15"/>
      <c r="AE760" s="15"/>
      <c r="AF760" s="16"/>
      <c r="AG760" s="16"/>
      <c r="AH760" s="16"/>
      <c r="AI760" s="16"/>
      <c r="AJ760" s="16"/>
      <c r="AK760" s="16"/>
      <c r="AL760" s="16"/>
      <c r="AM760" s="16"/>
      <c r="AN760" s="16"/>
      <c r="AO760" s="16"/>
      <c r="AP760" s="16"/>
      <c r="AQ760" s="16"/>
      <c r="AR760" s="16"/>
      <c r="AS760" s="16"/>
      <c r="AT760" s="16"/>
      <c r="AU760" s="16"/>
      <c r="AV760" s="16"/>
      <c r="AW760" s="16"/>
      <c r="AX760" s="16"/>
      <c r="AY760" s="16"/>
      <c r="AZ760" s="16"/>
      <c r="BA760" s="16"/>
      <c r="BB760" s="16"/>
      <c r="BC760" s="16"/>
      <c r="BD760" s="16"/>
      <c r="BE760" s="16"/>
      <c r="BF760" s="16"/>
      <c r="BG760" s="16"/>
      <c r="BH760" s="16"/>
    </row>
    <row r="761" spans="6:60" s="21" customFormat="1">
      <c r="F761" s="9"/>
      <c r="J761" s="9"/>
      <c r="K761" s="9"/>
      <c r="L761" s="9"/>
      <c r="N761" s="9"/>
      <c r="O761" s="9"/>
      <c r="P761" s="9"/>
      <c r="Q761" s="9"/>
      <c r="R761" s="9"/>
      <c r="S761" s="12"/>
      <c r="T761" s="9"/>
      <c r="U761" s="9"/>
      <c r="V761" s="12"/>
      <c r="W761" s="12"/>
      <c r="X761" s="12"/>
      <c r="Y761" s="15"/>
      <c r="Z761" s="15"/>
      <c r="AA761" s="15"/>
      <c r="AB761" s="15"/>
      <c r="AC761" s="15"/>
      <c r="AD761" s="15"/>
      <c r="AE761" s="15"/>
      <c r="AF761" s="16"/>
      <c r="AG761" s="16"/>
      <c r="AH761" s="16"/>
      <c r="AI761" s="16"/>
      <c r="AJ761" s="16"/>
      <c r="AK761" s="16"/>
      <c r="AL761" s="16"/>
      <c r="AM761" s="16"/>
      <c r="AN761" s="16"/>
      <c r="AO761" s="16"/>
      <c r="AP761" s="16"/>
      <c r="AQ761" s="16"/>
      <c r="AR761" s="16"/>
      <c r="AS761" s="16"/>
      <c r="AT761" s="16"/>
      <c r="AU761" s="16"/>
      <c r="AV761" s="16"/>
      <c r="AW761" s="16"/>
      <c r="AX761" s="16"/>
      <c r="AY761" s="16"/>
      <c r="AZ761" s="16"/>
      <c r="BA761" s="16"/>
      <c r="BB761" s="16"/>
      <c r="BC761" s="16"/>
      <c r="BD761" s="16"/>
      <c r="BE761" s="16"/>
      <c r="BF761" s="16"/>
      <c r="BG761" s="16"/>
      <c r="BH761" s="16"/>
    </row>
    <row r="762" spans="6:60" s="21" customFormat="1">
      <c r="F762" s="9"/>
      <c r="J762" s="9"/>
      <c r="K762" s="9"/>
      <c r="L762" s="9"/>
      <c r="N762" s="9"/>
      <c r="O762" s="9"/>
      <c r="P762" s="9"/>
      <c r="Q762" s="9"/>
      <c r="R762" s="9"/>
      <c r="S762" s="12"/>
      <c r="T762" s="9"/>
      <c r="U762" s="9"/>
      <c r="V762" s="12"/>
      <c r="W762" s="12"/>
      <c r="X762" s="12"/>
      <c r="Y762" s="15"/>
      <c r="Z762" s="15"/>
      <c r="AA762" s="15"/>
      <c r="AB762" s="15"/>
      <c r="AC762" s="15"/>
      <c r="AD762" s="15"/>
      <c r="AE762" s="15"/>
      <c r="AF762" s="16"/>
      <c r="AG762" s="16"/>
      <c r="AH762" s="16"/>
      <c r="AI762" s="16"/>
      <c r="AJ762" s="16"/>
      <c r="AK762" s="16"/>
      <c r="AL762" s="16"/>
      <c r="AM762" s="16"/>
      <c r="AN762" s="16"/>
      <c r="AO762" s="16"/>
      <c r="AP762" s="16"/>
      <c r="AQ762" s="16"/>
      <c r="AR762" s="16"/>
      <c r="AS762" s="16"/>
      <c r="AT762" s="16"/>
      <c r="AU762" s="16"/>
      <c r="AV762" s="16"/>
      <c r="AW762" s="16"/>
      <c r="AX762" s="16"/>
      <c r="AY762" s="16"/>
      <c r="AZ762" s="16"/>
      <c r="BA762" s="16"/>
      <c r="BB762" s="16"/>
      <c r="BC762" s="16"/>
      <c r="BD762" s="16"/>
      <c r="BE762" s="16"/>
      <c r="BF762" s="16"/>
      <c r="BG762" s="16"/>
      <c r="BH762" s="16"/>
    </row>
    <row r="763" spans="6:60" s="21" customFormat="1">
      <c r="F763" s="9"/>
      <c r="J763" s="9"/>
      <c r="K763" s="9"/>
      <c r="L763" s="9"/>
      <c r="N763" s="9"/>
      <c r="O763" s="9"/>
      <c r="P763" s="9"/>
      <c r="Q763" s="9"/>
      <c r="R763" s="9"/>
      <c r="S763" s="12"/>
      <c r="T763" s="9"/>
      <c r="U763" s="9"/>
      <c r="V763" s="12"/>
      <c r="W763" s="12"/>
      <c r="X763" s="12"/>
      <c r="Y763" s="15"/>
      <c r="Z763" s="15"/>
      <c r="AA763" s="15"/>
      <c r="AB763" s="15"/>
      <c r="AC763" s="15"/>
      <c r="AD763" s="15"/>
      <c r="AE763" s="15"/>
      <c r="AF763" s="16"/>
      <c r="AG763" s="16"/>
      <c r="AH763" s="16"/>
      <c r="AI763" s="16"/>
      <c r="AJ763" s="16"/>
      <c r="AK763" s="16"/>
      <c r="AL763" s="16"/>
      <c r="AM763" s="16"/>
      <c r="AN763" s="16"/>
      <c r="AO763" s="16"/>
      <c r="AP763" s="16"/>
      <c r="AQ763" s="16"/>
      <c r="AR763" s="16"/>
      <c r="AS763" s="16"/>
      <c r="AT763" s="16"/>
      <c r="AU763" s="16"/>
      <c r="AV763" s="16"/>
      <c r="AW763" s="16"/>
      <c r="AX763" s="16"/>
      <c r="AY763" s="16"/>
      <c r="AZ763" s="16"/>
      <c r="BA763" s="16"/>
      <c r="BB763" s="16"/>
      <c r="BC763" s="16"/>
      <c r="BD763" s="16"/>
      <c r="BE763" s="16"/>
      <c r="BF763" s="16"/>
      <c r="BG763" s="16"/>
      <c r="BH763" s="16"/>
    </row>
    <row r="764" spans="6:60" s="21" customFormat="1">
      <c r="F764" s="9"/>
      <c r="J764" s="9"/>
      <c r="K764" s="9"/>
      <c r="L764" s="9"/>
      <c r="N764" s="9"/>
      <c r="O764" s="9"/>
      <c r="P764" s="9"/>
      <c r="Q764" s="9"/>
      <c r="R764" s="9"/>
      <c r="S764" s="12"/>
      <c r="T764" s="9"/>
      <c r="U764" s="9"/>
      <c r="V764" s="12"/>
      <c r="W764" s="12"/>
      <c r="X764" s="12"/>
      <c r="Y764" s="15"/>
      <c r="Z764" s="15"/>
      <c r="AA764" s="15"/>
      <c r="AB764" s="15"/>
      <c r="AC764" s="15"/>
      <c r="AD764" s="15"/>
      <c r="AE764" s="15"/>
      <c r="AF764" s="16"/>
      <c r="AG764" s="16"/>
      <c r="AH764" s="16"/>
      <c r="AI764" s="16"/>
      <c r="AJ764" s="16"/>
      <c r="AK764" s="16"/>
      <c r="AL764" s="16"/>
      <c r="AM764" s="16"/>
      <c r="AN764" s="16"/>
      <c r="AO764" s="16"/>
      <c r="AP764" s="16"/>
      <c r="AQ764" s="16"/>
      <c r="AR764" s="16"/>
      <c r="AS764" s="16"/>
      <c r="AT764" s="16"/>
      <c r="AU764" s="16"/>
      <c r="AV764" s="16"/>
      <c r="AW764" s="16"/>
      <c r="AX764" s="16"/>
      <c r="AY764" s="16"/>
      <c r="AZ764" s="16"/>
      <c r="BA764" s="16"/>
      <c r="BB764" s="16"/>
      <c r="BC764" s="16"/>
      <c r="BD764" s="16"/>
      <c r="BE764" s="16"/>
      <c r="BF764" s="16"/>
      <c r="BG764" s="16"/>
      <c r="BH764" s="16"/>
    </row>
    <row r="765" spans="6:60" s="21" customFormat="1">
      <c r="F765" s="9"/>
      <c r="J765" s="9"/>
      <c r="K765" s="9"/>
      <c r="L765" s="9"/>
      <c r="N765" s="9"/>
      <c r="O765" s="9"/>
      <c r="P765" s="9"/>
      <c r="Q765" s="9"/>
      <c r="R765" s="9"/>
      <c r="S765" s="12"/>
      <c r="T765" s="9"/>
      <c r="U765" s="9"/>
      <c r="V765" s="12"/>
      <c r="W765" s="12"/>
      <c r="X765" s="12"/>
      <c r="Y765" s="15"/>
      <c r="Z765" s="15"/>
      <c r="AA765" s="15"/>
      <c r="AB765" s="15"/>
      <c r="AC765" s="15"/>
      <c r="AD765" s="15"/>
      <c r="AE765" s="15"/>
      <c r="AF765" s="16"/>
      <c r="AG765" s="16"/>
      <c r="AH765" s="16"/>
      <c r="AI765" s="16"/>
      <c r="AJ765" s="16"/>
      <c r="AK765" s="16"/>
      <c r="AL765" s="16"/>
      <c r="AM765" s="16"/>
      <c r="AN765" s="16"/>
      <c r="AO765" s="16"/>
      <c r="AP765" s="16"/>
      <c r="AQ765" s="16"/>
      <c r="AR765" s="16"/>
      <c r="AS765" s="16"/>
      <c r="AT765" s="16"/>
      <c r="AU765" s="16"/>
      <c r="AV765" s="16"/>
      <c r="AW765" s="16"/>
      <c r="AX765" s="16"/>
      <c r="AY765" s="16"/>
      <c r="AZ765" s="16"/>
      <c r="BA765" s="16"/>
      <c r="BB765" s="16"/>
      <c r="BC765" s="16"/>
      <c r="BD765" s="16"/>
      <c r="BE765" s="16"/>
      <c r="BF765" s="16"/>
      <c r="BG765" s="16"/>
      <c r="BH765" s="16"/>
    </row>
    <row r="766" spans="6:60" s="21" customFormat="1">
      <c r="F766" s="9"/>
      <c r="J766" s="9"/>
      <c r="K766" s="9"/>
      <c r="L766" s="9"/>
      <c r="N766" s="9"/>
      <c r="O766" s="9"/>
      <c r="P766" s="9"/>
      <c r="Q766" s="9"/>
      <c r="R766" s="9"/>
      <c r="S766" s="12"/>
      <c r="T766" s="9"/>
      <c r="U766" s="9"/>
      <c r="V766" s="12"/>
      <c r="W766" s="12"/>
      <c r="X766" s="12"/>
      <c r="Y766" s="15"/>
      <c r="Z766" s="15"/>
      <c r="AA766" s="15"/>
      <c r="AB766" s="15"/>
      <c r="AC766" s="15"/>
      <c r="AD766" s="15"/>
      <c r="AE766" s="15"/>
      <c r="AF766" s="16"/>
      <c r="AG766" s="16"/>
      <c r="AH766" s="16"/>
      <c r="AI766" s="16"/>
      <c r="AJ766" s="16"/>
      <c r="AK766" s="16"/>
      <c r="AL766" s="16"/>
      <c r="AM766" s="16"/>
      <c r="AN766" s="16"/>
      <c r="AO766" s="16"/>
      <c r="AP766" s="16"/>
      <c r="AQ766" s="16"/>
      <c r="AR766" s="16"/>
      <c r="AS766" s="16"/>
      <c r="AT766" s="16"/>
      <c r="AU766" s="16"/>
      <c r="AV766" s="16"/>
      <c r="AW766" s="16"/>
      <c r="AX766" s="16"/>
      <c r="AY766" s="16"/>
      <c r="AZ766" s="16"/>
      <c r="BA766" s="16"/>
      <c r="BB766" s="16"/>
      <c r="BC766" s="16"/>
      <c r="BD766" s="16"/>
      <c r="BE766" s="16"/>
      <c r="BF766" s="16"/>
      <c r="BG766" s="16"/>
      <c r="BH766" s="16"/>
    </row>
    <row r="767" spans="6:60" s="21" customFormat="1">
      <c r="F767" s="9"/>
      <c r="J767" s="9"/>
      <c r="K767" s="9"/>
      <c r="L767" s="9"/>
      <c r="N767" s="9"/>
      <c r="O767" s="9"/>
      <c r="P767" s="9"/>
      <c r="Q767" s="9"/>
      <c r="R767" s="9"/>
      <c r="S767" s="12"/>
      <c r="T767" s="9"/>
      <c r="U767" s="9"/>
      <c r="V767" s="12"/>
      <c r="W767" s="12"/>
      <c r="X767" s="12"/>
      <c r="Y767" s="15"/>
      <c r="Z767" s="15"/>
      <c r="AA767" s="15"/>
      <c r="AB767" s="15"/>
      <c r="AC767" s="15"/>
      <c r="AD767" s="15"/>
      <c r="AE767" s="15"/>
      <c r="AF767" s="16"/>
      <c r="AG767" s="16"/>
      <c r="AH767" s="16"/>
      <c r="AI767" s="16"/>
      <c r="AJ767" s="16"/>
      <c r="AK767" s="16"/>
      <c r="AL767" s="16"/>
      <c r="AM767" s="16"/>
      <c r="AN767" s="16"/>
      <c r="AO767" s="16"/>
      <c r="AP767" s="16"/>
      <c r="AQ767" s="16"/>
      <c r="AR767" s="16"/>
      <c r="AS767" s="16"/>
      <c r="AT767" s="16"/>
      <c r="AU767" s="16"/>
      <c r="AV767" s="16"/>
      <c r="AW767" s="16"/>
      <c r="AX767" s="16"/>
      <c r="AY767" s="16"/>
      <c r="AZ767" s="16"/>
      <c r="BA767" s="16"/>
      <c r="BB767" s="16"/>
      <c r="BC767" s="16"/>
      <c r="BD767" s="16"/>
      <c r="BE767" s="16"/>
      <c r="BF767" s="16"/>
      <c r="BG767" s="16"/>
      <c r="BH767" s="16"/>
    </row>
    <row r="768" spans="6:60" s="21" customFormat="1">
      <c r="F768" s="9"/>
      <c r="J768" s="9"/>
      <c r="K768" s="9"/>
      <c r="L768" s="9"/>
      <c r="N768" s="9"/>
      <c r="O768" s="9"/>
      <c r="P768" s="9"/>
      <c r="Q768" s="9"/>
      <c r="R768" s="9"/>
      <c r="S768" s="12"/>
      <c r="T768" s="9"/>
      <c r="U768" s="9"/>
      <c r="V768" s="12"/>
      <c r="W768" s="12"/>
      <c r="X768" s="12"/>
      <c r="Y768" s="15"/>
      <c r="Z768" s="15"/>
      <c r="AA768" s="15"/>
      <c r="AB768" s="15"/>
      <c r="AC768" s="15"/>
      <c r="AD768" s="15"/>
      <c r="AE768" s="15"/>
      <c r="AF768" s="16"/>
      <c r="AG768" s="16"/>
      <c r="AH768" s="16"/>
      <c r="AI768" s="16"/>
      <c r="AJ768" s="16"/>
      <c r="AK768" s="16"/>
      <c r="AL768" s="16"/>
      <c r="AM768" s="16"/>
      <c r="AN768" s="16"/>
      <c r="AO768" s="16"/>
      <c r="AP768" s="16"/>
      <c r="AQ768" s="16"/>
      <c r="AR768" s="16"/>
      <c r="AS768" s="16"/>
      <c r="AT768" s="16"/>
      <c r="AU768" s="16"/>
      <c r="AV768" s="16"/>
      <c r="AW768" s="16"/>
      <c r="AX768" s="16"/>
      <c r="AY768" s="16"/>
      <c r="AZ768" s="16"/>
      <c r="BA768" s="16"/>
      <c r="BB768" s="16"/>
      <c r="BC768" s="16"/>
      <c r="BD768" s="16"/>
      <c r="BE768" s="16"/>
      <c r="BF768" s="16"/>
      <c r="BG768" s="16"/>
      <c r="BH768" s="16"/>
    </row>
    <row r="769" spans="6:60" s="21" customFormat="1">
      <c r="F769" s="9"/>
      <c r="J769" s="9"/>
      <c r="K769" s="9"/>
      <c r="L769" s="9"/>
      <c r="N769" s="9"/>
      <c r="O769" s="9"/>
      <c r="P769" s="9"/>
      <c r="Q769" s="9"/>
      <c r="R769" s="9"/>
      <c r="S769" s="12"/>
      <c r="T769" s="9"/>
      <c r="U769" s="9"/>
      <c r="V769" s="12"/>
      <c r="W769" s="12"/>
      <c r="X769" s="12"/>
      <c r="Y769" s="15"/>
      <c r="Z769" s="15"/>
      <c r="AA769" s="15"/>
      <c r="AB769" s="15"/>
      <c r="AC769" s="15"/>
      <c r="AD769" s="15"/>
      <c r="AE769" s="15"/>
      <c r="AF769" s="16"/>
      <c r="AG769" s="16"/>
      <c r="AH769" s="16"/>
      <c r="AI769" s="16"/>
      <c r="AJ769" s="16"/>
      <c r="AK769" s="16"/>
      <c r="AL769" s="16"/>
      <c r="AM769" s="16"/>
      <c r="AN769" s="16"/>
      <c r="AO769" s="16"/>
      <c r="AP769" s="16"/>
      <c r="AQ769" s="16"/>
      <c r="AR769" s="16"/>
      <c r="AS769" s="16"/>
      <c r="AT769" s="16"/>
      <c r="AU769" s="16"/>
      <c r="AV769" s="16"/>
      <c r="AW769" s="16"/>
      <c r="AX769" s="16"/>
      <c r="AY769" s="16"/>
      <c r="AZ769" s="16"/>
      <c r="BA769" s="16"/>
      <c r="BB769" s="16"/>
      <c r="BC769" s="16"/>
      <c r="BD769" s="16"/>
      <c r="BE769" s="16"/>
      <c r="BF769" s="16"/>
      <c r="BG769" s="16"/>
      <c r="BH769" s="16"/>
    </row>
    <row r="770" spans="6:60" s="21" customFormat="1">
      <c r="F770" s="9"/>
      <c r="J770" s="9"/>
      <c r="K770" s="9"/>
      <c r="L770" s="9"/>
      <c r="N770" s="9"/>
      <c r="O770" s="9"/>
      <c r="P770" s="9"/>
      <c r="Q770" s="9"/>
      <c r="R770" s="9"/>
      <c r="S770" s="12"/>
      <c r="T770" s="9"/>
      <c r="U770" s="9"/>
      <c r="V770" s="12"/>
      <c r="W770" s="12"/>
      <c r="X770" s="12"/>
      <c r="Y770" s="15"/>
      <c r="Z770" s="15"/>
      <c r="AA770" s="15"/>
      <c r="AB770" s="15"/>
      <c r="AC770" s="15"/>
      <c r="AD770" s="15"/>
      <c r="AE770" s="15"/>
      <c r="AF770" s="16"/>
      <c r="AG770" s="16"/>
      <c r="AH770" s="16"/>
      <c r="AI770" s="16"/>
      <c r="AJ770" s="16"/>
      <c r="AK770" s="16"/>
      <c r="AL770" s="16"/>
      <c r="AM770" s="16"/>
      <c r="AN770" s="16"/>
      <c r="AO770" s="16"/>
      <c r="AP770" s="16"/>
      <c r="AQ770" s="16"/>
      <c r="AR770" s="16"/>
      <c r="AS770" s="16"/>
      <c r="AT770" s="16"/>
      <c r="AU770" s="16"/>
      <c r="AV770" s="16"/>
      <c r="AW770" s="16"/>
      <c r="AX770" s="16"/>
      <c r="AY770" s="16"/>
      <c r="AZ770" s="16"/>
      <c r="BA770" s="16"/>
      <c r="BB770" s="16"/>
      <c r="BC770" s="16"/>
      <c r="BD770" s="16"/>
      <c r="BE770" s="16"/>
      <c r="BF770" s="16"/>
      <c r="BG770" s="16"/>
      <c r="BH770" s="16"/>
    </row>
    <row r="771" spans="6:60" s="21" customFormat="1">
      <c r="F771" s="9"/>
      <c r="J771" s="9"/>
      <c r="K771" s="9"/>
      <c r="L771" s="9"/>
      <c r="N771" s="9"/>
      <c r="O771" s="9"/>
      <c r="P771" s="9"/>
      <c r="Q771" s="9"/>
      <c r="R771" s="9"/>
      <c r="S771" s="12"/>
      <c r="T771" s="9"/>
      <c r="U771" s="9"/>
      <c r="V771" s="12"/>
      <c r="W771" s="12"/>
      <c r="X771" s="12"/>
      <c r="Y771" s="15"/>
      <c r="Z771" s="15"/>
      <c r="AA771" s="15"/>
      <c r="AB771" s="15"/>
      <c r="AC771" s="15"/>
      <c r="AD771" s="15"/>
      <c r="AE771" s="15"/>
      <c r="AF771" s="16"/>
      <c r="AG771" s="16"/>
      <c r="AH771" s="16"/>
      <c r="AI771" s="16"/>
      <c r="AJ771" s="16"/>
      <c r="AK771" s="16"/>
      <c r="AL771" s="16"/>
      <c r="AM771" s="16"/>
      <c r="AN771" s="16"/>
      <c r="AO771" s="16"/>
      <c r="AP771" s="16"/>
      <c r="AQ771" s="16"/>
      <c r="AR771" s="16"/>
      <c r="AS771" s="16"/>
      <c r="AT771" s="16"/>
      <c r="AU771" s="16"/>
      <c r="AV771" s="16"/>
      <c r="AW771" s="16"/>
      <c r="AX771" s="16"/>
      <c r="AY771" s="16"/>
      <c r="AZ771" s="16"/>
      <c r="BA771" s="16"/>
      <c r="BB771" s="16"/>
      <c r="BC771" s="16"/>
      <c r="BD771" s="16"/>
      <c r="BE771" s="16"/>
      <c r="BF771" s="16"/>
      <c r="BG771" s="16"/>
      <c r="BH771" s="16"/>
    </row>
    <row r="772" spans="6:60" s="21" customFormat="1">
      <c r="F772" s="9"/>
      <c r="J772" s="9"/>
      <c r="K772" s="9"/>
      <c r="L772" s="9"/>
      <c r="N772" s="9"/>
      <c r="O772" s="9"/>
      <c r="P772" s="9"/>
      <c r="Q772" s="9"/>
      <c r="R772" s="9"/>
      <c r="S772" s="12"/>
      <c r="T772" s="9"/>
      <c r="U772" s="9"/>
      <c r="V772" s="12"/>
      <c r="W772" s="12"/>
      <c r="X772" s="12"/>
      <c r="Y772" s="15"/>
      <c r="Z772" s="15"/>
      <c r="AA772" s="15"/>
      <c r="AB772" s="15"/>
      <c r="AC772" s="15"/>
      <c r="AD772" s="15"/>
      <c r="AE772" s="15"/>
      <c r="AF772" s="16"/>
      <c r="AG772" s="16"/>
      <c r="AH772" s="16"/>
      <c r="AI772" s="16"/>
      <c r="AJ772" s="16"/>
      <c r="AK772" s="16"/>
      <c r="AL772" s="16"/>
      <c r="AM772" s="16"/>
      <c r="AN772" s="16"/>
      <c r="AO772" s="16"/>
      <c r="AP772" s="16"/>
      <c r="AQ772" s="16"/>
      <c r="AR772" s="16"/>
      <c r="AS772" s="16"/>
      <c r="AT772" s="16"/>
      <c r="AU772" s="16"/>
      <c r="AV772" s="16"/>
      <c r="AW772" s="16"/>
      <c r="AX772" s="16"/>
      <c r="AY772" s="16"/>
      <c r="AZ772" s="16"/>
      <c r="BA772" s="16"/>
      <c r="BB772" s="16"/>
      <c r="BC772" s="16"/>
      <c r="BD772" s="16"/>
      <c r="BE772" s="16"/>
      <c r="BF772" s="16"/>
      <c r="BG772" s="16"/>
      <c r="BH772" s="16"/>
    </row>
    <row r="773" spans="6:60" s="21" customFormat="1">
      <c r="F773" s="9"/>
      <c r="J773" s="9"/>
      <c r="K773" s="9"/>
      <c r="L773" s="9"/>
      <c r="N773" s="9"/>
      <c r="O773" s="9"/>
      <c r="P773" s="9"/>
      <c r="Q773" s="9"/>
      <c r="R773" s="9"/>
      <c r="S773" s="12"/>
      <c r="T773" s="9"/>
      <c r="U773" s="9"/>
      <c r="V773" s="12"/>
      <c r="W773" s="12"/>
      <c r="X773" s="12"/>
      <c r="Y773" s="15"/>
      <c r="Z773" s="15"/>
      <c r="AA773" s="15"/>
      <c r="AB773" s="15"/>
      <c r="AC773" s="15"/>
      <c r="AD773" s="15"/>
      <c r="AE773" s="15"/>
      <c r="AF773" s="16"/>
      <c r="AG773" s="16"/>
      <c r="AH773" s="16"/>
      <c r="AI773" s="16"/>
      <c r="AJ773" s="16"/>
      <c r="AK773" s="16"/>
      <c r="AL773" s="16"/>
      <c r="AM773" s="16"/>
      <c r="AN773" s="16"/>
      <c r="AO773" s="16"/>
      <c r="AP773" s="16"/>
      <c r="AQ773" s="16"/>
      <c r="AR773" s="16"/>
      <c r="AS773" s="16"/>
      <c r="AT773" s="16"/>
      <c r="AU773" s="16"/>
      <c r="AV773" s="16"/>
      <c r="AW773" s="16"/>
      <c r="AX773" s="16"/>
      <c r="AY773" s="16"/>
      <c r="AZ773" s="16"/>
      <c r="BA773" s="16"/>
      <c r="BB773" s="16"/>
      <c r="BC773" s="16"/>
      <c r="BD773" s="16"/>
      <c r="BE773" s="16"/>
      <c r="BF773" s="16"/>
      <c r="BG773" s="16"/>
      <c r="BH773" s="16"/>
    </row>
    <row r="774" spans="6:60" s="21" customFormat="1">
      <c r="F774" s="9"/>
      <c r="J774" s="9"/>
      <c r="K774" s="9"/>
      <c r="L774" s="9"/>
      <c r="N774" s="9"/>
      <c r="O774" s="9"/>
      <c r="P774" s="9"/>
      <c r="Q774" s="9"/>
      <c r="R774" s="9"/>
      <c r="S774" s="12"/>
      <c r="T774" s="9"/>
      <c r="U774" s="9"/>
      <c r="V774" s="12"/>
      <c r="W774" s="12"/>
      <c r="X774" s="12"/>
      <c r="Y774" s="15"/>
      <c r="Z774" s="15"/>
      <c r="AA774" s="15"/>
      <c r="AB774" s="15"/>
      <c r="AC774" s="15"/>
      <c r="AD774" s="15"/>
      <c r="AE774" s="15"/>
      <c r="AF774" s="16"/>
      <c r="AG774" s="16"/>
      <c r="AH774" s="16"/>
      <c r="AI774" s="16"/>
      <c r="AJ774" s="16"/>
      <c r="AK774" s="16"/>
      <c r="AL774" s="16"/>
      <c r="AM774" s="16"/>
      <c r="AN774" s="16"/>
      <c r="AO774" s="16"/>
      <c r="AP774" s="16"/>
      <c r="AQ774" s="16"/>
      <c r="AR774" s="16"/>
      <c r="AS774" s="16"/>
      <c r="AT774" s="16"/>
      <c r="AU774" s="16"/>
      <c r="AV774" s="16"/>
      <c r="AW774" s="16"/>
      <c r="AX774" s="16"/>
      <c r="AY774" s="16"/>
      <c r="AZ774" s="16"/>
      <c r="BA774" s="16"/>
      <c r="BB774" s="16"/>
      <c r="BC774" s="16"/>
      <c r="BD774" s="16"/>
      <c r="BE774" s="16"/>
      <c r="BF774" s="16"/>
      <c r="BG774" s="16"/>
      <c r="BH774" s="16"/>
    </row>
    <row r="775" spans="6:60" s="21" customFormat="1">
      <c r="F775" s="9"/>
      <c r="J775" s="9"/>
      <c r="K775" s="9"/>
      <c r="L775" s="9"/>
      <c r="N775" s="9"/>
      <c r="O775" s="9"/>
      <c r="P775" s="9"/>
      <c r="Q775" s="9"/>
      <c r="R775" s="9"/>
      <c r="S775" s="12"/>
      <c r="T775" s="9"/>
      <c r="U775" s="9"/>
      <c r="V775" s="12"/>
      <c r="W775" s="12"/>
      <c r="X775" s="12"/>
      <c r="Y775" s="15"/>
      <c r="Z775" s="15"/>
      <c r="AA775" s="15"/>
      <c r="AB775" s="15"/>
      <c r="AC775" s="15"/>
      <c r="AD775" s="15"/>
      <c r="AE775" s="15"/>
      <c r="AF775" s="16"/>
      <c r="AG775" s="16"/>
      <c r="AH775" s="16"/>
      <c r="AI775" s="16"/>
      <c r="AJ775" s="16"/>
      <c r="AK775" s="16"/>
      <c r="AL775" s="16"/>
      <c r="AM775" s="16"/>
      <c r="AN775" s="16"/>
      <c r="AO775" s="16"/>
      <c r="AP775" s="16"/>
      <c r="AQ775" s="16"/>
      <c r="AR775" s="16"/>
      <c r="AS775" s="16"/>
      <c r="AT775" s="16"/>
      <c r="AU775" s="16"/>
      <c r="AV775" s="16"/>
      <c r="AW775" s="16"/>
      <c r="AX775" s="16"/>
      <c r="AY775" s="16"/>
      <c r="AZ775" s="16"/>
      <c r="BA775" s="16"/>
      <c r="BB775" s="16"/>
      <c r="BC775" s="16"/>
      <c r="BD775" s="16"/>
      <c r="BE775" s="16"/>
      <c r="BF775" s="16"/>
      <c r="BG775" s="16"/>
      <c r="BH775" s="16"/>
    </row>
    <row r="776" spans="6:60" s="21" customFormat="1">
      <c r="F776" s="9"/>
      <c r="J776" s="9"/>
      <c r="K776" s="9"/>
      <c r="L776" s="9"/>
      <c r="N776" s="9"/>
      <c r="O776" s="9"/>
      <c r="P776" s="9"/>
      <c r="Q776" s="9"/>
      <c r="R776" s="9"/>
      <c r="S776" s="12"/>
      <c r="T776" s="9"/>
      <c r="U776" s="9"/>
      <c r="V776" s="12"/>
      <c r="W776" s="12"/>
      <c r="X776" s="12"/>
      <c r="Y776" s="15"/>
      <c r="Z776" s="15"/>
      <c r="AA776" s="15"/>
      <c r="AB776" s="15"/>
      <c r="AC776" s="15"/>
      <c r="AD776" s="15"/>
      <c r="AE776" s="15"/>
      <c r="AF776" s="16"/>
      <c r="AG776" s="16"/>
      <c r="AH776" s="16"/>
      <c r="AI776" s="16"/>
      <c r="AJ776" s="16"/>
      <c r="AK776" s="16"/>
      <c r="AL776" s="16"/>
      <c r="AM776" s="16"/>
      <c r="AN776" s="16"/>
      <c r="AO776" s="16"/>
      <c r="AP776" s="16"/>
      <c r="AQ776" s="16"/>
      <c r="AR776" s="16"/>
      <c r="AS776" s="16"/>
      <c r="AT776" s="16"/>
      <c r="AU776" s="16"/>
      <c r="AV776" s="16"/>
      <c r="AW776" s="16"/>
      <c r="AX776" s="16"/>
      <c r="AY776" s="16"/>
      <c r="AZ776" s="16"/>
      <c r="BA776" s="16"/>
      <c r="BB776" s="16"/>
      <c r="BC776" s="16"/>
      <c r="BD776" s="16"/>
      <c r="BE776" s="16"/>
      <c r="BF776" s="16"/>
      <c r="BG776" s="16"/>
      <c r="BH776" s="16"/>
    </row>
    <row r="777" spans="6:60" s="21" customFormat="1">
      <c r="F777" s="9"/>
      <c r="J777" s="9"/>
      <c r="K777" s="9"/>
      <c r="L777" s="9"/>
      <c r="N777" s="9"/>
      <c r="O777" s="9"/>
      <c r="P777" s="9"/>
      <c r="Q777" s="9"/>
      <c r="R777" s="9"/>
      <c r="S777" s="12"/>
      <c r="T777" s="9"/>
      <c r="U777" s="9"/>
      <c r="V777" s="12"/>
      <c r="W777" s="12"/>
      <c r="X777" s="12"/>
      <c r="Y777" s="15"/>
      <c r="Z777" s="15"/>
      <c r="AA777" s="15"/>
      <c r="AB777" s="15"/>
      <c r="AC777" s="15"/>
      <c r="AD777" s="15"/>
      <c r="AE777" s="15"/>
      <c r="AF777" s="16"/>
      <c r="AG777" s="16"/>
      <c r="AH777" s="16"/>
      <c r="AI777" s="16"/>
      <c r="AJ777" s="16"/>
      <c r="AK777" s="16"/>
      <c r="AL777" s="16"/>
      <c r="AM777" s="16"/>
      <c r="AN777" s="16"/>
      <c r="AO777" s="16"/>
      <c r="AP777" s="16"/>
      <c r="AQ777" s="16"/>
      <c r="AR777" s="16"/>
      <c r="AS777" s="16"/>
      <c r="AT777" s="16"/>
      <c r="AU777" s="16"/>
      <c r="AV777" s="16"/>
      <c r="AW777" s="16"/>
      <c r="AX777" s="16"/>
      <c r="AY777" s="16"/>
      <c r="AZ777" s="16"/>
      <c r="BA777" s="16"/>
      <c r="BB777" s="16"/>
      <c r="BC777" s="16"/>
      <c r="BD777" s="16"/>
      <c r="BE777" s="16"/>
      <c r="BF777" s="16"/>
      <c r="BG777" s="16"/>
      <c r="BH777" s="16"/>
    </row>
    <row r="778" spans="6:60" s="21" customFormat="1">
      <c r="F778" s="9"/>
      <c r="J778" s="9"/>
      <c r="K778" s="9"/>
      <c r="L778" s="9"/>
      <c r="N778" s="9"/>
      <c r="O778" s="9"/>
      <c r="P778" s="9"/>
      <c r="Q778" s="9"/>
      <c r="R778" s="9"/>
      <c r="S778" s="12"/>
      <c r="T778" s="9"/>
      <c r="U778" s="9"/>
      <c r="V778" s="12"/>
      <c r="W778" s="12"/>
      <c r="X778" s="12"/>
      <c r="Y778" s="15"/>
      <c r="Z778" s="15"/>
      <c r="AA778" s="15"/>
      <c r="AB778" s="15"/>
      <c r="AC778" s="15"/>
      <c r="AD778" s="15"/>
      <c r="AE778" s="15"/>
      <c r="AF778" s="16"/>
      <c r="AG778" s="16"/>
      <c r="AH778" s="16"/>
      <c r="AI778" s="16"/>
      <c r="AJ778" s="16"/>
      <c r="AK778" s="16"/>
      <c r="AL778" s="16"/>
      <c r="AM778" s="16"/>
      <c r="AN778" s="16"/>
      <c r="AO778" s="16"/>
      <c r="AP778" s="16"/>
      <c r="AQ778" s="16"/>
      <c r="AR778" s="16"/>
      <c r="AS778" s="16"/>
      <c r="AT778" s="16"/>
      <c r="AU778" s="16"/>
      <c r="AV778" s="16"/>
      <c r="AW778" s="16"/>
      <c r="AX778" s="16"/>
      <c r="AY778" s="16"/>
      <c r="AZ778" s="16"/>
      <c r="BA778" s="16"/>
      <c r="BB778" s="16"/>
      <c r="BC778" s="16"/>
      <c r="BD778" s="16"/>
      <c r="BE778" s="16"/>
      <c r="BF778" s="16"/>
      <c r="BG778" s="16"/>
      <c r="BH778" s="16"/>
    </row>
    <row r="779" spans="6:60" s="21" customFormat="1">
      <c r="F779" s="9"/>
      <c r="J779" s="9"/>
      <c r="K779" s="9"/>
      <c r="L779" s="9"/>
      <c r="N779" s="9"/>
      <c r="O779" s="9"/>
      <c r="P779" s="9"/>
      <c r="Q779" s="9"/>
      <c r="R779" s="9"/>
      <c r="S779" s="12"/>
      <c r="T779" s="9"/>
      <c r="U779" s="9"/>
      <c r="V779" s="12"/>
      <c r="W779" s="12"/>
      <c r="X779" s="12"/>
      <c r="Y779" s="15"/>
      <c r="Z779" s="15"/>
      <c r="AA779" s="15"/>
      <c r="AB779" s="15"/>
      <c r="AC779" s="15"/>
      <c r="AD779" s="15"/>
      <c r="AE779" s="15"/>
      <c r="AF779" s="16"/>
      <c r="AG779" s="16"/>
      <c r="AH779" s="16"/>
      <c r="AI779" s="16"/>
      <c r="AJ779" s="16"/>
      <c r="AK779" s="16"/>
      <c r="AL779" s="16"/>
      <c r="AM779" s="16"/>
      <c r="AN779" s="16"/>
      <c r="AO779" s="16"/>
      <c r="AP779" s="16"/>
      <c r="AQ779" s="16"/>
      <c r="AR779" s="16"/>
      <c r="AS779" s="16"/>
      <c r="AT779" s="16"/>
      <c r="AU779" s="16"/>
      <c r="AV779" s="16"/>
      <c r="AW779" s="16"/>
      <c r="AX779" s="16"/>
      <c r="AY779" s="16"/>
      <c r="AZ779" s="16"/>
      <c r="BA779" s="16"/>
      <c r="BB779" s="16"/>
      <c r="BC779" s="16"/>
      <c r="BD779" s="16"/>
      <c r="BE779" s="16"/>
      <c r="BF779" s="16"/>
      <c r="BG779" s="16"/>
      <c r="BH779" s="16"/>
    </row>
    <row r="780" spans="6:60" s="21" customFormat="1">
      <c r="F780" s="9"/>
      <c r="J780" s="9"/>
      <c r="K780" s="9"/>
      <c r="L780" s="9"/>
      <c r="N780" s="9"/>
      <c r="O780" s="9"/>
      <c r="P780" s="9"/>
      <c r="Q780" s="9"/>
      <c r="R780" s="9"/>
      <c r="S780" s="12"/>
      <c r="T780" s="9"/>
      <c r="U780" s="9"/>
      <c r="V780" s="12"/>
      <c r="W780" s="12"/>
      <c r="X780" s="12"/>
      <c r="Y780" s="15"/>
      <c r="Z780" s="15"/>
      <c r="AA780" s="15"/>
      <c r="AB780" s="15"/>
      <c r="AC780" s="15"/>
      <c r="AD780" s="15"/>
      <c r="AE780" s="15"/>
      <c r="AF780" s="16"/>
      <c r="AG780" s="16"/>
      <c r="AH780" s="16"/>
      <c r="AI780" s="16"/>
      <c r="AJ780" s="16"/>
      <c r="AK780" s="16"/>
      <c r="AL780" s="16"/>
      <c r="AM780" s="16"/>
      <c r="AN780" s="16"/>
      <c r="AO780" s="16"/>
      <c r="AP780" s="16"/>
      <c r="AQ780" s="16"/>
      <c r="AR780" s="16"/>
      <c r="AS780" s="16"/>
      <c r="AT780" s="16"/>
      <c r="AU780" s="16"/>
      <c r="AV780" s="16"/>
      <c r="AW780" s="16"/>
      <c r="AX780" s="16"/>
      <c r="AY780" s="16"/>
      <c r="AZ780" s="16"/>
      <c r="BA780" s="16"/>
      <c r="BB780" s="16"/>
      <c r="BC780" s="16"/>
      <c r="BD780" s="16"/>
      <c r="BE780" s="16"/>
      <c r="BF780" s="16"/>
      <c r="BG780" s="16"/>
      <c r="BH780" s="16"/>
    </row>
    <row r="781" spans="6:60" s="21" customFormat="1">
      <c r="F781" s="9"/>
      <c r="J781" s="9"/>
      <c r="K781" s="9"/>
      <c r="L781" s="9"/>
      <c r="N781" s="9"/>
      <c r="O781" s="9"/>
      <c r="P781" s="9"/>
      <c r="Q781" s="9"/>
      <c r="R781" s="9"/>
      <c r="S781" s="12"/>
      <c r="T781" s="9"/>
      <c r="U781" s="9"/>
      <c r="V781" s="12"/>
      <c r="W781" s="12"/>
      <c r="X781" s="12"/>
      <c r="Y781" s="15"/>
      <c r="Z781" s="15"/>
      <c r="AA781" s="15"/>
      <c r="AB781" s="15"/>
      <c r="AC781" s="15"/>
      <c r="AD781" s="15"/>
      <c r="AE781" s="15"/>
      <c r="AF781" s="16"/>
      <c r="AG781" s="16"/>
      <c r="AH781" s="16"/>
      <c r="AI781" s="16"/>
      <c r="AJ781" s="16"/>
      <c r="AK781" s="16"/>
      <c r="AL781" s="16"/>
      <c r="AM781" s="16"/>
      <c r="AN781" s="16"/>
      <c r="AO781" s="16"/>
      <c r="AP781" s="16"/>
      <c r="AQ781" s="16"/>
      <c r="AR781" s="16"/>
      <c r="AS781" s="16"/>
      <c r="AT781" s="16"/>
      <c r="AU781" s="16"/>
      <c r="AV781" s="16"/>
      <c r="AW781" s="16"/>
      <c r="AX781" s="16"/>
      <c r="AY781" s="16"/>
      <c r="AZ781" s="16"/>
      <c r="BA781" s="16"/>
      <c r="BB781" s="16"/>
      <c r="BC781" s="16"/>
      <c r="BD781" s="16"/>
      <c r="BE781" s="16"/>
      <c r="BF781" s="16"/>
      <c r="BG781" s="16"/>
      <c r="BH781" s="16"/>
    </row>
    <row r="782" spans="6:60" s="21" customFormat="1">
      <c r="F782" s="9"/>
      <c r="J782" s="9"/>
      <c r="K782" s="9"/>
      <c r="L782" s="9"/>
      <c r="N782" s="9"/>
      <c r="O782" s="9"/>
      <c r="P782" s="9"/>
      <c r="Q782" s="9"/>
      <c r="R782" s="9"/>
      <c r="S782" s="12"/>
      <c r="T782" s="9"/>
      <c r="U782" s="9"/>
      <c r="V782" s="12"/>
      <c r="W782" s="12"/>
      <c r="X782" s="12"/>
      <c r="Y782" s="15"/>
      <c r="Z782" s="15"/>
      <c r="AA782" s="15"/>
      <c r="AB782" s="15"/>
      <c r="AC782" s="15"/>
      <c r="AD782" s="15"/>
      <c r="AE782" s="15"/>
      <c r="AF782" s="16"/>
      <c r="AG782" s="16"/>
      <c r="AH782" s="16"/>
      <c r="AI782" s="16"/>
      <c r="AJ782" s="16"/>
      <c r="AK782" s="16"/>
      <c r="AL782" s="16"/>
      <c r="AM782" s="16"/>
      <c r="AN782" s="16"/>
      <c r="AO782" s="16"/>
      <c r="AP782" s="16"/>
      <c r="AQ782" s="16"/>
      <c r="AR782" s="16"/>
      <c r="AS782" s="16"/>
      <c r="AT782" s="16"/>
      <c r="AU782" s="16"/>
      <c r="AV782" s="16"/>
      <c r="AW782" s="16"/>
      <c r="AX782" s="16"/>
      <c r="AY782" s="16"/>
      <c r="AZ782" s="16"/>
      <c r="BA782" s="16"/>
      <c r="BB782" s="16"/>
      <c r="BC782" s="16"/>
      <c r="BD782" s="16"/>
      <c r="BE782" s="16"/>
      <c r="BF782" s="16"/>
      <c r="BG782" s="16"/>
      <c r="BH782" s="16"/>
    </row>
    <row r="783" spans="6:60" s="21" customFormat="1">
      <c r="F783" s="9"/>
      <c r="J783" s="9"/>
      <c r="K783" s="9"/>
      <c r="L783" s="9"/>
      <c r="N783" s="9"/>
      <c r="O783" s="9"/>
      <c r="P783" s="9"/>
      <c r="Q783" s="9"/>
      <c r="R783" s="9"/>
      <c r="S783" s="12"/>
      <c r="T783" s="9"/>
      <c r="U783" s="9"/>
      <c r="V783" s="12"/>
      <c r="W783" s="12"/>
      <c r="X783" s="12"/>
      <c r="Y783" s="15"/>
      <c r="Z783" s="15"/>
      <c r="AA783" s="15"/>
      <c r="AB783" s="15"/>
      <c r="AC783" s="15"/>
      <c r="AD783" s="15"/>
      <c r="AE783" s="15"/>
      <c r="AF783" s="16"/>
      <c r="AG783" s="16"/>
      <c r="AH783" s="16"/>
      <c r="AI783" s="16"/>
      <c r="AJ783" s="16"/>
      <c r="AK783" s="16"/>
      <c r="AL783" s="16"/>
      <c r="AM783" s="16"/>
      <c r="AN783" s="16"/>
      <c r="AO783" s="16"/>
      <c r="AP783" s="16"/>
      <c r="AQ783" s="16"/>
      <c r="AR783" s="16"/>
      <c r="AS783" s="16"/>
      <c r="AT783" s="16"/>
      <c r="AU783" s="16"/>
      <c r="AV783" s="16"/>
      <c r="AW783" s="16"/>
      <c r="AX783" s="16"/>
      <c r="AY783" s="16"/>
      <c r="AZ783" s="16"/>
      <c r="BA783" s="16"/>
      <c r="BB783" s="16"/>
      <c r="BC783" s="16"/>
      <c r="BD783" s="16"/>
      <c r="BE783" s="16"/>
      <c r="BF783" s="16"/>
      <c r="BG783" s="16"/>
      <c r="BH783" s="16"/>
    </row>
    <row r="784" spans="6:60" s="21" customFormat="1">
      <c r="F784" s="9"/>
      <c r="J784" s="9"/>
      <c r="K784" s="9"/>
      <c r="L784" s="9"/>
      <c r="N784" s="9"/>
      <c r="O784" s="9"/>
      <c r="P784" s="9"/>
      <c r="Q784" s="9"/>
      <c r="R784" s="9"/>
      <c r="S784" s="12"/>
      <c r="T784" s="9"/>
      <c r="U784" s="9"/>
      <c r="V784" s="12"/>
      <c r="W784" s="12"/>
      <c r="X784" s="12"/>
      <c r="Y784" s="15"/>
      <c r="Z784" s="15"/>
      <c r="AA784" s="15"/>
      <c r="AB784" s="15"/>
      <c r="AC784" s="15"/>
      <c r="AD784" s="15"/>
      <c r="AE784" s="15"/>
      <c r="AF784" s="16"/>
      <c r="AG784" s="16"/>
      <c r="AH784" s="16"/>
      <c r="AI784" s="16"/>
      <c r="AJ784" s="16"/>
      <c r="AK784" s="16"/>
      <c r="AL784" s="16"/>
      <c r="AM784" s="16"/>
      <c r="AN784" s="16"/>
      <c r="AO784" s="16"/>
      <c r="AP784" s="16"/>
      <c r="AQ784" s="16"/>
      <c r="AR784" s="16"/>
      <c r="AS784" s="16"/>
      <c r="AT784" s="16"/>
      <c r="AU784" s="16"/>
      <c r="AV784" s="16"/>
      <c r="AW784" s="16"/>
      <c r="AX784" s="16"/>
      <c r="AY784" s="16"/>
      <c r="AZ784" s="16"/>
      <c r="BA784" s="16"/>
      <c r="BB784" s="16"/>
      <c r="BC784" s="16"/>
      <c r="BD784" s="16"/>
      <c r="BE784" s="16"/>
      <c r="BF784" s="16"/>
      <c r="BG784" s="16"/>
      <c r="BH784" s="16"/>
    </row>
    <row r="785" spans="6:60" s="21" customFormat="1">
      <c r="F785" s="9"/>
      <c r="J785" s="9"/>
      <c r="K785" s="9"/>
      <c r="L785" s="9"/>
      <c r="N785" s="9"/>
      <c r="O785" s="9"/>
      <c r="P785" s="9"/>
      <c r="Q785" s="9"/>
      <c r="R785" s="9"/>
      <c r="S785" s="12"/>
      <c r="T785" s="9"/>
      <c r="U785" s="9"/>
      <c r="V785" s="12"/>
      <c r="W785" s="12"/>
      <c r="X785" s="12"/>
      <c r="Y785" s="15"/>
      <c r="Z785" s="15"/>
      <c r="AA785" s="15"/>
      <c r="AB785" s="15"/>
      <c r="AC785" s="15"/>
      <c r="AD785" s="15"/>
      <c r="AE785" s="15"/>
      <c r="AF785" s="16"/>
      <c r="AG785" s="16"/>
      <c r="AH785" s="16"/>
      <c r="AI785" s="16"/>
      <c r="AJ785" s="16"/>
      <c r="AK785" s="16"/>
      <c r="AL785" s="16"/>
      <c r="AM785" s="16"/>
      <c r="AN785" s="16"/>
      <c r="AO785" s="16"/>
      <c r="AP785" s="16"/>
      <c r="AQ785" s="16"/>
      <c r="AR785" s="16"/>
      <c r="AS785" s="16"/>
      <c r="AT785" s="16"/>
      <c r="AU785" s="16"/>
      <c r="AV785" s="16"/>
      <c r="AW785" s="16"/>
      <c r="AX785" s="16"/>
      <c r="AY785" s="16"/>
      <c r="AZ785" s="16"/>
      <c r="BA785" s="16"/>
      <c r="BB785" s="16"/>
      <c r="BC785" s="16"/>
      <c r="BD785" s="16"/>
      <c r="BE785" s="16"/>
      <c r="BF785" s="16"/>
      <c r="BG785" s="16"/>
      <c r="BH785" s="16"/>
    </row>
    <row r="786" spans="6:60" s="21" customFormat="1">
      <c r="F786" s="9"/>
      <c r="J786" s="9"/>
      <c r="K786" s="9"/>
      <c r="L786" s="9"/>
      <c r="N786" s="9"/>
      <c r="O786" s="9"/>
      <c r="P786" s="9"/>
      <c r="Q786" s="9"/>
      <c r="R786" s="9"/>
      <c r="S786" s="12"/>
      <c r="T786" s="9"/>
      <c r="U786" s="9"/>
      <c r="V786" s="12"/>
      <c r="W786" s="12"/>
      <c r="X786" s="12"/>
      <c r="Y786" s="15"/>
      <c r="Z786" s="15"/>
      <c r="AA786" s="15"/>
      <c r="AB786" s="15"/>
      <c r="AC786" s="15"/>
      <c r="AD786" s="15"/>
      <c r="AE786" s="15"/>
      <c r="AF786" s="16"/>
      <c r="AG786" s="16"/>
      <c r="AH786" s="16"/>
      <c r="AI786" s="16"/>
      <c r="AJ786" s="16"/>
      <c r="AK786" s="16"/>
      <c r="AL786" s="16"/>
      <c r="AM786" s="16"/>
      <c r="AN786" s="16"/>
      <c r="AO786" s="16"/>
      <c r="AP786" s="16"/>
      <c r="AQ786" s="16"/>
      <c r="AR786" s="16"/>
      <c r="AS786" s="16"/>
      <c r="AT786" s="16"/>
      <c r="AU786" s="16"/>
      <c r="AV786" s="16"/>
      <c r="AW786" s="16"/>
      <c r="AX786" s="16"/>
      <c r="AY786" s="16"/>
      <c r="AZ786" s="16"/>
      <c r="BA786" s="16"/>
      <c r="BB786" s="16"/>
      <c r="BC786" s="16"/>
      <c r="BD786" s="16"/>
      <c r="BE786" s="16"/>
      <c r="BF786" s="16"/>
      <c r="BG786" s="16"/>
      <c r="BH786" s="16"/>
    </row>
    <row r="787" spans="6:60" s="21" customFormat="1">
      <c r="F787" s="9"/>
      <c r="J787" s="9"/>
      <c r="K787" s="9"/>
      <c r="L787" s="9"/>
      <c r="N787" s="9"/>
      <c r="O787" s="9"/>
      <c r="P787" s="9"/>
      <c r="Q787" s="9"/>
      <c r="R787" s="9"/>
      <c r="S787" s="12"/>
      <c r="T787" s="9"/>
      <c r="U787" s="9"/>
      <c r="V787" s="12"/>
      <c r="W787" s="12"/>
      <c r="X787" s="12"/>
      <c r="Y787" s="15"/>
      <c r="Z787" s="15"/>
      <c r="AA787" s="15"/>
      <c r="AB787" s="15"/>
      <c r="AC787" s="15"/>
      <c r="AD787" s="15"/>
      <c r="AE787" s="15"/>
      <c r="AF787" s="16"/>
      <c r="AG787" s="16"/>
      <c r="AH787" s="16"/>
      <c r="AI787" s="16"/>
      <c r="AJ787" s="16"/>
      <c r="AK787" s="16"/>
      <c r="AL787" s="16"/>
      <c r="AM787" s="16"/>
      <c r="AN787" s="16"/>
      <c r="AO787" s="16"/>
      <c r="AP787" s="16"/>
      <c r="AQ787" s="16"/>
      <c r="AR787" s="16"/>
      <c r="AS787" s="16"/>
      <c r="AT787" s="16"/>
      <c r="AU787" s="16"/>
      <c r="AV787" s="16"/>
      <c r="AW787" s="16"/>
      <c r="AX787" s="16"/>
      <c r="AY787" s="16"/>
      <c r="AZ787" s="16"/>
      <c r="BA787" s="16"/>
      <c r="BB787" s="16"/>
      <c r="BC787" s="16"/>
      <c r="BD787" s="16"/>
      <c r="BE787" s="16"/>
      <c r="BF787" s="16"/>
      <c r="BG787" s="16"/>
      <c r="BH787" s="16"/>
    </row>
    <row r="788" spans="6:60" s="21" customFormat="1">
      <c r="F788" s="9"/>
      <c r="J788" s="9"/>
      <c r="K788" s="9"/>
      <c r="L788" s="9"/>
      <c r="N788" s="9"/>
      <c r="O788" s="9"/>
      <c r="P788" s="9"/>
      <c r="Q788" s="9"/>
      <c r="R788" s="9"/>
      <c r="S788" s="12"/>
      <c r="T788" s="9"/>
      <c r="U788" s="9"/>
      <c r="V788" s="12"/>
      <c r="W788" s="12"/>
      <c r="X788" s="12"/>
      <c r="Y788" s="15"/>
      <c r="Z788" s="15"/>
      <c r="AA788" s="15"/>
      <c r="AB788" s="15"/>
      <c r="AC788" s="15"/>
      <c r="AD788" s="15"/>
      <c r="AE788" s="15"/>
      <c r="AF788" s="16"/>
      <c r="AG788" s="16"/>
      <c r="AH788" s="16"/>
      <c r="AI788" s="16"/>
      <c r="AJ788" s="16"/>
      <c r="AK788" s="16"/>
      <c r="AL788" s="16"/>
      <c r="AM788" s="16"/>
      <c r="AN788" s="16"/>
      <c r="AO788" s="16"/>
      <c r="AP788" s="16"/>
      <c r="AQ788" s="16"/>
      <c r="AR788" s="16"/>
      <c r="AS788" s="16"/>
      <c r="AT788" s="16"/>
      <c r="AU788" s="16"/>
      <c r="AV788" s="16"/>
      <c r="AW788" s="16"/>
      <c r="AX788" s="16"/>
      <c r="AY788" s="16"/>
      <c r="AZ788" s="16"/>
      <c r="BA788" s="16"/>
      <c r="BB788" s="16"/>
      <c r="BC788" s="16"/>
      <c r="BD788" s="16"/>
      <c r="BE788" s="16"/>
      <c r="BF788" s="16"/>
      <c r="BG788" s="16"/>
      <c r="BH788" s="16"/>
    </row>
    <row r="789" spans="6:60" s="21" customFormat="1">
      <c r="F789" s="9"/>
      <c r="J789" s="9"/>
      <c r="K789" s="9"/>
      <c r="L789" s="9"/>
      <c r="N789" s="9"/>
      <c r="O789" s="9"/>
      <c r="P789" s="9"/>
      <c r="Q789" s="9"/>
      <c r="R789" s="9"/>
      <c r="S789" s="12"/>
      <c r="T789" s="9"/>
      <c r="U789" s="9"/>
      <c r="V789" s="12"/>
      <c r="W789" s="12"/>
      <c r="X789" s="12"/>
      <c r="Y789" s="15"/>
      <c r="Z789" s="15"/>
      <c r="AA789" s="15"/>
      <c r="AB789" s="15"/>
      <c r="AC789" s="15"/>
      <c r="AD789" s="15"/>
      <c r="AE789" s="15"/>
      <c r="AF789" s="16"/>
      <c r="AG789" s="16"/>
      <c r="AH789" s="16"/>
      <c r="AI789" s="16"/>
      <c r="AJ789" s="16"/>
      <c r="AK789" s="16"/>
      <c r="AL789" s="16"/>
      <c r="AM789" s="16"/>
      <c r="AN789" s="16"/>
      <c r="AO789" s="16"/>
      <c r="AP789" s="16"/>
      <c r="AQ789" s="16"/>
      <c r="AR789" s="16"/>
      <c r="AS789" s="16"/>
      <c r="AT789" s="16"/>
      <c r="AU789" s="16"/>
      <c r="AV789" s="16"/>
      <c r="AW789" s="16"/>
      <c r="AX789" s="16"/>
      <c r="AY789" s="16"/>
      <c r="AZ789" s="16"/>
      <c r="BA789" s="16"/>
      <c r="BB789" s="16"/>
      <c r="BC789" s="16"/>
      <c r="BD789" s="16"/>
      <c r="BE789" s="16"/>
      <c r="BF789" s="16"/>
      <c r="BG789" s="16"/>
      <c r="BH789" s="16"/>
    </row>
    <row r="790" spans="6:60" s="21" customFormat="1">
      <c r="F790" s="9"/>
      <c r="J790" s="9"/>
      <c r="K790" s="9"/>
      <c r="L790" s="9"/>
      <c r="N790" s="9"/>
      <c r="O790" s="9"/>
      <c r="P790" s="9"/>
      <c r="Q790" s="9"/>
      <c r="R790" s="9"/>
      <c r="S790" s="12"/>
      <c r="T790" s="9"/>
      <c r="U790" s="9"/>
      <c r="V790" s="12"/>
      <c r="W790" s="12"/>
      <c r="X790" s="12"/>
      <c r="Y790" s="15"/>
      <c r="Z790" s="15"/>
      <c r="AA790" s="15"/>
      <c r="AB790" s="15"/>
      <c r="AC790" s="15"/>
      <c r="AD790" s="15"/>
      <c r="AE790" s="15"/>
      <c r="AF790" s="16"/>
      <c r="AG790" s="16"/>
      <c r="AH790" s="16"/>
      <c r="AI790" s="16"/>
      <c r="AJ790" s="16"/>
      <c r="AK790" s="16"/>
      <c r="AL790" s="16"/>
      <c r="AM790" s="16"/>
      <c r="AN790" s="16"/>
      <c r="AO790" s="16"/>
      <c r="AP790" s="16"/>
      <c r="AQ790" s="16"/>
      <c r="AR790" s="16"/>
      <c r="AS790" s="16"/>
      <c r="AT790" s="16"/>
      <c r="AU790" s="16"/>
      <c r="AV790" s="16"/>
      <c r="AW790" s="16"/>
      <c r="AX790" s="16"/>
      <c r="AY790" s="16"/>
      <c r="AZ790" s="16"/>
      <c r="BA790" s="16"/>
      <c r="BB790" s="16"/>
      <c r="BC790" s="16"/>
      <c r="BD790" s="16"/>
      <c r="BE790" s="16"/>
      <c r="BF790" s="16"/>
      <c r="BG790" s="16"/>
      <c r="BH790" s="16"/>
    </row>
    <row r="791" spans="6:60" s="21" customFormat="1">
      <c r="F791" s="9"/>
      <c r="J791" s="9"/>
      <c r="K791" s="9"/>
      <c r="L791" s="9"/>
      <c r="N791" s="9"/>
      <c r="O791" s="9"/>
      <c r="P791" s="9"/>
      <c r="Q791" s="9"/>
      <c r="R791" s="9"/>
      <c r="S791" s="12"/>
      <c r="T791" s="9"/>
      <c r="U791" s="9"/>
      <c r="V791" s="12"/>
      <c r="W791" s="12"/>
      <c r="X791" s="12"/>
      <c r="Y791" s="15"/>
      <c r="Z791" s="15"/>
      <c r="AA791" s="15"/>
      <c r="AB791" s="15"/>
      <c r="AC791" s="15"/>
      <c r="AD791" s="15"/>
      <c r="AE791" s="15"/>
      <c r="AF791" s="16"/>
      <c r="AG791" s="16"/>
      <c r="AH791" s="16"/>
      <c r="AI791" s="16"/>
      <c r="AJ791" s="16"/>
      <c r="AK791" s="16"/>
      <c r="AL791" s="16"/>
      <c r="AM791" s="16"/>
      <c r="AN791" s="16"/>
      <c r="AO791" s="16"/>
      <c r="AP791" s="16"/>
      <c r="AQ791" s="16"/>
      <c r="AR791" s="16"/>
      <c r="AS791" s="16"/>
      <c r="AT791" s="16"/>
      <c r="AU791" s="16"/>
      <c r="AV791" s="16"/>
      <c r="AW791" s="16"/>
      <c r="AX791" s="16"/>
      <c r="AY791" s="16"/>
      <c r="AZ791" s="16"/>
      <c r="BA791" s="16"/>
      <c r="BB791" s="16"/>
      <c r="BC791" s="16"/>
      <c r="BD791" s="16"/>
      <c r="BE791" s="16"/>
      <c r="BF791" s="16"/>
      <c r="BG791" s="16"/>
      <c r="BH791" s="16"/>
    </row>
    <row r="792" spans="6:60" s="21" customFormat="1">
      <c r="F792" s="9"/>
      <c r="J792" s="9"/>
      <c r="K792" s="9"/>
      <c r="L792" s="9"/>
      <c r="N792" s="9"/>
      <c r="O792" s="9"/>
      <c r="P792" s="9"/>
      <c r="Q792" s="9"/>
      <c r="R792" s="9"/>
      <c r="S792" s="12"/>
      <c r="T792" s="9"/>
      <c r="U792" s="9"/>
      <c r="V792" s="12"/>
      <c r="W792" s="12"/>
      <c r="X792" s="12"/>
      <c r="Y792" s="15"/>
      <c r="Z792" s="15"/>
      <c r="AA792" s="15"/>
      <c r="AB792" s="15"/>
      <c r="AC792" s="15"/>
      <c r="AD792" s="15"/>
      <c r="AE792" s="15"/>
      <c r="AF792" s="16"/>
      <c r="AG792" s="16"/>
      <c r="AH792" s="16"/>
      <c r="AI792" s="16"/>
      <c r="AJ792" s="16"/>
      <c r="AK792" s="16"/>
      <c r="AL792" s="16"/>
      <c r="AM792" s="16"/>
      <c r="AN792" s="16"/>
      <c r="AO792" s="16"/>
      <c r="AP792" s="16"/>
      <c r="AQ792" s="16"/>
      <c r="AR792" s="16"/>
      <c r="AS792" s="16"/>
      <c r="AT792" s="16"/>
      <c r="AU792" s="16"/>
      <c r="AV792" s="16"/>
      <c r="AW792" s="16"/>
      <c r="AX792" s="16"/>
      <c r="AY792" s="16"/>
      <c r="AZ792" s="16"/>
      <c r="BA792" s="16"/>
      <c r="BB792" s="16"/>
      <c r="BC792" s="16"/>
      <c r="BD792" s="16"/>
      <c r="BE792" s="16"/>
      <c r="BF792" s="16"/>
      <c r="BG792" s="16"/>
      <c r="BH792" s="16"/>
    </row>
    <row r="793" spans="6:60" s="21" customFormat="1">
      <c r="F793" s="9"/>
      <c r="J793" s="9"/>
      <c r="K793" s="9"/>
      <c r="L793" s="9"/>
      <c r="N793" s="9"/>
      <c r="O793" s="9"/>
      <c r="P793" s="9"/>
      <c r="Q793" s="9"/>
      <c r="R793" s="9"/>
      <c r="S793" s="12"/>
      <c r="T793" s="9"/>
      <c r="U793" s="9"/>
      <c r="V793" s="12"/>
      <c r="W793" s="12"/>
      <c r="X793" s="12"/>
      <c r="Y793" s="15"/>
      <c r="Z793" s="15"/>
      <c r="AA793" s="15"/>
      <c r="AB793" s="15"/>
      <c r="AC793" s="15"/>
      <c r="AD793" s="15"/>
      <c r="AE793" s="15"/>
      <c r="AF793" s="16"/>
      <c r="AG793" s="16"/>
      <c r="AH793" s="16"/>
      <c r="AI793" s="16"/>
      <c r="AJ793" s="16"/>
      <c r="AK793" s="16"/>
      <c r="AL793" s="16"/>
      <c r="AM793" s="16"/>
      <c r="AN793" s="16"/>
      <c r="AO793" s="16"/>
      <c r="AP793" s="16"/>
      <c r="AQ793" s="16"/>
      <c r="AR793" s="16"/>
      <c r="AS793" s="16"/>
      <c r="AT793" s="16"/>
      <c r="AU793" s="16"/>
      <c r="AV793" s="16"/>
      <c r="AW793" s="16"/>
      <c r="AX793" s="16"/>
      <c r="AY793" s="16"/>
      <c r="AZ793" s="16"/>
      <c r="BA793" s="16"/>
      <c r="BB793" s="16"/>
      <c r="BC793" s="16"/>
      <c r="BD793" s="16"/>
      <c r="BE793" s="16"/>
      <c r="BF793" s="16"/>
      <c r="BG793" s="16"/>
      <c r="BH793" s="16"/>
    </row>
    <row r="794" spans="6:60" s="21" customFormat="1">
      <c r="F794" s="9"/>
      <c r="J794" s="9"/>
      <c r="K794" s="9"/>
      <c r="L794" s="9"/>
      <c r="N794" s="9"/>
      <c r="O794" s="9"/>
      <c r="P794" s="9"/>
      <c r="Q794" s="9"/>
      <c r="R794" s="9"/>
      <c r="S794" s="12"/>
      <c r="T794" s="9"/>
      <c r="U794" s="9"/>
      <c r="V794" s="12"/>
      <c r="W794" s="12"/>
      <c r="X794" s="12"/>
      <c r="Y794" s="15"/>
      <c r="Z794" s="15"/>
      <c r="AA794" s="15"/>
      <c r="AB794" s="15"/>
      <c r="AC794" s="15"/>
      <c r="AD794" s="15"/>
      <c r="AE794" s="15"/>
      <c r="AF794" s="16"/>
      <c r="AG794" s="16"/>
      <c r="AH794" s="16"/>
      <c r="AI794" s="16"/>
      <c r="AJ794" s="16"/>
      <c r="AK794" s="16"/>
      <c r="AL794" s="16"/>
      <c r="AM794" s="16"/>
      <c r="AN794" s="16"/>
      <c r="AO794" s="16"/>
      <c r="AP794" s="16"/>
      <c r="AQ794" s="16"/>
      <c r="AR794" s="16"/>
      <c r="AS794" s="16"/>
      <c r="AT794" s="16"/>
      <c r="AU794" s="16"/>
      <c r="AV794" s="16"/>
      <c r="AW794" s="16"/>
      <c r="AX794" s="16"/>
      <c r="AY794" s="16"/>
      <c r="AZ794" s="16"/>
      <c r="BA794" s="16"/>
      <c r="BB794" s="16"/>
      <c r="BC794" s="16"/>
      <c r="BD794" s="16"/>
      <c r="BE794" s="16"/>
      <c r="BF794" s="16"/>
      <c r="BG794" s="16"/>
      <c r="BH794" s="16"/>
    </row>
    <row r="795" spans="6:60" s="21" customFormat="1">
      <c r="F795" s="9"/>
      <c r="J795" s="9"/>
      <c r="K795" s="9"/>
      <c r="L795" s="9"/>
      <c r="N795" s="9"/>
      <c r="O795" s="9"/>
      <c r="P795" s="9"/>
      <c r="Q795" s="9"/>
      <c r="R795" s="9"/>
      <c r="S795" s="12"/>
      <c r="T795" s="9"/>
      <c r="U795" s="9"/>
      <c r="V795" s="12"/>
      <c r="W795" s="12"/>
      <c r="X795" s="12"/>
      <c r="Y795" s="15"/>
      <c r="Z795" s="15"/>
      <c r="AA795" s="15"/>
      <c r="AB795" s="15"/>
      <c r="AC795" s="15"/>
      <c r="AD795" s="15"/>
      <c r="AE795" s="15"/>
      <c r="AF795" s="16"/>
      <c r="AG795" s="16"/>
      <c r="AH795" s="16"/>
      <c r="AI795" s="16"/>
      <c r="AJ795" s="16"/>
      <c r="AK795" s="16"/>
      <c r="AL795" s="16"/>
      <c r="AM795" s="16"/>
      <c r="AN795" s="16"/>
      <c r="AO795" s="16"/>
      <c r="AP795" s="16"/>
      <c r="AQ795" s="16"/>
      <c r="AR795" s="16"/>
      <c r="AS795" s="16"/>
      <c r="AT795" s="16"/>
      <c r="AU795" s="16"/>
      <c r="AV795" s="16"/>
      <c r="AW795" s="16"/>
      <c r="AX795" s="16"/>
      <c r="AY795" s="16"/>
      <c r="AZ795" s="16"/>
      <c r="BA795" s="16"/>
      <c r="BB795" s="16"/>
      <c r="BC795" s="16"/>
      <c r="BD795" s="16"/>
      <c r="BE795" s="16"/>
      <c r="BF795" s="16"/>
      <c r="BG795" s="16"/>
      <c r="BH795" s="16"/>
    </row>
    <row r="796" spans="6:60" s="21" customFormat="1">
      <c r="F796" s="9"/>
      <c r="J796" s="9"/>
      <c r="K796" s="9"/>
      <c r="L796" s="9"/>
      <c r="N796" s="9"/>
      <c r="O796" s="9"/>
      <c r="P796" s="9"/>
      <c r="Q796" s="9"/>
      <c r="R796" s="9"/>
      <c r="S796" s="12"/>
      <c r="T796" s="9"/>
      <c r="U796" s="9"/>
      <c r="V796" s="12"/>
      <c r="W796" s="12"/>
      <c r="X796" s="12"/>
      <c r="Y796" s="15"/>
      <c r="Z796" s="15"/>
      <c r="AA796" s="15"/>
      <c r="AB796" s="15"/>
      <c r="AC796" s="15"/>
      <c r="AD796" s="15"/>
      <c r="AE796" s="15"/>
      <c r="AF796" s="16"/>
      <c r="AG796" s="16"/>
      <c r="AH796" s="16"/>
      <c r="AI796" s="16"/>
      <c r="AJ796" s="16"/>
      <c r="AK796" s="16"/>
      <c r="AL796" s="16"/>
      <c r="AM796" s="16"/>
      <c r="AN796" s="16"/>
      <c r="AO796" s="16"/>
      <c r="AP796" s="16"/>
      <c r="AQ796" s="16"/>
      <c r="AR796" s="16"/>
      <c r="AS796" s="16"/>
      <c r="AT796" s="16"/>
      <c r="AU796" s="16"/>
      <c r="AV796" s="16"/>
      <c r="AW796" s="16"/>
      <c r="AX796" s="16"/>
      <c r="AY796" s="16"/>
      <c r="AZ796" s="16"/>
      <c r="BA796" s="16"/>
      <c r="BB796" s="16"/>
      <c r="BC796" s="16"/>
      <c r="BD796" s="16"/>
      <c r="BE796" s="16"/>
      <c r="BF796" s="16"/>
      <c r="BG796" s="16"/>
      <c r="BH796" s="16"/>
    </row>
    <row r="797" spans="6:60" s="21" customFormat="1">
      <c r="F797" s="9"/>
      <c r="J797" s="9"/>
      <c r="K797" s="9"/>
      <c r="L797" s="9"/>
      <c r="N797" s="9"/>
      <c r="O797" s="9"/>
      <c r="P797" s="9"/>
      <c r="Q797" s="9"/>
      <c r="R797" s="9"/>
      <c r="S797" s="12"/>
      <c r="T797" s="9"/>
      <c r="U797" s="9"/>
      <c r="V797" s="12"/>
      <c r="W797" s="12"/>
      <c r="X797" s="12"/>
      <c r="Y797" s="15"/>
      <c r="Z797" s="15"/>
      <c r="AA797" s="15"/>
      <c r="AB797" s="15"/>
      <c r="AC797" s="15"/>
      <c r="AD797" s="15"/>
      <c r="AE797" s="15"/>
      <c r="AF797" s="16"/>
      <c r="AG797" s="16"/>
      <c r="AH797" s="16"/>
      <c r="AI797" s="16"/>
      <c r="AJ797" s="16"/>
      <c r="AK797" s="16"/>
      <c r="AL797" s="16"/>
      <c r="AM797" s="16"/>
      <c r="AN797" s="16"/>
      <c r="AO797" s="16"/>
      <c r="AP797" s="16"/>
      <c r="AQ797" s="16"/>
      <c r="AR797" s="16"/>
      <c r="AS797" s="16"/>
      <c r="AT797" s="16"/>
      <c r="AU797" s="16"/>
      <c r="AV797" s="16"/>
      <c r="AW797" s="16"/>
      <c r="AX797" s="16"/>
      <c r="AY797" s="16"/>
      <c r="AZ797" s="16"/>
      <c r="BA797" s="16"/>
      <c r="BB797" s="16"/>
      <c r="BC797" s="16"/>
      <c r="BD797" s="16"/>
      <c r="BE797" s="16"/>
      <c r="BF797" s="16"/>
      <c r="BG797" s="16"/>
      <c r="BH797" s="16"/>
    </row>
    <row r="798" spans="6:60" s="21" customFormat="1">
      <c r="F798" s="9"/>
      <c r="J798" s="9"/>
      <c r="K798" s="9"/>
      <c r="L798" s="9"/>
      <c r="N798" s="9"/>
      <c r="O798" s="9"/>
      <c r="P798" s="9"/>
      <c r="Q798" s="9"/>
      <c r="R798" s="9"/>
      <c r="S798" s="12"/>
      <c r="T798" s="9"/>
      <c r="U798" s="9"/>
      <c r="V798" s="12"/>
      <c r="W798" s="12"/>
      <c r="X798" s="12"/>
      <c r="Y798" s="15"/>
      <c r="Z798" s="15"/>
      <c r="AA798" s="15"/>
      <c r="AB798" s="15"/>
      <c r="AC798" s="15"/>
      <c r="AD798" s="15"/>
      <c r="AE798" s="15"/>
      <c r="AF798" s="16"/>
      <c r="AG798" s="16"/>
      <c r="AH798" s="16"/>
      <c r="AI798" s="16"/>
      <c r="AJ798" s="16"/>
      <c r="AK798" s="16"/>
      <c r="AL798" s="16"/>
      <c r="AM798" s="16"/>
      <c r="AN798" s="16"/>
      <c r="AO798" s="16"/>
      <c r="AP798" s="16"/>
      <c r="AQ798" s="16"/>
      <c r="AR798" s="16"/>
      <c r="AS798" s="16"/>
      <c r="AT798" s="16"/>
      <c r="AU798" s="16"/>
      <c r="AV798" s="16"/>
      <c r="AW798" s="16"/>
      <c r="AX798" s="16"/>
      <c r="AY798" s="16"/>
      <c r="AZ798" s="16"/>
      <c r="BA798" s="16"/>
      <c r="BB798" s="16"/>
      <c r="BC798" s="16"/>
      <c r="BD798" s="16"/>
      <c r="BE798" s="16"/>
      <c r="BF798" s="16"/>
      <c r="BG798" s="16"/>
      <c r="BH798" s="16"/>
    </row>
    <row r="799" spans="6:60" s="21" customFormat="1">
      <c r="F799" s="9"/>
      <c r="J799" s="9"/>
      <c r="K799" s="9"/>
      <c r="L799" s="9"/>
      <c r="N799" s="9"/>
      <c r="O799" s="9"/>
      <c r="P799" s="9"/>
      <c r="Q799" s="9"/>
      <c r="R799" s="9"/>
      <c r="S799" s="12"/>
      <c r="T799" s="9"/>
      <c r="U799" s="9"/>
      <c r="V799" s="12"/>
      <c r="W799" s="12"/>
      <c r="X799" s="12"/>
      <c r="Y799" s="15"/>
      <c r="Z799" s="15"/>
      <c r="AA799" s="15"/>
      <c r="AB799" s="15"/>
      <c r="AC799" s="15"/>
      <c r="AD799" s="15"/>
      <c r="AE799" s="15"/>
      <c r="AF799" s="16"/>
      <c r="AG799" s="16"/>
      <c r="AH799" s="16"/>
      <c r="AI799" s="16"/>
      <c r="AJ799" s="16"/>
      <c r="AK799" s="16"/>
      <c r="AL799" s="16"/>
      <c r="AM799" s="16"/>
      <c r="AN799" s="16"/>
      <c r="AO799" s="16"/>
      <c r="AP799" s="16"/>
      <c r="AQ799" s="16"/>
      <c r="AR799" s="16"/>
      <c r="AS799" s="16"/>
      <c r="AT799" s="16"/>
      <c r="AU799" s="16"/>
      <c r="AV799" s="16"/>
      <c r="AW799" s="16"/>
      <c r="AX799" s="16"/>
      <c r="AY799" s="16"/>
      <c r="AZ799" s="16"/>
      <c r="BA799" s="16"/>
      <c r="BB799" s="16"/>
      <c r="BC799" s="16"/>
      <c r="BD799" s="16"/>
      <c r="BE799" s="16"/>
      <c r="BF799" s="16"/>
      <c r="BG799" s="16"/>
      <c r="BH799" s="16"/>
    </row>
    <row r="800" spans="6:60" s="21" customFormat="1">
      <c r="F800" s="9"/>
      <c r="J800" s="9"/>
      <c r="K800" s="9"/>
      <c r="L800" s="9"/>
      <c r="N800" s="9"/>
      <c r="O800" s="9"/>
      <c r="P800" s="9"/>
      <c r="Q800" s="9"/>
      <c r="R800" s="9"/>
      <c r="S800" s="12"/>
      <c r="T800" s="9"/>
      <c r="U800" s="9"/>
      <c r="V800" s="12"/>
      <c r="W800" s="12"/>
      <c r="X800" s="12"/>
      <c r="Y800" s="15"/>
      <c r="Z800" s="15"/>
      <c r="AA800" s="15"/>
      <c r="AB800" s="15"/>
      <c r="AC800" s="15"/>
      <c r="AD800" s="15"/>
      <c r="AE800" s="15"/>
      <c r="AF800" s="16"/>
      <c r="AG800" s="16"/>
      <c r="AH800" s="16"/>
      <c r="AI800" s="16"/>
      <c r="AJ800" s="16"/>
      <c r="AK800" s="16"/>
      <c r="AL800" s="16"/>
      <c r="AM800" s="16"/>
      <c r="AN800" s="16"/>
      <c r="AO800" s="16"/>
      <c r="AP800" s="16"/>
      <c r="AQ800" s="16"/>
      <c r="AR800" s="16"/>
      <c r="AS800" s="16"/>
      <c r="AT800" s="16"/>
      <c r="AU800" s="16"/>
      <c r="AV800" s="16"/>
      <c r="AW800" s="16"/>
      <c r="AX800" s="16"/>
      <c r="AY800" s="16"/>
      <c r="AZ800" s="16"/>
      <c r="BA800" s="16"/>
      <c r="BB800" s="16"/>
      <c r="BC800" s="16"/>
      <c r="BD800" s="16"/>
      <c r="BE800" s="16"/>
      <c r="BF800" s="16"/>
      <c r="BG800" s="16"/>
      <c r="BH800" s="16"/>
    </row>
    <row r="801" spans="6:60" s="21" customFormat="1">
      <c r="F801" s="9"/>
      <c r="J801" s="9"/>
      <c r="K801" s="9"/>
      <c r="L801" s="9"/>
      <c r="N801" s="9"/>
      <c r="O801" s="9"/>
      <c r="P801" s="9"/>
      <c r="Q801" s="9"/>
      <c r="R801" s="9"/>
      <c r="S801" s="12"/>
      <c r="T801" s="9"/>
      <c r="U801" s="9"/>
      <c r="V801" s="12"/>
      <c r="W801" s="12"/>
      <c r="X801" s="12"/>
      <c r="Y801" s="15"/>
      <c r="Z801" s="15"/>
      <c r="AA801" s="15"/>
      <c r="AB801" s="15"/>
      <c r="AC801" s="15"/>
      <c r="AD801" s="15"/>
      <c r="AE801" s="15"/>
      <c r="AF801" s="16"/>
      <c r="AG801" s="16"/>
      <c r="AH801" s="16"/>
      <c r="AI801" s="16"/>
      <c r="AJ801" s="16"/>
      <c r="AK801" s="16"/>
      <c r="AL801" s="16"/>
      <c r="AM801" s="16"/>
      <c r="AN801" s="16"/>
      <c r="AO801" s="16"/>
      <c r="AP801" s="16"/>
      <c r="AQ801" s="16"/>
      <c r="AR801" s="16"/>
      <c r="AS801" s="16"/>
      <c r="AT801" s="16"/>
      <c r="AU801" s="16"/>
      <c r="AV801" s="16"/>
      <c r="AW801" s="16"/>
      <c r="AX801" s="16"/>
      <c r="AY801" s="16"/>
      <c r="AZ801" s="16"/>
      <c r="BA801" s="16"/>
      <c r="BB801" s="16"/>
      <c r="BC801" s="16"/>
      <c r="BD801" s="16"/>
      <c r="BE801" s="16"/>
      <c r="BF801" s="16"/>
      <c r="BG801" s="16"/>
      <c r="BH801" s="16"/>
    </row>
    <row r="802" spans="6:60" s="21" customFormat="1">
      <c r="F802" s="9"/>
      <c r="J802" s="9"/>
      <c r="K802" s="9"/>
      <c r="L802" s="9"/>
      <c r="N802" s="9"/>
      <c r="O802" s="9"/>
      <c r="P802" s="9"/>
      <c r="Q802" s="9"/>
      <c r="R802" s="9"/>
      <c r="S802" s="12"/>
      <c r="T802" s="9"/>
      <c r="U802" s="9"/>
      <c r="V802" s="12"/>
      <c r="W802" s="12"/>
      <c r="X802" s="12"/>
      <c r="Y802" s="15"/>
      <c r="Z802" s="15"/>
      <c r="AA802" s="15"/>
      <c r="AB802" s="15"/>
      <c r="AC802" s="15"/>
      <c r="AD802" s="15"/>
      <c r="AE802" s="15"/>
      <c r="AF802" s="16"/>
      <c r="AG802" s="16"/>
      <c r="AH802" s="16"/>
      <c r="AI802" s="16"/>
      <c r="AJ802" s="16"/>
      <c r="AK802" s="16"/>
      <c r="AL802" s="16"/>
      <c r="AM802" s="16"/>
      <c r="AN802" s="16"/>
      <c r="AO802" s="16"/>
      <c r="AP802" s="16"/>
      <c r="AQ802" s="16"/>
      <c r="AR802" s="16"/>
      <c r="AS802" s="16"/>
      <c r="AT802" s="16"/>
      <c r="AU802" s="16"/>
      <c r="AV802" s="16"/>
      <c r="AW802" s="16"/>
      <c r="AX802" s="16"/>
      <c r="AY802" s="16"/>
      <c r="AZ802" s="16"/>
      <c r="BA802" s="16"/>
      <c r="BB802" s="16"/>
      <c r="BC802" s="16"/>
      <c r="BD802" s="16"/>
      <c r="BE802" s="16"/>
      <c r="BF802" s="16"/>
      <c r="BG802" s="16"/>
      <c r="BH802" s="16"/>
    </row>
    <row r="803" spans="6:60" s="21" customFormat="1">
      <c r="F803" s="9"/>
      <c r="J803" s="9"/>
      <c r="K803" s="9"/>
      <c r="L803" s="9"/>
      <c r="N803" s="9"/>
      <c r="O803" s="9"/>
      <c r="P803" s="9"/>
      <c r="Q803" s="9"/>
      <c r="R803" s="9"/>
      <c r="S803" s="12"/>
      <c r="T803" s="9"/>
      <c r="U803" s="9"/>
      <c r="V803" s="12"/>
      <c r="W803" s="12"/>
      <c r="X803" s="12"/>
      <c r="Y803" s="15"/>
      <c r="Z803" s="15"/>
      <c r="AA803" s="15"/>
      <c r="AB803" s="15"/>
      <c r="AC803" s="15"/>
      <c r="AD803" s="15"/>
      <c r="AE803" s="15"/>
      <c r="AF803" s="16"/>
      <c r="AG803" s="16"/>
      <c r="AH803" s="16"/>
      <c r="AI803" s="16"/>
      <c r="AJ803" s="16"/>
      <c r="AK803" s="16"/>
      <c r="AL803" s="16"/>
      <c r="AM803" s="16"/>
      <c r="AN803" s="16"/>
      <c r="AO803" s="16"/>
      <c r="AP803" s="16"/>
      <c r="AQ803" s="16"/>
      <c r="AR803" s="16"/>
      <c r="AS803" s="16"/>
      <c r="AT803" s="16"/>
      <c r="AU803" s="16"/>
      <c r="AV803" s="16"/>
      <c r="AW803" s="16"/>
      <c r="AX803" s="16"/>
      <c r="AY803" s="16"/>
      <c r="AZ803" s="16"/>
      <c r="BA803" s="16"/>
      <c r="BB803" s="16"/>
      <c r="BC803" s="16"/>
      <c r="BD803" s="16"/>
      <c r="BE803" s="16"/>
      <c r="BF803" s="16"/>
      <c r="BG803" s="16"/>
      <c r="BH803" s="16"/>
    </row>
    <row r="804" spans="6:60" s="21" customFormat="1">
      <c r="F804" s="9"/>
      <c r="J804" s="9"/>
      <c r="K804" s="9"/>
      <c r="L804" s="9"/>
      <c r="N804" s="9"/>
      <c r="O804" s="9"/>
      <c r="P804" s="9"/>
      <c r="Q804" s="9"/>
      <c r="R804" s="9"/>
      <c r="S804" s="12"/>
      <c r="T804" s="9"/>
      <c r="U804" s="9"/>
      <c r="V804" s="12"/>
      <c r="W804" s="12"/>
      <c r="X804" s="12"/>
      <c r="Y804" s="15"/>
      <c r="Z804" s="15"/>
      <c r="AA804" s="15"/>
      <c r="AB804" s="15"/>
      <c r="AC804" s="15"/>
      <c r="AD804" s="15"/>
      <c r="AE804" s="15"/>
      <c r="AF804" s="16"/>
      <c r="AG804" s="16"/>
      <c r="AH804" s="16"/>
      <c r="AI804" s="16"/>
      <c r="AJ804" s="16"/>
      <c r="AK804" s="16"/>
      <c r="AL804" s="16"/>
      <c r="AM804" s="16"/>
      <c r="AN804" s="16"/>
      <c r="AO804" s="16"/>
      <c r="AP804" s="16"/>
      <c r="AQ804" s="16"/>
      <c r="AR804" s="16"/>
      <c r="AS804" s="16"/>
      <c r="AT804" s="16"/>
      <c r="AU804" s="16"/>
      <c r="AV804" s="16"/>
      <c r="AW804" s="16"/>
      <c r="AX804" s="16"/>
      <c r="AY804" s="16"/>
      <c r="AZ804" s="16"/>
      <c r="BA804" s="16"/>
      <c r="BB804" s="16"/>
      <c r="BC804" s="16"/>
      <c r="BD804" s="16"/>
      <c r="BE804" s="16"/>
      <c r="BF804" s="16"/>
      <c r="BG804" s="16"/>
      <c r="BH804" s="16"/>
    </row>
    <row r="805" spans="6:60" s="21" customFormat="1">
      <c r="F805" s="9"/>
      <c r="J805" s="9"/>
      <c r="K805" s="9"/>
      <c r="L805" s="9"/>
      <c r="N805" s="9"/>
      <c r="O805" s="9"/>
      <c r="P805" s="9"/>
      <c r="Q805" s="9"/>
      <c r="R805" s="9"/>
      <c r="S805" s="12"/>
      <c r="T805" s="9"/>
      <c r="U805" s="9"/>
      <c r="V805" s="12"/>
      <c r="W805" s="12"/>
      <c r="X805" s="12"/>
      <c r="Y805" s="15"/>
      <c r="Z805" s="15"/>
      <c r="AA805" s="15"/>
      <c r="AB805" s="15"/>
      <c r="AC805" s="15"/>
      <c r="AD805" s="15"/>
      <c r="AE805" s="15"/>
      <c r="AF805" s="16"/>
      <c r="AG805" s="16"/>
      <c r="AH805" s="16"/>
      <c r="AI805" s="16"/>
      <c r="AJ805" s="16"/>
      <c r="AK805" s="16"/>
      <c r="AL805" s="16"/>
      <c r="AM805" s="16"/>
      <c r="AN805" s="16"/>
      <c r="AO805" s="16"/>
      <c r="AP805" s="16"/>
      <c r="AQ805" s="16"/>
      <c r="AR805" s="16"/>
      <c r="AS805" s="16"/>
      <c r="AT805" s="16"/>
      <c r="AU805" s="16"/>
      <c r="AV805" s="16"/>
      <c r="AW805" s="16"/>
      <c r="AX805" s="16"/>
      <c r="AY805" s="16"/>
      <c r="AZ805" s="16"/>
      <c r="BA805" s="16"/>
      <c r="BB805" s="16"/>
      <c r="BC805" s="16"/>
      <c r="BD805" s="16"/>
      <c r="BE805" s="16"/>
      <c r="BF805" s="16"/>
      <c r="BG805" s="16"/>
      <c r="BH805" s="16"/>
    </row>
    <row r="806" spans="6:60" s="21" customFormat="1">
      <c r="F806" s="9"/>
      <c r="J806" s="9"/>
      <c r="K806" s="9"/>
      <c r="L806" s="9"/>
      <c r="N806" s="9"/>
      <c r="O806" s="9"/>
      <c r="P806" s="9"/>
      <c r="Q806" s="9"/>
      <c r="R806" s="9"/>
      <c r="S806" s="12"/>
      <c r="T806" s="9"/>
      <c r="U806" s="9"/>
      <c r="V806" s="12"/>
      <c r="W806" s="12"/>
      <c r="X806" s="12"/>
      <c r="Y806" s="15"/>
      <c r="Z806" s="15"/>
      <c r="AA806" s="15"/>
      <c r="AB806" s="15"/>
      <c r="AC806" s="15"/>
      <c r="AD806" s="15"/>
      <c r="AE806" s="15"/>
      <c r="AF806" s="16"/>
      <c r="AG806" s="16"/>
      <c r="AH806" s="16"/>
      <c r="AI806" s="16"/>
      <c r="AJ806" s="16"/>
      <c r="AK806" s="16"/>
      <c r="AL806" s="16"/>
      <c r="AM806" s="16"/>
      <c r="AN806" s="16"/>
      <c r="AO806" s="16"/>
      <c r="AP806" s="16"/>
      <c r="AQ806" s="16"/>
      <c r="AR806" s="16"/>
      <c r="AS806" s="16"/>
      <c r="AT806" s="16"/>
      <c r="AU806" s="16"/>
      <c r="AV806" s="16"/>
      <c r="AW806" s="16"/>
      <c r="AX806" s="16"/>
      <c r="AY806" s="16"/>
      <c r="AZ806" s="16"/>
      <c r="BA806" s="16"/>
      <c r="BB806" s="16"/>
      <c r="BC806" s="16"/>
      <c r="BD806" s="16"/>
      <c r="BE806" s="16"/>
      <c r="BF806" s="16"/>
      <c r="BG806" s="16"/>
      <c r="BH806" s="16"/>
    </row>
    <row r="807" spans="6:60" s="21" customFormat="1">
      <c r="F807" s="9"/>
      <c r="J807" s="9"/>
      <c r="K807" s="9"/>
      <c r="L807" s="9"/>
      <c r="N807" s="9"/>
      <c r="O807" s="9"/>
      <c r="P807" s="9"/>
      <c r="Q807" s="9"/>
      <c r="R807" s="9"/>
      <c r="S807" s="12"/>
      <c r="T807" s="9"/>
      <c r="U807" s="9"/>
      <c r="V807" s="12"/>
      <c r="W807" s="12"/>
      <c r="X807" s="12"/>
      <c r="Y807" s="15"/>
      <c r="Z807" s="15"/>
      <c r="AA807" s="15"/>
      <c r="AB807" s="15"/>
      <c r="AC807" s="15"/>
      <c r="AD807" s="15"/>
      <c r="AE807" s="15"/>
      <c r="AF807" s="16"/>
      <c r="AG807" s="16"/>
      <c r="AH807" s="16"/>
      <c r="AI807" s="16"/>
      <c r="AJ807" s="16"/>
      <c r="AK807" s="16"/>
      <c r="AL807" s="16"/>
      <c r="AM807" s="16"/>
      <c r="AN807" s="16"/>
      <c r="AO807" s="16"/>
      <c r="AP807" s="16"/>
      <c r="AQ807" s="16"/>
      <c r="AR807" s="16"/>
      <c r="AS807" s="16"/>
      <c r="AT807" s="16"/>
      <c r="AU807" s="16"/>
      <c r="AV807" s="16"/>
      <c r="AW807" s="16"/>
      <c r="AX807" s="16"/>
      <c r="AY807" s="16"/>
      <c r="AZ807" s="16"/>
      <c r="BA807" s="16"/>
      <c r="BB807" s="16"/>
      <c r="BC807" s="16"/>
      <c r="BD807" s="16"/>
      <c r="BE807" s="16"/>
      <c r="BF807" s="16"/>
      <c r="BG807" s="16"/>
      <c r="BH807" s="16"/>
    </row>
    <row r="808" spans="6:60" s="21" customFormat="1">
      <c r="F808" s="9"/>
      <c r="J808" s="9"/>
      <c r="K808" s="9"/>
      <c r="L808" s="9"/>
      <c r="N808" s="9"/>
      <c r="O808" s="9"/>
      <c r="P808" s="9"/>
      <c r="Q808" s="9"/>
      <c r="R808" s="9"/>
      <c r="S808" s="12"/>
      <c r="T808" s="9"/>
      <c r="U808" s="9"/>
      <c r="V808" s="12"/>
      <c r="W808" s="12"/>
      <c r="X808" s="12"/>
      <c r="Y808" s="15"/>
      <c r="Z808" s="15"/>
      <c r="AA808" s="15"/>
      <c r="AB808" s="15"/>
      <c r="AC808" s="15"/>
      <c r="AD808" s="15"/>
      <c r="AE808" s="15"/>
      <c r="AF808" s="16"/>
      <c r="AG808" s="16"/>
      <c r="AH808" s="16"/>
      <c r="AI808" s="16"/>
      <c r="AJ808" s="16"/>
      <c r="AK808" s="16"/>
      <c r="AL808" s="16"/>
      <c r="AM808" s="16"/>
      <c r="AN808" s="16"/>
      <c r="AO808" s="16"/>
      <c r="AP808" s="16"/>
      <c r="AQ808" s="16"/>
      <c r="AR808" s="16"/>
      <c r="AS808" s="16"/>
      <c r="AT808" s="16"/>
      <c r="AU808" s="16"/>
      <c r="AV808" s="16"/>
      <c r="AW808" s="16"/>
      <c r="AX808" s="16"/>
      <c r="AY808" s="16"/>
      <c r="AZ808" s="16"/>
      <c r="BA808" s="16"/>
      <c r="BB808" s="16"/>
      <c r="BC808" s="16"/>
      <c r="BD808" s="16"/>
      <c r="BE808" s="16"/>
      <c r="BF808" s="16"/>
      <c r="BG808" s="16"/>
      <c r="BH808" s="16"/>
    </row>
    <row r="809" spans="6:60" s="21" customFormat="1">
      <c r="F809" s="9"/>
      <c r="J809" s="9"/>
      <c r="K809" s="9"/>
      <c r="L809" s="9"/>
      <c r="N809" s="9"/>
      <c r="O809" s="9"/>
      <c r="P809" s="9"/>
      <c r="Q809" s="9"/>
      <c r="R809" s="9"/>
      <c r="S809" s="12"/>
      <c r="T809" s="9"/>
      <c r="U809" s="9"/>
      <c r="V809" s="12"/>
      <c r="W809" s="12"/>
      <c r="X809" s="12"/>
      <c r="Y809" s="15"/>
      <c r="Z809" s="15"/>
      <c r="AA809" s="15"/>
      <c r="AB809" s="15"/>
      <c r="AC809" s="15"/>
      <c r="AD809" s="15"/>
      <c r="AE809" s="15"/>
      <c r="AF809" s="16"/>
      <c r="AG809" s="16"/>
      <c r="AH809" s="16"/>
      <c r="AI809" s="16"/>
      <c r="AJ809" s="16"/>
      <c r="AK809" s="16"/>
      <c r="AL809" s="16"/>
      <c r="AM809" s="16"/>
      <c r="AN809" s="16"/>
      <c r="AO809" s="16"/>
      <c r="AP809" s="16"/>
      <c r="AQ809" s="16"/>
      <c r="AR809" s="16"/>
      <c r="AS809" s="16"/>
      <c r="AT809" s="16"/>
      <c r="AU809" s="16"/>
      <c r="AV809" s="16"/>
      <c r="AW809" s="16"/>
      <c r="AX809" s="16"/>
      <c r="AY809" s="16"/>
      <c r="AZ809" s="16"/>
      <c r="BA809" s="16"/>
      <c r="BB809" s="16"/>
      <c r="BC809" s="16"/>
      <c r="BD809" s="16"/>
      <c r="BE809" s="16"/>
      <c r="BF809" s="16"/>
      <c r="BG809" s="16"/>
      <c r="BH809" s="16"/>
    </row>
    <row r="810" spans="6:60" s="21" customFormat="1">
      <c r="F810" s="9"/>
      <c r="J810" s="9"/>
      <c r="K810" s="9"/>
      <c r="L810" s="9"/>
      <c r="N810" s="9"/>
      <c r="O810" s="9"/>
      <c r="P810" s="9"/>
      <c r="Q810" s="9"/>
      <c r="R810" s="9"/>
      <c r="S810" s="12"/>
      <c r="T810" s="9"/>
      <c r="U810" s="9"/>
      <c r="V810" s="12"/>
      <c r="W810" s="12"/>
      <c r="X810" s="12"/>
      <c r="Y810" s="15"/>
      <c r="Z810" s="15"/>
      <c r="AA810" s="15"/>
      <c r="AB810" s="15"/>
      <c r="AC810" s="15"/>
      <c r="AD810" s="15"/>
      <c r="AE810" s="15"/>
      <c r="AF810" s="16"/>
      <c r="AG810" s="16"/>
      <c r="AH810" s="16"/>
      <c r="AI810" s="16"/>
      <c r="AJ810" s="16"/>
      <c r="AK810" s="16"/>
      <c r="AL810" s="16"/>
      <c r="AM810" s="16"/>
      <c r="AN810" s="16"/>
      <c r="AO810" s="16"/>
      <c r="AP810" s="16"/>
      <c r="AQ810" s="16"/>
      <c r="AR810" s="16"/>
      <c r="AS810" s="16"/>
      <c r="AT810" s="16"/>
      <c r="AU810" s="16"/>
      <c r="AV810" s="16"/>
      <c r="AW810" s="16"/>
      <c r="AX810" s="16"/>
      <c r="AY810" s="16"/>
      <c r="AZ810" s="16"/>
      <c r="BA810" s="16"/>
      <c r="BB810" s="16"/>
      <c r="BC810" s="16"/>
      <c r="BD810" s="16"/>
      <c r="BE810" s="16"/>
      <c r="BF810" s="16"/>
      <c r="BG810" s="16"/>
      <c r="BH810" s="16"/>
    </row>
    <row r="811" spans="6:60" s="21" customFormat="1">
      <c r="F811" s="9"/>
      <c r="J811" s="9"/>
      <c r="K811" s="9"/>
      <c r="L811" s="9"/>
      <c r="N811" s="9"/>
      <c r="O811" s="9"/>
      <c r="P811" s="9"/>
      <c r="Q811" s="9"/>
      <c r="R811" s="9"/>
      <c r="S811" s="12"/>
      <c r="T811" s="9"/>
      <c r="U811" s="9"/>
      <c r="V811" s="12"/>
      <c r="W811" s="12"/>
      <c r="X811" s="12"/>
      <c r="Y811" s="15"/>
      <c r="Z811" s="15"/>
      <c r="AA811" s="15"/>
      <c r="AB811" s="15"/>
      <c r="AC811" s="15"/>
      <c r="AD811" s="15"/>
      <c r="AE811" s="15"/>
      <c r="AF811" s="16"/>
      <c r="AG811" s="16"/>
      <c r="AH811" s="16"/>
      <c r="AI811" s="16"/>
      <c r="AJ811" s="16"/>
      <c r="AK811" s="16"/>
      <c r="AL811" s="16"/>
      <c r="AM811" s="16"/>
      <c r="AN811" s="16"/>
      <c r="AO811" s="16"/>
      <c r="AP811" s="16"/>
      <c r="AQ811" s="16"/>
      <c r="AR811" s="16"/>
      <c r="AS811" s="16"/>
      <c r="AT811" s="16"/>
      <c r="AU811" s="16"/>
      <c r="AV811" s="16"/>
      <c r="AW811" s="16"/>
      <c r="AX811" s="16"/>
      <c r="AY811" s="16"/>
      <c r="AZ811" s="16"/>
      <c r="BA811" s="16"/>
      <c r="BB811" s="16"/>
      <c r="BC811" s="16"/>
      <c r="BD811" s="16"/>
      <c r="BE811" s="16"/>
      <c r="BF811" s="16"/>
      <c r="BG811" s="16"/>
      <c r="BH811" s="16"/>
    </row>
    <row r="812" spans="6:60" s="21" customFormat="1">
      <c r="F812" s="9"/>
      <c r="J812" s="9"/>
      <c r="K812" s="9"/>
      <c r="L812" s="9"/>
      <c r="N812" s="9"/>
      <c r="O812" s="9"/>
      <c r="P812" s="9"/>
      <c r="Q812" s="9"/>
      <c r="R812" s="9"/>
      <c r="S812" s="12"/>
      <c r="T812" s="9"/>
      <c r="U812" s="9"/>
      <c r="V812" s="12"/>
      <c r="W812" s="12"/>
      <c r="X812" s="12"/>
      <c r="Y812" s="15"/>
      <c r="Z812" s="15"/>
      <c r="AA812" s="15"/>
      <c r="AB812" s="15"/>
      <c r="AC812" s="15"/>
      <c r="AD812" s="15"/>
      <c r="AE812" s="15"/>
      <c r="AF812" s="16"/>
      <c r="AG812" s="16"/>
      <c r="AH812" s="16"/>
      <c r="AI812" s="16"/>
      <c r="AJ812" s="16"/>
      <c r="AK812" s="16"/>
      <c r="AL812" s="16"/>
      <c r="AM812" s="16"/>
      <c r="AN812" s="16"/>
      <c r="AO812" s="16"/>
      <c r="AP812" s="16"/>
      <c r="AQ812" s="16"/>
      <c r="AR812" s="16"/>
      <c r="AS812" s="16"/>
      <c r="AT812" s="16"/>
      <c r="AU812" s="16"/>
      <c r="AV812" s="16"/>
      <c r="AW812" s="16"/>
      <c r="AX812" s="16"/>
      <c r="AY812" s="16"/>
      <c r="AZ812" s="16"/>
      <c r="BA812" s="16"/>
      <c r="BB812" s="16"/>
      <c r="BC812" s="16"/>
      <c r="BD812" s="16"/>
      <c r="BE812" s="16"/>
      <c r="BF812" s="16"/>
      <c r="BG812" s="16"/>
      <c r="BH812" s="16"/>
    </row>
    <row r="813" spans="6:60" s="21" customFormat="1">
      <c r="F813" s="9"/>
      <c r="J813" s="9"/>
      <c r="K813" s="9"/>
      <c r="L813" s="9"/>
      <c r="N813" s="9"/>
      <c r="O813" s="9"/>
      <c r="P813" s="9"/>
      <c r="Q813" s="9"/>
      <c r="R813" s="9"/>
      <c r="S813" s="12"/>
      <c r="T813" s="9"/>
      <c r="U813" s="9"/>
      <c r="V813" s="12"/>
      <c r="W813" s="12"/>
      <c r="X813" s="12"/>
      <c r="Y813" s="15"/>
      <c r="Z813" s="15"/>
      <c r="AA813" s="15"/>
      <c r="AB813" s="15"/>
      <c r="AC813" s="15"/>
      <c r="AD813" s="15"/>
      <c r="AE813" s="15"/>
      <c r="AF813" s="16"/>
      <c r="AG813" s="16"/>
      <c r="AH813" s="16"/>
      <c r="AI813" s="16"/>
      <c r="AJ813" s="16"/>
      <c r="AK813" s="16"/>
      <c r="AL813" s="16"/>
      <c r="AM813" s="16"/>
      <c r="AN813" s="16"/>
      <c r="AO813" s="16"/>
      <c r="AP813" s="16"/>
      <c r="AQ813" s="16"/>
      <c r="AR813" s="16"/>
      <c r="AS813" s="16"/>
      <c r="AT813" s="16"/>
      <c r="AU813" s="16"/>
      <c r="AV813" s="16"/>
      <c r="AW813" s="16"/>
      <c r="AX813" s="16"/>
      <c r="AY813" s="16"/>
      <c r="AZ813" s="16"/>
      <c r="BA813" s="16"/>
      <c r="BB813" s="16"/>
      <c r="BC813" s="16"/>
      <c r="BD813" s="16"/>
      <c r="BE813" s="16"/>
      <c r="BF813" s="16"/>
      <c r="BG813" s="16"/>
      <c r="BH813" s="16"/>
    </row>
    <row r="814" spans="6:60" s="21" customFormat="1">
      <c r="F814" s="9"/>
      <c r="J814" s="9"/>
      <c r="K814" s="9"/>
      <c r="L814" s="9"/>
      <c r="N814" s="9"/>
      <c r="O814" s="9"/>
      <c r="P814" s="9"/>
      <c r="Q814" s="9"/>
      <c r="R814" s="9"/>
      <c r="S814" s="12"/>
      <c r="T814" s="9"/>
      <c r="U814" s="9"/>
      <c r="V814" s="12"/>
      <c r="W814" s="12"/>
      <c r="X814" s="12"/>
      <c r="Y814" s="15"/>
      <c r="Z814" s="15"/>
      <c r="AA814" s="15"/>
      <c r="AB814" s="15"/>
      <c r="AC814" s="15"/>
      <c r="AD814" s="15"/>
      <c r="AE814" s="15"/>
      <c r="AF814" s="16"/>
      <c r="AG814" s="16"/>
      <c r="AH814" s="16"/>
      <c r="AI814" s="16"/>
      <c r="AJ814" s="16"/>
      <c r="AK814" s="16"/>
      <c r="AL814" s="16"/>
      <c r="AM814" s="16"/>
      <c r="AN814" s="16"/>
      <c r="AO814" s="16"/>
      <c r="AP814" s="16"/>
      <c r="AQ814" s="16"/>
      <c r="AR814" s="16"/>
      <c r="AS814" s="16"/>
      <c r="AT814" s="16"/>
      <c r="AU814" s="16"/>
      <c r="AV814" s="16"/>
      <c r="AW814" s="16"/>
      <c r="AX814" s="16"/>
      <c r="AY814" s="16"/>
      <c r="AZ814" s="16"/>
      <c r="BA814" s="16"/>
      <c r="BB814" s="16"/>
      <c r="BC814" s="16"/>
      <c r="BD814" s="16"/>
      <c r="BE814" s="16"/>
      <c r="BF814" s="16"/>
      <c r="BG814" s="16"/>
      <c r="BH814" s="16"/>
    </row>
    <row r="815" spans="6:60" s="21" customFormat="1">
      <c r="F815" s="9"/>
      <c r="J815" s="9"/>
      <c r="K815" s="9"/>
      <c r="L815" s="9"/>
      <c r="N815" s="9"/>
      <c r="O815" s="9"/>
      <c r="P815" s="9"/>
      <c r="Q815" s="9"/>
      <c r="R815" s="9"/>
      <c r="S815" s="12"/>
      <c r="T815" s="9"/>
      <c r="U815" s="9"/>
      <c r="V815" s="12"/>
      <c r="W815" s="12"/>
      <c r="X815" s="12"/>
      <c r="Y815" s="15"/>
      <c r="Z815" s="15"/>
      <c r="AA815" s="15"/>
      <c r="AB815" s="15"/>
      <c r="AC815" s="15"/>
      <c r="AD815" s="15"/>
      <c r="AE815" s="15"/>
      <c r="AF815" s="16"/>
      <c r="AG815" s="16"/>
      <c r="AH815" s="16"/>
      <c r="AI815" s="16"/>
      <c r="AJ815" s="16"/>
      <c r="AK815" s="16"/>
      <c r="AL815" s="16"/>
      <c r="AM815" s="16"/>
      <c r="AN815" s="16"/>
      <c r="AO815" s="16"/>
      <c r="AP815" s="16"/>
      <c r="AQ815" s="16"/>
      <c r="AR815" s="16"/>
      <c r="AS815" s="16"/>
      <c r="AT815" s="16"/>
      <c r="AU815" s="16"/>
      <c r="AV815" s="16"/>
      <c r="AW815" s="16"/>
      <c r="AX815" s="16"/>
      <c r="AY815" s="16"/>
      <c r="AZ815" s="16"/>
      <c r="BA815" s="16"/>
      <c r="BB815" s="16"/>
      <c r="BC815" s="16"/>
      <c r="BD815" s="16"/>
      <c r="BE815" s="16"/>
      <c r="BF815" s="16"/>
      <c r="BG815" s="16"/>
      <c r="BH815" s="16"/>
    </row>
    <row r="816" spans="6:60" s="21" customFormat="1">
      <c r="F816" s="9"/>
      <c r="J816" s="9"/>
      <c r="K816" s="9"/>
      <c r="L816" s="9"/>
      <c r="N816" s="9"/>
      <c r="O816" s="9"/>
      <c r="P816" s="9"/>
      <c r="Q816" s="9"/>
      <c r="R816" s="9"/>
      <c r="S816" s="12"/>
      <c r="T816" s="9"/>
      <c r="U816" s="9"/>
      <c r="V816" s="12"/>
      <c r="W816" s="12"/>
      <c r="X816" s="12"/>
      <c r="Y816" s="15"/>
      <c r="Z816" s="15"/>
      <c r="AA816" s="15"/>
      <c r="AB816" s="15"/>
      <c r="AC816" s="15"/>
      <c r="AD816" s="15"/>
      <c r="AE816" s="15"/>
      <c r="AF816" s="16"/>
      <c r="AG816" s="16"/>
      <c r="AH816" s="16"/>
      <c r="AI816" s="16"/>
      <c r="AJ816" s="16"/>
      <c r="AK816" s="16"/>
      <c r="AL816" s="16"/>
      <c r="AM816" s="16"/>
      <c r="AN816" s="16"/>
      <c r="AO816" s="16"/>
      <c r="AP816" s="16"/>
      <c r="AQ816" s="16"/>
      <c r="AR816" s="16"/>
      <c r="AS816" s="16"/>
      <c r="AT816" s="16"/>
      <c r="AU816" s="16"/>
      <c r="AV816" s="16"/>
      <c r="AW816" s="16"/>
      <c r="AX816" s="16"/>
      <c r="AY816" s="16"/>
      <c r="AZ816" s="16"/>
      <c r="BA816" s="16"/>
      <c r="BB816" s="16"/>
      <c r="BC816" s="16"/>
      <c r="BD816" s="16"/>
      <c r="BE816" s="16"/>
      <c r="BF816" s="16"/>
      <c r="BG816" s="16"/>
      <c r="BH816" s="16"/>
    </row>
    <row r="817" spans="6:60" s="21" customFormat="1">
      <c r="F817" s="9"/>
      <c r="J817" s="9"/>
      <c r="K817" s="9"/>
      <c r="L817" s="9"/>
      <c r="N817" s="9"/>
      <c r="O817" s="9"/>
      <c r="P817" s="9"/>
      <c r="Q817" s="9"/>
      <c r="R817" s="9"/>
      <c r="S817" s="12"/>
      <c r="T817" s="9"/>
      <c r="U817" s="9"/>
      <c r="V817" s="12"/>
      <c r="W817" s="12"/>
      <c r="X817" s="12"/>
      <c r="Y817" s="15"/>
      <c r="Z817" s="15"/>
      <c r="AA817" s="15"/>
      <c r="AB817" s="15"/>
      <c r="AC817" s="15"/>
      <c r="AD817" s="15"/>
      <c r="AE817" s="15"/>
      <c r="AF817" s="16"/>
      <c r="AG817" s="16"/>
      <c r="AH817" s="16"/>
      <c r="AI817" s="16"/>
      <c r="AJ817" s="16"/>
      <c r="AK817" s="16"/>
      <c r="AL817" s="16"/>
      <c r="AM817" s="16"/>
      <c r="AN817" s="16"/>
      <c r="AO817" s="16"/>
      <c r="AP817" s="16"/>
      <c r="AQ817" s="16"/>
      <c r="AR817" s="16"/>
      <c r="AS817" s="16"/>
      <c r="AT817" s="16"/>
      <c r="AU817" s="16"/>
      <c r="AV817" s="16"/>
      <c r="AW817" s="16"/>
      <c r="AX817" s="16"/>
      <c r="AY817" s="16"/>
      <c r="AZ817" s="16"/>
      <c r="BA817" s="16"/>
      <c r="BB817" s="16"/>
      <c r="BC817" s="16"/>
      <c r="BD817" s="16"/>
      <c r="BE817" s="16"/>
      <c r="BF817" s="16"/>
      <c r="BG817" s="16"/>
      <c r="BH817" s="16"/>
    </row>
    <row r="818" spans="6:60" s="21" customFormat="1">
      <c r="F818" s="9"/>
      <c r="J818" s="9"/>
      <c r="K818" s="9"/>
      <c r="L818" s="9"/>
      <c r="N818" s="9"/>
      <c r="O818" s="9"/>
      <c r="P818" s="9"/>
      <c r="Q818" s="9"/>
      <c r="R818" s="9"/>
      <c r="S818" s="12"/>
      <c r="T818" s="9"/>
      <c r="U818" s="9"/>
      <c r="V818" s="12"/>
      <c r="W818" s="12"/>
      <c r="X818" s="12"/>
      <c r="Y818" s="15"/>
      <c r="Z818" s="15"/>
      <c r="AA818" s="15"/>
      <c r="AB818" s="15"/>
      <c r="AC818" s="15"/>
      <c r="AD818" s="15"/>
      <c r="AE818" s="15"/>
      <c r="AF818" s="16"/>
      <c r="AG818" s="16"/>
      <c r="AH818" s="16"/>
      <c r="AI818" s="16"/>
      <c r="AJ818" s="16"/>
      <c r="AK818" s="16"/>
      <c r="AL818" s="16"/>
      <c r="AM818" s="16"/>
      <c r="AN818" s="16"/>
      <c r="AO818" s="16"/>
      <c r="AP818" s="16"/>
      <c r="AQ818" s="16"/>
      <c r="AR818" s="16"/>
      <c r="AS818" s="16"/>
      <c r="AT818" s="16"/>
      <c r="AU818" s="16"/>
      <c r="AV818" s="16"/>
      <c r="AW818" s="16"/>
      <c r="AX818" s="16"/>
      <c r="AY818" s="16"/>
      <c r="AZ818" s="16"/>
      <c r="BA818" s="16"/>
      <c r="BB818" s="16"/>
      <c r="BC818" s="16"/>
      <c r="BD818" s="16"/>
      <c r="BE818" s="16"/>
      <c r="BF818" s="16"/>
      <c r="BG818" s="16"/>
      <c r="BH818" s="16"/>
    </row>
    <row r="819" spans="6:60" s="21" customFormat="1">
      <c r="F819" s="9"/>
      <c r="J819" s="9"/>
      <c r="K819" s="9"/>
      <c r="L819" s="9"/>
      <c r="N819" s="9"/>
      <c r="O819" s="9"/>
      <c r="P819" s="9"/>
      <c r="Q819" s="9"/>
      <c r="R819" s="9"/>
      <c r="S819" s="12"/>
      <c r="T819" s="9"/>
      <c r="U819" s="9"/>
      <c r="V819" s="12"/>
      <c r="W819" s="12"/>
      <c r="X819" s="12"/>
      <c r="Y819" s="15"/>
      <c r="Z819" s="15"/>
      <c r="AA819" s="15"/>
      <c r="AB819" s="15"/>
      <c r="AC819" s="15"/>
      <c r="AD819" s="15"/>
      <c r="AE819" s="15"/>
      <c r="AF819" s="16"/>
      <c r="AG819" s="16"/>
      <c r="AH819" s="16"/>
      <c r="AI819" s="16"/>
      <c r="AJ819" s="16"/>
      <c r="AK819" s="16"/>
      <c r="AL819" s="16"/>
      <c r="AM819" s="16"/>
      <c r="AN819" s="16"/>
      <c r="AO819" s="16"/>
      <c r="AP819" s="16"/>
      <c r="AQ819" s="16"/>
      <c r="AR819" s="16"/>
      <c r="AS819" s="16"/>
      <c r="AT819" s="16"/>
      <c r="AU819" s="16"/>
      <c r="AV819" s="16"/>
      <c r="AW819" s="16"/>
      <c r="AX819" s="16"/>
      <c r="AY819" s="16"/>
      <c r="AZ819" s="16"/>
      <c r="BA819" s="16"/>
      <c r="BB819" s="16"/>
      <c r="BC819" s="16"/>
      <c r="BD819" s="16"/>
      <c r="BE819" s="16"/>
      <c r="BF819" s="16"/>
      <c r="BG819" s="16"/>
      <c r="BH819" s="16"/>
    </row>
    <row r="820" spans="6:60" s="21" customFormat="1">
      <c r="F820" s="9"/>
      <c r="J820" s="9"/>
      <c r="K820" s="9"/>
      <c r="L820" s="9"/>
      <c r="N820" s="9"/>
      <c r="O820" s="9"/>
      <c r="P820" s="9"/>
      <c r="Q820" s="9"/>
      <c r="R820" s="9"/>
      <c r="S820" s="12"/>
      <c r="T820" s="9"/>
      <c r="U820" s="9"/>
      <c r="V820" s="12"/>
      <c r="W820" s="12"/>
      <c r="X820" s="12"/>
      <c r="Y820" s="15"/>
      <c r="Z820" s="15"/>
      <c r="AA820" s="15"/>
      <c r="AB820" s="15"/>
      <c r="AC820" s="15"/>
      <c r="AD820" s="15"/>
      <c r="AE820" s="15"/>
      <c r="AF820" s="16"/>
      <c r="AG820" s="16"/>
      <c r="AH820" s="16"/>
      <c r="AI820" s="16"/>
      <c r="AJ820" s="16"/>
      <c r="AK820" s="16"/>
      <c r="AL820" s="16"/>
      <c r="AM820" s="16"/>
      <c r="AN820" s="16"/>
      <c r="AO820" s="16"/>
      <c r="AP820" s="16"/>
      <c r="AQ820" s="16"/>
      <c r="AR820" s="16"/>
      <c r="AS820" s="16"/>
      <c r="AT820" s="16"/>
      <c r="AU820" s="16"/>
      <c r="AV820" s="16"/>
      <c r="AW820" s="16"/>
      <c r="AX820" s="16"/>
      <c r="AY820" s="16"/>
      <c r="AZ820" s="16"/>
      <c r="BA820" s="16"/>
      <c r="BB820" s="16"/>
      <c r="BC820" s="16"/>
      <c r="BD820" s="16"/>
      <c r="BE820" s="16"/>
      <c r="BF820" s="16"/>
      <c r="BG820" s="16"/>
      <c r="BH820" s="16"/>
    </row>
    <row r="821" spans="6:60" s="21" customFormat="1">
      <c r="F821" s="9"/>
      <c r="J821" s="9"/>
      <c r="K821" s="9"/>
      <c r="L821" s="9"/>
      <c r="N821" s="9"/>
      <c r="O821" s="9"/>
      <c r="P821" s="9"/>
      <c r="Q821" s="9"/>
      <c r="R821" s="9"/>
      <c r="S821" s="12"/>
      <c r="T821" s="9"/>
      <c r="U821" s="9"/>
      <c r="V821" s="12"/>
      <c r="W821" s="12"/>
      <c r="X821" s="12"/>
      <c r="Y821" s="15"/>
      <c r="Z821" s="15"/>
      <c r="AA821" s="15"/>
      <c r="AB821" s="15"/>
      <c r="AC821" s="15"/>
      <c r="AD821" s="15"/>
      <c r="AE821" s="15"/>
      <c r="AF821" s="16"/>
      <c r="AG821" s="16"/>
      <c r="AH821" s="16"/>
      <c r="AI821" s="16"/>
      <c r="AJ821" s="16"/>
      <c r="AK821" s="16"/>
      <c r="AL821" s="16"/>
      <c r="AM821" s="16"/>
      <c r="AN821" s="16"/>
      <c r="AO821" s="16"/>
      <c r="AP821" s="16"/>
      <c r="AQ821" s="16"/>
      <c r="AR821" s="16"/>
      <c r="AS821" s="16"/>
      <c r="AT821" s="16"/>
      <c r="AU821" s="16"/>
      <c r="AV821" s="16"/>
      <c r="AW821" s="16"/>
      <c r="AX821" s="16"/>
      <c r="AY821" s="16"/>
      <c r="AZ821" s="16"/>
      <c r="BA821" s="16"/>
      <c r="BB821" s="16"/>
      <c r="BC821" s="16"/>
      <c r="BD821" s="16"/>
      <c r="BE821" s="16"/>
      <c r="BF821" s="16"/>
      <c r="BG821" s="16"/>
      <c r="BH821" s="16"/>
    </row>
    <row r="822" spans="6:60" s="21" customFormat="1">
      <c r="F822" s="9"/>
      <c r="J822" s="9"/>
      <c r="K822" s="9"/>
      <c r="L822" s="9"/>
      <c r="N822" s="9"/>
      <c r="O822" s="9"/>
      <c r="P822" s="9"/>
      <c r="Q822" s="9"/>
      <c r="R822" s="9"/>
      <c r="S822" s="12"/>
      <c r="T822" s="9"/>
      <c r="U822" s="9"/>
      <c r="V822" s="12"/>
      <c r="W822" s="12"/>
      <c r="X822" s="12"/>
      <c r="Y822" s="15"/>
      <c r="Z822" s="15"/>
      <c r="AA822" s="15"/>
      <c r="AB822" s="15"/>
      <c r="AC822" s="15"/>
      <c r="AD822" s="15"/>
      <c r="AE822" s="15"/>
      <c r="AF822" s="16"/>
      <c r="AG822" s="16"/>
      <c r="AH822" s="16"/>
      <c r="AI822" s="16"/>
      <c r="AJ822" s="16"/>
      <c r="AK822" s="16"/>
      <c r="AL822" s="16"/>
      <c r="AM822" s="16"/>
      <c r="AN822" s="16"/>
      <c r="AO822" s="16"/>
      <c r="AP822" s="16"/>
      <c r="AQ822" s="16"/>
      <c r="AR822" s="16"/>
      <c r="AS822" s="16"/>
      <c r="AT822" s="16"/>
      <c r="AU822" s="16"/>
      <c r="AV822" s="16"/>
      <c r="AW822" s="16"/>
      <c r="AX822" s="16"/>
      <c r="AY822" s="16"/>
      <c r="AZ822" s="16"/>
      <c r="BA822" s="16"/>
      <c r="BB822" s="16"/>
      <c r="BC822" s="16"/>
      <c r="BD822" s="16"/>
      <c r="BE822" s="16"/>
      <c r="BF822" s="16"/>
      <c r="BG822" s="16"/>
      <c r="BH822" s="16"/>
    </row>
    <row r="823" spans="6:60" s="21" customFormat="1">
      <c r="F823" s="9"/>
      <c r="J823" s="9"/>
      <c r="K823" s="9"/>
      <c r="L823" s="9"/>
      <c r="N823" s="9"/>
      <c r="O823" s="9"/>
      <c r="P823" s="9"/>
      <c r="Q823" s="9"/>
      <c r="R823" s="9"/>
      <c r="S823" s="12"/>
      <c r="T823" s="9"/>
      <c r="U823" s="9"/>
      <c r="V823" s="12"/>
      <c r="W823" s="12"/>
      <c r="X823" s="12"/>
      <c r="Y823" s="15"/>
      <c r="Z823" s="15"/>
      <c r="AA823" s="15"/>
      <c r="AB823" s="15"/>
      <c r="AC823" s="15"/>
      <c r="AD823" s="15"/>
      <c r="AE823" s="15"/>
      <c r="AF823" s="16"/>
      <c r="AG823" s="16"/>
      <c r="AH823" s="16"/>
      <c r="AI823" s="16"/>
      <c r="AJ823" s="16"/>
      <c r="AK823" s="16"/>
      <c r="AL823" s="16"/>
      <c r="AM823" s="16"/>
      <c r="AN823" s="16"/>
      <c r="AO823" s="16"/>
      <c r="AP823" s="16"/>
      <c r="AQ823" s="16"/>
      <c r="AR823" s="16"/>
      <c r="AS823" s="16"/>
      <c r="AT823" s="16"/>
      <c r="AU823" s="16"/>
      <c r="AV823" s="16"/>
      <c r="AW823" s="16"/>
      <c r="AX823" s="16"/>
      <c r="AY823" s="16"/>
      <c r="AZ823" s="16"/>
      <c r="BA823" s="16"/>
      <c r="BB823" s="16"/>
      <c r="BC823" s="16"/>
      <c r="BD823" s="16"/>
      <c r="BE823" s="16"/>
      <c r="BF823" s="16"/>
      <c r="BG823" s="16"/>
      <c r="BH823" s="16"/>
    </row>
    <row r="824" spans="6:60" s="21" customFormat="1">
      <c r="F824" s="9"/>
      <c r="J824" s="9"/>
      <c r="K824" s="9"/>
      <c r="L824" s="9"/>
      <c r="N824" s="9"/>
      <c r="O824" s="9"/>
      <c r="P824" s="9"/>
      <c r="Q824" s="9"/>
      <c r="R824" s="9"/>
      <c r="S824" s="12"/>
      <c r="T824" s="9"/>
      <c r="U824" s="9"/>
      <c r="V824" s="12"/>
      <c r="W824" s="12"/>
      <c r="X824" s="12"/>
      <c r="Y824" s="15"/>
      <c r="Z824" s="15"/>
      <c r="AA824" s="15"/>
      <c r="AB824" s="15"/>
      <c r="AC824" s="15"/>
      <c r="AD824" s="15"/>
      <c r="AE824" s="15"/>
      <c r="AF824" s="16"/>
      <c r="AG824" s="16"/>
      <c r="AH824" s="16"/>
      <c r="AI824" s="16"/>
      <c r="AJ824" s="16"/>
      <c r="AK824" s="16"/>
      <c r="AL824" s="16"/>
      <c r="AM824" s="16"/>
      <c r="AN824" s="16"/>
      <c r="AO824" s="16"/>
      <c r="AP824" s="16"/>
      <c r="AQ824" s="16"/>
      <c r="AR824" s="16"/>
      <c r="AS824" s="16"/>
      <c r="AT824" s="16"/>
      <c r="AU824" s="16"/>
      <c r="AV824" s="16"/>
      <c r="AW824" s="16"/>
      <c r="AX824" s="16"/>
      <c r="AY824" s="16"/>
      <c r="AZ824" s="16"/>
      <c r="BA824" s="16"/>
      <c r="BB824" s="16"/>
      <c r="BC824" s="16"/>
      <c r="BD824" s="16"/>
      <c r="BE824" s="16"/>
      <c r="BF824" s="16"/>
      <c r="BG824" s="16"/>
      <c r="BH824" s="16"/>
    </row>
    <row r="825" spans="6:60" s="21" customFormat="1">
      <c r="F825" s="9"/>
      <c r="J825" s="9"/>
      <c r="K825" s="9"/>
      <c r="L825" s="9"/>
      <c r="N825" s="9"/>
      <c r="O825" s="9"/>
      <c r="P825" s="9"/>
      <c r="Q825" s="9"/>
      <c r="R825" s="9"/>
      <c r="S825" s="12"/>
      <c r="T825" s="9"/>
      <c r="U825" s="9"/>
      <c r="V825" s="12"/>
      <c r="W825" s="12"/>
      <c r="X825" s="12"/>
      <c r="Y825" s="15"/>
      <c r="Z825" s="15"/>
      <c r="AA825" s="15"/>
      <c r="AB825" s="15"/>
      <c r="AC825" s="15"/>
      <c r="AD825" s="15"/>
      <c r="AE825" s="15"/>
      <c r="AF825" s="16"/>
      <c r="AG825" s="16"/>
      <c r="AH825" s="16"/>
      <c r="AI825" s="16"/>
      <c r="AJ825" s="16"/>
      <c r="AK825" s="16"/>
      <c r="AL825" s="16"/>
      <c r="AM825" s="16"/>
      <c r="AN825" s="16"/>
      <c r="AO825" s="16"/>
      <c r="AP825" s="16"/>
      <c r="AQ825" s="16"/>
      <c r="AR825" s="16"/>
      <c r="AS825" s="16"/>
      <c r="AT825" s="16"/>
      <c r="AU825" s="16"/>
      <c r="AV825" s="16"/>
      <c r="AW825" s="16"/>
      <c r="AX825" s="16"/>
      <c r="AY825" s="16"/>
      <c r="AZ825" s="16"/>
      <c r="BA825" s="16"/>
      <c r="BB825" s="16"/>
      <c r="BC825" s="16"/>
      <c r="BD825" s="16"/>
      <c r="BE825" s="16"/>
      <c r="BF825" s="16"/>
      <c r="BG825" s="16"/>
      <c r="BH825" s="16"/>
    </row>
    <row r="826" spans="6:60" s="21" customFormat="1">
      <c r="F826" s="9"/>
      <c r="J826" s="9"/>
      <c r="K826" s="9"/>
      <c r="L826" s="9"/>
      <c r="N826" s="9"/>
      <c r="O826" s="9"/>
      <c r="P826" s="9"/>
      <c r="Q826" s="9"/>
      <c r="R826" s="9"/>
      <c r="S826" s="12"/>
      <c r="T826" s="9"/>
      <c r="U826" s="9"/>
      <c r="V826" s="12"/>
      <c r="W826" s="12"/>
      <c r="X826" s="12"/>
      <c r="Y826" s="15"/>
      <c r="Z826" s="15"/>
      <c r="AA826" s="15"/>
      <c r="AB826" s="15"/>
      <c r="AC826" s="15"/>
      <c r="AD826" s="15"/>
      <c r="AE826" s="15"/>
      <c r="AF826" s="16"/>
      <c r="AG826" s="16"/>
      <c r="AH826" s="16"/>
      <c r="AI826" s="16"/>
      <c r="AJ826" s="16"/>
      <c r="AK826" s="16"/>
      <c r="AL826" s="16"/>
      <c r="AM826" s="16"/>
      <c r="AN826" s="16"/>
      <c r="AO826" s="16"/>
      <c r="AP826" s="16"/>
      <c r="AQ826" s="16"/>
      <c r="AR826" s="16"/>
      <c r="AS826" s="16"/>
      <c r="AT826" s="16"/>
      <c r="AU826" s="16"/>
      <c r="AV826" s="16"/>
      <c r="AW826" s="16"/>
      <c r="AX826" s="16"/>
      <c r="AY826" s="16"/>
      <c r="AZ826" s="16"/>
      <c r="BA826" s="16"/>
      <c r="BB826" s="16"/>
      <c r="BC826" s="16"/>
      <c r="BD826" s="16"/>
      <c r="BE826" s="16"/>
      <c r="BF826" s="16"/>
      <c r="BG826" s="16"/>
      <c r="BH826" s="16"/>
    </row>
    <row r="827" spans="6:60" s="21" customFormat="1">
      <c r="F827" s="9"/>
      <c r="J827" s="9"/>
      <c r="K827" s="9"/>
      <c r="L827" s="9"/>
      <c r="N827" s="9"/>
      <c r="O827" s="9"/>
      <c r="P827" s="9"/>
      <c r="Q827" s="9"/>
      <c r="R827" s="9"/>
      <c r="S827" s="12"/>
      <c r="T827" s="9"/>
      <c r="U827" s="9"/>
      <c r="V827" s="12"/>
      <c r="W827" s="12"/>
      <c r="X827" s="12"/>
      <c r="Y827" s="15"/>
      <c r="Z827" s="15"/>
      <c r="AA827" s="15"/>
      <c r="AB827" s="15"/>
      <c r="AC827" s="15"/>
      <c r="AD827" s="15"/>
      <c r="AE827" s="15"/>
      <c r="AF827" s="16"/>
      <c r="AG827" s="16"/>
      <c r="AH827" s="16"/>
      <c r="AI827" s="16"/>
      <c r="AJ827" s="16"/>
      <c r="AK827" s="16"/>
      <c r="AL827" s="16"/>
      <c r="AM827" s="16"/>
      <c r="AN827" s="16"/>
      <c r="AO827" s="16"/>
      <c r="AP827" s="16"/>
      <c r="AQ827" s="16"/>
      <c r="AR827" s="16"/>
      <c r="AS827" s="16"/>
      <c r="AT827" s="16"/>
      <c r="AU827" s="16"/>
      <c r="AV827" s="16"/>
      <c r="AW827" s="16"/>
      <c r="AX827" s="16"/>
      <c r="AY827" s="16"/>
      <c r="AZ827" s="16"/>
      <c r="BA827" s="16"/>
      <c r="BB827" s="16"/>
      <c r="BC827" s="16"/>
      <c r="BD827" s="16"/>
      <c r="BE827" s="16"/>
      <c r="BF827" s="16"/>
      <c r="BG827" s="16"/>
      <c r="BH827" s="16"/>
    </row>
    <row r="828" spans="6:60" s="21" customFormat="1">
      <c r="F828" s="9"/>
      <c r="J828" s="9"/>
      <c r="K828" s="9"/>
      <c r="L828" s="9"/>
      <c r="N828" s="9"/>
      <c r="O828" s="9"/>
      <c r="P828" s="9"/>
      <c r="Q828" s="9"/>
      <c r="R828" s="9"/>
      <c r="S828" s="12"/>
      <c r="T828" s="9"/>
      <c r="U828" s="9"/>
      <c r="V828" s="12"/>
      <c r="W828" s="12"/>
      <c r="X828" s="12"/>
      <c r="Y828" s="15"/>
      <c r="Z828" s="15"/>
      <c r="AA828" s="15"/>
      <c r="AB828" s="15"/>
      <c r="AC828" s="15"/>
      <c r="AD828" s="15"/>
      <c r="AE828" s="15"/>
      <c r="AF828" s="16"/>
      <c r="AG828" s="16"/>
      <c r="AH828" s="16"/>
      <c r="AI828" s="16"/>
      <c r="AJ828" s="16"/>
      <c r="AK828" s="16"/>
      <c r="AL828" s="16"/>
      <c r="AM828" s="16"/>
      <c r="AN828" s="16"/>
      <c r="AO828" s="16"/>
      <c r="AP828" s="16"/>
      <c r="AQ828" s="16"/>
      <c r="AR828" s="16"/>
      <c r="AS828" s="16"/>
      <c r="AT828" s="16"/>
      <c r="AU828" s="16"/>
      <c r="AV828" s="16"/>
      <c r="AW828" s="16"/>
      <c r="AX828" s="16"/>
      <c r="AY828" s="16"/>
      <c r="AZ828" s="16"/>
      <c r="BA828" s="16"/>
      <c r="BB828" s="16"/>
      <c r="BC828" s="16"/>
      <c r="BD828" s="16"/>
      <c r="BE828" s="16"/>
      <c r="BF828" s="16"/>
      <c r="BG828" s="16"/>
      <c r="BH828" s="16"/>
    </row>
    <row r="829" spans="6:60" s="21" customFormat="1">
      <c r="F829" s="9"/>
      <c r="J829" s="9"/>
      <c r="K829" s="9"/>
      <c r="L829" s="9"/>
      <c r="N829" s="9"/>
      <c r="O829" s="9"/>
      <c r="P829" s="9"/>
      <c r="Q829" s="9"/>
      <c r="R829" s="9"/>
      <c r="S829" s="12"/>
      <c r="T829" s="9"/>
      <c r="U829" s="9"/>
      <c r="V829" s="12"/>
      <c r="W829" s="12"/>
      <c r="X829" s="12"/>
      <c r="Y829" s="15"/>
      <c r="Z829" s="15"/>
      <c r="AA829" s="15"/>
      <c r="AB829" s="15"/>
      <c r="AC829" s="15"/>
      <c r="AD829" s="15"/>
      <c r="AE829" s="15"/>
      <c r="AF829" s="16"/>
      <c r="AG829" s="16"/>
      <c r="AH829" s="16"/>
      <c r="AI829" s="16"/>
      <c r="AJ829" s="16"/>
      <c r="AK829" s="16"/>
      <c r="AL829" s="16"/>
      <c r="AM829" s="16"/>
      <c r="AN829" s="16"/>
      <c r="AO829" s="16"/>
      <c r="AP829" s="16"/>
      <c r="AQ829" s="16"/>
      <c r="AR829" s="16"/>
      <c r="AS829" s="16"/>
      <c r="AT829" s="16"/>
      <c r="AU829" s="16"/>
      <c r="AV829" s="16"/>
      <c r="AW829" s="16"/>
      <c r="AX829" s="16"/>
      <c r="AY829" s="16"/>
      <c r="AZ829" s="16"/>
      <c r="BA829" s="16"/>
      <c r="BB829" s="16"/>
      <c r="BC829" s="16"/>
      <c r="BD829" s="16"/>
      <c r="BE829" s="16"/>
      <c r="BF829" s="16"/>
      <c r="BG829" s="16"/>
      <c r="BH829" s="16"/>
    </row>
    <row r="830" spans="6:60" s="21" customFormat="1">
      <c r="F830" s="9"/>
      <c r="J830" s="9"/>
      <c r="K830" s="9"/>
      <c r="L830" s="9"/>
      <c r="N830" s="9"/>
      <c r="O830" s="9"/>
      <c r="P830" s="9"/>
      <c r="Q830" s="9"/>
      <c r="R830" s="9"/>
      <c r="S830" s="12"/>
      <c r="T830" s="9"/>
      <c r="U830" s="9"/>
      <c r="V830" s="12"/>
      <c r="W830" s="12"/>
      <c r="X830" s="12"/>
      <c r="Y830" s="15"/>
      <c r="Z830" s="15"/>
      <c r="AA830" s="15"/>
      <c r="AB830" s="15"/>
      <c r="AC830" s="15"/>
      <c r="AD830" s="15"/>
      <c r="AE830" s="15"/>
      <c r="AF830" s="16"/>
      <c r="AG830" s="16"/>
      <c r="AH830" s="16"/>
      <c r="AI830" s="16"/>
      <c r="AJ830" s="16"/>
      <c r="AK830" s="16"/>
      <c r="AL830" s="16"/>
      <c r="AM830" s="16"/>
      <c r="AN830" s="16"/>
      <c r="AO830" s="16"/>
      <c r="AP830" s="16"/>
      <c r="AQ830" s="16"/>
      <c r="AR830" s="16"/>
      <c r="AS830" s="16"/>
      <c r="AT830" s="16"/>
      <c r="AU830" s="16"/>
      <c r="AV830" s="16"/>
      <c r="AW830" s="16"/>
      <c r="AX830" s="16"/>
      <c r="AY830" s="16"/>
      <c r="AZ830" s="16"/>
      <c r="BA830" s="16"/>
      <c r="BB830" s="16"/>
      <c r="BC830" s="16"/>
      <c r="BD830" s="16"/>
      <c r="BE830" s="16"/>
      <c r="BF830" s="16"/>
      <c r="BG830" s="16"/>
      <c r="BH830" s="16"/>
    </row>
    <row r="831" spans="6:60" s="21" customFormat="1">
      <c r="F831" s="9"/>
      <c r="J831" s="9"/>
      <c r="K831" s="9"/>
      <c r="L831" s="9"/>
      <c r="N831" s="9"/>
      <c r="O831" s="9"/>
      <c r="P831" s="9"/>
      <c r="Q831" s="9"/>
      <c r="R831" s="9"/>
      <c r="S831" s="12"/>
      <c r="T831" s="9"/>
      <c r="U831" s="9"/>
      <c r="V831" s="12"/>
      <c r="W831" s="12"/>
      <c r="X831" s="12"/>
      <c r="Y831" s="15"/>
      <c r="Z831" s="15"/>
      <c r="AA831" s="15"/>
      <c r="AB831" s="15"/>
      <c r="AC831" s="15"/>
      <c r="AD831" s="15"/>
      <c r="AE831" s="15"/>
      <c r="AF831" s="16"/>
      <c r="AG831" s="16"/>
      <c r="AH831" s="16"/>
      <c r="AI831" s="16"/>
      <c r="AJ831" s="16"/>
      <c r="AK831" s="16"/>
      <c r="AL831" s="16"/>
      <c r="AM831" s="16"/>
      <c r="AN831" s="16"/>
      <c r="AO831" s="16"/>
      <c r="AP831" s="16"/>
      <c r="AQ831" s="16"/>
      <c r="AR831" s="16"/>
      <c r="AS831" s="16"/>
      <c r="AT831" s="16"/>
      <c r="AU831" s="16"/>
      <c r="AV831" s="16"/>
      <c r="AW831" s="16"/>
      <c r="AX831" s="16"/>
      <c r="AY831" s="16"/>
      <c r="AZ831" s="16"/>
      <c r="BA831" s="16"/>
      <c r="BB831" s="16"/>
      <c r="BC831" s="16"/>
      <c r="BD831" s="16"/>
      <c r="BE831" s="16"/>
      <c r="BF831" s="16"/>
      <c r="BG831" s="16"/>
      <c r="BH831" s="16"/>
    </row>
    <row r="832" spans="6:60" s="21" customFormat="1">
      <c r="F832" s="9"/>
      <c r="J832" s="9"/>
      <c r="K832" s="9"/>
      <c r="L832" s="9"/>
      <c r="N832" s="9"/>
      <c r="O832" s="9"/>
      <c r="P832" s="9"/>
      <c r="Q832" s="9"/>
      <c r="R832" s="9"/>
      <c r="S832" s="12"/>
      <c r="T832" s="9"/>
      <c r="U832" s="9"/>
      <c r="V832" s="12"/>
      <c r="W832" s="12"/>
      <c r="X832" s="12"/>
      <c r="Y832" s="15"/>
      <c r="Z832" s="15"/>
      <c r="AA832" s="15"/>
      <c r="AB832" s="15"/>
      <c r="AC832" s="15"/>
      <c r="AD832" s="15"/>
      <c r="AE832" s="15"/>
      <c r="AF832" s="16"/>
      <c r="AG832" s="16"/>
      <c r="AH832" s="16"/>
      <c r="AI832" s="16"/>
      <c r="AJ832" s="16"/>
      <c r="AK832" s="16"/>
      <c r="AL832" s="16"/>
      <c r="AM832" s="16"/>
      <c r="AN832" s="16"/>
      <c r="AO832" s="16"/>
      <c r="AP832" s="16"/>
      <c r="AQ832" s="16"/>
      <c r="AR832" s="16"/>
      <c r="AS832" s="16"/>
      <c r="AT832" s="16"/>
      <c r="AU832" s="16"/>
      <c r="AV832" s="16"/>
      <c r="AW832" s="16"/>
      <c r="AX832" s="16"/>
      <c r="AY832" s="16"/>
      <c r="AZ832" s="16"/>
      <c r="BA832" s="16"/>
      <c r="BB832" s="16"/>
      <c r="BC832" s="16"/>
      <c r="BD832" s="16"/>
      <c r="BE832" s="16"/>
      <c r="BF832" s="16"/>
      <c r="BG832" s="16"/>
      <c r="BH832" s="16"/>
    </row>
    <row r="833" spans="6:60" s="21" customFormat="1">
      <c r="F833" s="9"/>
      <c r="J833" s="9"/>
      <c r="K833" s="9"/>
      <c r="L833" s="9"/>
      <c r="N833" s="9"/>
      <c r="O833" s="9"/>
      <c r="P833" s="9"/>
      <c r="Q833" s="9"/>
      <c r="R833" s="9"/>
      <c r="S833" s="12"/>
      <c r="T833" s="9"/>
      <c r="U833" s="9"/>
      <c r="V833" s="12"/>
      <c r="W833" s="12"/>
      <c r="X833" s="12"/>
      <c r="Y833" s="15"/>
      <c r="Z833" s="15"/>
      <c r="AA833" s="15"/>
      <c r="AB833" s="15"/>
      <c r="AC833" s="15"/>
      <c r="AD833" s="15"/>
      <c r="AE833" s="15"/>
      <c r="AF833" s="16"/>
      <c r="AG833" s="16"/>
      <c r="AH833" s="16"/>
      <c r="AI833" s="16"/>
      <c r="AJ833" s="16"/>
      <c r="AK833" s="16"/>
      <c r="AL833" s="16"/>
      <c r="AM833" s="16"/>
      <c r="AN833" s="16"/>
      <c r="AO833" s="16"/>
      <c r="AP833" s="16"/>
      <c r="AQ833" s="16"/>
      <c r="AR833" s="16"/>
      <c r="AS833" s="16"/>
      <c r="AT833" s="16"/>
      <c r="AU833" s="16"/>
      <c r="AV833" s="16"/>
      <c r="AW833" s="16"/>
      <c r="AX833" s="16"/>
      <c r="AY833" s="16"/>
      <c r="AZ833" s="16"/>
      <c r="BA833" s="16"/>
      <c r="BB833" s="16"/>
      <c r="BC833" s="16"/>
      <c r="BD833" s="16"/>
      <c r="BE833" s="16"/>
      <c r="BF833" s="16"/>
      <c r="BG833" s="16"/>
      <c r="BH833" s="16"/>
    </row>
    <row r="834" spans="6:60" s="21" customFormat="1">
      <c r="F834" s="9"/>
      <c r="J834" s="9"/>
      <c r="K834" s="9"/>
      <c r="L834" s="9"/>
      <c r="N834" s="9"/>
      <c r="O834" s="9"/>
      <c r="P834" s="9"/>
      <c r="Q834" s="9"/>
      <c r="R834" s="9"/>
      <c r="S834" s="12"/>
      <c r="T834" s="9"/>
      <c r="U834" s="9"/>
      <c r="V834" s="12"/>
      <c r="W834" s="12"/>
      <c r="X834" s="12"/>
      <c r="Y834" s="15"/>
      <c r="Z834" s="15"/>
      <c r="AA834" s="15"/>
      <c r="AB834" s="15"/>
      <c r="AC834" s="15"/>
      <c r="AD834" s="15"/>
      <c r="AE834" s="15"/>
      <c r="AF834" s="16"/>
      <c r="AG834" s="16"/>
      <c r="AH834" s="16"/>
      <c r="AI834" s="16"/>
      <c r="AJ834" s="16"/>
      <c r="AK834" s="16"/>
      <c r="AL834" s="16"/>
      <c r="AM834" s="16"/>
      <c r="AN834" s="16"/>
      <c r="AO834" s="16"/>
      <c r="AP834" s="16"/>
      <c r="AQ834" s="16"/>
      <c r="AR834" s="16"/>
      <c r="AS834" s="16"/>
      <c r="AT834" s="16"/>
      <c r="AU834" s="16"/>
      <c r="AV834" s="16"/>
      <c r="AW834" s="16"/>
      <c r="AX834" s="16"/>
      <c r="AY834" s="16"/>
      <c r="AZ834" s="16"/>
      <c r="BA834" s="16"/>
      <c r="BB834" s="16"/>
      <c r="BC834" s="16"/>
      <c r="BD834" s="16"/>
      <c r="BE834" s="16"/>
      <c r="BF834" s="16"/>
      <c r="BG834" s="16"/>
      <c r="BH834" s="16"/>
    </row>
    <row r="835" spans="6:60" s="21" customFormat="1">
      <c r="F835" s="9"/>
      <c r="J835" s="9"/>
      <c r="K835" s="9"/>
      <c r="L835" s="9"/>
      <c r="N835" s="9"/>
      <c r="O835" s="9"/>
      <c r="P835" s="9"/>
      <c r="Q835" s="9"/>
      <c r="R835" s="9"/>
      <c r="S835" s="12"/>
      <c r="T835" s="9"/>
      <c r="U835" s="9"/>
      <c r="V835" s="12"/>
      <c r="W835" s="12"/>
      <c r="X835" s="12"/>
      <c r="Y835" s="15"/>
      <c r="Z835" s="15"/>
      <c r="AA835" s="15"/>
      <c r="AB835" s="15"/>
      <c r="AC835" s="15"/>
      <c r="AD835" s="15"/>
      <c r="AE835" s="15"/>
      <c r="AF835" s="16"/>
      <c r="AG835" s="16"/>
      <c r="AH835" s="16"/>
      <c r="AI835" s="16"/>
      <c r="AJ835" s="16"/>
      <c r="AK835" s="16"/>
      <c r="AL835" s="16"/>
      <c r="AM835" s="16"/>
      <c r="AN835" s="16"/>
      <c r="AO835" s="16"/>
      <c r="AP835" s="16"/>
      <c r="AQ835" s="16"/>
      <c r="AR835" s="16"/>
      <c r="AS835" s="16"/>
      <c r="AT835" s="16"/>
      <c r="AU835" s="16"/>
      <c r="AV835" s="16"/>
      <c r="AW835" s="16"/>
      <c r="AX835" s="16"/>
      <c r="AY835" s="16"/>
      <c r="AZ835" s="16"/>
      <c r="BA835" s="16"/>
      <c r="BB835" s="16"/>
      <c r="BC835" s="16"/>
      <c r="BD835" s="16"/>
      <c r="BE835" s="16"/>
      <c r="BF835" s="16"/>
      <c r="BG835" s="16"/>
      <c r="BH835" s="16"/>
    </row>
    <row r="836" spans="6:60" s="21" customFormat="1">
      <c r="F836" s="9"/>
      <c r="J836" s="9"/>
      <c r="K836" s="9"/>
      <c r="L836" s="9"/>
      <c r="N836" s="9"/>
      <c r="O836" s="9"/>
      <c r="P836" s="9"/>
      <c r="Q836" s="9"/>
      <c r="R836" s="9"/>
      <c r="S836" s="12"/>
      <c r="T836" s="9"/>
      <c r="U836" s="9"/>
      <c r="V836" s="12"/>
      <c r="W836" s="12"/>
      <c r="X836" s="12"/>
      <c r="Y836" s="15"/>
      <c r="Z836" s="15"/>
      <c r="AA836" s="15"/>
      <c r="AB836" s="15"/>
      <c r="AC836" s="15"/>
      <c r="AD836" s="15"/>
      <c r="AE836" s="15"/>
      <c r="AF836" s="16"/>
      <c r="AG836" s="16"/>
      <c r="AH836" s="16"/>
      <c r="AI836" s="16"/>
      <c r="AJ836" s="16"/>
      <c r="AK836" s="16"/>
      <c r="AL836" s="16"/>
      <c r="AM836" s="16"/>
      <c r="AN836" s="16"/>
      <c r="AO836" s="16"/>
      <c r="AP836" s="16"/>
      <c r="AQ836" s="16"/>
      <c r="AR836" s="16"/>
      <c r="AS836" s="16"/>
      <c r="AT836" s="16"/>
      <c r="AU836" s="16"/>
      <c r="AV836" s="16"/>
      <c r="AW836" s="16"/>
      <c r="AX836" s="16"/>
      <c r="AY836" s="16"/>
      <c r="AZ836" s="16"/>
      <c r="BA836" s="16"/>
      <c r="BB836" s="16"/>
      <c r="BC836" s="16"/>
      <c r="BD836" s="16"/>
      <c r="BE836" s="16"/>
      <c r="BF836" s="16"/>
      <c r="BG836" s="16"/>
      <c r="BH836" s="16"/>
    </row>
    <row r="837" spans="6:60" s="21" customFormat="1">
      <c r="F837" s="9"/>
      <c r="J837" s="9"/>
      <c r="K837" s="9"/>
      <c r="L837" s="9"/>
      <c r="N837" s="9"/>
      <c r="O837" s="9"/>
      <c r="P837" s="9"/>
      <c r="Q837" s="9"/>
      <c r="R837" s="9"/>
      <c r="S837" s="12"/>
      <c r="T837" s="9"/>
      <c r="U837" s="9"/>
      <c r="V837" s="12"/>
      <c r="W837" s="12"/>
      <c r="X837" s="12"/>
      <c r="Y837" s="15"/>
      <c r="Z837" s="15"/>
      <c r="AA837" s="15"/>
      <c r="AB837" s="15"/>
      <c r="AC837" s="15"/>
      <c r="AD837" s="15"/>
      <c r="AE837" s="15"/>
      <c r="AF837" s="16"/>
      <c r="AG837" s="16"/>
      <c r="AH837" s="16"/>
      <c r="AI837" s="16"/>
      <c r="AJ837" s="16"/>
      <c r="AK837" s="16"/>
      <c r="AL837" s="16"/>
      <c r="AM837" s="16"/>
      <c r="AN837" s="16"/>
      <c r="AO837" s="16"/>
      <c r="AP837" s="16"/>
      <c r="AQ837" s="16"/>
      <c r="AR837" s="16"/>
      <c r="AS837" s="16"/>
      <c r="AT837" s="16"/>
      <c r="AU837" s="16"/>
      <c r="AV837" s="16"/>
      <c r="AW837" s="16"/>
      <c r="AX837" s="16"/>
      <c r="AY837" s="16"/>
      <c r="AZ837" s="16"/>
      <c r="BA837" s="16"/>
      <c r="BB837" s="16"/>
      <c r="BC837" s="16"/>
      <c r="BD837" s="16"/>
      <c r="BE837" s="16"/>
      <c r="BF837" s="16"/>
      <c r="BG837" s="16"/>
      <c r="BH837" s="16"/>
    </row>
    <row r="838" spans="6:60" s="21" customFormat="1">
      <c r="F838" s="9"/>
      <c r="J838" s="9"/>
      <c r="K838" s="9"/>
      <c r="L838" s="9"/>
      <c r="N838" s="9"/>
      <c r="O838" s="9"/>
      <c r="P838" s="9"/>
      <c r="Q838" s="9"/>
      <c r="R838" s="9"/>
      <c r="S838" s="12"/>
      <c r="T838" s="9"/>
      <c r="U838" s="9"/>
      <c r="V838" s="12"/>
      <c r="W838" s="12"/>
      <c r="X838" s="12"/>
      <c r="Y838" s="15"/>
      <c r="Z838" s="15"/>
      <c r="AA838" s="15"/>
      <c r="AB838" s="15"/>
      <c r="AC838" s="15"/>
      <c r="AD838" s="15"/>
      <c r="AE838" s="15"/>
      <c r="AF838" s="16"/>
      <c r="AG838" s="16"/>
      <c r="AH838" s="16"/>
      <c r="AI838" s="16"/>
      <c r="AJ838" s="16"/>
      <c r="AK838" s="16"/>
      <c r="AL838" s="16"/>
      <c r="AM838" s="16"/>
      <c r="AN838" s="16"/>
      <c r="AO838" s="16"/>
      <c r="AP838" s="16"/>
      <c r="AQ838" s="16"/>
      <c r="AR838" s="16"/>
      <c r="AS838" s="16"/>
      <c r="AT838" s="16"/>
      <c r="AU838" s="16"/>
      <c r="AV838" s="16"/>
      <c r="AW838" s="16"/>
      <c r="AX838" s="16"/>
      <c r="AY838" s="16"/>
      <c r="AZ838" s="16"/>
      <c r="BA838" s="16"/>
      <c r="BB838" s="16"/>
      <c r="BC838" s="16"/>
      <c r="BD838" s="16"/>
      <c r="BE838" s="16"/>
      <c r="BF838" s="16"/>
      <c r="BG838" s="16"/>
      <c r="BH838" s="16"/>
    </row>
    <row r="839" spans="6:60" s="21" customFormat="1">
      <c r="F839" s="9"/>
      <c r="J839" s="9"/>
      <c r="K839" s="9"/>
      <c r="L839" s="9"/>
      <c r="N839" s="9"/>
      <c r="O839" s="9"/>
      <c r="P839" s="9"/>
      <c r="Q839" s="9"/>
      <c r="R839" s="9"/>
      <c r="S839" s="12"/>
      <c r="T839" s="9"/>
      <c r="U839" s="9"/>
      <c r="V839" s="12"/>
      <c r="W839" s="12"/>
      <c r="X839" s="12"/>
      <c r="Y839" s="15"/>
      <c r="Z839" s="15"/>
      <c r="AA839" s="15"/>
      <c r="AB839" s="15"/>
      <c r="AC839" s="15"/>
      <c r="AD839" s="15"/>
      <c r="AE839" s="15"/>
      <c r="AF839" s="16"/>
      <c r="AG839" s="16"/>
      <c r="AH839" s="16"/>
      <c r="AI839" s="16"/>
      <c r="AJ839" s="16"/>
      <c r="AK839" s="16"/>
      <c r="AL839" s="16"/>
      <c r="AM839" s="16"/>
      <c r="AN839" s="16"/>
      <c r="AO839" s="16"/>
      <c r="AP839" s="16"/>
      <c r="AQ839" s="16"/>
      <c r="AR839" s="16"/>
      <c r="AS839" s="16"/>
      <c r="AT839" s="16"/>
      <c r="AU839" s="16"/>
      <c r="AV839" s="16"/>
      <c r="AW839" s="16"/>
      <c r="AX839" s="16"/>
      <c r="AY839" s="16"/>
      <c r="AZ839" s="16"/>
      <c r="BA839" s="16"/>
      <c r="BB839" s="16"/>
      <c r="BC839" s="16"/>
      <c r="BD839" s="16"/>
      <c r="BE839" s="16"/>
      <c r="BF839" s="16"/>
      <c r="BG839" s="16"/>
      <c r="BH839" s="16"/>
    </row>
    <row r="840" spans="6:60" s="21" customFormat="1">
      <c r="F840" s="9"/>
      <c r="J840" s="9"/>
      <c r="K840" s="9"/>
      <c r="L840" s="9"/>
      <c r="N840" s="9"/>
      <c r="O840" s="9"/>
      <c r="P840" s="9"/>
      <c r="Q840" s="9"/>
      <c r="R840" s="9"/>
      <c r="S840" s="12"/>
      <c r="T840" s="9"/>
      <c r="U840" s="9"/>
      <c r="V840" s="12"/>
      <c r="W840" s="12"/>
      <c r="X840" s="12"/>
      <c r="Y840" s="15"/>
      <c r="Z840" s="15"/>
      <c r="AA840" s="15"/>
      <c r="AB840" s="15"/>
      <c r="AC840" s="15"/>
      <c r="AD840" s="15"/>
      <c r="AE840" s="15"/>
      <c r="AF840" s="16"/>
      <c r="AG840" s="16"/>
      <c r="AH840" s="16"/>
      <c r="AI840" s="16"/>
      <c r="AJ840" s="16"/>
      <c r="AK840" s="16"/>
      <c r="AL840" s="16"/>
      <c r="AM840" s="16"/>
      <c r="AN840" s="16"/>
      <c r="AO840" s="16"/>
      <c r="AP840" s="16"/>
      <c r="AQ840" s="16"/>
      <c r="AR840" s="16"/>
      <c r="AS840" s="16"/>
      <c r="AT840" s="16"/>
      <c r="AU840" s="16"/>
      <c r="AV840" s="16"/>
      <c r="AW840" s="16"/>
      <c r="AX840" s="16"/>
      <c r="AY840" s="16"/>
      <c r="AZ840" s="16"/>
      <c r="BA840" s="16"/>
      <c r="BB840" s="16"/>
      <c r="BC840" s="16"/>
      <c r="BD840" s="16"/>
      <c r="BE840" s="16"/>
      <c r="BF840" s="16"/>
      <c r="BG840" s="16"/>
      <c r="BH840" s="16"/>
    </row>
    <row r="841" spans="6:60" s="21" customFormat="1">
      <c r="F841" s="9"/>
      <c r="J841" s="9"/>
      <c r="K841" s="9"/>
      <c r="L841" s="9"/>
      <c r="N841" s="9"/>
      <c r="O841" s="9"/>
      <c r="P841" s="9"/>
      <c r="Q841" s="9"/>
      <c r="R841" s="9"/>
      <c r="S841" s="12"/>
      <c r="T841" s="9"/>
      <c r="U841" s="9"/>
      <c r="V841" s="12"/>
      <c r="W841" s="12"/>
      <c r="X841" s="12"/>
      <c r="Y841" s="15"/>
      <c r="Z841" s="15"/>
      <c r="AA841" s="15"/>
      <c r="AB841" s="15"/>
      <c r="AC841" s="15"/>
      <c r="AD841" s="15"/>
      <c r="AE841" s="15"/>
      <c r="AF841" s="16"/>
      <c r="AG841" s="16"/>
      <c r="AH841" s="16"/>
      <c r="AI841" s="16"/>
      <c r="AJ841" s="16"/>
      <c r="AK841" s="16"/>
      <c r="AL841" s="16"/>
      <c r="AM841" s="16"/>
      <c r="AN841" s="16"/>
      <c r="AO841" s="16"/>
      <c r="AP841" s="16"/>
      <c r="AQ841" s="16"/>
      <c r="AR841" s="16"/>
      <c r="AS841" s="16"/>
      <c r="AT841" s="16"/>
      <c r="AU841" s="16"/>
      <c r="AV841" s="16"/>
      <c r="AW841" s="16"/>
      <c r="AX841" s="16"/>
      <c r="AY841" s="16"/>
      <c r="AZ841" s="16"/>
      <c r="BA841" s="16"/>
      <c r="BB841" s="16"/>
      <c r="BC841" s="16"/>
      <c r="BD841" s="16"/>
      <c r="BE841" s="16"/>
      <c r="BF841" s="16"/>
      <c r="BG841" s="16"/>
      <c r="BH841" s="16"/>
    </row>
    <row r="842" spans="6:60" s="21" customFormat="1">
      <c r="F842" s="9"/>
      <c r="J842" s="9"/>
      <c r="K842" s="9"/>
      <c r="L842" s="9"/>
      <c r="N842" s="9"/>
      <c r="O842" s="9"/>
      <c r="P842" s="9"/>
      <c r="Q842" s="9"/>
      <c r="R842" s="9"/>
      <c r="S842" s="12"/>
      <c r="T842" s="9"/>
      <c r="U842" s="9"/>
      <c r="V842" s="12"/>
      <c r="W842" s="12"/>
      <c r="X842" s="12"/>
      <c r="Y842" s="15"/>
      <c r="Z842" s="15"/>
      <c r="AA842" s="15"/>
      <c r="AB842" s="15"/>
      <c r="AC842" s="15"/>
      <c r="AD842" s="15"/>
      <c r="AE842" s="15"/>
      <c r="AF842" s="16"/>
      <c r="AG842" s="16"/>
      <c r="AH842" s="16"/>
      <c r="AI842" s="16"/>
      <c r="AJ842" s="16"/>
      <c r="AK842" s="16"/>
      <c r="AL842" s="16"/>
      <c r="AM842" s="16"/>
      <c r="AN842" s="16"/>
      <c r="AO842" s="16"/>
      <c r="AP842" s="16"/>
      <c r="AQ842" s="16"/>
      <c r="AR842" s="16"/>
      <c r="AS842" s="16"/>
      <c r="AT842" s="16"/>
      <c r="AU842" s="16"/>
      <c r="AV842" s="16"/>
      <c r="AW842" s="16"/>
      <c r="AX842" s="16"/>
      <c r="AY842" s="16"/>
      <c r="AZ842" s="16"/>
      <c r="BA842" s="16"/>
      <c r="BB842" s="16"/>
      <c r="BC842" s="16"/>
      <c r="BD842" s="16"/>
      <c r="BE842" s="16"/>
      <c r="BF842" s="16"/>
      <c r="BG842" s="16"/>
      <c r="BH842" s="16"/>
    </row>
    <row r="843" spans="6:60" s="21" customFormat="1">
      <c r="F843" s="9"/>
      <c r="J843" s="9"/>
      <c r="K843" s="9"/>
      <c r="L843" s="9"/>
      <c r="N843" s="9"/>
      <c r="O843" s="9"/>
      <c r="P843" s="9"/>
      <c r="Q843" s="9"/>
      <c r="R843" s="9"/>
      <c r="S843" s="12"/>
      <c r="T843" s="9"/>
      <c r="U843" s="9"/>
      <c r="V843" s="12"/>
      <c r="W843" s="12"/>
      <c r="X843" s="12"/>
      <c r="Y843" s="15"/>
      <c r="Z843" s="15"/>
      <c r="AA843" s="15"/>
      <c r="AB843" s="15"/>
      <c r="AC843" s="15"/>
      <c r="AD843" s="15"/>
      <c r="AE843" s="15"/>
      <c r="AF843" s="16"/>
      <c r="AG843" s="16"/>
      <c r="AH843" s="16"/>
      <c r="AI843" s="16"/>
      <c r="AJ843" s="16"/>
      <c r="AK843" s="16"/>
      <c r="AL843" s="16"/>
      <c r="AM843" s="16"/>
      <c r="AN843" s="16"/>
      <c r="AO843" s="16"/>
      <c r="AP843" s="16"/>
      <c r="AQ843" s="16"/>
      <c r="AR843" s="16"/>
      <c r="AS843" s="16"/>
      <c r="AT843" s="16"/>
      <c r="AU843" s="16"/>
      <c r="AV843" s="16"/>
      <c r="AW843" s="16"/>
      <c r="AX843" s="16"/>
      <c r="AY843" s="16"/>
      <c r="AZ843" s="16"/>
      <c r="BA843" s="16"/>
      <c r="BB843" s="16"/>
      <c r="BC843" s="16"/>
      <c r="BD843" s="16"/>
      <c r="BE843" s="16"/>
      <c r="BF843" s="16"/>
      <c r="BG843" s="16"/>
      <c r="BH843" s="16"/>
    </row>
    <row r="844" spans="6:60" s="21" customFormat="1">
      <c r="F844" s="9"/>
      <c r="J844" s="9"/>
      <c r="K844" s="9"/>
      <c r="L844" s="9"/>
      <c r="N844" s="9"/>
      <c r="O844" s="9"/>
      <c r="P844" s="9"/>
      <c r="Q844" s="9"/>
      <c r="R844" s="9"/>
      <c r="S844" s="12"/>
      <c r="T844" s="9"/>
      <c r="U844" s="9"/>
      <c r="V844" s="12"/>
      <c r="W844" s="12"/>
      <c r="X844" s="12"/>
      <c r="Y844" s="15"/>
      <c r="Z844" s="15"/>
      <c r="AA844" s="15"/>
      <c r="AB844" s="15"/>
      <c r="AC844" s="15"/>
      <c r="AD844" s="15"/>
      <c r="AE844" s="15"/>
      <c r="AF844" s="16"/>
      <c r="AG844" s="16"/>
      <c r="AH844" s="16"/>
      <c r="AI844" s="16"/>
      <c r="AJ844" s="16"/>
      <c r="AK844" s="16"/>
      <c r="AL844" s="16"/>
      <c r="AM844" s="16"/>
      <c r="AN844" s="16"/>
      <c r="AO844" s="16"/>
      <c r="AP844" s="16"/>
      <c r="AQ844" s="16"/>
      <c r="AR844" s="16"/>
      <c r="AS844" s="16"/>
      <c r="AT844" s="16"/>
      <c r="AU844" s="16"/>
      <c r="AV844" s="16"/>
      <c r="AW844" s="16"/>
      <c r="AX844" s="16"/>
      <c r="AY844" s="16"/>
      <c r="AZ844" s="16"/>
      <c r="BA844" s="16"/>
      <c r="BB844" s="16"/>
      <c r="BC844" s="16"/>
      <c r="BD844" s="16"/>
      <c r="BE844" s="16"/>
      <c r="BF844" s="16"/>
      <c r="BG844" s="16"/>
      <c r="BH844" s="16"/>
    </row>
    <row r="845" spans="6:60" s="21" customFormat="1">
      <c r="F845" s="9"/>
      <c r="J845" s="9"/>
      <c r="K845" s="9"/>
      <c r="L845" s="9"/>
      <c r="N845" s="9"/>
      <c r="O845" s="9"/>
      <c r="P845" s="9"/>
      <c r="Q845" s="9"/>
      <c r="R845" s="9"/>
      <c r="S845" s="12"/>
      <c r="T845" s="9"/>
      <c r="U845" s="9"/>
      <c r="V845" s="12"/>
      <c r="W845" s="12"/>
      <c r="X845" s="12"/>
      <c r="Y845" s="15"/>
      <c r="Z845" s="15"/>
      <c r="AA845" s="15"/>
      <c r="AB845" s="15"/>
      <c r="AC845" s="15"/>
      <c r="AD845" s="15"/>
      <c r="AE845" s="15"/>
      <c r="AF845" s="16"/>
      <c r="AG845" s="16"/>
      <c r="AH845" s="16"/>
      <c r="AI845" s="16"/>
      <c r="AJ845" s="16"/>
      <c r="AK845" s="16"/>
      <c r="AL845" s="16"/>
      <c r="AM845" s="16"/>
      <c r="AN845" s="16"/>
      <c r="AO845" s="16"/>
      <c r="AP845" s="16"/>
      <c r="AQ845" s="16"/>
      <c r="AR845" s="16"/>
      <c r="AS845" s="16"/>
      <c r="AT845" s="16"/>
      <c r="AU845" s="16"/>
      <c r="AV845" s="16"/>
      <c r="AW845" s="16"/>
      <c r="AX845" s="16"/>
      <c r="AY845" s="16"/>
      <c r="AZ845" s="16"/>
      <c r="BA845" s="16"/>
      <c r="BB845" s="16"/>
      <c r="BC845" s="16"/>
      <c r="BD845" s="16"/>
      <c r="BE845" s="16"/>
      <c r="BF845" s="16"/>
      <c r="BG845" s="16"/>
      <c r="BH845" s="16"/>
    </row>
    <row r="846" spans="6:60" s="21" customFormat="1">
      <c r="F846" s="9"/>
      <c r="J846" s="9"/>
      <c r="K846" s="9"/>
      <c r="L846" s="9"/>
      <c r="N846" s="9"/>
      <c r="O846" s="9"/>
      <c r="P846" s="9"/>
      <c r="Q846" s="9"/>
      <c r="R846" s="9"/>
      <c r="S846" s="12"/>
      <c r="T846" s="9"/>
      <c r="U846" s="9"/>
      <c r="V846" s="12"/>
      <c r="W846" s="12"/>
      <c r="X846" s="12"/>
      <c r="Y846" s="15"/>
      <c r="Z846" s="15"/>
      <c r="AA846" s="15"/>
      <c r="AB846" s="15"/>
      <c r="AC846" s="15"/>
      <c r="AD846" s="15"/>
      <c r="AE846" s="15"/>
      <c r="AF846" s="16"/>
      <c r="AG846" s="16"/>
      <c r="AH846" s="16"/>
      <c r="AI846" s="16"/>
      <c r="AJ846" s="16"/>
      <c r="AK846" s="16"/>
      <c r="AL846" s="16"/>
      <c r="AM846" s="16"/>
      <c r="AN846" s="16"/>
      <c r="AO846" s="16"/>
      <c r="AP846" s="16"/>
      <c r="AQ846" s="16"/>
      <c r="AR846" s="16"/>
      <c r="AS846" s="16"/>
      <c r="AT846" s="16"/>
      <c r="AU846" s="16"/>
      <c r="AV846" s="16"/>
      <c r="AW846" s="16"/>
      <c r="AX846" s="16"/>
      <c r="AY846" s="16"/>
      <c r="AZ846" s="16"/>
      <c r="BA846" s="16"/>
      <c r="BB846" s="16"/>
      <c r="BC846" s="16"/>
      <c r="BD846" s="16"/>
      <c r="BE846" s="16"/>
      <c r="BF846" s="16"/>
      <c r="BG846" s="16"/>
      <c r="BH846" s="16"/>
    </row>
    <row r="847" spans="6:60" s="21" customFormat="1">
      <c r="F847" s="9"/>
      <c r="J847" s="9"/>
      <c r="K847" s="9"/>
      <c r="L847" s="9"/>
      <c r="N847" s="9"/>
      <c r="O847" s="9"/>
      <c r="P847" s="9"/>
      <c r="Q847" s="9"/>
      <c r="R847" s="9"/>
      <c r="S847" s="12"/>
      <c r="T847" s="9"/>
      <c r="U847" s="9"/>
      <c r="V847" s="12"/>
      <c r="W847" s="12"/>
      <c r="X847" s="12"/>
      <c r="Y847" s="15"/>
      <c r="Z847" s="15"/>
      <c r="AA847" s="15"/>
      <c r="AB847" s="15"/>
      <c r="AC847" s="15"/>
      <c r="AD847" s="15"/>
      <c r="AE847" s="15"/>
      <c r="AF847" s="16"/>
      <c r="AG847" s="16"/>
      <c r="AH847" s="16"/>
      <c r="AI847" s="16"/>
      <c r="AJ847" s="16"/>
      <c r="AK847" s="16"/>
      <c r="AL847" s="16"/>
      <c r="AM847" s="16"/>
      <c r="AN847" s="16"/>
      <c r="AO847" s="16"/>
      <c r="AP847" s="16"/>
      <c r="AQ847" s="16"/>
      <c r="AR847" s="16"/>
      <c r="AS847" s="16"/>
      <c r="AT847" s="16"/>
      <c r="AU847" s="16"/>
      <c r="AV847" s="16"/>
      <c r="AW847" s="16"/>
      <c r="AX847" s="16"/>
      <c r="AY847" s="16"/>
      <c r="AZ847" s="16"/>
      <c r="BA847" s="16"/>
      <c r="BB847" s="16"/>
      <c r="BC847" s="16"/>
      <c r="BD847" s="16"/>
      <c r="BE847" s="16"/>
      <c r="BF847" s="16"/>
      <c r="BG847" s="16"/>
      <c r="BH847" s="16"/>
    </row>
    <row r="848" spans="6:60" s="21" customFormat="1">
      <c r="F848" s="9"/>
      <c r="J848" s="9"/>
      <c r="K848" s="9"/>
      <c r="L848" s="9"/>
      <c r="N848" s="9"/>
      <c r="O848" s="9"/>
      <c r="P848" s="9"/>
      <c r="Q848" s="9"/>
      <c r="R848" s="9"/>
      <c r="S848" s="12"/>
      <c r="T848" s="9"/>
      <c r="U848" s="9"/>
      <c r="V848" s="12"/>
      <c r="W848" s="12"/>
      <c r="X848" s="12"/>
      <c r="Y848" s="15"/>
      <c r="Z848" s="15"/>
      <c r="AA848" s="15"/>
      <c r="AB848" s="15"/>
      <c r="AC848" s="15"/>
      <c r="AD848" s="15"/>
      <c r="AE848" s="15"/>
      <c r="AF848" s="16"/>
      <c r="AG848" s="16"/>
      <c r="AH848" s="16"/>
      <c r="AI848" s="16"/>
      <c r="AJ848" s="16"/>
      <c r="AK848" s="16"/>
      <c r="AL848" s="16"/>
      <c r="AM848" s="16"/>
      <c r="AN848" s="16"/>
      <c r="AO848" s="16"/>
      <c r="AP848" s="16"/>
      <c r="AQ848" s="16"/>
      <c r="AR848" s="16"/>
      <c r="AS848" s="16"/>
      <c r="AT848" s="16"/>
      <c r="AU848" s="16"/>
      <c r="AV848" s="16"/>
      <c r="AW848" s="16"/>
      <c r="AX848" s="16"/>
      <c r="AY848" s="16"/>
      <c r="AZ848" s="16"/>
      <c r="BA848" s="16"/>
      <c r="BB848" s="16"/>
      <c r="BC848" s="16"/>
      <c r="BD848" s="16"/>
      <c r="BE848" s="16"/>
      <c r="BF848" s="16"/>
      <c r="BG848" s="16"/>
      <c r="BH848" s="16"/>
    </row>
    <row r="849" spans="6:60" s="21" customFormat="1">
      <c r="F849" s="9"/>
      <c r="J849" s="9"/>
      <c r="K849" s="9"/>
      <c r="L849" s="9"/>
      <c r="N849" s="9"/>
      <c r="O849" s="9"/>
      <c r="P849" s="9"/>
      <c r="Q849" s="9"/>
      <c r="R849" s="9"/>
      <c r="S849" s="12"/>
      <c r="T849" s="9"/>
      <c r="U849" s="9"/>
      <c r="V849" s="12"/>
      <c r="W849" s="12"/>
      <c r="X849" s="12"/>
      <c r="Y849" s="15"/>
      <c r="Z849" s="15"/>
      <c r="AA849" s="15"/>
      <c r="AB849" s="15"/>
      <c r="AC849" s="15"/>
      <c r="AD849" s="15"/>
      <c r="AE849" s="15"/>
      <c r="AF849" s="16"/>
      <c r="AG849" s="16"/>
      <c r="AH849" s="16"/>
      <c r="AI849" s="16"/>
      <c r="AJ849" s="16"/>
      <c r="AK849" s="16"/>
      <c r="AL849" s="16"/>
      <c r="AM849" s="16"/>
      <c r="AN849" s="16"/>
      <c r="AO849" s="16"/>
      <c r="AP849" s="16"/>
      <c r="AQ849" s="16"/>
      <c r="AR849" s="16"/>
      <c r="AS849" s="16"/>
      <c r="AT849" s="16"/>
      <c r="AU849" s="16"/>
      <c r="AV849" s="16"/>
      <c r="AW849" s="16"/>
      <c r="AX849" s="16"/>
      <c r="AY849" s="16"/>
      <c r="AZ849" s="16"/>
      <c r="BA849" s="16"/>
      <c r="BB849" s="16"/>
      <c r="BC849" s="16"/>
      <c r="BD849" s="16"/>
      <c r="BE849" s="16"/>
      <c r="BF849" s="16"/>
      <c r="BG849" s="16"/>
      <c r="BH849" s="16"/>
    </row>
    <row r="850" spans="6:60" s="21" customFormat="1">
      <c r="F850" s="9"/>
      <c r="J850" s="9"/>
      <c r="K850" s="9"/>
      <c r="L850" s="9"/>
      <c r="N850" s="9"/>
      <c r="O850" s="9"/>
      <c r="P850" s="9"/>
      <c r="Q850" s="9"/>
      <c r="R850" s="9"/>
      <c r="S850" s="12"/>
      <c r="T850" s="9"/>
      <c r="U850" s="9"/>
      <c r="V850" s="12"/>
      <c r="W850" s="12"/>
      <c r="X850" s="12"/>
      <c r="Y850" s="15"/>
      <c r="Z850" s="15"/>
      <c r="AA850" s="15"/>
      <c r="AB850" s="15"/>
      <c r="AC850" s="15"/>
      <c r="AD850" s="15"/>
      <c r="AE850" s="15"/>
      <c r="AF850" s="16"/>
      <c r="AG850" s="16"/>
      <c r="AH850" s="16"/>
      <c r="AI850" s="16"/>
      <c r="AJ850" s="16"/>
      <c r="AK850" s="16"/>
      <c r="AL850" s="16"/>
      <c r="AM850" s="16"/>
      <c r="AN850" s="16"/>
      <c r="AO850" s="16"/>
      <c r="AP850" s="16"/>
      <c r="AQ850" s="16"/>
      <c r="AR850" s="16"/>
      <c r="AS850" s="16"/>
      <c r="AT850" s="16"/>
      <c r="AU850" s="16"/>
      <c r="AV850" s="16"/>
      <c r="AW850" s="16"/>
      <c r="AX850" s="16"/>
      <c r="AY850" s="16"/>
      <c r="AZ850" s="16"/>
      <c r="BA850" s="16"/>
      <c r="BB850" s="16"/>
      <c r="BC850" s="16"/>
      <c r="BD850" s="16"/>
      <c r="BE850" s="16"/>
      <c r="BF850" s="16"/>
      <c r="BG850" s="16"/>
      <c r="BH850" s="16"/>
    </row>
    <row r="851" spans="6:60" s="21" customFormat="1">
      <c r="F851" s="9"/>
      <c r="J851" s="9"/>
      <c r="K851" s="9"/>
      <c r="L851" s="9"/>
      <c r="N851" s="9"/>
      <c r="O851" s="9"/>
      <c r="P851" s="9"/>
      <c r="Q851" s="9"/>
      <c r="R851" s="9"/>
      <c r="S851" s="12"/>
      <c r="T851" s="9"/>
      <c r="U851" s="9"/>
      <c r="V851" s="12"/>
      <c r="W851" s="12"/>
      <c r="X851" s="12"/>
      <c r="Y851" s="15"/>
      <c r="Z851" s="15"/>
      <c r="AA851" s="15"/>
      <c r="AB851" s="15"/>
      <c r="AC851" s="15"/>
      <c r="AD851" s="15"/>
      <c r="AE851" s="15"/>
      <c r="AF851" s="16"/>
      <c r="AG851" s="16"/>
      <c r="AH851" s="16"/>
      <c r="AI851" s="16"/>
      <c r="AJ851" s="16"/>
      <c r="AK851" s="16"/>
      <c r="AL851" s="16"/>
      <c r="AM851" s="16"/>
      <c r="AN851" s="16"/>
      <c r="AO851" s="16"/>
      <c r="AP851" s="16"/>
      <c r="AQ851" s="16"/>
      <c r="AR851" s="16"/>
      <c r="AS851" s="16"/>
      <c r="AT851" s="16"/>
      <c r="AU851" s="16"/>
      <c r="AV851" s="16"/>
      <c r="AW851" s="16"/>
      <c r="AX851" s="16"/>
      <c r="AY851" s="16"/>
      <c r="AZ851" s="16"/>
      <c r="BA851" s="16"/>
      <c r="BB851" s="16"/>
      <c r="BC851" s="16"/>
      <c r="BD851" s="16"/>
      <c r="BE851" s="16"/>
      <c r="BF851" s="16"/>
      <c r="BG851" s="16"/>
      <c r="BH851" s="16"/>
    </row>
    <row r="852" spans="6:60" s="21" customFormat="1">
      <c r="F852" s="9"/>
      <c r="J852" s="9"/>
      <c r="K852" s="9"/>
      <c r="L852" s="9"/>
      <c r="N852" s="9"/>
      <c r="O852" s="9"/>
      <c r="P852" s="9"/>
      <c r="Q852" s="9"/>
      <c r="R852" s="9"/>
      <c r="S852" s="12"/>
      <c r="T852" s="9"/>
      <c r="U852" s="9"/>
      <c r="V852" s="12"/>
      <c r="W852" s="12"/>
      <c r="X852" s="12"/>
      <c r="Y852" s="15"/>
      <c r="Z852" s="15"/>
      <c r="AA852" s="15"/>
      <c r="AB852" s="15"/>
      <c r="AC852" s="15"/>
      <c r="AD852" s="15"/>
      <c r="AE852" s="15"/>
      <c r="AF852" s="16"/>
      <c r="AG852" s="16"/>
      <c r="AH852" s="16"/>
      <c r="AI852" s="16"/>
      <c r="AJ852" s="16"/>
      <c r="AK852" s="16"/>
      <c r="AL852" s="16"/>
      <c r="AM852" s="16"/>
      <c r="AN852" s="16"/>
      <c r="AO852" s="16"/>
      <c r="AP852" s="16"/>
      <c r="AQ852" s="16"/>
      <c r="AR852" s="16"/>
      <c r="AS852" s="16"/>
      <c r="AT852" s="16"/>
      <c r="AU852" s="16"/>
      <c r="AV852" s="16"/>
      <c r="AW852" s="16"/>
      <c r="AX852" s="16"/>
      <c r="AY852" s="16"/>
      <c r="AZ852" s="16"/>
      <c r="BA852" s="16"/>
      <c r="BB852" s="16"/>
      <c r="BC852" s="16"/>
      <c r="BD852" s="16"/>
      <c r="BE852" s="16"/>
      <c r="BF852" s="16"/>
      <c r="BG852" s="16"/>
      <c r="BH852" s="16"/>
    </row>
    <row r="853" spans="6:60" s="21" customFormat="1">
      <c r="F853" s="9"/>
      <c r="J853" s="9"/>
      <c r="K853" s="9"/>
      <c r="L853" s="9"/>
      <c r="N853" s="9"/>
      <c r="O853" s="9"/>
      <c r="P853" s="9"/>
      <c r="Q853" s="9"/>
      <c r="R853" s="9"/>
      <c r="S853" s="12"/>
      <c r="T853" s="9"/>
      <c r="U853" s="9"/>
      <c r="V853" s="12"/>
      <c r="W853" s="12"/>
      <c r="X853" s="12"/>
      <c r="Y853" s="15"/>
      <c r="Z853" s="15"/>
      <c r="AA853" s="15"/>
      <c r="AB853" s="15"/>
      <c r="AC853" s="15"/>
      <c r="AD853" s="15"/>
      <c r="AE853" s="15"/>
      <c r="AF853" s="16"/>
      <c r="AG853" s="16"/>
      <c r="AH853" s="16"/>
      <c r="AI853" s="16"/>
      <c r="AJ853" s="16"/>
      <c r="AK853" s="16"/>
      <c r="AL853" s="16"/>
      <c r="AM853" s="16"/>
      <c r="AN853" s="16"/>
      <c r="AO853" s="16"/>
      <c r="AP853" s="16"/>
      <c r="AQ853" s="16"/>
      <c r="AR853" s="16"/>
      <c r="AS853" s="16"/>
      <c r="AT853" s="16"/>
      <c r="AU853" s="16"/>
      <c r="AV853" s="16"/>
      <c r="AW853" s="16"/>
      <c r="AX853" s="16"/>
      <c r="AY853" s="16"/>
      <c r="AZ853" s="16"/>
      <c r="BA853" s="16"/>
      <c r="BB853" s="16"/>
      <c r="BC853" s="16"/>
      <c r="BD853" s="16"/>
      <c r="BE853" s="16"/>
      <c r="BF853" s="16"/>
      <c r="BG853" s="16"/>
      <c r="BH853" s="16"/>
    </row>
    <row r="854" spans="6:60" s="21" customFormat="1">
      <c r="F854" s="9"/>
      <c r="J854" s="9"/>
      <c r="K854" s="9"/>
      <c r="L854" s="9"/>
      <c r="N854" s="9"/>
      <c r="O854" s="9"/>
      <c r="P854" s="9"/>
      <c r="Q854" s="9"/>
      <c r="R854" s="9"/>
      <c r="S854" s="12"/>
      <c r="T854" s="9"/>
      <c r="U854" s="9"/>
      <c r="V854" s="12"/>
      <c r="W854" s="12"/>
      <c r="X854" s="12"/>
      <c r="Y854" s="15"/>
      <c r="Z854" s="15"/>
      <c r="AA854" s="15"/>
      <c r="AB854" s="15"/>
      <c r="AC854" s="15"/>
      <c r="AD854" s="15"/>
      <c r="AE854" s="15"/>
      <c r="AF854" s="16"/>
      <c r="AG854" s="16"/>
      <c r="AH854" s="16"/>
      <c r="AI854" s="16"/>
      <c r="AJ854" s="16"/>
      <c r="AK854" s="16"/>
      <c r="AL854" s="16"/>
      <c r="AM854" s="16"/>
      <c r="AN854" s="16"/>
      <c r="AO854" s="16"/>
      <c r="AP854" s="16"/>
      <c r="AQ854" s="16"/>
      <c r="AR854" s="16"/>
      <c r="AS854" s="16"/>
      <c r="AT854" s="16"/>
      <c r="AU854" s="16"/>
      <c r="AV854" s="16"/>
      <c r="AW854" s="16"/>
      <c r="AX854" s="16"/>
      <c r="AY854" s="16"/>
      <c r="AZ854" s="16"/>
      <c r="BA854" s="16"/>
      <c r="BB854" s="16"/>
      <c r="BC854" s="16"/>
      <c r="BD854" s="16"/>
      <c r="BE854" s="16"/>
      <c r="BF854" s="16"/>
      <c r="BG854" s="16"/>
      <c r="BH854" s="16"/>
    </row>
    <row r="855" spans="6:60" s="21" customFormat="1">
      <c r="F855" s="9"/>
      <c r="J855" s="9"/>
      <c r="K855" s="9"/>
      <c r="L855" s="9"/>
      <c r="N855" s="9"/>
      <c r="O855" s="9"/>
      <c r="P855" s="9"/>
      <c r="Q855" s="9"/>
      <c r="R855" s="9"/>
      <c r="S855" s="12"/>
      <c r="T855" s="9"/>
      <c r="U855" s="9"/>
      <c r="V855" s="12"/>
      <c r="W855" s="12"/>
      <c r="X855" s="12"/>
      <c r="Y855" s="15"/>
      <c r="Z855" s="15"/>
      <c r="AA855" s="15"/>
      <c r="AB855" s="15"/>
      <c r="AC855" s="15"/>
      <c r="AD855" s="15"/>
      <c r="AE855" s="15"/>
      <c r="AF855" s="16"/>
      <c r="AG855" s="16"/>
      <c r="AH855" s="16"/>
      <c r="AI855" s="16"/>
      <c r="AJ855" s="16"/>
      <c r="AK855" s="16"/>
      <c r="AL855" s="16"/>
      <c r="AM855" s="16"/>
      <c r="AN855" s="16"/>
      <c r="AO855" s="16"/>
      <c r="AP855" s="16"/>
      <c r="AQ855" s="16"/>
      <c r="AR855" s="16"/>
      <c r="AS855" s="16"/>
      <c r="AT855" s="16"/>
      <c r="AU855" s="16"/>
      <c r="AV855" s="16"/>
      <c r="AW855" s="16"/>
      <c r="AX855" s="16"/>
      <c r="AY855" s="16"/>
      <c r="AZ855" s="16"/>
      <c r="BA855" s="16"/>
      <c r="BB855" s="16"/>
      <c r="BC855" s="16"/>
      <c r="BD855" s="16"/>
      <c r="BE855" s="16"/>
      <c r="BF855" s="16"/>
      <c r="BG855" s="16"/>
      <c r="BH855" s="16"/>
    </row>
    <row r="856" spans="6:60" s="21" customFormat="1">
      <c r="F856" s="9"/>
      <c r="J856" s="9"/>
      <c r="K856" s="9"/>
      <c r="L856" s="9"/>
      <c r="N856" s="9"/>
      <c r="O856" s="9"/>
      <c r="P856" s="9"/>
      <c r="Q856" s="9"/>
      <c r="R856" s="9"/>
      <c r="S856" s="12"/>
      <c r="T856" s="9"/>
      <c r="U856" s="9"/>
      <c r="V856" s="12"/>
      <c r="W856" s="12"/>
      <c r="X856" s="12"/>
      <c r="Y856" s="15"/>
      <c r="Z856" s="15"/>
      <c r="AA856" s="15"/>
      <c r="AB856" s="15"/>
      <c r="AC856" s="15"/>
      <c r="AD856" s="15"/>
      <c r="AE856" s="15"/>
      <c r="AF856" s="16"/>
      <c r="AG856" s="16"/>
      <c r="AH856" s="16"/>
      <c r="AI856" s="16"/>
      <c r="AJ856" s="16"/>
      <c r="AK856" s="16"/>
      <c r="AL856" s="16"/>
      <c r="AM856" s="16"/>
      <c r="AN856" s="16"/>
      <c r="AO856" s="16"/>
      <c r="AP856" s="16"/>
      <c r="AQ856" s="16"/>
      <c r="AR856" s="16"/>
      <c r="AS856" s="16"/>
      <c r="AT856" s="16"/>
      <c r="AU856" s="16"/>
      <c r="AV856" s="16"/>
      <c r="AW856" s="16"/>
      <c r="AX856" s="16"/>
      <c r="AY856" s="16"/>
      <c r="AZ856" s="16"/>
      <c r="BA856" s="16"/>
      <c r="BB856" s="16"/>
      <c r="BC856" s="16"/>
      <c r="BD856" s="16"/>
      <c r="BE856" s="16"/>
      <c r="BF856" s="16"/>
      <c r="BG856" s="16"/>
      <c r="BH856" s="16"/>
    </row>
    <row r="857" spans="6:60" s="21" customFormat="1">
      <c r="F857" s="9"/>
      <c r="J857" s="9"/>
      <c r="K857" s="9"/>
      <c r="L857" s="9"/>
      <c r="N857" s="9"/>
      <c r="O857" s="9"/>
      <c r="P857" s="9"/>
      <c r="Q857" s="9"/>
      <c r="R857" s="9"/>
      <c r="S857" s="12"/>
      <c r="T857" s="9"/>
      <c r="U857" s="9"/>
      <c r="V857" s="12"/>
      <c r="W857" s="12"/>
      <c r="X857" s="12"/>
      <c r="Y857" s="15"/>
      <c r="Z857" s="15"/>
      <c r="AA857" s="15"/>
      <c r="AB857" s="15"/>
      <c r="AC857" s="15"/>
      <c r="AD857" s="15"/>
      <c r="AE857" s="15"/>
      <c r="AF857" s="16"/>
      <c r="AG857" s="16"/>
      <c r="AH857" s="16"/>
      <c r="AI857" s="16"/>
      <c r="AJ857" s="16"/>
      <c r="AK857" s="16"/>
      <c r="AL857" s="16"/>
      <c r="AM857" s="16"/>
      <c r="AN857" s="16"/>
      <c r="AO857" s="16"/>
      <c r="AP857" s="16"/>
      <c r="AQ857" s="16"/>
      <c r="AR857" s="16"/>
      <c r="AS857" s="16"/>
      <c r="AT857" s="16"/>
      <c r="AU857" s="16"/>
      <c r="AV857" s="16"/>
      <c r="AW857" s="16"/>
      <c r="AX857" s="16"/>
      <c r="AY857" s="16"/>
      <c r="AZ857" s="16"/>
      <c r="BA857" s="16"/>
      <c r="BB857" s="16"/>
      <c r="BC857" s="16"/>
      <c r="BD857" s="16"/>
      <c r="BE857" s="16"/>
      <c r="BF857" s="16"/>
      <c r="BG857" s="16"/>
      <c r="BH857" s="16"/>
    </row>
  </sheetData>
  <phoneticPr fontId="2" type="noConversion"/>
  <conditionalFormatting sqref="BE1:XFD1 E1:I1">
    <cfRule type="duplicateValues" dxfId="137" priority="1826"/>
  </conditionalFormatting>
  <conditionalFormatting sqref="F727:F733 F713:F723 F1:F10 F269:F270 F51 F60">
    <cfRule type="cellIs" dxfId="136" priority="1327" operator="equal">
      <formula>"ID"</formula>
    </cfRule>
    <cfRule type="cellIs" dxfId="135" priority="1742" operator="equal">
      <formula>"行動序號"</formula>
    </cfRule>
  </conditionalFormatting>
  <conditionalFormatting sqref="N715:N732">
    <cfRule type="expression" dxfId="134" priority="1746">
      <formula>OR($F715="行動序號",$F715="ID")</formula>
    </cfRule>
  </conditionalFormatting>
  <conditionalFormatting sqref="N715:N732">
    <cfRule type="expression" dxfId="133" priority="1213">
      <formula>$F715="行動ID"</formula>
    </cfRule>
  </conditionalFormatting>
  <conditionalFormatting sqref="J1">
    <cfRule type="duplicateValues" dxfId="132" priority="1325"/>
  </conditionalFormatting>
  <conditionalFormatting sqref="K1:L1">
    <cfRule type="duplicateValues" dxfId="131" priority="1322"/>
  </conditionalFormatting>
  <conditionalFormatting sqref="N715:N732">
    <cfRule type="expression" dxfId="130" priority="1829">
      <formula>$E715&gt;0</formula>
    </cfRule>
  </conditionalFormatting>
  <conditionalFormatting sqref="J738 M1:M1048576">
    <cfRule type="expression" dxfId="129" priority="937">
      <formula>_xlfn.ISFORMULA(J1)</formula>
    </cfRule>
  </conditionalFormatting>
  <conditionalFormatting sqref="F442:F443 F464:F465 F565 F586:F587 F608:F609 F630:F631 F652:F653 F674:F675 F696:F697">
    <cfRule type="cellIs" dxfId="128" priority="789" operator="equal">
      <formula>"ID"</formula>
    </cfRule>
    <cfRule type="cellIs" dxfId="127" priority="790" operator="equal">
      <formula>"行動序號"</formula>
    </cfRule>
  </conditionalFormatting>
  <conditionalFormatting sqref="F447:F457 F569:F579 F591:F601 F613:F623 F635:F645 F657:F667 F679:F689 F701:F711 F469:F557">
    <cfRule type="cellIs" dxfId="126" priority="786" operator="equal">
      <formula>"ID"</formula>
    </cfRule>
    <cfRule type="cellIs" dxfId="125" priority="787" operator="equal">
      <formula>"行動序號"</formula>
    </cfRule>
  </conditionalFormatting>
  <conditionalFormatting sqref="F458 F580 F602 F624 F646 F668 F690 F712 F558">
    <cfRule type="cellIs" dxfId="124" priority="779" operator="equal">
      <formula>"ID"</formula>
    </cfRule>
    <cfRule type="cellIs" dxfId="123" priority="780" operator="equal">
      <formula>"行動序號"</formula>
    </cfRule>
  </conditionalFormatting>
  <conditionalFormatting sqref="F439:F441 F461:F463 F583:F585 F605:F607 F627:F629 F649:F651 F671:F673 F693:F695 F561:F564">
    <cfRule type="cellIs" dxfId="122" priority="776" operator="equal">
      <formula>"ID"</formula>
    </cfRule>
    <cfRule type="cellIs" dxfId="121" priority="777" operator="equal">
      <formula>"行動序號"</formula>
    </cfRule>
  </conditionalFormatting>
  <conditionalFormatting sqref="F915:F917">
    <cfRule type="cellIs" dxfId="120" priority="375" operator="equal">
      <formula>"ID"</formula>
    </cfRule>
    <cfRule type="cellIs" dxfId="119" priority="376" operator="equal">
      <formula>"行動序號"</formula>
    </cfRule>
  </conditionalFormatting>
  <conditionalFormatting sqref="F724:F726">
    <cfRule type="cellIs" dxfId="118" priority="371" operator="equal">
      <formula>"行動ID"</formula>
    </cfRule>
    <cfRule type="cellIs" dxfId="117" priority="372" operator="equal">
      <formula>"ID"</formula>
    </cfRule>
    <cfRule type="cellIs" dxfId="116" priority="374" operator="equal">
      <formula>"行動序號"</formula>
    </cfRule>
  </conditionalFormatting>
  <conditionalFormatting sqref="F724:F726">
    <cfRule type="cellIs" dxfId="115" priority="373" operator="equal">
      <formula>"行動序號"</formula>
    </cfRule>
  </conditionalFormatting>
  <conditionalFormatting sqref="F927">
    <cfRule type="cellIs" dxfId="114" priority="209" operator="equal">
      <formula>"ID"</formula>
    </cfRule>
    <cfRule type="cellIs" dxfId="113" priority="210" operator="equal">
      <formula>"行動序號"</formula>
    </cfRule>
  </conditionalFormatting>
  <conditionalFormatting sqref="F437 F459 F581 F603 F625 F647 F669 F691 F559">
    <cfRule type="cellIs" dxfId="112" priority="197" operator="equal">
      <formula>"ID"</formula>
    </cfRule>
    <cfRule type="cellIs" dxfId="111" priority="198" operator="equal">
      <formula>"行動序號"</formula>
    </cfRule>
  </conditionalFormatting>
  <conditionalFormatting sqref="F444 F466 F566 F588 F610 F632 F654 F676 F698">
    <cfRule type="cellIs" dxfId="110" priority="188" operator="equal">
      <formula>"ID"</formula>
    </cfRule>
    <cfRule type="cellIs" dxfId="109" priority="189" operator="equal">
      <formula>"行動序號"</formula>
    </cfRule>
  </conditionalFormatting>
  <conditionalFormatting sqref="F438 F460 F582 F604 F626 F648 F670 F692 F560">
    <cfRule type="cellIs" dxfId="108" priority="177" operator="equal">
      <formula>"ID"</formula>
    </cfRule>
    <cfRule type="cellIs" dxfId="107" priority="178" operator="equal">
      <formula>"行動序號"</formula>
    </cfRule>
  </conditionalFormatting>
  <conditionalFormatting sqref="F751 F767 F782 F797 F812 F827 F842 F857">
    <cfRule type="cellIs" dxfId="106" priority="171" operator="equal">
      <formula>"ID"</formula>
    </cfRule>
    <cfRule type="cellIs" dxfId="105" priority="172" operator="equal">
      <formula>"行動序號"</formula>
    </cfRule>
  </conditionalFormatting>
  <conditionalFormatting sqref="F738:F747 F754:F763 F769:F778 F784:F793 F799:F808 F814:F823 F829:F838 F844:F853">
    <cfRule type="cellIs" dxfId="104" priority="166" operator="equal">
      <formula>"ID"</formula>
    </cfRule>
    <cfRule type="cellIs" dxfId="103" priority="167" operator="equal">
      <formula>"行動序號"</formula>
    </cfRule>
  </conditionalFormatting>
  <conditionalFormatting sqref="F749 F765 F780 F795 F810 F825 F840 F855">
    <cfRule type="cellIs" dxfId="102" priority="159" operator="equal">
      <formula>"ID"</formula>
    </cfRule>
    <cfRule type="cellIs" dxfId="101" priority="160" operator="equal">
      <formula>"行動序號"</formula>
    </cfRule>
  </conditionalFormatting>
  <conditionalFormatting sqref="F750 F766 F781 F796 F811 F826 F841 F856">
    <cfRule type="cellIs" dxfId="100" priority="156" operator="equal">
      <formula>"ID"</formula>
    </cfRule>
    <cfRule type="cellIs" dxfId="99" priority="157" operator="equal">
      <formula>"行動序號"</formula>
    </cfRule>
  </conditionalFormatting>
  <conditionalFormatting sqref="F752">
    <cfRule type="cellIs" dxfId="98" priority="144" operator="equal">
      <formula>"ID"</formula>
    </cfRule>
    <cfRule type="cellIs" dxfId="97" priority="145" operator="equal">
      <formula>"行動序號"</formula>
    </cfRule>
  </conditionalFormatting>
  <conditionalFormatting sqref="N1:BD1">
    <cfRule type="duplicateValues" dxfId="96" priority="1842"/>
  </conditionalFormatting>
  <conditionalFormatting sqref="J738">
    <cfRule type="expression" dxfId="95" priority="1846">
      <formula>OR($F736="行動序號",$F736="ID")</formula>
    </cfRule>
  </conditionalFormatting>
  <conditionalFormatting sqref="J738">
    <cfRule type="expression" dxfId="94" priority="1848">
      <formula>$F736="行動ID"</formula>
    </cfRule>
  </conditionalFormatting>
  <conditionalFormatting sqref="F301 F344 F359 F374 F389 F404 F419 F434 F281:F291 F321">
    <cfRule type="cellIs" dxfId="93" priority="92" operator="equal">
      <formula>"ID"</formula>
    </cfRule>
    <cfRule type="cellIs" dxfId="92" priority="93" operator="equal">
      <formula>"行動序號"</formula>
    </cfRule>
  </conditionalFormatting>
  <conditionalFormatting sqref="J308 J283 J322">
    <cfRule type="expression" dxfId="91" priority="90">
      <formula>_xlfn.ISFORMULA(J283)</formula>
    </cfRule>
  </conditionalFormatting>
  <conditionalFormatting sqref="F308:F317 F331:F340 F346:F355 F361:F370 F376:F385 F391:F400 F406:F415 F421:F430">
    <cfRule type="cellIs" dxfId="90" priority="85" operator="equal">
      <formula>"ID"</formula>
    </cfRule>
    <cfRule type="cellIs" dxfId="89" priority="86" operator="equal">
      <formula>"行動序號"</formula>
    </cfRule>
  </conditionalFormatting>
  <conditionalFormatting sqref="F319 F342 F357 F372 F387 F402 F417 F432">
    <cfRule type="cellIs" dxfId="88" priority="77" operator="equal">
      <formula>"ID"</formula>
    </cfRule>
    <cfRule type="cellIs" dxfId="87" priority="78" operator="equal">
      <formula>"行動序號"</formula>
    </cfRule>
  </conditionalFormatting>
  <conditionalFormatting sqref="F320 F343 F358 F373 F388 F403 F418 F433">
    <cfRule type="cellIs" dxfId="86" priority="74" operator="equal">
      <formula>"ID"</formula>
    </cfRule>
    <cfRule type="cellIs" dxfId="85" priority="75" operator="equal">
      <formula>"行動序號"</formula>
    </cfRule>
  </conditionalFormatting>
  <conditionalFormatting sqref="F295:F300">
    <cfRule type="cellIs" dxfId="84" priority="72" operator="equal">
      <formula>"ID"</formula>
    </cfRule>
    <cfRule type="cellIs" dxfId="83" priority="73" operator="equal">
      <formula>"行動序號"</formula>
    </cfRule>
  </conditionalFormatting>
  <conditionalFormatting sqref="F292:F294">
    <cfRule type="cellIs" dxfId="82" priority="68" operator="equal">
      <formula>"行動ID"</formula>
    </cfRule>
    <cfRule type="cellIs" dxfId="81" priority="69" operator="equal">
      <formula>"ID"</formula>
    </cfRule>
    <cfRule type="cellIs" dxfId="80" priority="71" operator="equal">
      <formula>"行動序號"</formula>
    </cfRule>
  </conditionalFormatting>
  <conditionalFormatting sqref="F292:F294">
    <cfRule type="cellIs" dxfId="79" priority="70" operator="equal">
      <formula>"行動序號"</formula>
    </cfRule>
  </conditionalFormatting>
  <conditionalFormatting sqref="J308">
    <cfRule type="expression" dxfId="78" priority="95">
      <formula>OR($F306="行動序號",$F306="ID")</formula>
    </cfRule>
  </conditionalFormatting>
  <conditionalFormatting sqref="J308">
    <cfRule type="expression" dxfId="77" priority="96">
      <formula>$F306="行動ID"</formula>
    </cfRule>
  </conditionalFormatting>
  <conditionalFormatting sqref="J283">
    <cfRule type="expression" dxfId="76" priority="97">
      <formula>OR($F282="行動序號",$F282="ID")</formula>
    </cfRule>
  </conditionalFormatting>
  <conditionalFormatting sqref="J283">
    <cfRule type="expression" dxfId="75" priority="98">
      <formula>$F282="行動ID"</formula>
    </cfRule>
  </conditionalFormatting>
  <conditionalFormatting sqref="F322:F327">
    <cfRule type="cellIs" dxfId="74" priority="64" operator="equal">
      <formula>"ID"</formula>
    </cfRule>
    <cfRule type="cellIs" dxfId="73" priority="65" operator="equal">
      <formula>"行動序號"</formula>
    </cfRule>
  </conditionalFormatting>
  <conditionalFormatting sqref="J322">
    <cfRule type="expression" dxfId="72" priority="66">
      <formula>OR($F320="行動序號",$F320="ID")</formula>
    </cfRule>
  </conditionalFormatting>
  <conditionalFormatting sqref="J322">
    <cfRule type="expression" dxfId="71" priority="67">
      <formula>$F320="行動ID"</formula>
    </cfRule>
  </conditionalFormatting>
  <conditionalFormatting sqref="F328">
    <cfRule type="cellIs" dxfId="70" priority="54" operator="equal">
      <formula>"ID"</formula>
    </cfRule>
    <cfRule type="cellIs" dxfId="69" priority="55" operator="equal">
      <formula>"行動序號"</formula>
    </cfRule>
  </conditionalFormatting>
  <conditionalFormatting sqref="F31 F76 F91 F106 F121 F136 F151 F166 F11:F21 F61">
    <cfRule type="cellIs" dxfId="68" priority="47" operator="equal">
      <formula>"ID"</formula>
    </cfRule>
    <cfRule type="cellIs" dxfId="67" priority="48" operator="equal">
      <formula>"行動序號"</formula>
    </cfRule>
  </conditionalFormatting>
  <conditionalFormatting sqref="J38 J13 J52">
    <cfRule type="expression" dxfId="66" priority="45">
      <formula>_xlfn.ISFORMULA(J13)</formula>
    </cfRule>
  </conditionalFormatting>
  <conditionalFormatting sqref="F1:F1048576">
    <cfRule type="cellIs" dxfId="65" priority="40" operator="equal">
      <formula>"ID"</formula>
    </cfRule>
    <cfRule type="cellIs" dxfId="64" priority="41" operator="equal">
      <formula>"行動ID"</formula>
    </cfRule>
  </conditionalFormatting>
  <conditionalFormatting sqref="F49 F74 F89 F104 F119 F134 F149 F164">
    <cfRule type="cellIs" dxfId="63" priority="32" operator="equal">
      <formula>"ID"</formula>
    </cfRule>
    <cfRule type="cellIs" dxfId="62" priority="33" operator="equal">
      <formula>"行動序號"</formula>
    </cfRule>
  </conditionalFormatting>
  <conditionalFormatting sqref="F50 F75 F90 F105 F120 F135 F150 F165">
    <cfRule type="cellIs" dxfId="61" priority="29" operator="equal">
      <formula>"ID"</formula>
    </cfRule>
    <cfRule type="cellIs" dxfId="60" priority="30" operator="equal">
      <formula>"行動序號"</formula>
    </cfRule>
  </conditionalFormatting>
  <conditionalFormatting sqref="F25:F30">
    <cfRule type="cellIs" dxfId="59" priority="27" operator="equal">
      <formula>"ID"</formula>
    </cfRule>
    <cfRule type="cellIs" dxfId="58" priority="28" operator="equal">
      <formula>"行動序號"</formula>
    </cfRule>
  </conditionalFormatting>
  <conditionalFormatting sqref="F22:F24">
    <cfRule type="cellIs" dxfId="57" priority="23" operator="equal">
      <formula>"行動ID"</formula>
    </cfRule>
    <cfRule type="cellIs" dxfId="56" priority="24" operator="equal">
      <formula>"ID"</formula>
    </cfRule>
    <cfRule type="cellIs" dxfId="55" priority="26" operator="equal">
      <formula>"行動序號"</formula>
    </cfRule>
  </conditionalFormatting>
  <conditionalFormatting sqref="F22:F24">
    <cfRule type="cellIs" dxfId="54" priority="25" operator="equal">
      <formula>"行動序號"</formula>
    </cfRule>
  </conditionalFormatting>
  <conditionalFormatting sqref="J38">
    <cfRule type="expression" dxfId="53" priority="50">
      <formula>OR($F36="行動序號",$F36="ID")</formula>
    </cfRule>
  </conditionalFormatting>
  <conditionalFormatting sqref="J38">
    <cfRule type="expression" dxfId="52" priority="51">
      <formula>$F36="行動ID"</formula>
    </cfRule>
  </conditionalFormatting>
  <conditionalFormatting sqref="J13">
    <cfRule type="expression" dxfId="51" priority="52">
      <formula>OR($F12="行動序號",$F12="ID")</formula>
    </cfRule>
  </conditionalFormatting>
  <conditionalFormatting sqref="J13">
    <cfRule type="expression" dxfId="50" priority="53">
      <formula>$F12="行動ID"</formula>
    </cfRule>
  </conditionalFormatting>
  <conditionalFormatting sqref="F52:F56">
    <cfRule type="cellIs" dxfId="49" priority="19" operator="equal">
      <formula>"ID"</formula>
    </cfRule>
    <cfRule type="cellIs" dxfId="48" priority="20" operator="equal">
      <formula>"行動序號"</formula>
    </cfRule>
  </conditionalFormatting>
  <conditionalFormatting sqref="J52">
    <cfRule type="expression" dxfId="47" priority="21">
      <formula>OR($F50="行動序號",$F50="ID")</formula>
    </cfRule>
  </conditionalFormatting>
  <conditionalFormatting sqref="J52">
    <cfRule type="expression" dxfId="46" priority="22">
      <formula>$F50="行動ID"</formula>
    </cfRule>
  </conditionalFormatting>
  <conditionalFormatting sqref="F264:F268">
    <cfRule type="cellIs" dxfId="45" priority="12" operator="equal">
      <formula>"ID"</formula>
    </cfRule>
    <cfRule type="cellIs" dxfId="44" priority="13" operator="equal">
      <formula>"行動序號"</formula>
    </cfRule>
  </conditionalFormatting>
  <conditionalFormatting sqref="J264">
    <cfRule type="expression" dxfId="43" priority="10">
      <formula>_xlfn.ISFORMULA(J264)</formula>
    </cfRule>
  </conditionalFormatting>
  <conditionalFormatting sqref="J264">
    <cfRule type="expression" dxfId="42" priority="15">
      <formula>OR($F263="行動序號",$F263="ID")</formula>
    </cfRule>
  </conditionalFormatting>
  <conditionalFormatting sqref="J264">
    <cfRule type="expression" dxfId="41" priority="16">
      <formula>$F263="行動ID"</formula>
    </cfRule>
  </conditionalFormatting>
  <conditionalFormatting sqref="M1:M1048576">
    <cfRule type="expression" dxfId="40" priority="1">
      <formula>AND(_xlfn.ISFORMULA(M1),OR($F1="行動ID", $F1="ID"))</formula>
    </cfRule>
    <cfRule type="expression" dxfId="39" priority="3">
      <formula>OR($F1="行動ID", $F1="ID")</formula>
    </cfRule>
  </conditionalFormatting>
  <dataValidations count="1">
    <dataValidation type="list" allowBlank="1" showInputMessage="1" showErrorMessage="1" sqref="L36 K8 L5:L6 L44:L45 F257 L258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141</v>
      </c>
      <c r="D1" s="17" t="s">
        <v>140</v>
      </c>
      <c r="E1" s="6" t="s">
        <v>36</v>
      </c>
    </row>
    <row r="2" spans="1:5">
      <c r="A2" s="9" t="s">
        <v>50</v>
      </c>
      <c r="B2" s="9" t="s">
        <v>28</v>
      </c>
      <c r="C2" s="9" t="s">
        <v>141</v>
      </c>
      <c r="D2" s="9" t="s">
        <v>142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148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149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232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150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151</v>
      </c>
      <c r="C17" s="7" t="s">
        <v>233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143</v>
      </c>
      <c r="C20" s="7" t="s">
        <v>152</v>
      </c>
      <c r="E20" t="str">
        <f t="shared" si="0"/>
        <v>啟動依ID,</v>
      </c>
      <c r="H20"/>
    </row>
    <row r="21" spans="1:8">
      <c r="A21" s="7" t="s">
        <v>27</v>
      </c>
      <c r="B21" s="7" t="s">
        <v>153</v>
      </c>
      <c r="C21" s="7" t="s">
        <v>154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155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156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157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158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159</v>
      </c>
      <c r="C26" s="7" t="s">
        <v>160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161</v>
      </c>
      <c r="C27" s="7" t="s">
        <v>162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163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164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165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166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167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168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169</v>
      </c>
      <c r="C36" s="7" t="s">
        <v>170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171</v>
      </c>
      <c r="C37" s="7" t="s">
        <v>172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173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98</v>
      </c>
      <c r="C41" s="7" t="s">
        <v>174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175</v>
      </c>
      <c r="E42" t="str">
        <f t="shared" si="0"/>
        <v>死亡時間,</v>
      </c>
      <c r="H42"/>
    </row>
    <row r="43" spans="1:8">
      <c r="A43" s="7" t="s">
        <v>27</v>
      </c>
      <c r="B43" s="7" t="s">
        <v>229</v>
      </c>
      <c r="C43" s="7" t="s">
        <v>230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99</v>
      </c>
      <c r="C46" s="7" t="s">
        <v>176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177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178</v>
      </c>
      <c r="E48" t="str">
        <f t="shared" si="0"/>
        <v>位置參數,</v>
      </c>
      <c r="H48"/>
    </row>
    <row r="49" spans="1:8">
      <c r="A49" s="7" t="s">
        <v>27</v>
      </c>
      <c r="B49" s="7" t="s">
        <v>179</v>
      </c>
      <c r="C49" s="7" t="s">
        <v>180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181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182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183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184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185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186</v>
      </c>
      <c r="C59" s="7" t="s">
        <v>187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188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234</v>
      </c>
      <c r="C61" s="7" t="s">
        <v>235</v>
      </c>
      <c r="E61" t="str">
        <f t="shared" si="0"/>
        <v>子旋轉角度,</v>
      </c>
      <c r="H61"/>
    </row>
    <row r="62" spans="1:8">
      <c r="A62" s="7" t="s">
        <v>27</v>
      </c>
      <c r="B62" s="24" t="s">
        <v>236</v>
      </c>
      <c r="C62" s="7" t="s">
        <v>237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189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190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191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192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193</v>
      </c>
      <c r="C73" s="7" t="s">
        <v>194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195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196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197</v>
      </c>
      <c r="E76" t="str">
        <f t="shared" si="0"/>
        <v>回收距離,</v>
      </c>
      <c r="H76"/>
    </row>
    <row r="77" spans="1:11">
      <c r="A77" s="7" t="s">
        <v>27</v>
      </c>
      <c r="B77" s="7" t="s">
        <v>198</v>
      </c>
      <c r="C77" s="7" t="s">
        <v>199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200</v>
      </c>
      <c r="C78" s="7" t="s">
        <v>201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202</v>
      </c>
      <c r="C79" s="7" t="s">
        <v>203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204</v>
      </c>
      <c r="C80" s="7" t="s">
        <v>205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206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207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208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209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210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211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212</v>
      </c>
      <c r="C91" s="7" t="s">
        <v>213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214</v>
      </c>
      <c r="C92" s="7" t="s">
        <v>215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216</v>
      </c>
      <c r="C93" s="7" t="s">
        <v>217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218</v>
      </c>
      <c r="C94" s="7" t="s">
        <v>219</v>
      </c>
      <c r="E94" t="str">
        <f t="shared" si="1"/>
        <v>玩家Shift,</v>
      </c>
      <c r="H94"/>
    </row>
    <row r="95" spans="1:11">
      <c r="A95" s="7" t="s">
        <v>27</v>
      </c>
      <c r="B95" s="7" t="s">
        <v>220</v>
      </c>
      <c r="C95" s="7" t="s">
        <v>221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140</v>
      </c>
      <c r="B103" s="7" t="s">
        <v>137</v>
      </c>
      <c r="C103" s="7" t="s">
        <v>21</v>
      </c>
      <c r="H103"/>
    </row>
    <row r="104" spans="1:12" customFormat="1">
      <c r="A104" s="7" t="s">
        <v>140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140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140</v>
      </c>
      <c r="B106" t="s">
        <v>222</v>
      </c>
      <c r="C106" s="7" t="s">
        <v>97</v>
      </c>
      <c r="D106" s="7"/>
      <c r="L106" s="7"/>
    </row>
    <row r="107" spans="1:12" customFormat="1">
      <c r="A107" s="7" t="s">
        <v>140</v>
      </c>
      <c r="B107" t="s">
        <v>223</v>
      </c>
      <c r="C107" s="7" t="s">
        <v>23</v>
      </c>
      <c r="D107" s="7"/>
      <c r="L107" s="7"/>
    </row>
    <row r="108" spans="1:12" customFormat="1">
      <c r="A108" s="7" t="s">
        <v>140</v>
      </c>
      <c r="B108" t="s">
        <v>224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141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141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141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141</v>
      </c>
      <c r="B114" t="s">
        <v>225</v>
      </c>
      <c r="C114" s="7" t="s">
        <v>22</v>
      </c>
      <c r="D114" s="7"/>
      <c r="L114" s="7"/>
    </row>
    <row r="115" spans="1:12">
      <c r="A115" s="7" t="s">
        <v>141</v>
      </c>
      <c r="B115" s="7" t="s">
        <v>226</v>
      </c>
      <c r="C115" s="7" t="s">
        <v>23</v>
      </c>
      <c r="H115"/>
    </row>
    <row r="116" spans="1:12">
      <c r="A116" s="7" t="s">
        <v>141</v>
      </c>
      <c r="B116" s="7" t="s">
        <v>255</v>
      </c>
      <c r="C116" s="7" t="s">
        <v>24</v>
      </c>
      <c r="H116"/>
    </row>
    <row r="117" spans="1:12">
      <c r="A117" s="7" t="s">
        <v>141</v>
      </c>
      <c r="B117" s="7" t="s">
        <v>265</v>
      </c>
      <c r="C117" s="7" t="s">
        <v>266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140</v>
      </c>
      <c r="C1" s="6" t="s">
        <v>141</v>
      </c>
      <c r="D1" s="8"/>
      <c r="E1" s="8"/>
      <c r="F1" s="8"/>
      <c r="G1" s="6"/>
      <c r="H1" s="8"/>
      <c r="I1" s="8"/>
      <c r="J1" s="8"/>
    </row>
    <row r="2" spans="1:10" ht="85.5">
      <c r="B2" s="19" t="s">
        <v>137</v>
      </c>
      <c r="C2" s="19" t="s">
        <v>135</v>
      </c>
      <c r="D2" s="19"/>
      <c r="G2" s="20" t="s">
        <v>227</v>
      </c>
    </row>
    <row r="3" spans="1:10">
      <c r="A3" s="19" t="s">
        <v>93</v>
      </c>
      <c r="B3" s="19" t="s">
        <v>138</v>
      </c>
      <c r="C3" s="19" t="s">
        <v>136</v>
      </c>
      <c r="D3" s="19"/>
      <c r="G3" s="9"/>
    </row>
    <row r="4" spans="1:10">
      <c r="A4" s="19" t="s">
        <v>102</v>
      </c>
      <c r="B4" s="19" t="s">
        <v>139</v>
      </c>
      <c r="C4" s="19" t="s">
        <v>228</v>
      </c>
      <c r="D4" s="19"/>
      <c r="G4" s="9"/>
      <c r="H4" s="18"/>
    </row>
    <row r="5" spans="1:10" ht="17.25" customHeight="1">
      <c r="A5" s="19" t="s">
        <v>100</v>
      </c>
      <c r="B5" s="19" t="s">
        <v>222</v>
      </c>
      <c r="C5" s="19" t="s">
        <v>225</v>
      </c>
      <c r="D5" s="19"/>
      <c r="G5" s="9"/>
    </row>
    <row r="6" spans="1:10">
      <c r="A6" s="19" t="s">
        <v>103</v>
      </c>
      <c r="B6" s="19" t="s">
        <v>223</v>
      </c>
      <c r="C6" s="19" t="s">
        <v>226</v>
      </c>
      <c r="D6" s="19"/>
      <c r="G6" s="9"/>
    </row>
    <row r="7" spans="1:10">
      <c r="A7" s="19" t="s">
        <v>48</v>
      </c>
      <c r="B7" s="19" t="s">
        <v>224</v>
      </c>
      <c r="C7" s="23" t="s">
        <v>255</v>
      </c>
      <c r="D7" s="19"/>
      <c r="G7" s="9"/>
    </row>
    <row r="8" spans="1:10">
      <c r="A8" s="19" t="s">
        <v>149</v>
      </c>
      <c r="B8" s="23"/>
      <c r="C8" s="7" t="s">
        <v>265</v>
      </c>
      <c r="D8" s="19"/>
      <c r="G8" s="9"/>
    </row>
    <row r="9" spans="1:10">
      <c r="A9" s="19" t="s">
        <v>111</v>
      </c>
      <c r="B9" s="19"/>
      <c r="C9" s="19"/>
      <c r="D9" s="19"/>
      <c r="G9" s="9"/>
    </row>
    <row r="10" spans="1:10">
      <c r="A10" s="19" t="s">
        <v>232</v>
      </c>
      <c r="B10" s="19"/>
      <c r="C10" s="19"/>
      <c r="D10" s="19"/>
      <c r="G10" s="9"/>
    </row>
    <row r="11" spans="1:10">
      <c r="A11" s="19" t="s">
        <v>150</v>
      </c>
      <c r="G11" s="9"/>
    </row>
    <row r="12" spans="1:10">
      <c r="A12" s="19" t="s">
        <v>45</v>
      </c>
      <c r="G12" s="9"/>
    </row>
    <row r="13" spans="1:10">
      <c r="A13" s="19" t="s">
        <v>104</v>
      </c>
      <c r="G13" s="9"/>
    </row>
    <row r="14" spans="1:10">
      <c r="A14" s="19" t="s">
        <v>105</v>
      </c>
      <c r="C14" s="9"/>
      <c r="G14" s="9"/>
    </row>
    <row r="15" spans="1:10">
      <c r="A15" s="19" t="s">
        <v>131</v>
      </c>
      <c r="G15" s="9"/>
    </row>
    <row r="16" spans="1:10">
      <c r="A16" s="19" t="s">
        <v>132</v>
      </c>
      <c r="C16"/>
      <c r="G16" s="9"/>
    </row>
    <row r="17" spans="1:7">
      <c r="A17" s="19" t="s">
        <v>151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143</v>
      </c>
      <c r="C20"/>
      <c r="G20" s="9"/>
    </row>
    <row r="21" spans="1:7">
      <c r="A21" s="19" t="s">
        <v>153</v>
      </c>
      <c r="C21"/>
      <c r="G21" s="9"/>
    </row>
    <row r="22" spans="1:7">
      <c r="A22" s="19" t="s">
        <v>127</v>
      </c>
      <c r="C22"/>
      <c r="G22" s="9"/>
    </row>
    <row r="23" spans="1:7">
      <c r="A23" s="19" t="s">
        <v>128</v>
      </c>
      <c r="C23"/>
      <c r="G23" s="9"/>
    </row>
    <row r="24" spans="1:7">
      <c r="A24" s="19" t="s">
        <v>129</v>
      </c>
      <c r="C24"/>
      <c r="G24" s="9"/>
    </row>
    <row r="25" spans="1:7" s="9" customFormat="1">
      <c r="A25" s="19" t="s">
        <v>130</v>
      </c>
      <c r="C25"/>
      <c r="F25" s="4"/>
    </row>
    <row r="26" spans="1:7">
      <c r="A26" s="19" t="s">
        <v>159</v>
      </c>
      <c r="C26"/>
      <c r="G26" s="9"/>
    </row>
    <row r="27" spans="1:7">
      <c r="A27" s="19" t="s">
        <v>161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119</v>
      </c>
      <c r="C31"/>
      <c r="G31" s="9"/>
    </row>
    <row r="32" spans="1:7">
      <c r="A32" s="19" t="s">
        <v>101</v>
      </c>
      <c r="C32"/>
      <c r="G32" s="9"/>
    </row>
    <row r="33" spans="1:7">
      <c r="A33" s="19" t="s">
        <v>107</v>
      </c>
      <c r="C33"/>
      <c r="G33" s="9"/>
    </row>
    <row r="34" spans="1:7">
      <c r="A34" s="19" t="s">
        <v>106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169</v>
      </c>
      <c r="C36"/>
    </row>
    <row r="37" spans="1:7">
      <c r="A37" s="19" t="s">
        <v>171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98</v>
      </c>
      <c r="C41"/>
      <c r="G41" s="9"/>
    </row>
    <row r="42" spans="1:7">
      <c r="A42" s="19" t="s">
        <v>108</v>
      </c>
      <c r="C42"/>
      <c r="G42" s="9"/>
    </row>
    <row r="43" spans="1:7">
      <c r="A43" s="23" t="s">
        <v>229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99</v>
      </c>
      <c r="C46"/>
      <c r="G46" s="9"/>
    </row>
    <row r="47" spans="1:7">
      <c r="A47" s="19" t="s">
        <v>117</v>
      </c>
      <c r="C47"/>
      <c r="G47" s="9"/>
    </row>
    <row r="48" spans="1:7">
      <c r="A48" s="19" t="s">
        <v>134</v>
      </c>
      <c r="C48"/>
      <c r="G48" s="9"/>
    </row>
    <row r="49" spans="1:8">
      <c r="A49" s="19" t="s">
        <v>179</v>
      </c>
      <c r="C49"/>
      <c r="G49" s="9"/>
    </row>
    <row r="50" spans="1:8">
      <c r="A50" s="24" t="s">
        <v>251</v>
      </c>
      <c r="C50"/>
      <c r="G50" s="9"/>
    </row>
    <row r="51" spans="1:8">
      <c r="A51" s="24" t="s">
        <v>256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112</v>
      </c>
      <c r="C55"/>
      <c r="G55" s="9"/>
      <c r="H55" s="11"/>
    </row>
    <row r="56" spans="1:8">
      <c r="A56" s="19" t="s">
        <v>113</v>
      </c>
      <c r="C56"/>
      <c r="G56" s="9"/>
      <c r="H56" s="11"/>
    </row>
    <row r="57" spans="1:8">
      <c r="A57" s="25" t="s">
        <v>238</v>
      </c>
      <c r="C57"/>
      <c r="G57" s="9"/>
    </row>
    <row r="58" spans="1:8">
      <c r="A58" s="19" t="s">
        <v>133</v>
      </c>
      <c r="G58" s="9"/>
    </row>
    <row r="59" spans="1:8">
      <c r="A59" s="19" t="s">
        <v>186</v>
      </c>
      <c r="G59" s="9"/>
    </row>
    <row r="60" spans="1:8">
      <c r="A60" s="19" t="s">
        <v>115</v>
      </c>
      <c r="G60" s="9"/>
    </row>
    <row r="61" spans="1:8">
      <c r="A61" s="24" t="s">
        <v>234</v>
      </c>
      <c r="G61" s="9"/>
    </row>
    <row r="62" spans="1:8">
      <c r="A62" s="24" t="s">
        <v>236</v>
      </c>
      <c r="G62" s="9"/>
    </row>
    <row r="63" spans="1:8">
      <c r="A63" s="24" t="s">
        <v>251</v>
      </c>
      <c r="G63" s="9"/>
    </row>
    <row r="64" spans="1:8">
      <c r="A64" s="24" t="s">
        <v>254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116</v>
      </c>
      <c r="C68"/>
      <c r="G68" s="9"/>
    </row>
    <row r="69" spans="1:7">
      <c r="A69" s="19" t="s">
        <v>109</v>
      </c>
      <c r="C69"/>
      <c r="G69" s="9"/>
    </row>
    <row r="70" spans="1:7">
      <c r="A70" s="19" t="s">
        <v>110</v>
      </c>
      <c r="G70" s="9"/>
    </row>
    <row r="71" spans="1:7">
      <c r="G71" s="9"/>
    </row>
    <row r="72" spans="1:7">
      <c r="G72" s="9"/>
    </row>
    <row r="73" spans="1:7">
      <c r="A73" s="19" t="s">
        <v>193</v>
      </c>
    </row>
    <row r="74" spans="1:7">
      <c r="A74" s="19" t="s">
        <v>47</v>
      </c>
    </row>
    <row r="75" spans="1:7">
      <c r="A75" s="19" t="s">
        <v>118</v>
      </c>
    </row>
    <row r="76" spans="1:7">
      <c r="A76" s="19" t="s">
        <v>126</v>
      </c>
      <c r="G76" s="9"/>
    </row>
    <row r="77" spans="1:7">
      <c r="A77" s="19" t="s">
        <v>198</v>
      </c>
      <c r="G77" s="9"/>
    </row>
    <row r="78" spans="1:7">
      <c r="A78" s="19" t="s">
        <v>200</v>
      </c>
      <c r="G78" s="9"/>
    </row>
    <row r="79" spans="1:7">
      <c r="A79" s="19" t="s">
        <v>202</v>
      </c>
    </row>
    <row r="80" spans="1:7">
      <c r="A80" s="19" t="s">
        <v>204</v>
      </c>
    </row>
    <row r="83" spans="1:1">
      <c r="A83" s="19" t="s">
        <v>120</v>
      </c>
    </row>
    <row r="84" spans="1:1">
      <c r="A84" s="19" t="s">
        <v>121</v>
      </c>
    </row>
    <row r="85" spans="1:1">
      <c r="A85" s="19" t="s">
        <v>122</v>
      </c>
    </row>
    <row r="86" spans="1:1">
      <c r="A86" s="19" t="s">
        <v>123</v>
      </c>
    </row>
    <row r="87" spans="1:1">
      <c r="A87" s="19" t="s">
        <v>124</v>
      </c>
    </row>
    <row r="88" spans="1:1">
      <c r="A88" s="19" t="s">
        <v>125</v>
      </c>
    </row>
    <row r="91" spans="1:1">
      <c r="A91" s="19" t="s">
        <v>212</v>
      </c>
    </row>
    <row r="92" spans="1:1">
      <c r="A92" s="19" t="s">
        <v>214</v>
      </c>
    </row>
    <row r="93" spans="1:1">
      <c r="A93" s="19" t="s">
        <v>216</v>
      </c>
    </row>
    <row r="94" spans="1:1">
      <c r="A94" s="19" t="s">
        <v>218</v>
      </c>
    </row>
    <row r="95" spans="1:1">
      <c r="A95" s="19" t="s">
        <v>220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stage7_notcard6shot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2025-04-16T10:00:55Z</dcterms:modified>
</cp:coreProperties>
</file>