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9B3D32CF-509D-4707-A09A-3415B2D1561D}" xr6:coauthVersionLast="47" xr6:coauthVersionMax="47" xr10:uidLastSave="{00000000-0000-0000-0000-000000000000}"/>
  <bookViews>
    <workbookView minimized="1" xWindow="14685" yWindow="2640" windowWidth="13785" windowHeight="12705" xr2:uid="{00000000-000D-0000-FFFF-FFFF00000000}"/>
  </bookViews>
  <sheets>
    <sheet name="stage7_card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stage7_card2!$D$1:$D$12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4" i="1" l="1"/>
  <c r="M23" i="1"/>
  <c r="M20" i="1" l="1"/>
  <c r="E20" i="1"/>
  <c r="E10" i="1" l="1"/>
  <c r="E9" i="1"/>
  <c r="E8" i="1"/>
  <c r="E7" i="1"/>
  <c r="E6" i="1"/>
  <c r="E23" i="1" l="1"/>
  <c r="E24" i="1"/>
  <c r="E25" i="1"/>
  <c r="E26" i="1"/>
  <c r="E17" i="1"/>
  <c r="E18" i="1"/>
  <c r="E19" i="1"/>
  <c r="E21" i="1"/>
  <c r="E22" i="1"/>
  <c r="E16" i="1" l="1"/>
</calcChain>
</file>

<file path=xl/sharedStrings.xml><?xml version="1.0" encoding="utf-8"?>
<sst xmlns="http://schemas.openxmlformats.org/spreadsheetml/2006/main" count="456" uniqueCount="257">
  <si>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</si>
  <si>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</si>
  <si>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</si>
  <si>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</si>
  <si>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</si>
  <si>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</si>
  <si>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</si>
  <si>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</si>
  <si>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</si>
  <si>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</si>
  <si>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</si>
  <si>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</si>
  <si>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</si>
  <si>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</si>
  <si>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</si>
  <si>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</si>
  <si>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</si>
  <si>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</si>
  <si>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</si>
  <si>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</si>
  <si>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</si>
  <si>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</si>
  <si>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</si>
  <si>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</si>
  <si>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</si>
  <si>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</si>
  <si>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</si>
  <si>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</si>
  <si>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</si>
  <si>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</si>
  <si>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</si>
  <si>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</si>
  <si>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</si>
  <si>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</si>
  <si>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</si>
  <si>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</si>
  <si>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</si>
  <si>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</si>
  <si>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</si>
  <si>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</si>
  <si>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</si>
  <si>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</si>
  <si>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</si>
  <si>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</si>
  <si>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</si>
  <si>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</si>
  <si>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</si>
  <si>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</si>
  <si>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</si>
  <si>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</si>
  <si>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</si>
  <si>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</si>
  <si>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</si>
  <si>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</si>
  <si>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</si>
  <si>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</si>
  <si>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</si>
  <si>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</si>
  <si>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</si>
  <si>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</si>
  <si>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</si>
  <si>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</si>
  <si>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</si>
  <si>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</si>
  <si>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</si>
  <si>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</si>
  <si>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</si>
  <si>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</si>
  <si>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</si>
  <si>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</si>
  <si>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</si>
  <si>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</si>
  <si>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</si>
  <si>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</si>
  <si>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</si>
  <si>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</si>
  <si>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</si>
  <si>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</si>
  <si>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</si>
  <si>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</si>
  <si>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</si>
  <si>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</si>
  <si>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</si>
  <si>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</si>
  <si>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</si>
  <si>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</si>
  <si>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</si>
  <si>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</si>
  <si>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</si>
  <si>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</si>
  <si>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</si>
  <si>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</si>
  <si>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</si>
  <si>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</si>
  <si>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</si>
  <si>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</si>
  <si>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</si>
  <si>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</si>
  <si>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</si>
  <si>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</si>
  <si>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</si>
  <si>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</si>
  <si>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</si>
  <si>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</si>
  <si>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</si>
  <si>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</si>
  <si>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</si>
  <si>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</si>
  <si>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</si>
  <si>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</si>
  <si>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</si>
  <si>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</si>
  <si>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</si>
  <si>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</si>
  <si>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</si>
  <si>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</si>
  <si>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</si>
  <si>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</si>
  <si>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</si>
  <si>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</si>
  <si>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</si>
  <si>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</si>
  <si>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</si>
  <si>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</si>
  <si>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</si>
  <si>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</si>
  <si>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</si>
  <si>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</si>
  <si>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</si>
  <si>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</si>
  <si>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</si>
  <si>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</si>
  <si>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</si>
  <si>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</si>
  <si>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</si>
  <si>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</si>
  <si>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</si>
  <si>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</si>
  <si>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</si>
  <si>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</si>
  <si>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</si>
  <si>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</si>
  <si>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</si>
  <si>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</si>
  <si>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</si>
  <si>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</si>
  <si>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</si>
  <si>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</si>
  <si>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</si>
  <si>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</si>
  <si>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</si>
  <si>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</si>
  <si>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Sera</t>
  </si>
  <si>
    <t>1000</t>
  </si>
  <si>
    <t>復位</t>
    <phoneticPr fontId="2" type="noConversion"/>
  </si>
  <si>
    <t>旋轉「零散牽引」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</si>
  <si>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</si>
  <si>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</si>
  <si>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</si>
  <si>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</si>
  <si>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</si>
  <si>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</si>
  <si>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</si>
  <si>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</si>
  <si>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</si>
  <si>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</si>
  <si>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</si>
  <si>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</si>
  <si>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</si>
  <si>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</si>
  <si>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</si>
  <si>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</si>
  <si>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</si>
  <si>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</si>
  <si>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</si>
  <si>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</si>
  <si>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</si>
  <si>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</si>
  <si>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</si>
  <si>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</si>
  <si>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</si>
  <si>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</si>
  <si>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</si>
  <si>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</si>
  <si>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</si>
  <si>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</si>
  <si>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</si>
  <si>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</si>
  <si>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</si>
  <si>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</si>
  <si>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</si>
  <si>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</si>
  <si>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</si>
  <si>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</si>
  <si>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</si>
  <si>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</si>
  <si>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</si>
  <si>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</si>
  <si>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</si>
  <si>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</si>
  <si>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</si>
  <si>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</si>
  <si>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</si>
  <si>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</si>
  <si>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</si>
  <si>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</si>
  <si>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</si>
  <si>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</si>
  <si>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</si>
  <si>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</si>
  <si>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</si>
  <si>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</si>
  <si>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</si>
  <si>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</si>
  <si>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</si>
  <si>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</si>
  <si>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</si>
  <si>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</si>
  <si>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</si>
  <si>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</si>
  <si>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</si>
  <si>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</si>
  <si>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</si>
  <si>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</si>
  <si>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</si>
  <si>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</si>
  <si>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</si>
  <si>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</si>
  <si>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</si>
  <si>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</si>
  <si>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</si>
  <si>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</si>
  <si>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</si>
  <si>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</si>
  <si>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</si>
  <si>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</si>
  <si>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</si>
  <si>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</si>
  <si>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</si>
  <si>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符卡時間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</si>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</sst>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26"/>
  <sheetViews>
    <sheetView tabSelected="1" zoomScale="115" zoomScaleNormal="115" workbookViewId="0">
      <pane ySplit="1" topLeftCell="A2" activePane="bottomLeft" state="frozen"/>
      <selection pane="bottomLeft" activeCell="M21" sqref="M21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142</v>
      </c>
      <c r="L1" s="17" t="s">
        <v>143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139</v>
      </c>
    </row>
    <row r="3" spans="3:56">
      <c r="C3" s="22" t="s">
        <v>140</v>
      </c>
    </row>
    <row r="4" spans="3:56">
      <c r="C4" s="22" t="s">
        <v>141</v>
      </c>
    </row>
    <row r="6" spans="3:56">
      <c r="E6" s="22">
        <f t="shared" ref="E6:E10" si="0">ROW(E6)</f>
        <v>6</v>
      </c>
      <c r="F6" s="9" t="s">
        <v>154</v>
      </c>
      <c r="M6" s="22">
        <v>11900</v>
      </c>
    </row>
    <row r="7" spans="3:56">
      <c r="E7" s="22">
        <f t="shared" si="0"/>
        <v>7</v>
      </c>
      <c r="F7" s="9" t="s">
        <v>156</v>
      </c>
      <c r="M7" s="22">
        <v>3800</v>
      </c>
      <c r="N7" s="22"/>
    </row>
    <row r="8" spans="3:56">
      <c r="E8" s="22">
        <f t="shared" si="0"/>
        <v>8</v>
      </c>
      <c r="F8" s="9" t="s">
        <v>35</v>
      </c>
      <c r="M8" s="22">
        <v>60</v>
      </c>
    </row>
    <row r="9" spans="3:56">
      <c r="E9" s="22">
        <f t="shared" si="0"/>
        <v>9</v>
      </c>
      <c r="F9" s="9" t="s">
        <v>119</v>
      </c>
      <c r="M9" s="22">
        <v>60</v>
      </c>
    </row>
    <row r="10" spans="3:56">
      <c r="E10" s="22">
        <f t="shared" si="0"/>
        <v>10</v>
      </c>
      <c r="F10" s="9" t="s">
        <v>120</v>
      </c>
      <c r="K10" s="9" t="s">
        <v>137</v>
      </c>
      <c r="M10" s="22" t="s">
        <v>24</v>
      </c>
    </row>
    <row r="12" spans="3:56">
      <c r="K12" s="7"/>
    </row>
    <row r="16" spans="3:56">
      <c r="E16" s="22">
        <f>ROW(E16)</f>
        <v>16</v>
      </c>
      <c r="F16" s="9" t="s">
        <v>45</v>
      </c>
      <c r="G16" s="22">
        <v>1</v>
      </c>
      <c r="M16" s="22">
        <v>12000</v>
      </c>
      <c r="N16" s="22"/>
    </row>
    <row r="17" spans="5:14">
      <c r="E17" s="22">
        <f t="shared" ref="E17:E26" si="1">ROW(E17)</f>
        <v>17</v>
      </c>
      <c r="F17" s="9" t="s">
        <v>156</v>
      </c>
      <c r="M17" s="22">
        <v>3900</v>
      </c>
      <c r="N17" s="22"/>
    </row>
    <row r="18" spans="5:14">
      <c r="E18" s="22">
        <f t="shared" si="1"/>
        <v>18</v>
      </c>
      <c r="F18" s="9" t="s">
        <v>151</v>
      </c>
      <c r="M18" s="22" t="s">
        <v>152</v>
      </c>
      <c r="N18" s="22"/>
    </row>
    <row r="19" spans="5:14">
      <c r="E19" s="22">
        <f t="shared" si="1"/>
        <v>19</v>
      </c>
      <c r="F19" s="9" t="s">
        <v>148</v>
      </c>
      <c r="M19" s="22" t="s">
        <v>153</v>
      </c>
    </row>
    <row r="20" spans="5:14">
      <c r="E20" s="22">
        <f t="shared" si="1"/>
        <v>20</v>
      </c>
      <c r="F20" s="9" t="s">
        <v>239</v>
      </c>
      <c r="G20" s="22">
        <v>50</v>
      </c>
      <c r="M20" s="22">
        <f>G20*60</f>
        <v>3000</v>
      </c>
    </row>
    <row r="21" spans="5:14">
      <c r="E21" s="22">
        <f t="shared" si="1"/>
        <v>21</v>
      </c>
      <c r="F21" s="9" t="s">
        <v>150</v>
      </c>
      <c r="M21" s="22" t="s">
        <v>155</v>
      </c>
    </row>
    <row r="22" spans="5:14">
      <c r="E22" s="22">
        <f t="shared" si="1"/>
        <v>22</v>
      </c>
      <c r="F22" s="9" t="s">
        <v>147</v>
      </c>
      <c r="M22" s="22">
        <v>180</v>
      </c>
      <c r="N22" s="22"/>
    </row>
    <row r="23" spans="5:14">
      <c r="E23" s="22">
        <f t="shared" si="1"/>
        <v>23</v>
      </c>
      <c r="F23" s="9" t="s">
        <v>101</v>
      </c>
      <c r="M23" s="22">
        <f>M16*10+1</f>
        <v>120001</v>
      </c>
      <c r="N23" s="22"/>
    </row>
    <row r="24" spans="5:14">
      <c r="E24" s="22">
        <f t="shared" si="1"/>
        <v>24</v>
      </c>
      <c r="F24" s="9" t="s">
        <v>145</v>
      </c>
      <c r="M24" s="22">
        <f>M16</f>
        <v>12000</v>
      </c>
      <c r="N24" s="22"/>
    </row>
    <row r="25" spans="5:14">
      <c r="E25" s="22">
        <f t="shared" si="1"/>
        <v>25</v>
      </c>
      <c r="F25" s="9" t="s">
        <v>127</v>
      </c>
      <c r="M25" s="22">
        <v>0</v>
      </c>
      <c r="N25" s="22"/>
    </row>
    <row r="26" spans="5:14">
      <c r="E26" s="22">
        <f t="shared" si="1"/>
        <v>26</v>
      </c>
      <c r="F26" s="9" t="s">
        <v>149</v>
      </c>
      <c r="M26" s="22" t="b">
        <v>0</v>
      </c>
      <c r="N26" s="22"/>
    </row>
  </sheetData>
  <autoFilter ref="D1:D12" xr:uid="{00000000-0001-0000-0000-000000000000}"/>
  <phoneticPr fontId="2" type="noConversion"/>
  <conditionalFormatting sqref="N1:BD1">
    <cfRule type="duplicateValues" dxfId="54" priority="538"/>
  </conditionalFormatting>
  <conditionalFormatting sqref="BE1:XFD1 E1:I1">
    <cfRule type="duplicateValues" dxfId="53" priority="618"/>
  </conditionalFormatting>
  <conditionalFormatting sqref="F1:F5 F11:F12 F14:F27">
    <cfRule type="cellIs" dxfId="52" priority="119" operator="equal">
      <formula>"ID"</formula>
    </cfRule>
    <cfRule type="cellIs" dxfId="51" priority="534" operator="equal">
      <formula>"行動序號"</formula>
    </cfRule>
  </conditionalFormatting>
  <conditionalFormatting sqref="N16:N18 N22:N26 M1:M1048576">
    <cfRule type="expression" dxfId="50" priority="621">
      <formula>OR($F1="行動序號",$F1="ID")</formula>
    </cfRule>
  </conditionalFormatting>
  <conditionalFormatting sqref="N16:N18 N22:N26 M1:M1048576">
    <cfRule type="expression" dxfId="49" priority="533">
      <formula>$F1="行動ID"</formula>
    </cfRule>
  </conditionalFormatting>
  <conditionalFormatting sqref="J1">
    <cfRule type="duplicateValues" dxfId="48" priority="117"/>
  </conditionalFormatting>
  <conditionalFormatting sqref="K1:L1">
    <cfRule type="duplicateValues" dxfId="47" priority="114"/>
  </conditionalFormatting>
  <conditionalFormatting sqref="F19:F21">
    <cfRule type="cellIs" dxfId="46" priority="16" operator="equal">
      <formula>"行動ID"</formula>
    </cfRule>
    <cfRule type="cellIs" dxfId="45" priority="17" operator="equal">
      <formula>"ID"</formula>
    </cfRule>
    <cfRule type="cellIs" dxfId="44" priority="18" operator="equal">
      <formula>"行動序號"</formula>
    </cfRule>
  </conditionalFormatting>
  <conditionalFormatting sqref="F7">
    <cfRule type="cellIs" dxfId="43" priority="8" operator="equal">
      <formula>"ID"</formula>
    </cfRule>
    <cfRule type="cellIs" dxfId="42" priority="10" operator="equal">
      <formula>"行動序號"</formula>
    </cfRule>
  </conditionalFormatting>
  <conditionalFormatting sqref="N7">
    <cfRule type="expression" dxfId="41" priority="11">
      <formula>OR($F7="行動序號",$F7="ID")</formula>
    </cfRule>
  </conditionalFormatting>
  <conditionalFormatting sqref="N7">
    <cfRule type="expression" dxfId="40" priority="9">
      <formula>$F7="行動ID"</formula>
    </cfRule>
  </conditionalFormatting>
  <conditionalFormatting sqref="M1:M1048576">
    <cfRule type="expression" dxfId="39" priority="1">
      <formula>_xlfn.ISFORMULA(M1)</formula>
    </cfRule>
  </conditionalFormatting>
  <dataValidations count="1">
    <dataValidation type="list" allowBlank="1" showInputMessage="1" showErrorMessage="1" sqref="K12 L14 F16:F17 F29 L37 L5 H16:L16 F25:L25 F18:L18 F20:F21 K20 F26:M27 K6 K1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BA54E-0FFE-46AA-B11B-FFCA5068271F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50</v>
      </c>
      <c r="B2" s="9" t="s">
        <v>28</v>
      </c>
      <c r="C2" s="9" t="s">
        <v>143</v>
      </c>
      <c r="D2" s="9" t="s">
        <v>144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3CE445FB-F72D-41CE-9008-219EBD2009E2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B3FB4-7BBF-4A48-A4F9-1671EBB9B071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5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136</v>
      </c>
      <c r="C103" s="7" t="s">
        <v>21</v>
      </c>
      <c r="H103"/>
    </row>
    <row r="104" spans="1:12" customFormat="1">
      <c r="A104" s="7" t="s">
        <v>142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142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146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233</v>
      </c>
      <c r="C114" s="7" t="s">
        <v>22</v>
      </c>
      <c r="D114" s="7"/>
      <c r="L114" s="7"/>
    </row>
    <row r="115" spans="1:12">
      <c r="A115" s="7" t="s">
        <v>143</v>
      </c>
      <c r="B115" s="7" t="s">
        <v>234</v>
      </c>
      <c r="C115" s="7" t="s">
        <v>23</v>
      </c>
      <c r="H115"/>
    </row>
    <row r="116" spans="1:12">
      <c r="A116" s="7" t="s">
        <v>143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756E2-DAD9-4F63-B1B1-79C309FDC90B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136</v>
      </c>
      <c r="C2" s="20" t="s">
        <v>134</v>
      </c>
      <c r="D2" s="20"/>
      <c r="G2" s="21" t="s">
        <v>235</v>
      </c>
    </row>
    <row r="3" spans="1:10">
      <c r="A3" s="20" t="s">
        <v>93</v>
      </c>
      <c r="B3" s="20" t="s">
        <v>137</v>
      </c>
      <c r="C3" s="20" t="s">
        <v>135</v>
      </c>
      <c r="D3" s="20"/>
      <c r="G3" s="9"/>
    </row>
    <row r="4" spans="1:10">
      <c r="A4" s="20" t="s">
        <v>101</v>
      </c>
      <c r="B4" s="20" t="s">
        <v>138</v>
      </c>
      <c r="C4" s="20" t="s">
        <v>236</v>
      </c>
      <c r="D4" s="20"/>
      <c r="G4" s="9"/>
      <c r="H4" s="18"/>
    </row>
    <row r="5" spans="1:10" ht="17.25" customHeight="1">
      <c r="A5" s="20" t="s">
        <v>99</v>
      </c>
      <c r="B5" s="20" t="s">
        <v>230</v>
      </c>
      <c r="C5" s="20" t="s">
        <v>233</v>
      </c>
      <c r="D5" s="20"/>
      <c r="G5" s="9"/>
    </row>
    <row r="6" spans="1:10">
      <c r="A6" s="20" t="s">
        <v>102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255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110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103</v>
      </c>
      <c r="G13" s="9"/>
    </row>
    <row r="14" spans="1:10">
      <c r="A14" s="20" t="s">
        <v>104</v>
      </c>
      <c r="C14" s="9"/>
      <c r="G14" s="9"/>
    </row>
    <row r="15" spans="1:10">
      <c r="A15" s="20" t="s">
        <v>130</v>
      </c>
      <c r="G15" s="9"/>
    </row>
    <row r="16" spans="1:10">
      <c r="A16" s="20" t="s">
        <v>131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126</v>
      </c>
      <c r="C22"/>
      <c r="G22" s="9"/>
    </row>
    <row r="23" spans="1:7">
      <c r="A23" s="20" t="s">
        <v>127</v>
      </c>
      <c r="C23"/>
      <c r="G23" s="9"/>
    </row>
    <row r="24" spans="1:7">
      <c r="A24" s="20" t="s">
        <v>128</v>
      </c>
      <c r="C24"/>
      <c r="G24" s="9"/>
    </row>
    <row r="25" spans="1:7" s="9" customFormat="1">
      <c r="A25" s="20" t="s">
        <v>129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118</v>
      </c>
      <c r="C31"/>
      <c r="G31" s="9"/>
    </row>
    <row r="32" spans="1:7">
      <c r="A32" s="20" t="s">
        <v>100</v>
      </c>
      <c r="C32"/>
      <c r="G32" s="9"/>
    </row>
    <row r="33" spans="1:7">
      <c r="A33" s="20" t="s">
        <v>106</v>
      </c>
      <c r="C33"/>
      <c r="G33" s="9"/>
    </row>
    <row r="34" spans="1:7">
      <c r="A34" s="20" t="s">
        <v>105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107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116</v>
      </c>
      <c r="C47"/>
      <c r="G47" s="9"/>
    </row>
    <row r="48" spans="1:7">
      <c r="A48" s="20" t="s">
        <v>133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251</v>
      </c>
      <c r="C50"/>
      <c r="G50" s="9"/>
    </row>
    <row r="51" spans="1:8">
      <c r="A51" s="25" t="s">
        <v>256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111</v>
      </c>
      <c r="C55"/>
      <c r="G55" s="9"/>
      <c r="H55" s="11"/>
    </row>
    <row r="56" spans="1:8">
      <c r="A56" s="20" t="s">
        <v>112</v>
      </c>
      <c r="C56"/>
      <c r="G56" s="9"/>
      <c r="H56" s="11"/>
    </row>
    <row r="57" spans="1:8">
      <c r="A57" s="26" t="s">
        <v>246</v>
      </c>
      <c r="C57"/>
      <c r="G57" s="9"/>
    </row>
    <row r="58" spans="1:8">
      <c r="A58" s="20" t="s">
        <v>132</v>
      </c>
      <c r="G58" s="9"/>
    </row>
    <row r="59" spans="1:8">
      <c r="A59" s="20" t="s">
        <v>194</v>
      </c>
      <c r="G59" s="9"/>
    </row>
    <row r="60" spans="1:8">
      <c r="A60" s="20" t="s">
        <v>114</v>
      </c>
      <c r="G60" s="9"/>
    </row>
    <row r="61" spans="1:8">
      <c r="A61" s="25" t="s">
        <v>242</v>
      </c>
      <c r="G61" s="9"/>
    </row>
    <row r="62" spans="1:8">
      <c r="A62" s="25" t="s">
        <v>244</v>
      </c>
      <c r="G62" s="9"/>
    </row>
    <row r="63" spans="1:8">
      <c r="A63" s="25" t="s">
        <v>251</v>
      </c>
      <c r="G63" s="9"/>
    </row>
    <row r="64" spans="1:8">
      <c r="A64" s="25" t="s">
        <v>254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115</v>
      </c>
      <c r="C68"/>
      <c r="G68" s="9"/>
    </row>
    <row r="69" spans="1:7">
      <c r="A69" s="20" t="s">
        <v>108</v>
      </c>
      <c r="C69"/>
      <c r="G69" s="9"/>
    </row>
    <row r="70" spans="1:7">
      <c r="A70" s="20" t="s">
        <v>109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117</v>
      </c>
    </row>
    <row r="76" spans="1:7">
      <c r="A76" s="20" t="s">
        <v>125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119</v>
      </c>
    </row>
    <row r="84" spans="1:1">
      <c r="A84" s="20" t="s">
        <v>120</v>
      </c>
    </row>
    <row r="85" spans="1:1">
      <c r="A85" s="20" t="s">
        <v>121</v>
      </c>
    </row>
    <row r="86" spans="1:1">
      <c r="A86" s="20" t="s">
        <v>122</v>
      </c>
    </row>
    <row r="87" spans="1:1">
      <c r="A87" s="20" t="s">
        <v>123</v>
      </c>
    </row>
    <row r="88" spans="1:1">
      <c r="A88" s="20" t="s">
        <v>124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4F19B89-C415-490C-9782-2B6B1ABA705A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6B36F-08DA-4B03-8D74-2C126545E5BC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ADD28-A9C2-4BD2-BB3B-AA0D1334E215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2BD25-8DDD-466D-84C0-AFC2B917E185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2025-04-25T06:20:14Z</dcterms:modified>
</cp:coreProperties>
</file>